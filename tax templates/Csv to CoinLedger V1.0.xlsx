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cb23a1a239aa03d/Documents/02 T34 Taostats/04 tax api/tax templates/"/>
    </mc:Choice>
  </mc:AlternateContent>
  <xr:revisionPtr revIDLastSave="1" documentId="8_{C5EEDF72-7661-437A-9A8E-6C7091B1D30E}" xr6:coauthVersionLast="47" xr6:coauthVersionMax="47" xr10:uidLastSave="{22E60954-6837-4D69-B8E9-3D5A284DDA7B}"/>
  <bookViews>
    <workbookView xWindow="-103" yWindow="-103" windowWidth="33120" windowHeight="18000" xr2:uid="{5EEF191D-4E0C-4037-9A02-B9013D7D7D1B}"/>
    <workbookView xWindow="-33017" yWindow="-103" windowWidth="33120" windowHeight="18000" activeTab="2" xr2:uid="{C9DADA2E-1AD7-4976-8916-ED71C122429D}"/>
  </bookViews>
  <sheets>
    <sheet name="READ ME" sheetId="3" r:id="rId1"/>
    <sheet name="Taostats_CSV" sheetId="1" r:id="rId2"/>
    <sheet name="website_csv (pro)" sheetId="7" r:id="rId3"/>
    <sheet name="Coinledger Tags 2026-03-06" sheetId="5" r:id="rId4"/>
  </sheets>
  <definedNames>
    <definedName name="_xlnm._FilterDatabase" localSheetId="1" hidden="1">Taostats_CSV!$A$2:$X$1177</definedName>
    <definedName name="_xlnm._FilterDatabase" localSheetId="2" hidden="1">'website_csv (pro)'!$A$2:$U$1177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7" l="1"/>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A194" i="7"/>
  <c r="A195" i="7"/>
  <c r="A196" i="7"/>
  <c r="A197" i="7"/>
  <c r="A198" i="7"/>
  <c r="A199" i="7"/>
  <c r="A200" i="7"/>
  <c r="A201" i="7"/>
  <c r="A202" i="7"/>
  <c r="A203" i="7"/>
  <c r="A204" i="7"/>
  <c r="A205" i="7"/>
  <c r="A206" i="7"/>
  <c r="A207" i="7"/>
  <c r="A208" i="7"/>
  <c r="A209" i="7"/>
  <c r="A210" i="7"/>
  <c r="A211" i="7"/>
  <c r="A212" i="7"/>
  <c r="A213" i="7"/>
  <c r="A214" i="7"/>
  <c r="A215" i="7"/>
  <c r="A216" i="7"/>
  <c r="A217" i="7"/>
  <c r="A218" i="7"/>
  <c r="A219" i="7"/>
  <c r="A220" i="7"/>
  <c r="A221" i="7"/>
  <c r="A222" i="7"/>
  <c r="A223" i="7"/>
  <c r="A224" i="7"/>
  <c r="A225" i="7"/>
  <c r="A226" i="7"/>
  <c r="A227" i="7"/>
  <c r="A228" i="7"/>
  <c r="A229" i="7"/>
  <c r="A230" i="7"/>
  <c r="A231" i="7"/>
  <c r="A232" i="7"/>
  <c r="A233" i="7"/>
  <c r="A234" i="7"/>
  <c r="A235" i="7"/>
  <c r="A236" i="7"/>
  <c r="A237" i="7"/>
  <c r="A238" i="7"/>
  <c r="A239" i="7"/>
  <c r="A240" i="7"/>
  <c r="A241" i="7"/>
  <c r="A242" i="7"/>
  <c r="A243" i="7"/>
  <c r="A244" i="7"/>
  <c r="A245" i="7"/>
  <c r="A246" i="7"/>
  <c r="A247" i="7"/>
  <c r="A248" i="7"/>
  <c r="A249" i="7"/>
  <c r="A250" i="7"/>
  <c r="A251" i="7"/>
  <c r="A252" i="7"/>
  <c r="A253" i="7"/>
  <c r="A254" i="7"/>
  <c r="A255" i="7"/>
  <c r="A256" i="7"/>
  <c r="A257" i="7"/>
  <c r="A258" i="7"/>
  <c r="A259" i="7"/>
  <c r="A260" i="7"/>
  <c r="A261" i="7"/>
  <c r="A262" i="7"/>
  <c r="A263" i="7"/>
  <c r="A264" i="7"/>
  <c r="A265" i="7"/>
  <c r="A266" i="7"/>
  <c r="A267" i="7"/>
  <c r="A268" i="7"/>
  <c r="A269" i="7"/>
  <c r="A270" i="7"/>
  <c r="A271" i="7"/>
  <c r="A272" i="7"/>
  <c r="A273" i="7"/>
  <c r="A274" i="7"/>
  <c r="A275" i="7"/>
  <c r="A276" i="7"/>
  <c r="A277" i="7"/>
  <c r="A278" i="7"/>
  <c r="A279" i="7"/>
  <c r="A280" i="7"/>
  <c r="A281" i="7"/>
  <c r="A282" i="7"/>
  <c r="A283" i="7"/>
  <c r="A284" i="7"/>
  <c r="A285" i="7"/>
  <c r="A286" i="7"/>
  <c r="A287" i="7"/>
  <c r="A288" i="7"/>
  <c r="A289" i="7"/>
  <c r="A290" i="7"/>
  <c r="A291" i="7"/>
  <c r="A292" i="7"/>
  <c r="A293" i="7"/>
  <c r="A294" i="7"/>
  <c r="A295" i="7"/>
  <c r="A296" i="7"/>
  <c r="A297" i="7"/>
  <c r="A298" i="7"/>
  <c r="A299" i="7"/>
  <c r="A300" i="7"/>
  <c r="A301" i="7"/>
  <c r="A302" i="7"/>
  <c r="A303" i="7"/>
  <c r="A304" i="7"/>
  <c r="A305" i="7"/>
  <c r="A306" i="7"/>
  <c r="A307" i="7"/>
  <c r="A308" i="7"/>
  <c r="A309" i="7"/>
  <c r="A310" i="7"/>
  <c r="A311" i="7"/>
  <c r="A312" i="7"/>
  <c r="A313" i="7"/>
  <c r="A314" i="7"/>
  <c r="A315" i="7"/>
  <c r="A316" i="7"/>
  <c r="A317" i="7"/>
  <c r="A318" i="7"/>
  <c r="A319" i="7"/>
  <c r="A320" i="7"/>
  <c r="A321" i="7"/>
  <c r="A322" i="7"/>
  <c r="A323" i="7"/>
  <c r="A324" i="7"/>
  <c r="A325" i="7"/>
  <c r="A326" i="7"/>
  <c r="A327" i="7"/>
  <c r="A328" i="7"/>
  <c r="A329" i="7"/>
  <c r="A330" i="7"/>
  <c r="A331" i="7"/>
  <c r="A332" i="7"/>
  <c r="A333" i="7"/>
  <c r="A334" i="7"/>
  <c r="A335" i="7"/>
  <c r="A336" i="7"/>
  <c r="A337" i="7"/>
  <c r="A338" i="7"/>
  <c r="A339" i="7"/>
  <c r="A340" i="7"/>
  <c r="A341" i="7"/>
  <c r="A342" i="7"/>
  <c r="A343" i="7"/>
  <c r="A344" i="7"/>
  <c r="A345" i="7"/>
  <c r="A346" i="7"/>
  <c r="A347" i="7"/>
  <c r="A348" i="7"/>
  <c r="A349" i="7"/>
  <c r="A350" i="7"/>
  <c r="A351" i="7"/>
  <c r="A352" i="7"/>
  <c r="A353" i="7"/>
  <c r="A354" i="7"/>
  <c r="A355" i="7"/>
  <c r="A356" i="7"/>
  <c r="A357" i="7"/>
  <c r="A358" i="7"/>
  <c r="A359" i="7"/>
  <c r="A360" i="7"/>
  <c r="A361" i="7"/>
  <c r="A362" i="7"/>
  <c r="A363" i="7"/>
  <c r="A364" i="7"/>
  <c r="A365" i="7"/>
  <c r="A366" i="7"/>
  <c r="A367" i="7"/>
  <c r="A368" i="7"/>
  <c r="A369" i="7"/>
  <c r="A370" i="7"/>
  <c r="A371" i="7"/>
  <c r="A372" i="7"/>
  <c r="A373" i="7"/>
  <c r="A374" i="7"/>
  <c r="A375" i="7"/>
  <c r="A376" i="7"/>
  <c r="A377" i="7"/>
  <c r="A378" i="7"/>
  <c r="A379" i="7"/>
  <c r="A380" i="7"/>
  <c r="A381" i="7"/>
  <c r="A382" i="7"/>
  <c r="A383" i="7"/>
  <c r="A384" i="7"/>
  <c r="A385" i="7"/>
  <c r="A386" i="7"/>
  <c r="A387" i="7"/>
  <c r="A388" i="7"/>
  <c r="A389" i="7"/>
  <c r="A390" i="7"/>
  <c r="A391" i="7"/>
  <c r="A392" i="7"/>
  <c r="A393" i="7"/>
  <c r="A394" i="7"/>
  <c r="A395" i="7"/>
  <c r="A396" i="7"/>
  <c r="A397" i="7"/>
  <c r="A398" i="7"/>
  <c r="A399" i="7"/>
  <c r="A400" i="7"/>
  <c r="A401" i="7"/>
  <c r="A402" i="7"/>
  <c r="A403" i="7"/>
  <c r="A404" i="7"/>
  <c r="A405" i="7"/>
  <c r="A406" i="7"/>
  <c r="A407" i="7"/>
  <c r="A408" i="7"/>
  <c r="A409" i="7"/>
  <c r="A410" i="7"/>
  <c r="A411" i="7"/>
  <c r="A412" i="7"/>
  <c r="A413" i="7"/>
  <c r="A414" i="7"/>
  <c r="A415" i="7"/>
  <c r="A416" i="7"/>
  <c r="A417" i="7"/>
  <c r="A418" i="7"/>
  <c r="A419" i="7"/>
  <c r="A420" i="7"/>
  <c r="A421" i="7"/>
  <c r="A422" i="7"/>
  <c r="A423" i="7"/>
  <c r="A424" i="7"/>
  <c r="A425" i="7"/>
  <c r="A426" i="7"/>
  <c r="A427" i="7"/>
  <c r="A428" i="7"/>
  <c r="A429" i="7"/>
  <c r="A430" i="7"/>
  <c r="A431" i="7"/>
  <c r="A432" i="7"/>
  <c r="A433" i="7"/>
  <c r="A434" i="7"/>
  <c r="A435" i="7"/>
  <c r="A436" i="7"/>
  <c r="A437" i="7"/>
  <c r="A438" i="7"/>
  <c r="A439" i="7"/>
  <c r="A440" i="7"/>
  <c r="A441" i="7"/>
  <c r="A442" i="7"/>
  <c r="A443" i="7"/>
  <c r="A444" i="7"/>
  <c r="A445" i="7"/>
  <c r="A446" i="7"/>
  <c r="A447" i="7"/>
  <c r="A448" i="7"/>
  <c r="A449" i="7"/>
  <c r="A450" i="7"/>
  <c r="A451" i="7"/>
  <c r="A452" i="7"/>
  <c r="A453" i="7"/>
  <c r="A454" i="7"/>
  <c r="A455" i="7"/>
  <c r="A456" i="7"/>
  <c r="A457" i="7"/>
  <c r="A458" i="7"/>
  <c r="A459" i="7"/>
  <c r="A460" i="7"/>
  <c r="A461" i="7"/>
  <c r="A462" i="7"/>
  <c r="A463" i="7"/>
  <c r="A464" i="7"/>
  <c r="A465" i="7"/>
  <c r="A466" i="7"/>
  <c r="A467" i="7"/>
  <c r="A468" i="7"/>
  <c r="A469" i="7"/>
  <c r="A470" i="7"/>
  <c r="A471" i="7"/>
  <c r="A472" i="7"/>
  <c r="A473" i="7"/>
  <c r="A474" i="7"/>
  <c r="A475" i="7"/>
  <c r="A476" i="7"/>
  <c r="A477" i="7"/>
  <c r="A478" i="7"/>
  <c r="A479" i="7"/>
  <c r="A480" i="7"/>
  <c r="A481" i="7"/>
  <c r="A482" i="7"/>
  <c r="A483" i="7"/>
  <c r="A484" i="7"/>
  <c r="A485" i="7"/>
  <c r="A486" i="7"/>
  <c r="A487" i="7"/>
  <c r="A488" i="7"/>
  <c r="A489" i="7"/>
  <c r="A490" i="7"/>
  <c r="A491" i="7"/>
  <c r="A492" i="7"/>
  <c r="A493" i="7"/>
  <c r="A494" i="7"/>
  <c r="A495" i="7"/>
  <c r="A496" i="7"/>
  <c r="A497" i="7"/>
  <c r="A498" i="7"/>
  <c r="A499" i="7"/>
  <c r="A500" i="7"/>
  <c r="A501" i="7"/>
  <c r="A502" i="7"/>
  <c r="A503" i="7"/>
  <c r="A504" i="7"/>
  <c r="A505" i="7"/>
  <c r="A506" i="7"/>
  <c r="A507" i="7"/>
  <c r="A508" i="7"/>
  <c r="A509" i="7"/>
  <c r="A510" i="7"/>
  <c r="A511" i="7"/>
  <c r="A512" i="7"/>
  <c r="A513" i="7"/>
  <c r="A514" i="7"/>
  <c r="A515" i="7"/>
  <c r="A516" i="7"/>
  <c r="A517" i="7"/>
  <c r="A518" i="7"/>
  <c r="A519" i="7"/>
  <c r="A520" i="7"/>
  <c r="A521" i="7"/>
  <c r="A522" i="7"/>
  <c r="A523" i="7"/>
  <c r="A524" i="7"/>
  <c r="A525" i="7"/>
  <c r="A526" i="7"/>
  <c r="A527" i="7"/>
  <c r="A528" i="7"/>
  <c r="A529" i="7"/>
  <c r="A530" i="7"/>
  <c r="A531" i="7"/>
  <c r="A532" i="7"/>
  <c r="A533" i="7"/>
  <c r="A534" i="7"/>
  <c r="A535" i="7"/>
  <c r="A536" i="7"/>
  <c r="A537" i="7"/>
  <c r="A538" i="7"/>
  <c r="A539" i="7"/>
  <c r="A540" i="7"/>
  <c r="A541" i="7"/>
  <c r="A542" i="7"/>
  <c r="A543" i="7"/>
  <c r="A544" i="7"/>
  <c r="A545" i="7"/>
  <c r="A546" i="7"/>
  <c r="A547" i="7"/>
  <c r="A548" i="7"/>
  <c r="A549" i="7"/>
  <c r="A550" i="7"/>
  <c r="A551" i="7"/>
  <c r="A552" i="7"/>
  <c r="A553" i="7"/>
  <c r="A554" i="7"/>
  <c r="A555" i="7"/>
  <c r="A556" i="7"/>
  <c r="A557" i="7"/>
  <c r="A558" i="7"/>
  <c r="A559" i="7"/>
  <c r="A560" i="7"/>
  <c r="A561" i="7"/>
  <c r="A562" i="7"/>
  <c r="A563" i="7"/>
  <c r="A564" i="7"/>
  <c r="A565" i="7"/>
  <c r="A566" i="7"/>
  <c r="A567" i="7"/>
  <c r="A568" i="7"/>
  <c r="A569" i="7"/>
  <c r="A570" i="7"/>
  <c r="A571" i="7"/>
  <c r="A572" i="7"/>
  <c r="A573" i="7"/>
  <c r="A574" i="7"/>
  <c r="A575" i="7"/>
  <c r="A576" i="7"/>
  <c r="A577" i="7"/>
  <c r="A578" i="7"/>
  <c r="A579" i="7"/>
  <c r="A580" i="7"/>
  <c r="A581" i="7"/>
  <c r="A582" i="7"/>
  <c r="A583" i="7"/>
  <c r="A584" i="7"/>
  <c r="A585" i="7"/>
  <c r="A586" i="7"/>
  <c r="A587" i="7"/>
  <c r="A588" i="7"/>
  <c r="A589" i="7"/>
  <c r="A590" i="7"/>
  <c r="A591" i="7"/>
  <c r="A592" i="7"/>
  <c r="A593" i="7"/>
  <c r="A594" i="7"/>
  <c r="A595" i="7"/>
  <c r="A596" i="7"/>
  <c r="A597" i="7"/>
  <c r="A598" i="7"/>
  <c r="A599" i="7"/>
  <c r="A600" i="7"/>
  <c r="A601" i="7"/>
  <c r="A602" i="7"/>
  <c r="A603" i="7"/>
  <c r="A604" i="7"/>
  <c r="A605" i="7"/>
  <c r="A606" i="7"/>
  <c r="A607" i="7"/>
  <c r="A608" i="7"/>
  <c r="A609" i="7"/>
  <c r="A610" i="7"/>
  <c r="A611" i="7"/>
  <c r="A612" i="7"/>
  <c r="A613" i="7"/>
  <c r="A614" i="7"/>
  <c r="A615" i="7"/>
  <c r="A616" i="7"/>
  <c r="A617" i="7"/>
  <c r="A618" i="7"/>
  <c r="A619" i="7"/>
  <c r="A620" i="7"/>
  <c r="A621" i="7"/>
  <c r="A622" i="7"/>
  <c r="A623" i="7"/>
  <c r="A624" i="7"/>
  <c r="A625" i="7"/>
  <c r="A626" i="7"/>
  <c r="A627" i="7"/>
  <c r="A628" i="7"/>
  <c r="A629" i="7"/>
  <c r="A630" i="7"/>
  <c r="A631" i="7"/>
  <c r="A632" i="7"/>
  <c r="A633" i="7"/>
  <c r="A634" i="7"/>
  <c r="A635" i="7"/>
  <c r="A636" i="7"/>
  <c r="A637" i="7"/>
  <c r="A638" i="7"/>
  <c r="A639" i="7"/>
  <c r="A640" i="7"/>
  <c r="A641" i="7"/>
  <c r="A642" i="7"/>
  <c r="A643" i="7"/>
  <c r="A644" i="7"/>
  <c r="A645" i="7"/>
  <c r="A646" i="7"/>
  <c r="A647" i="7"/>
  <c r="A648" i="7"/>
  <c r="A649" i="7"/>
  <c r="A650" i="7"/>
  <c r="A651" i="7"/>
  <c r="A652" i="7"/>
  <c r="A653" i="7"/>
  <c r="A654" i="7"/>
  <c r="A655" i="7"/>
  <c r="A656" i="7"/>
  <c r="A657" i="7"/>
  <c r="A658" i="7"/>
  <c r="A659" i="7"/>
  <c r="A660" i="7"/>
  <c r="A661" i="7"/>
  <c r="A662" i="7"/>
  <c r="A663" i="7"/>
  <c r="A664" i="7"/>
  <c r="A665" i="7"/>
  <c r="A666" i="7"/>
  <c r="A667" i="7"/>
  <c r="A668" i="7"/>
  <c r="A669" i="7"/>
  <c r="A670" i="7"/>
  <c r="A671" i="7"/>
  <c r="A672" i="7"/>
  <c r="A673" i="7"/>
  <c r="A674" i="7"/>
  <c r="A675" i="7"/>
  <c r="A676" i="7"/>
  <c r="A677" i="7"/>
  <c r="A678" i="7"/>
  <c r="A679" i="7"/>
  <c r="A680" i="7"/>
  <c r="A681" i="7"/>
  <c r="A682" i="7"/>
  <c r="A683" i="7"/>
  <c r="A684" i="7"/>
  <c r="A685" i="7"/>
  <c r="A686" i="7"/>
  <c r="A687" i="7"/>
  <c r="A688" i="7"/>
  <c r="A689" i="7"/>
  <c r="A690" i="7"/>
  <c r="A691" i="7"/>
  <c r="A692" i="7"/>
  <c r="A693" i="7"/>
  <c r="A694" i="7"/>
  <c r="A695" i="7"/>
  <c r="A696" i="7"/>
  <c r="A697" i="7"/>
  <c r="A698" i="7"/>
  <c r="A699" i="7"/>
  <c r="A700" i="7"/>
  <c r="A701" i="7"/>
  <c r="A702" i="7"/>
  <c r="A703" i="7"/>
  <c r="A704" i="7"/>
  <c r="A705" i="7"/>
  <c r="A706" i="7"/>
  <c r="A707" i="7"/>
  <c r="A708" i="7"/>
  <c r="A709" i="7"/>
  <c r="A710" i="7"/>
  <c r="A711" i="7"/>
  <c r="A712" i="7"/>
  <c r="A713" i="7"/>
  <c r="A714" i="7"/>
  <c r="A715" i="7"/>
  <c r="A716" i="7"/>
  <c r="A717" i="7"/>
  <c r="A718" i="7"/>
  <c r="A719" i="7"/>
  <c r="A720" i="7"/>
  <c r="A721" i="7"/>
  <c r="A722" i="7"/>
  <c r="A723" i="7"/>
  <c r="A724" i="7"/>
  <c r="A725" i="7"/>
  <c r="A726" i="7"/>
  <c r="A727" i="7"/>
  <c r="A728" i="7"/>
  <c r="A729" i="7"/>
  <c r="A730" i="7"/>
  <c r="A731" i="7"/>
  <c r="A732" i="7"/>
  <c r="A733" i="7"/>
  <c r="A734" i="7"/>
  <c r="A735" i="7"/>
  <c r="A736" i="7"/>
  <c r="A737" i="7"/>
  <c r="A738" i="7"/>
  <c r="A739" i="7"/>
  <c r="A740" i="7"/>
  <c r="A741" i="7"/>
  <c r="A742" i="7"/>
  <c r="A743" i="7"/>
  <c r="A744" i="7"/>
  <c r="A745" i="7"/>
  <c r="A746" i="7"/>
  <c r="A747" i="7"/>
  <c r="A748" i="7"/>
  <c r="A749" i="7"/>
  <c r="A750" i="7"/>
  <c r="A751" i="7"/>
  <c r="A752" i="7"/>
  <c r="A753" i="7"/>
  <c r="A754" i="7"/>
  <c r="A755" i="7"/>
  <c r="A756" i="7"/>
  <c r="A757" i="7"/>
  <c r="A758" i="7"/>
  <c r="A759" i="7"/>
  <c r="A760" i="7"/>
  <c r="A761" i="7"/>
  <c r="A762" i="7"/>
  <c r="A763" i="7"/>
  <c r="A764" i="7"/>
  <c r="A765" i="7"/>
  <c r="A766" i="7"/>
  <c r="A767" i="7"/>
  <c r="A768" i="7"/>
  <c r="A769" i="7"/>
  <c r="A770" i="7"/>
  <c r="A771" i="7"/>
  <c r="A772" i="7"/>
  <c r="A773" i="7"/>
  <c r="A774" i="7"/>
  <c r="A775" i="7"/>
  <c r="A776" i="7"/>
  <c r="A777" i="7"/>
  <c r="A778" i="7"/>
  <c r="A779" i="7"/>
  <c r="A780" i="7"/>
  <c r="A781" i="7"/>
  <c r="A782" i="7"/>
  <c r="A783" i="7"/>
  <c r="A784" i="7"/>
  <c r="A785" i="7"/>
  <c r="A786" i="7"/>
  <c r="A787" i="7"/>
  <c r="A788" i="7"/>
  <c r="A789" i="7"/>
  <c r="A790" i="7"/>
  <c r="A791" i="7"/>
  <c r="A792" i="7"/>
  <c r="A793" i="7"/>
  <c r="A794" i="7"/>
  <c r="A795" i="7"/>
  <c r="A796" i="7"/>
  <c r="A797" i="7"/>
  <c r="A798" i="7"/>
  <c r="A799" i="7"/>
  <c r="A800" i="7"/>
  <c r="A801" i="7"/>
  <c r="A802" i="7"/>
  <c r="A803" i="7"/>
  <c r="A804" i="7"/>
  <c r="A805" i="7"/>
  <c r="A806" i="7"/>
  <c r="A807" i="7"/>
  <c r="A808" i="7"/>
  <c r="A809" i="7"/>
  <c r="A810" i="7"/>
  <c r="A811" i="7"/>
  <c r="A812" i="7"/>
  <c r="A813" i="7"/>
  <c r="A814" i="7"/>
  <c r="A815" i="7"/>
  <c r="A816" i="7"/>
  <c r="A817" i="7"/>
  <c r="A818" i="7"/>
  <c r="A819" i="7"/>
  <c r="A820" i="7"/>
  <c r="A821" i="7"/>
  <c r="A822" i="7"/>
  <c r="A823" i="7"/>
  <c r="A824" i="7"/>
  <c r="A825" i="7"/>
  <c r="A826" i="7"/>
  <c r="A827" i="7"/>
  <c r="A828" i="7"/>
  <c r="A829" i="7"/>
  <c r="A830" i="7"/>
  <c r="A831" i="7"/>
  <c r="A832" i="7"/>
  <c r="A833" i="7"/>
  <c r="A834" i="7"/>
  <c r="A835" i="7"/>
  <c r="A836" i="7"/>
  <c r="A837" i="7"/>
  <c r="A838" i="7"/>
  <c r="A839" i="7"/>
  <c r="A840" i="7"/>
  <c r="A841" i="7"/>
  <c r="A842" i="7"/>
  <c r="A843" i="7"/>
  <c r="A844" i="7"/>
  <c r="A845" i="7"/>
  <c r="A846" i="7"/>
  <c r="A847" i="7"/>
  <c r="A848" i="7"/>
  <c r="A849" i="7"/>
  <c r="A850" i="7"/>
  <c r="A851" i="7"/>
  <c r="A852" i="7"/>
  <c r="A853" i="7"/>
  <c r="A854" i="7"/>
  <c r="A855" i="7"/>
  <c r="A856" i="7"/>
  <c r="A857" i="7"/>
  <c r="A858" i="7"/>
  <c r="A859" i="7"/>
  <c r="A860" i="7"/>
  <c r="A861" i="7"/>
  <c r="A862" i="7"/>
  <c r="A863" i="7"/>
  <c r="A864" i="7"/>
  <c r="A865" i="7"/>
  <c r="A866" i="7"/>
  <c r="A867" i="7"/>
  <c r="A868" i="7"/>
  <c r="A869" i="7"/>
  <c r="A870" i="7"/>
  <c r="A871" i="7"/>
  <c r="A872" i="7"/>
  <c r="A873" i="7"/>
  <c r="A874" i="7"/>
  <c r="A875" i="7"/>
  <c r="A876" i="7"/>
  <c r="A877" i="7"/>
  <c r="A878" i="7"/>
  <c r="A879" i="7"/>
  <c r="A880" i="7"/>
  <c r="A881" i="7"/>
  <c r="A882" i="7"/>
  <c r="A883" i="7"/>
  <c r="A884" i="7"/>
  <c r="A885" i="7"/>
  <c r="A886" i="7"/>
  <c r="A887" i="7"/>
  <c r="A888" i="7"/>
  <c r="A889" i="7"/>
  <c r="A890" i="7"/>
  <c r="A891" i="7"/>
  <c r="A892" i="7"/>
  <c r="A893" i="7"/>
  <c r="A894" i="7"/>
  <c r="A895" i="7"/>
  <c r="A896" i="7"/>
  <c r="A897" i="7"/>
  <c r="A898" i="7"/>
  <c r="A899" i="7"/>
  <c r="A900" i="7"/>
  <c r="A901" i="7"/>
  <c r="A902" i="7"/>
  <c r="A903" i="7"/>
  <c r="A904" i="7"/>
  <c r="A905" i="7"/>
  <c r="A906" i="7"/>
  <c r="A907" i="7"/>
  <c r="A908" i="7"/>
  <c r="A909" i="7"/>
  <c r="A910" i="7"/>
  <c r="A911" i="7"/>
  <c r="A912" i="7"/>
  <c r="A913" i="7"/>
  <c r="A914" i="7"/>
  <c r="A915" i="7"/>
  <c r="A916" i="7"/>
  <c r="A917" i="7"/>
  <c r="A918" i="7"/>
  <c r="A919" i="7"/>
  <c r="A920" i="7"/>
  <c r="A921" i="7"/>
  <c r="A922" i="7"/>
  <c r="A923" i="7"/>
  <c r="A924" i="7"/>
  <c r="A925" i="7"/>
  <c r="A926" i="7"/>
  <c r="A927" i="7"/>
  <c r="A928" i="7"/>
  <c r="A929" i="7"/>
  <c r="A930" i="7"/>
  <c r="A931" i="7"/>
  <c r="A932" i="7"/>
  <c r="A933" i="7"/>
  <c r="A934" i="7"/>
  <c r="A935" i="7"/>
  <c r="A936" i="7"/>
  <c r="A937" i="7"/>
  <c r="A938" i="7"/>
  <c r="A939" i="7"/>
  <c r="A940" i="7"/>
  <c r="A941" i="7"/>
  <c r="A942" i="7"/>
  <c r="A943" i="7"/>
  <c r="A944" i="7"/>
  <c r="A945" i="7"/>
  <c r="A946" i="7"/>
  <c r="A947" i="7"/>
  <c r="A948" i="7"/>
  <c r="A949" i="7"/>
  <c r="A950" i="7"/>
  <c r="A951" i="7"/>
  <c r="A952" i="7"/>
  <c r="A953" i="7"/>
  <c r="A954" i="7"/>
  <c r="A955" i="7"/>
  <c r="A956" i="7"/>
  <c r="A957" i="7"/>
  <c r="A958" i="7"/>
  <c r="A959" i="7"/>
  <c r="A960" i="7"/>
  <c r="A961" i="7"/>
  <c r="A962" i="7"/>
  <c r="A963" i="7"/>
  <c r="A964" i="7"/>
  <c r="A965" i="7"/>
  <c r="A966" i="7"/>
  <c r="A967" i="7"/>
  <c r="A968" i="7"/>
  <c r="A969" i="7"/>
  <c r="A970" i="7"/>
  <c r="A971" i="7"/>
  <c r="A972" i="7"/>
  <c r="A973" i="7"/>
  <c r="A974" i="7"/>
  <c r="A975" i="7"/>
  <c r="A976" i="7"/>
  <c r="A977" i="7"/>
  <c r="A978" i="7"/>
  <c r="A979" i="7"/>
  <c r="A980" i="7"/>
  <c r="A981" i="7"/>
  <c r="A982" i="7"/>
  <c r="A983" i="7"/>
  <c r="A984" i="7"/>
  <c r="A985" i="7"/>
  <c r="A986" i="7"/>
  <c r="A987" i="7"/>
  <c r="A988" i="7"/>
  <c r="A989" i="7"/>
  <c r="A990" i="7"/>
  <c r="A991" i="7"/>
  <c r="A992" i="7"/>
  <c r="A993" i="7"/>
  <c r="A994" i="7"/>
  <c r="A995" i="7"/>
  <c r="A996" i="7"/>
  <c r="A997" i="7"/>
  <c r="A998" i="7"/>
  <c r="A999" i="7"/>
  <c r="A1000" i="7"/>
  <c r="A1001" i="7"/>
  <c r="A1002" i="7"/>
  <c r="A1003" i="7"/>
  <c r="A1004" i="7"/>
  <c r="A1005" i="7"/>
  <c r="A1006" i="7"/>
  <c r="A1007" i="7"/>
  <c r="A1008" i="7"/>
  <c r="A1009" i="7"/>
  <c r="A1010" i="7"/>
  <c r="A1011" i="7"/>
  <c r="A1012" i="7"/>
  <c r="A1013" i="7"/>
  <c r="A1014" i="7"/>
  <c r="A1015" i="7"/>
  <c r="A1016" i="7"/>
  <c r="A1017" i="7"/>
  <c r="A1018" i="7"/>
  <c r="A1019" i="7"/>
  <c r="A1020" i="7"/>
  <c r="A1021" i="7"/>
  <c r="A1022" i="7"/>
  <c r="A1023" i="7"/>
  <c r="A1024" i="7"/>
  <c r="A1025" i="7"/>
  <c r="A1026" i="7"/>
  <c r="A1027" i="7"/>
  <c r="A1028" i="7"/>
  <c r="A1029" i="7"/>
  <c r="A1030" i="7"/>
  <c r="A1031" i="7"/>
  <c r="A1032" i="7"/>
  <c r="A1033" i="7"/>
  <c r="A1034" i="7"/>
  <c r="A1035" i="7"/>
  <c r="A1036" i="7"/>
  <c r="A1037" i="7"/>
  <c r="A1038" i="7"/>
  <c r="A1039" i="7"/>
  <c r="A1040" i="7"/>
  <c r="A1041" i="7"/>
  <c r="A1042" i="7"/>
  <c r="A1043" i="7"/>
  <c r="A1044" i="7"/>
  <c r="A1045" i="7"/>
  <c r="A1046" i="7"/>
  <c r="A1047" i="7"/>
  <c r="A1048" i="7"/>
  <c r="A1049" i="7"/>
  <c r="A1050" i="7"/>
  <c r="A1051" i="7"/>
  <c r="A1052" i="7"/>
  <c r="A1053" i="7"/>
  <c r="A1054" i="7"/>
  <c r="A1055" i="7"/>
  <c r="A1056" i="7"/>
  <c r="A1057" i="7"/>
  <c r="A1058" i="7"/>
  <c r="A1059" i="7"/>
  <c r="A1060" i="7"/>
  <c r="A1061" i="7"/>
  <c r="A1062" i="7"/>
  <c r="A1063" i="7"/>
  <c r="A1064" i="7"/>
  <c r="A1065" i="7"/>
  <c r="A1066" i="7"/>
  <c r="A1067" i="7"/>
  <c r="A1068" i="7"/>
  <c r="A1069" i="7"/>
  <c r="A1070" i="7"/>
  <c r="A1071" i="7"/>
  <c r="A1072" i="7"/>
  <c r="A1073" i="7"/>
  <c r="A1074" i="7"/>
  <c r="A1075" i="7"/>
  <c r="A1076" i="7"/>
  <c r="A1077" i="7"/>
  <c r="A1078" i="7"/>
  <c r="A1079" i="7"/>
  <c r="A1080" i="7"/>
  <c r="A1081" i="7"/>
  <c r="A1082" i="7"/>
  <c r="A1083" i="7"/>
  <c r="A1084" i="7"/>
  <c r="A1085" i="7"/>
  <c r="A1086" i="7"/>
  <c r="A1087" i="7"/>
  <c r="A1088" i="7"/>
  <c r="A1089" i="7"/>
  <c r="A1090" i="7"/>
  <c r="A1091" i="7"/>
  <c r="A1092" i="7"/>
  <c r="A1093" i="7"/>
  <c r="A1094" i="7"/>
  <c r="A1095" i="7"/>
  <c r="A1096" i="7"/>
  <c r="A1097" i="7"/>
  <c r="A1098" i="7"/>
  <c r="A1099" i="7"/>
  <c r="A1100" i="7"/>
  <c r="A1101" i="7"/>
  <c r="A1102" i="7"/>
  <c r="A1103" i="7"/>
  <c r="A1104" i="7"/>
  <c r="A1105" i="7"/>
  <c r="A1106" i="7"/>
  <c r="A1107" i="7"/>
  <c r="A1108" i="7"/>
  <c r="A1109" i="7"/>
  <c r="A1110" i="7"/>
  <c r="A1111" i="7"/>
  <c r="A1112" i="7"/>
  <c r="A1113" i="7"/>
  <c r="A1114" i="7"/>
  <c r="A1115" i="7"/>
  <c r="A1116" i="7"/>
  <c r="A1117" i="7"/>
  <c r="A1118" i="7"/>
  <c r="A1119" i="7"/>
  <c r="A1120" i="7"/>
  <c r="A1121" i="7"/>
  <c r="A1122" i="7"/>
  <c r="A1123" i="7"/>
  <c r="A1124" i="7"/>
  <c r="A1125" i="7"/>
  <c r="A1126" i="7"/>
  <c r="A1127" i="7"/>
  <c r="A1128" i="7"/>
  <c r="A1129" i="7"/>
  <c r="A1130" i="7"/>
  <c r="A1131" i="7"/>
  <c r="A1132" i="7"/>
  <c r="A1133" i="7"/>
  <c r="A1134" i="7"/>
  <c r="A1135" i="7"/>
  <c r="A1136" i="7"/>
  <c r="A1137" i="7"/>
  <c r="A1138" i="7"/>
  <c r="A1139" i="7"/>
  <c r="A1140" i="7"/>
  <c r="A1141" i="7"/>
  <c r="A1142" i="7"/>
  <c r="A1143" i="7"/>
  <c r="A1144" i="7"/>
  <c r="A1145" i="7"/>
  <c r="A1146" i="7"/>
  <c r="A1147" i="7"/>
  <c r="A1148" i="7"/>
  <c r="A1149" i="7"/>
  <c r="A1150" i="7"/>
  <c r="A1151" i="7"/>
  <c r="A1152" i="7"/>
  <c r="A1153" i="7"/>
  <c r="A1154" i="7"/>
  <c r="A1155" i="7"/>
  <c r="A1156" i="7"/>
  <c r="A1157" i="7"/>
  <c r="A1158" i="7"/>
  <c r="A1159" i="7"/>
  <c r="A1160" i="7"/>
  <c r="A1161" i="7"/>
  <c r="A1162" i="7"/>
  <c r="A1163" i="7"/>
  <c r="A1164" i="7"/>
  <c r="A1165" i="7"/>
  <c r="A1166" i="7"/>
  <c r="A1167" i="7"/>
  <c r="A1168" i="7"/>
  <c r="A1169" i="7"/>
  <c r="A1170" i="7"/>
  <c r="A1171" i="7"/>
  <c r="A1172" i="7"/>
  <c r="A1173" i="7"/>
  <c r="A1174" i="7"/>
  <c r="A1175" i="7"/>
  <c r="A1176" i="7"/>
  <c r="A1177" i="7"/>
  <c r="A3" i="7"/>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3" i="1"/>
  <c r="L17" i="7"/>
  <c r="AB17" i="7"/>
  <c r="AC17" i="7"/>
  <c r="AD17" i="7"/>
  <c r="AB18" i="7"/>
  <c r="AC18" i="7"/>
  <c r="AD18" i="7"/>
  <c r="AB19" i="7"/>
  <c r="AC19" i="7"/>
  <c r="AD19" i="7"/>
  <c r="AB20" i="7"/>
  <c r="AC20" i="7"/>
  <c r="AD20" i="7"/>
  <c r="AB21" i="7"/>
  <c r="AC21" i="7"/>
  <c r="AD21" i="7"/>
  <c r="AB22" i="7"/>
  <c r="AC22" i="7"/>
  <c r="AD22" i="7"/>
  <c r="AB23" i="7"/>
  <c r="AC23" i="7"/>
  <c r="AD23" i="7"/>
  <c r="AB24" i="7"/>
  <c r="AC24" i="7"/>
  <c r="AD24" i="7"/>
  <c r="AB25" i="7"/>
  <c r="AC25" i="7"/>
  <c r="AD25" i="7"/>
  <c r="AB26" i="7"/>
  <c r="AC26" i="7"/>
  <c r="AD26" i="7"/>
  <c r="AB27" i="7"/>
  <c r="AC27" i="7"/>
  <c r="AD27" i="7"/>
  <c r="AB28" i="7"/>
  <c r="AC28" i="7"/>
  <c r="AD28" i="7"/>
  <c r="AB29" i="7"/>
  <c r="AC29" i="7"/>
  <c r="AD29" i="7"/>
  <c r="AB30" i="7"/>
  <c r="AC30" i="7"/>
  <c r="AD30" i="7"/>
  <c r="AB31" i="7"/>
  <c r="AC31" i="7"/>
  <c r="AD31" i="7"/>
  <c r="AB32" i="7"/>
  <c r="AC32" i="7"/>
  <c r="AD32" i="7"/>
  <c r="AB33" i="7"/>
  <c r="AC33" i="7"/>
  <c r="AD33" i="7"/>
  <c r="AB34" i="7"/>
  <c r="AC34" i="7"/>
  <c r="AD34" i="7"/>
  <c r="AB35" i="7"/>
  <c r="AC35" i="7"/>
  <c r="AD35" i="7"/>
  <c r="AB36" i="7"/>
  <c r="AC36" i="7"/>
  <c r="AD36" i="7"/>
  <c r="AB37" i="7"/>
  <c r="AC37" i="7"/>
  <c r="AD37" i="7"/>
  <c r="AB38" i="7"/>
  <c r="AC38" i="7"/>
  <c r="AD38" i="7"/>
  <c r="AB39" i="7"/>
  <c r="AC39" i="7"/>
  <c r="AD39" i="7"/>
  <c r="AB40" i="7"/>
  <c r="AC40" i="7"/>
  <c r="AD40" i="7"/>
  <c r="AB41" i="7"/>
  <c r="AC41" i="7"/>
  <c r="AD41" i="7"/>
  <c r="AB42" i="7"/>
  <c r="AC42" i="7"/>
  <c r="AD42" i="7"/>
  <c r="AB43" i="7"/>
  <c r="AC43" i="7"/>
  <c r="AD43" i="7"/>
  <c r="AB44" i="7"/>
  <c r="AC44" i="7"/>
  <c r="AD44" i="7"/>
  <c r="AB45" i="7"/>
  <c r="AC45" i="7"/>
  <c r="AD45" i="7"/>
  <c r="AB46" i="7"/>
  <c r="AC46" i="7"/>
  <c r="AD46" i="7"/>
  <c r="AB47" i="7"/>
  <c r="AC47" i="7"/>
  <c r="AD47" i="7"/>
  <c r="AB48" i="7"/>
  <c r="AC48" i="7"/>
  <c r="AD48" i="7"/>
  <c r="AB49" i="7"/>
  <c r="AC49" i="7"/>
  <c r="AD49" i="7"/>
  <c r="AB50" i="7"/>
  <c r="AC50" i="7"/>
  <c r="AD50" i="7"/>
  <c r="AB51" i="7"/>
  <c r="AC51" i="7"/>
  <c r="AD51" i="7"/>
  <c r="AB52" i="7"/>
  <c r="AC52" i="7"/>
  <c r="AD52" i="7"/>
  <c r="AB53" i="7"/>
  <c r="AC53" i="7"/>
  <c r="AD5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S1033" i="7"/>
  <c r="S1034" i="7"/>
  <c r="S1035" i="7"/>
  <c r="S1036" i="7"/>
  <c r="S1037" i="7"/>
  <c r="S1038" i="7"/>
  <c r="S1039" i="7"/>
  <c r="S1040" i="7"/>
  <c r="S1041" i="7"/>
  <c r="S1042" i="7"/>
  <c r="S1043" i="7"/>
  <c r="S1044" i="7"/>
  <c r="S1045" i="7"/>
  <c r="S1046" i="7"/>
  <c r="S1047" i="7"/>
  <c r="S1048" i="7"/>
  <c r="S1049" i="7"/>
  <c r="S1050" i="7"/>
  <c r="S1051" i="7"/>
  <c r="S1052" i="7"/>
  <c r="S1053" i="7"/>
  <c r="S1054" i="7"/>
  <c r="S1055" i="7"/>
  <c r="S1056" i="7"/>
  <c r="S1057" i="7"/>
  <c r="S1058" i="7"/>
  <c r="S1059" i="7"/>
  <c r="S1060" i="7"/>
  <c r="S1061" i="7"/>
  <c r="S1062" i="7"/>
  <c r="S1063" i="7"/>
  <c r="S1064" i="7"/>
  <c r="S1065" i="7"/>
  <c r="S1066" i="7"/>
  <c r="S1067" i="7"/>
  <c r="S1068" i="7"/>
  <c r="S1069" i="7"/>
  <c r="S1070" i="7"/>
  <c r="S1071" i="7"/>
  <c r="S1072" i="7"/>
  <c r="S1073" i="7"/>
  <c r="S1074" i="7"/>
  <c r="S1075" i="7"/>
  <c r="S1076" i="7"/>
  <c r="S1077" i="7"/>
  <c r="S1078" i="7"/>
  <c r="S1079" i="7"/>
  <c r="S1080" i="7"/>
  <c r="S1081" i="7"/>
  <c r="S1082" i="7"/>
  <c r="S1083" i="7"/>
  <c r="S1084" i="7"/>
  <c r="S1085" i="7"/>
  <c r="S1086" i="7"/>
  <c r="S1087" i="7"/>
  <c r="S1088" i="7"/>
  <c r="S1089" i="7"/>
  <c r="S1090" i="7"/>
  <c r="S1091" i="7"/>
  <c r="S1092" i="7"/>
  <c r="S1093" i="7"/>
  <c r="S1094" i="7"/>
  <c r="S1095" i="7"/>
  <c r="S1096" i="7"/>
  <c r="S1097" i="7"/>
  <c r="S1098" i="7"/>
  <c r="S1099" i="7"/>
  <c r="S1100" i="7"/>
  <c r="S1101" i="7"/>
  <c r="S1102" i="7"/>
  <c r="S1103" i="7"/>
  <c r="S1104" i="7"/>
  <c r="S1105" i="7"/>
  <c r="S1106" i="7"/>
  <c r="S1107" i="7"/>
  <c r="S1108" i="7"/>
  <c r="S1109" i="7"/>
  <c r="S1110" i="7"/>
  <c r="S1111" i="7"/>
  <c r="S1112" i="7"/>
  <c r="S1113" i="7"/>
  <c r="S1114" i="7"/>
  <c r="S1115" i="7"/>
  <c r="S1116" i="7"/>
  <c r="S1117" i="7"/>
  <c r="S1118" i="7"/>
  <c r="S1119" i="7"/>
  <c r="S1120" i="7"/>
  <c r="S1121" i="7"/>
  <c r="S1122" i="7"/>
  <c r="S1123" i="7"/>
  <c r="S1124" i="7"/>
  <c r="S1125" i="7"/>
  <c r="S1126" i="7"/>
  <c r="S1127" i="7"/>
  <c r="S1128" i="7"/>
  <c r="S1129" i="7"/>
  <c r="S1130" i="7"/>
  <c r="S1131" i="7"/>
  <c r="S1132" i="7"/>
  <c r="S1133" i="7"/>
  <c r="S1134" i="7"/>
  <c r="S1135" i="7"/>
  <c r="S1136" i="7"/>
  <c r="S1137" i="7"/>
  <c r="S1138" i="7"/>
  <c r="S1139" i="7"/>
  <c r="S1140" i="7"/>
  <c r="S1141" i="7"/>
  <c r="S1142" i="7"/>
  <c r="S1143" i="7"/>
  <c r="S1144" i="7"/>
  <c r="S1145" i="7"/>
  <c r="S1146" i="7"/>
  <c r="S1147" i="7"/>
  <c r="S1148" i="7"/>
  <c r="S1149" i="7"/>
  <c r="S1150" i="7"/>
  <c r="S1151" i="7"/>
  <c r="S1152" i="7"/>
  <c r="S1153" i="7"/>
  <c r="S1154" i="7"/>
  <c r="S1155" i="7"/>
  <c r="S1156" i="7"/>
  <c r="S1157" i="7"/>
  <c r="S1158" i="7"/>
  <c r="S1159" i="7"/>
  <c r="S1160" i="7"/>
  <c r="S1161" i="7"/>
  <c r="S1162" i="7"/>
  <c r="S1163" i="7"/>
  <c r="S1164" i="7"/>
  <c r="S1165" i="7"/>
  <c r="S1166" i="7"/>
  <c r="S1167" i="7"/>
  <c r="S1168" i="7"/>
  <c r="S1169" i="7"/>
  <c r="S1170" i="7"/>
  <c r="S1171" i="7"/>
  <c r="S1172" i="7"/>
  <c r="S1173" i="7"/>
  <c r="S1174" i="7"/>
  <c r="S1175" i="7"/>
  <c r="S1176" i="7"/>
  <c r="S1177" i="7"/>
  <c r="S3" i="7"/>
  <c r="V136" i="1"/>
  <c r="Y136" i="1"/>
  <c r="X136" i="1"/>
  <c r="V151" i="1"/>
  <c r="Y151" i="1"/>
  <c r="X151" i="1"/>
  <c r="V152" i="1"/>
  <c r="Y152" i="1"/>
  <c r="X152" i="1"/>
  <c r="V157" i="1"/>
  <c r="Y157" i="1"/>
  <c r="X157" i="1"/>
  <c r="V162" i="1"/>
  <c r="Y162" i="1"/>
  <c r="X162" i="1"/>
  <c r="V167" i="1"/>
  <c r="Y167" i="1"/>
  <c r="X167" i="1"/>
  <c r="V172" i="1"/>
  <c r="Y172" i="1"/>
  <c r="X172" i="1"/>
  <c r="V177" i="1"/>
  <c r="Y177" i="1"/>
  <c r="X177" i="1"/>
  <c r="V182" i="1"/>
  <c r="Y182" i="1"/>
  <c r="X182" i="1"/>
  <c r="V187" i="1"/>
  <c r="Y187" i="1"/>
  <c r="X187" i="1"/>
  <c r="V192" i="1"/>
  <c r="Y192" i="1"/>
  <c r="X192" i="1"/>
  <c r="V197" i="1"/>
  <c r="Y197" i="1"/>
  <c r="X197" i="1"/>
  <c r="V204" i="1"/>
  <c r="Y204" i="1"/>
  <c r="X204" i="1"/>
  <c r="V209" i="1"/>
  <c r="Y209" i="1"/>
  <c r="X209" i="1"/>
  <c r="V214" i="1"/>
  <c r="Y214" i="1"/>
  <c r="X214" i="1"/>
  <c r="V219" i="1"/>
  <c r="Y219" i="1"/>
  <c r="X219" i="1"/>
  <c r="V224" i="1"/>
  <c r="Y224" i="1"/>
  <c r="X224" i="1"/>
  <c r="V229" i="1"/>
  <c r="Y229" i="1"/>
  <c r="X229" i="1"/>
  <c r="V234" i="1"/>
  <c r="Y234" i="1"/>
  <c r="X234" i="1"/>
  <c r="V239" i="1"/>
  <c r="Y239" i="1"/>
  <c r="X239" i="1"/>
  <c r="V244" i="1"/>
  <c r="Y244" i="1"/>
  <c r="X244" i="1"/>
  <c r="V249" i="1"/>
  <c r="Y249" i="1"/>
  <c r="X249" i="1"/>
  <c r="V254" i="1"/>
  <c r="Y254" i="1"/>
  <c r="X254" i="1"/>
  <c r="V259" i="1"/>
  <c r="Y259" i="1"/>
  <c r="X259" i="1"/>
  <c r="V264" i="1"/>
  <c r="Y264" i="1"/>
  <c r="X264" i="1"/>
  <c r="V269" i="1"/>
  <c r="Y269" i="1"/>
  <c r="X269" i="1"/>
  <c r="V274" i="1"/>
  <c r="Y274" i="1"/>
  <c r="X274" i="1"/>
  <c r="V279" i="1"/>
  <c r="Y279" i="1"/>
  <c r="X279" i="1"/>
  <c r="V284" i="1"/>
  <c r="Y284" i="1"/>
  <c r="X284" i="1"/>
  <c r="V289" i="1"/>
  <c r="Y289" i="1"/>
  <c r="X289" i="1"/>
  <c r="V294" i="1"/>
  <c r="Y294" i="1"/>
  <c r="X294" i="1"/>
  <c r="V299" i="1"/>
  <c r="Y299" i="1"/>
  <c r="X299" i="1"/>
  <c r="V304" i="1"/>
  <c r="Y304" i="1"/>
  <c r="X304" i="1"/>
  <c r="V309" i="1"/>
  <c r="Y309" i="1"/>
  <c r="X309" i="1"/>
  <c r="V314" i="1"/>
  <c r="Y314" i="1"/>
  <c r="X314" i="1"/>
  <c r="V319" i="1"/>
  <c r="Y319" i="1"/>
  <c r="X319" i="1"/>
  <c r="V324" i="1"/>
  <c r="Y324" i="1"/>
  <c r="X324" i="1"/>
  <c r="V329" i="1"/>
  <c r="Y329" i="1"/>
  <c r="X329" i="1"/>
  <c r="V334" i="1"/>
  <c r="Y334" i="1"/>
  <c r="X334" i="1"/>
  <c r="V339" i="1"/>
  <c r="Y339" i="1"/>
  <c r="X339" i="1"/>
  <c r="V344" i="1"/>
  <c r="Y344" i="1"/>
  <c r="X344" i="1"/>
  <c r="V349" i="1"/>
  <c r="Y349" i="1"/>
  <c r="X349" i="1"/>
  <c r="V354" i="1"/>
  <c r="Y354" i="1"/>
  <c r="X354" i="1"/>
  <c r="V359" i="1"/>
  <c r="Y359" i="1"/>
  <c r="X359" i="1"/>
  <c r="V364" i="1"/>
  <c r="Y364" i="1"/>
  <c r="X364" i="1"/>
  <c r="V369" i="1"/>
  <c r="Y369" i="1"/>
  <c r="X369" i="1"/>
  <c r="V374" i="1"/>
  <c r="Y374" i="1"/>
  <c r="X374" i="1"/>
  <c r="V379" i="1"/>
  <c r="Y379" i="1"/>
  <c r="X379" i="1"/>
  <c r="V384" i="1"/>
  <c r="Y384" i="1"/>
  <c r="X384" i="1"/>
  <c r="V389" i="1"/>
  <c r="Y389" i="1"/>
  <c r="X389" i="1"/>
  <c r="V394" i="1"/>
  <c r="Y394" i="1"/>
  <c r="X394" i="1"/>
  <c r="V399" i="1"/>
  <c r="Y399" i="1"/>
  <c r="X399" i="1"/>
  <c r="V404" i="1"/>
  <c r="Y404" i="1"/>
  <c r="X404" i="1"/>
  <c r="V409" i="1"/>
  <c r="Y409" i="1"/>
  <c r="X409" i="1"/>
  <c r="V414" i="1"/>
  <c r="Y414" i="1"/>
  <c r="X414" i="1"/>
  <c r="V419" i="1"/>
  <c r="Y419" i="1"/>
  <c r="X419" i="1"/>
  <c r="V424" i="1"/>
  <c r="Y424" i="1"/>
  <c r="X424" i="1"/>
  <c r="V429" i="1"/>
  <c r="Y429" i="1"/>
  <c r="X429" i="1"/>
  <c r="V434" i="1"/>
  <c r="Y434" i="1"/>
  <c r="X434" i="1"/>
  <c r="V439" i="1"/>
  <c r="Y439" i="1"/>
  <c r="X439" i="1"/>
  <c r="V444" i="1"/>
  <c r="Y444" i="1"/>
  <c r="X444" i="1"/>
  <c r="V449" i="1"/>
  <c r="Y449" i="1"/>
  <c r="X449" i="1"/>
  <c r="V454" i="1"/>
  <c r="Y454" i="1"/>
  <c r="X454" i="1"/>
  <c r="V459" i="1"/>
  <c r="Y459" i="1"/>
  <c r="X459" i="1"/>
  <c r="V464" i="1"/>
  <c r="Y464" i="1"/>
  <c r="X464" i="1"/>
  <c r="V469" i="1"/>
  <c r="Y469" i="1"/>
  <c r="X469" i="1"/>
  <c r="V474" i="1"/>
  <c r="Y474" i="1"/>
  <c r="X474" i="1"/>
  <c r="V479" i="1"/>
  <c r="Y479" i="1"/>
  <c r="X479" i="1"/>
  <c r="V484" i="1"/>
  <c r="Y484" i="1"/>
  <c r="X484" i="1"/>
  <c r="V489" i="1"/>
  <c r="Y489" i="1"/>
  <c r="X489" i="1"/>
  <c r="V494" i="1"/>
  <c r="Y494" i="1"/>
  <c r="X494" i="1"/>
  <c r="V499" i="1"/>
  <c r="Y499" i="1"/>
  <c r="X499" i="1"/>
  <c r="V504" i="1"/>
  <c r="Y504" i="1"/>
  <c r="X504" i="1"/>
  <c r="V509" i="1"/>
  <c r="Y509" i="1"/>
  <c r="X509" i="1"/>
  <c r="V514" i="1"/>
  <c r="Y514" i="1"/>
  <c r="X514" i="1"/>
  <c r="V519" i="1"/>
  <c r="Y519" i="1"/>
  <c r="X519" i="1"/>
  <c r="V524" i="1"/>
  <c r="Y524" i="1"/>
  <c r="X524" i="1"/>
  <c r="V529" i="1"/>
  <c r="Y529" i="1"/>
  <c r="X529" i="1"/>
  <c r="V534" i="1"/>
  <c r="Y534" i="1"/>
  <c r="X534" i="1"/>
  <c r="V539" i="1"/>
  <c r="Y539" i="1"/>
  <c r="X539" i="1"/>
  <c r="V544" i="1"/>
  <c r="Y544" i="1"/>
  <c r="X544" i="1"/>
  <c r="V549" i="1"/>
  <c r="Y549" i="1"/>
  <c r="X549" i="1"/>
  <c r="V554" i="1"/>
  <c r="Y554" i="1"/>
  <c r="X554" i="1"/>
  <c r="V559" i="1"/>
  <c r="Y559" i="1"/>
  <c r="X559" i="1"/>
  <c r="V564" i="1"/>
  <c r="Y564" i="1"/>
  <c r="X564" i="1"/>
  <c r="V569" i="1"/>
  <c r="Y569" i="1"/>
  <c r="X569" i="1"/>
  <c r="V574" i="1"/>
  <c r="Y574" i="1"/>
  <c r="X574" i="1"/>
  <c r="V579" i="1"/>
  <c r="Y579" i="1"/>
  <c r="X579" i="1"/>
  <c r="V584" i="1"/>
  <c r="Y584" i="1"/>
  <c r="X584" i="1"/>
  <c r="V589" i="1"/>
  <c r="Y589" i="1"/>
  <c r="X589" i="1"/>
  <c r="V594" i="1"/>
  <c r="Y594" i="1"/>
  <c r="X594" i="1"/>
  <c r="V599" i="1"/>
  <c r="Y599" i="1"/>
  <c r="X599" i="1"/>
  <c r="V604" i="1"/>
  <c r="Y604" i="1"/>
  <c r="X604" i="1"/>
  <c r="V609" i="1"/>
  <c r="Y609" i="1"/>
  <c r="X609" i="1"/>
  <c r="V614" i="1"/>
  <c r="Y614" i="1"/>
  <c r="X614" i="1"/>
  <c r="V619" i="1"/>
  <c r="Y619" i="1"/>
  <c r="X619" i="1"/>
  <c r="V624" i="1"/>
  <c r="Y624" i="1"/>
  <c r="X624" i="1"/>
  <c r="V629" i="1"/>
  <c r="Y629" i="1"/>
  <c r="X629" i="1"/>
  <c r="V634" i="1"/>
  <c r="Y634" i="1"/>
  <c r="X634" i="1"/>
  <c r="V639" i="1"/>
  <c r="Y639" i="1"/>
  <c r="X639" i="1"/>
  <c r="V644" i="1"/>
  <c r="Y644" i="1"/>
  <c r="X644" i="1"/>
  <c r="V649" i="1"/>
  <c r="Y649" i="1"/>
  <c r="X649" i="1"/>
  <c r="V654" i="1"/>
  <c r="Y654" i="1"/>
  <c r="X654" i="1"/>
  <c r="V659" i="1"/>
  <c r="Y659" i="1"/>
  <c r="X659" i="1"/>
  <c r="V664" i="1"/>
  <c r="Y664" i="1"/>
  <c r="X664" i="1"/>
  <c r="V669" i="1"/>
  <c r="Y669" i="1"/>
  <c r="X669" i="1"/>
  <c r="V674" i="1"/>
  <c r="Y674" i="1"/>
  <c r="X674" i="1"/>
  <c r="V679" i="1"/>
  <c r="Y679" i="1"/>
  <c r="X679" i="1"/>
  <c r="V684" i="1"/>
  <c r="Y684" i="1"/>
  <c r="X684" i="1"/>
  <c r="V689" i="1"/>
  <c r="Y689" i="1"/>
  <c r="X689" i="1"/>
  <c r="V694" i="1"/>
  <c r="Y694" i="1"/>
  <c r="X694" i="1"/>
  <c r="V699" i="1"/>
  <c r="Y699" i="1"/>
  <c r="X699" i="1"/>
  <c r="V710" i="1"/>
  <c r="Y710" i="1"/>
  <c r="X710" i="1"/>
  <c r="V715" i="1"/>
  <c r="Y715" i="1"/>
  <c r="X715" i="1"/>
  <c r="V720" i="1"/>
  <c r="Y720" i="1"/>
  <c r="X720" i="1"/>
  <c r="V725" i="1"/>
  <c r="Y725" i="1"/>
  <c r="X725" i="1"/>
  <c r="V730" i="1"/>
  <c r="Y730" i="1"/>
  <c r="X730" i="1"/>
  <c r="V735" i="1"/>
  <c r="Y735" i="1"/>
  <c r="X735" i="1"/>
  <c r="V740" i="1"/>
  <c r="Y740" i="1"/>
  <c r="X740" i="1"/>
  <c r="V745" i="1"/>
  <c r="Y745" i="1"/>
  <c r="X745" i="1"/>
  <c r="V750" i="1"/>
  <c r="Y750" i="1"/>
  <c r="X750" i="1"/>
  <c r="V755" i="1"/>
  <c r="Y755" i="1"/>
  <c r="X755" i="1"/>
  <c r="V762" i="1"/>
  <c r="Y762" i="1"/>
  <c r="X762" i="1"/>
  <c r="V767" i="1"/>
  <c r="Y767" i="1"/>
  <c r="X767" i="1"/>
  <c r="V772" i="1"/>
  <c r="Y772" i="1"/>
  <c r="X772" i="1"/>
  <c r="V777" i="1"/>
  <c r="Y777" i="1"/>
  <c r="X777" i="1"/>
  <c r="V782" i="1"/>
  <c r="Y782" i="1"/>
  <c r="X782" i="1"/>
  <c r="V787" i="1"/>
  <c r="Y787" i="1"/>
  <c r="X787" i="1"/>
  <c r="V792" i="1"/>
  <c r="Y792" i="1"/>
  <c r="X792" i="1"/>
  <c r="V797" i="1"/>
  <c r="Y797" i="1"/>
  <c r="X797" i="1"/>
  <c r="V802" i="1"/>
  <c r="Y802" i="1"/>
  <c r="X802" i="1"/>
  <c r="V807" i="1"/>
  <c r="Y807" i="1"/>
  <c r="X807" i="1"/>
  <c r="V812" i="1"/>
  <c r="Y812" i="1"/>
  <c r="X812" i="1"/>
  <c r="V817" i="1"/>
  <c r="Y817" i="1"/>
  <c r="X817" i="1"/>
  <c r="V822" i="1"/>
  <c r="Y822" i="1"/>
  <c r="X822" i="1"/>
  <c r="V827" i="1"/>
  <c r="Y827" i="1"/>
  <c r="X827" i="1"/>
  <c r="V832" i="1"/>
  <c r="Y832" i="1"/>
  <c r="X832" i="1"/>
  <c r="V837" i="1"/>
  <c r="Y837" i="1"/>
  <c r="X837" i="1"/>
  <c r="V842" i="1"/>
  <c r="Y842" i="1"/>
  <c r="X842" i="1"/>
  <c r="V847" i="1"/>
  <c r="Y847" i="1"/>
  <c r="X847" i="1"/>
  <c r="V852" i="1"/>
  <c r="Y852" i="1"/>
  <c r="X852" i="1"/>
  <c r="V857" i="1"/>
  <c r="Y857" i="1"/>
  <c r="X857" i="1"/>
  <c r="V862" i="1"/>
  <c r="Y862" i="1"/>
  <c r="X862" i="1"/>
  <c r="V867" i="1"/>
  <c r="Y867" i="1"/>
  <c r="X867" i="1"/>
  <c r="V872" i="1"/>
  <c r="Y872" i="1"/>
  <c r="X872" i="1"/>
  <c r="V877" i="1"/>
  <c r="Y877" i="1"/>
  <c r="X877" i="1"/>
  <c r="V882" i="1"/>
  <c r="Y882" i="1"/>
  <c r="X882" i="1"/>
  <c r="V887" i="1"/>
  <c r="Y887" i="1"/>
  <c r="X887" i="1"/>
  <c r="V892" i="1"/>
  <c r="Y892" i="1"/>
  <c r="X892" i="1"/>
  <c r="V897" i="1"/>
  <c r="Y897" i="1"/>
  <c r="X897" i="1"/>
  <c r="V902" i="1"/>
  <c r="Y902" i="1"/>
  <c r="X902" i="1"/>
  <c r="V907" i="1"/>
  <c r="Y907" i="1"/>
  <c r="X907" i="1"/>
  <c r="V912" i="1"/>
  <c r="Y912" i="1"/>
  <c r="X912" i="1"/>
  <c r="V917" i="1"/>
  <c r="Y917" i="1"/>
  <c r="X917" i="1"/>
  <c r="V922" i="1"/>
  <c r="Y922" i="1"/>
  <c r="X922" i="1"/>
  <c r="V927" i="1"/>
  <c r="Y927" i="1"/>
  <c r="X927" i="1"/>
  <c r="V932" i="1"/>
  <c r="Y932" i="1"/>
  <c r="X932" i="1"/>
  <c r="V937" i="1"/>
  <c r="Y937" i="1"/>
  <c r="X937" i="1"/>
  <c r="V942" i="1"/>
  <c r="Y942" i="1"/>
  <c r="X942" i="1"/>
  <c r="V947" i="1"/>
  <c r="Y947" i="1"/>
  <c r="X947" i="1"/>
  <c r="V952" i="1"/>
  <c r="Y952" i="1"/>
  <c r="X952" i="1"/>
  <c r="V957" i="1"/>
  <c r="Y957" i="1"/>
  <c r="X957" i="1"/>
  <c r="V962" i="1"/>
  <c r="Y962" i="1"/>
  <c r="X962" i="1"/>
  <c r="V967" i="1"/>
  <c r="Y967" i="1"/>
  <c r="X967" i="1"/>
  <c r="V972" i="1"/>
  <c r="Y972" i="1"/>
  <c r="X972" i="1"/>
  <c r="V977" i="1"/>
  <c r="Y977" i="1"/>
  <c r="X977" i="1"/>
  <c r="V982" i="1"/>
  <c r="Y982" i="1"/>
  <c r="X982" i="1"/>
  <c r="V987" i="1"/>
  <c r="Y987" i="1"/>
  <c r="X987" i="1"/>
  <c r="V992" i="1"/>
  <c r="Y992" i="1"/>
  <c r="X992" i="1"/>
  <c r="V997" i="1"/>
  <c r="Y997" i="1"/>
  <c r="X997" i="1"/>
  <c r="V1002" i="1"/>
  <c r="Y1002" i="1"/>
  <c r="X1002" i="1"/>
  <c r="V1007" i="1"/>
  <c r="Y1007" i="1"/>
  <c r="X1007" i="1"/>
  <c r="V1012" i="1"/>
  <c r="Y1012" i="1"/>
  <c r="X1012" i="1"/>
  <c r="V1017" i="1"/>
  <c r="Y1017" i="1"/>
  <c r="X1017" i="1"/>
  <c r="V1022" i="1"/>
  <c r="Y1022" i="1"/>
  <c r="X1022" i="1"/>
  <c r="V1027" i="1"/>
  <c r="Y1027" i="1"/>
  <c r="X1027" i="1"/>
  <c r="V1032" i="1"/>
  <c r="Y1032" i="1"/>
  <c r="X1032" i="1"/>
  <c r="V1037" i="1"/>
  <c r="Y1037" i="1"/>
  <c r="X1037" i="1"/>
  <c r="V1042" i="1"/>
  <c r="Y1042" i="1"/>
  <c r="X1042" i="1"/>
  <c r="V1047" i="1"/>
  <c r="Y1047" i="1"/>
  <c r="X1047" i="1"/>
  <c r="V1052" i="1"/>
  <c r="Y1052" i="1"/>
  <c r="X1052" i="1"/>
  <c r="V1057" i="1"/>
  <c r="Y1057" i="1"/>
  <c r="X1057" i="1"/>
  <c r="V1062" i="1"/>
  <c r="Y1062" i="1"/>
  <c r="X1062" i="1"/>
  <c r="V1074" i="1"/>
  <c r="Y1074" i="1"/>
  <c r="X1074" i="1"/>
  <c r="V1076" i="1"/>
  <c r="Y1076" i="1"/>
  <c r="X1076" i="1"/>
  <c r="V1174" i="1"/>
  <c r="Y1174" i="1"/>
  <c r="X1174" i="1"/>
  <c r="V122" i="1"/>
  <c r="Y122" i="1"/>
  <c r="X122" i="1"/>
  <c r="V149" i="1"/>
  <c r="Y149" i="1"/>
  <c r="X149" i="1"/>
  <c r="V153" i="1"/>
  <c r="Y153" i="1"/>
  <c r="X153" i="1"/>
  <c r="V158" i="1"/>
  <c r="Y158" i="1"/>
  <c r="X158" i="1"/>
  <c r="V163" i="1"/>
  <c r="Y163" i="1"/>
  <c r="X163" i="1"/>
  <c r="V168" i="1"/>
  <c r="Y168" i="1"/>
  <c r="X168" i="1"/>
  <c r="V173" i="1"/>
  <c r="Y173" i="1"/>
  <c r="X173" i="1"/>
  <c r="V178" i="1"/>
  <c r="Y178" i="1"/>
  <c r="X178" i="1"/>
  <c r="V183" i="1"/>
  <c r="Y183" i="1"/>
  <c r="X183" i="1"/>
  <c r="V188" i="1"/>
  <c r="Y188" i="1"/>
  <c r="X188" i="1"/>
  <c r="V193" i="1"/>
  <c r="Y193" i="1"/>
  <c r="X193" i="1"/>
  <c r="V198" i="1"/>
  <c r="Y198" i="1"/>
  <c r="X198" i="1"/>
  <c r="V205" i="1"/>
  <c r="Y205" i="1"/>
  <c r="X205" i="1"/>
  <c r="V210" i="1"/>
  <c r="Y210" i="1"/>
  <c r="X210" i="1"/>
  <c r="V215" i="1"/>
  <c r="Y215" i="1"/>
  <c r="X215" i="1"/>
  <c r="V220" i="1"/>
  <c r="Y220" i="1"/>
  <c r="X220" i="1"/>
  <c r="V225" i="1"/>
  <c r="Y225" i="1"/>
  <c r="X225" i="1"/>
  <c r="V230" i="1"/>
  <c r="Y230" i="1"/>
  <c r="X230" i="1"/>
  <c r="V235" i="1"/>
  <c r="Y235" i="1"/>
  <c r="X235" i="1"/>
  <c r="V240" i="1"/>
  <c r="Y240" i="1"/>
  <c r="X240" i="1"/>
  <c r="V245" i="1"/>
  <c r="Y245" i="1"/>
  <c r="X245" i="1"/>
  <c r="V250" i="1"/>
  <c r="Y250" i="1"/>
  <c r="X250" i="1"/>
  <c r="V255" i="1"/>
  <c r="Y255" i="1"/>
  <c r="X255" i="1"/>
  <c r="V260" i="1"/>
  <c r="Y260" i="1"/>
  <c r="X260" i="1"/>
  <c r="V265" i="1"/>
  <c r="Y265" i="1"/>
  <c r="X265" i="1"/>
  <c r="V270" i="1"/>
  <c r="Y270" i="1"/>
  <c r="X270" i="1"/>
  <c r="V275" i="1"/>
  <c r="Y275" i="1"/>
  <c r="X275" i="1"/>
  <c r="V280" i="1"/>
  <c r="Y280" i="1"/>
  <c r="X280" i="1"/>
  <c r="V285" i="1"/>
  <c r="Y285" i="1"/>
  <c r="X285" i="1"/>
  <c r="V290" i="1"/>
  <c r="Y290" i="1"/>
  <c r="X290" i="1"/>
  <c r="V295" i="1"/>
  <c r="Y295" i="1"/>
  <c r="X295" i="1"/>
  <c r="V300" i="1"/>
  <c r="Y300" i="1"/>
  <c r="X300" i="1"/>
  <c r="V305" i="1"/>
  <c r="Y305" i="1"/>
  <c r="X305" i="1"/>
  <c r="V310" i="1"/>
  <c r="Y310" i="1"/>
  <c r="X310" i="1"/>
  <c r="V315" i="1"/>
  <c r="Y315" i="1"/>
  <c r="X315" i="1"/>
  <c r="V320" i="1"/>
  <c r="Y320" i="1"/>
  <c r="X320" i="1"/>
  <c r="V325" i="1"/>
  <c r="Y325" i="1"/>
  <c r="X325" i="1"/>
  <c r="V330" i="1"/>
  <c r="Y330" i="1"/>
  <c r="X330" i="1"/>
  <c r="V335" i="1"/>
  <c r="Y335" i="1"/>
  <c r="X335" i="1"/>
  <c r="V340" i="1"/>
  <c r="Y340" i="1"/>
  <c r="X340" i="1"/>
  <c r="V345" i="1"/>
  <c r="Y345" i="1"/>
  <c r="X345" i="1"/>
  <c r="V350" i="1"/>
  <c r="Y350" i="1"/>
  <c r="X350" i="1"/>
  <c r="V355" i="1"/>
  <c r="Y355" i="1"/>
  <c r="X355" i="1"/>
  <c r="V360" i="1"/>
  <c r="Y360" i="1"/>
  <c r="X360" i="1"/>
  <c r="V365" i="1"/>
  <c r="Y365" i="1"/>
  <c r="X365" i="1"/>
  <c r="V370" i="1"/>
  <c r="Y370" i="1"/>
  <c r="X370" i="1"/>
  <c r="V375" i="1"/>
  <c r="Y375" i="1"/>
  <c r="X375" i="1"/>
  <c r="V380" i="1"/>
  <c r="Y380" i="1"/>
  <c r="X380" i="1"/>
  <c r="V385" i="1"/>
  <c r="Y385" i="1"/>
  <c r="X385" i="1"/>
  <c r="V390" i="1"/>
  <c r="Y390" i="1"/>
  <c r="X390" i="1"/>
  <c r="V395" i="1"/>
  <c r="Y395" i="1"/>
  <c r="X395" i="1"/>
  <c r="V400" i="1"/>
  <c r="Y400" i="1"/>
  <c r="X400" i="1"/>
  <c r="V405" i="1"/>
  <c r="Y405" i="1"/>
  <c r="X405" i="1"/>
  <c r="V410" i="1"/>
  <c r="Y410" i="1"/>
  <c r="X410" i="1"/>
  <c r="V415" i="1"/>
  <c r="Y415" i="1"/>
  <c r="X415" i="1"/>
  <c r="V420" i="1"/>
  <c r="Y420" i="1"/>
  <c r="X420" i="1"/>
  <c r="V425" i="1"/>
  <c r="Y425" i="1"/>
  <c r="X425" i="1"/>
  <c r="V430" i="1"/>
  <c r="Y430" i="1"/>
  <c r="X430" i="1"/>
  <c r="V435" i="1"/>
  <c r="Y435" i="1"/>
  <c r="X435" i="1"/>
  <c r="V440" i="1"/>
  <c r="Y440" i="1"/>
  <c r="X440" i="1"/>
  <c r="V445" i="1"/>
  <c r="Y445" i="1"/>
  <c r="X445" i="1"/>
  <c r="V450" i="1"/>
  <c r="Y450" i="1"/>
  <c r="X450" i="1"/>
  <c r="V455" i="1"/>
  <c r="Y455" i="1"/>
  <c r="X455" i="1"/>
  <c r="V460" i="1"/>
  <c r="Y460" i="1"/>
  <c r="X460" i="1"/>
  <c r="V465" i="1"/>
  <c r="Y465" i="1"/>
  <c r="X465" i="1"/>
  <c r="V470" i="1"/>
  <c r="Y470" i="1"/>
  <c r="X470" i="1"/>
  <c r="V475" i="1"/>
  <c r="Y475" i="1"/>
  <c r="X475" i="1"/>
  <c r="V480" i="1"/>
  <c r="Y480" i="1"/>
  <c r="X480" i="1"/>
  <c r="V485" i="1"/>
  <c r="Y485" i="1"/>
  <c r="X485" i="1"/>
  <c r="V490" i="1"/>
  <c r="Y490" i="1"/>
  <c r="X490" i="1"/>
  <c r="V495" i="1"/>
  <c r="Y495" i="1"/>
  <c r="X495" i="1"/>
  <c r="V500" i="1"/>
  <c r="Y500" i="1"/>
  <c r="X500" i="1"/>
  <c r="V505" i="1"/>
  <c r="Y505" i="1"/>
  <c r="X505" i="1"/>
  <c r="V510" i="1"/>
  <c r="Y510" i="1"/>
  <c r="X510" i="1"/>
  <c r="V515" i="1"/>
  <c r="Y515" i="1"/>
  <c r="X515" i="1"/>
  <c r="V520" i="1"/>
  <c r="Y520" i="1"/>
  <c r="X520" i="1"/>
  <c r="V525" i="1"/>
  <c r="Y525" i="1"/>
  <c r="X525" i="1"/>
  <c r="V530" i="1"/>
  <c r="Y530" i="1"/>
  <c r="X530" i="1"/>
  <c r="V535" i="1"/>
  <c r="Y535" i="1"/>
  <c r="X535" i="1"/>
  <c r="V540" i="1"/>
  <c r="Y540" i="1"/>
  <c r="X540" i="1"/>
  <c r="V545" i="1"/>
  <c r="Y545" i="1"/>
  <c r="X545" i="1"/>
  <c r="V550" i="1"/>
  <c r="Y550" i="1"/>
  <c r="X550" i="1"/>
  <c r="V555" i="1"/>
  <c r="Y555" i="1"/>
  <c r="X555" i="1"/>
  <c r="V560" i="1"/>
  <c r="Y560" i="1"/>
  <c r="X560" i="1"/>
  <c r="V565" i="1"/>
  <c r="Y565" i="1"/>
  <c r="X565" i="1"/>
  <c r="V570" i="1"/>
  <c r="Y570" i="1"/>
  <c r="X570" i="1"/>
  <c r="V575" i="1"/>
  <c r="Y575" i="1"/>
  <c r="X575" i="1"/>
  <c r="V580" i="1"/>
  <c r="Y580" i="1"/>
  <c r="X580" i="1"/>
  <c r="V585" i="1"/>
  <c r="Y585" i="1"/>
  <c r="X585" i="1"/>
  <c r="V590" i="1"/>
  <c r="Y590" i="1"/>
  <c r="X590" i="1"/>
  <c r="V595" i="1"/>
  <c r="Y595" i="1"/>
  <c r="X595" i="1"/>
  <c r="V600" i="1"/>
  <c r="Y600" i="1"/>
  <c r="X600" i="1"/>
  <c r="V605" i="1"/>
  <c r="Y605" i="1"/>
  <c r="X605" i="1"/>
  <c r="V610" i="1"/>
  <c r="Y610" i="1"/>
  <c r="X610" i="1"/>
  <c r="V615" i="1"/>
  <c r="Y615" i="1"/>
  <c r="X615" i="1"/>
  <c r="V620" i="1"/>
  <c r="Y620" i="1"/>
  <c r="X620" i="1"/>
  <c r="V625" i="1"/>
  <c r="Y625" i="1"/>
  <c r="X625" i="1"/>
  <c r="V630" i="1"/>
  <c r="Y630" i="1"/>
  <c r="X630" i="1"/>
  <c r="V635" i="1"/>
  <c r="Y635" i="1"/>
  <c r="X635" i="1"/>
  <c r="V640" i="1"/>
  <c r="Y640" i="1"/>
  <c r="X640" i="1"/>
  <c r="V645" i="1"/>
  <c r="Y645" i="1"/>
  <c r="X645" i="1"/>
  <c r="V650" i="1"/>
  <c r="Y650" i="1"/>
  <c r="X650" i="1"/>
  <c r="V655" i="1"/>
  <c r="Y655" i="1"/>
  <c r="X655" i="1"/>
  <c r="V660" i="1"/>
  <c r="Y660" i="1"/>
  <c r="X660" i="1"/>
  <c r="V665" i="1"/>
  <c r="Y665" i="1"/>
  <c r="X665" i="1"/>
  <c r="V670" i="1"/>
  <c r="Y670" i="1"/>
  <c r="X670" i="1"/>
  <c r="V675" i="1"/>
  <c r="Y675" i="1"/>
  <c r="X675" i="1"/>
  <c r="V680" i="1"/>
  <c r="Y680" i="1"/>
  <c r="X680" i="1"/>
  <c r="V685" i="1"/>
  <c r="Y685" i="1"/>
  <c r="X685" i="1"/>
  <c r="V690" i="1"/>
  <c r="Y690" i="1"/>
  <c r="X690" i="1"/>
  <c r="V695" i="1"/>
  <c r="Y695" i="1"/>
  <c r="X695" i="1"/>
  <c r="V700" i="1"/>
  <c r="Y700" i="1"/>
  <c r="X700" i="1"/>
  <c r="V711" i="1"/>
  <c r="Y711" i="1"/>
  <c r="X711" i="1"/>
  <c r="V716" i="1"/>
  <c r="Y716" i="1"/>
  <c r="X716" i="1"/>
  <c r="V721" i="1"/>
  <c r="Y721" i="1"/>
  <c r="X721" i="1"/>
  <c r="V726" i="1"/>
  <c r="Y726" i="1"/>
  <c r="X726" i="1"/>
  <c r="V731" i="1"/>
  <c r="Y731" i="1"/>
  <c r="X731" i="1"/>
  <c r="V736" i="1"/>
  <c r="Y736" i="1"/>
  <c r="X736" i="1"/>
  <c r="V741" i="1"/>
  <c r="Y741" i="1"/>
  <c r="X741" i="1"/>
  <c r="V746" i="1"/>
  <c r="Y746" i="1"/>
  <c r="X746" i="1"/>
  <c r="V751" i="1"/>
  <c r="Y751" i="1"/>
  <c r="X751" i="1"/>
  <c r="V756" i="1"/>
  <c r="Y756" i="1"/>
  <c r="X756" i="1"/>
  <c r="V763" i="1"/>
  <c r="Y763" i="1"/>
  <c r="X763" i="1"/>
  <c r="V768" i="1"/>
  <c r="Y768" i="1"/>
  <c r="X768" i="1"/>
  <c r="V773" i="1"/>
  <c r="Y773" i="1"/>
  <c r="X773" i="1"/>
  <c r="V778" i="1"/>
  <c r="Y778" i="1"/>
  <c r="X778" i="1"/>
  <c r="V783" i="1"/>
  <c r="Y783" i="1"/>
  <c r="X783" i="1"/>
  <c r="V788" i="1"/>
  <c r="Y788" i="1"/>
  <c r="X788" i="1"/>
  <c r="V793" i="1"/>
  <c r="Y793" i="1"/>
  <c r="X793" i="1"/>
  <c r="V798" i="1"/>
  <c r="Y798" i="1"/>
  <c r="X798" i="1"/>
  <c r="V803" i="1"/>
  <c r="Y803" i="1"/>
  <c r="X803" i="1"/>
  <c r="V808" i="1"/>
  <c r="Y808" i="1"/>
  <c r="X808" i="1"/>
  <c r="V813" i="1"/>
  <c r="Y813" i="1"/>
  <c r="X813" i="1"/>
  <c r="V818" i="1"/>
  <c r="Y818" i="1"/>
  <c r="X818" i="1"/>
  <c r="V823" i="1"/>
  <c r="Y823" i="1"/>
  <c r="X823" i="1"/>
  <c r="V828" i="1"/>
  <c r="Y828" i="1"/>
  <c r="X828" i="1"/>
  <c r="V833" i="1"/>
  <c r="Y833" i="1"/>
  <c r="X833" i="1"/>
  <c r="V838" i="1"/>
  <c r="Y838" i="1"/>
  <c r="X838" i="1"/>
  <c r="V843" i="1"/>
  <c r="Y843" i="1"/>
  <c r="X843" i="1"/>
  <c r="V848" i="1"/>
  <c r="Y848" i="1"/>
  <c r="X848" i="1"/>
  <c r="V853" i="1"/>
  <c r="Y853" i="1"/>
  <c r="X853" i="1"/>
  <c r="V858" i="1"/>
  <c r="Y858" i="1"/>
  <c r="X858" i="1"/>
  <c r="V863" i="1"/>
  <c r="Y863" i="1"/>
  <c r="X863" i="1"/>
  <c r="V868" i="1"/>
  <c r="Y868" i="1"/>
  <c r="X868" i="1"/>
  <c r="V873" i="1"/>
  <c r="Y873" i="1"/>
  <c r="X873" i="1"/>
  <c r="V878" i="1"/>
  <c r="Y878" i="1"/>
  <c r="X878" i="1"/>
  <c r="V883" i="1"/>
  <c r="Y883" i="1"/>
  <c r="X883" i="1"/>
  <c r="V888" i="1"/>
  <c r="Y888" i="1"/>
  <c r="X888" i="1"/>
  <c r="V893" i="1"/>
  <c r="Y893" i="1"/>
  <c r="X893" i="1"/>
  <c r="V898" i="1"/>
  <c r="Y898" i="1"/>
  <c r="X898" i="1"/>
  <c r="V903" i="1"/>
  <c r="Y903" i="1"/>
  <c r="X903" i="1"/>
  <c r="V908" i="1"/>
  <c r="Y908" i="1"/>
  <c r="X908" i="1"/>
  <c r="V913" i="1"/>
  <c r="Y913" i="1"/>
  <c r="X913" i="1"/>
  <c r="V918" i="1"/>
  <c r="Y918" i="1"/>
  <c r="X918" i="1"/>
  <c r="V923" i="1"/>
  <c r="Y923" i="1"/>
  <c r="X923" i="1"/>
  <c r="V928" i="1"/>
  <c r="Y928" i="1"/>
  <c r="X928" i="1"/>
  <c r="V933" i="1"/>
  <c r="Y933" i="1"/>
  <c r="X933" i="1"/>
  <c r="V938" i="1"/>
  <c r="Y938" i="1"/>
  <c r="X938" i="1"/>
  <c r="V943" i="1"/>
  <c r="Y943" i="1"/>
  <c r="X943" i="1"/>
  <c r="V948" i="1"/>
  <c r="Y948" i="1"/>
  <c r="X948" i="1"/>
  <c r="V953" i="1"/>
  <c r="Y953" i="1"/>
  <c r="X953" i="1"/>
  <c r="V958" i="1"/>
  <c r="Y958" i="1"/>
  <c r="X958" i="1"/>
  <c r="V963" i="1"/>
  <c r="Y963" i="1"/>
  <c r="X963" i="1"/>
  <c r="V968" i="1"/>
  <c r="Y968" i="1"/>
  <c r="X968" i="1"/>
  <c r="V973" i="1"/>
  <c r="Y973" i="1"/>
  <c r="X973" i="1"/>
  <c r="V978" i="1"/>
  <c r="Y978" i="1"/>
  <c r="X978" i="1"/>
  <c r="V983" i="1"/>
  <c r="Y983" i="1"/>
  <c r="X983" i="1"/>
  <c r="V988" i="1"/>
  <c r="Y988" i="1"/>
  <c r="X988" i="1"/>
  <c r="V993" i="1"/>
  <c r="Y993" i="1"/>
  <c r="X993" i="1"/>
  <c r="V998" i="1"/>
  <c r="Y998" i="1"/>
  <c r="X998" i="1"/>
  <c r="V1003" i="1"/>
  <c r="Y1003" i="1"/>
  <c r="X1003" i="1"/>
  <c r="V1008" i="1"/>
  <c r="Y1008" i="1"/>
  <c r="X1008" i="1"/>
  <c r="V1013" i="1"/>
  <c r="Y1013" i="1"/>
  <c r="X1013" i="1"/>
  <c r="V1018" i="1"/>
  <c r="Y1018" i="1"/>
  <c r="X1018" i="1"/>
  <c r="V1023" i="1"/>
  <c r="Y1023" i="1"/>
  <c r="X1023" i="1"/>
  <c r="V1028" i="1"/>
  <c r="Y1028" i="1"/>
  <c r="X1028" i="1"/>
  <c r="V1033" i="1"/>
  <c r="Y1033" i="1"/>
  <c r="X1033" i="1"/>
  <c r="V1038" i="1"/>
  <c r="Y1038" i="1"/>
  <c r="X1038" i="1"/>
  <c r="V1043" i="1"/>
  <c r="Y1043" i="1"/>
  <c r="X1043" i="1"/>
  <c r="V1048" i="1"/>
  <c r="Y1048" i="1"/>
  <c r="X1048" i="1"/>
  <c r="V1053" i="1"/>
  <c r="Y1053" i="1"/>
  <c r="X1053" i="1"/>
  <c r="V1058" i="1"/>
  <c r="Y1058" i="1"/>
  <c r="X1058" i="1"/>
  <c r="V1063" i="1"/>
  <c r="Y1063" i="1"/>
  <c r="X1063" i="1"/>
  <c r="V1068" i="1"/>
  <c r="Y1068" i="1"/>
  <c r="X1068" i="1"/>
  <c r="V1070" i="1"/>
  <c r="Y1070" i="1"/>
  <c r="X1070" i="1"/>
  <c r="V1072" i="1"/>
  <c r="Y1072" i="1"/>
  <c r="X1072" i="1"/>
  <c r="V1175" i="1"/>
  <c r="Y1175" i="1"/>
  <c r="X1175" i="1"/>
  <c r="V123" i="1"/>
  <c r="Y123" i="1"/>
  <c r="X123" i="1"/>
  <c r="V130" i="1"/>
  <c r="Y130" i="1"/>
  <c r="X130" i="1"/>
  <c r="V132" i="1"/>
  <c r="Y132" i="1"/>
  <c r="X132" i="1"/>
  <c r="V134" i="1"/>
  <c r="Y134" i="1"/>
  <c r="X134" i="1"/>
  <c r="V137" i="1"/>
  <c r="Y137" i="1"/>
  <c r="X137" i="1"/>
  <c r="V147" i="1"/>
  <c r="Y147" i="1"/>
  <c r="X147" i="1"/>
  <c r="V154" i="1"/>
  <c r="Y154" i="1"/>
  <c r="X154" i="1"/>
  <c r="V159" i="1"/>
  <c r="Y159" i="1"/>
  <c r="X159" i="1"/>
  <c r="V164" i="1"/>
  <c r="Y164" i="1"/>
  <c r="X164" i="1"/>
  <c r="V169" i="1"/>
  <c r="Y169" i="1"/>
  <c r="X169" i="1"/>
  <c r="V174" i="1"/>
  <c r="Y174" i="1"/>
  <c r="X174" i="1"/>
  <c r="V179" i="1"/>
  <c r="Y179" i="1"/>
  <c r="X179" i="1"/>
  <c r="V184" i="1"/>
  <c r="Y184" i="1"/>
  <c r="X184" i="1"/>
  <c r="V189" i="1"/>
  <c r="Y189" i="1"/>
  <c r="X189" i="1"/>
  <c r="V194" i="1"/>
  <c r="Y194" i="1"/>
  <c r="X194" i="1"/>
  <c r="V199" i="1"/>
  <c r="Y199" i="1"/>
  <c r="X199" i="1"/>
  <c r="V206" i="1"/>
  <c r="Y206" i="1"/>
  <c r="X206" i="1"/>
  <c r="V211" i="1"/>
  <c r="Y211" i="1"/>
  <c r="X211" i="1"/>
  <c r="V216" i="1"/>
  <c r="Y216" i="1"/>
  <c r="X216" i="1"/>
  <c r="V221" i="1"/>
  <c r="Y221" i="1"/>
  <c r="X221" i="1"/>
  <c r="V226" i="1"/>
  <c r="Y226" i="1"/>
  <c r="X226" i="1"/>
  <c r="V231" i="1"/>
  <c r="Y231" i="1"/>
  <c r="X231" i="1"/>
  <c r="V236" i="1"/>
  <c r="Y236" i="1"/>
  <c r="X236" i="1"/>
  <c r="V241" i="1"/>
  <c r="Y241" i="1"/>
  <c r="X241" i="1"/>
  <c r="V246" i="1"/>
  <c r="Y246" i="1"/>
  <c r="X246" i="1"/>
  <c r="V251" i="1"/>
  <c r="Y251" i="1"/>
  <c r="X251" i="1"/>
  <c r="V256" i="1"/>
  <c r="Y256" i="1"/>
  <c r="X256" i="1"/>
  <c r="V261" i="1"/>
  <c r="Y261" i="1"/>
  <c r="X261" i="1"/>
  <c r="V266" i="1"/>
  <c r="Y266" i="1"/>
  <c r="X266" i="1"/>
  <c r="V271" i="1"/>
  <c r="Y271" i="1"/>
  <c r="X271" i="1"/>
  <c r="V276" i="1"/>
  <c r="Y276" i="1"/>
  <c r="X276" i="1"/>
  <c r="V281" i="1"/>
  <c r="Y281" i="1"/>
  <c r="X281" i="1"/>
  <c r="V286" i="1"/>
  <c r="Y286" i="1"/>
  <c r="X286" i="1"/>
  <c r="V291" i="1"/>
  <c r="Y291" i="1"/>
  <c r="X291" i="1"/>
  <c r="V296" i="1"/>
  <c r="Y296" i="1"/>
  <c r="X296" i="1"/>
  <c r="V301" i="1"/>
  <c r="Y301" i="1"/>
  <c r="X301" i="1"/>
  <c r="V306" i="1"/>
  <c r="Y306" i="1"/>
  <c r="X306" i="1"/>
  <c r="V311" i="1"/>
  <c r="Y311" i="1"/>
  <c r="X311" i="1"/>
  <c r="V316" i="1"/>
  <c r="Y316" i="1"/>
  <c r="X316" i="1"/>
  <c r="V321" i="1"/>
  <c r="Y321" i="1"/>
  <c r="X321" i="1"/>
  <c r="V326" i="1"/>
  <c r="Y326" i="1"/>
  <c r="X326" i="1"/>
  <c r="V331" i="1"/>
  <c r="Y331" i="1"/>
  <c r="X331" i="1"/>
  <c r="V336" i="1"/>
  <c r="Y336" i="1"/>
  <c r="X336" i="1"/>
  <c r="V341" i="1"/>
  <c r="Y341" i="1"/>
  <c r="X341" i="1"/>
  <c r="V346" i="1"/>
  <c r="Y346" i="1"/>
  <c r="X346" i="1"/>
  <c r="V351" i="1"/>
  <c r="Y351" i="1"/>
  <c r="X351" i="1"/>
  <c r="V356" i="1"/>
  <c r="Y356" i="1"/>
  <c r="X356" i="1"/>
  <c r="V361" i="1"/>
  <c r="Y361" i="1"/>
  <c r="X361" i="1"/>
  <c r="V366" i="1"/>
  <c r="Y366" i="1"/>
  <c r="X366" i="1"/>
  <c r="V371" i="1"/>
  <c r="Y371" i="1"/>
  <c r="X371" i="1"/>
  <c r="V376" i="1"/>
  <c r="Y376" i="1"/>
  <c r="X376" i="1"/>
  <c r="V381" i="1"/>
  <c r="Y381" i="1"/>
  <c r="X381" i="1"/>
  <c r="V386" i="1"/>
  <c r="Y386" i="1"/>
  <c r="X386" i="1"/>
  <c r="V391" i="1"/>
  <c r="Y391" i="1"/>
  <c r="X391" i="1"/>
  <c r="V396" i="1"/>
  <c r="Y396" i="1"/>
  <c r="X396" i="1"/>
  <c r="V401" i="1"/>
  <c r="Y401" i="1"/>
  <c r="X401" i="1"/>
  <c r="V406" i="1"/>
  <c r="Y406" i="1"/>
  <c r="X406" i="1"/>
  <c r="V411" i="1"/>
  <c r="Y411" i="1"/>
  <c r="X411" i="1"/>
  <c r="V416" i="1"/>
  <c r="Y416" i="1"/>
  <c r="X416" i="1"/>
  <c r="V421" i="1"/>
  <c r="Y421" i="1"/>
  <c r="X421" i="1"/>
  <c r="V426" i="1"/>
  <c r="Y426" i="1"/>
  <c r="X426" i="1"/>
  <c r="V431" i="1"/>
  <c r="Y431" i="1"/>
  <c r="X431" i="1"/>
  <c r="V436" i="1"/>
  <c r="Y436" i="1"/>
  <c r="X436" i="1"/>
  <c r="V441" i="1"/>
  <c r="Y441" i="1"/>
  <c r="X441" i="1"/>
  <c r="V446" i="1"/>
  <c r="Y446" i="1"/>
  <c r="X446" i="1"/>
  <c r="V451" i="1"/>
  <c r="Y451" i="1"/>
  <c r="X451" i="1"/>
  <c r="V456" i="1"/>
  <c r="Y456" i="1"/>
  <c r="X456" i="1"/>
  <c r="V461" i="1"/>
  <c r="Y461" i="1"/>
  <c r="X461" i="1"/>
  <c r="V466" i="1"/>
  <c r="Y466" i="1"/>
  <c r="X466" i="1"/>
  <c r="V471" i="1"/>
  <c r="Y471" i="1"/>
  <c r="X471" i="1"/>
  <c r="V476" i="1"/>
  <c r="Y476" i="1"/>
  <c r="X476" i="1"/>
  <c r="V481" i="1"/>
  <c r="Y481" i="1"/>
  <c r="X481" i="1"/>
  <c r="V486" i="1"/>
  <c r="Y486" i="1"/>
  <c r="X486" i="1"/>
  <c r="V491" i="1"/>
  <c r="Y491" i="1"/>
  <c r="X491" i="1"/>
  <c r="V496" i="1"/>
  <c r="Y496" i="1"/>
  <c r="X496" i="1"/>
  <c r="V501" i="1"/>
  <c r="Y501" i="1"/>
  <c r="X501" i="1"/>
  <c r="V506" i="1"/>
  <c r="Y506" i="1"/>
  <c r="X506" i="1"/>
  <c r="V511" i="1"/>
  <c r="Y511" i="1"/>
  <c r="X511" i="1"/>
  <c r="V516" i="1"/>
  <c r="Y516" i="1"/>
  <c r="X516" i="1"/>
  <c r="V521" i="1"/>
  <c r="Y521" i="1"/>
  <c r="X521" i="1"/>
  <c r="V526" i="1"/>
  <c r="Y526" i="1"/>
  <c r="X526" i="1"/>
  <c r="V531" i="1"/>
  <c r="Y531" i="1"/>
  <c r="X531" i="1"/>
  <c r="V536" i="1"/>
  <c r="Y536" i="1"/>
  <c r="X536" i="1"/>
  <c r="V541" i="1"/>
  <c r="Y541" i="1"/>
  <c r="X541" i="1"/>
  <c r="V546" i="1"/>
  <c r="Y546" i="1"/>
  <c r="X546" i="1"/>
  <c r="V551" i="1"/>
  <c r="Y551" i="1"/>
  <c r="X551" i="1"/>
  <c r="V556" i="1"/>
  <c r="Y556" i="1"/>
  <c r="X556" i="1"/>
  <c r="V561" i="1"/>
  <c r="Y561" i="1"/>
  <c r="X561" i="1"/>
  <c r="V566" i="1"/>
  <c r="Y566" i="1"/>
  <c r="X566" i="1"/>
  <c r="V571" i="1"/>
  <c r="Y571" i="1"/>
  <c r="X571" i="1"/>
  <c r="V576" i="1"/>
  <c r="Y576" i="1"/>
  <c r="X576" i="1"/>
  <c r="V581" i="1"/>
  <c r="Y581" i="1"/>
  <c r="X581" i="1"/>
  <c r="V586" i="1"/>
  <c r="Y586" i="1"/>
  <c r="X586" i="1"/>
  <c r="V591" i="1"/>
  <c r="Y591" i="1"/>
  <c r="X591" i="1"/>
  <c r="V596" i="1"/>
  <c r="Y596" i="1"/>
  <c r="X596" i="1"/>
  <c r="V601" i="1"/>
  <c r="Y601" i="1"/>
  <c r="X601" i="1"/>
  <c r="V606" i="1"/>
  <c r="Y606" i="1"/>
  <c r="X606" i="1"/>
  <c r="V611" i="1"/>
  <c r="Y611" i="1"/>
  <c r="X611" i="1"/>
  <c r="V616" i="1"/>
  <c r="Y616" i="1"/>
  <c r="X616" i="1"/>
  <c r="V621" i="1"/>
  <c r="Y621" i="1"/>
  <c r="X621" i="1"/>
  <c r="V626" i="1"/>
  <c r="Y626" i="1"/>
  <c r="X626" i="1"/>
  <c r="V631" i="1"/>
  <c r="Y631" i="1"/>
  <c r="X631" i="1"/>
  <c r="V636" i="1"/>
  <c r="Y636" i="1"/>
  <c r="X636" i="1"/>
  <c r="V641" i="1"/>
  <c r="Y641" i="1"/>
  <c r="X641" i="1"/>
  <c r="V646" i="1"/>
  <c r="Y646" i="1"/>
  <c r="X646" i="1"/>
  <c r="V651" i="1"/>
  <c r="Y651" i="1"/>
  <c r="X651" i="1"/>
  <c r="V656" i="1"/>
  <c r="Y656" i="1"/>
  <c r="X656" i="1"/>
  <c r="V661" i="1"/>
  <c r="Y661" i="1"/>
  <c r="X661" i="1"/>
  <c r="V666" i="1"/>
  <c r="Y666" i="1"/>
  <c r="X666" i="1"/>
  <c r="V671" i="1"/>
  <c r="Y671" i="1"/>
  <c r="X671" i="1"/>
  <c r="V676" i="1"/>
  <c r="Y676" i="1"/>
  <c r="X676" i="1"/>
  <c r="V681" i="1"/>
  <c r="Y681" i="1"/>
  <c r="X681" i="1"/>
  <c r="V686" i="1"/>
  <c r="Y686" i="1"/>
  <c r="X686" i="1"/>
  <c r="V691" i="1"/>
  <c r="Y691" i="1"/>
  <c r="X691" i="1"/>
  <c r="V696" i="1"/>
  <c r="Y696" i="1"/>
  <c r="X696" i="1"/>
  <c r="V701" i="1"/>
  <c r="Y701" i="1"/>
  <c r="X701" i="1"/>
  <c r="V712" i="1"/>
  <c r="Y712" i="1"/>
  <c r="X712" i="1"/>
  <c r="V717" i="1"/>
  <c r="Y717" i="1"/>
  <c r="X717" i="1"/>
  <c r="V722" i="1"/>
  <c r="Y722" i="1"/>
  <c r="X722" i="1"/>
  <c r="V727" i="1"/>
  <c r="Y727" i="1"/>
  <c r="X727" i="1"/>
  <c r="V732" i="1"/>
  <c r="Y732" i="1"/>
  <c r="X732" i="1"/>
  <c r="V737" i="1"/>
  <c r="Y737" i="1"/>
  <c r="X737" i="1"/>
  <c r="V742" i="1"/>
  <c r="Y742" i="1"/>
  <c r="X742" i="1"/>
  <c r="V747" i="1"/>
  <c r="Y747" i="1"/>
  <c r="X747" i="1"/>
  <c r="V752" i="1"/>
  <c r="Y752" i="1"/>
  <c r="X752" i="1"/>
  <c r="V757" i="1"/>
  <c r="Y757" i="1"/>
  <c r="X757" i="1"/>
  <c r="V764" i="1"/>
  <c r="Y764" i="1"/>
  <c r="X764" i="1"/>
  <c r="V769" i="1"/>
  <c r="Y769" i="1"/>
  <c r="X769" i="1"/>
  <c r="V774" i="1"/>
  <c r="Y774" i="1"/>
  <c r="X774" i="1"/>
  <c r="V779" i="1"/>
  <c r="Y779" i="1"/>
  <c r="X779" i="1"/>
  <c r="V784" i="1"/>
  <c r="Y784" i="1"/>
  <c r="X784" i="1"/>
  <c r="V789" i="1"/>
  <c r="Y789" i="1"/>
  <c r="X789" i="1"/>
  <c r="V794" i="1"/>
  <c r="Y794" i="1"/>
  <c r="X794" i="1"/>
  <c r="V799" i="1"/>
  <c r="Y799" i="1"/>
  <c r="X799" i="1"/>
  <c r="V804" i="1"/>
  <c r="Y804" i="1"/>
  <c r="X804" i="1"/>
  <c r="V809" i="1"/>
  <c r="Y809" i="1"/>
  <c r="X809" i="1"/>
  <c r="V814" i="1"/>
  <c r="Y814" i="1"/>
  <c r="X814" i="1"/>
  <c r="V819" i="1"/>
  <c r="Y819" i="1"/>
  <c r="X819" i="1"/>
  <c r="V824" i="1"/>
  <c r="Y824" i="1"/>
  <c r="X824" i="1"/>
  <c r="V829" i="1"/>
  <c r="Y829" i="1"/>
  <c r="X829" i="1"/>
  <c r="V834" i="1"/>
  <c r="Y834" i="1"/>
  <c r="X834" i="1"/>
  <c r="V839" i="1"/>
  <c r="Y839" i="1"/>
  <c r="X839" i="1"/>
  <c r="V844" i="1"/>
  <c r="Y844" i="1"/>
  <c r="X844" i="1"/>
  <c r="V849" i="1"/>
  <c r="Y849" i="1"/>
  <c r="X849" i="1"/>
  <c r="V854" i="1"/>
  <c r="Y854" i="1"/>
  <c r="X854" i="1"/>
  <c r="V859" i="1"/>
  <c r="Y859" i="1"/>
  <c r="X859" i="1"/>
  <c r="V864" i="1"/>
  <c r="Y864" i="1"/>
  <c r="X864" i="1"/>
  <c r="V869" i="1"/>
  <c r="Y869" i="1"/>
  <c r="X869" i="1"/>
  <c r="V874" i="1"/>
  <c r="Y874" i="1"/>
  <c r="X874" i="1"/>
  <c r="V879" i="1"/>
  <c r="Y879" i="1"/>
  <c r="X879" i="1"/>
  <c r="V884" i="1"/>
  <c r="Y884" i="1"/>
  <c r="X884" i="1"/>
  <c r="V889" i="1"/>
  <c r="Y889" i="1"/>
  <c r="X889" i="1"/>
  <c r="V894" i="1"/>
  <c r="Y894" i="1"/>
  <c r="X894" i="1"/>
  <c r="V899" i="1"/>
  <c r="Y899" i="1"/>
  <c r="X899" i="1"/>
  <c r="V904" i="1"/>
  <c r="Y904" i="1"/>
  <c r="X904" i="1"/>
  <c r="V909" i="1"/>
  <c r="Y909" i="1"/>
  <c r="X909" i="1"/>
  <c r="V914" i="1"/>
  <c r="Y914" i="1"/>
  <c r="X914" i="1"/>
  <c r="V919" i="1"/>
  <c r="Y919" i="1"/>
  <c r="X919" i="1"/>
  <c r="V924" i="1"/>
  <c r="Y924" i="1"/>
  <c r="X924" i="1"/>
  <c r="V929" i="1"/>
  <c r="Y929" i="1"/>
  <c r="X929" i="1"/>
  <c r="V934" i="1"/>
  <c r="Y934" i="1"/>
  <c r="X934" i="1"/>
  <c r="V939" i="1"/>
  <c r="Y939" i="1"/>
  <c r="X939" i="1"/>
  <c r="V944" i="1"/>
  <c r="Y944" i="1"/>
  <c r="X944" i="1"/>
  <c r="V949" i="1"/>
  <c r="Y949" i="1"/>
  <c r="X949" i="1"/>
  <c r="V954" i="1"/>
  <c r="Y954" i="1"/>
  <c r="X954" i="1"/>
  <c r="V959" i="1"/>
  <c r="Y959" i="1"/>
  <c r="X959" i="1"/>
  <c r="V964" i="1"/>
  <c r="Y964" i="1"/>
  <c r="X964" i="1"/>
  <c r="V969" i="1"/>
  <c r="Y969" i="1"/>
  <c r="X969" i="1"/>
  <c r="V974" i="1"/>
  <c r="Y974" i="1"/>
  <c r="X974" i="1"/>
  <c r="V979" i="1"/>
  <c r="Y979" i="1"/>
  <c r="X979" i="1"/>
  <c r="V984" i="1"/>
  <c r="Y984" i="1"/>
  <c r="X984" i="1"/>
  <c r="V989" i="1"/>
  <c r="Y989" i="1"/>
  <c r="X989" i="1"/>
  <c r="V994" i="1"/>
  <c r="Y994" i="1"/>
  <c r="X994" i="1"/>
  <c r="V999" i="1"/>
  <c r="Y999" i="1"/>
  <c r="X999" i="1"/>
  <c r="V1004" i="1"/>
  <c r="Y1004" i="1"/>
  <c r="X1004" i="1"/>
  <c r="V1009" i="1"/>
  <c r="Y1009" i="1"/>
  <c r="X1009" i="1"/>
  <c r="V1014" i="1"/>
  <c r="Y1014" i="1"/>
  <c r="X1014" i="1"/>
  <c r="V1019" i="1"/>
  <c r="Y1019" i="1"/>
  <c r="X1019" i="1"/>
  <c r="V1024" i="1"/>
  <c r="Y1024" i="1"/>
  <c r="X1024" i="1"/>
  <c r="V1029" i="1"/>
  <c r="Y1029" i="1"/>
  <c r="X1029" i="1"/>
  <c r="V1034" i="1"/>
  <c r="Y1034" i="1"/>
  <c r="X1034" i="1"/>
  <c r="V1039" i="1"/>
  <c r="Y1039" i="1"/>
  <c r="X1039" i="1"/>
  <c r="V1044" i="1"/>
  <c r="Y1044" i="1"/>
  <c r="X1044" i="1"/>
  <c r="V1049" i="1"/>
  <c r="Y1049" i="1"/>
  <c r="X1049" i="1"/>
  <c r="V1054" i="1"/>
  <c r="Y1054" i="1"/>
  <c r="X1054" i="1"/>
  <c r="V1059" i="1"/>
  <c r="Y1059" i="1"/>
  <c r="X1059" i="1"/>
  <c r="V1064" i="1"/>
  <c r="Y1064" i="1"/>
  <c r="X1064" i="1"/>
  <c r="V1082" i="1"/>
  <c r="Y1082" i="1"/>
  <c r="X1082" i="1"/>
  <c r="V1084" i="1"/>
  <c r="Y1084" i="1"/>
  <c r="X1084" i="1"/>
  <c r="V1176" i="1"/>
  <c r="Y1176" i="1"/>
  <c r="X1176" i="1"/>
  <c r="V124" i="1"/>
  <c r="Y124" i="1"/>
  <c r="X124" i="1"/>
  <c r="V141" i="1"/>
  <c r="Y141" i="1"/>
  <c r="X141" i="1"/>
  <c r="V143" i="1"/>
  <c r="Y143" i="1"/>
  <c r="X143" i="1"/>
  <c r="V145" i="1"/>
  <c r="Y145" i="1"/>
  <c r="X145" i="1"/>
  <c r="V155" i="1"/>
  <c r="Y155" i="1"/>
  <c r="X155" i="1"/>
  <c r="V160" i="1"/>
  <c r="Y160" i="1"/>
  <c r="X160" i="1"/>
  <c r="V165" i="1"/>
  <c r="Y165" i="1"/>
  <c r="X165" i="1"/>
  <c r="V170" i="1"/>
  <c r="Y170" i="1"/>
  <c r="X170" i="1"/>
  <c r="V175" i="1"/>
  <c r="Y175" i="1"/>
  <c r="X175" i="1"/>
  <c r="V180" i="1"/>
  <c r="Y180" i="1"/>
  <c r="X180" i="1"/>
  <c r="V185" i="1"/>
  <c r="Y185" i="1"/>
  <c r="X185" i="1"/>
  <c r="V190" i="1"/>
  <c r="Y190" i="1"/>
  <c r="X190" i="1"/>
  <c r="V195" i="1"/>
  <c r="Y195" i="1"/>
  <c r="X195" i="1"/>
  <c r="V200" i="1"/>
  <c r="Y200" i="1"/>
  <c r="X200" i="1"/>
  <c r="V207" i="1"/>
  <c r="Y207" i="1"/>
  <c r="X207" i="1"/>
  <c r="V212" i="1"/>
  <c r="Y212" i="1"/>
  <c r="X212" i="1"/>
  <c r="V217" i="1"/>
  <c r="Y217" i="1"/>
  <c r="X217" i="1"/>
  <c r="V222" i="1"/>
  <c r="Y222" i="1"/>
  <c r="X222" i="1"/>
  <c r="V227" i="1"/>
  <c r="Y227" i="1"/>
  <c r="X227" i="1"/>
  <c r="V232" i="1"/>
  <c r="Y232" i="1"/>
  <c r="X232" i="1"/>
  <c r="V237" i="1"/>
  <c r="Y237" i="1"/>
  <c r="X237" i="1"/>
  <c r="V242" i="1"/>
  <c r="Y242" i="1"/>
  <c r="X242" i="1"/>
  <c r="V247" i="1"/>
  <c r="Y247" i="1"/>
  <c r="X247" i="1"/>
  <c r="V252" i="1"/>
  <c r="Y252" i="1"/>
  <c r="X252" i="1"/>
  <c r="V257" i="1"/>
  <c r="Y257" i="1"/>
  <c r="X257" i="1"/>
  <c r="V262" i="1"/>
  <c r="Y262" i="1"/>
  <c r="X262" i="1"/>
  <c r="V267" i="1"/>
  <c r="Y267" i="1"/>
  <c r="X267" i="1"/>
  <c r="V272" i="1"/>
  <c r="Y272" i="1"/>
  <c r="X272" i="1"/>
  <c r="V277" i="1"/>
  <c r="Y277" i="1"/>
  <c r="X277" i="1"/>
  <c r="V282" i="1"/>
  <c r="Y282" i="1"/>
  <c r="X282" i="1"/>
  <c r="V287" i="1"/>
  <c r="Y287" i="1"/>
  <c r="X287" i="1"/>
  <c r="V292" i="1"/>
  <c r="Y292" i="1"/>
  <c r="X292" i="1"/>
  <c r="V297" i="1"/>
  <c r="Y297" i="1"/>
  <c r="X297" i="1"/>
  <c r="V302" i="1"/>
  <c r="Y302" i="1"/>
  <c r="X302" i="1"/>
  <c r="V307" i="1"/>
  <c r="Y307" i="1"/>
  <c r="X307" i="1"/>
  <c r="V312" i="1"/>
  <c r="Y312" i="1"/>
  <c r="X312" i="1"/>
  <c r="V317" i="1"/>
  <c r="Y317" i="1"/>
  <c r="X317" i="1"/>
  <c r="V322" i="1"/>
  <c r="Y322" i="1"/>
  <c r="X322" i="1"/>
  <c r="V327" i="1"/>
  <c r="Y327" i="1"/>
  <c r="X327" i="1"/>
  <c r="V332" i="1"/>
  <c r="Y332" i="1"/>
  <c r="X332" i="1"/>
  <c r="V337" i="1"/>
  <c r="Y337" i="1"/>
  <c r="X337" i="1"/>
  <c r="V342" i="1"/>
  <c r="Y342" i="1"/>
  <c r="X342" i="1"/>
  <c r="V347" i="1"/>
  <c r="Y347" i="1"/>
  <c r="X347" i="1"/>
  <c r="V352" i="1"/>
  <c r="Y352" i="1"/>
  <c r="X352" i="1"/>
  <c r="V357" i="1"/>
  <c r="Y357" i="1"/>
  <c r="X357" i="1"/>
  <c r="V362" i="1"/>
  <c r="Y362" i="1"/>
  <c r="X362" i="1"/>
  <c r="V367" i="1"/>
  <c r="Y367" i="1"/>
  <c r="X367" i="1"/>
  <c r="V372" i="1"/>
  <c r="Y372" i="1"/>
  <c r="X372" i="1"/>
  <c r="V377" i="1"/>
  <c r="Y377" i="1"/>
  <c r="X377" i="1"/>
  <c r="V382" i="1"/>
  <c r="Y382" i="1"/>
  <c r="X382" i="1"/>
  <c r="V387" i="1"/>
  <c r="Y387" i="1"/>
  <c r="X387" i="1"/>
  <c r="V392" i="1"/>
  <c r="Y392" i="1"/>
  <c r="X392" i="1"/>
  <c r="V397" i="1"/>
  <c r="Y397" i="1"/>
  <c r="X397" i="1"/>
  <c r="V402" i="1"/>
  <c r="Y402" i="1"/>
  <c r="X402" i="1"/>
  <c r="V407" i="1"/>
  <c r="Y407" i="1"/>
  <c r="X407" i="1"/>
  <c r="V412" i="1"/>
  <c r="Y412" i="1"/>
  <c r="X412" i="1"/>
  <c r="V417" i="1"/>
  <c r="Y417" i="1"/>
  <c r="X417" i="1"/>
  <c r="V422" i="1"/>
  <c r="Y422" i="1"/>
  <c r="X422" i="1"/>
  <c r="V427" i="1"/>
  <c r="Y427" i="1"/>
  <c r="X427" i="1"/>
  <c r="V432" i="1"/>
  <c r="Y432" i="1"/>
  <c r="X432" i="1"/>
  <c r="V437" i="1"/>
  <c r="Y437" i="1"/>
  <c r="X437" i="1"/>
  <c r="V442" i="1"/>
  <c r="Y442" i="1"/>
  <c r="X442" i="1"/>
  <c r="V447" i="1"/>
  <c r="Y447" i="1"/>
  <c r="X447" i="1"/>
  <c r="V452" i="1"/>
  <c r="Y452" i="1"/>
  <c r="X452" i="1"/>
  <c r="V457" i="1"/>
  <c r="Y457" i="1"/>
  <c r="X457" i="1"/>
  <c r="V462" i="1"/>
  <c r="Y462" i="1"/>
  <c r="X462" i="1"/>
  <c r="V467" i="1"/>
  <c r="Y467" i="1"/>
  <c r="X467" i="1"/>
  <c r="V472" i="1"/>
  <c r="Y472" i="1"/>
  <c r="X472" i="1"/>
  <c r="V477" i="1"/>
  <c r="Y477" i="1"/>
  <c r="X477" i="1"/>
  <c r="V482" i="1"/>
  <c r="Y482" i="1"/>
  <c r="X482" i="1"/>
  <c r="V487" i="1"/>
  <c r="Y487" i="1"/>
  <c r="X487" i="1"/>
  <c r="V492" i="1"/>
  <c r="Y492" i="1"/>
  <c r="X492" i="1"/>
  <c r="V497" i="1"/>
  <c r="Y497" i="1"/>
  <c r="X497" i="1"/>
  <c r="V502" i="1"/>
  <c r="Y502" i="1"/>
  <c r="X502" i="1"/>
  <c r="V507" i="1"/>
  <c r="Y507" i="1"/>
  <c r="X507" i="1"/>
  <c r="V512" i="1"/>
  <c r="Y512" i="1"/>
  <c r="X512" i="1"/>
  <c r="V517" i="1"/>
  <c r="Y517" i="1"/>
  <c r="X517" i="1"/>
  <c r="V522" i="1"/>
  <c r="Y522" i="1"/>
  <c r="X522" i="1"/>
  <c r="V527" i="1"/>
  <c r="Y527" i="1"/>
  <c r="X527" i="1"/>
  <c r="V532" i="1"/>
  <c r="Y532" i="1"/>
  <c r="X532" i="1"/>
  <c r="V537" i="1"/>
  <c r="Y537" i="1"/>
  <c r="X537" i="1"/>
  <c r="V542" i="1"/>
  <c r="Y542" i="1"/>
  <c r="X542" i="1"/>
  <c r="V547" i="1"/>
  <c r="Y547" i="1"/>
  <c r="X547" i="1"/>
  <c r="V552" i="1"/>
  <c r="Y552" i="1"/>
  <c r="X552" i="1"/>
  <c r="V557" i="1"/>
  <c r="Y557" i="1"/>
  <c r="X557" i="1"/>
  <c r="V562" i="1"/>
  <c r="Y562" i="1"/>
  <c r="X562" i="1"/>
  <c r="V567" i="1"/>
  <c r="Y567" i="1"/>
  <c r="X567" i="1"/>
  <c r="V572" i="1"/>
  <c r="Y572" i="1"/>
  <c r="X572" i="1"/>
  <c r="V577" i="1"/>
  <c r="Y577" i="1"/>
  <c r="X577" i="1"/>
  <c r="V582" i="1"/>
  <c r="Y582" i="1"/>
  <c r="X582" i="1"/>
  <c r="V587" i="1"/>
  <c r="Y587" i="1"/>
  <c r="X587" i="1"/>
  <c r="V592" i="1"/>
  <c r="Y592" i="1"/>
  <c r="X592" i="1"/>
  <c r="V597" i="1"/>
  <c r="Y597" i="1"/>
  <c r="X597" i="1"/>
  <c r="V602" i="1"/>
  <c r="Y602" i="1"/>
  <c r="X602" i="1"/>
  <c r="V607" i="1"/>
  <c r="Y607" i="1"/>
  <c r="X607" i="1"/>
  <c r="V612" i="1"/>
  <c r="Y612" i="1"/>
  <c r="X612" i="1"/>
  <c r="V617" i="1"/>
  <c r="Y617" i="1"/>
  <c r="X617" i="1"/>
  <c r="V622" i="1"/>
  <c r="Y622" i="1"/>
  <c r="X622" i="1"/>
  <c r="V627" i="1"/>
  <c r="Y627" i="1"/>
  <c r="X627" i="1"/>
  <c r="V632" i="1"/>
  <c r="Y632" i="1"/>
  <c r="X632" i="1"/>
  <c r="V637" i="1"/>
  <c r="Y637" i="1"/>
  <c r="X637" i="1"/>
  <c r="V642" i="1"/>
  <c r="Y642" i="1"/>
  <c r="X642" i="1"/>
  <c r="V647" i="1"/>
  <c r="Y647" i="1"/>
  <c r="X647" i="1"/>
  <c r="V652" i="1"/>
  <c r="Y652" i="1"/>
  <c r="X652" i="1"/>
  <c r="V657" i="1"/>
  <c r="Y657" i="1"/>
  <c r="X657" i="1"/>
  <c r="V662" i="1"/>
  <c r="Y662" i="1"/>
  <c r="X662" i="1"/>
  <c r="V667" i="1"/>
  <c r="Y667" i="1"/>
  <c r="X667" i="1"/>
  <c r="V672" i="1"/>
  <c r="Y672" i="1"/>
  <c r="X672" i="1"/>
  <c r="V677" i="1"/>
  <c r="Y677" i="1"/>
  <c r="X677" i="1"/>
  <c r="V682" i="1"/>
  <c r="Y682" i="1"/>
  <c r="X682" i="1"/>
  <c r="V687" i="1"/>
  <c r="Y687" i="1"/>
  <c r="X687" i="1"/>
  <c r="V692" i="1"/>
  <c r="Y692" i="1"/>
  <c r="X692" i="1"/>
  <c r="V697" i="1"/>
  <c r="Y697" i="1"/>
  <c r="X697" i="1"/>
  <c r="V702" i="1"/>
  <c r="Y702" i="1"/>
  <c r="X702" i="1"/>
  <c r="V713" i="1"/>
  <c r="Y713" i="1"/>
  <c r="X713" i="1"/>
  <c r="V718" i="1"/>
  <c r="Y718" i="1"/>
  <c r="X718" i="1"/>
  <c r="V723" i="1"/>
  <c r="Y723" i="1"/>
  <c r="X723" i="1"/>
  <c r="V728" i="1"/>
  <c r="Y728" i="1"/>
  <c r="X728" i="1"/>
  <c r="V733" i="1"/>
  <c r="Y733" i="1"/>
  <c r="X733" i="1"/>
  <c r="V738" i="1"/>
  <c r="Y738" i="1"/>
  <c r="X738" i="1"/>
  <c r="V743" i="1"/>
  <c r="Y743" i="1"/>
  <c r="X743" i="1"/>
  <c r="V748" i="1"/>
  <c r="Y748" i="1"/>
  <c r="X748" i="1"/>
  <c r="V753" i="1"/>
  <c r="Y753" i="1"/>
  <c r="X753" i="1"/>
  <c r="V758" i="1"/>
  <c r="Y758" i="1"/>
  <c r="X758" i="1"/>
  <c r="V765" i="1"/>
  <c r="Y765" i="1"/>
  <c r="X765" i="1"/>
  <c r="V770" i="1"/>
  <c r="Y770" i="1"/>
  <c r="X770" i="1"/>
  <c r="V775" i="1"/>
  <c r="Y775" i="1"/>
  <c r="X775" i="1"/>
  <c r="V780" i="1"/>
  <c r="Y780" i="1"/>
  <c r="X780" i="1"/>
  <c r="V785" i="1"/>
  <c r="Y785" i="1"/>
  <c r="X785" i="1"/>
  <c r="V790" i="1"/>
  <c r="Y790" i="1"/>
  <c r="X790" i="1"/>
  <c r="V795" i="1"/>
  <c r="Y795" i="1"/>
  <c r="X795" i="1"/>
  <c r="V800" i="1"/>
  <c r="Y800" i="1"/>
  <c r="X800" i="1"/>
  <c r="V805" i="1"/>
  <c r="Y805" i="1"/>
  <c r="X805" i="1"/>
  <c r="V810" i="1"/>
  <c r="Y810" i="1"/>
  <c r="X810" i="1"/>
  <c r="V815" i="1"/>
  <c r="Y815" i="1"/>
  <c r="X815" i="1"/>
  <c r="V820" i="1"/>
  <c r="Y820" i="1"/>
  <c r="X820" i="1"/>
  <c r="V825" i="1"/>
  <c r="Y825" i="1"/>
  <c r="X825" i="1"/>
  <c r="V830" i="1"/>
  <c r="Y830" i="1"/>
  <c r="X830" i="1"/>
  <c r="V835" i="1"/>
  <c r="Y835" i="1"/>
  <c r="X835" i="1"/>
  <c r="V840" i="1"/>
  <c r="Y840" i="1"/>
  <c r="X840" i="1"/>
  <c r="V845" i="1"/>
  <c r="Y845" i="1"/>
  <c r="X845" i="1"/>
  <c r="V850" i="1"/>
  <c r="Y850" i="1"/>
  <c r="X850" i="1"/>
  <c r="V855" i="1"/>
  <c r="Y855" i="1"/>
  <c r="X855" i="1"/>
  <c r="V860" i="1"/>
  <c r="Y860" i="1"/>
  <c r="X860" i="1"/>
  <c r="V865" i="1"/>
  <c r="Y865" i="1"/>
  <c r="X865" i="1"/>
  <c r="V870" i="1"/>
  <c r="Y870" i="1"/>
  <c r="X870" i="1"/>
  <c r="V875" i="1"/>
  <c r="Y875" i="1"/>
  <c r="X875" i="1"/>
  <c r="V880" i="1"/>
  <c r="Y880" i="1"/>
  <c r="X880" i="1"/>
  <c r="V885" i="1"/>
  <c r="Y885" i="1"/>
  <c r="X885" i="1"/>
  <c r="V890" i="1"/>
  <c r="Y890" i="1"/>
  <c r="X890" i="1"/>
  <c r="V895" i="1"/>
  <c r="Y895" i="1"/>
  <c r="X895" i="1"/>
  <c r="V900" i="1"/>
  <c r="Y900" i="1"/>
  <c r="X900" i="1"/>
  <c r="V905" i="1"/>
  <c r="Y905" i="1"/>
  <c r="X905" i="1"/>
  <c r="V910" i="1"/>
  <c r="Y910" i="1"/>
  <c r="X910" i="1"/>
  <c r="V915" i="1"/>
  <c r="Y915" i="1"/>
  <c r="X915" i="1"/>
  <c r="V920" i="1"/>
  <c r="Y920" i="1"/>
  <c r="X920" i="1"/>
  <c r="V925" i="1"/>
  <c r="Y925" i="1"/>
  <c r="X925" i="1"/>
  <c r="V930" i="1"/>
  <c r="Y930" i="1"/>
  <c r="X930" i="1"/>
  <c r="V935" i="1"/>
  <c r="Y935" i="1"/>
  <c r="X935" i="1"/>
  <c r="V940" i="1"/>
  <c r="Y940" i="1"/>
  <c r="X940" i="1"/>
  <c r="V945" i="1"/>
  <c r="Y945" i="1"/>
  <c r="X945" i="1"/>
  <c r="V950" i="1"/>
  <c r="Y950" i="1"/>
  <c r="X950" i="1"/>
  <c r="V955" i="1"/>
  <c r="Y955" i="1"/>
  <c r="X955" i="1"/>
  <c r="V960" i="1"/>
  <c r="Y960" i="1"/>
  <c r="X960" i="1"/>
  <c r="V965" i="1"/>
  <c r="Y965" i="1"/>
  <c r="X965" i="1"/>
  <c r="V970" i="1"/>
  <c r="Y970" i="1"/>
  <c r="X970" i="1"/>
  <c r="V975" i="1"/>
  <c r="Y975" i="1"/>
  <c r="X975" i="1"/>
  <c r="V980" i="1"/>
  <c r="Y980" i="1"/>
  <c r="X980" i="1"/>
  <c r="V985" i="1"/>
  <c r="Y985" i="1"/>
  <c r="X985" i="1"/>
  <c r="V990" i="1"/>
  <c r="Y990" i="1"/>
  <c r="X990" i="1"/>
  <c r="V995" i="1"/>
  <c r="Y995" i="1"/>
  <c r="X995" i="1"/>
  <c r="V1000" i="1"/>
  <c r="Y1000" i="1"/>
  <c r="X1000" i="1"/>
  <c r="V1005" i="1"/>
  <c r="Y1005" i="1"/>
  <c r="X1005" i="1"/>
  <c r="V1010" i="1"/>
  <c r="Y1010" i="1"/>
  <c r="X1010" i="1"/>
  <c r="V1015" i="1"/>
  <c r="Y1015" i="1"/>
  <c r="X1015" i="1"/>
  <c r="V1020" i="1"/>
  <c r="Y1020" i="1"/>
  <c r="X1020" i="1"/>
  <c r="V1025" i="1"/>
  <c r="Y1025" i="1"/>
  <c r="X1025" i="1"/>
  <c r="V1030" i="1"/>
  <c r="Y1030" i="1"/>
  <c r="X1030" i="1"/>
  <c r="V1035" i="1"/>
  <c r="Y1035" i="1"/>
  <c r="X1035" i="1"/>
  <c r="V1040" i="1"/>
  <c r="Y1040" i="1"/>
  <c r="X1040" i="1"/>
  <c r="V1045" i="1"/>
  <c r="Y1045" i="1"/>
  <c r="X1045" i="1"/>
  <c r="V1050" i="1"/>
  <c r="Y1050" i="1"/>
  <c r="X1050" i="1"/>
  <c r="V1055" i="1"/>
  <c r="Y1055" i="1"/>
  <c r="X1055" i="1"/>
  <c r="V1060" i="1"/>
  <c r="Y1060" i="1"/>
  <c r="X1060" i="1"/>
  <c r="V1065" i="1"/>
  <c r="Y1065" i="1"/>
  <c r="X1065" i="1"/>
  <c r="V1078" i="1"/>
  <c r="Y1078" i="1"/>
  <c r="X1078" i="1"/>
  <c r="V1080" i="1"/>
  <c r="Y1080" i="1"/>
  <c r="X1080" i="1"/>
  <c r="V1177" i="1"/>
  <c r="Y1177" i="1"/>
  <c r="X1177" i="1"/>
  <c r="V3" i="1"/>
  <c r="Y3" i="1"/>
  <c r="X3" i="1"/>
  <c r="V4" i="1"/>
  <c r="Y4" i="1"/>
  <c r="X4" i="1"/>
  <c r="V5" i="1"/>
  <c r="Y5" i="1"/>
  <c r="X5" i="1"/>
  <c r="V6" i="1"/>
  <c r="Y6" i="1"/>
  <c r="X6" i="1"/>
  <c r="V7" i="1"/>
  <c r="Y7" i="1"/>
  <c r="X7" i="1"/>
  <c r="V8" i="1"/>
  <c r="Y8" i="1"/>
  <c r="X8" i="1"/>
  <c r="V9" i="1"/>
  <c r="Y9" i="1"/>
  <c r="X9" i="1"/>
  <c r="V10" i="1"/>
  <c r="Y10" i="1"/>
  <c r="X10" i="1"/>
  <c r="V11" i="1"/>
  <c r="Y11" i="1"/>
  <c r="X11" i="1"/>
  <c r="V12" i="1"/>
  <c r="Y12" i="1"/>
  <c r="X12" i="1"/>
  <c r="V13" i="1"/>
  <c r="Y13" i="1"/>
  <c r="X13" i="1"/>
  <c r="V14" i="1"/>
  <c r="Y14" i="1"/>
  <c r="X14" i="1"/>
  <c r="V15" i="1"/>
  <c r="Y15" i="1"/>
  <c r="X15" i="1"/>
  <c r="V16" i="1"/>
  <c r="Y16" i="1"/>
  <c r="X16" i="1"/>
  <c r="V17" i="1"/>
  <c r="Y17" i="1"/>
  <c r="X17" i="1"/>
  <c r="V18" i="1"/>
  <c r="Y18" i="1"/>
  <c r="X18" i="1"/>
  <c r="V19" i="1"/>
  <c r="Y19" i="1"/>
  <c r="X19" i="1"/>
  <c r="V20" i="1"/>
  <c r="Y20" i="1"/>
  <c r="X20" i="1"/>
  <c r="V21" i="1"/>
  <c r="Y21" i="1"/>
  <c r="X21" i="1"/>
  <c r="V22" i="1"/>
  <c r="Y22" i="1"/>
  <c r="X22" i="1"/>
  <c r="V23" i="1"/>
  <c r="Y23" i="1"/>
  <c r="X23" i="1"/>
  <c r="V24" i="1"/>
  <c r="Y24" i="1"/>
  <c r="X24" i="1"/>
  <c r="V25" i="1"/>
  <c r="Y25" i="1"/>
  <c r="X25" i="1"/>
  <c r="V26" i="1"/>
  <c r="Y26" i="1"/>
  <c r="X26" i="1"/>
  <c r="V27" i="1"/>
  <c r="Y27" i="1"/>
  <c r="X27" i="1"/>
  <c r="V28" i="1"/>
  <c r="Y28" i="1"/>
  <c r="X28" i="1"/>
  <c r="V29" i="1"/>
  <c r="Y29" i="1"/>
  <c r="X29" i="1"/>
  <c r="V30" i="1"/>
  <c r="Y30" i="1"/>
  <c r="X30" i="1"/>
  <c r="V31" i="1"/>
  <c r="Y31" i="1"/>
  <c r="X31" i="1"/>
  <c r="V32" i="1"/>
  <c r="Y32" i="1"/>
  <c r="X32" i="1"/>
  <c r="V33" i="1"/>
  <c r="Y33" i="1"/>
  <c r="X33" i="1"/>
  <c r="V34" i="1"/>
  <c r="Y34" i="1"/>
  <c r="X34" i="1"/>
  <c r="V35" i="1"/>
  <c r="Y35" i="1"/>
  <c r="X35" i="1"/>
  <c r="V36" i="1"/>
  <c r="Y36" i="1"/>
  <c r="X36" i="1"/>
  <c r="V37" i="1"/>
  <c r="Y37" i="1"/>
  <c r="X37" i="1"/>
  <c r="V38" i="1"/>
  <c r="Y38" i="1"/>
  <c r="X38" i="1"/>
  <c r="V39" i="1"/>
  <c r="Y39" i="1"/>
  <c r="X39" i="1"/>
  <c r="V40" i="1"/>
  <c r="Y40" i="1"/>
  <c r="X40" i="1"/>
  <c r="V41" i="1"/>
  <c r="Y41" i="1"/>
  <c r="X41" i="1"/>
  <c r="V42" i="1"/>
  <c r="Y42" i="1"/>
  <c r="X42" i="1"/>
  <c r="V43" i="1"/>
  <c r="Y43" i="1"/>
  <c r="X43" i="1"/>
  <c r="V44" i="1"/>
  <c r="Y44" i="1"/>
  <c r="X44" i="1"/>
  <c r="V45" i="1"/>
  <c r="Y45" i="1"/>
  <c r="X45" i="1"/>
  <c r="V46" i="1"/>
  <c r="Y46" i="1"/>
  <c r="X46" i="1"/>
  <c r="V47" i="1"/>
  <c r="Y47" i="1"/>
  <c r="X47" i="1"/>
  <c r="V48" i="1"/>
  <c r="Y48" i="1"/>
  <c r="X48" i="1"/>
  <c r="V49" i="1"/>
  <c r="Y49" i="1"/>
  <c r="X49" i="1"/>
  <c r="V50" i="1"/>
  <c r="Y50" i="1"/>
  <c r="X50" i="1"/>
  <c r="V51" i="1"/>
  <c r="Y51" i="1"/>
  <c r="X51" i="1"/>
  <c r="V52" i="1"/>
  <c r="Y52" i="1"/>
  <c r="X52" i="1"/>
  <c r="V53" i="1"/>
  <c r="Y53" i="1"/>
  <c r="X53" i="1"/>
  <c r="V54" i="1"/>
  <c r="Y54" i="1"/>
  <c r="X54" i="1"/>
  <c r="V55" i="1"/>
  <c r="Y55" i="1"/>
  <c r="X55" i="1"/>
  <c r="V56" i="1"/>
  <c r="Y56" i="1"/>
  <c r="X56" i="1"/>
  <c r="V57" i="1"/>
  <c r="Y57" i="1"/>
  <c r="X57" i="1"/>
  <c r="V58" i="1"/>
  <c r="Y58" i="1"/>
  <c r="X58" i="1"/>
  <c r="V59" i="1"/>
  <c r="Y59" i="1"/>
  <c r="X59" i="1"/>
  <c r="V61" i="1"/>
  <c r="Y61" i="1"/>
  <c r="X61" i="1"/>
  <c r="V60" i="1"/>
  <c r="Y60" i="1"/>
  <c r="X60" i="1"/>
  <c r="V62" i="1"/>
  <c r="Y62" i="1"/>
  <c r="X62" i="1"/>
  <c r="V63" i="1"/>
  <c r="Y63" i="1"/>
  <c r="X63" i="1"/>
  <c r="V64" i="1"/>
  <c r="Y64" i="1"/>
  <c r="X64" i="1"/>
  <c r="V65" i="1"/>
  <c r="Y65" i="1"/>
  <c r="X65" i="1"/>
  <c r="V66" i="1"/>
  <c r="Y66" i="1"/>
  <c r="X66" i="1"/>
  <c r="V68" i="1"/>
  <c r="Y68" i="1"/>
  <c r="X68" i="1"/>
  <c r="V67" i="1"/>
  <c r="Y67" i="1"/>
  <c r="X67" i="1"/>
  <c r="V69" i="1"/>
  <c r="Y69" i="1"/>
  <c r="X69" i="1"/>
  <c r="V70" i="1"/>
  <c r="Y70" i="1"/>
  <c r="X70" i="1"/>
  <c r="V71" i="1"/>
  <c r="Y71" i="1"/>
  <c r="X71" i="1"/>
  <c r="V72" i="1"/>
  <c r="Y72" i="1"/>
  <c r="X72" i="1"/>
  <c r="V73" i="1"/>
  <c r="Y73" i="1"/>
  <c r="X73" i="1"/>
  <c r="V74" i="1"/>
  <c r="Y74" i="1"/>
  <c r="X74" i="1"/>
  <c r="V75" i="1"/>
  <c r="Y75" i="1"/>
  <c r="X75" i="1"/>
  <c r="V76" i="1"/>
  <c r="Y76" i="1"/>
  <c r="X76" i="1"/>
  <c r="V77" i="1"/>
  <c r="Y77" i="1"/>
  <c r="X77" i="1"/>
  <c r="V78" i="1"/>
  <c r="Y78" i="1"/>
  <c r="X78" i="1"/>
  <c r="V79" i="1"/>
  <c r="Y79" i="1"/>
  <c r="X79" i="1"/>
  <c r="V80" i="1"/>
  <c r="Y80" i="1"/>
  <c r="X80" i="1"/>
  <c r="V81" i="1"/>
  <c r="Y81" i="1"/>
  <c r="X81" i="1"/>
  <c r="V82" i="1"/>
  <c r="Y82" i="1"/>
  <c r="X82" i="1"/>
  <c r="V83" i="1"/>
  <c r="Y83" i="1"/>
  <c r="X83" i="1"/>
  <c r="V84" i="1"/>
  <c r="Y84" i="1"/>
  <c r="X84" i="1"/>
  <c r="V85" i="1"/>
  <c r="Y85" i="1"/>
  <c r="X85" i="1"/>
  <c r="V86" i="1"/>
  <c r="Y86" i="1"/>
  <c r="X86" i="1"/>
  <c r="V87" i="1"/>
  <c r="Y87" i="1"/>
  <c r="X87" i="1"/>
  <c r="V88" i="1"/>
  <c r="Y88" i="1"/>
  <c r="X88" i="1"/>
  <c r="V89" i="1"/>
  <c r="Y89" i="1"/>
  <c r="X89" i="1"/>
  <c r="V90" i="1"/>
  <c r="Y90" i="1"/>
  <c r="X90" i="1"/>
  <c r="V91" i="1"/>
  <c r="Y91" i="1"/>
  <c r="X91" i="1"/>
  <c r="V92" i="1"/>
  <c r="Y92" i="1"/>
  <c r="X92" i="1"/>
  <c r="V93" i="1"/>
  <c r="Y93" i="1"/>
  <c r="X93" i="1"/>
  <c r="V94" i="1"/>
  <c r="Y94" i="1"/>
  <c r="X94" i="1"/>
  <c r="V95" i="1"/>
  <c r="Y95" i="1"/>
  <c r="X95" i="1"/>
  <c r="V96" i="1"/>
  <c r="Y96" i="1"/>
  <c r="X96" i="1"/>
  <c r="V97" i="1"/>
  <c r="Y97" i="1"/>
  <c r="X97" i="1"/>
  <c r="V98" i="1"/>
  <c r="Y98" i="1"/>
  <c r="X98" i="1"/>
  <c r="V99" i="1"/>
  <c r="Y99" i="1"/>
  <c r="X99" i="1"/>
  <c r="V100" i="1"/>
  <c r="Y100" i="1"/>
  <c r="X100" i="1"/>
  <c r="V101" i="1"/>
  <c r="Y101" i="1"/>
  <c r="X101" i="1"/>
  <c r="V102" i="1"/>
  <c r="Y102" i="1"/>
  <c r="X102" i="1"/>
  <c r="V103" i="1"/>
  <c r="Y103" i="1"/>
  <c r="X103" i="1"/>
  <c r="V104" i="1"/>
  <c r="Y104" i="1"/>
  <c r="X104" i="1"/>
  <c r="V105" i="1"/>
  <c r="Y105" i="1"/>
  <c r="X105" i="1"/>
  <c r="V106" i="1"/>
  <c r="Y106" i="1"/>
  <c r="X106" i="1"/>
  <c r="V107" i="1"/>
  <c r="Y107" i="1"/>
  <c r="X107" i="1"/>
  <c r="V108" i="1"/>
  <c r="Y108" i="1"/>
  <c r="X108" i="1"/>
  <c r="V109" i="1"/>
  <c r="Y109" i="1"/>
  <c r="X109" i="1"/>
  <c r="V110" i="1"/>
  <c r="Y110" i="1"/>
  <c r="X110" i="1"/>
  <c r="V111" i="1"/>
  <c r="Y111" i="1"/>
  <c r="X111" i="1"/>
  <c r="V112" i="1"/>
  <c r="Y112" i="1"/>
  <c r="X112" i="1"/>
  <c r="V113" i="1"/>
  <c r="Y113" i="1"/>
  <c r="X113" i="1"/>
  <c r="V114" i="1"/>
  <c r="Y114" i="1"/>
  <c r="X114" i="1"/>
  <c r="V115" i="1"/>
  <c r="Y115" i="1"/>
  <c r="X115" i="1"/>
  <c r="V116" i="1"/>
  <c r="Y116" i="1"/>
  <c r="X116" i="1"/>
  <c r="V117" i="1"/>
  <c r="Y117" i="1"/>
  <c r="X117" i="1"/>
  <c r="V118" i="1"/>
  <c r="Y118" i="1"/>
  <c r="X118" i="1"/>
  <c r="V119" i="1"/>
  <c r="Y119" i="1"/>
  <c r="X119" i="1"/>
  <c r="V120" i="1"/>
  <c r="Y120" i="1"/>
  <c r="X120" i="1"/>
  <c r="V125" i="1"/>
  <c r="Y125" i="1"/>
  <c r="X125" i="1"/>
  <c r="V126" i="1"/>
  <c r="Y126" i="1"/>
  <c r="X126" i="1"/>
  <c r="V127" i="1"/>
  <c r="Y127" i="1"/>
  <c r="X127" i="1"/>
  <c r="V129" i="1"/>
  <c r="Y129" i="1"/>
  <c r="X129" i="1"/>
  <c r="V131" i="1"/>
  <c r="Y131" i="1"/>
  <c r="X131" i="1"/>
  <c r="V138" i="1"/>
  <c r="Y138" i="1"/>
  <c r="X138" i="1"/>
  <c r="V139" i="1"/>
  <c r="Y139" i="1"/>
  <c r="X139" i="1"/>
  <c r="V135" i="1"/>
  <c r="Y135" i="1"/>
  <c r="X135" i="1"/>
  <c r="V140" i="1"/>
  <c r="Y140" i="1"/>
  <c r="X140" i="1"/>
  <c r="V142" i="1"/>
  <c r="Y142" i="1"/>
  <c r="X142" i="1"/>
  <c r="V144" i="1"/>
  <c r="Y144" i="1"/>
  <c r="X144" i="1"/>
  <c r="V146" i="1"/>
  <c r="Y146" i="1"/>
  <c r="X146" i="1"/>
  <c r="V148" i="1"/>
  <c r="Y148" i="1"/>
  <c r="X148" i="1"/>
  <c r="V150" i="1"/>
  <c r="Y150" i="1"/>
  <c r="X150" i="1"/>
  <c r="V156" i="1"/>
  <c r="Y156" i="1"/>
  <c r="X156" i="1"/>
  <c r="V161" i="1"/>
  <c r="Y161" i="1"/>
  <c r="X161" i="1"/>
  <c r="V166" i="1"/>
  <c r="Y166" i="1"/>
  <c r="X166" i="1"/>
  <c r="V171" i="1"/>
  <c r="Y171" i="1"/>
  <c r="X171" i="1"/>
  <c r="V176" i="1"/>
  <c r="Y176" i="1"/>
  <c r="X176" i="1"/>
  <c r="V181" i="1"/>
  <c r="Y181" i="1"/>
  <c r="X181" i="1"/>
  <c r="V186" i="1"/>
  <c r="Y186" i="1"/>
  <c r="X186" i="1"/>
  <c r="V191" i="1"/>
  <c r="Y191" i="1"/>
  <c r="X191" i="1"/>
  <c r="V196" i="1"/>
  <c r="Y196" i="1"/>
  <c r="X196" i="1"/>
  <c r="V201" i="1"/>
  <c r="Y201" i="1"/>
  <c r="X201" i="1"/>
  <c r="V202" i="1"/>
  <c r="Y202" i="1"/>
  <c r="X202" i="1"/>
  <c r="V203" i="1"/>
  <c r="Y203" i="1"/>
  <c r="X203" i="1"/>
  <c r="V208" i="1"/>
  <c r="Y208" i="1"/>
  <c r="X208" i="1"/>
  <c r="V213" i="1"/>
  <c r="Y213" i="1"/>
  <c r="X213" i="1"/>
  <c r="V218" i="1"/>
  <c r="Y218" i="1"/>
  <c r="X218" i="1"/>
  <c r="V223" i="1"/>
  <c r="Y223" i="1"/>
  <c r="X223" i="1"/>
  <c r="V228" i="1"/>
  <c r="Y228" i="1"/>
  <c r="X228" i="1"/>
  <c r="V233" i="1"/>
  <c r="Y233" i="1"/>
  <c r="X233" i="1"/>
  <c r="V238" i="1"/>
  <c r="Y238" i="1"/>
  <c r="X238" i="1"/>
  <c r="V243" i="1"/>
  <c r="Y243" i="1"/>
  <c r="X243" i="1"/>
  <c r="V248" i="1"/>
  <c r="Y248" i="1"/>
  <c r="X248" i="1"/>
  <c r="V253" i="1"/>
  <c r="Y253" i="1"/>
  <c r="X253" i="1"/>
  <c r="V258" i="1"/>
  <c r="Y258" i="1"/>
  <c r="X258" i="1"/>
  <c r="V263" i="1"/>
  <c r="Y263" i="1"/>
  <c r="X263" i="1"/>
  <c r="V268" i="1"/>
  <c r="Y268" i="1"/>
  <c r="X268" i="1"/>
  <c r="V273" i="1"/>
  <c r="Y273" i="1"/>
  <c r="X273" i="1"/>
  <c r="V278" i="1"/>
  <c r="Y278" i="1"/>
  <c r="X278" i="1"/>
  <c r="V283" i="1"/>
  <c r="Y283" i="1"/>
  <c r="X283" i="1"/>
  <c r="V288" i="1"/>
  <c r="Y288" i="1"/>
  <c r="X288" i="1"/>
  <c r="V293" i="1"/>
  <c r="Y293" i="1"/>
  <c r="X293" i="1"/>
  <c r="V298" i="1"/>
  <c r="Y298" i="1"/>
  <c r="X298" i="1"/>
  <c r="V303" i="1"/>
  <c r="Y303" i="1"/>
  <c r="X303" i="1"/>
  <c r="V308" i="1"/>
  <c r="Y308" i="1"/>
  <c r="X308" i="1"/>
  <c r="V313" i="1"/>
  <c r="Y313" i="1"/>
  <c r="X313" i="1"/>
  <c r="V318" i="1"/>
  <c r="Y318" i="1"/>
  <c r="X318" i="1"/>
  <c r="V323" i="1"/>
  <c r="Y323" i="1"/>
  <c r="X323" i="1"/>
  <c r="V328" i="1"/>
  <c r="Y328" i="1"/>
  <c r="X328" i="1"/>
  <c r="V333" i="1"/>
  <c r="Y333" i="1"/>
  <c r="X333" i="1"/>
  <c r="V338" i="1"/>
  <c r="Y338" i="1"/>
  <c r="X338" i="1"/>
  <c r="V343" i="1"/>
  <c r="Y343" i="1"/>
  <c r="X343" i="1"/>
  <c r="V348" i="1"/>
  <c r="Y348" i="1"/>
  <c r="X348" i="1"/>
  <c r="V353" i="1"/>
  <c r="Y353" i="1"/>
  <c r="X353" i="1"/>
  <c r="V358" i="1"/>
  <c r="Y358" i="1"/>
  <c r="X358" i="1"/>
  <c r="V363" i="1"/>
  <c r="Y363" i="1"/>
  <c r="X363" i="1"/>
  <c r="V368" i="1"/>
  <c r="Y368" i="1"/>
  <c r="X368" i="1"/>
  <c r="V373" i="1"/>
  <c r="Y373" i="1"/>
  <c r="X373" i="1"/>
  <c r="V378" i="1"/>
  <c r="Y378" i="1"/>
  <c r="X378" i="1"/>
  <c r="V383" i="1"/>
  <c r="Y383" i="1"/>
  <c r="X383" i="1"/>
  <c r="V388" i="1"/>
  <c r="Y388" i="1"/>
  <c r="X388" i="1"/>
  <c r="V393" i="1"/>
  <c r="Y393" i="1"/>
  <c r="X393" i="1"/>
  <c r="V398" i="1"/>
  <c r="Y398" i="1"/>
  <c r="X398" i="1"/>
  <c r="V403" i="1"/>
  <c r="Y403" i="1"/>
  <c r="X403" i="1"/>
  <c r="V408" i="1"/>
  <c r="Y408" i="1"/>
  <c r="X408" i="1"/>
  <c r="V413" i="1"/>
  <c r="Y413" i="1"/>
  <c r="X413" i="1"/>
  <c r="V418" i="1"/>
  <c r="Y418" i="1"/>
  <c r="X418" i="1"/>
  <c r="V423" i="1"/>
  <c r="Y423" i="1"/>
  <c r="X423" i="1"/>
  <c r="V428" i="1"/>
  <c r="Y428" i="1"/>
  <c r="X428" i="1"/>
  <c r="V433" i="1"/>
  <c r="Y433" i="1"/>
  <c r="X433" i="1"/>
  <c r="V438" i="1"/>
  <c r="Y438" i="1"/>
  <c r="X438" i="1"/>
  <c r="V443" i="1"/>
  <c r="Y443" i="1"/>
  <c r="X443" i="1"/>
  <c r="V448" i="1"/>
  <c r="Y448" i="1"/>
  <c r="X448" i="1"/>
  <c r="V453" i="1"/>
  <c r="Y453" i="1"/>
  <c r="X453" i="1"/>
  <c r="V458" i="1"/>
  <c r="Y458" i="1"/>
  <c r="X458" i="1"/>
  <c r="V463" i="1"/>
  <c r="Y463" i="1"/>
  <c r="X463" i="1"/>
  <c r="V468" i="1"/>
  <c r="Y468" i="1"/>
  <c r="X468" i="1"/>
  <c r="V473" i="1"/>
  <c r="Y473" i="1"/>
  <c r="X473" i="1"/>
  <c r="V478" i="1"/>
  <c r="Y478" i="1"/>
  <c r="X478" i="1"/>
  <c r="V483" i="1"/>
  <c r="Y483" i="1"/>
  <c r="X483" i="1"/>
  <c r="V488" i="1"/>
  <c r="Y488" i="1"/>
  <c r="X488" i="1"/>
  <c r="V493" i="1"/>
  <c r="Y493" i="1"/>
  <c r="X493" i="1"/>
  <c r="V498" i="1"/>
  <c r="Y498" i="1"/>
  <c r="X498" i="1"/>
  <c r="V503" i="1"/>
  <c r="Y503" i="1"/>
  <c r="X503" i="1"/>
  <c r="V508" i="1"/>
  <c r="Y508" i="1"/>
  <c r="X508" i="1"/>
  <c r="V513" i="1"/>
  <c r="Y513" i="1"/>
  <c r="X513" i="1"/>
  <c r="V518" i="1"/>
  <c r="Y518" i="1"/>
  <c r="X518" i="1"/>
  <c r="V523" i="1"/>
  <c r="Y523" i="1"/>
  <c r="X523" i="1"/>
  <c r="V528" i="1"/>
  <c r="Y528" i="1"/>
  <c r="X528" i="1"/>
  <c r="V533" i="1"/>
  <c r="Y533" i="1"/>
  <c r="X533" i="1"/>
  <c r="V538" i="1"/>
  <c r="Y538" i="1"/>
  <c r="X538" i="1"/>
  <c r="V543" i="1"/>
  <c r="Y543" i="1"/>
  <c r="X543" i="1"/>
  <c r="V548" i="1"/>
  <c r="Y548" i="1"/>
  <c r="X548" i="1"/>
  <c r="V553" i="1"/>
  <c r="Y553" i="1"/>
  <c r="X553" i="1"/>
  <c r="V558" i="1"/>
  <c r="Y558" i="1"/>
  <c r="X558" i="1"/>
  <c r="V563" i="1"/>
  <c r="Y563" i="1"/>
  <c r="X563" i="1"/>
  <c r="V568" i="1"/>
  <c r="Y568" i="1"/>
  <c r="X568" i="1"/>
  <c r="V573" i="1"/>
  <c r="Y573" i="1"/>
  <c r="X573" i="1"/>
  <c r="V578" i="1"/>
  <c r="Y578" i="1"/>
  <c r="X578" i="1"/>
  <c r="V583" i="1"/>
  <c r="Y583" i="1"/>
  <c r="X583" i="1"/>
  <c r="V588" i="1"/>
  <c r="Y588" i="1"/>
  <c r="X588" i="1"/>
  <c r="V593" i="1"/>
  <c r="Y593" i="1"/>
  <c r="X593" i="1"/>
  <c r="V598" i="1"/>
  <c r="Y598" i="1"/>
  <c r="X598" i="1"/>
  <c r="V603" i="1"/>
  <c r="Y603" i="1"/>
  <c r="X603" i="1"/>
  <c r="V608" i="1"/>
  <c r="Y608" i="1"/>
  <c r="X608" i="1"/>
  <c r="V613" i="1"/>
  <c r="Y613" i="1"/>
  <c r="X613" i="1"/>
  <c r="V618" i="1"/>
  <c r="Y618" i="1"/>
  <c r="X618" i="1"/>
  <c r="V623" i="1"/>
  <c r="Y623" i="1"/>
  <c r="X623" i="1"/>
  <c r="V628" i="1"/>
  <c r="Y628" i="1"/>
  <c r="X628" i="1"/>
  <c r="V633" i="1"/>
  <c r="Y633" i="1"/>
  <c r="X633" i="1"/>
  <c r="V638" i="1"/>
  <c r="Y638" i="1"/>
  <c r="X638" i="1"/>
  <c r="V643" i="1"/>
  <c r="Y643" i="1"/>
  <c r="X643" i="1"/>
  <c r="V648" i="1"/>
  <c r="Y648" i="1"/>
  <c r="X648" i="1"/>
  <c r="V653" i="1"/>
  <c r="Y653" i="1"/>
  <c r="X653" i="1"/>
  <c r="V658" i="1"/>
  <c r="Y658" i="1"/>
  <c r="X658" i="1"/>
  <c r="V663" i="1"/>
  <c r="Y663" i="1"/>
  <c r="X663" i="1"/>
  <c r="V668" i="1"/>
  <c r="Y668" i="1"/>
  <c r="X668" i="1"/>
  <c r="V673" i="1"/>
  <c r="Y673" i="1"/>
  <c r="X673" i="1"/>
  <c r="V678" i="1"/>
  <c r="Y678" i="1"/>
  <c r="X678" i="1"/>
  <c r="V683" i="1"/>
  <c r="Y683" i="1"/>
  <c r="X683" i="1"/>
  <c r="V688" i="1"/>
  <c r="Y688" i="1"/>
  <c r="X688" i="1"/>
  <c r="V693" i="1"/>
  <c r="Y693" i="1"/>
  <c r="X693" i="1"/>
  <c r="V698" i="1"/>
  <c r="Y698" i="1"/>
  <c r="X698" i="1"/>
  <c r="V703" i="1"/>
  <c r="Y703" i="1"/>
  <c r="X703" i="1"/>
  <c r="V705" i="1"/>
  <c r="Y705" i="1"/>
  <c r="X705" i="1"/>
  <c r="V704" i="1"/>
  <c r="Y704" i="1"/>
  <c r="X704" i="1"/>
  <c r="V706" i="1"/>
  <c r="Y706" i="1"/>
  <c r="X706" i="1"/>
  <c r="V708" i="1"/>
  <c r="Y708" i="1"/>
  <c r="X708" i="1"/>
  <c r="V707" i="1"/>
  <c r="Y707" i="1"/>
  <c r="X707" i="1"/>
  <c r="V709" i="1"/>
  <c r="Y709" i="1"/>
  <c r="X709" i="1"/>
  <c r="V714" i="1"/>
  <c r="Y714" i="1"/>
  <c r="X714" i="1"/>
  <c r="V719" i="1"/>
  <c r="Y719" i="1"/>
  <c r="X719" i="1"/>
  <c r="V724" i="1"/>
  <c r="Y724" i="1"/>
  <c r="X724" i="1"/>
  <c r="V729" i="1"/>
  <c r="Y729" i="1"/>
  <c r="X729" i="1"/>
  <c r="V734" i="1"/>
  <c r="Y734" i="1"/>
  <c r="X734" i="1"/>
  <c r="V739" i="1"/>
  <c r="Y739" i="1"/>
  <c r="X739" i="1"/>
  <c r="V744" i="1"/>
  <c r="Y744" i="1"/>
  <c r="X744" i="1"/>
  <c r="V749" i="1"/>
  <c r="Y749" i="1"/>
  <c r="X749" i="1"/>
  <c r="V754" i="1"/>
  <c r="Y754" i="1"/>
  <c r="X754" i="1"/>
  <c r="V759" i="1"/>
  <c r="Y759" i="1"/>
  <c r="X759" i="1"/>
  <c r="V760" i="1"/>
  <c r="Y760" i="1"/>
  <c r="X760" i="1"/>
  <c r="V761" i="1"/>
  <c r="Y761" i="1"/>
  <c r="X761" i="1"/>
  <c r="V766" i="1"/>
  <c r="Y766" i="1"/>
  <c r="X766" i="1"/>
  <c r="V771" i="1"/>
  <c r="Y771" i="1"/>
  <c r="X771" i="1"/>
  <c r="V776" i="1"/>
  <c r="Y776" i="1"/>
  <c r="X776" i="1"/>
  <c r="V781" i="1"/>
  <c r="Y781" i="1"/>
  <c r="X781" i="1"/>
  <c r="V786" i="1"/>
  <c r="Y786" i="1"/>
  <c r="X786" i="1"/>
  <c r="V791" i="1"/>
  <c r="Y791" i="1"/>
  <c r="X791" i="1"/>
  <c r="V796" i="1"/>
  <c r="Y796" i="1"/>
  <c r="X796" i="1"/>
  <c r="V801" i="1"/>
  <c r="Y801" i="1"/>
  <c r="X801" i="1"/>
  <c r="V806" i="1"/>
  <c r="Y806" i="1"/>
  <c r="X806" i="1"/>
  <c r="V811" i="1"/>
  <c r="Y811" i="1"/>
  <c r="X811" i="1"/>
  <c r="V816" i="1"/>
  <c r="Y816" i="1"/>
  <c r="X816" i="1"/>
  <c r="V821" i="1"/>
  <c r="Y821" i="1"/>
  <c r="X821" i="1"/>
  <c r="V826" i="1"/>
  <c r="Y826" i="1"/>
  <c r="X826" i="1"/>
  <c r="V831" i="1"/>
  <c r="Y831" i="1"/>
  <c r="X831" i="1"/>
  <c r="V836" i="1"/>
  <c r="Y836" i="1"/>
  <c r="X836" i="1"/>
  <c r="V841" i="1"/>
  <c r="Y841" i="1"/>
  <c r="X841" i="1"/>
  <c r="V846" i="1"/>
  <c r="Y846" i="1"/>
  <c r="X846" i="1"/>
  <c r="V851" i="1"/>
  <c r="Y851" i="1"/>
  <c r="X851" i="1"/>
  <c r="V856" i="1"/>
  <c r="Y856" i="1"/>
  <c r="X856" i="1"/>
  <c r="V861" i="1"/>
  <c r="Y861" i="1"/>
  <c r="X861" i="1"/>
  <c r="V866" i="1"/>
  <c r="Y866" i="1"/>
  <c r="X866" i="1"/>
  <c r="V871" i="1"/>
  <c r="Y871" i="1"/>
  <c r="X871" i="1"/>
  <c r="V876" i="1"/>
  <c r="Y876" i="1"/>
  <c r="X876" i="1"/>
  <c r="V881" i="1"/>
  <c r="Y881" i="1"/>
  <c r="X881" i="1"/>
  <c r="V886" i="1"/>
  <c r="Y886" i="1"/>
  <c r="X886" i="1"/>
  <c r="V891" i="1"/>
  <c r="Y891" i="1"/>
  <c r="X891" i="1"/>
  <c r="V896" i="1"/>
  <c r="Y896" i="1"/>
  <c r="X896" i="1"/>
  <c r="V901" i="1"/>
  <c r="Y901" i="1"/>
  <c r="X901" i="1"/>
  <c r="V906" i="1"/>
  <c r="Y906" i="1"/>
  <c r="X906" i="1"/>
  <c r="V911" i="1"/>
  <c r="Y911" i="1"/>
  <c r="X911" i="1"/>
  <c r="V916" i="1"/>
  <c r="Y916" i="1"/>
  <c r="X916" i="1"/>
  <c r="V921" i="1"/>
  <c r="Y921" i="1"/>
  <c r="X921" i="1"/>
  <c r="V926" i="1"/>
  <c r="Y926" i="1"/>
  <c r="X926" i="1"/>
  <c r="V931" i="1"/>
  <c r="Y931" i="1"/>
  <c r="X931" i="1"/>
  <c r="V936" i="1"/>
  <c r="Y936" i="1"/>
  <c r="X936" i="1"/>
  <c r="V941" i="1"/>
  <c r="Y941" i="1"/>
  <c r="X941" i="1"/>
  <c r="V946" i="1"/>
  <c r="Y946" i="1"/>
  <c r="X946" i="1"/>
  <c r="V951" i="1"/>
  <c r="Y951" i="1"/>
  <c r="X951" i="1"/>
  <c r="V956" i="1"/>
  <c r="Y956" i="1"/>
  <c r="X956" i="1"/>
  <c r="V961" i="1"/>
  <c r="Y961" i="1"/>
  <c r="X961" i="1"/>
  <c r="V966" i="1"/>
  <c r="Y966" i="1"/>
  <c r="X966" i="1"/>
  <c r="V971" i="1"/>
  <c r="Y971" i="1"/>
  <c r="X971" i="1"/>
  <c r="V976" i="1"/>
  <c r="Y976" i="1"/>
  <c r="X976" i="1"/>
  <c r="V981" i="1"/>
  <c r="Y981" i="1"/>
  <c r="X981" i="1"/>
  <c r="V986" i="1"/>
  <c r="Y986" i="1"/>
  <c r="X986" i="1"/>
  <c r="V991" i="1"/>
  <c r="Y991" i="1"/>
  <c r="X991" i="1"/>
  <c r="V996" i="1"/>
  <c r="Y996" i="1"/>
  <c r="X996" i="1"/>
  <c r="V1001" i="1"/>
  <c r="Y1001" i="1"/>
  <c r="X1001" i="1"/>
  <c r="V1006" i="1"/>
  <c r="Y1006" i="1"/>
  <c r="X1006" i="1"/>
  <c r="V1011" i="1"/>
  <c r="Y1011" i="1"/>
  <c r="X1011" i="1"/>
  <c r="V1016" i="1"/>
  <c r="Y1016" i="1"/>
  <c r="X1016" i="1"/>
  <c r="V1021" i="1"/>
  <c r="Y1021" i="1"/>
  <c r="X1021" i="1"/>
  <c r="V1026" i="1"/>
  <c r="Y1026" i="1"/>
  <c r="X1026" i="1"/>
  <c r="V1031" i="1"/>
  <c r="Y1031" i="1"/>
  <c r="X1031" i="1"/>
  <c r="V1036" i="1"/>
  <c r="Y1036" i="1"/>
  <c r="X1036" i="1"/>
  <c r="V1041" i="1"/>
  <c r="Y1041" i="1"/>
  <c r="X1041" i="1"/>
  <c r="V1046" i="1"/>
  <c r="Y1046" i="1"/>
  <c r="X1046" i="1"/>
  <c r="V1051" i="1"/>
  <c r="Y1051" i="1"/>
  <c r="X1051" i="1"/>
  <c r="V1056" i="1"/>
  <c r="Y1056" i="1"/>
  <c r="X1056" i="1"/>
  <c r="V1061" i="1"/>
  <c r="Y1061" i="1"/>
  <c r="X1061" i="1"/>
  <c r="V1066" i="1"/>
  <c r="Y1066" i="1"/>
  <c r="X1066" i="1"/>
  <c r="V1067" i="1"/>
  <c r="Y1067" i="1"/>
  <c r="X1067" i="1"/>
  <c r="V1069" i="1"/>
  <c r="Y1069" i="1"/>
  <c r="X1069" i="1"/>
  <c r="V1071" i="1"/>
  <c r="Y1071" i="1"/>
  <c r="X1071" i="1"/>
  <c r="V1073" i="1"/>
  <c r="Y1073" i="1"/>
  <c r="X1073" i="1"/>
  <c r="V1077" i="1"/>
  <c r="Y1077" i="1"/>
  <c r="X1077" i="1"/>
  <c r="V1075" i="1"/>
  <c r="Y1075" i="1"/>
  <c r="X1075" i="1"/>
  <c r="V1079" i="1"/>
  <c r="Y1079" i="1"/>
  <c r="X1079" i="1"/>
  <c r="V1081" i="1"/>
  <c r="Y1081" i="1"/>
  <c r="X1081" i="1"/>
  <c r="V1083" i="1"/>
  <c r="Y1083" i="1"/>
  <c r="X1083" i="1"/>
  <c r="V1085" i="1"/>
  <c r="Y1085" i="1"/>
  <c r="X1085" i="1"/>
  <c r="V1086" i="1"/>
  <c r="Y1086" i="1"/>
  <c r="X1086" i="1"/>
  <c r="V1087" i="1"/>
  <c r="Y1087" i="1"/>
  <c r="X1087" i="1"/>
  <c r="V1088" i="1"/>
  <c r="Y1088" i="1"/>
  <c r="X1088" i="1"/>
  <c r="V1089" i="1"/>
  <c r="Y1089" i="1"/>
  <c r="X1089" i="1"/>
  <c r="V1090" i="1"/>
  <c r="Y1090" i="1"/>
  <c r="X1090" i="1"/>
  <c r="V1091" i="1"/>
  <c r="Y1091" i="1"/>
  <c r="X1091" i="1"/>
  <c r="V1092" i="1"/>
  <c r="Y1092" i="1"/>
  <c r="X1092" i="1"/>
  <c r="V1093" i="1"/>
  <c r="Y1093" i="1"/>
  <c r="X1093" i="1"/>
  <c r="V1094" i="1"/>
  <c r="Y1094" i="1"/>
  <c r="X1094" i="1"/>
  <c r="V1095" i="1"/>
  <c r="Y1095" i="1"/>
  <c r="X1095" i="1"/>
  <c r="V1096" i="1"/>
  <c r="Y1096" i="1"/>
  <c r="X1096" i="1"/>
  <c r="V1097" i="1"/>
  <c r="Y1097" i="1"/>
  <c r="X1097" i="1"/>
  <c r="V1098" i="1"/>
  <c r="Y1098" i="1"/>
  <c r="X1098" i="1"/>
  <c r="V1099" i="1"/>
  <c r="Y1099" i="1"/>
  <c r="X1099" i="1"/>
  <c r="V1100" i="1"/>
  <c r="Y1100" i="1"/>
  <c r="X1100" i="1"/>
  <c r="V1101" i="1"/>
  <c r="Y1101" i="1"/>
  <c r="X1101" i="1"/>
  <c r="V1102" i="1"/>
  <c r="Y1102" i="1"/>
  <c r="X1102" i="1"/>
  <c r="V1103" i="1"/>
  <c r="Y1103" i="1"/>
  <c r="X1103" i="1"/>
  <c r="V1104" i="1"/>
  <c r="Y1104" i="1"/>
  <c r="X1104" i="1"/>
  <c r="V1105" i="1"/>
  <c r="Y1105" i="1"/>
  <c r="X1105" i="1"/>
  <c r="V1106" i="1"/>
  <c r="Y1106" i="1"/>
  <c r="X1106" i="1"/>
  <c r="V1107" i="1"/>
  <c r="Y1107" i="1"/>
  <c r="X1107" i="1"/>
  <c r="V1108" i="1"/>
  <c r="Y1108" i="1"/>
  <c r="X1108" i="1"/>
  <c r="V1109" i="1"/>
  <c r="Y1109" i="1"/>
  <c r="X1109" i="1"/>
  <c r="V1110" i="1"/>
  <c r="Y1110" i="1"/>
  <c r="X1110" i="1"/>
  <c r="V1111" i="1"/>
  <c r="Y1111" i="1"/>
  <c r="X1111" i="1"/>
  <c r="V1112" i="1"/>
  <c r="Y1112" i="1"/>
  <c r="X1112" i="1"/>
  <c r="V1113" i="1"/>
  <c r="Y1113" i="1"/>
  <c r="X1113" i="1"/>
  <c r="V1114" i="1"/>
  <c r="Y1114" i="1"/>
  <c r="X1114" i="1"/>
  <c r="V1115" i="1"/>
  <c r="Y1115" i="1"/>
  <c r="X1115" i="1"/>
  <c r="V1116" i="1"/>
  <c r="Y1116" i="1"/>
  <c r="X1116" i="1"/>
  <c r="V1117" i="1"/>
  <c r="Y1117" i="1"/>
  <c r="X1117" i="1"/>
  <c r="V1118" i="1"/>
  <c r="Y1118" i="1"/>
  <c r="X1118" i="1"/>
  <c r="V1119" i="1"/>
  <c r="Y1119" i="1"/>
  <c r="X1119" i="1"/>
  <c r="V1120" i="1"/>
  <c r="Y1120" i="1"/>
  <c r="X1120" i="1"/>
  <c r="V1121" i="1"/>
  <c r="Y1121" i="1"/>
  <c r="X1121" i="1"/>
  <c r="V1122" i="1"/>
  <c r="Y1122" i="1"/>
  <c r="X1122" i="1"/>
  <c r="V1123" i="1"/>
  <c r="Y1123" i="1"/>
  <c r="X1123" i="1"/>
  <c r="V1124" i="1"/>
  <c r="Y1124" i="1"/>
  <c r="X1124" i="1"/>
  <c r="V1125" i="1"/>
  <c r="Y1125" i="1"/>
  <c r="X1125" i="1"/>
  <c r="V1126" i="1"/>
  <c r="Y1126" i="1"/>
  <c r="X1126" i="1"/>
  <c r="V1127" i="1"/>
  <c r="Y1127" i="1"/>
  <c r="X1127" i="1"/>
  <c r="V1128" i="1"/>
  <c r="Y1128" i="1"/>
  <c r="X1128" i="1"/>
  <c r="V1129" i="1"/>
  <c r="Y1129" i="1"/>
  <c r="X1129" i="1"/>
  <c r="V1130" i="1"/>
  <c r="Y1130" i="1"/>
  <c r="X1130" i="1"/>
  <c r="V1131" i="1"/>
  <c r="Y1131" i="1"/>
  <c r="X1131" i="1"/>
  <c r="V1132" i="1"/>
  <c r="Y1132" i="1"/>
  <c r="X1132" i="1"/>
  <c r="V1133" i="1"/>
  <c r="Y1133" i="1"/>
  <c r="X1133" i="1"/>
  <c r="V1134" i="1"/>
  <c r="Y1134" i="1"/>
  <c r="X1134" i="1"/>
  <c r="V1135" i="1"/>
  <c r="Y1135" i="1"/>
  <c r="X1135" i="1"/>
  <c r="V1136" i="1"/>
  <c r="Y1136" i="1"/>
  <c r="X1136" i="1"/>
  <c r="V1137" i="1"/>
  <c r="Y1137" i="1"/>
  <c r="X1137" i="1"/>
  <c r="V1138" i="1"/>
  <c r="Y1138" i="1"/>
  <c r="X1138" i="1"/>
  <c r="V1139" i="1"/>
  <c r="Y1139" i="1"/>
  <c r="X1139" i="1"/>
  <c r="V1140" i="1"/>
  <c r="Y1140" i="1"/>
  <c r="X1140" i="1"/>
  <c r="V1141" i="1"/>
  <c r="Y1141" i="1"/>
  <c r="X1141" i="1"/>
  <c r="V1142" i="1"/>
  <c r="Y1142" i="1"/>
  <c r="X1142" i="1"/>
  <c r="V1143" i="1"/>
  <c r="Y1143" i="1"/>
  <c r="X1143" i="1"/>
  <c r="V1144" i="1"/>
  <c r="Y1144" i="1"/>
  <c r="X1144" i="1"/>
  <c r="V1145" i="1"/>
  <c r="Y1145" i="1"/>
  <c r="X1145" i="1"/>
  <c r="V1146" i="1"/>
  <c r="Y1146" i="1"/>
  <c r="X1146" i="1"/>
  <c r="V1147" i="1"/>
  <c r="Y1147" i="1"/>
  <c r="X1147" i="1"/>
  <c r="V1148" i="1"/>
  <c r="Y1148" i="1"/>
  <c r="X1148" i="1"/>
  <c r="V1149" i="1"/>
  <c r="Y1149" i="1"/>
  <c r="X1149" i="1"/>
  <c r="V1150" i="1"/>
  <c r="Y1150" i="1"/>
  <c r="X1150" i="1"/>
  <c r="V1151" i="1"/>
  <c r="Y1151" i="1"/>
  <c r="X1151" i="1"/>
  <c r="V1152" i="1"/>
  <c r="Y1152" i="1"/>
  <c r="X1152" i="1"/>
  <c r="V1153" i="1"/>
  <c r="Y1153" i="1"/>
  <c r="X1153" i="1"/>
  <c r="V1154" i="1"/>
  <c r="Y1154" i="1"/>
  <c r="X1154" i="1"/>
  <c r="V1155" i="1"/>
  <c r="Y1155" i="1"/>
  <c r="X1155" i="1"/>
  <c r="V1156" i="1"/>
  <c r="Y1156" i="1"/>
  <c r="X1156" i="1"/>
  <c r="V1157" i="1"/>
  <c r="Y1157" i="1"/>
  <c r="X1157" i="1"/>
  <c r="V1158" i="1"/>
  <c r="Y1158" i="1"/>
  <c r="X1158" i="1"/>
  <c r="V1159" i="1"/>
  <c r="Y1159" i="1"/>
  <c r="X1159" i="1"/>
  <c r="V1160" i="1"/>
  <c r="Y1160" i="1"/>
  <c r="X1160" i="1"/>
  <c r="V1161" i="1"/>
  <c r="Y1161" i="1"/>
  <c r="X1161" i="1"/>
  <c r="V1162" i="1"/>
  <c r="Y1162" i="1"/>
  <c r="X1162" i="1"/>
  <c r="V1163" i="1"/>
  <c r="Y1163" i="1"/>
  <c r="X1163" i="1"/>
  <c r="V1164" i="1"/>
  <c r="Y1164" i="1"/>
  <c r="X1164" i="1"/>
  <c r="V1165" i="1"/>
  <c r="Y1165" i="1"/>
  <c r="X1165" i="1"/>
  <c r="V1166" i="1"/>
  <c r="Y1166" i="1"/>
  <c r="X1166" i="1"/>
  <c r="V1167" i="1"/>
  <c r="Y1167" i="1"/>
  <c r="X1167" i="1"/>
  <c r="V1168" i="1"/>
  <c r="Y1168" i="1"/>
  <c r="X1168" i="1"/>
  <c r="V1169" i="1"/>
  <c r="Y1169" i="1"/>
  <c r="X1169" i="1"/>
  <c r="V1170" i="1"/>
  <c r="Y1170" i="1"/>
  <c r="X1170" i="1"/>
  <c r="V1171" i="1"/>
  <c r="Y1171" i="1"/>
  <c r="X1171" i="1"/>
  <c r="V1172" i="1"/>
  <c r="Y1172" i="1"/>
  <c r="X1172" i="1"/>
  <c r="V1173" i="1"/>
  <c r="Y1173" i="1"/>
  <c r="X1173" i="1"/>
  <c r="K4" i="7"/>
  <c r="K5" i="7"/>
  <c r="R5" i="7" s="1"/>
  <c r="K6" i="7"/>
  <c r="K7" i="7"/>
  <c r="K8" i="7"/>
  <c r="K9" i="7"/>
  <c r="R9" i="7" s="1"/>
  <c r="K10" i="7"/>
  <c r="R10" i="7" s="1"/>
  <c r="K11" i="7"/>
  <c r="R11" i="7" s="1"/>
  <c r="K12" i="7"/>
  <c r="K13" i="7"/>
  <c r="R13" i="7" s="1"/>
  <c r="K14" i="7"/>
  <c r="R14" i="7" s="1"/>
  <c r="K15" i="7"/>
  <c r="R15" i="7" s="1"/>
  <c r="K16" i="7"/>
  <c r="R16" i="7" s="1"/>
  <c r="K17" i="7"/>
  <c r="R17" i="7" s="1"/>
  <c r="K18" i="7"/>
  <c r="R18" i="7" s="1"/>
  <c r="K19" i="7"/>
  <c r="R19" i="7" s="1"/>
  <c r="K20" i="7"/>
  <c r="R20" i="7" s="1"/>
  <c r="K21" i="7"/>
  <c r="R21" i="7" s="1"/>
  <c r="K22" i="7"/>
  <c r="R22" i="7" s="1"/>
  <c r="K23" i="7"/>
  <c r="K24" i="7"/>
  <c r="R24" i="7" s="1"/>
  <c r="K25" i="7"/>
  <c r="K26" i="7"/>
  <c r="R26" i="7" s="1"/>
  <c r="K27" i="7"/>
  <c r="R27" i="7" s="1"/>
  <c r="K28" i="7"/>
  <c r="R28" i="7" s="1"/>
  <c r="K29" i="7"/>
  <c r="R29" i="7" s="1"/>
  <c r="K30" i="7"/>
  <c r="R30" i="7" s="1"/>
  <c r="K31" i="7"/>
  <c r="R31" i="7" s="1"/>
  <c r="K32" i="7"/>
  <c r="K33" i="7"/>
  <c r="R33" i="7" s="1"/>
  <c r="K34" i="7"/>
  <c r="R34" i="7" s="1"/>
  <c r="K35" i="7"/>
  <c r="R35" i="7"/>
  <c r="K36" i="7"/>
  <c r="R36" i="7" s="1"/>
  <c r="K37" i="7"/>
  <c r="R37" i="7" s="1"/>
  <c r="K38" i="7"/>
  <c r="R38" i="7" s="1"/>
  <c r="K39" i="7"/>
  <c r="K40" i="7"/>
  <c r="K41" i="7"/>
  <c r="R41" i="7" s="1"/>
  <c r="K42" i="7"/>
  <c r="R42" i="7" s="1"/>
  <c r="K43" i="7"/>
  <c r="R43" i="7" s="1"/>
  <c r="K44" i="7"/>
  <c r="R44" i="7" s="1"/>
  <c r="K45" i="7"/>
  <c r="K46" i="7"/>
  <c r="R46" i="7" s="1"/>
  <c r="K47" i="7"/>
  <c r="R47" i="7" s="1"/>
  <c r="K48" i="7"/>
  <c r="K49" i="7"/>
  <c r="R49" i="7" s="1"/>
  <c r="K50" i="7"/>
  <c r="K51" i="7"/>
  <c r="R51" i="7" s="1"/>
  <c r="K52" i="7"/>
  <c r="R52" i="7" s="1"/>
  <c r="K53" i="7"/>
  <c r="R53" i="7" s="1"/>
  <c r="K54" i="7"/>
  <c r="R54" i="7" s="1"/>
  <c r="K55" i="7"/>
  <c r="K56" i="7"/>
  <c r="R56" i="7" s="1"/>
  <c r="K57" i="7"/>
  <c r="K58" i="7"/>
  <c r="R58" i="7" s="1"/>
  <c r="K59" i="7"/>
  <c r="R59" i="7" s="1"/>
  <c r="K60" i="7"/>
  <c r="K61" i="7"/>
  <c r="K62" i="7"/>
  <c r="K63" i="7"/>
  <c r="K64" i="7"/>
  <c r="K65" i="7"/>
  <c r="K66" i="7"/>
  <c r="K67" i="7"/>
  <c r="K68" i="7"/>
  <c r="K69" i="7"/>
  <c r="K70" i="7"/>
  <c r="K71" i="7"/>
  <c r="K72" i="7"/>
  <c r="K73" i="7"/>
  <c r="K74" i="7"/>
  <c r="R74" i="7" s="1"/>
  <c r="K75" i="7"/>
  <c r="R75" i="7" s="1"/>
  <c r="K76" i="7"/>
  <c r="R76" i="7" s="1"/>
  <c r="K77" i="7"/>
  <c r="R77" i="7" s="1"/>
  <c r="K78" i="7"/>
  <c r="K79" i="7"/>
  <c r="K80" i="7"/>
  <c r="K81" i="7"/>
  <c r="K82" i="7"/>
  <c r="K83" i="7"/>
  <c r="R83" i="7" s="1"/>
  <c r="K84" i="7"/>
  <c r="R84" i="7" s="1"/>
  <c r="K85" i="7"/>
  <c r="R85" i="7" s="1"/>
  <c r="K86" i="7"/>
  <c r="K87" i="7"/>
  <c r="R87" i="7" s="1"/>
  <c r="K88" i="7"/>
  <c r="K89" i="7"/>
  <c r="R89" i="7" s="1"/>
  <c r="K90" i="7"/>
  <c r="K91" i="7"/>
  <c r="R91" i="7" s="1"/>
  <c r="K92" i="7"/>
  <c r="K93" i="7"/>
  <c r="K94" i="7"/>
  <c r="R94" i="7" s="1"/>
  <c r="K95" i="7"/>
  <c r="R95" i="7" s="1"/>
  <c r="K96" i="7"/>
  <c r="R96" i="7" s="1"/>
  <c r="K97" i="7"/>
  <c r="R97" i="7" s="1"/>
  <c r="K98" i="7"/>
  <c r="K99" i="7"/>
  <c r="K100" i="7"/>
  <c r="R100" i="7" s="1"/>
  <c r="K101" i="7"/>
  <c r="R101" i="7" s="1"/>
  <c r="K102" i="7"/>
  <c r="K103" i="7"/>
  <c r="R103" i="7" s="1"/>
  <c r="K104" i="7"/>
  <c r="R104" i="7" s="1"/>
  <c r="K105" i="7"/>
  <c r="R105" i="7" s="1"/>
  <c r="K106" i="7"/>
  <c r="R106" i="7" s="1"/>
  <c r="K107" i="7"/>
  <c r="R107" i="7" s="1"/>
  <c r="K108" i="7"/>
  <c r="R108" i="7" s="1"/>
  <c r="K109" i="7"/>
  <c r="R109" i="7" s="1"/>
  <c r="K110" i="7"/>
  <c r="R110" i="7" s="1"/>
  <c r="K111" i="7"/>
  <c r="R111" i="7" s="1"/>
  <c r="K112" i="7"/>
  <c r="R112" i="7" s="1"/>
  <c r="K113" i="7"/>
  <c r="R113" i="7" s="1"/>
  <c r="K114" i="7"/>
  <c r="R114" i="7" s="1"/>
  <c r="K115" i="7"/>
  <c r="R115" i="7" s="1"/>
  <c r="K116" i="7"/>
  <c r="R116" i="7" s="1"/>
  <c r="K117" i="7"/>
  <c r="K118" i="7"/>
  <c r="K119" i="7"/>
  <c r="R119" i="7" s="1"/>
  <c r="K120" i="7"/>
  <c r="R120" i="7" s="1"/>
  <c r="K121" i="7"/>
  <c r="K122" i="7"/>
  <c r="R122" i="7" s="1"/>
  <c r="K123" i="7"/>
  <c r="R123" i="7" s="1"/>
  <c r="K124" i="7"/>
  <c r="R124" i="7" s="1"/>
  <c r="K125" i="7"/>
  <c r="R125" i="7" s="1"/>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R152" i="7" s="1"/>
  <c r="K153" i="7"/>
  <c r="R153" i="7" s="1"/>
  <c r="K154" i="7"/>
  <c r="R154" i="7" s="1"/>
  <c r="K155" i="7"/>
  <c r="R155" i="7" s="1"/>
  <c r="K156" i="7"/>
  <c r="K157" i="7"/>
  <c r="R157" i="7" s="1"/>
  <c r="K158" i="7"/>
  <c r="R158" i="7" s="1"/>
  <c r="K159" i="7"/>
  <c r="R159" i="7" s="1"/>
  <c r="K160" i="7"/>
  <c r="R160" i="7" s="1"/>
  <c r="K161" i="7"/>
  <c r="R161" i="7" s="1"/>
  <c r="K162" i="7"/>
  <c r="R162" i="7" s="1"/>
  <c r="K163" i="7"/>
  <c r="R163" i="7" s="1"/>
  <c r="K164" i="7"/>
  <c r="R164" i="7" s="1"/>
  <c r="K165" i="7"/>
  <c r="R165" i="7" s="1"/>
  <c r="K166" i="7"/>
  <c r="R166" i="7" s="1"/>
  <c r="K167" i="7"/>
  <c r="R167" i="7" s="1"/>
  <c r="K168" i="7"/>
  <c r="R168" i="7" s="1"/>
  <c r="K169" i="7"/>
  <c r="R169" i="7" s="1"/>
  <c r="K170" i="7"/>
  <c r="R170" i="7" s="1"/>
  <c r="K171" i="7"/>
  <c r="R171" i="7" s="1"/>
  <c r="K172" i="7"/>
  <c r="R172" i="7" s="1"/>
  <c r="K173" i="7"/>
  <c r="R173" i="7" s="1"/>
  <c r="K174" i="7"/>
  <c r="K175" i="7"/>
  <c r="R175" i="7" s="1"/>
  <c r="K176" i="7"/>
  <c r="R176" i="7" s="1"/>
  <c r="K177" i="7"/>
  <c r="R177" i="7" s="1"/>
  <c r="K178" i="7"/>
  <c r="R178" i="7" s="1"/>
  <c r="K179" i="7"/>
  <c r="R179" i="7" s="1"/>
  <c r="K180" i="7"/>
  <c r="K181" i="7"/>
  <c r="K182" i="7"/>
  <c r="K183" i="7"/>
  <c r="R183" i="7" s="1"/>
  <c r="K184" i="7"/>
  <c r="R184" i="7" s="1"/>
  <c r="K185" i="7"/>
  <c r="R185" i="7" s="1"/>
  <c r="K186" i="7"/>
  <c r="K187" i="7"/>
  <c r="K188" i="7"/>
  <c r="K189" i="7"/>
  <c r="R189" i="7" s="1"/>
  <c r="K190" i="7"/>
  <c r="K191" i="7"/>
  <c r="K192" i="7"/>
  <c r="R192" i="7" s="1"/>
  <c r="K193" i="7"/>
  <c r="K194" i="7"/>
  <c r="K195" i="7"/>
  <c r="R195" i="7" s="1"/>
  <c r="K196" i="7"/>
  <c r="R196" i="7" s="1"/>
  <c r="K197" i="7"/>
  <c r="R197" i="7" s="1"/>
  <c r="K198" i="7"/>
  <c r="R198" i="7" s="1"/>
  <c r="K199" i="7"/>
  <c r="K200" i="7"/>
  <c r="K201" i="7"/>
  <c r="R201" i="7" s="1"/>
  <c r="K202" i="7"/>
  <c r="K203" i="7"/>
  <c r="K204" i="7"/>
  <c r="R204" i="7" s="1"/>
  <c r="K205" i="7"/>
  <c r="R205" i="7" s="1"/>
  <c r="K206" i="7"/>
  <c r="R206" i="7" s="1"/>
  <c r="K207" i="7"/>
  <c r="R207" i="7" s="1"/>
  <c r="K208" i="7"/>
  <c r="R208" i="7" s="1"/>
  <c r="K209" i="7"/>
  <c r="R209" i="7" s="1"/>
  <c r="K210" i="7"/>
  <c r="R210" i="7" s="1"/>
  <c r="K211" i="7"/>
  <c r="K212" i="7"/>
  <c r="R212" i="7" s="1"/>
  <c r="K213" i="7"/>
  <c r="R213" i="7" s="1"/>
  <c r="K214" i="7"/>
  <c r="R214" i="7" s="1"/>
  <c r="K215" i="7"/>
  <c r="R215" i="7" s="1"/>
  <c r="K216" i="7"/>
  <c r="K217" i="7"/>
  <c r="K218" i="7"/>
  <c r="R218" i="7" s="1"/>
  <c r="K219" i="7"/>
  <c r="R219" i="7" s="1"/>
  <c r="K220" i="7"/>
  <c r="R220" i="7" s="1"/>
  <c r="K221" i="7"/>
  <c r="R221" i="7" s="1"/>
  <c r="K222" i="7"/>
  <c r="R222" i="7" s="1"/>
  <c r="K223" i="7"/>
  <c r="R223" i="7" s="1"/>
  <c r="K224" i="7"/>
  <c r="K225" i="7"/>
  <c r="R225" i="7" s="1"/>
  <c r="K226" i="7"/>
  <c r="R226" i="7" s="1"/>
  <c r="K227" i="7"/>
  <c r="K228" i="7"/>
  <c r="R228" i="7" s="1"/>
  <c r="K229" i="7"/>
  <c r="R229" i="7" s="1"/>
  <c r="K230" i="7"/>
  <c r="R230" i="7" s="1"/>
  <c r="K231" i="7"/>
  <c r="R231" i="7" s="1"/>
  <c r="K232" i="7"/>
  <c r="R232" i="7" s="1"/>
  <c r="K233" i="7"/>
  <c r="R233" i="7" s="1"/>
  <c r="K234" i="7"/>
  <c r="K235" i="7"/>
  <c r="K236" i="7"/>
  <c r="R236" i="7" s="1"/>
  <c r="K237" i="7"/>
  <c r="R237" i="7" s="1"/>
  <c r="K238" i="7"/>
  <c r="K239" i="7"/>
  <c r="R239" i="7" s="1"/>
  <c r="K240" i="7"/>
  <c r="K241" i="7"/>
  <c r="R241" i="7" s="1"/>
  <c r="K242" i="7"/>
  <c r="R242" i="7" s="1"/>
  <c r="K243" i="7"/>
  <c r="R243" i="7" s="1"/>
  <c r="K244" i="7"/>
  <c r="R244" i="7" s="1"/>
  <c r="K245" i="7"/>
  <c r="R245" i="7" s="1"/>
  <c r="K246" i="7"/>
  <c r="K247" i="7"/>
  <c r="R247" i="7" s="1"/>
  <c r="K248" i="7"/>
  <c r="R248" i="7" s="1"/>
  <c r="K249" i="7"/>
  <c r="R249" i="7" s="1"/>
  <c r="K250" i="7"/>
  <c r="R250" i="7" s="1"/>
  <c r="K251" i="7"/>
  <c r="R251" i="7" s="1"/>
  <c r="K252" i="7"/>
  <c r="R252" i="7" s="1"/>
  <c r="K253" i="7"/>
  <c r="K254" i="7"/>
  <c r="R254" i="7" s="1"/>
  <c r="K255" i="7"/>
  <c r="R255" i="7" s="1"/>
  <c r="K256" i="7"/>
  <c r="R256" i="7" s="1"/>
  <c r="K257" i="7"/>
  <c r="K258" i="7"/>
  <c r="R258" i="7" s="1"/>
  <c r="K259" i="7"/>
  <c r="K260" i="7"/>
  <c r="R260" i="7" s="1"/>
  <c r="K261" i="7"/>
  <c r="R261" i="7" s="1"/>
  <c r="K262" i="7"/>
  <c r="R262" i="7" s="1"/>
  <c r="K263" i="7"/>
  <c r="K264" i="7"/>
  <c r="R264" i="7" s="1"/>
  <c r="K265" i="7"/>
  <c r="K266" i="7"/>
  <c r="R266" i="7" s="1"/>
  <c r="K267" i="7"/>
  <c r="R267" i="7" s="1"/>
  <c r="K268" i="7"/>
  <c r="R268" i="7" s="1"/>
  <c r="K269" i="7"/>
  <c r="K270" i="7"/>
  <c r="R270" i="7" s="1"/>
  <c r="K271" i="7"/>
  <c r="R271" i="7" s="1"/>
  <c r="K272" i="7"/>
  <c r="K273" i="7"/>
  <c r="R273" i="7" s="1"/>
  <c r="K274" i="7"/>
  <c r="R274" i="7" s="1"/>
  <c r="K275" i="7"/>
  <c r="R275" i="7" s="1"/>
  <c r="K276" i="7"/>
  <c r="R276" i="7" s="1"/>
  <c r="K277" i="7"/>
  <c r="R277" i="7" s="1"/>
  <c r="K278" i="7"/>
  <c r="R278" i="7" s="1"/>
  <c r="K279" i="7"/>
  <c r="R279" i="7" s="1"/>
  <c r="K280" i="7"/>
  <c r="R280" i="7" s="1"/>
  <c r="K281" i="7"/>
  <c r="R281" i="7" s="1"/>
  <c r="K282" i="7"/>
  <c r="R282" i="7" s="1"/>
  <c r="K283" i="7"/>
  <c r="R283" i="7" s="1"/>
  <c r="K284" i="7"/>
  <c r="R284" i="7" s="1"/>
  <c r="K285" i="7"/>
  <c r="K286" i="7"/>
  <c r="R286" i="7" s="1"/>
  <c r="K287" i="7"/>
  <c r="R287" i="7" s="1"/>
  <c r="K288" i="7"/>
  <c r="R288" i="7" s="1"/>
  <c r="K289" i="7"/>
  <c r="R289" i="7" s="1"/>
  <c r="K290" i="7"/>
  <c r="R290" i="7" s="1"/>
  <c r="K291" i="7"/>
  <c r="R291" i="7" s="1"/>
  <c r="K292" i="7"/>
  <c r="R292" i="7" s="1"/>
  <c r="K293" i="7"/>
  <c r="R293" i="7" s="1"/>
  <c r="K294" i="7"/>
  <c r="R294" i="7" s="1"/>
  <c r="K295" i="7"/>
  <c r="R295" i="7" s="1"/>
  <c r="K296" i="7"/>
  <c r="R296" i="7" s="1"/>
  <c r="K297" i="7"/>
  <c r="R297" i="7" s="1"/>
  <c r="K298" i="7"/>
  <c r="R298" i="7" s="1"/>
  <c r="K299" i="7"/>
  <c r="R299" i="7" s="1"/>
  <c r="K300" i="7"/>
  <c r="R300" i="7" s="1"/>
  <c r="K301" i="7"/>
  <c r="R301" i="7" s="1"/>
  <c r="K302" i="7"/>
  <c r="R302" i="7" s="1"/>
  <c r="K303" i="7"/>
  <c r="R303" i="7" s="1"/>
  <c r="K304" i="7"/>
  <c r="R304" i="7" s="1"/>
  <c r="K305" i="7"/>
  <c r="R305" i="7" s="1"/>
  <c r="K306" i="7"/>
  <c r="K307" i="7"/>
  <c r="R307" i="7" s="1"/>
  <c r="K308" i="7"/>
  <c r="R308" i="7" s="1"/>
  <c r="K309" i="7"/>
  <c r="R309" i="7" s="1"/>
  <c r="K310" i="7"/>
  <c r="R310" i="7" s="1"/>
  <c r="K311" i="7"/>
  <c r="R311" i="7" s="1"/>
  <c r="K312" i="7"/>
  <c r="R312" i="7" s="1"/>
  <c r="K313" i="7"/>
  <c r="R313" i="7" s="1"/>
  <c r="K314" i="7"/>
  <c r="R314" i="7" s="1"/>
  <c r="K315" i="7"/>
  <c r="R315" i="7" s="1"/>
  <c r="K316" i="7"/>
  <c r="R316" i="7" s="1"/>
  <c r="K317" i="7"/>
  <c r="R317" i="7" s="1"/>
  <c r="K318" i="7"/>
  <c r="R318" i="7" s="1"/>
  <c r="K319" i="7"/>
  <c r="K320" i="7"/>
  <c r="R320" i="7" s="1"/>
  <c r="K321" i="7"/>
  <c r="R321" i="7" s="1"/>
  <c r="K322" i="7"/>
  <c r="K323" i="7"/>
  <c r="R323" i="7" s="1"/>
  <c r="K324" i="7"/>
  <c r="R324" i="7" s="1"/>
  <c r="K325" i="7"/>
  <c r="R325" i="7" s="1"/>
  <c r="K326" i="7"/>
  <c r="K327" i="7"/>
  <c r="R327" i="7" s="1"/>
  <c r="K328" i="7"/>
  <c r="K329" i="7"/>
  <c r="K330" i="7"/>
  <c r="R330" i="7" s="1"/>
  <c r="K331" i="7"/>
  <c r="R331" i="7" s="1"/>
  <c r="K332" i="7"/>
  <c r="R332" i="7" s="1"/>
  <c r="K333" i="7"/>
  <c r="R333" i="7" s="1"/>
  <c r="K334" i="7"/>
  <c r="R334" i="7" s="1"/>
  <c r="K335" i="7"/>
  <c r="R335" i="7" s="1"/>
  <c r="K336" i="7"/>
  <c r="R336" i="7" s="1"/>
  <c r="K337" i="7"/>
  <c r="R337" i="7" s="1"/>
  <c r="K338" i="7"/>
  <c r="R338" i="7" s="1"/>
  <c r="K339" i="7"/>
  <c r="R339" i="7" s="1"/>
  <c r="K340" i="7"/>
  <c r="R340" i="7" s="1"/>
  <c r="K341" i="7"/>
  <c r="K342" i="7"/>
  <c r="R342" i="7" s="1"/>
  <c r="K343" i="7"/>
  <c r="R343" i="7" s="1"/>
  <c r="K344" i="7"/>
  <c r="R344" i="7" s="1"/>
  <c r="K345" i="7"/>
  <c r="K346" i="7"/>
  <c r="R346" i="7" s="1"/>
  <c r="K347" i="7"/>
  <c r="R347" i="7" s="1"/>
  <c r="K348" i="7"/>
  <c r="K349" i="7"/>
  <c r="R349" i="7" s="1"/>
  <c r="K350" i="7"/>
  <c r="R350" i="7" s="1"/>
  <c r="K351" i="7"/>
  <c r="R351" i="7" s="1"/>
  <c r="K352" i="7"/>
  <c r="R352" i="7" s="1"/>
  <c r="K353" i="7"/>
  <c r="R353" i="7" s="1"/>
  <c r="K354" i="7"/>
  <c r="R354" i="7" s="1"/>
  <c r="K355" i="7"/>
  <c r="R355" i="7" s="1"/>
  <c r="K356" i="7"/>
  <c r="R356" i="7" s="1"/>
  <c r="K357" i="7"/>
  <c r="K358" i="7"/>
  <c r="K359" i="7"/>
  <c r="R359" i="7" s="1"/>
  <c r="K360" i="7"/>
  <c r="R360" i="7" s="1"/>
  <c r="K361" i="7"/>
  <c r="R361" i="7" s="1"/>
  <c r="K362" i="7"/>
  <c r="R362" i="7" s="1"/>
  <c r="K363" i="7"/>
  <c r="R363" i="7" s="1"/>
  <c r="K364" i="7"/>
  <c r="R364" i="7" s="1"/>
  <c r="K365" i="7"/>
  <c r="R365" i="7" s="1"/>
  <c r="K366" i="7"/>
  <c r="R366" i="7" s="1"/>
  <c r="K367" i="7"/>
  <c r="R367" i="7" s="1"/>
  <c r="K368" i="7"/>
  <c r="R368" i="7" s="1"/>
  <c r="K369" i="7"/>
  <c r="R369" i="7" s="1"/>
  <c r="K370" i="7"/>
  <c r="K371" i="7"/>
  <c r="R371" i="7" s="1"/>
  <c r="K372" i="7"/>
  <c r="R372" i="7" s="1"/>
  <c r="K373" i="7"/>
  <c r="R373" i="7" s="1"/>
  <c r="K374" i="7"/>
  <c r="R374" i="7" s="1"/>
  <c r="K375" i="7"/>
  <c r="K376" i="7"/>
  <c r="K377" i="7"/>
  <c r="K378" i="7"/>
  <c r="K379" i="7"/>
  <c r="K380" i="7"/>
  <c r="K381" i="7"/>
  <c r="K382" i="7"/>
  <c r="R382" i="7" s="1"/>
  <c r="K383" i="7"/>
  <c r="K384" i="7"/>
  <c r="K385" i="7"/>
  <c r="R385" i="7" s="1"/>
  <c r="K386" i="7"/>
  <c r="R386" i="7" s="1"/>
  <c r="K387" i="7"/>
  <c r="R387" i="7" s="1"/>
  <c r="K388" i="7"/>
  <c r="R388" i="7" s="1"/>
  <c r="K389" i="7"/>
  <c r="R389" i="7" s="1"/>
  <c r="K390" i="7"/>
  <c r="R390" i="7" s="1"/>
  <c r="K391" i="7"/>
  <c r="R391" i="7" s="1"/>
  <c r="K392" i="7"/>
  <c r="R392" i="7" s="1"/>
  <c r="K393" i="7"/>
  <c r="R393" i="7" s="1"/>
  <c r="K394" i="7"/>
  <c r="R394" i="7" s="1"/>
  <c r="K395" i="7"/>
  <c r="R395" i="7" s="1"/>
  <c r="K396" i="7"/>
  <c r="R396" i="7" s="1"/>
  <c r="K397" i="7"/>
  <c r="K398" i="7"/>
  <c r="R398" i="7" s="1"/>
  <c r="K399" i="7"/>
  <c r="R399" i="7" s="1"/>
  <c r="K400" i="7"/>
  <c r="R400" i="7" s="1"/>
  <c r="K401" i="7"/>
  <c r="R401" i="7" s="1"/>
  <c r="K402" i="7"/>
  <c r="R402" i="7" s="1"/>
  <c r="K403" i="7"/>
  <c r="R403" i="7" s="1"/>
  <c r="K404" i="7"/>
  <c r="R404" i="7" s="1"/>
  <c r="K405" i="7"/>
  <c r="R405" i="7" s="1"/>
  <c r="K406" i="7"/>
  <c r="R406" i="7" s="1"/>
  <c r="K407" i="7"/>
  <c r="R407" i="7" s="1"/>
  <c r="K408" i="7"/>
  <c r="R408" i="7" s="1"/>
  <c r="K409" i="7"/>
  <c r="R409" i="7" s="1"/>
  <c r="K410" i="7"/>
  <c r="R410" i="7" s="1"/>
  <c r="K411" i="7"/>
  <c r="R411" i="7" s="1"/>
  <c r="K412" i="7"/>
  <c r="R412" i="7" s="1"/>
  <c r="K413" i="7"/>
  <c r="R413" i="7" s="1"/>
  <c r="K414" i="7"/>
  <c r="R414" i="7" s="1"/>
  <c r="K415" i="7"/>
  <c r="R415" i="7" s="1"/>
  <c r="K416" i="7"/>
  <c r="R416" i="7" s="1"/>
  <c r="K417" i="7"/>
  <c r="R417" i="7" s="1"/>
  <c r="K418" i="7"/>
  <c r="R418" i="7" s="1"/>
  <c r="K419" i="7"/>
  <c r="R419" i="7" s="1"/>
  <c r="K420" i="7"/>
  <c r="R420" i="7" s="1"/>
  <c r="K421" i="7"/>
  <c r="R421" i="7" s="1"/>
  <c r="K422" i="7"/>
  <c r="K423" i="7"/>
  <c r="R423" i="7" s="1"/>
  <c r="K424" i="7"/>
  <c r="R424" i="7" s="1"/>
  <c r="K425" i="7"/>
  <c r="R425" i="7" s="1"/>
  <c r="K426" i="7"/>
  <c r="R426" i="7" s="1"/>
  <c r="K427" i="7"/>
  <c r="K428" i="7"/>
  <c r="R428" i="7" s="1"/>
  <c r="K429" i="7"/>
  <c r="R429" i="7" s="1"/>
  <c r="K430" i="7"/>
  <c r="R430" i="7" s="1"/>
  <c r="K431" i="7"/>
  <c r="R431" i="7" s="1"/>
  <c r="K432" i="7"/>
  <c r="R432" i="7" s="1"/>
  <c r="K433" i="7"/>
  <c r="R433" i="7" s="1"/>
  <c r="K434" i="7"/>
  <c r="R434" i="7" s="1"/>
  <c r="K435" i="7"/>
  <c r="R435" i="7" s="1"/>
  <c r="K436" i="7"/>
  <c r="R436" i="7" s="1"/>
  <c r="K437" i="7"/>
  <c r="R437" i="7" s="1"/>
  <c r="K438" i="7"/>
  <c r="R438" i="7" s="1"/>
  <c r="K439" i="7"/>
  <c r="R439" i="7" s="1"/>
  <c r="K440" i="7"/>
  <c r="R440" i="7" s="1"/>
  <c r="K441" i="7"/>
  <c r="K442" i="7"/>
  <c r="R442" i="7" s="1"/>
  <c r="K443" i="7"/>
  <c r="R443" i="7" s="1"/>
  <c r="K444" i="7"/>
  <c r="R444" i="7" s="1"/>
  <c r="K445" i="7"/>
  <c r="R445" i="7" s="1"/>
  <c r="K446" i="7"/>
  <c r="R446" i="7" s="1"/>
  <c r="K447" i="7"/>
  <c r="K448" i="7"/>
  <c r="R448" i="7" s="1"/>
  <c r="K449" i="7"/>
  <c r="R449" i="7" s="1"/>
  <c r="K450" i="7"/>
  <c r="R450" i="7" s="1"/>
  <c r="K451" i="7"/>
  <c r="K452" i="7"/>
  <c r="R452" i="7" s="1"/>
  <c r="K453" i="7"/>
  <c r="R453" i="7" s="1"/>
  <c r="K454" i="7"/>
  <c r="R454" i="7" s="1"/>
  <c r="K455" i="7"/>
  <c r="R455" i="7" s="1"/>
  <c r="K456" i="7"/>
  <c r="R456" i="7" s="1"/>
  <c r="K457" i="7"/>
  <c r="K458" i="7"/>
  <c r="K459" i="7"/>
  <c r="R459" i="7" s="1"/>
  <c r="K460" i="7"/>
  <c r="K461" i="7"/>
  <c r="R461" i="7" s="1"/>
  <c r="K462" i="7"/>
  <c r="R462" i="7" s="1"/>
  <c r="K463" i="7"/>
  <c r="R463" i="7" s="1"/>
  <c r="K464" i="7"/>
  <c r="R464" i="7" s="1"/>
  <c r="K465" i="7"/>
  <c r="R465" i="7" s="1"/>
  <c r="K466" i="7"/>
  <c r="R466" i="7" s="1"/>
  <c r="K467" i="7"/>
  <c r="R467" i="7" s="1"/>
  <c r="K468" i="7"/>
  <c r="K469" i="7"/>
  <c r="R469" i="7" s="1"/>
  <c r="K470" i="7"/>
  <c r="R470" i="7" s="1"/>
  <c r="K471" i="7"/>
  <c r="K472" i="7"/>
  <c r="R472" i="7" s="1"/>
  <c r="K473" i="7"/>
  <c r="R473" i="7" s="1"/>
  <c r="K474" i="7"/>
  <c r="R474" i="7" s="1"/>
  <c r="K475" i="7"/>
  <c r="R475" i="7" s="1"/>
  <c r="K476" i="7"/>
  <c r="R476" i="7" s="1"/>
  <c r="K477" i="7"/>
  <c r="R477" i="7" s="1"/>
  <c r="K478" i="7"/>
  <c r="R478" i="7" s="1"/>
  <c r="K479" i="7"/>
  <c r="R479" i="7" s="1"/>
  <c r="K480" i="7"/>
  <c r="R480" i="7" s="1"/>
  <c r="K481" i="7"/>
  <c r="K482" i="7"/>
  <c r="R482" i="7" s="1"/>
  <c r="K483" i="7"/>
  <c r="R483" i="7" s="1"/>
  <c r="K484" i="7"/>
  <c r="R484" i="7" s="1"/>
  <c r="K485" i="7"/>
  <c r="R485" i="7" s="1"/>
  <c r="K486" i="7"/>
  <c r="K487" i="7"/>
  <c r="R487" i="7" s="1"/>
  <c r="K488" i="7"/>
  <c r="R488" i="7" s="1"/>
  <c r="K489" i="7"/>
  <c r="R489" i="7" s="1"/>
  <c r="K490" i="7"/>
  <c r="R490" i="7" s="1"/>
  <c r="K491" i="7"/>
  <c r="R491" i="7" s="1"/>
  <c r="K492" i="7"/>
  <c r="R492" i="7" s="1"/>
  <c r="K493" i="7"/>
  <c r="R493" i="7" s="1"/>
  <c r="K494" i="7"/>
  <c r="R494" i="7" s="1"/>
  <c r="K495" i="7"/>
  <c r="R495" i="7" s="1"/>
  <c r="K496" i="7"/>
  <c r="R496" i="7" s="1"/>
  <c r="K497" i="7"/>
  <c r="R497" i="7" s="1"/>
  <c r="K498" i="7"/>
  <c r="R498" i="7" s="1"/>
  <c r="K499" i="7"/>
  <c r="R499" i="7" s="1"/>
  <c r="K500" i="7"/>
  <c r="R500" i="7" s="1"/>
  <c r="K501" i="7"/>
  <c r="R501" i="7" s="1"/>
  <c r="K502" i="7"/>
  <c r="R502" i="7" s="1"/>
  <c r="K503" i="7"/>
  <c r="R503" i="7" s="1"/>
  <c r="K504" i="7"/>
  <c r="K505" i="7"/>
  <c r="R505" i="7" s="1"/>
  <c r="K506" i="7"/>
  <c r="K507" i="7"/>
  <c r="R507" i="7" s="1"/>
  <c r="K508" i="7"/>
  <c r="K509" i="7"/>
  <c r="R509" i="7" s="1"/>
  <c r="K510" i="7"/>
  <c r="R510" i="7" s="1"/>
  <c r="K511" i="7"/>
  <c r="R511" i="7" s="1"/>
  <c r="K512" i="7"/>
  <c r="R512" i="7" s="1"/>
  <c r="K513" i="7"/>
  <c r="R513" i="7" s="1"/>
  <c r="K514" i="7"/>
  <c r="R514" i="7" s="1"/>
  <c r="K515" i="7"/>
  <c r="R515" i="7" s="1"/>
  <c r="K516" i="7"/>
  <c r="R516" i="7" s="1"/>
  <c r="K517" i="7"/>
  <c r="R517" i="7" s="1"/>
  <c r="K518" i="7"/>
  <c r="K519" i="7"/>
  <c r="R519" i="7" s="1"/>
  <c r="K520" i="7"/>
  <c r="R520" i="7" s="1"/>
  <c r="K521" i="7"/>
  <c r="R521" i="7" s="1"/>
  <c r="K522" i="7"/>
  <c r="R522" i="7" s="1"/>
  <c r="K523" i="7"/>
  <c r="R523" i="7" s="1"/>
  <c r="K524" i="7"/>
  <c r="R524" i="7" s="1"/>
  <c r="K525" i="7"/>
  <c r="R525" i="7" s="1"/>
  <c r="K526" i="7"/>
  <c r="R526" i="7" s="1"/>
  <c r="K527" i="7"/>
  <c r="R527" i="7" s="1"/>
  <c r="K528" i="7"/>
  <c r="R528" i="7" s="1"/>
  <c r="K529" i="7"/>
  <c r="R529" i="7" s="1"/>
  <c r="K530" i="7"/>
  <c r="R530" i="7" s="1"/>
  <c r="K531" i="7"/>
  <c r="R531" i="7" s="1"/>
  <c r="K532" i="7"/>
  <c r="R532" i="7" s="1"/>
  <c r="K533" i="7"/>
  <c r="R533" i="7" s="1"/>
  <c r="K534" i="7"/>
  <c r="R534" i="7" s="1"/>
  <c r="K535" i="7"/>
  <c r="R535" i="7" s="1"/>
  <c r="K536" i="7"/>
  <c r="K537" i="7"/>
  <c r="R537" i="7" s="1"/>
  <c r="K538" i="7"/>
  <c r="R538" i="7" s="1"/>
  <c r="K539" i="7"/>
  <c r="R539" i="7" s="1"/>
  <c r="K540" i="7"/>
  <c r="R540" i="7" s="1"/>
  <c r="K541" i="7"/>
  <c r="R541" i="7" s="1"/>
  <c r="K542" i="7"/>
  <c r="R542" i="7" s="1"/>
  <c r="K543" i="7"/>
  <c r="R543" i="7" s="1"/>
  <c r="K544" i="7"/>
  <c r="R544" i="7" s="1"/>
  <c r="K545" i="7"/>
  <c r="R545" i="7" s="1"/>
  <c r="K546" i="7"/>
  <c r="R546" i="7" s="1"/>
  <c r="K547" i="7"/>
  <c r="R547" i="7" s="1"/>
  <c r="K548" i="7"/>
  <c r="R548" i="7" s="1"/>
  <c r="K549" i="7"/>
  <c r="R549" i="7" s="1"/>
  <c r="K550" i="7"/>
  <c r="R550" i="7" s="1"/>
  <c r="K551" i="7"/>
  <c r="R551" i="7" s="1"/>
  <c r="K552" i="7"/>
  <c r="R552" i="7" s="1"/>
  <c r="K553" i="7"/>
  <c r="R553" i="7" s="1"/>
  <c r="K554" i="7"/>
  <c r="R554" i="7" s="1"/>
  <c r="K555" i="7"/>
  <c r="R555" i="7" s="1"/>
  <c r="K556" i="7"/>
  <c r="R556" i="7" s="1"/>
  <c r="K557" i="7"/>
  <c r="R557" i="7" s="1"/>
  <c r="K558" i="7"/>
  <c r="K559" i="7"/>
  <c r="R559" i="7" s="1"/>
  <c r="K560" i="7"/>
  <c r="R560" i="7" s="1"/>
  <c r="K561" i="7"/>
  <c r="R561" i="7" s="1"/>
  <c r="K562" i="7"/>
  <c r="K563" i="7"/>
  <c r="R563" i="7" s="1"/>
  <c r="K564" i="7"/>
  <c r="R564" i="7" s="1"/>
  <c r="K565" i="7"/>
  <c r="R565" i="7" s="1"/>
  <c r="K566" i="7"/>
  <c r="R566" i="7" s="1"/>
  <c r="K567" i="7"/>
  <c r="K568" i="7"/>
  <c r="K569" i="7"/>
  <c r="R569" i="7" s="1"/>
  <c r="K570" i="7"/>
  <c r="K571" i="7"/>
  <c r="K572" i="7"/>
  <c r="K573" i="7"/>
  <c r="R573" i="7" s="1"/>
  <c r="K574" i="7"/>
  <c r="R574" i="7" s="1"/>
  <c r="K575" i="7"/>
  <c r="R575" i="7" s="1"/>
  <c r="K576" i="7"/>
  <c r="R576" i="7" s="1"/>
  <c r="K577" i="7"/>
  <c r="R577" i="7" s="1"/>
  <c r="K578" i="7"/>
  <c r="R578" i="7" s="1"/>
  <c r="K579" i="7"/>
  <c r="R579" i="7" s="1"/>
  <c r="K580" i="7"/>
  <c r="K581" i="7"/>
  <c r="R581" i="7" s="1"/>
  <c r="K582" i="7"/>
  <c r="R582" i="7" s="1"/>
  <c r="K583" i="7"/>
  <c r="K584" i="7"/>
  <c r="R584" i="7" s="1"/>
  <c r="K585" i="7"/>
  <c r="R585" i="7" s="1"/>
  <c r="K586" i="7"/>
  <c r="R586" i="7" s="1"/>
  <c r="K587" i="7"/>
  <c r="R587" i="7" s="1"/>
  <c r="K588" i="7"/>
  <c r="R588" i="7" s="1"/>
  <c r="K589" i="7"/>
  <c r="R589" i="7" s="1"/>
  <c r="K590" i="7"/>
  <c r="R590" i="7" s="1"/>
  <c r="K591" i="7"/>
  <c r="R591" i="7" s="1"/>
  <c r="K592" i="7"/>
  <c r="R592" i="7" s="1"/>
  <c r="K593" i="7"/>
  <c r="R593" i="7" s="1"/>
  <c r="K594" i="7"/>
  <c r="R594" i="7" s="1"/>
  <c r="K595" i="7"/>
  <c r="R595" i="7" s="1"/>
  <c r="K596" i="7"/>
  <c r="R596" i="7" s="1"/>
  <c r="K597" i="7"/>
  <c r="R597" i="7" s="1"/>
  <c r="K598" i="7"/>
  <c r="R598" i="7" s="1"/>
  <c r="K599" i="7"/>
  <c r="R599" i="7" s="1"/>
  <c r="K600" i="7"/>
  <c r="K601" i="7"/>
  <c r="R601" i="7" s="1"/>
  <c r="K602" i="7"/>
  <c r="R602" i="7" s="1"/>
  <c r="K603" i="7"/>
  <c r="R603" i="7" s="1"/>
  <c r="K604" i="7"/>
  <c r="R604" i="7" s="1"/>
  <c r="K605" i="7"/>
  <c r="R605" i="7" s="1"/>
  <c r="K606" i="7"/>
  <c r="R606" i="7" s="1"/>
  <c r="K607" i="7"/>
  <c r="R607" i="7" s="1"/>
  <c r="K608" i="7"/>
  <c r="K609" i="7"/>
  <c r="R609" i="7" s="1"/>
  <c r="K610" i="7"/>
  <c r="R610" i="7" s="1"/>
  <c r="K611" i="7"/>
  <c r="R611" i="7" s="1"/>
  <c r="K612" i="7"/>
  <c r="R612" i="7" s="1"/>
  <c r="K613" i="7"/>
  <c r="R613" i="7" s="1"/>
  <c r="K614" i="7"/>
  <c r="R614" i="7" s="1"/>
  <c r="K615" i="7"/>
  <c r="R615" i="7" s="1"/>
  <c r="K616" i="7"/>
  <c r="K617" i="7"/>
  <c r="R617" i="7" s="1"/>
  <c r="K618" i="7"/>
  <c r="R618" i="7" s="1"/>
  <c r="K619" i="7"/>
  <c r="R619" i="7" s="1"/>
  <c r="K620" i="7"/>
  <c r="R620" i="7" s="1"/>
  <c r="K621" i="7"/>
  <c r="R621" i="7" s="1"/>
  <c r="K622" i="7"/>
  <c r="R622" i="7" s="1"/>
  <c r="K623" i="7"/>
  <c r="R623" i="7" s="1"/>
  <c r="K624" i="7"/>
  <c r="R624" i="7" s="1"/>
  <c r="K625" i="7"/>
  <c r="K626" i="7"/>
  <c r="R626" i="7" s="1"/>
  <c r="K627" i="7"/>
  <c r="R627" i="7" s="1"/>
  <c r="K628" i="7"/>
  <c r="R628" i="7" s="1"/>
  <c r="K629" i="7"/>
  <c r="R629" i="7" s="1"/>
  <c r="K630" i="7"/>
  <c r="R630" i="7" s="1"/>
  <c r="K631" i="7"/>
  <c r="R631" i="7" s="1"/>
  <c r="K632" i="7"/>
  <c r="R632" i="7" s="1"/>
  <c r="K633" i="7"/>
  <c r="R633" i="7" s="1"/>
  <c r="K634" i="7"/>
  <c r="R634" i="7" s="1"/>
  <c r="K635" i="7"/>
  <c r="R635" i="7" s="1"/>
  <c r="K636" i="7"/>
  <c r="K637" i="7"/>
  <c r="R637" i="7" s="1"/>
  <c r="K638" i="7"/>
  <c r="K639" i="7"/>
  <c r="R639" i="7" s="1"/>
  <c r="K640" i="7"/>
  <c r="R640" i="7" s="1"/>
  <c r="K641" i="7"/>
  <c r="R641" i="7" s="1"/>
  <c r="K642" i="7"/>
  <c r="R642" i="7" s="1"/>
  <c r="K643" i="7"/>
  <c r="R643" i="7" s="1"/>
  <c r="K644" i="7"/>
  <c r="R644" i="7" s="1"/>
  <c r="K645" i="7"/>
  <c r="R645" i="7" s="1"/>
  <c r="K646" i="7"/>
  <c r="R646" i="7" s="1"/>
  <c r="K647" i="7"/>
  <c r="K648" i="7"/>
  <c r="R648" i="7" s="1"/>
  <c r="K649" i="7"/>
  <c r="R649" i="7" s="1"/>
  <c r="K650" i="7"/>
  <c r="R650" i="7" s="1"/>
  <c r="K651" i="7"/>
  <c r="R651" i="7" s="1"/>
  <c r="K652" i="7"/>
  <c r="R652" i="7" s="1"/>
  <c r="K653" i="7"/>
  <c r="R653" i="7" s="1"/>
  <c r="K654" i="7"/>
  <c r="R654" i="7" s="1"/>
  <c r="K655" i="7"/>
  <c r="R655" i="7" s="1"/>
  <c r="K656" i="7"/>
  <c r="R656" i="7" s="1"/>
  <c r="K657" i="7"/>
  <c r="R657" i="7" s="1"/>
  <c r="K658" i="7"/>
  <c r="R658" i="7" s="1"/>
  <c r="K659" i="7"/>
  <c r="K660" i="7"/>
  <c r="R660" i="7" s="1"/>
  <c r="K661" i="7"/>
  <c r="R661" i="7" s="1"/>
  <c r="K662" i="7"/>
  <c r="R662" i="7" s="1"/>
  <c r="K663" i="7"/>
  <c r="R663" i="7" s="1"/>
  <c r="K664" i="7"/>
  <c r="R664" i="7" s="1"/>
  <c r="K665" i="7"/>
  <c r="R665" i="7" s="1"/>
  <c r="K666" i="7"/>
  <c r="R666" i="7" s="1"/>
  <c r="K667" i="7"/>
  <c r="R667" i="7" s="1"/>
  <c r="K668" i="7"/>
  <c r="R668" i="7" s="1"/>
  <c r="K669" i="7"/>
  <c r="R669" i="7" s="1"/>
  <c r="K670" i="7"/>
  <c r="K671" i="7"/>
  <c r="R671" i="7" s="1"/>
  <c r="K672" i="7"/>
  <c r="K673" i="7"/>
  <c r="R673" i="7" s="1"/>
  <c r="K674" i="7"/>
  <c r="K675" i="7"/>
  <c r="R675" i="7" s="1"/>
  <c r="K676" i="7"/>
  <c r="R676" i="7" s="1"/>
  <c r="K677" i="7"/>
  <c r="R677" i="7" s="1"/>
  <c r="K678" i="7"/>
  <c r="R678" i="7" s="1"/>
  <c r="K679" i="7"/>
  <c r="R679" i="7" s="1"/>
  <c r="K680" i="7"/>
  <c r="R680" i="7" s="1"/>
  <c r="K681" i="7"/>
  <c r="K682" i="7"/>
  <c r="R682" i="7" s="1"/>
  <c r="K683" i="7"/>
  <c r="R683" i="7" s="1"/>
  <c r="K684" i="7"/>
  <c r="R684" i="7" s="1"/>
  <c r="K685" i="7"/>
  <c r="R685" i="7" s="1"/>
  <c r="K686" i="7"/>
  <c r="K687" i="7"/>
  <c r="R687" i="7" s="1"/>
  <c r="K688" i="7"/>
  <c r="R688" i="7" s="1"/>
  <c r="K689" i="7"/>
  <c r="R689" i="7" s="1"/>
  <c r="K690" i="7"/>
  <c r="R690" i="7" s="1"/>
  <c r="K691" i="7"/>
  <c r="R691" i="7" s="1"/>
  <c r="K692" i="7"/>
  <c r="R692" i="7" s="1"/>
  <c r="K693" i="7"/>
  <c r="R693" i="7" s="1"/>
  <c r="K694" i="7"/>
  <c r="K695" i="7"/>
  <c r="R695" i="7" s="1"/>
  <c r="K696" i="7"/>
  <c r="R696" i="7" s="1"/>
  <c r="K697" i="7"/>
  <c r="R697" i="7" s="1"/>
  <c r="K698" i="7"/>
  <c r="R698" i="7" s="1"/>
  <c r="K699" i="7"/>
  <c r="R699" i="7" s="1"/>
  <c r="K700" i="7"/>
  <c r="R700" i="7" s="1"/>
  <c r="K701" i="7"/>
  <c r="R701" i="7" s="1"/>
  <c r="K702" i="7"/>
  <c r="R702" i="7" s="1"/>
  <c r="K703" i="7"/>
  <c r="K704" i="7"/>
  <c r="K705" i="7"/>
  <c r="K706" i="7"/>
  <c r="K707" i="7"/>
  <c r="K708" i="7"/>
  <c r="K709" i="7"/>
  <c r="K710" i="7"/>
  <c r="R710" i="7" s="1"/>
  <c r="K711" i="7"/>
  <c r="R711" i="7" s="1"/>
  <c r="K712" i="7"/>
  <c r="R712" i="7" s="1"/>
  <c r="K713" i="7"/>
  <c r="R713" i="7" s="1"/>
  <c r="K714" i="7"/>
  <c r="R714" i="7" s="1"/>
  <c r="K715" i="7"/>
  <c r="R715" i="7" s="1"/>
  <c r="K716" i="7"/>
  <c r="R716" i="7" s="1"/>
  <c r="K717" i="7"/>
  <c r="K718" i="7"/>
  <c r="R718" i="7" s="1"/>
  <c r="K719" i="7"/>
  <c r="R719" i="7" s="1"/>
  <c r="K720" i="7"/>
  <c r="R720" i="7" s="1"/>
  <c r="K721" i="7"/>
  <c r="R721" i="7" s="1"/>
  <c r="K722" i="7"/>
  <c r="R722" i="7" s="1"/>
  <c r="K723" i="7"/>
  <c r="R723" i="7" s="1"/>
  <c r="K724" i="7"/>
  <c r="R724" i="7" s="1"/>
  <c r="K725" i="7"/>
  <c r="R725" i="7" s="1"/>
  <c r="K726" i="7"/>
  <c r="R726" i="7" s="1"/>
  <c r="K727" i="7"/>
  <c r="R727" i="7" s="1"/>
  <c r="K728" i="7"/>
  <c r="R728" i="7" s="1"/>
  <c r="K729" i="7"/>
  <c r="R729" i="7" s="1"/>
  <c r="K730" i="7"/>
  <c r="R730" i="7" s="1"/>
  <c r="K731" i="7"/>
  <c r="R731" i="7" s="1"/>
  <c r="K732" i="7"/>
  <c r="R732" i="7" s="1"/>
  <c r="K733" i="7"/>
  <c r="R733" i="7" s="1"/>
  <c r="K734" i="7"/>
  <c r="R734" i="7" s="1"/>
  <c r="K735" i="7"/>
  <c r="K736" i="7"/>
  <c r="R736" i="7" s="1"/>
  <c r="K737" i="7"/>
  <c r="R737" i="7" s="1"/>
  <c r="K738" i="7"/>
  <c r="R738" i="7" s="1"/>
  <c r="K739" i="7"/>
  <c r="R739" i="7" s="1"/>
  <c r="K740" i="7"/>
  <c r="R740" i="7" s="1"/>
  <c r="K741" i="7"/>
  <c r="R741" i="7" s="1"/>
  <c r="K742" i="7"/>
  <c r="R742" i="7" s="1"/>
  <c r="K743" i="7"/>
  <c r="R743" i="7" s="1"/>
  <c r="K744" i="7"/>
  <c r="K745" i="7"/>
  <c r="R745" i="7" s="1"/>
  <c r="K746" i="7"/>
  <c r="R746" i="7" s="1"/>
  <c r="K747" i="7"/>
  <c r="R747" i="7" s="1"/>
  <c r="K748" i="7"/>
  <c r="R748" i="7" s="1"/>
  <c r="K749" i="7"/>
  <c r="R749" i="7" s="1"/>
  <c r="K750" i="7"/>
  <c r="R750" i="7" s="1"/>
  <c r="K751" i="7"/>
  <c r="R751" i="7" s="1"/>
  <c r="K752" i="7"/>
  <c r="R752" i="7" s="1"/>
  <c r="K753" i="7"/>
  <c r="R753" i="7" s="1"/>
  <c r="K754" i="7"/>
  <c r="R754" i="7" s="1"/>
  <c r="K755" i="7"/>
  <c r="K756" i="7"/>
  <c r="K757" i="7"/>
  <c r="R757" i="7" s="1"/>
  <c r="K758" i="7"/>
  <c r="R758" i="7" s="1"/>
  <c r="L759" i="7"/>
  <c r="M759" i="7" s="1"/>
  <c r="K759" i="7"/>
  <c r="L760" i="7"/>
  <c r="M760" i="7" s="1"/>
  <c r="K760" i="7"/>
  <c r="L761" i="7"/>
  <c r="M761" i="7" s="1"/>
  <c r="K761" i="7"/>
  <c r="K762" i="7"/>
  <c r="R762" i="7" s="1"/>
  <c r="K763" i="7"/>
  <c r="R763" i="7" s="1"/>
  <c r="K764" i="7"/>
  <c r="R764" i="7" s="1"/>
  <c r="K765" i="7"/>
  <c r="R765" i="7" s="1"/>
  <c r="L766" i="7"/>
  <c r="M766" i="7" s="1"/>
  <c r="K766" i="7"/>
  <c r="K767" i="7"/>
  <c r="R767" i="7" s="1"/>
  <c r="K768" i="7"/>
  <c r="R768" i="7" s="1"/>
  <c r="K769" i="7"/>
  <c r="K770" i="7"/>
  <c r="R770" i="7" s="1"/>
  <c r="L771" i="7"/>
  <c r="M771" i="7" s="1"/>
  <c r="K771" i="7"/>
  <c r="R771" i="7" s="1"/>
  <c r="K772" i="7"/>
  <c r="R772" i="7" s="1"/>
  <c r="K773" i="7"/>
  <c r="R773" i="7" s="1"/>
  <c r="K774" i="7"/>
  <c r="R774" i="7" s="1"/>
  <c r="K775" i="7"/>
  <c r="R775" i="7" s="1"/>
  <c r="L776" i="7"/>
  <c r="M776" i="7" s="1"/>
  <c r="K776" i="7"/>
  <c r="R776" i="7" s="1"/>
  <c r="K777" i="7"/>
  <c r="R777" i="7" s="1"/>
  <c r="K778" i="7"/>
  <c r="K779" i="7"/>
  <c r="R779" i="7" s="1"/>
  <c r="K780" i="7"/>
  <c r="R780" i="7" s="1"/>
  <c r="L781" i="7"/>
  <c r="M781" i="7" s="1"/>
  <c r="K781" i="7"/>
  <c r="R781" i="7" s="1"/>
  <c r="K782" i="7"/>
  <c r="R782" i="7" s="1"/>
  <c r="K783" i="7"/>
  <c r="R783" i="7" s="1"/>
  <c r="K784" i="7"/>
  <c r="R784" i="7" s="1"/>
  <c r="K785" i="7"/>
  <c r="R785" i="7" s="1"/>
  <c r="L786" i="7"/>
  <c r="M786" i="7" s="1"/>
  <c r="K786" i="7"/>
  <c r="R786" i="7" s="1"/>
  <c r="K787" i="7"/>
  <c r="R787" i="7" s="1"/>
  <c r="K788" i="7"/>
  <c r="R788" i="7" s="1"/>
  <c r="K789" i="7"/>
  <c r="K790" i="7"/>
  <c r="R790" i="7" s="1"/>
  <c r="L791" i="7"/>
  <c r="M791" i="7" s="1"/>
  <c r="K791" i="7"/>
  <c r="K792" i="7"/>
  <c r="R792" i="7" s="1"/>
  <c r="K793" i="7"/>
  <c r="R793" i="7" s="1"/>
  <c r="K794" i="7"/>
  <c r="K795" i="7"/>
  <c r="R795" i="7" s="1"/>
  <c r="L796" i="7"/>
  <c r="M796" i="7" s="1"/>
  <c r="K796" i="7"/>
  <c r="R796" i="7" s="1"/>
  <c r="K797" i="7"/>
  <c r="R797" i="7" s="1"/>
  <c r="K798" i="7"/>
  <c r="R798" i="7" s="1"/>
  <c r="K799" i="7"/>
  <c r="K800" i="7"/>
  <c r="R800" i="7" s="1"/>
  <c r="L801" i="7"/>
  <c r="M801" i="7" s="1"/>
  <c r="K801" i="7"/>
  <c r="R801" i="7" s="1"/>
  <c r="K802" i="7"/>
  <c r="R802" i="7" s="1"/>
  <c r="K803" i="7"/>
  <c r="R803" i="7" s="1"/>
  <c r="K804" i="7"/>
  <c r="K805" i="7"/>
  <c r="R805" i="7" s="1"/>
  <c r="L806" i="7"/>
  <c r="M806" i="7" s="1"/>
  <c r="K806" i="7"/>
  <c r="R806" i="7" s="1"/>
  <c r="K807" i="7"/>
  <c r="R807" i="7" s="1"/>
  <c r="K808" i="7"/>
  <c r="R808" i="7" s="1"/>
  <c r="K809" i="7"/>
  <c r="R809" i="7" s="1"/>
  <c r="K810" i="7"/>
  <c r="L811" i="7"/>
  <c r="M811" i="7" s="1"/>
  <c r="K811" i="7"/>
  <c r="K812" i="7"/>
  <c r="R812" i="7" s="1"/>
  <c r="K813" i="7"/>
  <c r="R813" i="7" s="1"/>
  <c r="K814" i="7"/>
  <c r="K815" i="7"/>
  <c r="L816" i="7"/>
  <c r="M816" i="7" s="1"/>
  <c r="K816" i="7"/>
  <c r="K817" i="7"/>
  <c r="K818" i="7"/>
  <c r="K819" i="7"/>
  <c r="K820" i="7"/>
  <c r="L821" i="7"/>
  <c r="M821" i="7" s="1"/>
  <c r="K821" i="7"/>
  <c r="K822" i="7"/>
  <c r="K823" i="7"/>
  <c r="K824" i="7"/>
  <c r="K825" i="7"/>
  <c r="L826" i="7"/>
  <c r="M826" i="7" s="1"/>
  <c r="K826" i="7"/>
  <c r="R826" i="7" s="1"/>
  <c r="K827" i="7"/>
  <c r="R827" i="7" s="1"/>
  <c r="K828" i="7"/>
  <c r="R828" i="7" s="1"/>
  <c r="K829" i="7"/>
  <c r="R829" i="7" s="1"/>
  <c r="K830" i="7"/>
  <c r="R830" i="7" s="1"/>
  <c r="L831" i="7"/>
  <c r="M831" i="7" s="1"/>
  <c r="K831" i="7"/>
  <c r="R831" i="7" s="1"/>
  <c r="K832" i="7"/>
  <c r="K833" i="7"/>
  <c r="K834" i="7"/>
  <c r="K835" i="7"/>
  <c r="L836" i="7"/>
  <c r="M836" i="7" s="1"/>
  <c r="K836" i="7"/>
  <c r="K837" i="7"/>
  <c r="R837" i="7" s="1"/>
  <c r="K838" i="7"/>
  <c r="R838" i="7" s="1"/>
  <c r="K839" i="7"/>
  <c r="K840" i="7"/>
  <c r="R840" i="7" s="1"/>
  <c r="L841" i="7"/>
  <c r="M841" i="7" s="1"/>
  <c r="K841" i="7"/>
  <c r="R841" i="7" s="1"/>
  <c r="K842" i="7"/>
  <c r="R842" i="7" s="1"/>
  <c r="K843" i="7"/>
  <c r="K844" i="7"/>
  <c r="R844" i="7" s="1"/>
  <c r="K845" i="7"/>
  <c r="R845" i="7" s="1"/>
  <c r="L846" i="7"/>
  <c r="M846" i="7" s="1"/>
  <c r="K846" i="7"/>
  <c r="R846" i="7" s="1"/>
  <c r="K847" i="7"/>
  <c r="R847" i="7" s="1"/>
  <c r="K848" i="7"/>
  <c r="R848" i="7" s="1"/>
  <c r="K849" i="7"/>
  <c r="R849" i="7" s="1"/>
  <c r="K850" i="7"/>
  <c r="R850" i="7" s="1"/>
  <c r="L851" i="7"/>
  <c r="M851" i="7" s="1"/>
  <c r="K851" i="7"/>
  <c r="R851" i="7" s="1"/>
  <c r="K852" i="7"/>
  <c r="R852" i="7" s="1"/>
  <c r="K853" i="7"/>
  <c r="K854" i="7"/>
  <c r="R854" i="7" s="1"/>
  <c r="K855" i="7"/>
  <c r="R855" i="7" s="1"/>
  <c r="L856" i="7"/>
  <c r="M856" i="7" s="1"/>
  <c r="K856" i="7"/>
  <c r="R856" i="7" s="1"/>
  <c r="K857" i="7"/>
  <c r="R857" i="7" s="1"/>
  <c r="K858" i="7"/>
  <c r="R858" i="7" s="1"/>
  <c r="K859" i="7"/>
  <c r="R859" i="7" s="1"/>
  <c r="K860" i="7"/>
  <c r="R860" i="7" s="1"/>
  <c r="L861" i="7"/>
  <c r="M861" i="7" s="1"/>
  <c r="K861" i="7"/>
  <c r="R861" i="7" s="1"/>
  <c r="K862" i="7"/>
  <c r="R862" i="7" s="1"/>
  <c r="K863" i="7"/>
  <c r="R863" i="7" s="1"/>
  <c r="K864" i="7"/>
  <c r="R864" i="7" s="1"/>
  <c r="K865" i="7"/>
  <c r="R865" i="7" s="1"/>
  <c r="L866" i="7"/>
  <c r="M866" i="7" s="1"/>
  <c r="K866" i="7"/>
  <c r="R866" i="7" s="1"/>
  <c r="K867" i="7"/>
  <c r="R867" i="7" s="1"/>
  <c r="K868" i="7"/>
  <c r="R868" i="7" s="1"/>
  <c r="K869" i="7"/>
  <c r="R869" i="7" s="1"/>
  <c r="K870" i="7"/>
  <c r="R870" i="7" s="1"/>
  <c r="L871" i="7"/>
  <c r="M871" i="7" s="1"/>
  <c r="K871" i="7"/>
  <c r="R871" i="7" s="1"/>
  <c r="K872" i="7"/>
  <c r="K873" i="7"/>
  <c r="R873" i="7" s="1"/>
  <c r="K874" i="7"/>
  <c r="R874" i="7" s="1"/>
  <c r="K875" i="7"/>
  <c r="R875" i="7" s="1"/>
  <c r="L876" i="7"/>
  <c r="M876" i="7" s="1"/>
  <c r="K876" i="7"/>
  <c r="K877" i="7"/>
  <c r="K878" i="7"/>
  <c r="K879" i="7"/>
  <c r="K880" i="7"/>
  <c r="L881" i="7"/>
  <c r="M881" i="7" s="1"/>
  <c r="K881" i="7"/>
  <c r="K882" i="7"/>
  <c r="K883" i="7"/>
  <c r="K884" i="7"/>
  <c r="K885" i="7"/>
  <c r="L886" i="7"/>
  <c r="M886" i="7" s="1"/>
  <c r="K886" i="7"/>
  <c r="K887" i="7"/>
  <c r="K888" i="7"/>
  <c r="K889" i="7"/>
  <c r="R889" i="7" s="1"/>
  <c r="K890" i="7"/>
  <c r="R890" i="7" s="1"/>
  <c r="L891" i="7"/>
  <c r="M891" i="7" s="1"/>
  <c r="K891" i="7"/>
  <c r="R891" i="7" s="1"/>
  <c r="K892" i="7"/>
  <c r="R892" i="7" s="1"/>
  <c r="K893" i="7"/>
  <c r="R893" i="7" s="1"/>
  <c r="K894" i="7"/>
  <c r="R894" i="7" s="1"/>
  <c r="K895" i="7"/>
  <c r="R895" i="7" s="1"/>
  <c r="L896" i="7"/>
  <c r="M896" i="7" s="1"/>
  <c r="K896" i="7"/>
  <c r="R896" i="7" s="1"/>
  <c r="K897" i="7"/>
  <c r="R897" i="7" s="1"/>
  <c r="K898" i="7"/>
  <c r="R898" i="7" s="1"/>
  <c r="K899" i="7"/>
  <c r="K900" i="7"/>
  <c r="L901" i="7"/>
  <c r="M901" i="7" s="1"/>
  <c r="K901" i="7"/>
  <c r="R901" i="7" s="1"/>
  <c r="K902" i="7"/>
  <c r="R902" i="7" s="1"/>
  <c r="K903" i="7"/>
  <c r="R903" i="7" s="1"/>
  <c r="K904" i="7"/>
  <c r="R904" i="7" s="1"/>
  <c r="K905" i="7"/>
  <c r="R905" i="7" s="1"/>
  <c r="L906" i="7"/>
  <c r="M906" i="7" s="1"/>
  <c r="K906" i="7"/>
  <c r="R906" i="7" s="1"/>
  <c r="K907" i="7"/>
  <c r="R907" i="7" s="1"/>
  <c r="K908" i="7"/>
  <c r="R908" i="7" s="1"/>
  <c r="K909" i="7"/>
  <c r="R909" i="7" s="1"/>
  <c r="K910" i="7"/>
  <c r="R910" i="7" s="1"/>
  <c r="L911" i="7"/>
  <c r="M911" i="7" s="1"/>
  <c r="K911" i="7"/>
  <c r="R911" i="7" s="1"/>
  <c r="K912" i="7"/>
  <c r="R912" i="7" s="1"/>
  <c r="K913" i="7"/>
  <c r="R913" i="7" s="1"/>
  <c r="K914" i="7"/>
  <c r="R914" i="7" s="1"/>
  <c r="K915" i="7"/>
  <c r="R915" i="7" s="1"/>
  <c r="L916" i="7"/>
  <c r="M916" i="7" s="1"/>
  <c r="K916" i="7"/>
  <c r="R916" i="7" s="1"/>
  <c r="K917" i="7"/>
  <c r="R917" i="7" s="1"/>
  <c r="K918" i="7"/>
  <c r="R918" i="7" s="1"/>
  <c r="K919" i="7"/>
  <c r="R919" i="7" s="1"/>
  <c r="K920" i="7"/>
  <c r="R920" i="7" s="1"/>
  <c r="L921" i="7"/>
  <c r="M921" i="7" s="1"/>
  <c r="K921" i="7"/>
  <c r="R921" i="7" s="1"/>
  <c r="K922" i="7"/>
  <c r="R922" i="7" s="1"/>
  <c r="K923" i="7"/>
  <c r="R923" i="7" s="1"/>
  <c r="K924" i="7"/>
  <c r="R924" i="7" s="1"/>
  <c r="K925" i="7"/>
  <c r="L926" i="7"/>
  <c r="M926" i="7" s="1"/>
  <c r="K926" i="7"/>
  <c r="R926" i="7" s="1"/>
  <c r="K927" i="7"/>
  <c r="R927" i="7" s="1"/>
  <c r="K928" i="7"/>
  <c r="R928" i="7" s="1"/>
  <c r="K929" i="7"/>
  <c r="R929" i="7" s="1"/>
  <c r="K930" i="7"/>
  <c r="L931" i="7"/>
  <c r="M931" i="7" s="1"/>
  <c r="K931" i="7"/>
  <c r="R931" i="7" s="1"/>
  <c r="K932" i="7"/>
  <c r="R932" i="7" s="1"/>
  <c r="K933" i="7"/>
  <c r="R933" i="7" s="1"/>
  <c r="K934" i="7"/>
  <c r="R934" i="7" s="1"/>
  <c r="K935" i="7"/>
  <c r="R935" i="7" s="1"/>
  <c r="L936" i="7"/>
  <c r="M936" i="7" s="1"/>
  <c r="K936" i="7"/>
  <c r="K937" i="7"/>
  <c r="R937" i="7" s="1"/>
  <c r="K938" i="7"/>
  <c r="K939" i="7"/>
  <c r="R939" i="7" s="1"/>
  <c r="K940" i="7"/>
  <c r="L941" i="7"/>
  <c r="M941" i="7" s="1"/>
  <c r="K941" i="7"/>
  <c r="R941" i="7" s="1"/>
  <c r="K942" i="7"/>
  <c r="K943" i="7"/>
  <c r="R943" i="7" s="1"/>
  <c r="K944" i="7"/>
  <c r="R944" i="7" s="1"/>
  <c r="K945" i="7"/>
  <c r="R945" i="7" s="1"/>
  <c r="L946" i="7"/>
  <c r="M946" i="7" s="1"/>
  <c r="K946" i="7"/>
  <c r="R946" i="7" s="1"/>
  <c r="K947" i="7"/>
  <c r="K948" i="7"/>
  <c r="R948" i="7" s="1"/>
  <c r="K949" i="7"/>
  <c r="R949" i="7" s="1"/>
  <c r="K950" i="7"/>
  <c r="R950" i="7" s="1"/>
  <c r="L951" i="7"/>
  <c r="M951" i="7" s="1"/>
  <c r="K951" i="7"/>
  <c r="R951" i="7" s="1"/>
  <c r="K952" i="7"/>
  <c r="R952" i="7" s="1"/>
  <c r="K953" i="7"/>
  <c r="R953" i="7" s="1"/>
  <c r="K954" i="7"/>
  <c r="R954" i="7" s="1"/>
  <c r="K955" i="7"/>
  <c r="R955" i="7" s="1"/>
  <c r="L956" i="7"/>
  <c r="M956" i="7" s="1"/>
  <c r="K956" i="7"/>
  <c r="R956" i="7" s="1"/>
  <c r="K957" i="7"/>
  <c r="R957" i="7" s="1"/>
  <c r="K958" i="7"/>
  <c r="R958" i="7" s="1"/>
  <c r="K959" i="7"/>
  <c r="R959" i="7" s="1"/>
  <c r="K960" i="7"/>
  <c r="R960" i="7" s="1"/>
  <c r="L961" i="7"/>
  <c r="M961" i="7" s="1"/>
  <c r="K961" i="7"/>
  <c r="R961" i="7" s="1"/>
  <c r="K962" i="7"/>
  <c r="R962" i="7" s="1"/>
  <c r="K963" i="7"/>
  <c r="R963" i="7" s="1"/>
  <c r="K964" i="7"/>
  <c r="R964" i="7" s="1"/>
  <c r="K965" i="7"/>
  <c r="R965" i="7" s="1"/>
  <c r="L966" i="7"/>
  <c r="M966" i="7" s="1"/>
  <c r="K966" i="7"/>
  <c r="R966" i="7" s="1"/>
  <c r="K967" i="7"/>
  <c r="R967" i="7" s="1"/>
  <c r="K968" i="7"/>
  <c r="R968" i="7" s="1"/>
  <c r="K969" i="7"/>
  <c r="K970" i="7"/>
  <c r="R970" i="7" s="1"/>
  <c r="L971" i="7"/>
  <c r="M971" i="7" s="1"/>
  <c r="K971" i="7"/>
  <c r="R971" i="7" s="1"/>
  <c r="K972" i="7"/>
  <c r="R972" i="7" s="1"/>
  <c r="K973" i="7"/>
  <c r="R973" i="7" s="1"/>
  <c r="K974" i="7"/>
  <c r="R974" i="7" s="1"/>
  <c r="K975" i="7"/>
  <c r="R975" i="7" s="1"/>
  <c r="L976" i="7"/>
  <c r="M976" i="7" s="1"/>
  <c r="K976" i="7"/>
  <c r="R976" i="7" s="1"/>
  <c r="K977" i="7"/>
  <c r="R977" i="7" s="1"/>
  <c r="K978" i="7"/>
  <c r="R978" i="7" s="1"/>
  <c r="K979" i="7"/>
  <c r="R979" i="7" s="1"/>
  <c r="K980" i="7"/>
  <c r="R980" i="7" s="1"/>
  <c r="L981" i="7"/>
  <c r="M981" i="7" s="1"/>
  <c r="K981" i="7"/>
  <c r="R981" i="7" s="1"/>
  <c r="K982" i="7"/>
  <c r="R982" i="7" s="1"/>
  <c r="K983" i="7"/>
  <c r="K984" i="7"/>
  <c r="R984" i="7" s="1"/>
  <c r="K985" i="7"/>
  <c r="R985" i="7" s="1"/>
  <c r="L986" i="7"/>
  <c r="M986" i="7" s="1"/>
  <c r="K986" i="7"/>
  <c r="K987" i="7"/>
  <c r="R987" i="7" s="1"/>
  <c r="K988" i="7"/>
  <c r="R988" i="7" s="1"/>
  <c r="K989" i="7"/>
  <c r="R989" i="7" s="1"/>
  <c r="K990" i="7"/>
  <c r="R990" i="7" s="1"/>
  <c r="L991" i="7"/>
  <c r="M991" i="7" s="1"/>
  <c r="K991" i="7"/>
  <c r="R991" i="7" s="1"/>
  <c r="K992" i="7"/>
  <c r="K993" i="7"/>
  <c r="R993" i="7" s="1"/>
  <c r="K994" i="7"/>
  <c r="R994" i="7" s="1"/>
  <c r="K995" i="7"/>
  <c r="R995" i="7" s="1"/>
  <c r="L996" i="7"/>
  <c r="M996" i="7" s="1"/>
  <c r="K996" i="7"/>
  <c r="R996" i="7" s="1"/>
  <c r="K997" i="7"/>
  <c r="R997" i="7" s="1"/>
  <c r="K998" i="7"/>
  <c r="R998" i="7" s="1"/>
  <c r="K999" i="7"/>
  <c r="R999" i="7" s="1"/>
  <c r="K1000" i="7"/>
  <c r="R1000" i="7" s="1"/>
  <c r="L1001" i="7"/>
  <c r="M1001" i="7" s="1"/>
  <c r="K1001" i="7"/>
  <c r="K1002" i="7"/>
  <c r="K1003" i="7"/>
  <c r="K1004" i="7"/>
  <c r="K1005" i="7"/>
  <c r="L1006" i="7"/>
  <c r="M1006" i="7" s="1"/>
  <c r="K1006" i="7"/>
  <c r="K1007" i="7"/>
  <c r="R1007" i="7" s="1"/>
  <c r="K1008" i="7"/>
  <c r="R1008" i="7" s="1"/>
  <c r="K1009" i="7"/>
  <c r="R1009" i="7" s="1"/>
  <c r="K1010" i="7"/>
  <c r="R1010" i="7" s="1"/>
  <c r="L1011" i="7"/>
  <c r="M1011" i="7" s="1"/>
  <c r="K1011" i="7"/>
  <c r="R1011" i="7" s="1"/>
  <c r="K1012" i="7"/>
  <c r="R1012" i="7" s="1"/>
  <c r="K1013" i="7"/>
  <c r="R1013" i="7" s="1"/>
  <c r="K1014" i="7"/>
  <c r="R1014" i="7" s="1"/>
  <c r="K1015" i="7"/>
  <c r="L1016" i="7"/>
  <c r="M1016" i="7" s="1"/>
  <c r="K1016" i="7"/>
  <c r="R1016" i="7" s="1"/>
  <c r="K1017" i="7"/>
  <c r="K1018" i="7"/>
  <c r="K1019" i="7"/>
  <c r="R1019" i="7" s="1"/>
  <c r="K1020" i="7"/>
  <c r="R1020" i="7" s="1"/>
  <c r="L1021" i="7"/>
  <c r="M1021" i="7" s="1"/>
  <c r="K1021" i="7"/>
  <c r="R1021" i="7" s="1"/>
  <c r="K1022" i="7"/>
  <c r="R1022" i="7" s="1"/>
  <c r="K1023" i="7"/>
  <c r="R1023" i="7" s="1"/>
  <c r="K1024" i="7"/>
  <c r="R1024" i="7" s="1"/>
  <c r="K1025" i="7"/>
  <c r="R1025" i="7" s="1"/>
  <c r="L1026" i="7"/>
  <c r="M1026" i="7" s="1"/>
  <c r="K1026" i="7"/>
  <c r="K1027" i="7"/>
  <c r="R1027" i="7" s="1"/>
  <c r="K1028" i="7"/>
  <c r="R1028" i="7" s="1"/>
  <c r="K1029" i="7"/>
  <c r="R1029" i="7" s="1"/>
  <c r="K1030" i="7"/>
  <c r="R1030" i="7" s="1"/>
  <c r="L1031" i="7"/>
  <c r="M1031" i="7" s="1"/>
  <c r="K1031" i="7"/>
  <c r="K1032" i="7"/>
  <c r="R1032" i="7" s="1"/>
  <c r="K1033" i="7"/>
  <c r="R1033" i="7" s="1"/>
  <c r="K1034" i="7"/>
  <c r="R1034" i="7" s="1"/>
  <c r="K1035" i="7"/>
  <c r="R1035" i="7" s="1"/>
  <c r="L1036" i="7"/>
  <c r="M1036" i="7" s="1"/>
  <c r="K1036" i="7"/>
  <c r="R1036" i="7" s="1"/>
  <c r="K1037" i="7"/>
  <c r="R1037" i="7" s="1"/>
  <c r="K1038" i="7"/>
  <c r="R1038" i="7" s="1"/>
  <c r="K1039" i="7"/>
  <c r="R1039" i="7" s="1"/>
  <c r="K1040" i="7"/>
  <c r="R1040" i="7" s="1"/>
  <c r="L1041" i="7"/>
  <c r="M1041" i="7" s="1"/>
  <c r="K1041" i="7"/>
  <c r="R1041" i="7" s="1"/>
  <c r="K1042" i="7"/>
  <c r="R1042" i="7" s="1"/>
  <c r="K1043" i="7"/>
  <c r="R1043" i="7" s="1"/>
  <c r="K1044" i="7"/>
  <c r="R1044" i="7" s="1"/>
  <c r="K1045" i="7"/>
  <c r="R1045" i="7" s="1"/>
  <c r="L1046" i="7"/>
  <c r="M1046" i="7" s="1"/>
  <c r="K1046" i="7"/>
  <c r="R1046" i="7" s="1"/>
  <c r="K1047" i="7"/>
  <c r="R1047" i="7" s="1"/>
  <c r="K1048" i="7"/>
  <c r="R1048" i="7" s="1"/>
  <c r="K1049" i="7"/>
  <c r="R1049" i="7" s="1"/>
  <c r="K1050" i="7"/>
  <c r="R1050" i="7" s="1"/>
  <c r="L1051" i="7"/>
  <c r="M1051" i="7" s="1"/>
  <c r="K1051" i="7"/>
  <c r="R1051" i="7" s="1"/>
  <c r="K1052" i="7"/>
  <c r="R1052" i="7" s="1"/>
  <c r="K1053" i="7"/>
  <c r="R1053" i="7" s="1"/>
  <c r="K1054" i="7"/>
  <c r="R1054" i="7" s="1"/>
  <c r="K1055" i="7"/>
  <c r="R1055" i="7" s="1"/>
  <c r="L1056" i="7"/>
  <c r="M1056" i="7" s="1"/>
  <c r="K1056" i="7"/>
  <c r="R1056" i="7" s="1"/>
  <c r="K1057" i="7"/>
  <c r="R1057" i="7" s="1"/>
  <c r="K1058" i="7"/>
  <c r="R1058" i="7" s="1"/>
  <c r="K1059" i="7"/>
  <c r="R1059" i="7" s="1"/>
  <c r="K1060" i="7"/>
  <c r="R1060" i="7" s="1"/>
  <c r="L1061" i="7"/>
  <c r="M1061" i="7" s="1"/>
  <c r="K1061" i="7"/>
  <c r="R1061" i="7" s="1"/>
  <c r="K1062" i="7"/>
  <c r="R1062" i="7" s="1"/>
  <c r="K1063" i="7"/>
  <c r="R1063" i="7" s="1"/>
  <c r="K1064" i="7"/>
  <c r="R1064" i="7" s="1"/>
  <c r="K1065" i="7"/>
  <c r="R1065" i="7" s="1"/>
  <c r="L1066" i="7"/>
  <c r="M1066" i="7" s="1"/>
  <c r="K1066" i="7"/>
  <c r="L1067" i="7"/>
  <c r="M1067" i="7" s="1"/>
  <c r="K1067" i="7"/>
  <c r="K1068" i="7"/>
  <c r="L1069" i="7"/>
  <c r="M1069" i="7" s="1"/>
  <c r="K1069" i="7"/>
  <c r="K1070" i="7"/>
  <c r="R1070" i="7" s="1"/>
  <c r="L1071" i="7"/>
  <c r="M1071" i="7" s="1"/>
  <c r="K1071" i="7"/>
  <c r="K1072" i="7"/>
  <c r="L1073" i="7"/>
  <c r="M1073" i="7" s="1"/>
  <c r="K1073" i="7"/>
  <c r="K1074" i="7"/>
  <c r="R1074" i="7" s="1"/>
  <c r="L1075" i="7"/>
  <c r="M1075" i="7" s="1"/>
  <c r="K1075" i="7"/>
  <c r="K1076" i="7"/>
  <c r="L1077" i="7"/>
  <c r="M1077" i="7" s="1"/>
  <c r="K1077" i="7"/>
  <c r="K1078" i="7"/>
  <c r="R1078" i="7" s="1"/>
  <c r="L1079" i="7"/>
  <c r="M1079" i="7" s="1"/>
  <c r="K1079" i="7"/>
  <c r="K1080" i="7"/>
  <c r="L1081" i="7"/>
  <c r="M1081" i="7" s="1"/>
  <c r="K1081" i="7"/>
  <c r="K1082" i="7"/>
  <c r="L1083" i="7"/>
  <c r="M1083" i="7" s="1"/>
  <c r="K1083" i="7"/>
  <c r="K1084" i="7"/>
  <c r="L1085" i="7"/>
  <c r="M1085" i="7" s="1"/>
  <c r="K1085" i="7"/>
  <c r="L1086" i="7"/>
  <c r="M1086" i="7" s="1"/>
  <c r="K1086" i="7"/>
  <c r="L1087" i="7"/>
  <c r="M1087" i="7" s="1"/>
  <c r="K1087" i="7"/>
  <c r="L1088" i="7"/>
  <c r="M1088" i="7" s="1"/>
  <c r="K1088" i="7"/>
  <c r="L1089" i="7"/>
  <c r="M1089" i="7" s="1"/>
  <c r="K1089" i="7"/>
  <c r="L1090" i="7"/>
  <c r="M1090" i="7" s="1"/>
  <c r="K1090" i="7"/>
  <c r="L1091" i="7"/>
  <c r="M1091" i="7" s="1"/>
  <c r="K1091" i="7"/>
  <c r="L1092" i="7"/>
  <c r="M1092" i="7" s="1"/>
  <c r="K1092" i="7"/>
  <c r="L1093" i="7"/>
  <c r="M1093" i="7" s="1"/>
  <c r="K1093" i="7"/>
  <c r="L1094" i="7"/>
  <c r="M1094" i="7" s="1"/>
  <c r="K1094" i="7"/>
  <c r="L1095" i="7"/>
  <c r="M1095" i="7" s="1"/>
  <c r="K1095" i="7"/>
  <c r="L1096" i="7"/>
  <c r="M1096" i="7" s="1"/>
  <c r="K1096" i="7"/>
  <c r="R1096" i="7" s="1"/>
  <c r="L1097" i="7"/>
  <c r="M1097" i="7" s="1"/>
  <c r="K1097" i="7"/>
  <c r="R1097" i="7" s="1"/>
  <c r="L1098" i="7"/>
  <c r="M1098" i="7" s="1"/>
  <c r="K1098" i="7"/>
  <c r="R1098" i="7" s="1"/>
  <c r="L1099" i="7"/>
  <c r="M1099" i="7" s="1"/>
  <c r="K1099" i="7"/>
  <c r="R1099" i="7" s="1"/>
  <c r="L1100" i="7"/>
  <c r="M1100" i="7" s="1"/>
  <c r="K1100" i="7"/>
  <c r="R1100" i="7" s="1"/>
  <c r="L1101" i="7"/>
  <c r="M1101" i="7" s="1"/>
  <c r="K1101" i="7"/>
  <c r="L1102" i="7"/>
  <c r="M1102" i="7" s="1"/>
  <c r="K1102" i="7"/>
  <c r="R1102" i="7" s="1"/>
  <c r="L1103" i="7"/>
  <c r="M1103" i="7" s="1"/>
  <c r="K1103" i="7"/>
  <c r="L1104" i="7"/>
  <c r="M1104" i="7" s="1"/>
  <c r="K1104" i="7"/>
  <c r="R1104" i="7" s="1"/>
  <c r="L1105" i="7"/>
  <c r="M1105" i="7" s="1"/>
  <c r="K1105" i="7"/>
  <c r="R1105" i="7" s="1"/>
  <c r="L1106" i="7"/>
  <c r="M1106" i="7" s="1"/>
  <c r="K1106" i="7"/>
  <c r="R1106" i="7" s="1"/>
  <c r="L1107" i="7"/>
  <c r="M1107" i="7" s="1"/>
  <c r="K1107" i="7"/>
  <c r="L1108" i="7"/>
  <c r="M1108" i="7" s="1"/>
  <c r="K1108" i="7"/>
  <c r="R1108" i="7" s="1"/>
  <c r="L1109" i="7"/>
  <c r="M1109" i="7" s="1"/>
  <c r="K1109" i="7"/>
  <c r="R1109" i="7" s="1"/>
  <c r="L1110" i="7"/>
  <c r="M1110" i="7" s="1"/>
  <c r="K1110" i="7"/>
  <c r="R1110" i="7" s="1"/>
  <c r="L1111" i="7"/>
  <c r="M1111" i="7" s="1"/>
  <c r="K1111" i="7"/>
  <c r="R1111" i="7" s="1"/>
  <c r="L1112" i="7"/>
  <c r="M1112" i="7" s="1"/>
  <c r="K1112" i="7"/>
  <c r="L1113" i="7"/>
  <c r="M1113" i="7" s="1"/>
  <c r="K1113" i="7"/>
  <c r="R1113" i="7" s="1"/>
  <c r="L1114" i="7"/>
  <c r="M1114" i="7" s="1"/>
  <c r="K1114" i="7"/>
  <c r="R1114" i="7" s="1"/>
  <c r="L1115" i="7"/>
  <c r="M1115" i="7" s="1"/>
  <c r="K1115" i="7"/>
  <c r="R1115" i="7" s="1"/>
  <c r="L1116" i="7"/>
  <c r="M1116" i="7" s="1"/>
  <c r="K1116" i="7"/>
  <c r="L1117" i="7"/>
  <c r="M1117" i="7" s="1"/>
  <c r="K1117" i="7"/>
  <c r="R1117" i="7" s="1"/>
  <c r="L1118" i="7"/>
  <c r="M1118" i="7" s="1"/>
  <c r="K1118" i="7"/>
  <c r="R1118" i="7" s="1"/>
  <c r="L1119" i="7"/>
  <c r="M1119" i="7" s="1"/>
  <c r="K1119" i="7"/>
  <c r="R1119" i="7" s="1"/>
  <c r="L1120" i="7"/>
  <c r="M1120" i="7" s="1"/>
  <c r="K1120" i="7"/>
  <c r="R1120" i="7" s="1"/>
  <c r="L1121" i="7"/>
  <c r="M1121" i="7" s="1"/>
  <c r="K1121" i="7"/>
  <c r="L1122" i="7"/>
  <c r="M1122" i="7" s="1"/>
  <c r="K1122" i="7"/>
  <c r="R1122" i="7" s="1"/>
  <c r="L1123" i="7"/>
  <c r="M1123" i="7" s="1"/>
  <c r="K1123" i="7"/>
  <c r="R1123" i="7" s="1"/>
  <c r="L1124" i="7"/>
  <c r="M1124" i="7" s="1"/>
  <c r="K1124" i="7"/>
  <c r="R1124" i="7" s="1"/>
  <c r="L1125" i="7"/>
  <c r="M1125" i="7" s="1"/>
  <c r="K1125" i="7"/>
  <c r="R1125" i="7" s="1"/>
  <c r="L1126" i="7"/>
  <c r="M1126" i="7" s="1"/>
  <c r="K1126" i="7"/>
  <c r="R1126" i="7" s="1"/>
  <c r="L1127" i="7"/>
  <c r="M1127" i="7" s="1"/>
  <c r="K1127" i="7"/>
  <c r="R1127" i="7" s="1"/>
  <c r="L1128" i="7"/>
  <c r="M1128" i="7" s="1"/>
  <c r="K1128" i="7"/>
  <c r="L1129" i="7"/>
  <c r="M1129" i="7" s="1"/>
  <c r="K1129" i="7"/>
  <c r="L1130" i="7"/>
  <c r="M1130" i="7" s="1"/>
  <c r="K1130" i="7"/>
  <c r="R1130" i="7" s="1"/>
  <c r="L1131" i="7"/>
  <c r="M1131" i="7" s="1"/>
  <c r="K1131" i="7"/>
  <c r="R1131" i="7" s="1"/>
  <c r="L1132" i="7"/>
  <c r="M1132" i="7" s="1"/>
  <c r="K1132" i="7"/>
  <c r="R1132" i="7" s="1"/>
  <c r="L1133" i="7"/>
  <c r="M1133" i="7" s="1"/>
  <c r="K1133" i="7"/>
  <c r="R1133" i="7" s="1"/>
  <c r="L1134" i="7"/>
  <c r="M1134" i="7" s="1"/>
  <c r="K1134" i="7"/>
  <c r="R1134" i="7" s="1"/>
  <c r="L1135" i="7"/>
  <c r="M1135" i="7" s="1"/>
  <c r="K1135" i="7"/>
  <c r="R1135" i="7" s="1"/>
  <c r="L1136" i="7"/>
  <c r="M1136" i="7" s="1"/>
  <c r="K1136" i="7"/>
  <c r="R1136" i="7" s="1"/>
  <c r="L1137" i="7"/>
  <c r="M1137" i="7" s="1"/>
  <c r="K1137" i="7"/>
  <c r="R1137" i="7" s="1"/>
  <c r="L1138" i="7"/>
  <c r="M1138" i="7" s="1"/>
  <c r="K1138" i="7"/>
  <c r="R1138" i="7" s="1"/>
  <c r="L1139" i="7"/>
  <c r="M1139" i="7" s="1"/>
  <c r="K1139" i="7"/>
  <c r="R1139" i="7" s="1"/>
  <c r="L1140" i="7"/>
  <c r="M1140" i="7" s="1"/>
  <c r="K1140" i="7"/>
  <c r="R1140" i="7" s="1"/>
  <c r="L1141" i="7"/>
  <c r="M1141" i="7" s="1"/>
  <c r="K1141" i="7"/>
  <c r="R1141" i="7" s="1"/>
  <c r="L1142" i="7"/>
  <c r="M1142" i="7" s="1"/>
  <c r="K1142" i="7"/>
  <c r="R1142" i="7" s="1"/>
  <c r="L1143" i="7"/>
  <c r="M1143" i="7" s="1"/>
  <c r="K1143" i="7"/>
  <c r="R1143" i="7" s="1"/>
  <c r="L1144" i="7"/>
  <c r="M1144" i="7" s="1"/>
  <c r="K1144" i="7"/>
  <c r="R1144" i="7" s="1"/>
  <c r="L1145" i="7"/>
  <c r="M1145" i="7" s="1"/>
  <c r="K1145" i="7"/>
  <c r="R1145" i="7" s="1"/>
  <c r="L1146" i="7"/>
  <c r="M1146" i="7" s="1"/>
  <c r="K1146" i="7"/>
  <c r="R1146" i="7" s="1"/>
  <c r="L1147" i="7"/>
  <c r="M1147" i="7" s="1"/>
  <c r="K1147" i="7"/>
  <c r="R1147" i="7" s="1"/>
  <c r="L1148" i="7"/>
  <c r="M1148" i="7" s="1"/>
  <c r="K1148" i="7"/>
  <c r="R1148" i="7" s="1"/>
  <c r="L1149" i="7"/>
  <c r="M1149" i="7" s="1"/>
  <c r="K1149" i="7"/>
  <c r="R1149" i="7" s="1"/>
  <c r="L1150" i="7"/>
  <c r="M1150" i="7" s="1"/>
  <c r="K1150" i="7"/>
  <c r="R1150" i="7" s="1"/>
  <c r="L1151" i="7"/>
  <c r="M1151" i="7" s="1"/>
  <c r="K1151" i="7"/>
  <c r="R1151" i="7" s="1"/>
  <c r="L1152" i="7"/>
  <c r="M1152" i="7" s="1"/>
  <c r="K1152" i="7"/>
  <c r="R1152" i="7" s="1"/>
  <c r="L1153" i="7"/>
  <c r="M1153" i="7" s="1"/>
  <c r="K1153" i="7"/>
  <c r="L1154" i="7"/>
  <c r="M1154" i="7" s="1"/>
  <c r="K1154" i="7"/>
  <c r="R1154" i="7" s="1"/>
  <c r="L1155" i="7"/>
  <c r="M1155" i="7" s="1"/>
  <c r="K1155" i="7"/>
  <c r="R1155" i="7" s="1"/>
  <c r="L1156" i="7"/>
  <c r="M1156" i="7" s="1"/>
  <c r="K1156" i="7"/>
  <c r="R1156" i="7" s="1"/>
  <c r="L1157" i="7"/>
  <c r="M1157" i="7" s="1"/>
  <c r="K1157" i="7"/>
  <c r="R1157" i="7" s="1"/>
  <c r="L1158" i="7"/>
  <c r="M1158" i="7" s="1"/>
  <c r="K1158" i="7"/>
  <c r="R1158" i="7" s="1"/>
  <c r="L1159" i="7"/>
  <c r="M1159" i="7" s="1"/>
  <c r="K1159" i="7"/>
  <c r="R1159" i="7" s="1"/>
  <c r="L1160" i="7"/>
  <c r="M1160" i="7" s="1"/>
  <c r="K1160" i="7"/>
  <c r="R1160" i="7" s="1"/>
  <c r="L1161" i="7"/>
  <c r="M1161" i="7" s="1"/>
  <c r="K1161" i="7"/>
  <c r="R1161" i="7" s="1"/>
  <c r="L1162" i="7"/>
  <c r="M1162" i="7" s="1"/>
  <c r="K1162" i="7"/>
  <c r="R1162" i="7" s="1"/>
  <c r="L1163" i="7"/>
  <c r="M1163" i="7" s="1"/>
  <c r="K1163" i="7"/>
  <c r="R1163" i="7" s="1"/>
  <c r="L1164" i="7"/>
  <c r="M1164" i="7" s="1"/>
  <c r="K1164" i="7"/>
  <c r="R1164" i="7" s="1"/>
  <c r="L1165" i="7"/>
  <c r="M1165" i="7" s="1"/>
  <c r="K1165" i="7"/>
  <c r="R1165" i="7" s="1"/>
  <c r="L1166" i="7"/>
  <c r="M1166" i="7" s="1"/>
  <c r="K1166" i="7"/>
  <c r="R1166" i="7" s="1"/>
  <c r="L1167" i="7"/>
  <c r="M1167" i="7" s="1"/>
  <c r="K1167" i="7"/>
  <c r="R1167" i="7" s="1"/>
  <c r="L1168" i="7"/>
  <c r="M1168" i="7" s="1"/>
  <c r="K1168" i="7"/>
  <c r="R1168" i="7" s="1"/>
  <c r="L1169" i="7"/>
  <c r="M1169" i="7" s="1"/>
  <c r="K1169" i="7"/>
  <c r="R1169" i="7" s="1"/>
  <c r="L1170" i="7"/>
  <c r="M1170" i="7" s="1"/>
  <c r="K1170" i="7"/>
  <c r="R1170" i="7" s="1"/>
  <c r="L1171" i="7"/>
  <c r="M1171" i="7" s="1"/>
  <c r="K1171" i="7"/>
  <c r="R1171" i="7" s="1"/>
  <c r="L1172" i="7"/>
  <c r="M1172" i="7" s="1"/>
  <c r="K1172" i="7"/>
  <c r="R1172" i="7" s="1"/>
  <c r="L1173" i="7"/>
  <c r="M1173" i="7" s="1"/>
  <c r="K1173" i="7"/>
  <c r="K1174" i="7"/>
  <c r="K1175" i="7"/>
  <c r="K1176" i="7"/>
  <c r="K1177" i="7"/>
  <c r="V121" i="1"/>
  <c r="Y121" i="1"/>
  <c r="X121" i="1"/>
  <c r="V128" i="1"/>
  <c r="Y128" i="1"/>
  <c r="X128" i="1"/>
  <c r="V133" i="1"/>
  <c r="Y133" i="1"/>
  <c r="X133" i="1"/>
  <c r="AI2" i="7"/>
  <c r="AB11" i="7"/>
  <c r="AC11" i="7"/>
  <c r="AD11" i="7"/>
  <c r="AB12" i="7"/>
  <c r="AC12" i="7"/>
  <c r="AD12" i="7"/>
  <c r="AB13" i="7"/>
  <c r="AC13" i="7"/>
  <c r="AD13" i="7"/>
  <c r="AB14" i="7"/>
  <c r="AC14" i="7"/>
  <c r="AD14" i="7"/>
  <c r="AB15" i="7"/>
  <c r="AC15" i="7"/>
  <c r="AD15" i="7"/>
  <c r="AB16" i="7"/>
  <c r="AC16" i="7"/>
  <c r="AD16" i="7"/>
  <c r="AA4" i="7" a="1"/>
  <c r="AA4" i="7" s="1"/>
  <c r="K3" i="7"/>
  <c r="AF158" i="7"/>
  <c r="AF159" i="7"/>
  <c r="AF160" i="7"/>
  <c r="R1174" i="7" l="1"/>
  <c r="R1175" i="7"/>
  <c r="O1021" i="7"/>
  <c r="N1170" i="7"/>
  <c r="R1176" i="7"/>
  <c r="R1177" i="7"/>
  <c r="O228" i="7"/>
  <c r="P697" i="7"/>
  <c r="R377" i="7"/>
  <c r="N1152" i="7"/>
  <c r="R877" i="7"/>
  <c r="R1082" i="7"/>
  <c r="O1129" i="7"/>
  <c r="O697" i="7"/>
  <c r="P1133" i="7"/>
  <c r="P923" i="7"/>
  <c r="N814" i="7"/>
  <c r="P690" i="7"/>
  <c r="P489" i="7"/>
  <c r="N1074" i="7"/>
  <c r="N1091" i="7"/>
  <c r="O1152" i="7"/>
  <c r="R1017" i="7"/>
  <c r="R1006" i="7"/>
  <c r="O1049" i="7"/>
  <c r="N1049" i="7"/>
  <c r="R1004" i="7"/>
  <c r="N1021" i="7"/>
  <c r="R900" i="7"/>
  <c r="R815" i="7"/>
  <c r="R834" i="7"/>
  <c r="R380" i="7"/>
  <c r="R833" i="7"/>
  <c r="R814" i="7"/>
  <c r="O1054" i="7"/>
  <c r="P767" i="7"/>
  <c r="P1120" i="7"/>
  <c r="P1139" i="7"/>
  <c r="O1174" i="7"/>
  <c r="R879" i="7"/>
  <c r="R823" i="7"/>
  <c r="N1174" i="7"/>
  <c r="R832" i="7"/>
  <c r="P869" i="7"/>
  <c r="O690" i="7"/>
  <c r="R572" i="7"/>
  <c r="R378" i="7"/>
  <c r="N1110" i="7"/>
  <c r="N966" i="7"/>
  <c r="N1116" i="7"/>
  <c r="R878" i="7"/>
  <c r="O869" i="7"/>
  <c r="N690" i="7"/>
  <c r="R824" i="7"/>
  <c r="R819" i="7"/>
  <c r="P1129" i="7"/>
  <c r="N869" i="7"/>
  <c r="R756" i="7"/>
  <c r="R571" i="7"/>
  <c r="O1139" i="7"/>
  <c r="O1120" i="7"/>
  <c r="R1094" i="7"/>
  <c r="N1054" i="7"/>
  <c r="R876" i="7"/>
  <c r="O767" i="7"/>
  <c r="P1173" i="7"/>
  <c r="N1120" i="7"/>
  <c r="N1002" i="7"/>
  <c r="P966" i="7"/>
  <c r="R821" i="7"/>
  <c r="N767" i="7"/>
  <c r="P195" i="7"/>
  <c r="R886" i="7"/>
  <c r="P1161" i="7"/>
  <c r="R1093" i="7"/>
  <c r="R375" i="7"/>
  <c r="N1161" i="7"/>
  <c r="R1001" i="7"/>
  <c r="O1106" i="7"/>
  <c r="O658" i="7"/>
  <c r="N1143" i="7"/>
  <c r="P1035" i="7"/>
  <c r="R883" i="7"/>
  <c r="P574" i="7"/>
  <c r="P203" i="7"/>
  <c r="R1018" i="7"/>
  <c r="N893" i="7"/>
  <c r="P1060" i="7"/>
  <c r="O1035" i="7"/>
  <c r="P837" i="7"/>
  <c r="R882" i="7"/>
  <c r="O601" i="7"/>
  <c r="P875" i="7"/>
  <c r="N575" i="7"/>
  <c r="N1086" i="7"/>
  <c r="R884" i="7"/>
  <c r="N606" i="7"/>
  <c r="N923" i="7"/>
  <c r="N861" i="7"/>
  <c r="O923" i="7"/>
  <c r="P1029" i="7"/>
  <c r="P1078" i="7"/>
  <c r="N1106" i="7"/>
  <c r="N1165" i="7"/>
  <c r="P1021" i="7"/>
  <c r="O845" i="7"/>
  <c r="N916" i="7"/>
  <c r="O1165" i="7"/>
  <c r="P1091" i="7"/>
  <c r="P980" i="7"/>
  <c r="N946" i="7"/>
  <c r="R818" i="7"/>
  <c r="N229" i="7"/>
  <c r="R885" i="7"/>
  <c r="R567" i="7"/>
  <c r="N939" i="7"/>
  <c r="R384" i="7"/>
  <c r="P1148" i="7"/>
  <c r="O946" i="7"/>
  <c r="O837" i="7"/>
  <c r="O980" i="7"/>
  <c r="R881" i="7"/>
  <c r="P845" i="7"/>
  <c r="O736" i="7"/>
  <c r="R193" i="7"/>
  <c r="R822" i="7"/>
  <c r="O1161" i="7"/>
  <c r="N490" i="7"/>
  <c r="P1165" i="7"/>
  <c r="R1091" i="7"/>
  <c r="N980" i="7"/>
  <c r="R836" i="7"/>
  <c r="R817" i="7"/>
  <c r="R1005" i="7"/>
  <c r="R880" i="7"/>
  <c r="R191" i="7"/>
  <c r="R1092" i="7"/>
  <c r="R1003" i="7"/>
  <c r="R888" i="7"/>
  <c r="R835" i="7"/>
  <c r="R568" i="7"/>
  <c r="R381" i="7"/>
  <c r="O875" i="7"/>
  <c r="P727" i="7"/>
  <c r="N697" i="7"/>
  <c r="P648" i="7"/>
  <c r="O574" i="7"/>
  <c r="P496" i="7"/>
  <c r="O489" i="7"/>
  <c r="O1173" i="7"/>
  <c r="O1133" i="7"/>
  <c r="N1129" i="7"/>
  <c r="O1078" i="7"/>
  <c r="O1060" i="7"/>
  <c r="N1035" i="7"/>
  <c r="P986" i="7"/>
  <c r="N883" i="7"/>
  <c r="P813" i="7"/>
  <c r="O648" i="7"/>
  <c r="O496" i="7"/>
  <c r="N425" i="7"/>
  <c r="N1173" i="7"/>
  <c r="N1133" i="7"/>
  <c r="P1105" i="7"/>
  <c r="P1095" i="7"/>
  <c r="N1078" i="7"/>
  <c r="N1060" i="7"/>
  <c r="N1000" i="7"/>
  <c r="O986" i="7"/>
  <c r="P965" i="7"/>
  <c r="P951" i="7"/>
  <c r="P906" i="7"/>
  <c r="P836" i="7"/>
  <c r="N820" i="7"/>
  <c r="O813" i="7"/>
  <c r="O805" i="7"/>
  <c r="O782" i="7"/>
  <c r="P766" i="7"/>
  <c r="N648" i="7"/>
  <c r="P530" i="7"/>
  <c r="P521" i="7"/>
  <c r="N496" i="7"/>
  <c r="O235" i="7"/>
  <c r="N1090" i="7"/>
  <c r="O965" i="7"/>
  <c r="O521" i="7"/>
  <c r="P1164" i="7"/>
  <c r="P1119" i="7"/>
  <c r="N951" i="7"/>
  <c r="P1146" i="7"/>
  <c r="O1020" i="7"/>
  <c r="N874" i="7"/>
  <c r="O536" i="7"/>
  <c r="P1177" i="7"/>
  <c r="N1137" i="7"/>
  <c r="N1109" i="7"/>
  <c r="O842" i="7"/>
  <c r="O614" i="7"/>
  <c r="P1058" i="7"/>
  <c r="O819" i="7"/>
  <c r="P702" i="7"/>
  <c r="N1177" i="7"/>
  <c r="O1132" i="7"/>
  <c r="O1094" i="7"/>
  <c r="N1058" i="7"/>
  <c r="P1025" i="7"/>
  <c r="P950" i="7"/>
  <c r="O856" i="7"/>
  <c r="N850" i="7"/>
  <c r="N787" i="7"/>
  <c r="O748" i="7"/>
  <c r="O620" i="7"/>
  <c r="O23" i="7"/>
  <c r="P33" i="7"/>
  <c r="O40" i="7"/>
  <c r="P53" i="7"/>
  <c r="P63" i="7"/>
  <c r="P70" i="7"/>
  <c r="O77" i="7"/>
  <c r="N84" i="7"/>
  <c r="O87" i="7"/>
  <c r="P110" i="7"/>
  <c r="O117" i="7"/>
  <c r="N121" i="7"/>
  <c r="O128" i="7"/>
  <c r="P135" i="7"/>
  <c r="N139" i="7"/>
  <c r="P150" i="7"/>
  <c r="P154" i="7"/>
  <c r="N158" i="7"/>
  <c r="N162" i="7"/>
  <c r="N166" i="7"/>
  <c r="O170" i="7"/>
  <c r="O7" i="7"/>
  <c r="N14" i="7"/>
  <c r="N17" i="7"/>
  <c r="O20" i="7"/>
  <c r="N30" i="7"/>
  <c r="N37" i="7"/>
  <c r="N47" i="7"/>
  <c r="O50" i="7"/>
  <c r="N57" i="7"/>
  <c r="O60" i="7"/>
  <c r="N67" i="7"/>
  <c r="O74" i="7"/>
  <c r="N81" i="7"/>
  <c r="P84" i="7"/>
  <c r="P7" i="7"/>
  <c r="O14" i="7"/>
  <c r="O17" i="7"/>
  <c r="P20" i="7"/>
  <c r="O30" i="7"/>
  <c r="O37" i="7"/>
  <c r="N44" i="7"/>
  <c r="O47" i="7"/>
  <c r="P50" i="7"/>
  <c r="O57" i="7"/>
  <c r="P60" i="7"/>
  <c r="N4" i="7"/>
  <c r="N11" i="7"/>
  <c r="P14" i="7"/>
  <c r="P17" i="7"/>
  <c r="N27" i="7"/>
  <c r="P30" i="7"/>
  <c r="P37" i="7"/>
  <c r="O44" i="7"/>
  <c r="P47" i="7"/>
  <c r="N54" i="7"/>
  <c r="P57" i="7"/>
  <c r="P67" i="7"/>
  <c r="N71" i="7"/>
  <c r="P81" i="7"/>
  <c r="P94" i="7"/>
  <c r="N101" i="7"/>
  <c r="N104" i="7"/>
  <c r="P107" i="7"/>
  <c r="P114" i="7"/>
  <c r="P125" i="7"/>
  <c r="P132" i="7"/>
  <c r="N136" i="7"/>
  <c r="P143" i="7"/>
  <c r="P147" i="7"/>
  <c r="O151" i="7"/>
  <c r="O186" i="7"/>
  <c r="O4" i="7"/>
  <c r="O11" i="7"/>
  <c r="N24" i="7"/>
  <c r="O27" i="7"/>
  <c r="N34" i="7"/>
  <c r="N41" i="7"/>
  <c r="P44" i="7"/>
  <c r="O54" i="7"/>
  <c r="N64" i="7"/>
  <c r="O71" i="7"/>
  <c r="N78" i="7"/>
  <c r="P4" i="7"/>
  <c r="P11" i="7"/>
  <c r="O24" i="7"/>
  <c r="P27" i="7"/>
  <c r="O34" i="7"/>
  <c r="O41" i="7"/>
  <c r="P54" i="7"/>
  <c r="O64" i="7"/>
  <c r="P71" i="7"/>
  <c r="O78" i="7"/>
  <c r="N88" i="7"/>
  <c r="O91" i="7"/>
  <c r="P101" i="7"/>
  <c r="P104" i="7"/>
  <c r="O111" i="7"/>
  <c r="O118" i="7"/>
  <c r="O122" i="7"/>
  <c r="O129" i="7"/>
  <c r="P136" i="7"/>
  <c r="N140" i="7"/>
  <c r="O155" i="7"/>
  <c r="O159" i="7"/>
  <c r="O163" i="7"/>
  <c r="N8" i="7"/>
  <c r="N21" i="7"/>
  <c r="P24" i="7"/>
  <c r="P34" i="7"/>
  <c r="P41" i="7"/>
  <c r="N51" i="7"/>
  <c r="N61" i="7"/>
  <c r="N5" i="7"/>
  <c r="N12" i="7"/>
  <c r="N15" i="7"/>
  <c r="O18" i="7"/>
  <c r="P31" i="7"/>
  <c r="O38" i="7"/>
  <c r="N45" i="7"/>
  <c r="O48" i="7"/>
  <c r="N55" i="7"/>
  <c r="P58" i="7"/>
  <c r="P68" i="7"/>
  <c r="O82" i="7"/>
  <c r="P85" i="7"/>
  <c r="P95" i="7"/>
  <c r="P108" i="7"/>
  <c r="O5" i="7"/>
  <c r="O12" i="7"/>
  <c r="O15" i="7"/>
  <c r="P18" i="7"/>
  <c r="N25" i="7"/>
  <c r="N28" i="7"/>
  <c r="N35" i="7"/>
  <c r="P38" i="7"/>
  <c r="O45" i="7"/>
  <c r="P48" i="7"/>
  <c r="O55" i="7"/>
  <c r="N72" i="7"/>
  <c r="N79" i="7"/>
  <c r="P82" i="7"/>
  <c r="N105" i="7"/>
  <c r="N112" i="7"/>
  <c r="N119" i="7"/>
  <c r="N123" i="7"/>
  <c r="O126" i="7"/>
  <c r="N130" i="7"/>
  <c r="N137" i="7"/>
  <c r="N141" i="7"/>
  <c r="P152" i="7"/>
  <c r="N156" i="7"/>
  <c r="O160" i="7"/>
  <c r="N164" i="7"/>
  <c r="N168" i="7"/>
  <c r="O8" i="7"/>
  <c r="O21" i="7"/>
  <c r="P25" i="7"/>
  <c r="O29" i="7"/>
  <c r="N38" i="7"/>
  <c r="P51" i="7"/>
  <c r="P72" i="7"/>
  <c r="N76" i="7"/>
  <c r="O80" i="7"/>
  <c r="P88" i="7"/>
  <c r="N99" i="7"/>
  <c r="P106" i="7"/>
  <c r="O114" i="7"/>
  <c r="N118" i="7"/>
  <c r="P126" i="7"/>
  <c r="N143" i="7"/>
  <c r="O147" i="7"/>
  <c r="O156" i="7"/>
  <c r="P165" i="7"/>
  <c r="P185" i="7"/>
  <c r="O193" i="7"/>
  <c r="N201" i="7"/>
  <c r="P212" i="7"/>
  <c r="O216" i="7"/>
  <c r="O220" i="7"/>
  <c r="N224" i="7"/>
  <c r="N232" i="7"/>
  <c r="O236" i="7"/>
  <c r="P243" i="7"/>
  <c r="O254" i="7"/>
  <c r="P258" i="7"/>
  <c r="N262" i="7"/>
  <c r="P269" i="7"/>
  <c r="P273" i="7"/>
  <c r="P277" i="7"/>
  <c r="P293" i="7"/>
  <c r="P301" i="7"/>
  <c r="N305" i="7"/>
  <c r="N309" i="7"/>
  <c r="P316" i="7"/>
  <c r="O323" i="7"/>
  <c r="P327" i="7"/>
  <c r="P331" i="7"/>
  <c r="N335" i="7"/>
  <c r="N339" i="7"/>
  <c r="P357" i="7"/>
  <c r="P361" i="7"/>
  <c r="P365" i="7"/>
  <c r="P384" i="7"/>
  <c r="P388" i="7"/>
  <c r="O392" i="7"/>
  <c r="P396" i="7"/>
  <c r="O400" i="7"/>
  <c r="N404" i="7"/>
  <c r="O408" i="7"/>
  <c r="O412" i="7"/>
  <c r="O416" i="7"/>
  <c r="N419" i="7"/>
  <c r="N423" i="7"/>
  <c r="N427" i="7"/>
  <c r="O431" i="7"/>
  <c r="P434" i="7"/>
  <c r="P438" i="7"/>
  <c r="P8" i="7"/>
  <c r="P21" i="7"/>
  <c r="P29" i="7"/>
  <c r="N56" i="7"/>
  <c r="N68" i="7"/>
  <c r="O76" i="7"/>
  <c r="P80" i="7"/>
  <c r="O99" i="7"/>
  <c r="P118" i="7"/>
  <c r="O139" i="7"/>
  <c r="O143" i="7"/>
  <c r="N152" i="7"/>
  <c r="P156" i="7"/>
  <c r="N161" i="7"/>
  <c r="N170" i="7"/>
  <c r="P193" i="7"/>
  <c r="N197" i="7"/>
  <c r="O201" i="7"/>
  <c r="N205" i="7"/>
  <c r="P216" i="7"/>
  <c r="P220" i="7"/>
  <c r="O224" i="7"/>
  <c r="N228" i="7"/>
  <c r="O232" i="7"/>
  <c r="P236" i="7"/>
  <c r="N240" i="7"/>
  <c r="N247" i="7"/>
  <c r="P254" i="7"/>
  <c r="O262" i="7"/>
  <c r="N13" i="7"/>
  <c r="O56" i="7"/>
  <c r="P64" i="7"/>
  <c r="O13" i="7"/>
  <c r="P56" i="7"/>
  <c r="N60" i="7"/>
  <c r="O92" i="7"/>
  <c r="N103" i="7"/>
  <c r="P123" i="7"/>
  <c r="N135" i="7"/>
  <c r="P161" i="7"/>
  <c r="O174" i="7"/>
  <c r="O178" i="7"/>
  <c r="O182" i="7"/>
  <c r="P197" i="7"/>
  <c r="P205" i="7"/>
  <c r="N209" i="7"/>
  <c r="P228" i="7"/>
  <c r="P240" i="7"/>
  <c r="P247" i="7"/>
  <c r="N251" i="7"/>
  <c r="O266" i="7"/>
  <c r="N270" i="7"/>
  <c r="O282" i="7"/>
  <c r="N286" i="7"/>
  <c r="O290" i="7"/>
  <c r="N294" i="7"/>
  <c r="N302" i="7"/>
  <c r="N313" i="7"/>
  <c r="O320" i="7"/>
  <c r="P343" i="7"/>
  <c r="N347" i="7"/>
  <c r="P350" i="7"/>
  <c r="O354" i="7"/>
  <c r="N362" i="7"/>
  <c r="P369" i="7"/>
  <c r="N373" i="7"/>
  <c r="P377" i="7"/>
  <c r="O381" i="7"/>
  <c r="N385" i="7"/>
  <c r="N435" i="7"/>
  <c r="P13" i="7"/>
  <c r="N39" i="7"/>
  <c r="N43" i="7"/>
  <c r="N52" i="7"/>
  <c r="N73" i="7"/>
  <c r="N85" i="7"/>
  <c r="N89" i="7"/>
  <c r="P92" i="7"/>
  <c r="N96" i="7"/>
  <c r="O103" i="7"/>
  <c r="N107" i="7"/>
  <c r="N111" i="7"/>
  <c r="N115" i="7"/>
  <c r="N127" i="7"/>
  <c r="N131" i="7"/>
  <c r="O135" i="7"/>
  <c r="N148" i="7"/>
  <c r="N157" i="7"/>
  <c r="O166" i="7"/>
  <c r="P174" i="7"/>
  <c r="P178" i="7"/>
  <c r="P182" i="7"/>
  <c r="N186" i="7"/>
  <c r="N190" i="7"/>
  <c r="N194" i="7"/>
  <c r="O209" i="7"/>
  <c r="N217" i="7"/>
  <c r="O251" i="7"/>
  <c r="N255" i="7"/>
  <c r="P266" i="7"/>
  <c r="O270" i="7"/>
  <c r="N274" i="7"/>
  <c r="N278" i="7"/>
  <c r="P282" i="7"/>
  <c r="O286" i="7"/>
  <c r="P290" i="7"/>
  <c r="O294" i="7"/>
  <c r="O302" i="7"/>
  <c r="O313" i="7"/>
  <c r="P320" i="7"/>
  <c r="N324" i="7"/>
  <c r="N332" i="7"/>
  <c r="O347" i="7"/>
  <c r="P354" i="7"/>
  <c r="N358" i="7"/>
  <c r="O362" i="7"/>
  <c r="O373" i="7"/>
  <c r="P381" i="7"/>
  <c r="O385" i="7"/>
  <c r="N389" i="7"/>
  <c r="N397" i="7"/>
  <c r="N401" i="7"/>
  <c r="O435" i="7"/>
  <c r="N439" i="7"/>
  <c r="N9" i="7"/>
  <c r="N26" i="7"/>
  <c r="O39" i="7"/>
  <c r="O43" i="7"/>
  <c r="N48" i="7"/>
  <c r="O52" i="7"/>
  <c r="O73" i="7"/>
  <c r="O81" i="7"/>
  <c r="O85" i="7"/>
  <c r="O89" i="7"/>
  <c r="O96" i="7"/>
  <c r="P103" i="7"/>
  <c r="O107" i="7"/>
  <c r="P111" i="7"/>
  <c r="O115" i="7"/>
  <c r="O119" i="7"/>
  <c r="O127" i="7"/>
  <c r="O131" i="7"/>
  <c r="N144" i="7"/>
  <c r="O148" i="7"/>
  <c r="N153" i="7"/>
  <c r="O157" i="7"/>
  <c r="P166" i="7"/>
  <c r="P186" i="7"/>
  <c r="O190" i="7"/>
  <c r="O194" i="7"/>
  <c r="P209" i="7"/>
  <c r="O217" i="7"/>
  <c r="N221" i="7"/>
  <c r="N225" i="7"/>
  <c r="N237" i="7"/>
  <c r="N244" i="7"/>
  <c r="P251" i="7"/>
  <c r="O255" i="7"/>
  <c r="N259" i="7"/>
  <c r="P270" i="7"/>
  <c r="O274" i="7"/>
  <c r="O278" i="7"/>
  <c r="P286" i="7"/>
  <c r="P294" i="7"/>
  <c r="N298" i="7"/>
  <c r="P302" i="7"/>
  <c r="N306" i="7"/>
  <c r="P313" i="7"/>
  <c r="N317" i="7"/>
  <c r="O324" i="7"/>
  <c r="N328" i="7"/>
  <c r="O332" i="7"/>
  <c r="N336" i="7"/>
  <c r="N340" i="7"/>
  <c r="P347" i="7"/>
  <c r="O358" i="7"/>
  <c r="P362" i="7"/>
  <c r="N366" i="7"/>
  <c r="P373" i="7"/>
  <c r="P385" i="7"/>
  <c r="O389" i="7"/>
  <c r="N393" i="7"/>
  <c r="O397" i="7"/>
  <c r="O401" i="7"/>
  <c r="N405" i="7"/>
  <c r="N409" i="7"/>
  <c r="O9" i="7"/>
  <c r="N18" i="7"/>
  <c r="N22" i="7"/>
  <c r="O26" i="7"/>
  <c r="P39" i="7"/>
  <c r="P43" i="7"/>
  <c r="P52" i="7"/>
  <c r="N69" i="7"/>
  <c r="P73" i="7"/>
  <c r="N77" i="7"/>
  <c r="P89" i="7"/>
  <c r="P96" i="7"/>
  <c r="N100" i="7"/>
  <c r="P115" i="7"/>
  <c r="P119" i="7"/>
  <c r="N124" i="7"/>
  <c r="P127" i="7"/>
  <c r="P131" i="7"/>
  <c r="O140" i="7"/>
  <c r="O144" i="7"/>
  <c r="P148" i="7"/>
  <c r="O153" i="7"/>
  <c r="P157" i="7"/>
  <c r="P190" i="7"/>
  <c r="P194" i="7"/>
  <c r="N198" i="7"/>
  <c r="N206" i="7"/>
  <c r="N213" i="7"/>
  <c r="P5" i="7"/>
  <c r="P9" i="7"/>
  <c r="O22" i="7"/>
  <c r="P26" i="7"/>
  <c r="O35" i="7"/>
  <c r="O61" i="7"/>
  <c r="N65" i="7"/>
  <c r="O69" i="7"/>
  <c r="P77" i="7"/>
  <c r="O100" i="7"/>
  <c r="O124" i="7"/>
  <c r="P140" i="7"/>
  <c r="P144" i="7"/>
  <c r="P153" i="7"/>
  <c r="O162" i="7"/>
  <c r="N171" i="7"/>
  <c r="N175" i="7"/>
  <c r="N179" i="7"/>
  <c r="N183" i="7"/>
  <c r="O198" i="7"/>
  <c r="N202" i="7"/>
  <c r="O206" i="7"/>
  <c r="O213" i="7"/>
  <c r="P221" i="7"/>
  <c r="P225" i="7"/>
  <c r="O229" i="7"/>
  <c r="O233" i="7"/>
  <c r="P237" i="7"/>
  <c r="N241" i="7"/>
  <c r="P244" i="7"/>
  <c r="N248" i="7"/>
  <c r="P22" i="7"/>
  <c r="P35" i="7"/>
  <c r="P61" i="7"/>
  <c r="O65" i="7"/>
  <c r="P69" i="7"/>
  <c r="N93" i="7"/>
  <c r="P100" i="7"/>
  <c r="P124" i="7"/>
  <c r="O136" i="7"/>
  <c r="P162" i="7"/>
  <c r="N167" i="7"/>
  <c r="O171" i="7"/>
  <c r="O175" i="7"/>
  <c r="O179" i="7"/>
  <c r="O183" i="7"/>
  <c r="N187" i="7"/>
  <c r="P198" i="7"/>
  <c r="O202" i="7"/>
  <c r="P206" i="7"/>
  <c r="P213" i="7"/>
  <c r="P229" i="7"/>
  <c r="P233" i="7"/>
  <c r="O241" i="7"/>
  <c r="O248" i="7"/>
  <c r="O263" i="7"/>
  <c r="N267" i="7"/>
  <c r="N271" i="7"/>
  <c r="N283" i="7"/>
  <c r="N287" i="7"/>
  <c r="N291" i="7"/>
  <c r="N295" i="7"/>
  <c r="P310" i="7"/>
  <c r="O321" i="7"/>
  <c r="N344" i="7"/>
  <c r="N19" i="7"/>
  <c r="O31" i="7"/>
  <c r="N40" i="7"/>
  <c r="O49" i="7"/>
  <c r="N74" i="7"/>
  <c r="N82" i="7"/>
  <c r="O86" i="7"/>
  <c r="P93" i="7"/>
  <c r="N97" i="7"/>
  <c r="O108" i="7"/>
  <c r="P112" i="7"/>
  <c r="N116" i="7"/>
  <c r="N120" i="7"/>
  <c r="P128" i="7"/>
  <c r="O132" i="7"/>
  <c r="O141" i="7"/>
  <c r="N145" i="7"/>
  <c r="O149" i="7"/>
  <c r="O158" i="7"/>
  <c r="P167" i="7"/>
  <c r="P187" i="7"/>
  <c r="N191" i="7"/>
  <c r="O195" i="7"/>
  <c r="O210" i="7"/>
  <c r="N218" i="7"/>
  <c r="N252" i="7"/>
  <c r="O256" i="7"/>
  <c r="P267" i="7"/>
  <c r="P271" i="7"/>
  <c r="O275" i="7"/>
  <c r="O279" i="7"/>
  <c r="P283" i="7"/>
  <c r="P287" i="7"/>
  <c r="P291" i="7"/>
  <c r="P295" i="7"/>
  <c r="N299" i="7"/>
  <c r="O303" i="7"/>
  <c r="N307" i="7"/>
  <c r="O314" i="7"/>
  <c r="N325" i="7"/>
  <c r="N329" i="7"/>
  <c r="N333" i="7"/>
  <c r="P344" i="7"/>
  <c r="N348" i="7"/>
  <c r="O359" i="7"/>
  <c r="O363" i="7"/>
  <c r="P370" i="7"/>
  <c r="P374" i="7"/>
  <c r="P378" i="7"/>
  <c r="O16" i="7"/>
  <c r="N32" i="7"/>
  <c r="O88" i="7"/>
  <c r="P97" i="7"/>
  <c r="O106" i="7"/>
  <c r="P116" i="7"/>
  <c r="N126" i="7"/>
  <c r="P159" i="7"/>
  <c r="N185" i="7"/>
  <c r="P230" i="7"/>
  <c r="P235" i="7"/>
  <c r="N254" i="7"/>
  <c r="P259" i="7"/>
  <c r="P268" i="7"/>
  <c r="O308" i="7"/>
  <c r="O317" i="7"/>
  <c r="P321" i="7"/>
  <c r="P330" i="7"/>
  <c r="P339" i="7"/>
  <c r="P352" i="7"/>
  <c r="O361" i="7"/>
  <c r="O366" i="7"/>
  <c r="O370" i="7"/>
  <c r="O375" i="7"/>
  <c r="O402" i="7"/>
  <c r="N415" i="7"/>
  <c r="P418" i="7"/>
  <c r="N431" i="7"/>
  <c r="P435" i="7"/>
  <c r="P455" i="7"/>
  <c r="P459" i="7"/>
  <c r="O463" i="7"/>
  <c r="P474" i="7"/>
  <c r="N478" i="7"/>
  <c r="N486" i="7"/>
  <c r="O490" i="7"/>
  <c r="N494" i="7"/>
  <c r="N498" i="7"/>
  <c r="N510" i="7"/>
  <c r="O525" i="7"/>
  <c r="N529" i="7"/>
  <c r="O537" i="7"/>
  <c r="P541" i="7"/>
  <c r="P555" i="7"/>
  <c r="P559" i="7"/>
  <c r="P563" i="7"/>
  <c r="O567" i="7"/>
  <c r="N571" i="7"/>
  <c r="O575" i="7"/>
  <c r="P594" i="7"/>
  <c r="O598" i="7"/>
  <c r="O602" i="7"/>
  <c r="O606" i="7"/>
  <c r="P610" i="7"/>
  <c r="P621" i="7"/>
  <c r="P628" i="7"/>
  <c r="O635" i="7"/>
  <c r="O639" i="7"/>
  <c r="O643" i="7"/>
  <c r="P658" i="7"/>
  <c r="P16" i="7"/>
  <c r="O32" i="7"/>
  <c r="N53" i="7"/>
  <c r="N63" i="7"/>
  <c r="N102" i="7"/>
  <c r="O137" i="7"/>
  <c r="N142" i="7"/>
  <c r="N165" i="7"/>
  <c r="O185" i="7"/>
  <c r="N211" i="7"/>
  <c r="O221" i="7"/>
  <c r="N226" i="7"/>
  <c r="O240" i="7"/>
  <c r="N245" i="7"/>
  <c r="N264" i="7"/>
  <c r="N284" i="7"/>
  <c r="N289" i="7"/>
  <c r="O299" i="7"/>
  <c r="N304" i="7"/>
  <c r="P308" i="7"/>
  <c r="P317" i="7"/>
  <c r="N326" i="7"/>
  <c r="O335" i="7"/>
  <c r="P366" i="7"/>
  <c r="P375" i="7"/>
  <c r="O393" i="7"/>
  <c r="P402" i="7"/>
  <c r="N411" i="7"/>
  <c r="O415" i="7"/>
  <c r="P431" i="7"/>
  <c r="P463" i="7"/>
  <c r="O478" i="7"/>
  <c r="N482" i="7"/>
  <c r="O486" i="7"/>
  <c r="P490" i="7"/>
  <c r="O494" i="7"/>
  <c r="O498" i="7"/>
  <c r="N502" i="7"/>
  <c r="N506" i="7"/>
  <c r="O510" i="7"/>
  <c r="N514" i="7"/>
  <c r="P525" i="7"/>
  <c r="O529" i="7"/>
  <c r="N533" i="7"/>
  <c r="P537" i="7"/>
  <c r="N548" i="7"/>
  <c r="N552" i="7"/>
  <c r="P567" i="7"/>
  <c r="O571" i="7"/>
  <c r="N6" i="7"/>
  <c r="P32" i="7"/>
  <c r="O53" i="7"/>
  <c r="O63" i="7"/>
  <c r="O68" i="7"/>
  <c r="O102" i="7"/>
  <c r="N122" i="7"/>
  <c r="N132" i="7"/>
  <c r="P137" i="7"/>
  <c r="O142" i="7"/>
  <c r="N154" i="7"/>
  <c r="O165" i="7"/>
  <c r="N176" i="7"/>
  <c r="O191" i="7"/>
  <c r="N196" i="7"/>
  <c r="P201" i="7"/>
  <c r="O211" i="7"/>
  <c r="N216" i="7"/>
  <c r="O226" i="7"/>
  <c r="O245" i="7"/>
  <c r="O264" i="7"/>
  <c r="N279" i="7"/>
  <c r="O284" i="7"/>
  <c r="O289" i="7"/>
  <c r="P299" i="7"/>
  <c r="O304" i="7"/>
  <c r="O326" i="7"/>
  <c r="P335" i="7"/>
  <c r="O344" i="7"/>
  <c r="O6" i="7"/>
  <c r="P74" i="7"/>
  <c r="O79" i="7"/>
  <c r="O93" i="7"/>
  <c r="P102" i="7"/>
  <c r="O112" i="7"/>
  <c r="P122" i="7"/>
  <c r="P142" i="7"/>
  <c r="O154" i="7"/>
  <c r="N160" i="7"/>
  <c r="P171" i="7"/>
  <c r="O176" i="7"/>
  <c r="P191" i="7"/>
  <c r="O196" i="7"/>
  <c r="N207" i="7"/>
  <c r="P211" i="7"/>
  <c r="P226" i="7"/>
  <c r="N231" i="7"/>
  <c r="N236" i="7"/>
  <c r="P245" i="7"/>
  <c r="N250" i="7"/>
  <c r="P255" i="7"/>
  <c r="P264" i="7"/>
  <c r="P274" i="7"/>
  <c r="P279" i="7"/>
  <c r="P284" i="7"/>
  <c r="P289" i="7"/>
  <c r="O295" i="7"/>
  <c r="P304" i="7"/>
  <c r="P326" i="7"/>
  <c r="N331" i="7"/>
  <c r="O340" i="7"/>
  <c r="N349" i="7"/>
  <c r="N357" i="7"/>
  <c r="N371" i="7"/>
  <c r="O380" i="7"/>
  <c r="O384" i="7"/>
  <c r="P389" i="7"/>
  <c r="O398" i="7"/>
  <c r="O407" i="7"/>
  <c r="P411" i="7"/>
  <c r="O423" i="7"/>
  <c r="P427" i="7"/>
  <c r="N440" i="7"/>
  <c r="N444" i="7"/>
  <c r="N448" i="7"/>
  <c r="N452" i="7"/>
  <c r="N456" i="7"/>
  <c r="O467" i="7"/>
  <c r="N471" i="7"/>
  <c r="P482" i="7"/>
  <c r="P502" i="7"/>
  <c r="P506" i="7"/>
  <c r="P514" i="7"/>
  <c r="N518" i="7"/>
  <c r="N522" i="7"/>
  <c r="P533" i="7"/>
  <c r="P548" i="7"/>
  <c r="P552" i="7"/>
  <c r="N556" i="7"/>
  <c r="N560" i="7"/>
  <c r="O579" i="7"/>
  <c r="P583" i="7"/>
  <c r="P6" i="7"/>
  <c r="P79" i="7"/>
  <c r="O84" i="7"/>
  <c r="N98" i="7"/>
  <c r="P160" i="7"/>
  <c r="P176" i="7"/>
  <c r="N181" i="7"/>
  <c r="P196" i="7"/>
  <c r="O207" i="7"/>
  <c r="O231" i="7"/>
  <c r="P241" i="7"/>
  <c r="O250" i="7"/>
  <c r="N260" i="7"/>
  <c r="N269" i="7"/>
  <c r="O309" i="7"/>
  <c r="O331" i="7"/>
  <c r="P340" i="7"/>
  <c r="O349" i="7"/>
  <c r="O357" i="7"/>
  <c r="O371" i="7"/>
  <c r="N376" i="7"/>
  <c r="P380" i="7"/>
  <c r="P398" i="7"/>
  <c r="P407" i="7"/>
  <c r="O419" i="7"/>
  <c r="P423" i="7"/>
  <c r="N436" i="7"/>
  <c r="O440" i="7"/>
  <c r="O444" i="7"/>
  <c r="O448" i="7"/>
  <c r="O452" i="7"/>
  <c r="O456" i="7"/>
  <c r="P467" i="7"/>
  <c r="O471" i="7"/>
  <c r="N475" i="7"/>
  <c r="O518" i="7"/>
  <c r="O522" i="7"/>
  <c r="N545" i="7"/>
  <c r="O556" i="7"/>
  <c r="O560" i="7"/>
  <c r="N564" i="7"/>
  <c r="N576" i="7"/>
  <c r="P579" i="7"/>
  <c r="P587" i="7"/>
  <c r="O591" i="7"/>
  <c r="O595" i="7"/>
  <c r="N607" i="7"/>
  <c r="O618" i="7"/>
  <c r="O625" i="7"/>
  <c r="P12" i="7"/>
  <c r="N49" i="7"/>
  <c r="N59" i="7"/>
  <c r="O98" i="7"/>
  <c r="N117" i="7"/>
  <c r="N138" i="7"/>
  <c r="N149" i="7"/>
  <c r="O181" i="7"/>
  <c r="P207" i="7"/>
  <c r="P217" i="7"/>
  <c r="N222" i="7"/>
  <c r="P231" i="7"/>
  <c r="P250" i="7"/>
  <c r="O260" i="7"/>
  <c r="O269" i="7"/>
  <c r="N300" i="7"/>
  <c r="P309" i="7"/>
  <c r="N322" i="7"/>
  <c r="O336" i="7"/>
  <c r="N345" i="7"/>
  <c r="P349" i="7"/>
  <c r="N353" i="7"/>
  <c r="N367" i="7"/>
  <c r="P371" i="7"/>
  <c r="O376" i="7"/>
  <c r="N394" i="7"/>
  <c r="N403" i="7"/>
  <c r="N416" i="7"/>
  <c r="P419" i="7"/>
  <c r="N432" i="7"/>
  <c r="O436" i="7"/>
  <c r="P440" i="7"/>
  <c r="P444" i="7"/>
  <c r="P448" i="7"/>
  <c r="P452" i="7"/>
  <c r="P456" i="7"/>
  <c r="N460" i="7"/>
  <c r="P471" i="7"/>
  <c r="O475" i="7"/>
  <c r="N479" i="7"/>
  <c r="N487" i="7"/>
  <c r="N495" i="7"/>
  <c r="N499" i="7"/>
  <c r="N511" i="7"/>
  <c r="P518" i="7"/>
  <c r="P522" i="7"/>
  <c r="N526" i="7"/>
  <c r="N530" i="7"/>
  <c r="N538" i="7"/>
  <c r="N542" i="7"/>
  <c r="O545" i="7"/>
  <c r="P556" i="7"/>
  <c r="P560" i="7"/>
  <c r="O564" i="7"/>
  <c r="N568" i="7"/>
  <c r="N572" i="7"/>
  <c r="O576" i="7"/>
  <c r="P591" i="7"/>
  <c r="P595" i="7"/>
  <c r="N599" i="7"/>
  <c r="O607" i="7"/>
  <c r="N611" i="7"/>
  <c r="P618" i="7"/>
  <c r="N622" i="7"/>
  <c r="P625" i="7"/>
  <c r="N636" i="7"/>
  <c r="O640" i="7"/>
  <c r="N644" i="7"/>
  <c r="O28" i="7"/>
  <c r="N33" i="7"/>
  <c r="P49" i="7"/>
  <c r="O59" i="7"/>
  <c r="P98" i="7"/>
  <c r="P117" i="7"/>
  <c r="N128" i="7"/>
  <c r="N133" i="7"/>
  <c r="O138" i="7"/>
  <c r="P149" i="7"/>
  <c r="P181" i="7"/>
  <c r="N192" i="7"/>
  <c r="P202" i="7"/>
  <c r="N212" i="7"/>
  <c r="O222" i="7"/>
  <c r="N246" i="7"/>
  <c r="N256" i="7"/>
  <c r="P260" i="7"/>
  <c r="N275" i="7"/>
  <c r="N280" i="7"/>
  <c r="N285" i="7"/>
  <c r="N290" i="7"/>
  <c r="N296" i="7"/>
  <c r="O300" i="7"/>
  <c r="N314" i="7"/>
  <c r="N318" i="7"/>
  <c r="O322" i="7"/>
  <c r="N327" i="7"/>
  <c r="P336" i="7"/>
  <c r="O345" i="7"/>
  <c r="O353" i="7"/>
  <c r="N363" i="7"/>
  <c r="O367" i="7"/>
  <c r="P376" i="7"/>
  <c r="N390" i="7"/>
  <c r="O394" i="7"/>
  <c r="O403" i="7"/>
  <c r="N412" i="7"/>
  <c r="P416" i="7"/>
  <c r="O432" i="7"/>
  <c r="P436" i="7"/>
  <c r="O460" i="7"/>
  <c r="P475" i="7"/>
  <c r="O479" i="7"/>
  <c r="O487" i="7"/>
  <c r="N491" i="7"/>
  <c r="O495" i="7"/>
  <c r="O499" i="7"/>
  <c r="N507" i="7"/>
  <c r="O511" i="7"/>
  <c r="N515" i="7"/>
  <c r="O526" i="7"/>
  <c r="O530" i="7"/>
  <c r="N534" i="7"/>
  <c r="O538" i="7"/>
  <c r="O542" i="7"/>
  <c r="P545" i="7"/>
  <c r="N549" i="7"/>
  <c r="P564" i="7"/>
  <c r="O568" i="7"/>
  <c r="O572" i="7"/>
  <c r="P28" i="7"/>
  <c r="O33" i="7"/>
  <c r="P59" i="7"/>
  <c r="N75" i="7"/>
  <c r="N94" i="7"/>
  <c r="N108" i="7"/>
  <c r="N113" i="7"/>
  <c r="O123" i="7"/>
  <c r="O133" i="7"/>
  <c r="P138" i="7"/>
  <c r="N172" i="7"/>
  <c r="O187" i="7"/>
  <c r="O192" i="7"/>
  <c r="O212" i="7"/>
  <c r="P222" i="7"/>
  <c r="N227" i="7"/>
  <c r="O237" i="7"/>
  <c r="N242" i="7"/>
  <c r="O246" i="7"/>
  <c r="P256" i="7"/>
  <c r="P275" i="7"/>
  <c r="O280" i="7"/>
  <c r="O285" i="7"/>
  <c r="O296" i="7"/>
  <c r="P300" i="7"/>
  <c r="O305" i="7"/>
  <c r="P314" i="7"/>
  <c r="O318" i="7"/>
  <c r="P322" i="7"/>
  <c r="O327" i="7"/>
  <c r="N341" i="7"/>
  <c r="P345" i="7"/>
  <c r="P353" i="7"/>
  <c r="P363" i="7"/>
  <c r="P367" i="7"/>
  <c r="O390" i="7"/>
  <c r="P394" i="7"/>
  <c r="P403" i="7"/>
  <c r="P412" i="7"/>
  <c r="N424" i="7"/>
  <c r="N428" i="7"/>
  <c r="P432" i="7"/>
  <c r="P460" i="7"/>
  <c r="N464" i="7"/>
  <c r="P479" i="7"/>
  <c r="N483" i="7"/>
  <c r="P487" i="7"/>
  <c r="O491" i="7"/>
  <c r="P495" i="7"/>
  <c r="N7" i="7"/>
  <c r="N23" i="7"/>
  <c r="O75" i="7"/>
  <c r="N90" i="7"/>
  <c r="O94" i="7"/>
  <c r="O113" i="7"/>
  <c r="P133" i="7"/>
  <c r="N155" i="7"/>
  <c r="O161" i="7"/>
  <c r="O167" i="7"/>
  <c r="O172" i="7"/>
  <c r="N177" i="7"/>
  <c r="P192" i="7"/>
  <c r="O197" i="7"/>
  <c r="O227" i="7"/>
  <c r="P232" i="7"/>
  <c r="O242" i="7"/>
  <c r="P246" i="7"/>
  <c r="N265" i="7"/>
  <c r="P280" i="7"/>
  <c r="P285" i="7"/>
  <c r="P296" i="7"/>
  <c r="P305" i="7"/>
  <c r="N310" i="7"/>
  <c r="P318" i="7"/>
  <c r="P332" i="7"/>
  <c r="O341" i="7"/>
  <c r="P358" i="7"/>
  <c r="N372" i="7"/>
  <c r="N381" i="7"/>
  <c r="N386" i="7"/>
  <c r="P390" i="7"/>
  <c r="N399" i="7"/>
  <c r="N408" i="7"/>
  <c r="N420" i="7"/>
  <c r="O424" i="7"/>
  <c r="O428" i="7"/>
  <c r="N441" i="7"/>
  <c r="N445" i="7"/>
  <c r="N449" i="7"/>
  <c r="N457" i="7"/>
  <c r="O464" i="7"/>
  <c r="N468" i="7"/>
  <c r="N472" i="7"/>
  <c r="O483" i="7"/>
  <c r="P491" i="7"/>
  <c r="O503" i="7"/>
  <c r="P507" i="7"/>
  <c r="P515" i="7"/>
  <c r="P23" i="7"/>
  <c r="P55" i="7"/>
  <c r="N70" i="7"/>
  <c r="P75" i="7"/>
  <c r="N80" i="7"/>
  <c r="O90" i="7"/>
  <c r="P113" i="7"/>
  <c r="P155" i="7"/>
  <c r="P172" i="7"/>
  <c r="O177" i="7"/>
  <c r="N182" i="7"/>
  <c r="O218" i="7"/>
  <c r="P227" i="7"/>
  <c r="P242" i="7"/>
  <c r="O265" i="7"/>
  <c r="O291" i="7"/>
  <c r="O310" i="7"/>
  <c r="P341" i="7"/>
  <c r="O372" i="7"/>
  <c r="N377" i="7"/>
  <c r="O386" i="7"/>
  <c r="O399" i="7"/>
  <c r="P408" i="7"/>
  <c r="O420" i="7"/>
  <c r="P424" i="7"/>
  <c r="P428" i="7"/>
  <c r="N437" i="7"/>
  <c r="O441" i="7"/>
  <c r="O445" i="7"/>
  <c r="O449" i="7"/>
  <c r="O457" i="7"/>
  <c r="P464" i="7"/>
  <c r="O468" i="7"/>
  <c r="O472" i="7"/>
  <c r="P483" i="7"/>
  <c r="P503" i="7"/>
  <c r="O519" i="7"/>
  <c r="P553" i="7"/>
  <c r="O557" i="7"/>
  <c r="N561" i="7"/>
  <c r="P580" i="7"/>
  <c r="O588" i="7"/>
  <c r="O592" i="7"/>
  <c r="O596" i="7"/>
  <c r="N615" i="7"/>
  <c r="N619" i="7"/>
  <c r="O626" i="7"/>
  <c r="O633" i="7"/>
  <c r="P45" i="7"/>
  <c r="P65" i="7"/>
  <c r="O70" i="7"/>
  <c r="P90" i="7"/>
  <c r="P99" i="7"/>
  <c r="N129" i="7"/>
  <c r="N150" i="7"/>
  <c r="P177" i="7"/>
  <c r="N188" i="7"/>
  <c r="N203" i="7"/>
  <c r="N208" i="7"/>
  <c r="P218" i="7"/>
  <c r="N257" i="7"/>
  <c r="N261" i="7"/>
  <c r="P265" i="7"/>
  <c r="O271" i="7"/>
  <c r="N301" i="7"/>
  <c r="N315" i="7"/>
  <c r="N337" i="7"/>
  <c r="N346" i="7"/>
  <c r="N350" i="7"/>
  <c r="N354" i="7"/>
  <c r="N364" i="7"/>
  <c r="P372" i="7"/>
  <c r="O377" i="7"/>
  <c r="P386" i="7"/>
  <c r="N395" i="7"/>
  <c r="P399" i="7"/>
  <c r="P420" i="7"/>
  <c r="O437" i="7"/>
  <c r="P441" i="7"/>
  <c r="P445" i="7"/>
  <c r="P449" i="7"/>
  <c r="N453" i="7"/>
  <c r="P457" i="7"/>
  <c r="N461" i="7"/>
  <c r="P468" i="7"/>
  <c r="P472" i="7"/>
  <c r="N476" i="7"/>
  <c r="P519" i="7"/>
  <c r="N523" i="7"/>
  <c r="N527" i="7"/>
  <c r="N539" i="7"/>
  <c r="P557" i="7"/>
  <c r="O561" i="7"/>
  <c r="N565" i="7"/>
  <c r="N577" i="7"/>
  <c r="P588" i="7"/>
  <c r="P592" i="7"/>
  <c r="P596" i="7"/>
  <c r="N600" i="7"/>
  <c r="N608" i="7"/>
  <c r="O615" i="7"/>
  <c r="O19" i="7"/>
  <c r="N29" i="7"/>
  <c r="P40" i="7"/>
  <c r="N86" i="7"/>
  <c r="O104" i="7"/>
  <c r="N109" i="7"/>
  <c r="P129" i="7"/>
  <c r="N134" i="7"/>
  <c r="P139" i="7"/>
  <c r="O145" i="7"/>
  <c r="O150" i="7"/>
  <c r="O188" i="7"/>
  <c r="O203" i="7"/>
  <c r="O208" i="7"/>
  <c r="N223" i="7"/>
  <c r="N238" i="7"/>
  <c r="O247" i="7"/>
  <c r="O257" i="7"/>
  <c r="O261" i="7"/>
  <c r="N276" i="7"/>
  <c r="N10" i="7"/>
  <c r="O51" i="7"/>
  <c r="O105" i="7"/>
  <c r="O110" i="7"/>
  <c r="O164" i="7"/>
  <c r="O184" i="7"/>
  <c r="N204" i="7"/>
  <c r="P223" i="7"/>
  <c r="N230" i="7"/>
  <c r="N243" i="7"/>
  <c r="N263" i="7"/>
  <c r="P297" i="7"/>
  <c r="P315" i="7"/>
  <c r="N338" i="7"/>
  <c r="N374" i="7"/>
  <c r="N380" i="7"/>
  <c r="P414" i="7"/>
  <c r="O459" i="7"/>
  <c r="N465" i="7"/>
  <c r="P486" i="7"/>
  <c r="N492" i="7"/>
  <c r="N497" i="7"/>
  <c r="O507" i="7"/>
  <c r="O512" i="7"/>
  <c r="O527" i="7"/>
  <c r="P536" i="7"/>
  <c r="N546" i="7"/>
  <c r="P550" i="7"/>
  <c r="N566" i="7"/>
  <c r="P570" i="7"/>
  <c r="N580" i="7"/>
  <c r="N589" i="7"/>
  <c r="N612" i="7"/>
  <c r="N616" i="7"/>
  <c r="P620" i="7"/>
  <c r="P624" i="7"/>
  <c r="P632" i="7"/>
  <c r="O636" i="7"/>
  <c r="P664" i="7"/>
  <c r="O668" i="7"/>
  <c r="O672" i="7"/>
  <c r="N676" i="7"/>
  <c r="O683" i="7"/>
  <c r="O687" i="7"/>
  <c r="P694" i="7"/>
  <c r="N702" i="7"/>
  <c r="P712" i="7"/>
  <c r="P723" i="7"/>
  <c r="N727" i="7"/>
  <c r="N734" i="7"/>
  <c r="P738" i="7"/>
  <c r="O742" i="7"/>
  <c r="O746" i="7"/>
  <c r="P753" i="7"/>
  <c r="N757" i="7"/>
  <c r="O764" i="7"/>
  <c r="N776" i="7"/>
  <c r="O780" i="7"/>
  <c r="P787" i="7"/>
  <c r="N791" i="7"/>
  <c r="O795" i="7"/>
  <c r="N799" i="7"/>
  <c r="N803" i="7"/>
  <c r="N807" i="7"/>
  <c r="P814" i="7"/>
  <c r="N818" i="7"/>
  <c r="P832" i="7"/>
  <c r="P839" i="7"/>
  <c r="O843" i="7"/>
  <c r="N854" i="7"/>
  <c r="N870" i="7"/>
  <c r="O877" i="7"/>
  <c r="N903" i="7"/>
  <c r="P921" i="7"/>
  <c r="N932" i="7"/>
  <c r="N936" i="7"/>
  <c r="O10" i="7"/>
  <c r="N58" i="7"/>
  <c r="P105" i="7"/>
  <c r="P164" i="7"/>
  <c r="N178" i="7"/>
  <c r="P184" i="7"/>
  <c r="O204" i="7"/>
  <c r="O230" i="7"/>
  <c r="O243" i="7"/>
  <c r="P257" i="7"/>
  <c r="P263" i="7"/>
  <c r="O283" i="7"/>
  <c r="N320" i="7"/>
  <c r="O333" i="7"/>
  <c r="O338" i="7"/>
  <c r="N356" i="7"/>
  <c r="O374" i="7"/>
  <c r="O404" i="7"/>
  <c r="P437" i="7"/>
  <c r="N454" i="7"/>
  <c r="O465" i="7"/>
  <c r="N470" i="7"/>
  <c r="O476" i="7"/>
  <c r="N481" i="7"/>
  <c r="O492" i="7"/>
  <c r="O497" i="7"/>
  <c r="P512" i="7"/>
  <c r="N517" i="7"/>
  <c r="P527" i="7"/>
  <c r="N532" i="7"/>
  <c r="O546" i="7"/>
  <c r="O566" i="7"/>
  <c r="O580" i="7"/>
  <c r="O589" i="7"/>
  <c r="N603" i="7"/>
  <c r="O612" i="7"/>
  <c r="O616" i="7"/>
  <c r="P636" i="7"/>
  <c r="N641" i="7"/>
  <c r="P668" i="7"/>
  <c r="P672" i="7"/>
  <c r="O676" i="7"/>
  <c r="N680" i="7"/>
  <c r="P683" i="7"/>
  <c r="P687" i="7"/>
  <c r="N698" i="7"/>
  <c r="O702" i="7"/>
  <c r="N709" i="7"/>
  <c r="N716" i="7"/>
  <c r="O727" i="7"/>
  <c r="O734" i="7"/>
  <c r="P742" i="7"/>
  <c r="P746" i="7"/>
  <c r="N750" i="7"/>
  <c r="O757" i="7"/>
  <c r="P764" i="7"/>
  <c r="N768" i="7"/>
  <c r="N772" i="7"/>
  <c r="O776" i="7"/>
  <c r="P780" i="7"/>
  <c r="N784" i="7"/>
  <c r="O791" i="7"/>
  <c r="P795" i="7"/>
  <c r="O799" i="7"/>
  <c r="O803" i="7"/>
  <c r="O807" i="7"/>
  <c r="O818" i="7"/>
  <c r="N822" i="7"/>
  <c r="N829" i="7"/>
  <c r="P843" i="7"/>
  <c r="N847" i="7"/>
  <c r="P10" i="7"/>
  <c r="N16" i="7"/>
  <c r="N46" i="7"/>
  <c r="O58" i="7"/>
  <c r="P76" i="7"/>
  <c r="N199" i="7"/>
  <c r="P204" i="7"/>
  <c r="N277" i="7"/>
  <c r="P333" i="7"/>
  <c r="P338" i="7"/>
  <c r="N351" i="7"/>
  <c r="O356" i="7"/>
  <c r="N368" i="7"/>
  <c r="N392" i="7"/>
  <c r="P404" i="7"/>
  <c r="N443" i="7"/>
  <c r="O454" i="7"/>
  <c r="P465" i="7"/>
  <c r="O470" i="7"/>
  <c r="P476" i="7"/>
  <c r="O481" i="7"/>
  <c r="P492" i="7"/>
  <c r="P497" i="7"/>
  <c r="O502" i="7"/>
  <c r="O517" i="7"/>
  <c r="O532" i="7"/>
  <c r="P542" i="7"/>
  <c r="P546" i="7"/>
  <c r="N555" i="7"/>
  <c r="P561" i="7"/>
  <c r="P566" i="7"/>
  <c r="P576" i="7"/>
  <c r="P589" i="7"/>
  <c r="N594" i="7"/>
  <c r="O603" i="7"/>
  <c r="O608" i="7"/>
  <c r="P612" i="7"/>
  <c r="P616" i="7"/>
  <c r="O641" i="7"/>
  <c r="N645" i="7"/>
  <c r="N649" i="7"/>
  <c r="P676" i="7"/>
  <c r="O46" i="7"/>
  <c r="N83" i="7"/>
  <c r="O130" i="7"/>
  <c r="P158" i="7"/>
  <c r="O199" i="7"/>
  <c r="P224" i="7"/>
  <c r="O277" i="7"/>
  <c r="N292" i="7"/>
  <c r="O351" i="7"/>
  <c r="P356" i="7"/>
  <c r="O368" i="7"/>
  <c r="N387" i="7"/>
  <c r="P392" i="7"/>
  <c r="N398" i="7"/>
  <c r="N410" i="7"/>
  <c r="P415" i="7"/>
  <c r="N421" i="7"/>
  <c r="N426" i="7"/>
  <c r="O443" i="7"/>
  <c r="P454" i="7"/>
  <c r="P470" i="7"/>
  <c r="P481" i="7"/>
  <c r="P517" i="7"/>
  <c r="P532" i="7"/>
  <c r="N537" i="7"/>
  <c r="N551" i="7"/>
  <c r="O555" i="7"/>
  <c r="P571" i="7"/>
  <c r="N585" i="7"/>
  <c r="O594" i="7"/>
  <c r="O599" i="7"/>
  <c r="P603" i="7"/>
  <c r="P608" i="7"/>
  <c r="N621" i="7"/>
  <c r="N629" i="7"/>
  <c r="P641" i="7"/>
  <c r="O645" i="7"/>
  <c r="O649" i="7"/>
  <c r="N653" i="7"/>
  <c r="N661" i="7"/>
  <c r="N665" i="7"/>
  <c r="P680" i="7"/>
  <c r="N695" i="7"/>
  <c r="P698" i="7"/>
  <c r="P709" i="7"/>
  <c r="P716" i="7"/>
  <c r="N720" i="7"/>
  <c r="O731" i="7"/>
  <c r="P750" i="7"/>
  <c r="N761" i="7"/>
  <c r="P768" i="7"/>
  <c r="P772" i="7"/>
  <c r="P784" i="7"/>
  <c r="N788" i="7"/>
  <c r="N811" i="7"/>
  <c r="N815" i="7"/>
  <c r="P822" i="7"/>
  <c r="P829" i="7"/>
  <c r="N833" i="7"/>
  <c r="P847" i="7"/>
  <c r="N851" i="7"/>
  <c r="O858" i="7"/>
  <c r="P862" i="7"/>
  <c r="O866" i="7"/>
  <c r="O874" i="7"/>
  <c r="O881" i="7"/>
  <c r="P46" i="7"/>
  <c r="O83" i="7"/>
  <c r="P130" i="7"/>
  <c r="N151" i="7"/>
  <c r="P179" i="7"/>
  <c r="P199" i="7"/>
  <c r="O238" i="7"/>
  <c r="O292" i="7"/>
  <c r="N316" i="7"/>
  <c r="N321" i="7"/>
  <c r="P351" i="7"/>
  <c r="P368" i="7"/>
  <c r="N375" i="7"/>
  <c r="O387" i="7"/>
  <c r="O410" i="7"/>
  <c r="O421" i="7"/>
  <c r="O426" i="7"/>
  <c r="P443" i="7"/>
  <c r="N508" i="7"/>
  <c r="O551" i="7"/>
  <c r="N581" i="7"/>
  <c r="O585" i="7"/>
  <c r="P599" i="7"/>
  <c r="O621" i="7"/>
  <c r="N625" i="7"/>
  <c r="O629" i="7"/>
  <c r="N637" i="7"/>
  <c r="P645" i="7"/>
  <c r="P649" i="7"/>
  <c r="O653" i="7"/>
  <c r="N657" i="7"/>
  <c r="O661" i="7"/>
  <c r="O665" i="7"/>
  <c r="N691" i="7"/>
  <c r="O695" i="7"/>
  <c r="O720" i="7"/>
  <c r="P731" i="7"/>
  <c r="N739" i="7"/>
  <c r="N743" i="7"/>
  <c r="N754" i="7"/>
  <c r="O761" i="7"/>
  <c r="O788" i="7"/>
  <c r="O811" i="7"/>
  <c r="O815" i="7"/>
  <c r="N826" i="7"/>
  <c r="O833" i="7"/>
  <c r="N836" i="7"/>
  <c r="N840" i="7"/>
  <c r="N844" i="7"/>
  <c r="O851" i="7"/>
  <c r="P858" i="7"/>
  <c r="P866" i="7"/>
  <c r="P874" i="7"/>
  <c r="P881" i="7"/>
  <c r="P885" i="7"/>
  <c r="O893" i="7"/>
  <c r="O896" i="7"/>
  <c r="O900" i="7"/>
  <c r="O911" i="7"/>
  <c r="O918" i="7"/>
  <c r="P83" i="7"/>
  <c r="P151" i="7"/>
  <c r="O205" i="7"/>
  <c r="N219" i="7"/>
  <c r="P238" i="7"/>
  <c r="O244" i="7"/>
  <c r="N258" i="7"/>
  <c r="N272" i="7"/>
  <c r="P292" i="7"/>
  <c r="N311" i="7"/>
  <c r="O316" i="7"/>
  <c r="O339" i="7"/>
  <c r="N382" i="7"/>
  <c r="P387" i="7"/>
  <c r="O405" i="7"/>
  <c r="P410" i="7"/>
  <c r="P421" i="7"/>
  <c r="P426" i="7"/>
  <c r="N438" i="7"/>
  <c r="N466" i="7"/>
  <c r="N477" i="7"/>
  <c r="O508" i="7"/>
  <c r="O523" i="7"/>
  <c r="N528" i="7"/>
  <c r="N547" i="7"/>
  <c r="P551" i="7"/>
  <c r="N562" i="7"/>
  <c r="O581" i="7"/>
  <c r="P585" i="7"/>
  <c r="N617" i="7"/>
  <c r="P629" i="7"/>
  <c r="N633" i="7"/>
  <c r="O637" i="7"/>
  <c r="P653" i="7"/>
  <c r="O657" i="7"/>
  <c r="P661" i="7"/>
  <c r="P665" i="7"/>
  <c r="N669" i="7"/>
  <c r="N673" i="7"/>
  <c r="N688" i="7"/>
  <c r="O691" i="7"/>
  <c r="P695" i="7"/>
  <c r="N706" i="7"/>
  <c r="N713" i="7"/>
  <c r="P720" i="7"/>
  <c r="N724" i="7"/>
  <c r="N728" i="7"/>
  <c r="N735" i="7"/>
  <c r="O739" i="7"/>
  <c r="O743" i="7"/>
  <c r="O754" i="7"/>
  <c r="P761" i="7"/>
  <c r="N765" i="7"/>
  <c r="N777" i="7"/>
  <c r="N781" i="7"/>
  <c r="P788" i="7"/>
  <c r="N792" i="7"/>
  <c r="N796" i="7"/>
  <c r="N800" i="7"/>
  <c r="N804" i="7"/>
  <c r="P811" i="7"/>
  <c r="P815" i="7"/>
  <c r="N819" i="7"/>
  <c r="O826" i="7"/>
  <c r="P833" i="7"/>
  <c r="O836" i="7"/>
  <c r="O840" i="7"/>
  <c r="O844" i="7"/>
  <c r="P851" i="7"/>
  <c r="P893" i="7"/>
  <c r="P896" i="7"/>
  <c r="P900" i="7"/>
  <c r="N904" i="7"/>
  <c r="N106" i="7"/>
  <c r="P145" i="7"/>
  <c r="N159" i="7"/>
  <c r="N193" i="7"/>
  <c r="O219" i="7"/>
  <c r="O225" i="7"/>
  <c r="O258" i="7"/>
  <c r="O272" i="7"/>
  <c r="O298" i="7"/>
  <c r="O311" i="7"/>
  <c r="O328" i="7"/>
  <c r="N334" i="7"/>
  <c r="O346" i="7"/>
  <c r="O382" i="7"/>
  <c r="P405" i="7"/>
  <c r="O438" i="7"/>
  <c r="N450" i="7"/>
  <c r="N455" i="7"/>
  <c r="O461" i="7"/>
  <c r="O466" i="7"/>
  <c r="O477" i="7"/>
  <c r="O482" i="7"/>
  <c r="N488" i="7"/>
  <c r="N493" i="7"/>
  <c r="P498" i="7"/>
  <c r="N503" i="7"/>
  <c r="P508" i="7"/>
  <c r="N513" i="7"/>
  <c r="P523" i="7"/>
  <c r="O528" i="7"/>
  <c r="O547" i="7"/>
  <c r="O562" i="7"/>
  <c r="N567" i="7"/>
  <c r="P572" i="7"/>
  <c r="O577" i="7"/>
  <c r="P581" i="7"/>
  <c r="N590" i="7"/>
  <c r="N595" i="7"/>
  <c r="N604" i="7"/>
  <c r="N609" i="7"/>
  <c r="N613" i="7"/>
  <c r="O617" i="7"/>
  <c r="P633" i="7"/>
  <c r="P637" i="7"/>
  <c r="P657" i="7"/>
  <c r="O669" i="7"/>
  <c r="O673" i="7"/>
  <c r="N677" i="7"/>
  <c r="N684" i="7"/>
  <c r="O688" i="7"/>
  <c r="P691" i="7"/>
  <c r="N699" i="7"/>
  <c r="N703" i="7"/>
  <c r="O706" i="7"/>
  <c r="O713" i="7"/>
  <c r="O724" i="7"/>
  <c r="O728" i="7"/>
  <c r="O735" i="7"/>
  <c r="P739" i="7"/>
  <c r="P743" i="7"/>
  <c r="N747" i="7"/>
  <c r="P754" i="7"/>
  <c r="N758" i="7"/>
  <c r="O765" i="7"/>
  <c r="N769" i="7"/>
  <c r="N773" i="7"/>
  <c r="O777" i="7"/>
  <c r="O781" i="7"/>
  <c r="O792" i="7"/>
  <c r="O796" i="7"/>
  <c r="O800" i="7"/>
  <c r="O804" i="7"/>
  <c r="N95" i="7"/>
  <c r="O101" i="7"/>
  <c r="N125" i="7"/>
  <c r="N173" i="7"/>
  <c r="N180" i="7"/>
  <c r="N200" i="7"/>
  <c r="P219" i="7"/>
  <c r="O252" i="7"/>
  <c r="P272" i="7"/>
  <c r="P278" i="7"/>
  <c r="P298" i="7"/>
  <c r="P311" i="7"/>
  <c r="P328" i="7"/>
  <c r="O334" i="7"/>
  <c r="P346" i="7"/>
  <c r="O364" i="7"/>
  <c r="N369" i="7"/>
  <c r="P382" i="7"/>
  <c r="P393" i="7"/>
  <c r="O450" i="7"/>
  <c r="O455" i="7"/>
  <c r="P461" i="7"/>
  <c r="P466" i="7"/>
  <c r="P477" i="7"/>
  <c r="O488" i="7"/>
  <c r="O493" i="7"/>
  <c r="O513" i="7"/>
  <c r="P528" i="7"/>
  <c r="P538" i="7"/>
  <c r="N543" i="7"/>
  <c r="P547" i="7"/>
  <c r="P562" i="7"/>
  <c r="P577" i="7"/>
  <c r="O590" i="7"/>
  <c r="O600" i="7"/>
  <c r="O604" i="7"/>
  <c r="O609" i="7"/>
  <c r="O613" i="7"/>
  <c r="P617" i="7"/>
  <c r="N626" i="7"/>
  <c r="N642" i="7"/>
  <c r="N646" i="7"/>
  <c r="N650" i="7"/>
  <c r="P669" i="7"/>
  <c r="P673" i="7"/>
  <c r="O677" i="7"/>
  <c r="O684" i="7"/>
  <c r="P688" i="7"/>
  <c r="O699" i="7"/>
  <c r="O703" i="7"/>
  <c r="P706" i="7"/>
  <c r="N710" i="7"/>
  <c r="P713" i="7"/>
  <c r="N717" i="7"/>
  <c r="P724" i="7"/>
  <c r="P728" i="7"/>
  <c r="P735" i="7"/>
  <c r="O747" i="7"/>
  <c r="N751" i="7"/>
  <c r="O758" i="7"/>
  <c r="P765" i="7"/>
  <c r="O769" i="7"/>
  <c r="O773" i="7"/>
  <c r="P777" i="7"/>
  <c r="P781" i="7"/>
  <c r="P792" i="7"/>
  <c r="P796" i="7"/>
  <c r="P800" i="7"/>
  <c r="P804" i="7"/>
  <c r="N36" i="7"/>
  <c r="N42" i="7"/>
  <c r="O95" i="7"/>
  <c r="O125" i="7"/>
  <c r="O152" i="7"/>
  <c r="O173" i="7"/>
  <c r="O180" i="7"/>
  <c r="O200" i="7"/>
  <c r="N239" i="7"/>
  <c r="P252" i="7"/>
  <c r="P334" i="7"/>
  <c r="N352" i="7"/>
  <c r="P364" i="7"/>
  <c r="O369" i="7"/>
  <c r="N400" i="7"/>
  <c r="O411" i="7"/>
  <c r="N417" i="7"/>
  <c r="N422" i="7"/>
  <c r="O427" i="7"/>
  <c r="P450" i="7"/>
  <c r="P488" i="7"/>
  <c r="P493" i="7"/>
  <c r="P513" i="7"/>
  <c r="O533" i="7"/>
  <c r="O543" i="7"/>
  <c r="N557" i="7"/>
  <c r="P590" i="7"/>
  <c r="P600" i="7"/>
  <c r="P604" i="7"/>
  <c r="P609" i="7"/>
  <c r="P613" i="7"/>
  <c r="P626" i="7"/>
  <c r="O642" i="7"/>
  <c r="O646" i="7"/>
  <c r="O650" i="7"/>
  <c r="N666" i="7"/>
  <c r="P677" i="7"/>
  <c r="P684" i="7"/>
  <c r="N696" i="7"/>
  <c r="P699" i="7"/>
  <c r="P703" i="7"/>
  <c r="O710" i="7"/>
  <c r="O717" i="7"/>
  <c r="N721" i="7"/>
  <c r="P747" i="7"/>
  <c r="O751" i="7"/>
  <c r="P758" i="7"/>
  <c r="N762" i="7"/>
  <c r="P769" i="7"/>
  <c r="P773" i="7"/>
  <c r="N785" i="7"/>
  <c r="N808" i="7"/>
  <c r="N812" i="7"/>
  <c r="P823" i="7"/>
  <c r="O830" i="7"/>
  <c r="P848" i="7"/>
  <c r="P855" i="7"/>
  <c r="O859" i="7"/>
  <c r="O863" i="7"/>
  <c r="O867" i="7"/>
  <c r="P878" i="7"/>
  <c r="N882" i="7"/>
  <c r="N886" i="7"/>
  <c r="O890" i="7"/>
  <c r="N894" i="7"/>
  <c r="N897" i="7"/>
  <c r="O908" i="7"/>
  <c r="N912" i="7"/>
  <c r="O36" i="7"/>
  <c r="O42" i="7"/>
  <c r="N66" i="7"/>
  <c r="P78" i="7"/>
  <c r="P173" i="7"/>
  <c r="P180" i="7"/>
  <c r="P200" i="7"/>
  <c r="N233" i="7"/>
  <c r="O239" i="7"/>
  <c r="N266" i="7"/>
  <c r="O306" i="7"/>
  <c r="O352" i="7"/>
  <c r="P400" i="7"/>
  <c r="N406" i="7"/>
  <c r="O417" i="7"/>
  <c r="O422" i="7"/>
  <c r="N433" i="7"/>
  <c r="P499" i="7"/>
  <c r="N504" i="7"/>
  <c r="N509" i="7"/>
  <c r="N524" i="7"/>
  <c r="P543" i="7"/>
  <c r="O552" i="7"/>
  <c r="N582" i="7"/>
  <c r="N586" i="7"/>
  <c r="N596" i="7"/>
  <c r="O622" i="7"/>
  <c r="N630" i="7"/>
  <c r="P642" i="7"/>
  <c r="P646" i="7"/>
  <c r="P650" i="7"/>
  <c r="N654" i="7"/>
  <c r="N662" i="7"/>
  <c r="O666" i="7"/>
  <c r="N681" i="7"/>
  <c r="N692" i="7"/>
  <c r="O696" i="7"/>
  <c r="P710" i="7"/>
  <c r="P717" i="7"/>
  <c r="O721" i="7"/>
  <c r="N732" i="7"/>
  <c r="N740" i="7"/>
  <c r="P751" i="7"/>
  <c r="O762" i="7"/>
  <c r="O785" i="7"/>
  <c r="O808" i="7"/>
  <c r="O812" i="7"/>
  <c r="N827" i="7"/>
  <c r="P830" i="7"/>
  <c r="P859" i="7"/>
  <c r="P863" i="7"/>
  <c r="P867" i="7"/>
  <c r="N871" i="7"/>
  <c r="O882" i="7"/>
  <c r="O886" i="7"/>
  <c r="P890" i="7"/>
  <c r="O894" i="7"/>
  <c r="O897" i="7"/>
  <c r="P908" i="7"/>
  <c r="O912" i="7"/>
  <c r="O919" i="7"/>
  <c r="P36" i="7"/>
  <c r="P42" i="7"/>
  <c r="O66" i="7"/>
  <c r="O72" i="7"/>
  <c r="N146" i="7"/>
  <c r="N214" i="7"/>
  <c r="P239" i="7"/>
  <c r="O259" i="7"/>
  <c r="O287" i="7"/>
  <c r="N293" i="7"/>
  <c r="P306" i="7"/>
  <c r="N312" i="7"/>
  <c r="N323" i="7"/>
  <c r="O329" i="7"/>
  <c r="N388" i="7"/>
  <c r="O406" i="7"/>
  <c r="P417" i="7"/>
  <c r="P422" i="7"/>
  <c r="O433" i="7"/>
  <c r="O439" i="7"/>
  <c r="N462" i="7"/>
  <c r="O504" i="7"/>
  <c r="O509" i="7"/>
  <c r="N519" i="7"/>
  <c r="O524" i="7"/>
  <c r="O539" i="7"/>
  <c r="P568" i="7"/>
  <c r="N573" i="7"/>
  <c r="O582" i="7"/>
  <c r="O586" i="7"/>
  <c r="P622" i="7"/>
  <c r="O630" i="7"/>
  <c r="N638" i="7"/>
  <c r="O654" i="7"/>
  <c r="N658" i="7"/>
  <c r="O662" i="7"/>
  <c r="P666" i="7"/>
  <c r="O681" i="7"/>
  <c r="O692" i="7"/>
  <c r="P696" i="7"/>
  <c r="P721" i="7"/>
  <c r="O732" i="7"/>
  <c r="N736" i="7"/>
  <c r="O740" i="7"/>
  <c r="N744" i="7"/>
  <c r="N755" i="7"/>
  <c r="P762" i="7"/>
  <c r="P785" i="7"/>
  <c r="N789" i="7"/>
  <c r="N797" i="7"/>
  <c r="N805" i="7"/>
  <c r="P808" i="7"/>
  <c r="P812" i="7"/>
  <c r="N816" i="7"/>
  <c r="O827" i="7"/>
  <c r="N837" i="7"/>
  <c r="O871" i="7"/>
  <c r="N875" i="7"/>
  <c r="P882" i="7"/>
  <c r="P886" i="7"/>
  <c r="P894" i="7"/>
  <c r="P897" i="7"/>
  <c r="N901" i="7"/>
  <c r="N905" i="7"/>
  <c r="P912" i="7"/>
  <c r="P919" i="7"/>
  <c r="P66" i="7"/>
  <c r="O146" i="7"/>
  <c r="O168" i="7"/>
  <c r="N195" i="7"/>
  <c r="O214" i="7"/>
  <c r="N220" i="7"/>
  <c r="N273" i="7"/>
  <c r="O293" i="7"/>
  <c r="O312" i="7"/>
  <c r="P323" i="7"/>
  <c r="P329" i="7"/>
  <c r="N359" i="7"/>
  <c r="N370" i="7"/>
  <c r="O388" i="7"/>
  <c r="P406" i="7"/>
  <c r="P433" i="7"/>
  <c r="P439" i="7"/>
  <c r="N451" i="7"/>
  <c r="O462" i="7"/>
  <c r="N467" i="7"/>
  <c r="N473" i="7"/>
  <c r="N489" i="7"/>
  <c r="P494" i="7"/>
  <c r="P504" i="7"/>
  <c r="P509" i="7"/>
  <c r="O514" i="7"/>
  <c r="P524" i="7"/>
  <c r="P529" i="7"/>
  <c r="O534" i="7"/>
  <c r="P539" i="7"/>
  <c r="N563" i="7"/>
  <c r="O573" i="7"/>
  <c r="N578" i="7"/>
  <c r="P582" i="7"/>
  <c r="P586" i="7"/>
  <c r="N591" i="7"/>
  <c r="N601" i="7"/>
  <c r="N605" i="7"/>
  <c r="N610" i="7"/>
  <c r="N618" i="7"/>
  <c r="N627" i="7"/>
  <c r="O62" i="7"/>
  <c r="O120" i="7"/>
  <c r="N174" i="7"/>
  <c r="P183" i="7"/>
  <c r="P214" i="7"/>
  <c r="O253" i="7"/>
  <c r="P262" i="7"/>
  <c r="O360" i="7"/>
  <c r="O418" i="7"/>
  <c r="O484" i="7"/>
  <c r="O531" i="7"/>
  <c r="N544" i="7"/>
  <c r="N550" i="7"/>
  <c r="O563" i="7"/>
  <c r="P62" i="7"/>
  <c r="P120" i="7"/>
  <c r="P253" i="7"/>
  <c r="N303" i="7"/>
  <c r="P324" i="7"/>
  <c r="P360" i="7"/>
  <c r="P484" i="7"/>
  <c r="N505" i="7"/>
  <c r="N512" i="7"/>
  <c r="P531" i="7"/>
  <c r="O544" i="7"/>
  <c r="O550" i="7"/>
  <c r="N570" i="7"/>
  <c r="N583" i="7"/>
  <c r="O638" i="7"/>
  <c r="O644" i="7"/>
  <c r="P655" i="7"/>
  <c r="N667" i="7"/>
  <c r="N672" i="7"/>
  <c r="O753" i="7"/>
  <c r="P763" i="7"/>
  <c r="P789" i="7"/>
  <c r="O794" i="7"/>
  <c r="P805" i="7"/>
  <c r="O810" i="7"/>
  <c r="O820" i="7"/>
  <c r="P842" i="7"/>
  <c r="N852" i="7"/>
  <c r="P856" i="7"/>
  <c r="O861" i="7"/>
  <c r="N880" i="7"/>
  <c r="N899" i="7"/>
  <c r="P903" i="7"/>
  <c r="O916" i="7"/>
  <c r="P924" i="7"/>
  <c r="N928" i="7"/>
  <c r="P955" i="7"/>
  <c r="O966" i="7"/>
  <c r="P973" i="7"/>
  <c r="O988" i="7"/>
  <c r="N1011" i="7"/>
  <c r="O1018" i="7"/>
  <c r="P1022" i="7"/>
  <c r="N1030" i="7"/>
  <c r="P1033" i="7"/>
  <c r="N1037" i="7"/>
  <c r="O1044" i="7"/>
  <c r="P1047" i="7"/>
  <c r="P1054" i="7"/>
  <c r="O1058" i="7"/>
  <c r="N1065" i="7"/>
  <c r="P1072" i="7"/>
  <c r="O1079" i="7"/>
  <c r="P1086" i="7"/>
  <c r="N1093" i="7"/>
  <c r="P1099" i="7"/>
  <c r="N1112" i="7"/>
  <c r="O1115" i="7"/>
  <c r="N1118" i="7"/>
  <c r="P1124" i="7"/>
  <c r="N1127" i="7"/>
  <c r="N114" i="7"/>
  <c r="P303" i="7"/>
  <c r="N391" i="7"/>
  <c r="P397" i="7"/>
  <c r="N442" i="7"/>
  <c r="N463" i="7"/>
  <c r="O505" i="7"/>
  <c r="N525" i="7"/>
  <c r="P544" i="7"/>
  <c r="O570" i="7"/>
  <c r="O583" i="7"/>
  <c r="N597" i="7"/>
  <c r="P638" i="7"/>
  <c r="P644" i="7"/>
  <c r="O667" i="7"/>
  <c r="N678" i="7"/>
  <c r="N693" i="7"/>
  <c r="N718" i="7"/>
  <c r="N733" i="7"/>
  <c r="N738" i="7"/>
  <c r="N759" i="7"/>
  <c r="O768" i="7"/>
  <c r="N774" i="7"/>
  <c r="N779" i="7"/>
  <c r="P794" i="7"/>
  <c r="P810" i="7"/>
  <c r="P820" i="7"/>
  <c r="N825" i="7"/>
  <c r="N838" i="7"/>
  <c r="O852" i="7"/>
  <c r="P861" i="7"/>
  <c r="N866" i="7"/>
  <c r="P871" i="7"/>
  <c r="O880" i="7"/>
  <c r="N885" i="7"/>
  <c r="N890" i="7"/>
  <c r="N895" i="7"/>
  <c r="O899" i="7"/>
  <c r="N913" i="7"/>
  <c r="P916" i="7"/>
  <c r="O928" i="7"/>
  <c r="N940" i="7"/>
  <c r="N944" i="7"/>
  <c r="P168" i="7"/>
  <c r="P175" i="7"/>
  <c r="N215" i="7"/>
  <c r="N383" i="7"/>
  <c r="O391" i="7"/>
  <c r="O442" i="7"/>
  <c r="P478" i="7"/>
  <c r="P505" i="7"/>
  <c r="O597" i="7"/>
  <c r="O610" i="7"/>
  <c r="P615" i="7"/>
  <c r="N628" i="7"/>
  <c r="P667" i="7"/>
  <c r="O678" i="7"/>
  <c r="O693" i="7"/>
  <c r="O698" i="7"/>
  <c r="N704" i="7"/>
  <c r="N708" i="7"/>
  <c r="O718" i="7"/>
  <c r="N723" i="7"/>
  <c r="O733" i="7"/>
  <c r="O738" i="7"/>
  <c r="O744" i="7"/>
  <c r="N749" i="7"/>
  <c r="O759" i="7"/>
  <c r="O774" i="7"/>
  <c r="O779" i="7"/>
  <c r="O784" i="7"/>
  <c r="O816" i="7"/>
  <c r="O825" i="7"/>
  <c r="O838" i="7"/>
  <c r="N848" i="7"/>
  <c r="P852" i="7"/>
  <c r="N876" i="7"/>
  <c r="P880" i="7"/>
  <c r="O885" i="7"/>
  <c r="O895" i="7"/>
  <c r="P899" i="7"/>
  <c r="N908" i="7"/>
  <c r="O913" i="7"/>
  <c r="P928" i="7"/>
  <c r="O936" i="7"/>
  <c r="O940" i="7"/>
  <c r="O944" i="7"/>
  <c r="O948" i="7"/>
  <c r="N952" i="7"/>
  <c r="O959" i="7"/>
  <c r="O970" i="7"/>
  <c r="N977" i="7"/>
  <c r="N981" i="7"/>
  <c r="O992" i="7"/>
  <c r="N996" i="7"/>
  <c r="O1000" i="7"/>
  <c r="O1004" i="7"/>
  <c r="P1011" i="7"/>
  <c r="O1026" i="7"/>
  <c r="P1030" i="7"/>
  <c r="P1037" i="7"/>
  <c r="N1041" i="7"/>
  <c r="N1051" i="7"/>
  <c r="N1062" i="7"/>
  <c r="P1065" i="7"/>
  <c r="N1069" i="7"/>
  <c r="O1076" i="7"/>
  <c r="N1083" i="7"/>
  <c r="O1090" i="7"/>
  <c r="P1093" i="7"/>
  <c r="N50" i="7"/>
  <c r="O121" i="7"/>
  <c r="N184" i="7"/>
  <c r="P208" i="7"/>
  <c r="O215" i="7"/>
  <c r="O383" i="7"/>
  <c r="P391" i="7"/>
  <c r="N413" i="7"/>
  <c r="P442" i="7"/>
  <c r="N485" i="7"/>
  <c r="P597" i="7"/>
  <c r="O628" i="7"/>
  <c r="N651" i="7"/>
  <c r="N656" i="7"/>
  <c r="P678" i="7"/>
  <c r="P693" i="7"/>
  <c r="O704" i="7"/>
  <c r="O708" i="7"/>
  <c r="P718" i="7"/>
  <c r="O723" i="7"/>
  <c r="P733" i="7"/>
  <c r="P744" i="7"/>
  <c r="O749" i="7"/>
  <c r="P759" i="7"/>
  <c r="P774" i="7"/>
  <c r="P779" i="7"/>
  <c r="N790" i="7"/>
  <c r="P816" i="7"/>
  <c r="P825" i="7"/>
  <c r="O829" i="7"/>
  <c r="N834" i="7"/>
  <c r="P838" i="7"/>
  <c r="N843" i="7"/>
  <c r="O848" i="7"/>
  <c r="O876" i="7"/>
  <c r="P895" i="7"/>
  <c r="O904" i="7"/>
  <c r="P913" i="7"/>
  <c r="N921" i="7"/>
  <c r="O932" i="7"/>
  <c r="P936" i="7"/>
  <c r="P940" i="7"/>
  <c r="P944" i="7"/>
  <c r="P948" i="7"/>
  <c r="O952" i="7"/>
  <c r="P959" i="7"/>
  <c r="P970" i="7"/>
  <c r="O977" i="7"/>
  <c r="O981" i="7"/>
  <c r="N985" i="7"/>
  <c r="P992" i="7"/>
  <c r="O996" i="7"/>
  <c r="P1000" i="7"/>
  <c r="P1004" i="7"/>
  <c r="N1008" i="7"/>
  <c r="N1015" i="7"/>
  <c r="P1026" i="7"/>
  <c r="N1034" i="7"/>
  <c r="O1041" i="7"/>
  <c r="O1051" i="7"/>
  <c r="O1062" i="7"/>
  <c r="O1069" i="7"/>
  <c r="P1076" i="7"/>
  <c r="O1083" i="7"/>
  <c r="P1090" i="7"/>
  <c r="O109" i="7"/>
  <c r="P121" i="7"/>
  <c r="P215" i="7"/>
  <c r="O223" i="7"/>
  <c r="O325" i="7"/>
  <c r="N355" i="7"/>
  <c r="N361" i="7"/>
  <c r="P383" i="7"/>
  <c r="O413" i="7"/>
  <c r="N434" i="7"/>
  <c r="O485" i="7"/>
  <c r="N500" i="7"/>
  <c r="N520" i="7"/>
  <c r="N584" i="7"/>
  <c r="N639" i="7"/>
  <c r="O651" i="7"/>
  <c r="O656" i="7"/>
  <c r="P662" i="7"/>
  <c r="N683" i="7"/>
  <c r="N689" i="7"/>
  <c r="P704" i="7"/>
  <c r="P708" i="7"/>
  <c r="N729" i="7"/>
  <c r="P749" i="7"/>
  <c r="N764" i="7"/>
  <c r="O790" i="7"/>
  <c r="N795" i="7"/>
  <c r="O834" i="7"/>
  <c r="N857" i="7"/>
  <c r="N862" i="7"/>
  <c r="N867" i="7"/>
  <c r="N872" i="7"/>
  <c r="P876" i="7"/>
  <c r="P904" i="7"/>
  <c r="O921" i="7"/>
  <c r="P932" i="7"/>
  <c r="P952" i="7"/>
  <c r="N963" i="7"/>
  <c r="N974" i="7"/>
  <c r="P977" i="7"/>
  <c r="P981" i="7"/>
  <c r="O985" i="7"/>
  <c r="N989" i="7"/>
  <c r="P996" i="7"/>
  <c r="O1008" i="7"/>
  <c r="O1015" i="7"/>
  <c r="N1019" i="7"/>
  <c r="O1034" i="7"/>
  <c r="P1041" i="7"/>
  <c r="N1045" i="7"/>
  <c r="P1051" i="7"/>
  <c r="N1055" i="7"/>
  <c r="P1062" i="7"/>
  <c r="P1069" i="7"/>
  <c r="P1083" i="7"/>
  <c r="N1087" i="7"/>
  <c r="N1100" i="7"/>
  <c r="O1103" i="7"/>
  <c r="O1137" i="7"/>
  <c r="N1140" i="7"/>
  <c r="O1143" i="7"/>
  <c r="P109" i="7"/>
  <c r="N169" i="7"/>
  <c r="P248" i="7"/>
  <c r="N288" i="7"/>
  <c r="N297" i="7"/>
  <c r="P325" i="7"/>
  <c r="O355" i="7"/>
  <c r="P413" i="7"/>
  <c r="O434" i="7"/>
  <c r="P485" i="7"/>
  <c r="O500" i="7"/>
  <c r="O506" i="7"/>
  <c r="O520" i="7"/>
  <c r="P526" i="7"/>
  <c r="N558" i="7"/>
  <c r="O565" i="7"/>
  <c r="O578" i="7"/>
  <c r="O584" i="7"/>
  <c r="N623" i="7"/>
  <c r="P639" i="7"/>
  <c r="P651" i="7"/>
  <c r="P656" i="7"/>
  <c r="O689" i="7"/>
  <c r="O729" i="7"/>
  <c r="P790" i="7"/>
  <c r="N801" i="7"/>
  <c r="N806" i="7"/>
  <c r="P834" i="7"/>
  <c r="O857" i="7"/>
  <c r="O862" i="7"/>
  <c r="O872" i="7"/>
  <c r="N891" i="7"/>
  <c r="N900" i="7"/>
  <c r="N909" i="7"/>
  <c r="N917" i="7"/>
  <c r="N925" i="7"/>
  <c r="N956" i="7"/>
  <c r="O963" i="7"/>
  <c r="O974" i="7"/>
  <c r="P985" i="7"/>
  <c r="O989" i="7"/>
  <c r="P1008" i="7"/>
  <c r="P1015" i="7"/>
  <c r="O1019" i="7"/>
  <c r="N1023" i="7"/>
  <c r="P1034" i="7"/>
  <c r="N1038" i="7"/>
  <c r="O1045" i="7"/>
  <c r="N1048" i="7"/>
  <c r="O1055" i="7"/>
  <c r="N1073" i="7"/>
  <c r="N1080" i="7"/>
  <c r="O1087" i="7"/>
  <c r="N1097" i="7"/>
  <c r="O1100" i="7"/>
  <c r="P1103" i="7"/>
  <c r="P1137" i="7"/>
  <c r="O1140" i="7"/>
  <c r="P1143" i="7"/>
  <c r="P19" i="7"/>
  <c r="O169" i="7"/>
  <c r="O288" i="7"/>
  <c r="O297" i="7"/>
  <c r="P312" i="7"/>
  <c r="N342" i="7"/>
  <c r="P355" i="7"/>
  <c r="N407" i="7"/>
  <c r="P500" i="7"/>
  <c r="P520" i="7"/>
  <c r="N540" i="7"/>
  <c r="O558" i="7"/>
  <c r="P565" i="7"/>
  <c r="P578" i="7"/>
  <c r="P584" i="7"/>
  <c r="N592" i="7"/>
  <c r="O623" i="7"/>
  <c r="N679" i="7"/>
  <c r="P689" i="7"/>
  <c r="N694" i="7"/>
  <c r="P729" i="7"/>
  <c r="N745" i="7"/>
  <c r="O755" i="7"/>
  <c r="N770" i="7"/>
  <c r="N775" i="7"/>
  <c r="N780" i="7"/>
  <c r="O801" i="7"/>
  <c r="O806" i="7"/>
  <c r="N821" i="7"/>
  <c r="N830" i="7"/>
  <c r="N839" i="7"/>
  <c r="P844" i="7"/>
  <c r="N849" i="7"/>
  <c r="N853" i="7"/>
  <c r="P857" i="7"/>
  <c r="P872" i="7"/>
  <c r="O891" i="7"/>
  <c r="O909" i="7"/>
  <c r="O917" i="7"/>
  <c r="O925" i="7"/>
  <c r="N929" i="7"/>
  <c r="N937" i="7"/>
  <c r="O956" i="7"/>
  <c r="P963" i="7"/>
  <c r="N967" i="7"/>
  <c r="P974" i="7"/>
  <c r="P989" i="7"/>
  <c r="N1005" i="7"/>
  <c r="N1012" i="7"/>
  <c r="P1019" i="7"/>
  <c r="O1023" i="7"/>
  <c r="O1038" i="7"/>
  <c r="P1045" i="7"/>
  <c r="O1048" i="7"/>
  <c r="P1055" i="7"/>
  <c r="N1059" i="7"/>
  <c r="O1073" i="7"/>
  <c r="O1080" i="7"/>
  <c r="P1087" i="7"/>
  <c r="O1097" i="7"/>
  <c r="P1100" i="7"/>
  <c r="N1113" i="7"/>
  <c r="N1119" i="7"/>
  <c r="N1125" i="7"/>
  <c r="N31" i="7"/>
  <c r="P169" i="7"/>
  <c r="N281" i="7"/>
  <c r="P288" i="7"/>
  <c r="N319" i="7"/>
  <c r="O342" i="7"/>
  <c r="O348" i="7"/>
  <c r="N378" i="7"/>
  <c r="N384" i="7"/>
  <c r="N429" i="7"/>
  <c r="N458" i="7"/>
  <c r="O473" i="7"/>
  <c r="N480" i="7"/>
  <c r="O540" i="7"/>
  <c r="P558" i="7"/>
  <c r="N598" i="7"/>
  <c r="O611" i="7"/>
  <c r="P623" i="7"/>
  <c r="N634" i="7"/>
  <c r="N668" i="7"/>
  <c r="N674" i="7"/>
  <c r="O679" i="7"/>
  <c r="O694" i="7"/>
  <c r="N700" i="7"/>
  <c r="N714" i="7"/>
  <c r="N719" i="7"/>
  <c r="O745" i="7"/>
  <c r="P755" i="7"/>
  <c r="O770" i="7"/>
  <c r="O775" i="7"/>
  <c r="P801" i="7"/>
  <c r="P806" i="7"/>
  <c r="N817" i="7"/>
  <c r="O821" i="7"/>
  <c r="O839" i="7"/>
  <c r="O849" i="7"/>
  <c r="O853" i="7"/>
  <c r="N868" i="7"/>
  <c r="N877" i="7"/>
  <c r="N881" i="7"/>
  <c r="P891" i="7"/>
  <c r="O905" i="7"/>
  <c r="P909" i="7"/>
  <c r="N914" i="7"/>
  <c r="P917" i="7"/>
  <c r="N922" i="7"/>
  <c r="P925" i="7"/>
  <c r="O929" i="7"/>
  <c r="N933" i="7"/>
  <c r="O937" i="7"/>
  <c r="N941" i="7"/>
  <c r="N945" i="7"/>
  <c r="N949" i="7"/>
  <c r="P956" i="7"/>
  <c r="N960" i="7"/>
  <c r="O967" i="7"/>
  <c r="N978" i="7"/>
  <c r="N993" i="7"/>
  <c r="N997" i="7"/>
  <c r="N1001" i="7"/>
  <c r="O1005" i="7"/>
  <c r="O1012" i="7"/>
  <c r="P1023" i="7"/>
  <c r="N1027" i="7"/>
  <c r="P1038" i="7"/>
  <c r="P1048" i="7"/>
  <c r="N1052" i="7"/>
  <c r="O1059" i="7"/>
  <c r="N1066" i="7"/>
  <c r="N1070" i="7"/>
  <c r="P1073" i="7"/>
  <c r="P1080" i="7"/>
  <c r="O25" i="7"/>
  <c r="N91" i="7"/>
  <c r="O116" i="7"/>
  <c r="N249" i="7"/>
  <c r="O273" i="7"/>
  <c r="O281" i="7"/>
  <c r="O319" i="7"/>
  <c r="P342" i="7"/>
  <c r="P348" i="7"/>
  <c r="O378" i="7"/>
  <c r="N414" i="7"/>
  <c r="O429" i="7"/>
  <c r="O451" i="7"/>
  <c r="O458" i="7"/>
  <c r="P473" i="7"/>
  <c r="O480" i="7"/>
  <c r="P540" i="7"/>
  <c r="N553" i="7"/>
  <c r="P598" i="7"/>
  <c r="O605" i="7"/>
  <c r="P611" i="7"/>
  <c r="O634" i="7"/>
  <c r="N640" i="7"/>
  <c r="N652" i="7"/>
  <c r="N663" i="7"/>
  <c r="O674" i="7"/>
  <c r="P679" i="7"/>
  <c r="O700" i="7"/>
  <c r="O709" i="7"/>
  <c r="O714" i="7"/>
  <c r="O719" i="7"/>
  <c r="P740" i="7"/>
  <c r="P745" i="7"/>
  <c r="O750" i="7"/>
  <c r="N760" i="7"/>
  <c r="P770" i="7"/>
  <c r="P775" i="7"/>
  <c r="O817" i="7"/>
  <c r="P821" i="7"/>
  <c r="N835" i="7"/>
  <c r="P849" i="7"/>
  <c r="P853" i="7"/>
  <c r="N863" i="7"/>
  <c r="O868" i="7"/>
  <c r="P877" i="7"/>
  <c r="N887" i="7"/>
  <c r="P905" i="7"/>
  <c r="O914" i="7"/>
  <c r="O922" i="7"/>
  <c r="P929" i="7"/>
  <c r="O933" i="7"/>
  <c r="P937" i="7"/>
  <c r="O941" i="7"/>
  <c r="O945" i="7"/>
  <c r="O949" i="7"/>
  <c r="N953" i="7"/>
  <c r="O960" i="7"/>
  <c r="P967" i="7"/>
  <c r="N971" i="7"/>
  <c r="O978" i="7"/>
  <c r="N982" i="7"/>
  <c r="O993" i="7"/>
  <c r="O997" i="7"/>
  <c r="O1001" i="7"/>
  <c r="P1005" i="7"/>
  <c r="P1012" i="7"/>
  <c r="O1027" i="7"/>
  <c r="N1042" i="7"/>
  <c r="O1052" i="7"/>
  <c r="P1059" i="7"/>
  <c r="O1066" i="7"/>
  <c r="O1070" i="7"/>
  <c r="N1077" i="7"/>
  <c r="P91" i="7"/>
  <c r="O97" i="7"/>
  <c r="N110" i="7"/>
  <c r="N210" i="7"/>
  <c r="O249" i="7"/>
  <c r="P281" i="7"/>
  <c r="P319" i="7"/>
  <c r="O414" i="7"/>
  <c r="P429" i="7"/>
  <c r="P451" i="7"/>
  <c r="P458" i="7"/>
  <c r="P480" i="7"/>
  <c r="O515" i="7"/>
  <c r="P534" i="7"/>
  <c r="O553" i="7"/>
  <c r="P573" i="7"/>
  <c r="P605" i="7"/>
  <c r="P634" i="7"/>
  <c r="P640" i="7"/>
  <c r="O652" i="7"/>
  <c r="O663" i="7"/>
  <c r="P674" i="7"/>
  <c r="P700" i="7"/>
  <c r="N705" i="7"/>
  <c r="P714" i="7"/>
  <c r="P719" i="7"/>
  <c r="N725" i="7"/>
  <c r="P734" i="7"/>
  <c r="O760" i="7"/>
  <c r="N786" i="7"/>
  <c r="P817" i="7"/>
  <c r="O835" i="7"/>
  <c r="N858" i="7"/>
  <c r="P868" i="7"/>
  <c r="N873" i="7"/>
  <c r="O887" i="7"/>
  <c r="P914" i="7"/>
  <c r="P922" i="7"/>
  <c r="P933" i="7"/>
  <c r="P941" i="7"/>
  <c r="P945" i="7"/>
  <c r="P949" i="7"/>
  <c r="O953" i="7"/>
  <c r="P960" i="7"/>
  <c r="N964" i="7"/>
  <c r="O971" i="7"/>
  <c r="P978" i="7"/>
  <c r="O982" i="7"/>
  <c r="N990" i="7"/>
  <c r="P993" i="7"/>
  <c r="P997" i="7"/>
  <c r="P1001" i="7"/>
  <c r="N1016" i="7"/>
  <c r="N1020" i="7"/>
  <c r="P1027" i="7"/>
  <c r="N1031" i="7"/>
  <c r="O1042" i="7"/>
  <c r="P1052" i="7"/>
  <c r="P1066" i="7"/>
  <c r="P1070" i="7"/>
  <c r="O1077" i="7"/>
  <c r="P1084" i="7"/>
  <c r="O1091" i="7"/>
  <c r="P1094" i="7"/>
  <c r="N1104" i="7"/>
  <c r="O1107" i="7"/>
  <c r="O1110" i="7"/>
  <c r="P1116" i="7"/>
  <c r="P1122" i="7"/>
  <c r="O1131" i="7"/>
  <c r="P86" i="7"/>
  <c r="P146" i="7"/>
  <c r="N163" i="7"/>
  <c r="P170" i="7"/>
  <c r="P210" i="7"/>
  <c r="P249" i="7"/>
  <c r="N501" i="7"/>
  <c r="N521" i="7"/>
  <c r="N559" i="7"/>
  <c r="N624" i="7"/>
  <c r="N647" i="7"/>
  <c r="P652" i="7"/>
  <c r="P663" i="7"/>
  <c r="N685" i="7"/>
  <c r="O705" i="7"/>
  <c r="O725" i="7"/>
  <c r="N730" i="7"/>
  <c r="N756" i="7"/>
  <c r="P760" i="7"/>
  <c r="O786" i="7"/>
  <c r="P791" i="7"/>
  <c r="O797" i="7"/>
  <c r="P807" i="7"/>
  <c r="P826" i="7"/>
  <c r="N831" i="7"/>
  <c r="P835" i="7"/>
  <c r="P840" i="7"/>
  <c r="N845" i="7"/>
  <c r="O873" i="7"/>
  <c r="P887" i="7"/>
  <c r="N892" i="7"/>
  <c r="O901" i="7"/>
  <c r="N910" i="7"/>
  <c r="P953" i="7"/>
  <c r="O964" i="7"/>
  <c r="P971" i="7"/>
  <c r="N975" i="7"/>
  <c r="P87" i="7"/>
  <c r="N189" i="7"/>
  <c r="P401" i="7"/>
  <c r="O409" i="7"/>
  <c r="O425" i="7"/>
  <c r="O474" i="7"/>
  <c r="N593" i="7"/>
  <c r="P601" i="7"/>
  <c r="P635" i="7"/>
  <c r="N711" i="7"/>
  <c r="P736" i="7"/>
  <c r="N742" i="7"/>
  <c r="O756" i="7"/>
  <c r="P782" i="7"/>
  <c r="O814" i="7"/>
  <c r="P827" i="7"/>
  <c r="O832" i="7"/>
  <c r="P864" i="7"/>
  <c r="P870" i="7"/>
  <c r="O883" i="7"/>
  <c r="N889" i="7"/>
  <c r="N919" i="7"/>
  <c r="N924" i="7"/>
  <c r="N930" i="7"/>
  <c r="O935" i="7"/>
  <c r="P946" i="7"/>
  <c r="N972" i="7"/>
  <c r="P976" i="7"/>
  <c r="P991" i="7"/>
  <c r="P1002" i="7"/>
  <c r="N1007" i="7"/>
  <c r="N1026" i="7"/>
  <c r="P1036" i="7"/>
  <c r="O1046" i="7"/>
  <c r="N1088" i="7"/>
  <c r="O1092" i="7"/>
  <c r="O1099" i="7"/>
  <c r="N1103" i="7"/>
  <c r="P1110" i="7"/>
  <c r="O1117" i="7"/>
  <c r="O1127" i="7"/>
  <c r="P1130" i="7"/>
  <c r="N1144" i="7"/>
  <c r="P1162" i="7"/>
  <c r="N1168" i="7"/>
  <c r="N1171" i="7"/>
  <c r="O189" i="7"/>
  <c r="O267" i="7"/>
  <c r="N343" i="7"/>
  <c r="P409" i="7"/>
  <c r="P425" i="7"/>
  <c r="O593" i="7"/>
  <c r="P630" i="7"/>
  <c r="O711" i="7"/>
  <c r="O716" i="7"/>
  <c r="O730" i="7"/>
  <c r="P756" i="7"/>
  <c r="P883" i="7"/>
  <c r="O889" i="7"/>
  <c r="N907" i="7"/>
  <c r="O924" i="7"/>
  <c r="O930" i="7"/>
  <c r="P935" i="7"/>
  <c r="N957" i="7"/>
  <c r="O972" i="7"/>
  <c r="P982" i="7"/>
  <c r="O1007" i="7"/>
  <c r="N1032" i="7"/>
  <c r="P1042" i="7"/>
  <c r="P1046" i="7"/>
  <c r="O1065" i="7"/>
  <c r="N1075" i="7"/>
  <c r="N1079" i="7"/>
  <c r="N1084" i="7"/>
  <c r="O1088" i="7"/>
  <c r="P1092" i="7"/>
  <c r="N1096" i="7"/>
  <c r="N1107" i="7"/>
  <c r="P1117" i="7"/>
  <c r="N1124" i="7"/>
  <c r="P1127" i="7"/>
  <c r="O1144" i="7"/>
  <c r="N1159" i="7"/>
  <c r="O1168" i="7"/>
  <c r="O1171" i="7"/>
  <c r="O67" i="7"/>
  <c r="P189" i="7"/>
  <c r="O343" i="7"/>
  <c r="N360" i="7"/>
  <c r="N516" i="7"/>
  <c r="N554" i="7"/>
  <c r="P593" i="7"/>
  <c r="N659" i="7"/>
  <c r="O680" i="7"/>
  <c r="N686" i="7"/>
  <c r="P692" i="7"/>
  <c r="P705" i="7"/>
  <c r="P711" i="7"/>
  <c r="P730" i="7"/>
  <c r="P776" i="7"/>
  <c r="N809" i="7"/>
  <c r="P889" i="7"/>
  <c r="O907" i="7"/>
  <c r="P930" i="7"/>
  <c r="O957" i="7"/>
  <c r="N962" i="7"/>
  <c r="P972" i="7"/>
  <c r="N987" i="7"/>
  <c r="P1007" i="7"/>
  <c r="N1017" i="7"/>
  <c r="N1022" i="7"/>
  <c r="O1032" i="7"/>
  <c r="O1075" i="7"/>
  <c r="P1079" i="7"/>
  <c r="O1084" i="7"/>
  <c r="P1088" i="7"/>
  <c r="O1096" i="7"/>
  <c r="P1107" i="7"/>
  <c r="N1114" i="7"/>
  <c r="O1124" i="7"/>
  <c r="N1134" i="7"/>
  <c r="N1141" i="7"/>
  <c r="P1144" i="7"/>
  <c r="N1150" i="7"/>
  <c r="N1156" i="7"/>
  <c r="O1159" i="7"/>
  <c r="P1168" i="7"/>
  <c r="P1171" i="7"/>
  <c r="N20" i="7"/>
  <c r="N418" i="7"/>
  <c r="N459" i="7"/>
  <c r="N484" i="7"/>
  <c r="O516" i="7"/>
  <c r="N531" i="7"/>
  <c r="O554" i="7"/>
  <c r="O659" i="7"/>
  <c r="O686" i="7"/>
  <c r="N737" i="7"/>
  <c r="N763" i="7"/>
  <c r="N802" i="7"/>
  <c r="O809" i="7"/>
  <c r="N846" i="7"/>
  <c r="N865" i="7"/>
  <c r="P907" i="7"/>
  <c r="N947" i="7"/>
  <c r="P957" i="7"/>
  <c r="O962" i="7"/>
  <c r="O987" i="7"/>
  <c r="N1003" i="7"/>
  <c r="N1013" i="7"/>
  <c r="O1017" i="7"/>
  <c r="O1022" i="7"/>
  <c r="P1032" i="7"/>
  <c r="O1037" i="7"/>
  <c r="N1056" i="7"/>
  <c r="N1071" i="7"/>
  <c r="P1075" i="7"/>
  <c r="P1096" i="7"/>
  <c r="O1114" i="7"/>
  <c r="O1134" i="7"/>
  <c r="N1138" i="7"/>
  <c r="O1141" i="7"/>
  <c r="N1147" i="7"/>
  <c r="O1150" i="7"/>
  <c r="N1153" i="7"/>
  <c r="O1156" i="7"/>
  <c r="P1159" i="7"/>
  <c r="O330" i="7"/>
  <c r="O541" i="7"/>
  <c r="P675" i="7"/>
  <c r="P707" i="7"/>
  <c r="N824" i="7"/>
  <c r="O898" i="7"/>
  <c r="P938" i="7"/>
  <c r="O969" i="7"/>
  <c r="P1014" i="7"/>
  <c r="O1029" i="7"/>
  <c r="N1122" i="7"/>
  <c r="N1132" i="7"/>
  <c r="P1154" i="7"/>
  <c r="O1176" i="7"/>
  <c r="O307" i="7"/>
  <c r="N574" i="7"/>
  <c r="P798" i="7"/>
  <c r="O824" i="7"/>
  <c r="P898" i="7"/>
  <c r="P163" i="7"/>
  <c r="O276" i="7"/>
  <c r="O395" i="7"/>
  <c r="N402" i="7"/>
  <c r="P516" i="7"/>
  <c r="P554" i="7"/>
  <c r="N602" i="7"/>
  <c r="N631" i="7"/>
  <c r="P659" i="7"/>
  <c r="P686" i="7"/>
  <c r="O737" i="7"/>
  <c r="O763" i="7"/>
  <c r="N783" i="7"/>
  <c r="O789" i="7"/>
  <c r="O802" i="7"/>
  <c r="P809" i="7"/>
  <c r="O822" i="7"/>
  <c r="O846" i="7"/>
  <c r="N859" i="7"/>
  <c r="O865" i="7"/>
  <c r="N878" i="7"/>
  <c r="N884" i="7"/>
  <c r="N896" i="7"/>
  <c r="N902" i="7"/>
  <c r="N920" i="7"/>
  <c r="N942" i="7"/>
  <c r="O947" i="7"/>
  <c r="P962" i="7"/>
  <c r="N968" i="7"/>
  <c r="P987" i="7"/>
  <c r="N992" i="7"/>
  <c r="N998" i="7"/>
  <c r="O1003" i="7"/>
  <c r="O1013" i="7"/>
  <c r="P1017" i="7"/>
  <c r="O1056" i="7"/>
  <c r="N1061" i="7"/>
  <c r="O1071" i="7"/>
  <c r="O1104" i="7"/>
  <c r="P1114" i="7"/>
  <c r="N1131" i="7"/>
  <c r="P1134" i="7"/>
  <c r="O1138" i="7"/>
  <c r="P1141" i="7"/>
  <c r="O1147" i="7"/>
  <c r="P1150" i="7"/>
  <c r="O1153" i="7"/>
  <c r="P1156" i="7"/>
  <c r="N1163" i="7"/>
  <c r="P141" i="7"/>
  <c r="P379" i="7"/>
  <c r="P446" i="7"/>
  <c r="P549" i="7"/>
  <c r="O619" i="7"/>
  <c r="P682" i="7"/>
  <c r="P726" i="7"/>
  <c r="P771" i="7"/>
  <c r="P892" i="7"/>
  <c r="P943" i="7"/>
  <c r="P979" i="7"/>
  <c r="P994" i="7"/>
  <c r="P1024" i="7"/>
  <c r="P1039" i="7"/>
  <c r="O1105" i="7"/>
  <c r="P1145" i="7"/>
  <c r="O1151" i="7"/>
  <c r="N268" i="7"/>
  <c r="P276" i="7"/>
  <c r="P395" i="7"/>
  <c r="N469" i="7"/>
  <c r="N587" i="7"/>
  <c r="P602" i="7"/>
  <c r="O624" i="7"/>
  <c r="O631" i="7"/>
  <c r="P737" i="7"/>
  <c r="O783" i="7"/>
  <c r="P802" i="7"/>
  <c r="P846" i="7"/>
  <c r="P865" i="7"/>
  <c r="O878" i="7"/>
  <c r="O884" i="7"/>
  <c r="O902" i="7"/>
  <c r="O920" i="7"/>
  <c r="O942" i="7"/>
  <c r="P947" i="7"/>
  <c r="O968" i="7"/>
  <c r="N983" i="7"/>
  <c r="O998" i="7"/>
  <c r="P1003" i="7"/>
  <c r="P1013" i="7"/>
  <c r="N1028" i="7"/>
  <c r="P1056" i="7"/>
  <c r="O1061" i="7"/>
  <c r="P1071" i="7"/>
  <c r="P1104" i="7"/>
  <c r="N1121" i="7"/>
  <c r="P1131" i="7"/>
  <c r="P1138" i="7"/>
  <c r="P1147" i="7"/>
  <c r="P1153" i="7"/>
  <c r="O1163" i="7"/>
  <c r="N1166" i="7"/>
  <c r="N1175" i="7"/>
  <c r="P619" i="7"/>
  <c r="N927" i="7"/>
  <c r="P15" i="7"/>
  <c r="O268" i="7"/>
  <c r="O469" i="7"/>
  <c r="O587" i="7"/>
  <c r="P631" i="7"/>
  <c r="P681" i="7"/>
  <c r="P725" i="7"/>
  <c r="N731" i="7"/>
  <c r="N752" i="7"/>
  <c r="P757" i="7"/>
  <c r="P783" i="7"/>
  <c r="P797" i="7"/>
  <c r="N828" i="7"/>
  <c r="P884" i="7"/>
  <c r="P902" i="7"/>
  <c r="N915" i="7"/>
  <c r="P920" i="7"/>
  <c r="N931" i="7"/>
  <c r="P942" i="7"/>
  <c r="N958" i="7"/>
  <c r="P968" i="7"/>
  <c r="O983" i="7"/>
  <c r="P998" i="7"/>
  <c r="O1028" i="7"/>
  <c r="N1043" i="7"/>
  <c r="N1047" i="7"/>
  <c r="P1061" i="7"/>
  <c r="N1089" i="7"/>
  <c r="N1108" i="7"/>
  <c r="N1111" i="7"/>
  <c r="O1121" i="7"/>
  <c r="P1163" i="7"/>
  <c r="O1166" i="7"/>
  <c r="N1172" i="7"/>
  <c r="O1175" i="7"/>
  <c r="N147" i="7"/>
  <c r="O337" i="7"/>
  <c r="P469" i="7"/>
  <c r="O501" i="7"/>
  <c r="P510" i="7"/>
  <c r="O548" i="7"/>
  <c r="N660" i="7"/>
  <c r="N687" i="7"/>
  <c r="N712" i="7"/>
  <c r="O752" i="7"/>
  <c r="N810" i="7"/>
  <c r="N823" i="7"/>
  <c r="O828" i="7"/>
  <c r="N841" i="7"/>
  <c r="N860" i="7"/>
  <c r="O915" i="7"/>
  <c r="N926" i="7"/>
  <c r="O931" i="7"/>
  <c r="O958" i="7"/>
  <c r="N973" i="7"/>
  <c r="P983" i="7"/>
  <c r="N988" i="7"/>
  <c r="P1028" i="7"/>
  <c r="N1033" i="7"/>
  <c r="O1043" i="7"/>
  <c r="O1047" i="7"/>
  <c r="N1085" i="7"/>
  <c r="O1089" i="7"/>
  <c r="O1093" i="7"/>
  <c r="N1101" i="7"/>
  <c r="O1108" i="7"/>
  <c r="O1111" i="7"/>
  <c r="O1118" i="7"/>
  <c r="P1121" i="7"/>
  <c r="N1128" i="7"/>
  <c r="N1160" i="7"/>
  <c r="P1166" i="7"/>
  <c r="N1169" i="7"/>
  <c r="O1172" i="7"/>
  <c r="P1175" i="7"/>
  <c r="N62" i="7"/>
  <c r="N234" i="7"/>
  <c r="P261" i="7"/>
  <c r="P337" i="7"/>
  <c r="N396" i="7"/>
  <c r="P501" i="7"/>
  <c r="N579" i="7"/>
  <c r="O660" i="7"/>
  <c r="N701" i="7"/>
  <c r="O712" i="7"/>
  <c r="P752" i="7"/>
  <c r="N778" i="7"/>
  <c r="P803" i="7"/>
  <c r="O823" i="7"/>
  <c r="P828" i="7"/>
  <c r="O841" i="7"/>
  <c r="O847" i="7"/>
  <c r="O860" i="7"/>
  <c r="N879" i="7"/>
  <c r="P915" i="7"/>
  <c r="O926" i="7"/>
  <c r="P931" i="7"/>
  <c r="N948" i="7"/>
  <c r="N954" i="7"/>
  <c r="P958" i="7"/>
  <c r="O973" i="7"/>
  <c r="P988" i="7"/>
  <c r="N1009" i="7"/>
  <c r="N1018" i="7"/>
  <c r="O1033" i="7"/>
  <c r="P1043" i="7"/>
  <c r="N1057" i="7"/>
  <c r="N1067" i="7"/>
  <c r="N1076" i="7"/>
  <c r="N1081" i="7"/>
  <c r="O1085" i="7"/>
  <c r="P1089" i="7"/>
  <c r="P1097" i="7"/>
  <c r="O1101" i="7"/>
  <c r="P1108" i="7"/>
  <c r="P1111" i="7"/>
  <c r="N1115" i="7"/>
  <c r="P1118" i="7"/>
  <c r="O1125" i="7"/>
  <c r="O1128" i="7"/>
  <c r="N1135" i="7"/>
  <c r="N1142" i="7"/>
  <c r="O1160" i="7"/>
  <c r="O1169" i="7"/>
  <c r="P1172" i="7"/>
  <c r="N766" i="7"/>
  <c r="O234" i="7"/>
  <c r="N379" i="7"/>
  <c r="O396" i="7"/>
  <c r="N446" i="7"/>
  <c r="O453" i="7"/>
  <c r="O647" i="7"/>
  <c r="P654" i="7"/>
  <c r="P660" i="7"/>
  <c r="N675" i="7"/>
  <c r="N682" i="7"/>
  <c r="O701" i="7"/>
  <c r="N707" i="7"/>
  <c r="N726" i="7"/>
  <c r="N771" i="7"/>
  <c r="O778" i="7"/>
  <c r="P841" i="7"/>
  <c r="O854" i="7"/>
  <c r="P860" i="7"/>
  <c r="P873" i="7"/>
  <c r="O879" i="7"/>
  <c r="O903" i="7"/>
  <c r="P926" i="7"/>
  <c r="N938" i="7"/>
  <c r="N943" i="7"/>
  <c r="O954" i="7"/>
  <c r="N979" i="7"/>
  <c r="N994" i="7"/>
  <c r="N999" i="7"/>
  <c r="N1004" i="7"/>
  <c r="O1009" i="7"/>
  <c r="N1014" i="7"/>
  <c r="P1018" i="7"/>
  <c r="N1024" i="7"/>
  <c r="N1039" i="7"/>
  <c r="N1053" i="7"/>
  <c r="O1057" i="7"/>
  <c r="O1067" i="7"/>
  <c r="N1072" i="7"/>
  <c r="O1081" i="7"/>
  <c r="P1085" i="7"/>
  <c r="P1101" i="7"/>
  <c r="P1115" i="7"/>
  <c r="P1125" i="7"/>
  <c r="P1128" i="7"/>
  <c r="O1135" i="7"/>
  <c r="O1142" i="7"/>
  <c r="N1145" i="7"/>
  <c r="N1154" i="7"/>
  <c r="N1157" i="7"/>
  <c r="P1160" i="7"/>
  <c r="P1169" i="7"/>
  <c r="O632" i="7"/>
  <c r="O798" i="7"/>
  <c r="P910" i="7"/>
  <c r="O984" i="7"/>
  <c r="P999" i="7"/>
  <c r="P1053" i="7"/>
  <c r="N1139" i="7"/>
  <c r="O1148" i="7"/>
  <c r="P1157" i="7"/>
  <c r="N253" i="7"/>
  <c r="O627" i="7"/>
  <c r="N655" i="7"/>
  <c r="P818" i="7"/>
  <c r="P234" i="7"/>
  <c r="N330" i="7"/>
  <c r="O379" i="7"/>
  <c r="O446" i="7"/>
  <c r="P453" i="7"/>
  <c r="P462" i="7"/>
  <c r="P511" i="7"/>
  <c r="N541" i="7"/>
  <c r="O549" i="7"/>
  <c r="N588" i="7"/>
  <c r="N632" i="7"/>
  <c r="P647" i="7"/>
  <c r="O675" i="7"/>
  <c r="O682" i="7"/>
  <c r="P701" i="7"/>
  <c r="O707" i="7"/>
  <c r="O726" i="7"/>
  <c r="P732" i="7"/>
  <c r="N746" i="7"/>
  <c r="O771" i="7"/>
  <c r="P778" i="7"/>
  <c r="N798" i="7"/>
  <c r="P854" i="7"/>
  <c r="P879" i="7"/>
  <c r="O892" i="7"/>
  <c r="N898" i="7"/>
  <c r="O910" i="7"/>
  <c r="O938" i="7"/>
  <c r="O943" i="7"/>
  <c r="P954" i="7"/>
  <c r="P964" i="7"/>
  <c r="N969" i="7"/>
  <c r="O979" i="7"/>
  <c r="N984" i="7"/>
  <c r="O994" i="7"/>
  <c r="O999" i="7"/>
  <c r="P1009" i="7"/>
  <c r="O1014" i="7"/>
  <c r="O1024" i="7"/>
  <c r="N1029" i="7"/>
  <c r="O1039" i="7"/>
  <c r="O1053" i="7"/>
  <c r="P1057" i="7"/>
  <c r="P1067" i="7"/>
  <c r="O1072" i="7"/>
  <c r="P1081" i="7"/>
  <c r="N1105" i="7"/>
  <c r="P1135" i="7"/>
  <c r="P1142" i="7"/>
  <c r="O1145" i="7"/>
  <c r="N1148" i="7"/>
  <c r="N1151" i="7"/>
  <c r="O1154" i="7"/>
  <c r="O1157" i="7"/>
  <c r="N1176" i="7"/>
  <c r="N842" i="7"/>
  <c r="N959" i="7"/>
  <c r="O1095" i="7"/>
  <c r="N986" i="7"/>
  <c r="N782" i="7"/>
  <c r="P1151" i="7"/>
  <c r="N1046" i="7"/>
  <c r="N906" i="7"/>
  <c r="O1123" i="7"/>
  <c r="N1040" i="7"/>
  <c r="O772" i="7"/>
  <c r="N664" i="7"/>
  <c r="O1064" i="7"/>
  <c r="N991" i="7"/>
  <c r="P850" i="7"/>
  <c r="O741" i="7"/>
  <c r="N1146" i="7"/>
  <c r="P1077" i="7"/>
  <c r="O787" i="7"/>
  <c r="P1167" i="7"/>
  <c r="P1113" i="7"/>
  <c r="N1094" i="7"/>
  <c r="P1082" i="7"/>
  <c r="O1025" i="7"/>
  <c r="O1011" i="7"/>
  <c r="P984" i="7"/>
  <c r="O976" i="7"/>
  <c r="O950" i="7"/>
  <c r="P934" i="7"/>
  <c r="P911" i="7"/>
  <c r="P888" i="7"/>
  <c r="N856" i="7"/>
  <c r="N794" i="7"/>
  <c r="N748" i="7"/>
  <c r="N620" i="7"/>
  <c r="P535" i="7"/>
  <c r="P430" i="7"/>
  <c r="P359" i="7"/>
  <c r="O350" i="7"/>
  <c r="N92" i="7"/>
  <c r="O906" i="7"/>
  <c r="N1099" i="7"/>
  <c r="N282" i="7"/>
  <c r="O991" i="7"/>
  <c r="P671" i="7"/>
  <c r="P614" i="7"/>
  <c r="N1123" i="7"/>
  <c r="O671" i="7"/>
  <c r="N1064" i="7"/>
  <c r="N1006" i="7"/>
  <c r="O850" i="7"/>
  <c r="N671" i="7"/>
  <c r="O1167" i="7"/>
  <c r="P1158" i="7"/>
  <c r="P1136" i="7"/>
  <c r="O1113" i="7"/>
  <c r="O1082" i="7"/>
  <c r="N1025" i="7"/>
  <c r="N976" i="7"/>
  <c r="N950" i="7"/>
  <c r="O934" i="7"/>
  <c r="N911" i="7"/>
  <c r="O888" i="7"/>
  <c r="O864" i="7"/>
  <c r="P670" i="7"/>
  <c r="O535" i="7"/>
  <c r="O430" i="7"/>
  <c r="O315" i="7"/>
  <c r="N965" i="7"/>
  <c r="O1158" i="7"/>
  <c r="O1136" i="7"/>
  <c r="O1122" i="7"/>
  <c r="P1098" i="7"/>
  <c r="N1082" i="7"/>
  <c r="P1063" i="7"/>
  <c r="P1031" i="7"/>
  <c r="P969" i="7"/>
  <c r="N934" i="7"/>
  <c r="N888" i="7"/>
  <c r="N864" i="7"/>
  <c r="O670" i="7"/>
  <c r="N535" i="7"/>
  <c r="P447" i="7"/>
  <c r="N430" i="7"/>
  <c r="P307" i="7"/>
  <c r="P1040" i="7"/>
  <c r="O951" i="7"/>
  <c r="O766" i="7"/>
  <c r="N1095" i="7"/>
  <c r="P1020" i="7"/>
  <c r="P607" i="7"/>
  <c r="P1064" i="7"/>
  <c r="O655" i="7"/>
  <c r="P1176" i="7"/>
  <c r="N1167" i="7"/>
  <c r="P1149" i="7"/>
  <c r="N1158" i="7"/>
  <c r="O1149" i="7"/>
  <c r="N1136" i="7"/>
  <c r="N1117" i="7"/>
  <c r="O1098" i="7"/>
  <c r="O1063" i="7"/>
  <c r="P1050" i="7"/>
  <c r="P1044" i="7"/>
  <c r="O1031" i="7"/>
  <c r="P990" i="7"/>
  <c r="P918" i="7"/>
  <c r="N832" i="7"/>
  <c r="P793" i="7"/>
  <c r="P786" i="7"/>
  <c r="P722" i="7"/>
  <c r="P715" i="7"/>
  <c r="P685" i="7"/>
  <c r="N670" i="7"/>
  <c r="N635" i="7"/>
  <c r="O447" i="7"/>
  <c r="P1155" i="7"/>
  <c r="P1109" i="7"/>
  <c r="O1109" i="7"/>
  <c r="P1126" i="7"/>
  <c r="N1098" i="7"/>
  <c r="N1063" i="7"/>
  <c r="O1050" i="7"/>
  <c r="N1044" i="7"/>
  <c r="P1010" i="7"/>
  <c r="O990" i="7"/>
  <c r="O955" i="7"/>
  <c r="N918" i="7"/>
  <c r="O855" i="7"/>
  <c r="O793" i="7"/>
  <c r="O722" i="7"/>
  <c r="O715" i="7"/>
  <c r="O685" i="7"/>
  <c r="P569" i="7"/>
  <c r="N447" i="7"/>
  <c r="O1164" i="7"/>
  <c r="O301" i="7"/>
  <c r="O1162" i="7"/>
  <c r="O1126" i="7"/>
  <c r="P1112" i="7"/>
  <c r="P1102" i="7"/>
  <c r="P1068" i="7"/>
  <c r="N1050" i="7"/>
  <c r="O1010" i="7"/>
  <c r="N955" i="7"/>
  <c r="N855" i="7"/>
  <c r="P824" i="7"/>
  <c r="N793" i="7"/>
  <c r="N722" i="7"/>
  <c r="N715" i="7"/>
  <c r="P643" i="7"/>
  <c r="P627" i="7"/>
  <c r="O569" i="7"/>
  <c r="N474" i="7"/>
  <c r="P188" i="7"/>
  <c r="P134" i="7"/>
  <c r="N813" i="7"/>
  <c r="N235" i="7"/>
  <c r="O1155" i="7"/>
  <c r="P1123" i="7"/>
  <c r="O1040" i="7"/>
  <c r="O664" i="7"/>
  <c r="N1155" i="7"/>
  <c r="O1119" i="7"/>
  <c r="P1006" i="7"/>
  <c r="P741" i="7"/>
  <c r="N87" i="7"/>
  <c r="O1146" i="7"/>
  <c r="O1006" i="7"/>
  <c r="P927" i="7"/>
  <c r="N308" i="7"/>
  <c r="O1177" i="7"/>
  <c r="P748" i="7"/>
  <c r="P606" i="7"/>
  <c r="P1140" i="7"/>
  <c r="N1162" i="7"/>
  <c r="N1126" i="7"/>
  <c r="O1112" i="7"/>
  <c r="O1102" i="7"/>
  <c r="O1068" i="7"/>
  <c r="O1036" i="7"/>
  <c r="N1010" i="7"/>
  <c r="P995" i="7"/>
  <c r="P975" i="7"/>
  <c r="P961" i="7"/>
  <c r="O870" i="7"/>
  <c r="N643" i="7"/>
  <c r="N569" i="7"/>
  <c r="O365" i="7"/>
  <c r="O134" i="7"/>
  <c r="P1132" i="7"/>
  <c r="N970" i="7"/>
  <c r="N614" i="7"/>
  <c r="P1170" i="7"/>
  <c r="O1130" i="7"/>
  <c r="N1102" i="7"/>
  <c r="N1092" i="7"/>
  <c r="P1074" i="7"/>
  <c r="N1068" i="7"/>
  <c r="N1036" i="7"/>
  <c r="O1030" i="7"/>
  <c r="P1016" i="7"/>
  <c r="O995" i="7"/>
  <c r="O975" i="7"/>
  <c r="O961" i="7"/>
  <c r="P939" i="7"/>
  <c r="P831" i="7"/>
  <c r="N753" i="7"/>
  <c r="O559" i="7"/>
  <c r="N365" i="7"/>
  <c r="N1164" i="7"/>
  <c r="N935" i="7"/>
  <c r="P819" i="7"/>
  <c r="N536" i="7"/>
  <c r="O927" i="7"/>
  <c r="N741" i="7"/>
  <c r="N1149" i="7"/>
  <c r="P1174" i="7"/>
  <c r="O1170" i="7"/>
  <c r="P1152" i="7"/>
  <c r="N1130" i="7"/>
  <c r="O1116" i="7"/>
  <c r="P1106" i="7"/>
  <c r="O1086" i="7"/>
  <c r="O1074" i="7"/>
  <c r="P1049" i="7"/>
  <c r="O1016" i="7"/>
  <c r="O1002" i="7"/>
  <c r="N995" i="7"/>
  <c r="N961" i="7"/>
  <c r="O939" i="7"/>
  <c r="P901" i="7"/>
  <c r="O831" i="7"/>
  <c r="P799" i="7"/>
  <c r="P575" i="7"/>
  <c r="R1121" i="7"/>
  <c r="R1153" i="7"/>
  <c r="R458" i="7"/>
  <c r="R1128" i="7"/>
  <c r="R1086" i="7"/>
  <c r="R253" i="7"/>
  <c r="R234" i="7"/>
  <c r="R341" i="7"/>
  <c r="R269" i="7"/>
  <c r="R1067" i="7"/>
  <c r="R708" i="7"/>
  <c r="R769" i="7"/>
  <c r="R1015" i="7"/>
  <c r="R755" i="7"/>
  <c r="R1112" i="7"/>
  <c r="R704" i="7"/>
  <c r="R811" i="7"/>
  <c r="R1103" i="7"/>
  <c r="R887" i="7"/>
  <c r="R674" i="7"/>
  <c r="R1069" i="7"/>
  <c r="R1173" i="7"/>
  <c r="R1066" i="7"/>
  <c r="R1087" i="7"/>
  <c r="R1116" i="7"/>
  <c r="R1089" i="7"/>
  <c r="R1083" i="7"/>
  <c r="R1101" i="7"/>
  <c r="R686" i="7"/>
  <c r="R930" i="7"/>
  <c r="R986" i="7"/>
  <c r="R940" i="7"/>
  <c r="R1075" i="7"/>
  <c r="R942" i="7"/>
  <c r="R804" i="7"/>
  <c r="R778" i="7"/>
  <c r="R608" i="7"/>
  <c r="R1107" i="7"/>
  <c r="R636" i="7"/>
  <c r="R925" i="7"/>
  <c r="R759" i="7"/>
  <c r="R794" i="7"/>
  <c r="R441" i="7"/>
  <c r="R938" i="7"/>
  <c r="R1129" i="7"/>
  <c r="R616" i="7"/>
  <c r="R936" i="7"/>
  <c r="R703" i="7"/>
  <c r="R1095" i="7"/>
  <c r="R1088" i="7"/>
  <c r="R672" i="7"/>
  <c r="R1002" i="7"/>
  <c r="R983" i="7"/>
  <c r="R853" i="7"/>
  <c r="R670" i="7"/>
  <c r="R810" i="7"/>
  <c r="R1084" i="7"/>
  <c r="R825" i="7"/>
  <c r="R246" i="7"/>
  <c r="R1079" i="7"/>
  <c r="R504" i="7"/>
  <c r="R789" i="7"/>
  <c r="R659" i="7"/>
  <c r="R235" i="7"/>
  <c r="R766" i="7"/>
  <c r="R370" i="7"/>
  <c r="R1073" i="7"/>
  <c r="R647" i="7"/>
  <c r="R694" i="7"/>
  <c r="R1081" i="7"/>
  <c r="R1080" i="7"/>
  <c r="R681" i="7"/>
  <c r="R12" i="7"/>
  <c r="R899" i="7"/>
  <c r="R839" i="7"/>
  <c r="R1077" i="7"/>
  <c r="R1071" i="7"/>
  <c r="R843" i="7"/>
  <c r="R760" i="7"/>
  <c r="R460" i="7"/>
  <c r="R1026" i="7"/>
  <c r="R799" i="7"/>
  <c r="R7" i="7"/>
  <c r="R69" i="7"/>
  <c r="R138" i="7"/>
  <c r="R141" i="7"/>
  <c r="R65" i="7"/>
  <c r="R131" i="7"/>
  <c r="R144" i="7"/>
  <c r="R61" i="7"/>
  <c r="R135" i="7"/>
  <c r="R78" i="7"/>
  <c r="R146" i="7"/>
  <c r="R147" i="7"/>
  <c r="R132" i="7"/>
  <c r="R143" i="7"/>
  <c r="R148" i="7"/>
  <c r="R136" i="7"/>
  <c r="R705" i="7"/>
  <c r="R709" i="7"/>
  <c r="R761" i="7"/>
  <c r="R1068" i="7"/>
  <c r="R1090" i="7"/>
  <c r="R1072" i="7"/>
  <c r="R969" i="7"/>
  <c r="R947" i="7"/>
  <c r="R706" i="7"/>
  <c r="R1031" i="7"/>
  <c r="R872" i="7"/>
  <c r="R1076" i="7"/>
  <c r="R265" i="7"/>
  <c r="R518" i="7"/>
  <c r="R194" i="7"/>
  <c r="R1085" i="7"/>
  <c r="R744" i="7"/>
  <c r="R717" i="7"/>
  <c r="R570" i="7"/>
  <c r="R992" i="7"/>
  <c r="R820" i="7"/>
  <c r="R791" i="7"/>
  <c r="R457" i="7"/>
  <c r="R326" i="7"/>
  <c r="R583" i="7"/>
  <c r="R447" i="7"/>
  <c r="R558" i="7"/>
  <c r="R481" i="7"/>
  <c r="R397" i="7"/>
  <c r="R486" i="7"/>
  <c r="R816" i="7"/>
  <c r="R735" i="7"/>
  <c r="R217" i="7"/>
  <c r="R562" i="7"/>
  <c r="R508" i="7"/>
  <c r="R238" i="7"/>
  <c r="R422" i="7"/>
  <c r="R707" i="7"/>
  <c r="R638" i="7"/>
  <c r="R88" i="7"/>
  <c r="R625" i="7"/>
  <c r="R600" i="7"/>
  <c r="R580" i="7"/>
  <c r="R211" i="7"/>
  <c r="R150" i="7"/>
  <c r="R118" i="7"/>
  <c r="R345" i="7"/>
  <c r="R468" i="7"/>
  <c r="R187" i="7"/>
  <c r="R536" i="7"/>
  <c r="R121" i="7"/>
  <c r="R328" i="7"/>
  <c r="R471" i="7"/>
  <c r="R306" i="7"/>
  <c r="R263" i="7"/>
  <c r="R285" i="7"/>
  <c r="R358" i="7"/>
  <c r="R506" i="7"/>
  <c r="R357" i="7"/>
  <c r="R92" i="7"/>
  <c r="R383" i="7"/>
  <c r="R102" i="7"/>
  <c r="R227" i="7"/>
  <c r="R200" i="7"/>
  <c r="R73" i="7"/>
  <c r="R329" i="7"/>
  <c r="R40" i="7"/>
  <c r="R427" i="7"/>
  <c r="R272" i="7"/>
  <c r="R240" i="7"/>
  <c r="R319" i="7"/>
  <c r="R93" i="7"/>
  <c r="R348" i="7"/>
  <c r="R259" i="7"/>
  <c r="R257" i="7"/>
  <c r="R128" i="7"/>
  <c r="R98" i="7"/>
  <c r="R451" i="7"/>
  <c r="R376" i="7"/>
  <c r="R224" i="7"/>
  <c r="R62" i="7"/>
  <c r="R216" i="7"/>
  <c r="R25" i="7"/>
  <c r="R142" i="7"/>
  <c r="R186" i="7"/>
  <c r="R379" i="7"/>
  <c r="R127" i="7"/>
  <c r="R190" i="7"/>
  <c r="R174" i="7"/>
  <c r="R180" i="7"/>
  <c r="R86" i="7"/>
  <c r="R182" i="7"/>
  <c r="R322" i="7"/>
  <c r="R32" i="7"/>
  <c r="R48" i="7"/>
  <c r="R126" i="7"/>
  <c r="R203" i="7"/>
  <c r="R156" i="7"/>
  <c r="R134" i="7"/>
  <c r="R68" i="7"/>
  <c r="R188" i="7"/>
  <c r="R129" i="7"/>
  <c r="R39" i="7"/>
  <c r="R23" i="7"/>
  <c r="R72" i="7"/>
  <c r="R117" i="7"/>
  <c r="R64" i="7"/>
  <c r="R202" i="7"/>
  <c r="R199" i="7"/>
  <c r="R55" i="7"/>
  <c r="R181" i="7"/>
  <c r="R99" i="7"/>
  <c r="R139" i="7"/>
  <c r="R71" i="7"/>
  <c r="R137" i="7"/>
  <c r="R151" i="7"/>
  <c r="R145" i="7"/>
  <c r="R63" i="7"/>
  <c r="R140" i="7"/>
  <c r="R6" i="7"/>
  <c r="R82" i="7"/>
  <c r="R79" i="7"/>
  <c r="R149" i="7"/>
  <c r="R8" i="7"/>
  <c r="R130" i="7"/>
  <c r="R60" i="7"/>
  <c r="R45" i="7"/>
  <c r="R57" i="7"/>
  <c r="R81" i="7"/>
  <c r="R70" i="7"/>
  <c r="R80" i="7"/>
  <c r="R4" i="7"/>
  <c r="R133" i="7"/>
  <c r="R50" i="7"/>
  <c r="R67" i="7"/>
  <c r="R66" i="7"/>
  <c r="R90" i="7"/>
  <c r="W1170" i="7"/>
  <c r="W1164" i="7"/>
  <c r="W1165" i="7"/>
  <c r="W1176" i="7"/>
  <c r="W1169" i="7"/>
  <c r="W1175" i="7"/>
  <c r="W1174" i="7"/>
  <c r="W1173" i="7"/>
  <c r="W1172" i="7"/>
  <c r="W1168" i="7"/>
  <c r="W1171" i="7"/>
  <c r="W1167" i="7"/>
  <c r="W1166" i="7"/>
  <c r="W1177" i="7"/>
  <c r="AB7" i="7"/>
  <c r="AD7" i="7"/>
  <c r="AB5" i="7"/>
  <c r="AB8" i="7"/>
  <c r="W1049" i="7"/>
  <c r="W741" i="7"/>
  <c r="W101" i="7"/>
  <c r="W13" i="7"/>
  <c r="W1070" i="7"/>
  <c r="W740" i="7"/>
  <c r="W517" i="7"/>
  <c r="W188" i="7"/>
  <c r="W1069" i="7"/>
  <c r="W805" i="7"/>
  <c r="W761" i="7"/>
  <c r="W739" i="7"/>
  <c r="W33" i="7"/>
  <c r="W1134" i="7"/>
  <c r="W1068" i="7"/>
  <c r="W804" i="7"/>
  <c r="W760" i="7"/>
  <c r="W1067" i="7"/>
  <c r="W759" i="7"/>
  <c r="W514" i="7"/>
  <c r="W119" i="7"/>
  <c r="W31" i="7"/>
  <c r="AB9" i="7"/>
  <c r="W521" i="7"/>
  <c r="W246" i="7"/>
  <c r="W520" i="7"/>
  <c r="W1029" i="7"/>
  <c r="W742" i="7"/>
  <c r="AB6" i="7"/>
  <c r="W1011" i="7"/>
  <c r="W522" i="7"/>
  <c r="W104" i="7"/>
  <c r="W14" i="7"/>
  <c r="W823" i="7"/>
  <c r="W1085" i="7"/>
  <c r="W843" i="7"/>
  <c r="AC5" i="7"/>
  <c r="W889" i="7"/>
  <c r="W1150" i="7"/>
  <c r="W48" i="7"/>
  <c r="AC9" i="7"/>
  <c r="W1149" i="7"/>
  <c r="W907" i="7"/>
  <c r="AC8" i="7"/>
  <c r="W721" i="7"/>
  <c r="W1050" i="7"/>
  <c r="AC7" i="7"/>
  <c r="W720" i="7"/>
  <c r="AC6" i="7"/>
  <c r="AD10" i="7"/>
  <c r="W118" i="7"/>
  <c r="AB10" i="7"/>
  <c r="W1010" i="7"/>
  <c r="W1009" i="7"/>
  <c r="W82" i="7"/>
  <c r="AD9" i="7"/>
  <c r="W1048" i="7"/>
  <c r="W430" i="7"/>
  <c r="W46" i="7"/>
  <c r="W1003" i="7"/>
  <c r="W880" i="7"/>
  <c r="W612" i="7"/>
  <c r="W557" i="7"/>
  <c r="W502" i="7"/>
  <c r="W447" i="7"/>
  <c r="W392" i="7"/>
  <c r="W337" i="7"/>
  <c r="W282" i="7"/>
  <c r="W227" i="7"/>
  <c r="W96" i="7"/>
  <c r="W1145" i="7"/>
  <c r="W1110" i="7"/>
  <c r="W1081" i="7"/>
  <c r="W899" i="7"/>
  <c r="W673" i="7"/>
  <c r="W653" i="7"/>
  <c r="W60" i="7"/>
  <c r="W822" i="7"/>
  <c r="W798" i="7"/>
  <c r="W302" i="7"/>
  <c r="W1129" i="7"/>
  <c r="W466" i="7"/>
  <c r="W319" i="7"/>
  <c r="W1064" i="7"/>
  <c r="W900" i="7"/>
  <c r="W632" i="7"/>
  <c r="W575" i="7"/>
  <c r="W465" i="7"/>
  <c r="W410" i="7"/>
  <c r="W355" i="7"/>
  <c r="W300" i="7"/>
  <c r="W245" i="7"/>
  <c r="W170" i="7"/>
  <c r="W25" i="7"/>
  <c r="W898" i="7"/>
  <c r="W672" i="7"/>
  <c r="W652" i="7"/>
  <c r="W610" i="7"/>
  <c r="W555" i="7"/>
  <c r="W537" i="7"/>
  <c r="W500" i="7"/>
  <c r="W427" i="7"/>
  <c r="W390" i="7"/>
  <c r="W335" i="7"/>
  <c r="W317" i="7"/>
  <c r="W280" i="7"/>
  <c r="W207" i="7"/>
  <c r="W190" i="7"/>
  <c r="W148" i="7"/>
  <c r="W75" i="7"/>
  <c r="W1084" i="7"/>
  <c r="W780" i="7"/>
  <c r="W778" i="7"/>
  <c r="W777" i="7"/>
  <c r="W320" i="7"/>
  <c r="W881" i="7"/>
  <c r="W411" i="7"/>
  <c r="W938" i="7"/>
  <c r="W918" i="7"/>
  <c r="W671" i="7"/>
  <c r="W651" i="7"/>
  <c r="W167" i="7"/>
  <c r="W147" i="7"/>
  <c r="W59" i="7"/>
  <c r="W716" i="7"/>
  <c r="W558" i="7"/>
  <c r="W937" i="7"/>
  <c r="W425" i="7"/>
  <c r="W297" i="7"/>
  <c r="W260" i="7"/>
  <c r="W242" i="7"/>
  <c r="W205" i="7"/>
  <c r="W146" i="7"/>
  <c r="W74" i="7"/>
  <c r="W1065" i="7"/>
  <c r="W484" i="7"/>
  <c r="W670" i="7"/>
  <c r="W1108" i="7"/>
  <c r="W1094" i="7"/>
  <c r="W957" i="7"/>
  <c r="W690" i="7"/>
  <c r="W669" i="7"/>
  <c r="W649" i="7"/>
  <c r="W166" i="7"/>
  <c r="W58" i="7"/>
  <c r="W577" i="7"/>
  <c r="W429" i="7"/>
  <c r="W648" i="7"/>
  <c r="W186" i="7"/>
  <c r="W165" i="7"/>
  <c r="W126" i="7"/>
  <c r="W73" i="7"/>
  <c r="W1028" i="7"/>
  <c r="W758" i="7"/>
  <c r="W841" i="7"/>
  <c r="W1046" i="7"/>
  <c r="W210" i="7"/>
  <c r="W613" i="7"/>
  <c r="W393" i="7"/>
  <c r="W228" i="7"/>
  <c r="W407" i="7"/>
  <c r="W1107" i="7"/>
  <c r="W668" i="7"/>
  <c r="W386" i="7"/>
  <c r="W185" i="7"/>
  <c r="W57" i="7"/>
  <c r="W779" i="7"/>
  <c r="W47" i="7"/>
  <c r="W540" i="7"/>
  <c r="W539" i="7"/>
  <c r="W650" i="7"/>
  <c r="W480" i="7"/>
  <c r="W996" i="7"/>
  <c r="W915" i="7"/>
  <c r="W496" i="7"/>
  <c r="W276" i="7"/>
  <c r="W1121" i="7"/>
  <c r="W995" i="7"/>
  <c r="W975" i="7"/>
  <c r="W955" i="7"/>
  <c r="W851" i="7"/>
  <c r="W688" i="7"/>
  <c r="W88" i="7"/>
  <c r="W1008" i="7"/>
  <c r="W738" i="7"/>
  <c r="W757" i="7"/>
  <c r="W28" i="7"/>
  <c r="W173" i="7"/>
  <c r="W412" i="7"/>
  <c r="W172" i="7"/>
  <c r="W594" i="7"/>
  <c r="W356" i="7"/>
  <c r="W209" i="7"/>
  <c r="W917" i="7"/>
  <c r="W535" i="7"/>
  <c r="W315" i="7"/>
  <c r="W936" i="7"/>
  <c r="W1122" i="7"/>
  <c r="W976" i="7"/>
  <c r="W647" i="7"/>
  <c r="W478" i="7"/>
  <c r="W72" i="7"/>
  <c r="W1106" i="7"/>
  <c r="W1091" i="7"/>
  <c r="W974" i="7"/>
  <c r="W954" i="7"/>
  <c r="W687" i="7"/>
  <c r="W666" i="7"/>
  <c r="W645" i="7"/>
  <c r="W16" i="7"/>
  <c r="W1027" i="7"/>
  <c r="W100" i="7"/>
  <c r="W1083" i="7"/>
  <c r="W99" i="7"/>
  <c r="W984" i="7"/>
  <c r="W797" i="7"/>
  <c r="W301" i="7"/>
  <c r="W793" i="7"/>
  <c r="W352" i="7"/>
  <c r="W956" i="7"/>
  <c r="W588" i="7"/>
  <c r="W294" i="7"/>
  <c r="W1155" i="7"/>
  <c r="W973" i="7"/>
  <c r="W953" i="7"/>
  <c r="W870" i="7"/>
  <c r="W686" i="7"/>
  <c r="W665" i="7"/>
  <c r="W117" i="7"/>
  <c r="W1066" i="7"/>
  <c r="W576" i="7"/>
  <c r="W338" i="7"/>
  <c r="W192" i="7"/>
  <c r="W1160" i="7"/>
  <c r="W691" i="7"/>
  <c r="W462" i="7"/>
  <c r="W689" i="7"/>
  <c r="W1093" i="7"/>
  <c r="W935" i="7"/>
  <c r="W606" i="7"/>
  <c r="W368" i="7"/>
  <c r="W258" i="7"/>
  <c r="W1137" i="7"/>
  <c r="W1013" i="7"/>
  <c r="W972" i="7"/>
  <c r="W786" i="7"/>
  <c r="W622" i="7"/>
  <c r="W34" i="7"/>
  <c r="W15" i="7"/>
  <c r="W1144" i="7"/>
  <c r="W1105" i="7"/>
  <c r="W1063" i="7"/>
  <c r="W910" i="7"/>
  <c r="W872" i="7"/>
  <c r="W624" i="7"/>
  <c r="W605" i="7"/>
  <c r="W587" i="7"/>
  <c r="W495" i="7"/>
  <c r="W477" i="7"/>
  <c r="W385" i="7"/>
  <c r="W367" i="7"/>
  <c r="W275" i="7"/>
  <c r="W257" i="7"/>
  <c r="W184" i="7"/>
  <c r="W164" i="7"/>
  <c r="W70" i="7"/>
  <c r="W12" i="7"/>
  <c r="W1143" i="7"/>
  <c r="W1130" i="7"/>
  <c r="W1092" i="7"/>
  <c r="W1079" i="7"/>
  <c r="W909" i="7"/>
  <c r="W891" i="7"/>
  <c r="W852" i="7"/>
  <c r="W776" i="7"/>
  <c r="W756" i="7"/>
  <c r="W736" i="7"/>
  <c r="W718" i="7"/>
  <c r="W701" i="7"/>
  <c r="W643" i="7"/>
  <c r="W604" i="7"/>
  <c r="W586" i="7"/>
  <c r="W513" i="7"/>
  <c r="W494" i="7"/>
  <c r="W476" i="7"/>
  <c r="W384" i="7"/>
  <c r="W366" i="7"/>
  <c r="W293" i="7"/>
  <c r="W274" i="7"/>
  <c r="W256" i="7"/>
  <c r="W183" i="7"/>
  <c r="W56" i="7"/>
  <c r="W26" i="7"/>
  <c r="W11" i="7"/>
  <c r="W908" i="7"/>
  <c r="W890" i="7"/>
  <c r="W871" i="7"/>
  <c r="W775" i="7"/>
  <c r="W755" i="7"/>
  <c r="W735" i="7"/>
  <c r="W717" i="7"/>
  <c r="W663" i="7"/>
  <c r="W623" i="7"/>
  <c r="W585" i="7"/>
  <c r="W475" i="7"/>
  <c r="W365" i="7"/>
  <c r="W292" i="7"/>
  <c r="W255" i="7"/>
  <c r="W182" i="7"/>
  <c r="W112" i="7"/>
  <c r="W97" i="7"/>
  <c r="W1128" i="7"/>
  <c r="W1039" i="7"/>
  <c r="W1021" i="7"/>
  <c r="W982" i="7"/>
  <c r="W887" i="7"/>
  <c r="W868" i="7"/>
  <c r="W849" i="7"/>
  <c r="W830" i="7"/>
  <c r="W772" i="7"/>
  <c r="W753" i="7"/>
  <c r="W733" i="7"/>
  <c r="W699" i="7"/>
  <c r="W141" i="7"/>
  <c r="W110" i="7"/>
  <c r="W95" i="7"/>
  <c r="W81" i="7"/>
  <c r="W52" i="7"/>
  <c r="W38" i="7"/>
  <c r="W1115" i="7"/>
  <c r="W1020" i="7"/>
  <c r="W1001" i="7"/>
  <c r="W962" i="7"/>
  <c r="W867" i="7"/>
  <c r="W848" i="7"/>
  <c r="W829" i="7"/>
  <c r="W732" i="7"/>
  <c r="W714" i="7"/>
  <c r="W698" i="7"/>
  <c r="W158" i="7"/>
  <c r="W140" i="7"/>
  <c r="W124" i="7"/>
  <c r="W23" i="7"/>
  <c r="W754" i="7"/>
  <c r="W1127" i="7"/>
  <c r="W1019" i="7"/>
  <c r="W1000" i="7"/>
  <c r="W981" i="7"/>
  <c r="W886" i="7"/>
  <c r="W847" i="7"/>
  <c r="W828" i="7"/>
  <c r="W790" i="7"/>
  <c r="W771" i="7"/>
  <c r="W751" i="7"/>
  <c r="W697" i="7"/>
  <c r="W123" i="7"/>
  <c r="W94" i="7"/>
  <c r="W80" i="7"/>
  <c r="W51" i="7"/>
  <c r="W37" i="7"/>
  <c r="W22" i="7"/>
  <c r="W1040" i="7"/>
  <c r="W1152" i="7"/>
  <c r="W1114" i="7"/>
  <c r="W1018" i="7"/>
  <c r="W999" i="7"/>
  <c r="W980" i="7"/>
  <c r="W961" i="7"/>
  <c r="W903" i="7"/>
  <c r="W885" i="7"/>
  <c r="W866" i="7"/>
  <c r="W827" i="7"/>
  <c r="W808" i="7"/>
  <c r="W789" i="7"/>
  <c r="W770" i="7"/>
  <c r="W750" i="7"/>
  <c r="W712" i="7"/>
  <c r="W696" i="7"/>
  <c r="W580" i="7"/>
  <c r="W562" i="7"/>
  <c r="W470" i="7"/>
  <c r="W452" i="7"/>
  <c r="W360" i="7"/>
  <c r="W342" i="7"/>
  <c r="W250" i="7"/>
  <c r="W232" i="7"/>
  <c r="W139" i="7"/>
  <c r="W36" i="7"/>
  <c r="W850" i="7"/>
  <c r="W111" i="7"/>
  <c r="W68" i="7"/>
  <c r="W24" i="7"/>
  <c r="W1099" i="7"/>
  <c r="W1072" i="7"/>
  <c r="W1017" i="7"/>
  <c r="W998" i="7"/>
  <c r="W979" i="7"/>
  <c r="W960" i="7"/>
  <c r="W865" i="7"/>
  <c r="W846" i="7"/>
  <c r="W807" i="7"/>
  <c r="W711" i="7"/>
  <c r="W579" i="7"/>
  <c r="W561" i="7"/>
  <c r="W543" i="7"/>
  <c r="W469" i="7"/>
  <c r="W451" i="7"/>
  <c r="W433" i="7"/>
  <c r="W359" i="7"/>
  <c r="W341" i="7"/>
  <c r="W323" i="7"/>
  <c r="W249" i="7"/>
  <c r="W231" i="7"/>
  <c r="W213" i="7"/>
  <c r="W156" i="7"/>
  <c r="W138" i="7"/>
  <c r="W122" i="7"/>
  <c r="W50" i="7"/>
  <c r="W1116" i="7"/>
  <c r="W983" i="7"/>
  <c r="W869" i="7"/>
  <c r="W1151" i="7"/>
  <c r="W1071" i="7"/>
  <c r="W997" i="7"/>
  <c r="W978" i="7"/>
  <c r="W959" i="7"/>
  <c r="W940" i="7"/>
  <c r="W864" i="7"/>
  <c r="W845" i="7"/>
  <c r="W826" i="7"/>
  <c r="W615" i="7"/>
  <c r="W597" i="7"/>
  <c r="W542" i="7"/>
  <c r="W505" i="7"/>
  <c r="W487" i="7"/>
  <c r="W450" i="7"/>
  <c r="W432" i="7"/>
  <c r="W395" i="7"/>
  <c r="W377" i="7"/>
  <c r="W340" i="7"/>
  <c r="W322" i="7"/>
  <c r="W285" i="7"/>
  <c r="W267" i="7"/>
  <c r="W230" i="7"/>
  <c r="W212" i="7"/>
  <c r="W155" i="7"/>
  <c r="W35" i="7"/>
  <c r="W1103" i="7"/>
  <c r="W888" i="7"/>
  <c r="W125" i="7"/>
  <c r="W1138" i="7"/>
  <c r="W1111" i="7"/>
  <c r="W977" i="7"/>
  <c r="W958" i="7"/>
  <c r="W939" i="7"/>
  <c r="W901" i="7"/>
  <c r="W882" i="7"/>
  <c r="W863" i="7"/>
  <c r="W844" i="7"/>
  <c r="W825" i="7"/>
  <c r="W654" i="7"/>
  <c r="W578" i="7"/>
  <c r="W559" i="7"/>
  <c r="W541" i="7"/>
  <c r="W468" i="7"/>
  <c r="W449" i="7"/>
  <c r="W431" i="7"/>
  <c r="W358" i="7"/>
  <c r="W339" i="7"/>
  <c r="W321" i="7"/>
  <c r="W248" i="7"/>
  <c r="W229" i="7"/>
  <c r="W211" i="7"/>
  <c r="W154" i="7"/>
  <c r="W4" i="7"/>
  <c r="W737" i="7"/>
  <c r="W719" i="7"/>
  <c r="W702" i="7"/>
  <c r="W685" i="7"/>
  <c r="W667" i="7"/>
  <c r="W629" i="7"/>
  <c r="W611" i="7"/>
  <c r="W593" i="7"/>
  <c r="W556" i="7"/>
  <c r="W538" i="7"/>
  <c r="W519" i="7"/>
  <c r="W483" i="7"/>
  <c r="W464" i="7"/>
  <c r="W446" i="7"/>
  <c r="W428" i="7"/>
  <c r="W409" i="7"/>
  <c r="W391" i="7"/>
  <c r="W354" i="7"/>
  <c r="W336" i="7"/>
  <c r="W318" i="7"/>
  <c r="W299" i="7"/>
  <c r="W263" i="7"/>
  <c r="W244" i="7"/>
  <c r="W208" i="7"/>
  <c r="W191" i="7"/>
  <c r="W153" i="7"/>
  <c r="W137" i="7"/>
  <c r="W121" i="7"/>
  <c r="W896" i="7"/>
  <c r="W784" i="7"/>
  <c r="W621" i="7"/>
  <c r="W493" i="7"/>
  <c r="W346" i="7"/>
  <c r="W163" i="7"/>
  <c r="W1125" i="7"/>
  <c r="W933" i="7"/>
  <c r="W914" i="7"/>
  <c r="W821" i="7"/>
  <c r="W802" i="7"/>
  <c r="W710" i="7"/>
  <c r="W695" i="7"/>
  <c r="W603" i="7"/>
  <c r="W584" i="7"/>
  <c r="W566" i="7"/>
  <c r="W474" i="7"/>
  <c r="W456" i="7"/>
  <c r="W383" i="7"/>
  <c r="W364" i="7"/>
  <c r="W273" i="7"/>
  <c r="W254" i="7"/>
  <c r="W236" i="7"/>
  <c r="W145" i="7"/>
  <c r="W55" i="7"/>
  <c r="W1159" i="7"/>
  <c r="W1136" i="7"/>
  <c r="W1113" i="7"/>
  <c r="W1078" i="7"/>
  <c r="W1025" i="7"/>
  <c r="W969" i="7"/>
  <c r="W932" i="7"/>
  <c r="W820" i="7"/>
  <c r="W783" i="7"/>
  <c r="W764" i="7"/>
  <c r="W694" i="7"/>
  <c r="W676" i="7"/>
  <c r="W602" i="7"/>
  <c r="W565" i="7"/>
  <c r="W492" i="7"/>
  <c r="W455" i="7"/>
  <c r="W382" i="7"/>
  <c r="W345" i="7"/>
  <c r="W272" i="7"/>
  <c r="W235" i="7"/>
  <c r="W162" i="7"/>
  <c r="W144" i="7"/>
  <c r="W103" i="7"/>
  <c r="W79" i="7"/>
  <c r="W67" i="7"/>
  <c r="W30" i="7"/>
  <c r="W1147" i="7"/>
  <c r="W1101" i="7"/>
  <c r="W1077" i="7"/>
  <c r="W1024" i="7"/>
  <c r="W1006" i="7"/>
  <c r="W931" i="7"/>
  <c r="W912" i="7"/>
  <c r="W894" i="7"/>
  <c r="W819" i="7"/>
  <c r="W801" i="7"/>
  <c r="W782" i="7"/>
  <c r="W763" i="7"/>
  <c r="W709" i="7"/>
  <c r="W675" i="7"/>
  <c r="W601" i="7"/>
  <c r="W583" i="7"/>
  <c r="W564" i="7"/>
  <c r="W491" i="7"/>
  <c r="W473" i="7"/>
  <c r="W454" i="7"/>
  <c r="W381" i="7"/>
  <c r="W363" i="7"/>
  <c r="W344" i="7"/>
  <c r="W271" i="7"/>
  <c r="W253" i="7"/>
  <c r="W234" i="7"/>
  <c r="W198" i="7"/>
  <c r="W66" i="7"/>
  <c r="W1158" i="7"/>
  <c r="W1135" i="7"/>
  <c r="W1112" i="7"/>
  <c r="W1076" i="7"/>
  <c r="W1042" i="7"/>
  <c r="W930" i="7"/>
  <c r="W893" i="7"/>
  <c r="W874" i="7"/>
  <c r="W800" i="7"/>
  <c r="W762" i="7"/>
  <c r="W693" i="7"/>
  <c r="W674" i="7"/>
  <c r="W600" i="7"/>
  <c r="W582" i="7"/>
  <c r="W490" i="7"/>
  <c r="W472" i="7"/>
  <c r="W380" i="7"/>
  <c r="W362" i="7"/>
  <c r="W270" i="7"/>
  <c r="W252" i="7"/>
  <c r="W161" i="7"/>
  <c r="W143" i="7"/>
  <c r="W114" i="7"/>
  <c r="W102" i="7"/>
  <c r="W90" i="7"/>
  <c r="W78" i="7"/>
  <c r="W53" i="7"/>
  <c r="W29" i="7"/>
  <c r="W1123" i="7"/>
  <c r="W1100" i="7"/>
  <c r="W1075" i="7"/>
  <c r="W1041" i="7"/>
  <c r="W1022" i="7"/>
  <c r="W1004" i="7"/>
  <c r="W929" i="7"/>
  <c r="W911" i="7"/>
  <c r="W892" i="7"/>
  <c r="W799" i="7"/>
  <c r="W781" i="7"/>
  <c r="W692" i="7"/>
  <c r="W599" i="7"/>
  <c r="W581" i="7"/>
  <c r="W563" i="7"/>
  <c r="W544" i="7"/>
  <c r="W471" i="7"/>
  <c r="W453" i="7"/>
  <c r="W434" i="7"/>
  <c r="W361" i="7"/>
  <c r="W343" i="7"/>
  <c r="W324" i="7"/>
  <c r="W251" i="7"/>
  <c r="W233" i="7"/>
  <c r="W214" i="7"/>
  <c r="W160" i="7"/>
  <c r="W142" i="7"/>
  <c r="W77" i="7"/>
  <c r="W1062" i="7"/>
  <c r="W1044" i="7"/>
  <c r="W1026" i="7"/>
  <c r="W1007" i="7"/>
  <c r="W989" i="7"/>
  <c r="W971" i="7"/>
  <c r="W952" i="7"/>
  <c r="W934" i="7"/>
  <c r="W916" i="7"/>
  <c r="W897" i="7"/>
  <c r="W861" i="7"/>
  <c r="W842" i="7"/>
  <c r="W824" i="7"/>
  <c r="W806" i="7"/>
  <c r="W787" i="7"/>
  <c r="W769" i="7"/>
  <c r="W752" i="7"/>
  <c r="W734" i="7"/>
  <c r="W715" i="7"/>
  <c r="W700" i="7"/>
  <c r="W664" i="7"/>
  <c r="W646" i="7"/>
  <c r="W609" i="7"/>
  <c r="W591" i="7"/>
  <c r="W573" i="7"/>
  <c r="W554" i="7"/>
  <c r="W536" i="7"/>
  <c r="W518" i="7"/>
  <c r="W499" i="7"/>
  <c r="W481" i="7"/>
  <c r="W463" i="7"/>
  <c r="W444" i="7"/>
  <c r="W426" i="7"/>
  <c r="W408" i="7"/>
  <c r="W389" i="7"/>
  <c r="W371" i="7"/>
  <c r="W353" i="7"/>
  <c r="W334" i="7"/>
  <c r="W316" i="7"/>
  <c r="W298" i="7"/>
  <c r="W279" i="7"/>
  <c r="W243" i="7"/>
  <c r="W206" i="7"/>
  <c r="W189" i="7"/>
  <c r="W171" i="7"/>
  <c r="W136" i="7"/>
  <c r="AD8" i="7"/>
  <c r="AC10" i="7"/>
  <c r="W644" i="7"/>
  <c r="W626" i="7"/>
  <c r="W608" i="7"/>
  <c r="W571" i="7"/>
  <c r="W553" i="7"/>
  <c r="W534" i="7"/>
  <c r="W516" i="7"/>
  <c r="W498" i="7"/>
  <c r="W479" i="7"/>
  <c r="W461" i="7"/>
  <c r="W443" i="7"/>
  <c r="W388" i="7"/>
  <c r="W369" i="7"/>
  <c r="W351" i="7"/>
  <c r="W333" i="7"/>
  <c r="W314" i="7"/>
  <c r="W296" i="7"/>
  <c r="W259" i="7"/>
  <c r="W241" i="7"/>
  <c r="W223" i="7"/>
  <c r="W204" i="7"/>
  <c r="W187" i="7"/>
  <c r="W169" i="7"/>
  <c r="W135" i="7"/>
  <c r="AD6" i="7"/>
  <c r="W1153" i="7"/>
  <c r="W1131" i="7"/>
  <c r="W1109" i="7"/>
  <c r="W1023" i="7"/>
  <c r="W1005" i="7"/>
  <c r="W913" i="7"/>
  <c r="W895" i="7"/>
  <c r="W785" i="7"/>
  <c r="W731" i="7"/>
  <c r="W713" i="7"/>
  <c r="W625" i="7"/>
  <c r="W607" i="7"/>
  <c r="W515" i="7"/>
  <c r="W497" i="7"/>
  <c r="W405" i="7"/>
  <c r="W387" i="7"/>
  <c r="W295" i="7"/>
  <c r="W277" i="7"/>
  <c r="W168" i="7"/>
  <c r="W120" i="7"/>
  <c r="W98" i="7"/>
  <c r="W54" i="7"/>
  <c r="W32" i="7"/>
  <c r="AD5" i="7"/>
  <c r="W1061" i="7"/>
  <c r="W970" i="7"/>
  <c r="W878" i="7"/>
  <c r="W683" i="7"/>
  <c r="W682" i="7"/>
  <c r="W681" i="7"/>
  <c r="W677" i="7"/>
  <c r="W1057" i="7"/>
  <c r="W512" i="7"/>
  <c r="W403" i="7"/>
  <c r="W278" i="7"/>
  <c r="W424" i="7"/>
  <c r="W1156" i="7"/>
  <c r="W220" i="7"/>
  <c r="W1154" i="7"/>
  <c r="W203" i="7"/>
  <c r="W1133" i="7"/>
  <c r="W1132" i="7"/>
  <c r="W9" i="7"/>
  <c r="W501" i="7"/>
  <c r="W1090" i="7"/>
  <c r="W8" i="7"/>
  <c r="W503" i="7"/>
  <c r="W445" i="7"/>
  <c r="W1089" i="7"/>
  <c r="W1088" i="7"/>
  <c r="W423" i="7"/>
  <c r="W951" i="7"/>
  <c r="W422" i="7"/>
  <c r="W950" i="7"/>
  <c r="W406" i="7"/>
  <c r="W879" i="7"/>
  <c r="W404" i="7"/>
  <c r="W877" i="7"/>
  <c r="W873" i="7"/>
  <c r="W262" i="7"/>
  <c r="W860" i="7"/>
  <c r="W261" i="7"/>
  <c r="W768" i="7"/>
  <c r="W226" i="7"/>
  <c r="W448" i="7"/>
  <c r="W767" i="7"/>
  <c r="W225" i="7"/>
  <c r="W1162" i="7"/>
  <c r="W765" i="7"/>
  <c r="W224" i="7"/>
  <c r="W1157" i="7"/>
  <c r="W684" i="7"/>
  <c r="W222" i="7"/>
  <c r="W631" i="7"/>
  <c r="W1047" i="7"/>
  <c r="W859" i="7"/>
  <c r="W630" i="7"/>
  <c r="W402" i="7"/>
  <c r="W152" i="7"/>
  <c r="W1045" i="7"/>
  <c r="W840" i="7"/>
  <c r="W628" i="7"/>
  <c r="W374" i="7"/>
  <c r="W151" i="7"/>
  <c r="W1043" i="7"/>
  <c r="W839" i="7"/>
  <c r="W627" i="7"/>
  <c r="W373" i="7"/>
  <c r="W195" i="7"/>
  <c r="W1002" i="7"/>
  <c r="W809" i="7"/>
  <c r="W574" i="7"/>
  <c r="W370" i="7"/>
  <c r="W92" i="7"/>
  <c r="W862" i="7"/>
  <c r="W993" i="7"/>
  <c r="W572" i="7"/>
  <c r="W992" i="7"/>
  <c r="W570" i="7"/>
  <c r="W89" i="7"/>
  <c r="W991" i="7"/>
  <c r="W560" i="7"/>
  <c r="W990" i="7"/>
  <c r="W988" i="7"/>
  <c r="W803" i="7"/>
  <c r="W310" i="7"/>
  <c r="W76" i="7"/>
  <c r="W987" i="7"/>
  <c r="W791" i="7"/>
  <c r="W283" i="7"/>
  <c r="W1163" i="7"/>
  <c r="W788" i="7"/>
  <c r="W281" i="7"/>
  <c r="W45" i="7"/>
  <c r="W922" i="7"/>
  <c r="W1014" i="7"/>
  <c r="W218" i="7"/>
  <c r="W399" i="7"/>
  <c r="W1082" i="7"/>
  <c r="W923" i="7"/>
  <c r="W415" i="7"/>
  <c r="W1032" i="7"/>
  <c r="W635" i="7"/>
  <c r="W507" i="7"/>
  <c r="W287" i="7"/>
  <c r="W127" i="7"/>
  <c r="W71" i="7"/>
  <c r="W941" i="7"/>
  <c r="W1124" i="7"/>
  <c r="W920" i="7"/>
  <c r="W595" i="7"/>
  <c r="W175" i="7"/>
  <c r="W569" i="7"/>
  <c r="W196" i="7"/>
  <c r="R3" i="7"/>
  <c r="W486" i="7"/>
  <c r="W193" i="7"/>
  <c r="W1056" i="7"/>
  <c r="W946" i="7"/>
  <c r="W836" i="7"/>
  <c r="W401" i="7"/>
  <c r="W309" i="7"/>
  <c r="W1095" i="7"/>
  <c r="W944" i="7"/>
  <c r="W834" i="7"/>
  <c r="W216" i="7"/>
  <c r="W815" i="7"/>
  <c r="W706" i="7"/>
  <c r="W655" i="7"/>
  <c r="W545" i="7"/>
  <c r="W1016" i="7"/>
  <c r="W924" i="7"/>
  <c r="W128" i="7"/>
  <c r="W1051" i="7"/>
  <c r="W1087" i="7"/>
  <c r="W766" i="7"/>
  <c r="W328" i="7"/>
  <c r="W199" i="7"/>
  <c r="W835" i="7"/>
  <c r="W925" i="7"/>
  <c r="W313" i="7"/>
  <c r="W1037" i="7"/>
  <c r="W658" i="7"/>
  <c r="W548" i="7"/>
  <c r="W1055" i="7"/>
  <c r="W708" i="7"/>
  <c r="W657" i="7"/>
  <c r="W510" i="7"/>
  <c r="W7" i="7"/>
  <c r="W816" i="7"/>
  <c r="W289" i="7"/>
  <c r="W418" i="7"/>
  <c r="W637" i="7"/>
  <c r="W435" i="7"/>
  <c r="W129" i="7"/>
  <c r="W17" i="7"/>
  <c r="W906" i="7"/>
  <c r="W705" i="7"/>
  <c r="W636" i="7"/>
  <c r="W306" i="7"/>
  <c r="W1033" i="7"/>
  <c r="W905" i="7"/>
  <c r="W723" i="7"/>
  <c r="W397" i="7"/>
  <c r="W5" i="7"/>
  <c r="W506" i="7"/>
  <c r="W703" i="7"/>
  <c r="W266" i="7"/>
  <c r="W1086" i="7"/>
  <c r="W312" i="7"/>
  <c r="W308" i="7"/>
  <c r="W1030" i="7"/>
  <c r="W1060" i="7"/>
  <c r="W876" i="7"/>
  <c r="W116" i="7"/>
  <c r="W419" i="7"/>
  <c r="W726" i="7"/>
  <c r="W400" i="7"/>
  <c r="W217" i="7"/>
  <c r="W744" i="7"/>
  <c r="W528" i="7"/>
  <c r="W833" i="7"/>
  <c r="W1052" i="7"/>
  <c r="W814" i="7"/>
  <c r="W724" i="7"/>
  <c r="W398" i="7"/>
  <c r="W269" i="7"/>
  <c r="W813" i="7"/>
  <c r="W115" i="7"/>
  <c r="W27" i="7"/>
  <c r="W616" i="7"/>
  <c r="W177" i="7"/>
  <c r="W1012" i="7"/>
  <c r="W504" i="7"/>
  <c r="W376" i="7"/>
  <c r="W176" i="7"/>
  <c r="W773" i="7"/>
  <c r="W485" i="7"/>
  <c r="W375" i="7"/>
  <c r="W1102" i="7"/>
  <c r="W3" i="7"/>
  <c r="W1142" i="7"/>
  <c r="W1120" i="7"/>
  <c r="W1098" i="7"/>
  <c r="W968" i="7"/>
  <c r="W858" i="7"/>
  <c r="W662" i="7"/>
  <c r="W552" i="7"/>
  <c r="W460" i="7"/>
  <c r="W442" i="7"/>
  <c r="W350" i="7"/>
  <c r="W332" i="7"/>
  <c r="W240" i="7"/>
  <c r="W150" i="7"/>
  <c r="W109" i="7"/>
  <c r="W87" i="7"/>
  <c r="W65" i="7"/>
  <c r="W43" i="7"/>
  <c r="W21" i="7"/>
  <c r="W10" i="7"/>
  <c r="W1059" i="7"/>
  <c r="W875" i="7"/>
  <c r="W108" i="7"/>
  <c r="W743" i="7"/>
  <c r="W596" i="7"/>
  <c r="W149" i="7"/>
  <c r="W134" i="7"/>
  <c r="W927" i="7"/>
  <c r="W817" i="7"/>
  <c r="W511" i="7"/>
  <c r="W1139" i="7"/>
  <c r="W945" i="7"/>
  <c r="W620" i="7"/>
  <c r="W437" i="7"/>
  <c r="W327" i="7"/>
  <c r="W84" i="7"/>
  <c r="W62" i="7"/>
  <c r="W18" i="7"/>
  <c r="W1054" i="7"/>
  <c r="W725" i="7"/>
  <c r="W638" i="7"/>
  <c r="W436" i="7"/>
  <c r="W181" i="7"/>
  <c r="W1053" i="7"/>
  <c r="W527" i="7"/>
  <c r="W325" i="7"/>
  <c r="W307" i="7"/>
  <c r="W215" i="7"/>
  <c r="W105" i="7"/>
  <c r="W796" i="7"/>
  <c r="W489" i="7"/>
  <c r="W288" i="7"/>
  <c r="W1126" i="7"/>
  <c r="W1015" i="7"/>
  <c r="W795" i="7"/>
  <c r="W617" i="7"/>
  <c r="W525" i="7"/>
  <c r="W178" i="7"/>
  <c r="W524" i="7"/>
  <c r="W994" i="7"/>
  <c r="W1080" i="7"/>
  <c r="W1141" i="7"/>
  <c r="W1119" i="7"/>
  <c r="W1097" i="7"/>
  <c r="W1073" i="7"/>
  <c r="W1058" i="7"/>
  <c r="W985" i="7"/>
  <c r="W948" i="7"/>
  <c r="W838" i="7"/>
  <c r="W748" i="7"/>
  <c r="W660" i="7"/>
  <c r="W642" i="7"/>
  <c r="W550" i="7"/>
  <c r="W532" i="7"/>
  <c r="W440" i="7"/>
  <c r="W330" i="7"/>
  <c r="W202" i="7"/>
  <c r="W86" i="7"/>
  <c r="W64" i="7"/>
  <c r="W42" i="7"/>
  <c r="W20" i="7"/>
  <c r="W680" i="7"/>
  <c r="W93" i="7"/>
  <c r="W964" i="7"/>
  <c r="W854" i="7"/>
  <c r="W745" i="7"/>
  <c r="W639" i="7"/>
  <c r="W529" i="7"/>
  <c r="W131" i="7"/>
  <c r="W963" i="7"/>
  <c r="W853" i="7"/>
  <c r="W547" i="7"/>
  <c r="W106" i="7"/>
  <c r="W656" i="7"/>
  <c r="W546" i="7"/>
  <c r="W130" i="7"/>
  <c r="W417" i="7"/>
  <c r="W1034" i="7"/>
  <c r="W508" i="7"/>
  <c r="W379" i="7"/>
  <c r="W831" i="7"/>
  <c r="W812" i="7"/>
  <c r="W794" i="7"/>
  <c r="W704" i="7"/>
  <c r="W634" i="7"/>
  <c r="W598" i="7"/>
  <c r="W488" i="7"/>
  <c r="W396" i="7"/>
  <c r="W378" i="7"/>
  <c r="W304" i="7"/>
  <c r="W286" i="7"/>
  <c r="W268" i="7"/>
  <c r="W1031" i="7"/>
  <c r="W921" i="7"/>
  <c r="W884" i="7"/>
  <c r="W811" i="7"/>
  <c r="W792" i="7"/>
  <c r="W774" i="7"/>
  <c r="W633" i="7"/>
  <c r="W614" i="7"/>
  <c r="W523" i="7"/>
  <c r="W413" i="7"/>
  <c r="W394" i="7"/>
  <c r="W284" i="7"/>
  <c r="W194" i="7"/>
  <c r="W1146" i="7"/>
  <c r="W883" i="7"/>
  <c r="W467" i="7"/>
  <c r="W357" i="7"/>
  <c r="W91" i="7"/>
  <c r="W1074" i="7"/>
  <c r="W986" i="7"/>
  <c r="W949" i="7"/>
  <c r="W749" i="7"/>
  <c r="W730" i="7"/>
  <c r="W661" i="7"/>
  <c r="W551" i="7"/>
  <c r="W459" i="7"/>
  <c r="W441" i="7"/>
  <c r="W349" i="7"/>
  <c r="W331" i="7"/>
  <c r="W239" i="7"/>
  <c r="W221" i="7"/>
  <c r="W966" i="7"/>
  <c r="W947" i="7"/>
  <c r="W856" i="7"/>
  <c r="W837" i="7"/>
  <c r="W747" i="7"/>
  <c r="W729" i="7"/>
  <c r="W659" i="7"/>
  <c r="W641" i="7"/>
  <c r="W568" i="7"/>
  <c r="W549" i="7"/>
  <c r="W531" i="7"/>
  <c r="W458" i="7"/>
  <c r="W439" i="7"/>
  <c r="W421" i="7"/>
  <c r="W348" i="7"/>
  <c r="W329" i="7"/>
  <c r="W311" i="7"/>
  <c r="W238" i="7"/>
  <c r="W219" i="7"/>
  <c r="W201" i="7"/>
  <c r="W133" i="7"/>
  <c r="W679" i="7"/>
  <c r="W727" i="7"/>
  <c r="W438" i="7"/>
  <c r="W291" i="7"/>
  <c r="W1161" i="7"/>
  <c r="W1117" i="7"/>
  <c r="W290" i="7"/>
  <c r="W40" i="7"/>
  <c r="W1036" i="7"/>
  <c r="W926" i="7"/>
  <c r="W707" i="7"/>
  <c r="W619" i="7"/>
  <c r="W509" i="7"/>
  <c r="W326" i="7"/>
  <c r="W1035" i="7"/>
  <c r="W943" i="7"/>
  <c r="W180" i="7"/>
  <c r="W83" i="7"/>
  <c r="W61" i="7"/>
  <c r="W39" i="7"/>
  <c r="W6" i="7"/>
  <c r="W942" i="7"/>
  <c r="W832" i="7"/>
  <c r="W618" i="7"/>
  <c r="W526" i="7"/>
  <c r="W416" i="7"/>
  <c r="W179" i="7"/>
  <c r="W1148" i="7"/>
  <c r="W1104" i="7"/>
  <c r="W305" i="7"/>
  <c r="W49" i="7"/>
  <c r="W904" i="7"/>
  <c r="W722" i="7"/>
  <c r="W414" i="7"/>
  <c r="W159" i="7"/>
  <c r="W902" i="7"/>
  <c r="W303" i="7"/>
  <c r="W157" i="7"/>
  <c r="W810" i="7"/>
  <c r="W247" i="7"/>
  <c r="W113" i="7"/>
  <c r="W69" i="7"/>
  <c r="W197" i="7"/>
  <c r="W967" i="7"/>
  <c r="W857" i="7"/>
  <c r="W533" i="7"/>
  <c r="W1140" i="7"/>
  <c r="W1118" i="7"/>
  <c r="W1096" i="7"/>
  <c r="W1038" i="7"/>
  <c r="W965" i="7"/>
  <c r="W928" i="7"/>
  <c r="W855" i="7"/>
  <c r="W818" i="7"/>
  <c r="W746" i="7"/>
  <c r="W728" i="7"/>
  <c r="W640" i="7"/>
  <c r="W567" i="7"/>
  <c r="W530" i="7"/>
  <c r="W457" i="7"/>
  <c r="W420" i="7"/>
  <c r="W347" i="7"/>
  <c r="W237" i="7"/>
  <c r="W200" i="7"/>
  <c r="W132" i="7"/>
  <c r="W107" i="7"/>
  <c r="W85" i="7"/>
  <c r="W63" i="7"/>
  <c r="W41" i="7"/>
  <c r="W19" i="7"/>
  <c r="W678" i="7"/>
  <c r="W265" i="7"/>
  <c r="W372" i="7"/>
  <c r="W264" i="7"/>
  <c r="W174" i="7"/>
  <c r="W44" i="7"/>
  <c r="W482" i="7"/>
  <c r="W919" i="7"/>
  <c r="W592" i="7"/>
  <c r="W590" i="7"/>
  <c r="W589" i="7"/>
  <c r="P3" i="7"/>
  <c r="N3" i="7"/>
  <c r="O3" i="7"/>
  <c r="Q848" i="7" l="1"/>
  <c r="Q666" i="7"/>
  <c r="Q280" i="7"/>
  <c r="Q489" i="7"/>
  <c r="Q352" i="7"/>
  <c r="Q554" i="7"/>
  <c r="Q169" i="7"/>
  <c r="Q106" i="7"/>
  <c r="Q1020" i="7"/>
  <c r="Q41" i="7"/>
  <c r="Q604" i="7"/>
  <c r="Q326" i="7"/>
  <c r="Q60" i="7"/>
  <c r="Q1143" i="7"/>
  <c r="Q422" i="7"/>
  <c r="Q182" i="7"/>
  <c r="Q732" i="7"/>
  <c r="Q256" i="7"/>
  <c r="Q960" i="7"/>
  <c r="Q919" i="7"/>
  <c r="Q199" i="7"/>
  <c r="Q1031" i="7"/>
  <c r="Q46" i="7"/>
  <c r="Q226" i="7"/>
  <c r="Q206" i="7"/>
  <c r="Q796" i="7"/>
  <c r="Q981" i="7"/>
  <c r="Q298" i="7"/>
  <c r="Q880" i="7"/>
  <c r="Q697" i="7"/>
  <c r="Q130" i="7"/>
  <c r="Q955" i="7"/>
  <c r="Q943" i="7"/>
  <c r="Q640" i="7"/>
  <c r="Q166" i="7"/>
  <c r="Q923" i="7"/>
  <c r="Q975" i="7"/>
  <c r="Q690" i="7"/>
  <c r="Q782" i="7"/>
  <c r="Q81" i="7"/>
  <c r="Q496" i="7"/>
  <c r="Q504" i="7"/>
  <c r="Q1016" i="7"/>
  <c r="Q429" i="7"/>
  <c r="Q520" i="7"/>
  <c r="Q120" i="7"/>
  <c r="Q323" i="7"/>
  <c r="Q219" i="7"/>
  <c r="Q866" i="7"/>
  <c r="Q454" i="7"/>
  <c r="Q818" i="7"/>
  <c r="Q757" i="7"/>
  <c r="Q612" i="7"/>
  <c r="Q507" i="7"/>
  <c r="Q322" i="7"/>
  <c r="Q471" i="7"/>
  <c r="Q529" i="7"/>
  <c r="Q308" i="7"/>
  <c r="Q435" i="7"/>
  <c r="Q302" i="7"/>
  <c r="Q118" i="7"/>
  <c r="Q34" i="7"/>
  <c r="Q1153" i="7"/>
  <c r="Q1140" i="7"/>
  <c r="Q211" i="7"/>
  <c r="Q55" i="7"/>
  <c r="Q1092" i="7"/>
  <c r="Q1095" i="7"/>
  <c r="Q689" i="7"/>
  <c r="Q311" i="7"/>
  <c r="Q547" i="7"/>
  <c r="Q205" i="7"/>
  <c r="Q936" i="7"/>
  <c r="Q753" i="7"/>
  <c r="Q241" i="7"/>
  <c r="Q639" i="7"/>
  <c r="Q158" i="7"/>
  <c r="Q82" i="7"/>
  <c r="Q27" i="7"/>
  <c r="Q1091" i="7"/>
  <c r="Q869" i="7"/>
  <c r="Q337" i="7"/>
  <c r="Q841" i="7"/>
  <c r="Q898" i="7"/>
  <c r="Q1026" i="7"/>
  <c r="Q831" i="7"/>
  <c r="Q760" i="7"/>
  <c r="Q905" i="7"/>
  <c r="Q1100" i="7"/>
  <c r="Q500" i="7"/>
  <c r="Q442" i="7"/>
  <c r="Q789" i="7"/>
  <c r="Q661" i="7"/>
  <c r="Q230" i="7"/>
  <c r="Q377" i="7"/>
  <c r="Q255" i="7"/>
  <c r="Q396" i="7"/>
  <c r="Q24" i="7"/>
  <c r="Q1136" i="7"/>
  <c r="Q177" i="7"/>
  <c r="Q910" i="7"/>
  <c r="Q847" i="7"/>
  <c r="Q878" i="7"/>
  <c r="Q485" i="7"/>
  <c r="Q573" i="7"/>
  <c r="Q421" i="7"/>
  <c r="Q101" i="7"/>
  <c r="Q693" i="7"/>
  <c r="Q741" i="7"/>
  <c r="Q798" i="7"/>
  <c r="Q1043" i="7"/>
  <c r="Q750" i="7"/>
  <c r="Q1018" i="7"/>
  <c r="Q773" i="7"/>
  <c r="Q415" i="7"/>
  <c r="Q437" i="7"/>
  <c r="Q376" i="7"/>
  <c r="Q165" i="7"/>
  <c r="Q127" i="7"/>
  <c r="Q385" i="7"/>
  <c r="Q217" i="7"/>
  <c r="Q73" i="7"/>
  <c r="Q236" i="7"/>
  <c r="Q939" i="7"/>
  <c r="Q889" i="7"/>
  <c r="Q1155" i="7"/>
  <c r="Q855" i="7"/>
  <c r="Q1021" i="7"/>
  <c r="Q765" i="7"/>
  <c r="Q439" i="7"/>
  <c r="Q1154" i="7"/>
  <c r="Q1078" i="7"/>
  <c r="Q1049" i="7"/>
  <c r="Q887" i="7"/>
  <c r="Q1068" i="7"/>
  <c r="Q821" i="7"/>
  <c r="Q768" i="7"/>
  <c r="Q351" i="7"/>
  <c r="Q637" i="7"/>
  <c r="Q221" i="7"/>
  <c r="Q995" i="7"/>
  <c r="Q242" i="7"/>
  <c r="Q457" i="7"/>
  <c r="Q103" i="7"/>
  <c r="Q1175" i="7"/>
  <c r="Q801" i="7"/>
  <c r="Q288" i="7"/>
  <c r="Q772" i="7"/>
  <c r="Q512" i="7"/>
  <c r="Q8" i="7"/>
  <c r="Q871" i="7"/>
  <c r="Q358" i="7"/>
  <c r="Q838" i="7"/>
  <c r="Q683" i="7"/>
  <c r="Q713" i="7"/>
  <c r="Q289" i="7"/>
  <c r="Q18" i="7"/>
  <c r="Q91" i="7"/>
  <c r="Q845" i="7"/>
  <c r="Q949" i="7"/>
  <c r="Q112" i="7"/>
  <c r="Q940" i="7"/>
  <c r="Q333" i="7"/>
  <c r="Q1067" i="7"/>
  <c r="Q992" i="7"/>
  <c r="Q1165" i="7"/>
  <c r="Q1129" i="7"/>
  <c r="Q198" i="7"/>
  <c r="Q313" i="7"/>
  <c r="Q72" i="7"/>
  <c r="Q580" i="7"/>
  <c r="Q315" i="7"/>
  <c r="Q607" i="7"/>
  <c r="Q856" i="7"/>
  <c r="Q897" i="7"/>
  <c r="Q684" i="7"/>
  <c r="Q560" i="7"/>
  <c r="Q533" i="7"/>
  <c r="Q426" i="7"/>
  <c r="Q793" i="7"/>
  <c r="Q1141" i="7"/>
  <c r="Q613" i="7"/>
  <c r="Q366" i="7"/>
  <c r="Q391" i="7"/>
  <c r="Q153" i="7"/>
  <c r="Q267" i="7"/>
  <c r="Q562" i="7"/>
  <c r="Q486" i="7"/>
  <c r="Q270" i="7"/>
  <c r="Q108" i="7"/>
  <c r="Q617" i="7"/>
  <c r="Q476" i="7"/>
  <c r="Q972" i="7"/>
  <c r="Q460" i="7"/>
  <c r="Q470" i="7"/>
  <c r="Q739" i="7"/>
  <c r="Q802" i="7"/>
  <c r="Q925" i="7"/>
  <c r="Q51" i="7"/>
  <c r="Q908" i="7"/>
  <c r="Q163" i="7"/>
  <c r="Q224" i="7"/>
  <c r="Q1017" i="7"/>
  <c r="Q237" i="7"/>
  <c r="Q469" i="7"/>
  <c r="Q985" i="7"/>
  <c r="Q899" i="7"/>
  <c r="Q304" i="7"/>
  <c r="Q451" i="7"/>
  <c r="Q1054" i="7"/>
  <c r="Q799" i="7"/>
  <c r="Q1040" i="7"/>
  <c r="Q1171" i="7"/>
  <c r="Q647" i="7"/>
  <c r="Q634" i="7"/>
  <c r="Q638" i="7"/>
  <c r="Q721" i="7"/>
  <c r="Q433" i="7"/>
  <c r="Q867" i="7"/>
  <c r="Q642" i="7"/>
  <c r="Q629" i="7"/>
  <c r="Q223" i="7"/>
  <c r="Q441" i="7"/>
  <c r="Q172" i="7"/>
  <c r="Q227" i="7"/>
  <c r="Q571" i="7"/>
  <c r="Q294" i="7"/>
  <c r="Q427" i="7"/>
  <c r="Q20" i="7"/>
  <c r="Q1086" i="7"/>
  <c r="Q395" i="7"/>
  <c r="Q505" i="7"/>
  <c r="Q980" i="7"/>
  <c r="Q860" i="7"/>
  <c r="Q287" i="7"/>
  <c r="Q1074" i="7"/>
  <c r="Q771" i="7"/>
  <c r="Q957" i="7"/>
  <c r="Q901" i="7"/>
  <c r="Q775" i="7"/>
  <c r="Q921" i="7"/>
  <c r="Q781" i="7"/>
  <c r="Q836" i="7"/>
  <c r="Q556" i="7"/>
  <c r="Q340" i="7"/>
  <c r="Q537" i="7"/>
  <c r="Q9" i="7"/>
  <c r="Q155" i="7"/>
  <c r="Q71" i="7"/>
  <c r="Q649" i="7"/>
  <c r="Q317" i="7"/>
  <c r="Q238" i="7"/>
  <c r="Q658" i="7"/>
  <c r="Q1082" i="7"/>
  <c r="Q1070" i="7"/>
  <c r="Q692" i="7"/>
  <c r="Q657" i="7"/>
  <c r="Q488" i="7"/>
  <c r="Q272" i="7"/>
  <c r="Q83" i="7"/>
  <c r="Q428" i="7"/>
  <c r="Q161" i="7"/>
  <c r="Q530" i="7"/>
  <c r="Q331" i="7"/>
  <c r="Q371" i="7"/>
  <c r="Q339" i="7"/>
  <c r="Q31" i="7"/>
  <c r="Q328" i="7"/>
  <c r="Q197" i="7"/>
  <c r="Q419" i="7"/>
  <c r="Q139" i="7"/>
  <c r="Q635" i="7"/>
  <c r="Q1128" i="7"/>
  <c r="Q516" i="7"/>
  <c r="Q1156" i="7"/>
  <c r="Q281" i="7"/>
  <c r="Q570" i="7"/>
  <c r="Q306" i="7"/>
  <c r="Q482" i="7"/>
  <c r="Q754" i="7"/>
  <c r="Q424" i="7"/>
  <c r="Q345" i="7"/>
  <c r="Q32" i="7"/>
  <c r="Q359" i="7"/>
  <c r="Q324" i="7"/>
  <c r="Q123" i="7"/>
  <c r="Q1094" i="7"/>
  <c r="Q235" i="7"/>
  <c r="Q575" i="7"/>
  <c r="Q1121" i="7"/>
  <c r="Q330" i="7"/>
  <c r="Q873" i="7"/>
  <c r="Q501" i="7"/>
  <c r="Q458" i="7"/>
  <c r="Q700" i="7"/>
  <c r="Q1069" i="7"/>
  <c r="Q882" i="7"/>
  <c r="Q751" i="7"/>
  <c r="Q609" i="7"/>
  <c r="Q743" i="7"/>
  <c r="Q585" i="7"/>
  <c r="Q420" i="7"/>
  <c r="Q372" i="7"/>
  <c r="Q269" i="7"/>
  <c r="Q335" i="7"/>
  <c r="Q191" i="7"/>
  <c r="Q344" i="7"/>
  <c r="Q320" i="7"/>
  <c r="Q412" i="7"/>
  <c r="Q57" i="7"/>
  <c r="Q301" i="7"/>
  <c r="Q174" i="7"/>
  <c r="Q559" i="7"/>
  <c r="Q481" i="7"/>
  <c r="Q1139" i="7"/>
  <c r="Q551" i="7"/>
  <c r="Q179" i="7"/>
  <c r="Q863" i="7"/>
  <c r="Q414" i="7"/>
  <c r="Q383" i="7"/>
  <c r="Q794" i="7"/>
  <c r="Q837" i="7"/>
  <c r="Q386" i="7"/>
  <c r="Q861" i="7"/>
  <c r="Q618" i="7"/>
  <c r="Q167" i="7"/>
  <c r="Q1164" i="7"/>
  <c r="Q1103" i="7"/>
  <c r="Q984" i="7"/>
  <c r="Q711" i="7"/>
  <c r="Q329" i="7"/>
  <c r="Q465" i="7"/>
  <c r="Q134" i="7"/>
  <c r="Q809" i="7"/>
  <c r="Q742" i="7"/>
  <c r="Q332" i="7"/>
  <c r="Q987" i="7"/>
  <c r="Q517" i="7"/>
  <c r="Q286" i="7"/>
  <c r="Q156" i="7"/>
  <c r="Q678" i="7"/>
  <c r="Q761" i="7"/>
  <c r="Q599" i="7"/>
  <c r="Q1012" i="7"/>
  <c r="Q674" i="7"/>
  <c r="Q962" i="7"/>
  <c r="Q432" i="7"/>
  <c r="Q67" i="7"/>
  <c r="Q583" i="7"/>
  <c r="Q145" i="7"/>
  <c r="Q1120" i="7"/>
  <c r="Q138" i="7"/>
  <c r="Q875" i="7"/>
  <c r="Q1161" i="7"/>
  <c r="Q117" i="7"/>
  <c r="Q113" i="7"/>
  <c r="Q597" i="7"/>
  <c r="Q722" i="7"/>
  <c r="Q1061" i="7"/>
  <c r="Q201" i="7"/>
  <c r="Q965" i="7"/>
  <c r="Q1159" i="7"/>
  <c r="Q149" i="7"/>
  <c r="Q707" i="7"/>
  <c r="Q202" i="7"/>
  <c r="Q650" i="7"/>
  <c r="Q671" i="7"/>
  <c r="Q98" i="7"/>
  <c r="Q233" i="7"/>
  <c r="Q380" i="7"/>
  <c r="Q792" i="7"/>
  <c r="Q497" i="7"/>
  <c r="Q1072" i="7"/>
  <c r="Q748" i="7"/>
  <c r="Q523" i="7"/>
  <c r="Q736" i="7"/>
  <c r="Q605" i="7"/>
  <c r="Q777" i="7"/>
  <c r="Q532" i="7"/>
  <c r="Q626" i="7"/>
  <c r="Q715" i="7"/>
  <c r="Q595" i="7"/>
  <c r="Q187" i="7"/>
  <c r="Q370" i="7"/>
  <c r="Q354" i="7"/>
  <c r="Q480" i="7"/>
  <c r="Q62" i="7"/>
  <c r="Q630" i="7"/>
  <c r="Q591" i="7"/>
  <c r="Q89" i="7"/>
  <c r="Q698" i="7"/>
  <c r="Q561" i="7"/>
  <c r="Q16" i="7"/>
  <c r="Q904" i="7"/>
  <c r="Q930" i="7"/>
  <c r="Q1152" i="7"/>
  <c r="Q963" i="7"/>
  <c r="Q207" i="7"/>
  <c r="Q1064" i="7"/>
  <c r="Q250" i="7"/>
  <c r="Q716" i="7"/>
  <c r="Q865" i="7"/>
  <c r="Q601" i="7"/>
  <c r="Q990" i="7"/>
  <c r="Q623" i="7"/>
  <c r="Q909" i="7"/>
  <c r="Q592" i="7"/>
  <c r="Q434" i="7"/>
  <c r="Q1034" i="7"/>
  <c r="Q563" i="7"/>
  <c r="Q312" i="7"/>
  <c r="Q600" i="7"/>
  <c r="Q795" i="7"/>
  <c r="Q104" i="7"/>
  <c r="Q261" i="7"/>
  <c r="Q526" i="7"/>
  <c r="Q196" i="7"/>
  <c r="Q467" i="7"/>
  <c r="Q506" i="7"/>
  <c r="Q670" i="7"/>
  <c r="Q828" i="7"/>
  <c r="Q268" i="7"/>
  <c r="Q859" i="7"/>
  <c r="Q1096" i="7"/>
  <c r="Q121" i="7"/>
  <c r="Q1011" i="7"/>
  <c r="Q259" i="7"/>
  <c r="Q581" i="7"/>
  <c r="Q791" i="7"/>
  <c r="Q404" i="7"/>
  <c r="Q94" i="7"/>
  <c r="Q290" i="7"/>
  <c r="Q522" i="7"/>
  <c r="Q49" i="7"/>
  <c r="Q444" i="7"/>
  <c r="Q52" i="7"/>
  <c r="Q13" i="7"/>
  <c r="Q15" i="7"/>
  <c r="Q88" i="7"/>
  <c r="Q864" i="7"/>
  <c r="Q1004" i="7"/>
  <c r="Q654" i="7"/>
  <c r="Q1024" i="7"/>
  <c r="Q1134" i="7"/>
  <c r="Q175" i="7"/>
  <c r="Q667" i="7"/>
  <c r="Q577" i="7"/>
  <c r="Q356" i="7"/>
  <c r="Q218" i="7"/>
  <c r="Q75" i="7"/>
  <c r="Q367" i="7"/>
  <c r="Q142" i="7"/>
  <c r="Q498" i="7"/>
  <c r="Q264" i="7"/>
  <c r="Q185" i="7"/>
  <c r="Q274" i="7"/>
  <c r="Q115" i="7"/>
  <c r="Q266" i="7"/>
  <c r="Q262" i="7"/>
  <c r="Q80" i="7"/>
  <c r="Q365" i="7"/>
  <c r="Q78" i="7"/>
  <c r="Q37" i="7"/>
  <c r="Q63" i="7"/>
  <c r="Q906" i="7"/>
  <c r="Q999" i="7"/>
  <c r="Q1081" i="7"/>
  <c r="Q920" i="7"/>
  <c r="Q822" i="7"/>
  <c r="Q705" i="7"/>
  <c r="Q348" i="7"/>
  <c r="Q853" i="7"/>
  <c r="Q785" i="7"/>
  <c r="Q572" i="7"/>
  <c r="Q819" i="7"/>
  <c r="Q375" i="7"/>
  <c r="Q392" i="7"/>
  <c r="Q589" i="7"/>
  <c r="Q636" i="7"/>
  <c r="Q265" i="7"/>
  <c r="Q625" i="7"/>
  <c r="Q448" i="7"/>
  <c r="Q74" i="7"/>
  <c r="Q245" i="7"/>
  <c r="Q602" i="7"/>
  <c r="Q111" i="7"/>
  <c r="Q190" i="7"/>
  <c r="Q254" i="7"/>
  <c r="Q76" i="7"/>
  <c r="Q5" i="7"/>
  <c r="Q147" i="7"/>
  <c r="Q11" i="7"/>
  <c r="Q1119" i="7"/>
  <c r="Q430" i="7"/>
  <c r="Q902" i="7"/>
  <c r="Q1059" i="7"/>
  <c r="Q180" i="7"/>
  <c r="Q576" i="7"/>
  <c r="Q776" i="7"/>
  <c r="Q843" i="7"/>
  <c r="Q105" i="7"/>
  <c r="Q423" i="7"/>
  <c r="Q116" i="7"/>
  <c r="Q124" i="7"/>
  <c r="Q389" i="7"/>
  <c r="Q107" i="7"/>
  <c r="Q68" i="7"/>
  <c r="Q357" i="7"/>
  <c r="Q64" i="7"/>
  <c r="Q350" i="7"/>
  <c r="Q1145" i="7"/>
  <c r="Q958" i="7"/>
  <c r="Q884" i="7"/>
  <c r="Q935" i="7"/>
  <c r="Q756" i="7"/>
  <c r="Q933" i="7"/>
  <c r="Q319" i="7"/>
  <c r="Q989" i="7"/>
  <c r="Q1083" i="7"/>
  <c r="Q514" i="7"/>
  <c r="Q747" i="7"/>
  <c r="Q493" i="7"/>
  <c r="Q673" i="7"/>
  <c r="Q811" i="7"/>
  <c r="Q702" i="7"/>
  <c r="Q615" i="7"/>
  <c r="Q260" i="7"/>
  <c r="Q84" i="7"/>
  <c r="Q22" i="7"/>
  <c r="Q54" i="7"/>
  <c r="Q950" i="7"/>
  <c r="Q548" i="7"/>
  <c r="Q1056" i="7"/>
  <c r="Q1032" i="7"/>
  <c r="Q473" i="7"/>
  <c r="Q253" i="7"/>
  <c r="Q669" i="7"/>
  <c r="Q832" i="7"/>
  <c r="Q336" i="7"/>
  <c r="Q178" i="7"/>
  <c r="Q961" i="7"/>
  <c r="Q446" i="7"/>
  <c r="Q701" i="7"/>
  <c r="Q1163" i="7"/>
  <c r="Q783" i="7"/>
  <c r="Q1168" i="7"/>
  <c r="Q87" i="7"/>
  <c r="Q1066" i="7"/>
  <c r="Q718" i="7"/>
  <c r="Q1112" i="7"/>
  <c r="Q755" i="7"/>
  <c r="Q677" i="7"/>
  <c r="Q405" i="7"/>
  <c r="Q276" i="7"/>
  <c r="Q246" i="7"/>
  <c r="Q478" i="7"/>
  <c r="Q193" i="7"/>
  <c r="Q892" i="7"/>
  <c r="Q234" i="7"/>
  <c r="Q726" i="7"/>
  <c r="Q830" i="7"/>
  <c r="Q662" i="7"/>
  <c r="Q890" i="7"/>
  <c r="Q653" i="7"/>
  <c r="Q564" i="7"/>
  <c r="Q403" i="7"/>
  <c r="Q222" i="7"/>
  <c r="Q411" i="7"/>
  <c r="Q402" i="7"/>
  <c r="Q213" i="7"/>
  <c r="Q85" i="7"/>
  <c r="Q327" i="7"/>
  <c r="Q1149" i="7"/>
  <c r="Q682" i="7"/>
  <c r="Q1003" i="7"/>
  <c r="Q685" i="7"/>
  <c r="Q1052" i="7"/>
  <c r="Q1051" i="7"/>
  <c r="Q225" i="7"/>
  <c r="Q858" i="7"/>
  <c r="Q157" i="7"/>
  <c r="Q1158" i="7"/>
  <c r="Q1041" i="7"/>
  <c r="Q851" i="7"/>
  <c r="Q243" i="7"/>
  <c r="Q192" i="7"/>
  <c r="Q1162" i="7"/>
  <c r="Q135" i="7"/>
  <c r="Q767" i="7"/>
  <c r="Q1118" i="7"/>
  <c r="Q210" i="7"/>
  <c r="Q862" i="7"/>
  <c r="Q959" i="7"/>
  <c r="Q252" i="7"/>
  <c r="Q645" i="7"/>
  <c r="Q86" i="7"/>
  <c r="Q502" i="7"/>
  <c r="Q549" i="7"/>
  <c r="Q942" i="7"/>
  <c r="Q378" i="7"/>
  <c r="Q1015" i="7"/>
  <c r="Q114" i="7"/>
  <c r="Q964" i="7"/>
  <c r="Q714" i="7"/>
  <c r="Q947" i="7"/>
  <c r="Q759" i="7"/>
  <c r="Q706" i="7"/>
  <c r="Q472" i="7"/>
  <c r="Q132" i="7"/>
  <c r="Q119" i="7"/>
  <c r="Q813" i="7"/>
  <c r="Q1111" i="7"/>
  <c r="Q945" i="7"/>
  <c r="Q355" i="7"/>
  <c r="Q988" i="7"/>
  <c r="Q632" i="7"/>
  <c r="Q797" i="7"/>
  <c r="Q382" i="7"/>
  <c r="Q557" i="7"/>
  <c r="Q284" i="7"/>
  <c r="Q209" i="7"/>
  <c r="Q823" i="7"/>
  <c r="Q680" i="7"/>
  <c r="Q749" i="7"/>
  <c r="Q900" i="7"/>
  <c r="Q826" i="7"/>
  <c r="Q1009" i="7"/>
  <c r="Q982" i="7"/>
  <c r="Q891" i="7"/>
  <c r="Q812" i="7"/>
  <c r="Q48" i="7"/>
  <c r="Q1085" i="7"/>
  <c r="Q857" i="7"/>
  <c r="Q42" i="7"/>
  <c r="Q387" i="7"/>
  <c r="Q45" i="7"/>
  <c r="Q1028" i="7"/>
  <c r="Q769" i="7"/>
  <c r="Q668" i="7"/>
  <c r="Q310" i="7"/>
  <c r="Q144" i="7"/>
  <c r="Q17" i="7"/>
  <c r="Q474" i="7"/>
  <c r="Q868" i="7"/>
  <c r="Q534" i="7"/>
  <c r="Q125" i="7"/>
  <c r="Q574" i="7"/>
  <c r="Q1131" i="7"/>
  <c r="Q611" i="7"/>
  <c r="Q911" i="7"/>
  <c r="Q38" i="7"/>
  <c r="Q752" i="7"/>
  <c r="Q808" i="7"/>
  <c r="Q728" i="7"/>
  <c r="Q727" i="7"/>
  <c r="Q291" i="7"/>
  <c r="Q12" i="7"/>
  <c r="Q384" i="7"/>
  <c r="Q586" i="7"/>
  <c r="Q181" i="7"/>
  <c r="Q463" i="7"/>
  <c r="Q952" i="7"/>
  <c r="Q484" i="7"/>
  <c r="Q491" i="7"/>
  <c r="Q1099" i="7"/>
  <c r="Q70" i="7"/>
  <c r="Q1005" i="7"/>
  <c r="Q764" i="7"/>
  <c r="Q877" i="7"/>
  <c r="Q303" i="7"/>
  <c r="Q278" i="7"/>
  <c r="Q232" i="7"/>
  <c r="Q846" i="7"/>
  <c r="Q872" i="7"/>
  <c r="Q829" i="7"/>
  <c r="Q440" i="7"/>
  <c r="Q518" i="7"/>
  <c r="Q588" i="7"/>
  <c r="Q1039" i="7"/>
  <c r="Q293" i="7"/>
  <c r="Q184" i="7"/>
  <c r="Q479" i="7"/>
  <c r="Q93" i="7"/>
  <c r="Q271" i="7"/>
  <c r="Q381" i="7"/>
  <c r="Q99" i="7"/>
  <c r="Q1001" i="7"/>
  <c r="Q273" i="7"/>
  <c r="Q538" i="7"/>
  <c r="Q374" i="7"/>
  <c r="Q47" i="7"/>
  <c r="Q648" i="7"/>
  <c r="Q1157" i="7"/>
  <c r="Q810" i="7"/>
  <c r="Q531" i="7"/>
  <c r="Q152" i="7"/>
  <c r="Q410" i="7"/>
  <c r="Q495" i="7"/>
  <c r="Q401" i="7"/>
  <c r="Q1169" i="7"/>
  <c r="Q1080" i="7"/>
  <c r="Q50" i="7"/>
  <c r="Q346" i="7"/>
  <c r="Q398" i="7"/>
  <c r="Q164" i="7"/>
  <c r="Q468" i="7"/>
  <c r="Q779" i="7"/>
  <c r="Q735" i="7"/>
  <c r="Q603" i="7"/>
  <c r="Q69" i="7"/>
  <c r="Q186" i="7"/>
  <c r="Q1088" i="7"/>
  <c r="Q582" i="7"/>
  <c r="Q720" i="7"/>
  <c r="Q305" i="7"/>
  <c r="Q79" i="7"/>
  <c r="Q282" i="7"/>
  <c r="Q686" i="7"/>
  <c r="Q1073" i="7"/>
  <c r="Q36" i="7"/>
  <c r="Q614" i="7"/>
  <c r="Q883" i="7"/>
  <c r="Q787" i="7"/>
  <c r="Q494" i="7"/>
  <c r="Q593" i="7"/>
  <c r="Q483" i="7"/>
  <c r="Q299" i="7"/>
  <c r="Q1084" i="7"/>
  <c r="Q97" i="7"/>
  <c r="Q1055" i="7"/>
  <c r="Q724" i="7"/>
  <c r="Q110" i="7"/>
  <c r="Q160" i="7"/>
  <c r="Q334" i="7"/>
  <c r="Q1110" i="7"/>
  <c r="Q644" i="7"/>
  <c r="Q912" i="7"/>
  <c r="Q275" i="7"/>
  <c r="Q664" i="7"/>
  <c r="Q140" i="7"/>
  <c r="Q1104" i="7"/>
  <c r="Q1008" i="7"/>
  <c r="Q438" i="7"/>
  <c r="Q39" i="7"/>
  <c r="Q1044" i="7"/>
  <c r="Q1071" i="7"/>
  <c r="Q409" i="7"/>
  <c r="Q1124" i="7"/>
  <c r="Q762" i="7"/>
  <c r="Q712" i="7"/>
  <c r="Q65" i="7"/>
  <c r="Q854" i="7"/>
  <c r="Q393" i="7"/>
  <c r="Q1176" i="7"/>
  <c r="Q971" i="7"/>
  <c r="Q744" i="7"/>
  <c r="Q946" i="7"/>
  <c r="Q33" i="7"/>
  <c r="Q991" i="7"/>
  <c r="Q763" i="7"/>
  <c r="Q948" i="7"/>
  <c r="Q464" i="7"/>
  <c r="Q511" i="7"/>
  <c r="Q131" i="7"/>
  <c r="Q208" i="7"/>
  <c r="Q968" i="7"/>
  <c r="Q360" i="7"/>
  <c r="Q368" i="7"/>
  <c r="Q240" i="7"/>
  <c r="Q699" i="7"/>
  <c r="Q1109" i="7"/>
  <c r="Q766" i="7"/>
  <c r="Q459" i="7"/>
  <c r="Q397" i="7"/>
  <c r="Q1114" i="7"/>
  <c r="Q786" i="7"/>
  <c r="Q418" i="7"/>
  <c r="Q361" i="7"/>
  <c r="Q1060" i="7"/>
  <c r="Q558" i="7"/>
  <c r="Q19" i="7"/>
  <c r="Q296" i="7"/>
  <c r="Q598" i="7"/>
  <c r="Q247" i="7"/>
  <c r="Q200" i="7"/>
  <c r="Q934" i="7"/>
  <c r="Q978" i="7"/>
  <c r="Q519" i="7"/>
  <c r="Q993" i="7"/>
  <c r="Q1090" i="7"/>
  <c r="Q43" i="7"/>
  <c r="Q1108" i="7"/>
  <c r="Q109" i="7"/>
  <c r="Q552" i="7"/>
  <c r="Q220" i="7"/>
  <c r="Q994" i="7"/>
  <c r="Q806" i="7"/>
  <c r="Q738" i="7"/>
  <c r="Q214" i="7"/>
  <c r="Q126" i="7"/>
  <c r="Q35" i="7"/>
  <c r="Q1098" i="7"/>
  <c r="Q6" i="7"/>
  <c r="Q362" i="7"/>
  <c r="Q758" i="7"/>
  <c r="Q143" i="7"/>
  <c r="Q606" i="7"/>
  <c r="Q655" i="7"/>
  <c r="Q543" i="7"/>
  <c r="Q691" i="7"/>
  <c r="Q455" i="7"/>
  <c r="Q30" i="7"/>
  <c r="Q1063" i="7"/>
  <c r="Q619" i="7"/>
  <c r="Q937" i="7"/>
  <c r="Q944" i="7"/>
  <c r="Q893" i="7"/>
  <c r="Q338" i="7"/>
  <c r="Q248" i="7"/>
  <c r="Q1050" i="7"/>
  <c r="Q353" i="7"/>
  <c r="Q695" i="7"/>
  <c r="Q137" i="7"/>
  <c r="Q453" i="7"/>
  <c r="Q1160" i="7"/>
  <c r="Q425" i="7"/>
  <c r="Q703" i="7"/>
  <c r="Q536" i="7"/>
  <c r="Q300" i="7"/>
  <c r="Q436" i="7"/>
  <c r="Q1010" i="7"/>
  <c r="Q527" i="7"/>
  <c r="Q128" i="7"/>
  <c r="Q373" i="7"/>
  <c r="Q1035" i="7"/>
  <c r="Q307" i="7"/>
  <c r="Q95" i="7"/>
  <c r="Q896" i="7"/>
  <c r="Q295" i="7"/>
  <c r="Q53" i="7"/>
  <c r="Q92" i="7"/>
  <c r="Q966" i="7"/>
  <c r="Q815" i="7"/>
  <c r="Q40" i="7"/>
  <c r="Q194" i="7"/>
  <c r="Q1065" i="7"/>
  <c r="Q719" i="7"/>
  <c r="Q325" i="7"/>
  <c r="Q659" i="7"/>
  <c r="Q540" i="7"/>
  <c r="Q996" i="7"/>
  <c r="Q513" i="7"/>
  <c r="Q616" i="7"/>
  <c r="Q503" i="7"/>
  <c r="Q216" i="7"/>
  <c r="Q263" i="7"/>
  <c r="Q888" i="7"/>
  <c r="Q979" i="7"/>
  <c r="Q1105" i="7"/>
  <c r="Q249" i="7"/>
  <c r="Q1097" i="7"/>
  <c r="Q1087" i="7"/>
  <c r="Q790" i="7"/>
  <c r="Q970" i="7"/>
  <c r="Q774" i="7"/>
  <c r="Q590" i="7"/>
  <c r="Q508" i="7"/>
  <c r="Q461" i="7"/>
  <c r="Q318" i="7"/>
  <c r="Q487" i="7"/>
  <c r="Q141" i="7"/>
  <c r="Q283" i="7"/>
  <c r="Q162" i="7"/>
  <c r="Q56" i="7"/>
  <c r="Q4" i="7"/>
  <c r="Q77" i="7"/>
  <c r="Q842" i="7"/>
  <c r="Q805" i="7"/>
  <c r="Q535" i="7"/>
  <c r="Q1146" i="7"/>
  <c r="Q1093" i="7"/>
  <c r="Q1075" i="7"/>
  <c r="Q189" i="7"/>
  <c r="Q1107" i="7"/>
  <c r="Q709" i="7"/>
  <c r="Q839" i="7"/>
  <c r="Q1045" i="7"/>
  <c r="Q723" i="7"/>
  <c r="Q733" i="7"/>
  <c r="Q539" i="7"/>
  <c r="Q665" i="7"/>
  <c r="Q449" i="7"/>
  <c r="Q285" i="7"/>
  <c r="Q28" i="7"/>
  <c r="Q1123" i="7"/>
  <c r="Q954" i="7"/>
  <c r="Q1089" i="7"/>
  <c r="Q1122" i="7"/>
  <c r="Q730" i="7"/>
  <c r="Q1048" i="7"/>
  <c r="Q1076" i="7"/>
  <c r="Q928" i="7"/>
  <c r="Q1115" i="7"/>
  <c r="Q168" i="7"/>
  <c r="Q524" i="7"/>
  <c r="Q66" i="7"/>
  <c r="Q694" i="7"/>
  <c r="Q608" i="7"/>
  <c r="Q445" i="7"/>
  <c r="Q1106" i="7"/>
  <c r="Q1007" i="7"/>
  <c r="Q922" i="7"/>
  <c r="Q817" i="7"/>
  <c r="Q729" i="7"/>
  <c r="Q932" i="7"/>
  <c r="Q708" i="7"/>
  <c r="Q146" i="7"/>
  <c r="Q717" i="7"/>
  <c r="Q528" i="7"/>
  <c r="Q800" i="7"/>
  <c r="Q687" i="7"/>
  <c r="Q279" i="7"/>
  <c r="Q1030" i="7"/>
  <c r="Q1126" i="7"/>
  <c r="Q379" i="7"/>
  <c r="Q1135" i="7"/>
  <c r="Q1033" i="7"/>
  <c r="Q660" i="7"/>
  <c r="Q1047" i="7"/>
  <c r="Q1013" i="7"/>
  <c r="Q343" i="7"/>
  <c r="Q914" i="7"/>
  <c r="Q1038" i="7"/>
  <c r="Q977" i="7"/>
  <c r="Q913" i="7"/>
  <c r="Q916" i="7"/>
  <c r="Q550" i="7"/>
  <c r="Q710" i="7"/>
  <c r="Q292" i="7"/>
  <c r="Q594" i="7"/>
  <c r="Q814" i="7"/>
  <c r="Q492" i="7"/>
  <c r="Q475" i="7"/>
  <c r="Q587" i="7"/>
  <c r="Q567" i="7"/>
  <c r="Q1036" i="7"/>
  <c r="Q1102" i="7"/>
  <c r="Q1113" i="7"/>
  <c r="Q879" i="7"/>
  <c r="Q1147" i="7"/>
  <c r="Q737" i="7"/>
  <c r="Q969" i="7"/>
  <c r="Q941" i="7"/>
  <c r="Q663" i="7"/>
  <c r="Q1023" i="7"/>
  <c r="Q1019" i="7"/>
  <c r="Q656" i="7"/>
  <c r="Q704" i="7"/>
  <c r="Q544" i="7"/>
  <c r="Q740" i="7"/>
  <c r="Q804" i="7"/>
  <c r="Q277" i="7"/>
  <c r="Q566" i="7"/>
  <c r="Q676" i="7"/>
  <c r="Q257" i="7"/>
  <c r="Q509" i="7"/>
  <c r="Q1029" i="7"/>
  <c r="Q1002" i="7"/>
  <c r="Q903" i="7"/>
  <c r="Q688" i="7"/>
  <c r="Q59" i="7"/>
  <c r="Q1062" i="7"/>
  <c r="Q1142" i="7"/>
  <c r="Q1037" i="7"/>
  <c r="Q885" i="7"/>
  <c r="Q850" i="7"/>
  <c r="Q568" i="7"/>
  <c r="Q1132" i="7"/>
  <c r="Q1116" i="7"/>
  <c r="Q967" i="7"/>
  <c r="Q555" i="7"/>
  <c r="Q100" i="7"/>
  <c r="Q102" i="7"/>
  <c r="Q228" i="7"/>
  <c r="Q29" i="7"/>
  <c r="Q21" i="7"/>
  <c r="Q7" i="7"/>
  <c r="Q1133" i="7"/>
  <c r="Q620" i="7"/>
  <c r="Q407" i="7"/>
  <c r="Q61" i="7"/>
  <c r="Q122" i="7"/>
  <c r="Q1170" i="7"/>
  <c r="Q1174" i="7"/>
  <c r="Q579" i="7"/>
  <c r="Q927" i="7"/>
  <c r="Q1130" i="7"/>
  <c r="Q447" i="7"/>
  <c r="Q938" i="7"/>
  <c r="Q1022" i="7"/>
  <c r="Q1077" i="7"/>
  <c r="Q652" i="7"/>
  <c r="Q462" i="7"/>
  <c r="Q58" i="7"/>
  <c r="Q746" i="7"/>
  <c r="Q546" i="7"/>
  <c r="Q672" i="7"/>
  <c r="Q347" i="7"/>
  <c r="Q986" i="7"/>
  <c r="Q1173" i="7"/>
  <c r="Q1127" i="7"/>
  <c r="Q870" i="7"/>
  <c r="Q953" i="7"/>
  <c r="Q1027" i="7"/>
  <c r="Q25" i="7"/>
  <c r="Q770" i="7"/>
  <c r="Q1137" i="7"/>
  <c r="Q895" i="7"/>
  <c r="Q1079" i="7"/>
  <c r="Q696" i="7"/>
  <c r="Q417" i="7"/>
  <c r="Q450" i="7"/>
  <c r="Q316" i="7"/>
  <c r="Q542" i="7"/>
  <c r="Q229" i="7"/>
  <c r="Q431" i="7"/>
  <c r="Q1000" i="7"/>
  <c r="Q1177" i="7"/>
  <c r="Q1167" i="7"/>
  <c r="Q973" i="7"/>
  <c r="Q631" i="7"/>
  <c r="Q1117" i="7"/>
  <c r="Q553" i="7"/>
  <c r="Q342" i="7"/>
  <c r="Q297" i="7"/>
  <c r="Q876" i="7"/>
  <c r="Q651" i="7"/>
  <c r="Q840" i="7"/>
  <c r="Q731" i="7"/>
  <c r="Q204" i="7"/>
  <c r="Q90" i="7"/>
  <c r="Q452" i="7"/>
  <c r="Q349" i="7"/>
  <c r="Q159" i="7"/>
  <c r="Q154" i="7"/>
  <c r="Q569" i="7"/>
  <c r="Q1053" i="7"/>
  <c r="Q627" i="7"/>
  <c r="Q924" i="7"/>
  <c r="Q624" i="7"/>
  <c r="Q745" i="7"/>
  <c r="Q584" i="7"/>
  <c r="Q628" i="7"/>
  <c r="Q894" i="7"/>
  <c r="Q681" i="7"/>
  <c r="Q231" i="7"/>
  <c r="Q183" i="7"/>
  <c r="Q150" i="7"/>
  <c r="Q1166" i="7"/>
  <c r="Q1144" i="7"/>
  <c r="Q1042" i="7"/>
  <c r="Q929" i="7"/>
  <c r="Q974" i="7"/>
  <c r="Q578" i="7"/>
  <c r="Q369" i="7"/>
  <c r="Q833" i="7"/>
  <c r="Q621" i="7"/>
  <c r="Q203" i="7"/>
  <c r="Q633" i="7"/>
  <c r="Q390" i="7"/>
  <c r="Q212" i="7"/>
  <c r="Q363" i="7"/>
  <c r="Q14" i="7"/>
  <c r="Q1006" i="7"/>
  <c r="Q643" i="7"/>
  <c r="Q541" i="7"/>
  <c r="Q907" i="7"/>
  <c r="Q997" i="7"/>
  <c r="Q849" i="7"/>
  <c r="Q565" i="7"/>
  <c r="Q406" i="7"/>
  <c r="Q886" i="7"/>
  <c r="Q364" i="7"/>
  <c r="Q780" i="7"/>
  <c r="Q188" i="7"/>
  <c r="Q309" i="7"/>
  <c r="Q176" i="7"/>
  <c r="Q525" i="7"/>
  <c r="Q195" i="7"/>
  <c r="Q26" i="7"/>
  <c r="Q416" i="7"/>
  <c r="Q1148" i="7"/>
  <c r="Q778" i="7"/>
  <c r="Q1125" i="7"/>
  <c r="Q931" i="7"/>
  <c r="Q610" i="7"/>
  <c r="Q820" i="7"/>
  <c r="Q646" i="7"/>
  <c r="Q477" i="7"/>
  <c r="Q244" i="7"/>
  <c r="Q881" i="7"/>
  <c r="Q515" i="7"/>
  <c r="Q171" i="7"/>
  <c r="Q129" i="7"/>
  <c r="Q976" i="7"/>
  <c r="Q1014" i="7"/>
  <c r="Q1057" i="7"/>
  <c r="Q926" i="7"/>
  <c r="Q1172" i="7"/>
  <c r="Q835" i="7"/>
  <c r="Q956" i="7"/>
  <c r="Q413" i="7"/>
  <c r="Q852" i="7"/>
  <c r="Q388" i="7"/>
  <c r="Q239" i="7"/>
  <c r="Q466" i="7"/>
  <c r="Q874" i="7"/>
  <c r="Q321" i="7"/>
  <c r="Q408" i="7"/>
  <c r="Q915" i="7"/>
  <c r="Q725" i="7"/>
  <c r="Q1046" i="7"/>
  <c r="Q825" i="7"/>
  <c r="Q788" i="7"/>
  <c r="Q10" i="7"/>
  <c r="Q596" i="7"/>
  <c r="Q399" i="7"/>
  <c r="Q341" i="7"/>
  <c r="Q545" i="7"/>
  <c r="Q96" i="7"/>
  <c r="Q918" i="7"/>
  <c r="Q170" i="7"/>
  <c r="Q816" i="7"/>
  <c r="Q443" i="7"/>
  <c r="Q641" i="7"/>
  <c r="Q807" i="7"/>
  <c r="Q133" i="7"/>
  <c r="Q499" i="7"/>
  <c r="Q490" i="7"/>
  <c r="Q136" i="7"/>
  <c r="Q148" i="7"/>
  <c r="Q400" i="7"/>
  <c r="Q258" i="7"/>
  <c r="Q44" i="7"/>
  <c r="Q951" i="7"/>
  <c r="Q1025" i="7"/>
  <c r="Q675" i="7"/>
  <c r="Q998" i="7"/>
  <c r="Q1151" i="7"/>
  <c r="Q1150" i="7"/>
  <c r="Q679" i="7"/>
  <c r="Q834" i="7"/>
  <c r="Q215" i="7"/>
  <c r="Q784" i="7"/>
  <c r="Q827" i="7"/>
  <c r="Q844" i="7"/>
  <c r="Q151" i="7"/>
  <c r="Q803" i="7"/>
  <c r="Q314" i="7"/>
  <c r="Q456" i="7"/>
  <c r="Q521" i="7"/>
  <c r="Q1101" i="7"/>
  <c r="Q983" i="7"/>
  <c r="Q1138" i="7"/>
  <c r="Q824" i="7"/>
  <c r="Q734" i="7"/>
  <c r="Q917" i="7"/>
  <c r="Q622" i="7"/>
  <c r="Q173" i="7"/>
  <c r="Q23" i="7"/>
  <c r="Q394" i="7"/>
  <c r="Q510" i="7"/>
  <c r="Q251" i="7"/>
  <c r="Q1058" i="7"/>
  <c r="T666" i="7"/>
  <c r="T280" i="7"/>
  <c r="T1020" i="7"/>
  <c r="F666" i="7"/>
  <c r="I666" i="7" s="1"/>
  <c r="F554" i="7"/>
  <c r="I554" i="7" s="1"/>
  <c r="F169" i="7"/>
  <c r="I169" i="7" s="1"/>
  <c r="Q3" i="7"/>
  <c r="H1046" i="7" l="1"/>
  <c r="G1046" i="7"/>
  <c r="C1046" i="7"/>
  <c r="D1046" i="7"/>
  <c r="G979" i="7"/>
  <c r="H979" i="7"/>
  <c r="D979" i="7"/>
  <c r="C979" i="7"/>
  <c r="H632" i="7"/>
  <c r="Z632" i="7" s="1"/>
  <c r="G632" i="7"/>
  <c r="D632" i="7"/>
  <c r="X632" i="7" s="1"/>
  <c r="C632" i="7"/>
  <c r="H925" i="7"/>
  <c r="Z925" i="7" s="1"/>
  <c r="G925" i="7"/>
  <c r="C925" i="7"/>
  <c r="D925" i="7"/>
  <c r="H681" i="7"/>
  <c r="Z681" i="7" s="1"/>
  <c r="C681" i="7"/>
  <c r="G681" i="7"/>
  <c r="D681" i="7"/>
  <c r="H346" i="7"/>
  <c r="Z346" i="7" s="1"/>
  <c r="G346" i="7"/>
  <c r="D346" i="7"/>
  <c r="C346" i="7"/>
  <c r="G930" i="7"/>
  <c r="C930" i="7"/>
  <c r="H930" i="7"/>
  <c r="D930" i="7"/>
  <c r="G1048" i="7"/>
  <c r="H1048" i="7"/>
  <c r="Z1048" i="7" s="1"/>
  <c r="C1048" i="7"/>
  <c r="D1048" i="7"/>
  <c r="G45" i="7"/>
  <c r="H45" i="7"/>
  <c r="C45" i="7"/>
  <c r="D45" i="7"/>
  <c r="H631" i="7"/>
  <c r="Z631" i="7" s="1"/>
  <c r="G631" i="7"/>
  <c r="D631" i="7"/>
  <c r="C631" i="7"/>
  <c r="H16" i="7"/>
  <c r="Z16" i="7" s="1"/>
  <c r="C16" i="7"/>
  <c r="G16" i="7"/>
  <c r="D16" i="7"/>
  <c r="H101" i="7"/>
  <c r="C101" i="7"/>
  <c r="D101" i="7"/>
  <c r="G101" i="7"/>
  <c r="H492" i="7"/>
  <c r="G492" i="7"/>
  <c r="D492" i="7"/>
  <c r="C492" i="7"/>
  <c r="H104" i="7"/>
  <c r="Z104" i="7" s="1"/>
  <c r="C104" i="7"/>
  <c r="G104" i="7"/>
  <c r="D104" i="7"/>
  <c r="H460" i="7"/>
  <c r="Z460" i="7" s="1"/>
  <c r="G460" i="7"/>
  <c r="C460" i="7"/>
  <c r="D460" i="7"/>
  <c r="H14" i="7"/>
  <c r="Z14" i="7" s="1"/>
  <c r="C14" i="7"/>
  <c r="G14" i="7"/>
  <c r="D14" i="7"/>
  <c r="H222" i="7"/>
  <c r="Z222" i="7" s="1"/>
  <c r="G222" i="7"/>
  <c r="D222" i="7"/>
  <c r="C222" i="7"/>
  <c r="G372" i="7"/>
  <c r="H372" i="7"/>
  <c r="D372" i="7"/>
  <c r="C372" i="7"/>
  <c r="G954" i="7"/>
  <c r="H954" i="7"/>
  <c r="Z954" i="7" s="1"/>
  <c r="C954" i="7"/>
  <c r="D954" i="7"/>
  <c r="H119" i="7"/>
  <c r="Z119" i="7" s="1"/>
  <c r="G119" i="7"/>
  <c r="C119" i="7"/>
  <c r="D119" i="7"/>
  <c r="H1074" i="7"/>
  <c r="Z1074" i="7" s="1"/>
  <c r="D1074" i="7"/>
  <c r="C1074" i="7"/>
  <c r="G1074" i="7"/>
  <c r="C239" i="7"/>
  <c r="H239" i="7"/>
  <c r="Z239" i="7" s="1"/>
  <c r="G239" i="7"/>
  <c r="D239" i="7"/>
  <c r="H48" i="7"/>
  <c r="C48" i="7"/>
  <c r="G48" i="7"/>
  <c r="D48" i="7"/>
  <c r="G975" i="7"/>
  <c r="H975" i="7"/>
  <c r="D975" i="7"/>
  <c r="C975" i="7"/>
  <c r="H710" i="7"/>
  <c r="Z710" i="7" s="1"/>
  <c r="G710" i="7"/>
  <c r="C710" i="7"/>
  <c r="D710" i="7"/>
  <c r="H464" i="7"/>
  <c r="Z464" i="7" s="1"/>
  <c r="G464" i="7"/>
  <c r="D464" i="7"/>
  <c r="C464" i="7"/>
  <c r="G752" i="7"/>
  <c r="C752" i="7"/>
  <c r="H752" i="7"/>
  <c r="Z752" i="7" s="1"/>
  <c r="D752" i="7"/>
  <c r="G375" i="7"/>
  <c r="D375" i="7"/>
  <c r="C375" i="7"/>
  <c r="H375" i="7"/>
  <c r="H306" i="7"/>
  <c r="G306" i="7"/>
  <c r="D306" i="7"/>
  <c r="C306" i="7"/>
  <c r="G860" i="7"/>
  <c r="H860" i="7"/>
  <c r="Z860" i="7" s="1"/>
  <c r="D860" i="7"/>
  <c r="C860" i="7"/>
  <c r="H544" i="7"/>
  <c r="Z544" i="7" s="1"/>
  <c r="G544" i="7"/>
  <c r="C544" i="7"/>
  <c r="D544" i="7"/>
  <c r="H1070" i="7"/>
  <c r="Z1070" i="7" s="1"/>
  <c r="G1070" i="7"/>
  <c r="D1070" i="7"/>
  <c r="C1070" i="7"/>
  <c r="H26" i="7"/>
  <c r="Z26" i="7" s="1"/>
  <c r="G26" i="7"/>
  <c r="D26" i="7"/>
  <c r="C26" i="7"/>
  <c r="G203" i="7"/>
  <c r="D203" i="7"/>
  <c r="C203" i="7"/>
  <c r="H203" i="7"/>
  <c r="H569" i="7"/>
  <c r="D569" i="7"/>
  <c r="C569" i="7"/>
  <c r="G569" i="7"/>
  <c r="H542" i="7"/>
  <c r="Z542" i="7" s="1"/>
  <c r="C542" i="7"/>
  <c r="G542" i="7"/>
  <c r="D542" i="7"/>
  <c r="H652" i="7"/>
  <c r="Z652" i="7" s="1"/>
  <c r="C652" i="7"/>
  <c r="G652" i="7"/>
  <c r="D652" i="7"/>
  <c r="H967" i="7"/>
  <c r="Z967" i="7" s="1"/>
  <c r="G967" i="7"/>
  <c r="C967" i="7"/>
  <c r="D967" i="7"/>
  <c r="X967" i="7" s="1"/>
  <c r="H704" i="7"/>
  <c r="Z704" i="7" s="1"/>
  <c r="G704" i="7"/>
  <c r="C704" i="7"/>
  <c r="D704" i="7"/>
  <c r="C916" i="7"/>
  <c r="H916" i="7"/>
  <c r="G916" i="7"/>
  <c r="D916" i="7"/>
  <c r="G449" i="7"/>
  <c r="C449" i="7"/>
  <c r="H449" i="7"/>
  <c r="Z449" i="7" s="1"/>
  <c r="D449" i="7"/>
  <c r="X449" i="7" s="1"/>
  <c r="H487" i="7"/>
  <c r="Z487" i="7" s="1"/>
  <c r="G487" i="7"/>
  <c r="D487" i="7"/>
  <c r="C487" i="7"/>
  <c r="H325" i="7"/>
  <c r="Z325" i="7" s="1"/>
  <c r="G325" i="7"/>
  <c r="C325" i="7"/>
  <c r="D325" i="7"/>
  <c r="G425" i="7"/>
  <c r="C425" i="7"/>
  <c r="H425" i="7"/>
  <c r="Z425" i="7" s="1"/>
  <c r="D425" i="7"/>
  <c r="H362" i="7"/>
  <c r="C362" i="7"/>
  <c r="D362" i="7"/>
  <c r="G362" i="7"/>
  <c r="H296" i="7"/>
  <c r="G296" i="7"/>
  <c r="D296" i="7"/>
  <c r="C296" i="7"/>
  <c r="H763" i="7"/>
  <c r="Z763" i="7" s="1"/>
  <c r="G763" i="7"/>
  <c r="C763" i="7"/>
  <c r="D763" i="7"/>
  <c r="H275" i="7"/>
  <c r="Z275" i="7" s="1"/>
  <c r="G275" i="7"/>
  <c r="C275" i="7"/>
  <c r="D275" i="7"/>
  <c r="H79" i="7"/>
  <c r="Z79" i="7" s="1"/>
  <c r="G79" i="7"/>
  <c r="C79" i="7"/>
  <c r="D79" i="7"/>
  <c r="H810" i="7"/>
  <c r="Z810" i="7" s="1"/>
  <c r="C810" i="7"/>
  <c r="G810" i="7"/>
  <c r="D810" i="7"/>
  <c r="G232" i="7"/>
  <c r="D232" i="7"/>
  <c r="C232" i="7"/>
  <c r="H232" i="7"/>
  <c r="G911" i="7"/>
  <c r="C911" i="7"/>
  <c r="D911" i="7"/>
  <c r="H911" i="7"/>
  <c r="Z911" i="7" s="1"/>
  <c r="H982" i="7"/>
  <c r="Z982" i="7" s="1"/>
  <c r="G982" i="7"/>
  <c r="D982" i="7"/>
  <c r="C982" i="7"/>
  <c r="H851" i="7"/>
  <c r="Z851" i="7" s="1"/>
  <c r="C851" i="7"/>
  <c r="D851" i="7"/>
  <c r="G851" i="7"/>
  <c r="H662" i="7"/>
  <c r="Z662" i="7" s="1"/>
  <c r="G662" i="7"/>
  <c r="C662" i="7"/>
  <c r="D662" i="7"/>
  <c r="H178" i="7"/>
  <c r="D178" i="7"/>
  <c r="G178" i="7"/>
  <c r="C178" i="7"/>
  <c r="H989" i="7"/>
  <c r="G989" i="7"/>
  <c r="C989" i="7"/>
  <c r="D989" i="7"/>
  <c r="G1059" i="7"/>
  <c r="C1059" i="7"/>
  <c r="H1059" i="7"/>
  <c r="Z1059" i="7" s="1"/>
  <c r="D1059" i="7"/>
  <c r="X1059" i="7" s="1"/>
  <c r="H572" i="7"/>
  <c r="Z572" i="7" s="1"/>
  <c r="G572" i="7"/>
  <c r="D572" i="7"/>
  <c r="C572" i="7"/>
  <c r="G142" i="7"/>
  <c r="C142" i="7"/>
  <c r="D142" i="7"/>
  <c r="H142" i="7"/>
  <c r="Z142" i="7" s="1"/>
  <c r="H404" i="7"/>
  <c r="Z404" i="7" s="1"/>
  <c r="C404" i="7"/>
  <c r="G404" i="7"/>
  <c r="D404" i="7"/>
  <c r="H434" i="7"/>
  <c r="C434" i="7"/>
  <c r="G434" i="7"/>
  <c r="D434" i="7"/>
  <c r="G480" i="7"/>
  <c r="C480" i="7"/>
  <c r="D480" i="7"/>
  <c r="H480" i="7"/>
  <c r="Z480" i="7" s="1"/>
  <c r="H707" i="7"/>
  <c r="Z707" i="7" s="1"/>
  <c r="C707" i="7"/>
  <c r="D707" i="7"/>
  <c r="G707" i="7"/>
  <c r="H761" i="7"/>
  <c r="Z761" i="7" s="1"/>
  <c r="C761" i="7"/>
  <c r="D761" i="7"/>
  <c r="X761" i="7" s="1"/>
  <c r="G761" i="7"/>
  <c r="G751" i="7"/>
  <c r="C751" i="7"/>
  <c r="H751" i="7"/>
  <c r="Z751" i="7" s="1"/>
  <c r="D751" i="7"/>
  <c r="G281" i="7"/>
  <c r="H281" i="7"/>
  <c r="C281" i="7"/>
  <c r="D281" i="7"/>
  <c r="H1082" i="7"/>
  <c r="D1082" i="7"/>
  <c r="C1082" i="7"/>
  <c r="G1082" i="7"/>
  <c r="G505" i="7"/>
  <c r="H505" i="7"/>
  <c r="Z505" i="7" s="1"/>
  <c r="D505" i="7"/>
  <c r="C505" i="7"/>
  <c r="H1054" i="7"/>
  <c r="Z1054" i="7" s="1"/>
  <c r="C1054" i="7"/>
  <c r="G1054" i="7"/>
  <c r="D1054" i="7"/>
  <c r="H486" i="7"/>
  <c r="Z486" i="7" s="1"/>
  <c r="G486" i="7"/>
  <c r="D486" i="7"/>
  <c r="C486" i="7"/>
  <c r="H103" i="7"/>
  <c r="Z103" i="7" s="1"/>
  <c r="G103" i="7"/>
  <c r="D103" i="7"/>
  <c r="C103" i="7"/>
  <c r="H73" i="7"/>
  <c r="C73" i="7"/>
  <c r="D73" i="7"/>
  <c r="G73" i="7"/>
  <c r="G177" i="7"/>
  <c r="H177" i="7"/>
  <c r="Z177" i="7" s="1"/>
  <c r="C177" i="7"/>
  <c r="D177" i="7"/>
  <c r="H471" i="7"/>
  <c r="Z471" i="7" s="1"/>
  <c r="C471" i="7"/>
  <c r="G471" i="7"/>
  <c r="D471" i="7"/>
  <c r="G640" i="7"/>
  <c r="C640" i="7"/>
  <c r="H640" i="7"/>
  <c r="Z640" i="7" s="1"/>
  <c r="D640" i="7"/>
  <c r="X640" i="7" s="1"/>
  <c r="H326" i="7"/>
  <c r="Z326" i="7" s="1"/>
  <c r="G326" i="7"/>
  <c r="C326" i="7"/>
  <c r="D326" i="7"/>
  <c r="X326" i="7" s="1"/>
  <c r="H1002" i="7"/>
  <c r="G1002" i="7"/>
  <c r="C1002" i="7"/>
  <c r="D1002" i="7"/>
  <c r="G479" i="7"/>
  <c r="C479" i="7"/>
  <c r="D479" i="7"/>
  <c r="H479" i="7"/>
  <c r="Z479" i="7" s="1"/>
  <c r="H467" i="7"/>
  <c r="Z467" i="7" s="1"/>
  <c r="C467" i="7"/>
  <c r="G467" i="7"/>
  <c r="D467" i="7"/>
  <c r="H1029" i="7"/>
  <c r="Z1029" i="7" s="1"/>
  <c r="C1029" i="7"/>
  <c r="G1029" i="7"/>
  <c r="D1029" i="7"/>
  <c r="G586" i="7"/>
  <c r="C586" i="7"/>
  <c r="H586" i="7"/>
  <c r="Z586" i="7" s="1"/>
  <c r="D586" i="7"/>
  <c r="H897" i="7"/>
  <c r="Z897" i="7" s="1"/>
  <c r="G897" i="7"/>
  <c r="D897" i="7"/>
  <c r="C897" i="7"/>
  <c r="H805" i="7"/>
  <c r="C805" i="7"/>
  <c r="D805" i="7"/>
  <c r="G805" i="7"/>
  <c r="G615" i="7"/>
  <c r="H615" i="7"/>
  <c r="Z615" i="7" s="1"/>
  <c r="C615" i="7"/>
  <c r="D615" i="7"/>
  <c r="G730" i="7"/>
  <c r="D730" i="7"/>
  <c r="C730" i="7"/>
  <c r="H730" i="7"/>
  <c r="Z730" i="7" s="1"/>
  <c r="G1039" i="7"/>
  <c r="C1039" i="7"/>
  <c r="D1039" i="7"/>
  <c r="H1039" i="7"/>
  <c r="Z1039" i="7" s="1"/>
  <c r="G262" i="7"/>
  <c r="H262" i="7"/>
  <c r="Z262" i="7" s="1"/>
  <c r="D262" i="7"/>
  <c r="C262" i="7"/>
  <c r="H901" i="7"/>
  <c r="G901" i="7"/>
  <c r="D901" i="7"/>
  <c r="C901" i="7"/>
  <c r="H21" i="7"/>
  <c r="C21" i="7"/>
  <c r="D21" i="7"/>
  <c r="G21" i="7"/>
  <c r="H34" i="7"/>
  <c r="Z34" i="7" s="1"/>
  <c r="G34" i="7"/>
  <c r="C34" i="7"/>
  <c r="D34" i="7"/>
  <c r="H745" i="7"/>
  <c r="Z745" i="7" s="1"/>
  <c r="C745" i="7"/>
  <c r="G745" i="7"/>
  <c r="D745" i="7"/>
  <c r="G616" i="7"/>
  <c r="C616" i="7"/>
  <c r="H616" i="7"/>
  <c r="Z616" i="7" s="1"/>
  <c r="D616" i="7"/>
  <c r="H115" i="7"/>
  <c r="Z115" i="7" s="1"/>
  <c r="G115" i="7"/>
  <c r="D115" i="7"/>
  <c r="C115" i="7"/>
  <c r="H272" i="7"/>
  <c r="C272" i="7"/>
  <c r="G272" i="7"/>
  <c r="D272" i="7"/>
  <c r="H456" i="7"/>
  <c r="Z456" i="7" s="1"/>
  <c r="G456" i="7"/>
  <c r="C456" i="7"/>
  <c r="D456" i="7"/>
  <c r="H131" i="7"/>
  <c r="Z131" i="7" s="1"/>
  <c r="G131" i="7"/>
  <c r="C131" i="7"/>
  <c r="D131" i="7"/>
  <c r="H49" i="7"/>
  <c r="Z49" i="7" s="1"/>
  <c r="C49" i="7"/>
  <c r="G49" i="7"/>
  <c r="D49" i="7"/>
  <c r="H302" i="7"/>
  <c r="Z302" i="7" s="1"/>
  <c r="C302" i="7"/>
  <c r="G302" i="7"/>
  <c r="D302" i="7"/>
  <c r="H746" i="7"/>
  <c r="C746" i="7"/>
  <c r="D746" i="7"/>
  <c r="G746" i="7"/>
  <c r="G200" i="7"/>
  <c r="H200" i="7"/>
  <c r="C200" i="7"/>
  <c r="D200" i="7"/>
  <c r="G747" i="7"/>
  <c r="C747" i="7"/>
  <c r="D747" i="7"/>
  <c r="H747" i="7"/>
  <c r="Z747" i="7" s="1"/>
  <c r="G287" i="7"/>
  <c r="H287" i="7"/>
  <c r="Z287" i="7" s="1"/>
  <c r="D287" i="7"/>
  <c r="C287" i="7"/>
  <c r="G540" i="7"/>
  <c r="H540" i="7"/>
  <c r="Z540" i="7" s="1"/>
  <c r="C540" i="7"/>
  <c r="D540" i="7"/>
  <c r="H576" i="7"/>
  <c r="Z576" i="7" s="1"/>
  <c r="G576" i="7"/>
  <c r="C576" i="7"/>
  <c r="D576" i="7"/>
  <c r="H852" i="7"/>
  <c r="C852" i="7"/>
  <c r="D852" i="7"/>
  <c r="G852" i="7"/>
  <c r="H550" i="7"/>
  <c r="Z550" i="7" s="1"/>
  <c r="C550" i="7"/>
  <c r="G550" i="7"/>
  <c r="D550" i="7"/>
  <c r="G664" i="7"/>
  <c r="H664" i="7"/>
  <c r="Z664" i="7" s="1"/>
  <c r="C664" i="7"/>
  <c r="D664" i="7"/>
  <c r="X664" i="7" s="1"/>
  <c r="H706" i="7"/>
  <c r="Z706" i="7" s="1"/>
  <c r="C706" i="7"/>
  <c r="G706" i="7"/>
  <c r="D706" i="7"/>
  <c r="X706" i="7" s="1"/>
  <c r="G180" i="7"/>
  <c r="H180" i="7"/>
  <c r="Z180" i="7" s="1"/>
  <c r="C180" i="7"/>
  <c r="D180" i="7"/>
  <c r="H599" i="7"/>
  <c r="G599" i="7"/>
  <c r="C599" i="7"/>
  <c r="D599" i="7"/>
  <c r="H609" i="7"/>
  <c r="G609" i="7"/>
  <c r="C609" i="7"/>
  <c r="D609" i="7"/>
  <c r="H570" i="7"/>
  <c r="Z570" i="7" s="1"/>
  <c r="C570" i="7"/>
  <c r="D570" i="7"/>
  <c r="G570" i="7"/>
  <c r="H980" i="7"/>
  <c r="Z980" i="7" s="1"/>
  <c r="G980" i="7"/>
  <c r="D980" i="7"/>
  <c r="C980" i="7"/>
  <c r="H60" i="7"/>
  <c r="Z60" i="7" s="1"/>
  <c r="C60" i="7"/>
  <c r="D60" i="7"/>
  <c r="X60" i="7" s="1"/>
  <c r="G60" i="7"/>
  <c r="G844" i="7"/>
  <c r="H844" i="7"/>
  <c r="Z844" i="7" s="1"/>
  <c r="C844" i="7"/>
  <c r="D844" i="7"/>
  <c r="G827" i="7"/>
  <c r="D827" i="7"/>
  <c r="C827" i="7"/>
  <c r="H827" i="7"/>
  <c r="H816" i="7"/>
  <c r="G816" i="7"/>
  <c r="C816" i="7"/>
  <c r="D816" i="7"/>
  <c r="G956" i="7"/>
  <c r="H956" i="7"/>
  <c r="C956" i="7"/>
  <c r="D956" i="7"/>
  <c r="H195" i="7"/>
  <c r="Z195" i="7" s="1"/>
  <c r="C195" i="7"/>
  <c r="D195" i="7"/>
  <c r="G195" i="7"/>
  <c r="H621" i="7"/>
  <c r="Z621" i="7" s="1"/>
  <c r="G621" i="7"/>
  <c r="C621" i="7"/>
  <c r="D621" i="7"/>
  <c r="G154" i="7"/>
  <c r="H154" i="7"/>
  <c r="C154" i="7"/>
  <c r="D154" i="7"/>
  <c r="G316" i="7"/>
  <c r="H316" i="7"/>
  <c r="C316" i="7"/>
  <c r="D316" i="7"/>
  <c r="H656" i="7"/>
  <c r="Z656" i="7" s="1"/>
  <c r="G656" i="7"/>
  <c r="C656" i="7"/>
  <c r="D656" i="7"/>
  <c r="G913" i="7"/>
  <c r="H913" i="7"/>
  <c r="Z913" i="7" s="1"/>
  <c r="C913" i="7"/>
  <c r="D913" i="7"/>
  <c r="C817" i="7"/>
  <c r="H817" i="7"/>
  <c r="Z817" i="7" s="1"/>
  <c r="G817" i="7"/>
  <c r="D817" i="7"/>
  <c r="C665" i="7"/>
  <c r="G665" i="7"/>
  <c r="H665" i="7"/>
  <c r="D665" i="7"/>
  <c r="H6" i="7"/>
  <c r="G6" i="7"/>
  <c r="C6" i="7"/>
  <c r="D6" i="7"/>
  <c r="G19" i="7"/>
  <c r="H19" i="7"/>
  <c r="Z19" i="7" s="1"/>
  <c r="D19" i="7"/>
  <c r="C19" i="7"/>
  <c r="H991" i="7"/>
  <c r="Z991" i="7" s="1"/>
  <c r="C991" i="7"/>
  <c r="G991" i="7"/>
  <c r="D991" i="7"/>
  <c r="G912" i="7"/>
  <c r="C912" i="7"/>
  <c r="H912" i="7"/>
  <c r="Z912" i="7" s="1"/>
  <c r="D912" i="7"/>
  <c r="H305" i="7"/>
  <c r="Z305" i="7" s="1"/>
  <c r="G305" i="7"/>
  <c r="D305" i="7"/>
  <c r="C305" i="7"/>
  <c r="G611" i="7"/>
  <c r="C611" i="7"/>
  <c r="H611" i="7"/>
  <c r="D611" i="7"/>
  <c r="H1009" i="7"/>
  <c r="G1009" i="7"/>
  <c r="D1009" i="7"/>
  <c r="C1009" i="7"/>
  <c r="H947" i="7"/>
  <c r="Z947" i="7" s="1"/>
  <c r="C947" i="7"/>
  <c r="G947" i="7"/>
  <c r="D947" i="7"/>
  <c r="G1041" i="7"/>
  <c r="H1041" i="7"/>
  <c r="Z1041" i="7" s="1"/>
  <c r="C1041" i="7"/>
  <c r="D1041" i="7"/>
  <c r="H830" i="7"/>
  <c r="Z830" i="7" s="1"/>
  <c r="G830" i="7"/>
  <c r="C830" i="7"/>
  <c r="D830" i="7"/>
  <c r="G336" i="7"/>
  <c r="H336" i="7"/>
  <c r="Z336" i="7" s="1"/>
  <c r="D336" i="7"/>
  <c r="C336" i="7"/>
  <c r="H319" i="7"/>
  <c r="G319" i="7"/>
  <c r="C319" i="7"/>
  <c r="D319" i="7"/>
  <c r="H902" i="7"/>
  <c r="C902" i="7"/>
  <c r="D902" i="7"/>
  <c r="G902" i="7"/>
  <c r="H785" i="7"/>
  <c r="Z785" i="7" s="1"/>
  <c r="G785" i="7"/>
  <c r="C785" i="7"/>
  <c r="D785" i="7"/>
  <c r="G367" i="7"/>
  <c r="H367" i="7"/>
  <c r="Z367" i="7" s="1"/>
  <c r="C367" i="7"/>
  <c r="D367" i="7"/>
  <c r="H791" i="7"/>
  <c r="Z791" i="7" s="1"/>
  <c r="G791" i="7"/>
  <c r="C791" i="7"/>
  <c r="D791" i="7"/>
  <c r="G592" i="7"/>
  <c r="H592" i="7"/>
  <c r="C592" i="7"/>
  <c r="D592" i="7"/>
  <c r="H354" i="7"/>
  <c r="C354" i="7"/>
  <c r="G354" i="7"/>
  <c r="D354" i="7"/>
  <c r="X354" i="7" s="1"/>
  <c r="H414" i="7"/>
  <c r="Z414" i="7" s="1"/>
  <c r="C414" i="7"/>
  <c r="G414" i="7"/>
  <c r="D414" i="7"/>
  <c r="H882" i="7"/>
  <c r="Z882" i="7" s="1"/>
  <c r="G882" i="7"/>
  <c r="C882" i="7"/>
  <c r="D882" i="7"/>
  <c r="G395" i="7"/>
  <c r="C395" i="7"/>
  <c r="D395" i="7"/>
  <c r="H395" i="7"/>
  <c r="Z395" i="7" s="1"/>
  <c r="G451" i="7"/>
  <c r="H451" i="7"/>
  <c r="Z451" i="7" s="1"/>
  <c r="C451" i="7"/>
  <c r="D451" i="7"/>
  <c r="G562" i="7"/>
  <c r="D562" i="7"/>
  <c r="C562" i="7"/>
  <c r="H562" i="7"/>
  <c r="C992" i="7"/>
  <c r="H992" i="7"/>
  <c r="Z992" i="7" s="1"/>
  <c r="G992" i="7"/>
  <c r="D992" i="7"/>
  <c r="H457" i="7"/>
  <c r="Z457" i="7" s="1"/>
  <c r="C457" i="7"/>
  <c r="D457" i="7"/>
  <c r="G457" i="7"/>
  <c r="H217" i="7"/>
  <c r="Z217" i="7" s="1"/>
  <c r="G217" i="7"/>
  <c r="D217" i="7"/>
  <c r="X217" i="7" s="1"/>
  <c r="C217" i="7"/>
  <c r="H158" i="7"/>
  <c r="Z158" i="7" s="1"/>
  <c r="G158" i="7"/>
  <c r="D158" i="7"/>
  <c r="C158" i="7"/>
  <c r="H322" i="7"/>
  <c r="G322" i="7"/>
  <c r="C322" i="7"/>
  <c r="D322" i="7"/>
  <c r="H943" i="7"/>
  <c r="G943" i="7"/>
  <c r="D943" i="7"/>
  <c r="C943" i="7"/>
  <c r="H604" i="7"/>
  <c r="Z604" i="7" s="1"/>
  <c r="G604" i="7"/>
  <c r="C604" i="7"/>
  <c r="D604" i="7"/>
  <c r="X604" i="7" s="1"/>
  <c r="H78" i="7"/>
  <c r="Z78" i="7" s="1"/>
  <c r="C78" i="7"/>
  <c r="D78" i="7"/>
  <c r="G78" i="7"/>
  <c r="H429" i="7"/>
  <c r="Z429" i="7" s="1"/>
  <c r="G429" i="7"/>
  <c r="C429" i="7"/>
  <c r="D429" i="7"/>
  <c r="G824" i="7"/>
  <c r="C824" i="7"/>
  <c r="D824" i="7"/>
  <c r="H824" i="7"/>
  <c r="G1063" i="7"/>
  <c r="H1063" i="7"/>
  <c r="D1063" i="7"/>
  <c r="C1063" i="7"/>
  <c r="H988" i="7"/>
  <c r="G988" i="7"/>
  <c r="C988" i="7"/>
  <c r="D988" i="7"/>
  <c r="G802" i="7"/>
  <c r="H802" i="7"/>
  <c r="Z802" i="7" s="1"/>
  <c r="C802" i="7"/>
  <c r="D802" i="7"/>
  <c r="G646" i="7"/>
  <c r="H646" i="7"/>
  <c r="Z646" i="7" s="1"/>
  <c r="C646" i="7"/>
  <c r="D646" i="7"/>
  <c r="H1071" i="7"/>
  <c r="Z1071" i="7" s="1"/>
  <c r="G1071" i="7"/>
  <c r="D1071" i="7"/>
  <c r="C1071" i="7"/>
  <c r="G15" i="7"/>
  <c r="H15" i="7"/>
  <c r="C15" i="7"/>
  <c r="D15" i="7"/>
  <c r="H831" i="7"/>
  <c r="G831" i="7"/>
  <c r="C831" i="7"/>
  <c r="D831" i="7"/>
  <c r="H986" i="7"/>
  <c r="Z986" i="7" s="1"/>
  <c r="G986" i="7"/>
  <c r="C986" i="7"/>
  <c r="D986" i="7"/>
  <c r="G993" i="7"/>
  <c r="C993" i="7"/>
  <c r="D993" i="7"/>
  <c r="H993" i="7"/>
  <c r="Z993" i="7" s="1"/>
  <c r="H402" i="7"/>
  <c r="Z402" i="7" s="1"/>
  <c r="C402" i="7"/>
  <c r="G402" i="7"/>
  <c r="D402" i="7"/>
  <c r="H335" i="7"/>
  <c r="Z335" i="7" s="1"/>
  <c r="G335" i="7"/>
  <c r="D335" i="7"/>
  <c r="C335" i="7"/>
  <c r="H607" i="7"/>
  <c r="C607" i="7"/>
  <c r="G607" i="7"/>
  <c r="D607" i="7"/>
  <c r="C527" i="7"/>
  <c r="H527" i="7"/>
  <c r="Z527" i="7" s="1"/>
  <c r="D527" i="7"/>
  <c r="G527" i="7"/>
  <c r="H266" i="7"/>
  <c r="Z266" i="7" s="1"/>
  <c r="G266" i="7"/>
  <c r="D266" i="7"/>
  <c r="C266" i="7"/>
  <c r="H898" i="7"/>
  <c r="Z898" i="7" s="1"/>
  <c r="G898" i="7"/>
  <c r="D898" i="7"/>
  <c r="C898" i="7"/>
  <c r="H521" i="7"/>
  <c r="Z521" i="7" s="1"/>
  <c r="C521" i="7"/>
  <c r="D521" i="7"/>
  <c r="G521" i="7"/>
  <c r="G566" i="7"/>
  <c r="H566" i="7"/>
  <c r="D566" i="7"/>
  <c r="C566" i="7"/>
  <c r="H401" i="7"/>
  <c r="C401" i="7"/>
  <c r="G401" i="7"/>
  <c r="D401" i="7"/>
  <c r="C795" i="7"/>
  <c r="H795" i="7"/>
  <c r="Z795" i="7" s="1"/>
  <c r="G795" i="7"/>
  <c r="D795" i="7"/>
  <c r="G972" i="7"/>
  <c r="H972" i="7"/>
  <c r="Z972" i="7" s="1"/>
  <c r="C972" i="7"/>
  <c r="D972" i="7"/>
  <c r="H717" i="7"/>
  <c r="Z717" i="7" s="1"/>
  <c r="G717" i="7"/>
  <c r="D717" i="7"/>
  <c r="C717" i="7"/>
  <c r="G589" i="7"/>
  <c r="H589" i="7"/>
  <c r="Z589" i="7" s="1"/>
  <c r="D589" i="7"/>
  <c r="C589" i="7"/>
  <c r="H690" i="7"/>
  <c r="C690" i="7"/>
  <c r="G690" i="7"/>
  <c r="D690" i="7"/>
  <c r="G778" i="7"/>
  <c r="C778" i="7"/>
  <c r="D778" i="7"/>
  <c r="H778" i="7"/>
  <c r="Z778" i="7" s="1"/>
  <c r="H292" i="7"/>
  <c r="Z292" i="7" s="1"/>
  <c r="G292" i="7"/>
  <c r="D292" i="7"/>
  <c r="C292" i="7"/>
  <c r="H185" i="7"/>
  <c r="Z185" i="7" s="1"/>
  <c r="G185" i="7"/>
  <c r="C185" i="7"/>
  <c r="D185" i="7"/>
  <c r="G674" i="7"/>
  <c r="C674" i="7"/>
  <c r="H674" i="7"/>
  <c r="Z674" i="7" s="1"/>
  <c r="D674" i="7"/>
  <c r="X674" i="7" s="1"/>
  <c r="H657" i="7"/>
  <c r="G657" i="7"/>
  <c r="C657" i="7"/>
  <c r="D657" i="7"/>
  <c r="G617" i="7"/>
  <c r="H617" i="7"/>
  <c r="D617" i="7"/>
  <c r="C617" i="7"/>
  <c r="H740" i="7"/>
  <c r="Z740" i="7" s="1"/>
  <c r="G740" i="7"/>
  <c r="C740" i="7"/>
  <c r="D740" i="7"/>
  <c r="H192" i="7"/>
  <c r="Z192" i="7" s="1"/>
  <c r="G192" i="7"/>
  <c r="D192" i="7"/>
  <c r="C192" i="7"/>
  <c r="H743" i="7"/>
  <c r="Z743" i="7" s="1"/>
  <c r="C743" i="7"/>
  <c r="G743" i="7"/>
  <c r="D743" i="7"/>
  <c r="G801" i="7"/>
  <c r="H801" i="7"/>
  <c r="Z801" i="7" s="1"/>
  <c r="D801" i="7"/>
  <c r="C801" i="7"/>
  <c r="G285" i="7"/>
  <c r="H285" i="7"/>
  <c r="C285" i="7"/>
  <c r="D285" i="7"/>
  <c r="G794" i="7"/>
  <c r="H794" i="7"/>
  <c r="Z794" i="7" s="1"/>
  <c r="D794" i="7"/>
  <c r="C794" i="7"/>
  <c r="H407" i="7"/>
  <c r="Z407" i="7" s="1"/>
  <c r="G407" i="7"/>
  <c r="D407" i="7"/>
  <c r="C407" i="7"/>
  <c r="G619" i="7"/>
  <c r="H619" i="7"/>
  <c r="Z619" i="7" s="1"/>
  <c r="C619" i="7"/>
  <c r="D619" i="7"/>
  <c r="H769" i="7"/>
  <c r="Z769" i="7" s="1"/>
  <c r="C769" i="7"/>
  <c r="G769" i="7"/>
  <c r="D769" i="7"/>
  <c r="H245" i="7"/>
  <c r="C245" i="7"/>
  <c r="G245" i="7"/>
  <c r="D245" i="7"/>
  <c r="H320" i="7"/>
  <c r="C320" i="7"/>
  <c r="G320" i="7"/>
  <c r="D320" i="7"/>
  <c r="H331" i="7"/>
  <c r="Z331" i="7" s="1"/>
  <c r="G331" i="7"/>
  <c r="C331" i="7"/>
  <c r="D331" i="7"/>
  <c r="H1035" i="7"/>
  <c r="Z1035" i="7" s="1"/>
  <c r="G1035" i="7"/>
  <c r="C1035" i="7"/>
  <c r="D1035" i="7"/>
  <c r="H88" i="7"/>
  <c r="Z88" i="7" s="1"/>
  <c r="C88" i="7"/>
  <c r="D88" i="7"/>
  <c r="G88" i="7"/>
  <c r="G1016" i="7"/>
  <c r="H1016" i="7"/>
  <c r="Z1016" i="7" s="1"/>
  <c r="D1016" i="7"/>
  <c r="C1016" i="7"/>
  <c r="G400" i="7"/>
  <c r="H400" i="7"/>
  <c r="C400" i="7"/>
  <c r="D400" i="7"/>
  <c r="G775" i="7"/>
  <c r="C775" i="7"/>
  <c r="D775" i="7"/>
  <c r="H775" i="7"/>
  <c r="Z775" i="7" s="1"/>
  <c r="G475" i="7"/>
  <c r="C475" i="7"/>
  <c r="H475" i="7"/>
  <c r="Z475" i="7" s="1"/>
  <c r="D475" i="7"/>
  <c r="H210" i="7"/>
  <c r="Z210" i="7" s="1"/>
  <c r="C210" i="7"/>
  <c r="G210" i="7"/>
  <c r="D210" i="7"/>
  <c r="H960" i="7"/>
  <c r="Z960" i="7" s="1"/>
  <c r="G960" i="7"/>
  <c r="C960" i="7"/>
  <c r="D960" i="7"/>
  <c r="X960" i="7" s="1"/>
  <c r="H610" i="7"/>
  <c r="C610" i="7"/>
  <c r="G610" i="7"/>
  <c r="D610" i="7"/>
  <c r="G800" i="7"/>
  <c r="H800" i="7"/>
  <c r="C800" i="7"/>
  <c r="D800" i="7"/>
  <c r="C883" i="7"/>
  <c r="H883" i="7"/>
  <c r="Z883" i="7" s="1"/>
  <c r="G883" i="7"/>
  <c r="D883" i="7"/>
  <c r="H411" i="7"/>
  <c r="Z411" i="7" s="1"/>
  <c r="G411" i="7"/>
  <c r="D411" i="7"/>
  <c r="C411" i="7"/>
  <c r="G67" i="7"/>
  <c r="D67" i="7"/>
  <c r="X67" i="7" s="1"/>
  <c r="C67" i="7"/>
  <c r="H67" i="7"/>
  <c r="Z67" i="7" s="1"/>
  <c r="G957" i="7"/>
  <c r="H957" i="7"/>
  <c r="Z957" i="7" s="1"/>
  <c r="C957" i="7"/>
  <c r="D957" i="7"/>
  <c r="H4" i="7"/>
  <c r="G4" i="7"/>
  <c r="D4" i="7"/>
  <c r="C4" i="7"/>
  <c r="H732" i="7"/>
  <c r="Z732" i="7" s="1"/>
  <c r="G732" i="7"/>
  <c r="D732" i="7"/>
  <c r="X732" i="7" s="1"/>
  <c r="C732" i="7"/>
  <c r="H56" i="7"/>
  <c r="Z56" i="7" s="1"/>
  <c r="G56" i="7"/>
  <c r="C56" i="7"/>
  <c r="D56" i="7"/>
  <c r="H495" i="7"/>
  <c r="Z495" i="7" s="1"/>
  <c r="G495" i="7"/>
  <c r="D495" i="7"/>
  <c r="C495" i="7"/>
  <c r="G843" i="7"/>
  <c r="H843" i="7"/>
  <c r="Z843" i="7" s="1"/>
  <c r="C843" i="7"/>
  <c r="D843" i="7"/>
  <c r="H962" i="7"/>
  <c r="G962" i="7"/>
  <c r="C962" i="7"/>
  <c r="D962" i="7"/>
  <c r="G476" i="7"/>
  <c r="C476" i="7"/>
  <c r="D476" i="7"/>
  <c r="H476" i="7"/>
  <c r="Z476" i="7" s="1"/>
  <c r="H162" i="7"/>
  <c r="Z162" i="7" s="1"/>
  <c r="G162" i="7"/>
  <c r="D162" i="7"/>
  <c r="X162" i="7" s="1"/>
  <c r="C162" i="7"/>
  <c r="G776" i="7"/>
  <c r="C776" i="7"/>
  <c r="D776" i="7"/>
  <c r="H776" i="7"/>
  <c r="Z776" i="7" s="1"/>
  <c r="H435" i="7"/>
  <c r="Z435" i="7" s="1"/>
  <c r="G435" i="7"/>
  <c r="C435" i="7"/>
  <c r="D435" i="7"/>
  <c r="X435" i="7" s="1"/>
  <c r="H431" i="7"/>
  <c r="Z431" i="7" s="1"/>
  <c r="G431" i="7"/>
  <c r="C431" i="7"/>
  <c r="D431" i="7"/>
  <c r="H247" i="7"/>
  <c r="Z247" i="7" s="1"/>
  <c r="G247" i="7"/>
  <c r="C247" i="7"/>
  <c r="D247" i="7"/>
  <c r="C472" i="7"/>
  <c r="D472" i="7"/>
  <c r="G472" i="7"/>
  <c r="H472" i="7"/>
  <c r="Z472" i="7" s="1"/>
  <c r="H650" i="7"/>
  <c r="Z650" i="7" s="1"/>
  <c r="C650" i="7"/>
  <c r="G650" i="7"/>
  <c r="D650" i="7"/>
  <c r="X650" i="7" s="1"/>
  <c r="H108" i="7"/>
  <c r="Z108" i="7" s="1"/>
  <c r="G108" i="7"/>
  <c r="D108" i="7"/>
  <c r="C108" i="7"/>
  <c r="H659" i="7"/>
  <c r="Z659" i="7" s="1"/>
  <c r="G659" i="7"/>
  <c r="C659" i="7"/>
  <c r="D659" i="7"/>
  <c r="H961" i="7"/>
  <c r="G961" i="7"/>
  <c r="C961" i="7"/>
  <c r="D961" i="7"/>
  <c r="G450" i="7"/>
  <c r="H450" i="7"/>
  <c r="C450" i="7"/>
  <c r="D450" i="7"/>
  <c r="G539" i="7"/>
  <c r="H539" i="7"/>
  <c r="Z539" i="7" s="1"/>
  <c r="D539" i="7"/>
  <c r="C539" i="7"/>
  <c r="H720" i="7"/>
  <c r="Z720" i="7" s="1"/>
  <c r="G720" i="7"/>
  <c r="D720" i="7"/>
  <c r="C720" i="7"/>
  <c r="H832" i="7"/>
  <c r="Z832" i="7" s="1"/>
  <c r="G832" i="7"/>
  <c r="C832" i="7"/>
  <c r="D832" i="7"/>
  <c r="H385" i="7"/>
  <c r="Z385" i="7" s="1"/>
  <c r="G385" i="7"/>
  <c r="C385" i="7"/>
  <c r="D385" i="7"/>
  <c r="G369" i="7"/>
  <c r="H369" i="7"/>
  <c r="D369" i="7"/>
  <c r="C369" i="7"/>
  <c r="H349" i="7"/>
  <c r="G349" i="7"/>
  <c r="C349" i="7"/>
  <c r="D349" i="7"/>
  <c r="H417" i="7"/>
  <c r="Z417" i="7" s="1"/>
  <c r="C417" i="7"/>
  <c r="G417" i="7"/>
  <c r="D417" i="7"/>
  <c r="H938" i="7"/>
  <c r="Z938" i="7" s="1"/>
  <c r="G938" i="7"/>
  <c r="C938" i="7"/>
  <c r="D938" i="7"/>
  <c r="G1023" i="7"/>
  <c r="H1023" i="7"/>
  <c r="Z1023" i="7" s="1"/>
  <c r="D1023" i="7"/>
  <c r="C1023" i="7"/>
  <c r="G1038" i="7"/>
  <c r="H1038" i="7"/>
  <c r="C1038" i="7"/>
  <c r="D1038" i="7"/>
  <c r="H1007" i="7"/>
  <c r="G1007" i="7"/>
  <c r="D1007" i="7"/>
  <c r="C1007" i="7"/>
  <c r="C733" i="7"/>
  <c r="H733" i="7"/>
  <c r="Z733" i="7" s="1"/>
  <c r="D733" i="7"/>
  <c r="G733" i="7"/>
  <c r="H194" i="7"/>
  <c r="Z194" i="7" s="1"/>
  <c r="G194" i="7"/>
  <c r="D194" i="7"/>
  <c r="X194" i="7" s="1"/>
  <c r="C194" i="7"/>
  <c r="H137" i="7"/>
  <c r="Z137" i="7" s="1"/>
  <c r="C137" i="7"/>
  <c r="G137" i="7"/>
  <c r="D137" i="7"/>
  <c r="H35" i="7"/>
  <c r="Z35" i="7" s="1"/>
  <c r="G35" i="7"/>
  <c r="C35" i="7"/>
  <c r="D35" i="7"/>
  <c r="G1060" i="7"/>
  <c r="H1060" i="7"/>
  <c r="C1060" i="7"/>
  <c r="D1060" i="7"/>
  <c r="H946" i="7"/>
  <c r="Z946" i="7" s="1"/>
  <c r="G946" i="7"/>
  <c r="D946" i="7"/>
  <c r="C946" i="7"/>
  <c r="G582" i="7"/>
  <c r="C582" i="7"/>
  <c r="H582" i="7"/>
  <c r="Z582" i="7" s="1"/>
  <c r="D582" i="7"/>
  <c r="G47" i="7"/>
  <c r="H47" i="7"/>
  <c r="Z47" i="7" s="1"/>
  <c r="C47" i="7"/>
  <c r="D47" i="7"/>
  <c r="H877" i="7"/>
  <c r="Z877" i="7" s="1"/>
  <c r="C877" i="7"/>
  <c r="G877" i="7"/>
  <c r="D877" i="7"/>
  <c r="H574" i="7"/>
  <c r="C574" i="7"/>
  <c r="G574" i="7"/>
  <c r="D574" i="7"/>
  <c r="H900" i="7"/>
  <c r="Z900" i="7" s="1"/>
  <c r="G900" i="7"/>
  <c r="D900" i="7"/>
  <c r="C900" i="7"/>
  <c r="H964" i="7"/>
  <c r="Z964" i="7" s="1"/>
  <c r="G964" i="7"/>
  <c r="C964" i="7"/>
  <c r="D964" i="7"/>
  <c r="C157" i="7"/>
  <c r="H157" i="7"/>
  <c r="Z157" i="7" s="1"/>
  <c r="G157" i="7"/>
  <c r="D157" i="7"/>
  <c r="C234" i="7"/>
  <c r="D234" i="7"/>
  <c r="H234" i="7"/>
  <c r="Z234" i="7" s="1"/>
  <c r="G234" i="7"/>
  <c r="G669" i="7"/>
  <c r="C669" i="7"/>
  <c r="H669" i="7"/>
  <c r="D669" i="7"/>
  <c r="G756" i="7"/>
  <c r="H756" i="7"/>
  <c r="D756" i="7"/>
  <c r="C756" i="7"/>
  <c r="G259" i="7"/>
  <c r="H259" i="7"/>
  <c r="Z259" i="7" s="1"/>
  <c r="D259" i="7"/>
  <c r="X259" i="7" s="1"/>
  <c r="C259" i="7"/>
  <c r="H187" i="7"/>
  <c r="Z187" i="7" s="1"/>
  <c r="G187" i="7"/>
  <c r="D187" i="7"/>
  <c r="C187" i="7"/>
  <c r="H965" i="7"/>
  <c r="Z965" i="7" s="1"/>
  <c r="G965" i="7"/>
  <c r="C965" i="7"/>
  <c r="D965" i="7"/>
  <c r="X965" i="7" s="1"/>
  <c r="G286" i="7"/>
  <c r="H286" i="7"/>
  <c r="Z286" i="7" s="1"/>
  <c r="C286" i="7"/>
  <c r="D286" i="7"/>
  <c r="H179" i="7"/>
  <c r="G179" i="7"/>
  <c r="C179" i="7"/>
  <c r="D179" i="7"/>
  <c r="G700" i="7"/>
  <c r="H700" i="7"/>
  <c r="D700" i="7"/>
  <c r="C700" i="7"/>
  <c r="G317" i="7"/>
  <c r="H317" i="7"/>
  <c r="Z317" i="7" s="1"/>
  <c r="C317" i="7"/>
  <c r="D317" i="7"/>
  <c r="H20" i="7"/>
  <c r="Z20" i="7" s="1"/>
  <c r="C20" i="7"/>
  <c r="D20" i="7"/>
  <c r="G20" i="7"/>
  <c r="H899" i="7"/>
  <c r="Z899" i="7" s="1"/>
  <c r="G899" i="7"/>
  <c r="D899" i="7"/>
  <c r="C899" i="7"/>
  <c r="H153" i="7"/>
  <c r="Z153" i="7" s="1"/>
  <c r="C153" i="7"/>
  <c r="G153" i="7"/>
  <c r="D153" i="7"/>
  <c r="G995" i="7"/>
  <c r="C995" i="7"/>
  <c r="D995" i="7"/>
  <c r="H995" i="7"/>
  <c r="H127" i="7"/>
  <c r="G127" i="7"/>
  <c r="C127" i="7"/>
  <c r="D127" i="7"/>
  <c r="G396" i="7"/>
  <c r="D396" i="7"/>
  <c r="C396" i="7"/>
  <c r="H396" i="7"/>
  <c r="Z396" i="7" s="1"/>
  <c r="H241" i="7"/>
  <c r="Z241" i="7" s="1"/>
  <c r="G241" i="7"/>
  <c r="C241" i="7"/>
  <c r="D241" i="7"/>
  <c r="G612" i="7"/>
  <c r="C612" i="7"/>
  <c r="H612" i="7"/>
  <c r="Z612" i="7" s="1"/>
  <c r="D612" i="7"/>
  <c r="G1020" i="7"/>
  <c r="H1020" i="7"/>
  <c r="D1020" i="7"/>
  <c r="C1020" i="7"/>
  <c r="G44" i="7"/>
  <c r="H44" i="7"/>
  <c r="C44" i="7"/>
  <c r="D44" i="7"/>
  <c r="H107" i="7"/>
  <c r="Z107" i="7" s="1"/>
  <c r="C107" i="7"/>
  <c r="G107" i="7"/>
  <c r="D107" i="7"/>
  <c r="G781" i="7"/>
  <c r="H781" i="7"/>
  <c r="Z781" i="7" s="1"/>
  <c r="D781" i="7"/>
  <c r="C781" i="7"/>
  <c r="G567" i="7"/>
  <c r="H567" i="7"/>
  <c r="Z567" i="7" s="1"/>
  <c r="D567" i="7"/>
  <c r="C567" i="7"/>
  <c r="G260" i="7"/>
  <c r="H260" i="7"/>
  <c r="Z260" i="7" s="1"/>
  <c r="D260" i="7"/>
  <c r="C260" i="7"/>
  <c r="G199" i="7"/>
  <c r="H199" i="7"/>
  <c r="D199" i="7"/>
  <c r="X199" i="7" s="1"/>
  <c r="C199" i="7"/>
  <c r="H894" i="7"/>
  <c r="G894" i="7"/>
  <c r="D894" i="7"/>
  <c r="C894" i="7"/>
  <c r="H279" i="7"/>
  <c r="Z279" i="7" s="1"/>
  <c r="G279" i="7"/>
  <c r="C279" i="7"/>
  <c r="D279" i="7"/>
  <c r="H494" i="7"/>
  <c r="Z494" i="7" s="1"/>
  <c r="G494" i="7"/>
  <c r="D494" i="7"/>
  <c r="C494" i="7"/>
  <c r="H497" i="7"/>
  <c r="Z497" i="7" s="1"/>
  <c r="G497" i="7"/>
  <c r="C497" i="7"/>
  <c r="D497" i="7"/>
  <c r="H359" i="7"/>
  <c r="G359" i="7"/>
  <c r="C359" i="7"/>
  <c r="D359" i="7"/>
  <c r="G842" i="7"/>
  <c r="C842" i="7"/>
  <c r="H842" i="7"/>
  <c r="D842" i="7"/>
  <c r="X842" i="7" s="1"/>
  <c r="G116" i="7"/>
  <c r="H116" i="7"/>
  <c r="Z116" i="7" s="1"/>
  <c r="C116" i="7"/>
  <c r="D116" i="7"/>
  <c r="H1026" i="7"/>
  <c r="Z1026" i="7" s="1"/>
  <c r="C1026" i="7"/>
  <c r="G1026" i="7"/>
  <c r="D1026" i="7"/>
  <c r="H676" i="7"/>
  <c r="Z676" i="7" s="1"/>
  <c r="G676" i="7"/>
  <c r="C676" i="7"/>
  <c r="D676" i="7"/>
  <c r="H968" i="7"/>
  <c r="Z968" i="7" s="1"/>
  <c r="G968" i="7"/>
  <c r="C968" i="7"/>
  <c r="D968" i="7"/>
  <c r="G561" i="7"/>
  <c r="D561" i="7"/>
  <c r="C561" i="7"/>
  <c r="H561" i="7"/>
  <c r="H269" i="7"/>
  <c r="C269" i="7"/>
  <c r="G269" i="7"/>
  <c r="D269" i="7"/>
  <c r="H83" i="7"/>
  <c r="Z83" i="7" s="1"/>
  <c r="G83" i="7"/>
  <c r="C83" i="7"/>
  <c r="D83" i="7"/>
  <c r="H490" i="7"/>
  <c r="Z490" i="7" s="1"/>
  <c r="G490" i="7"/>
  <c r="D490" i="7"/>
  <c r="C490" i="7"/>
  <c r="H1010" i="7"/>
  <c r="Z1010" i="7" s="1"/>
  <c r="G1010" i="7"/>
  <c r="D1010" i="7"/>
  <c r="C1010" i="7"/>
  <c r="G444" i="7"/>
  <c r="H444" i="7"/>
  <c r="C444" i="7"/>
  <c r="D444" i="7"/>
  <c r="H782" i="7"/>
  <c r="G782" i="7"/>
  <c r="D782" i="7"/>
  <c r="C782" i="7"/>
  <c r="H546" i="7"/>
  <c r="Z546" i="7" s="1"/>
  <c r="G546" i="7"/>
  <c r="C546" i="7"/>
  <c r="D546" i="7"/>
  <c r="H436" i="7"/>
  <c r="Z436" i="7" s="1"/>
  <c r="G436" i="7"/>
  <c r="C436" i="7"/>
  <c r="D436" i="7"/>
  <c r="H440" i="7"/>
  <c r="Z440" i="7" s="1"/>
  <c r="G440" i="7"/>
  <c r="C440" i="7"/>
  <c r="D440" i="7"/>
  <c r="H274" i="7"/>
  <c r="Z274" i="7" s="1"/>
  <c r="G274" i="7"/>
  <c r="C274" i="7"/>
  <c r="D274" i="7"/>
  <c r="G420" i="7"/>
  <c r="H420" i="7"/>
  <c r="C420" i="7"/>
  <c r="D420" i="7"/>
  <c r="G647" i="7"/>
  <c r="H647" i="7"/>
  <c r="Z647" i="7" s="1"/>
  <c r="C647" i="7"/>
  <c r="D647" i="7"/>
  <c r="G314" i="7"/>
  <c r="H314" i="7"/>
  <c r="D314" i="7"/>
  <c r="C314" i="7"/>
  <c r="H606" i="7"/>
  <c r="Z606" i="7" s="1"/>
  <c r="G606" i="7"/>
  <c r="C606" i="7"/>
  <c r="D606" i="7"/>
  <c r="H522" i="7"/>
  <c r="Z522" i="7" s="1"/>
  <c r="C522" i="7"/>
  <c r="D522" i="7"/>
  <c r="G522" i="7"/>
  <c r="G869" i="7"/>
  <c r="H869" i="7"/>
  <c r="C869" i="7"/>
  <c r="D869" i="7"/>
  <c r="H807" i="7"/>
  <c r="D807" i="7"/>
  <c r="G807" i="7"/>
  <c r="C807" i="7"/>
  <c r="H28" i="7"/>
  <c r="Z28" i="7" s="1"/>
  <c r="C28" i="7"/>
  <c r="G28" i="7"/>
  <c r="D28" i="7"/>
  <c r="D152" i="7"/>
  <c r="H152" i="7"/>
  <c r="Z152" i="7" s="1"/>
  <c r="C152" i="7"/>
  <c r="G152" i="7"/>
  <c r="G290" i="7"/>
  <c r="H290" i="7"/>
  <c r="Z290" i="7" s="1"/>
  <c r="D290" i="7"/>
  <c r="C290" i="7"/>
  <c r="H198" i="7"/>
  <c r="Z198" i="7" s="1"/>
  <c r="D198" i="7"/>
  <c r="C198" i="7"/>
  <c r="G198" i="7"/>
  <c r="G932" i="7"/>
  <c r="H932" i="7"/>
  <c r="D932" i="7"/>
  <c r="C932" i="7"/>
  <c r="H1083" i="7"/>
  <c r="Z1083" i="7" s="1"/>
  <c r="G1083" i="7"/>
  <c r="C1083" i="7"/>
  <c r="D1083" i="7"/>
  <c r="G529" i="7"/>
  <c r="H529" i="7"/>
  <c r="Z529" i="7" s="1"/>
  <c r="D529" i="7"/>
  <c r="C529" i="7"/>
  <c r="G170" i="7"/>
  <c r="H170" i="7"/>
  <c r="Z170" i="7" s="1"/>
  <c r="C170" i="7"/>
  <c r="D170" i="7"/>
  <c r="H853" i="7"/>
  <c r="Z853" i="7" s="1"/>
  <c r="D853" i="7"/>
  <c r="G853" i="7"/>
  <c r="C853" i="7"/>
  <c r="C156" i="7"/>
  <c r="H156" i="7"/>
  <c r="G156" i="7"/>
  <c r="D156" i="7"/>
  <c r="H242" i="7"/>
  <c r="G242" i="7"/>
  <c r="C242" i="7"/>
  <c r="D242" i="7"/>
  <c r="H834" i="7"/>
  <c r="Z834" i="7" s="1"/>
  <c r="G834" i="7"/>
  <c r="C834" i="7"/>
  <c r="D834" i="7"/>
  <c r="G309" i="7"/>
  <c r="H309" i="7"/>
  <c r="Z309" i="7" s="1"/>
  <c r="D309" i="7"/>
  <c r="C309" i="7"/>
  <c r="G452" i="7"/>
  <c r="H452" i="7"/>
  <c r="Z452" i="7" s="1"/>
  <c r="C452" i="7"/>
  <c r="D452" i="7"/>
  <c r="G447" i="7"/>
  <c r="C447" i="7"/>
  <c r="H447" i="7"/>
  <c r="D447" i="7"/>
  <c r="H850" i="7"/>
  <c r="Z850" i="7" s="1"/>
  <c r="D850" i="7"/>
  <c r="G850" i="7"/>
  <c r="C850" i="7"/>
  <c r="G723" i="7"/>
  <c r="C723" i="7"/>
  <c r="H723" i="7"/>
  <c r="Z723" i="7" s="1"/>
  <c r="D723" i="7"/>
  <c r="G590" i="7"/>
  <c r="H590" i="7"/>
  <c r="Z590" i="7" s="1"/>
  <c r="D590" i="7"/>
  <c r="C590" i="7"/>
  <c r="G40" i="7"/>
  <c r="H40" i="7"/>
  <c r="Z40" i="7" s="1"/>
  <c r="C40" i="7"/>
  <c r="D40" i="7"/>
  <c r="G695" i="7"/>
  <c r="C695" i="7"/>
  <c r="H695" i="7"/>
  <c r="Z695" i="7" s="1"/>
  <c r="D695" i="7"/>
  <c r="H126" i="7"/>
  <c r="G126" i="7"/>
  <c r="C126" i="7"/>
  <c r="D126" i="7"/>
  <c r="G361" i="7"/>
  <c r="H361" i="7"/>
  <c r="C361" i="7"/>
  <c r="D361" i="7"/>
  <c r="H334" i="7"/>
  <c r="Z334" i="7" s="1"/>
  <c r="G334" i="7"/>
  <c r="C334" i="7"/>
  <c r="D334" i="7"/>
  <c r="G374" i="7"/>
  <c r="H374" i="7"/>
  <c r="Z374" i="7" s="1"/>
  <c r="C374" i="7"/>
  <c r="D374" i="7"/>
  <c r="H764" i="7"/>
  <c r="Z764" i="7" s="1"/>
  <c r="G764" i="7"/>
  <c r="C764" i="7"/>
  <c r="D764" i="7"/>
  <c r="H125" i="7"/>
  <c r="Z125" i="7" s="1"/>
  <c r="G125" i="7"/>
  <c r="C125" i="7"/>
  <c r="D125" i="7"/>
  <c r="G114" i="7"/>
  <c r="D114" i="7"/>
  <c r="H114" i="7"/>
  <c r="C114" i="7"/>
  <c r="H858" i="7"/>
  <c r="Z858" i="7" s="1"/>
  <c r="G858" i="7"/>
  <c r="C858" i="7"/>
  <c r="D858" i="7"/>
  <c r="H892" i="7"/>
  <c r="Z892" i="7" s="1"/>
  <c r="G892" i="7"/>
  <c r="C892" i="7"/>
  <c r="D892" i="7"/>
  <c r="G935" i="7"/>
  <c r="H935" i="7"/>
  <c r="Z935" i="7" s="1"/>
  <c r="C935" i="7"/>
  <c r="D935" i="7"/>
  <c r="H11" i="7"/>
  <c r="Z11" i="7" s="1"/>
  <c r="G11" i="7"/>
  <c r="C11" i="7"/>
  <c r="D11" i="7"/>
  <c r="X11" i="7" s="1"/>
  <c r="H356" i="7"/>
  <c r="C356" i="7"/>
  <c r="D356" i="7"/>
  <c r="G356" i="7"/>
  <c r="H1011" i="7"/>
  <c r="G1011" i="7"/>
  <c r="D1011" i="7"/>
  <c r="C1011" i="7"/>
  <c r="H990" i="7"/>
  <c r="Z990" i="7" s="1"/>
  <c r="G990" i="7"/>
  <c r="C990" i="7"/>
  <c r="D990" i="7"/>
  <c r="H595" i="7"/>
  <c r="Z595" i="7" s="1"/>
  <c r="G595" i="7"/>
  <c r="C595" i="7"/>
  <c r="D595" i="7"/>
  <c r="H517" i="7"/>
  <c r="Z517" i="7" s="1"/>
  <c r="G517" i="7"/>
  <c r="C517" i="7"/>
  <c r="D517" i="7"/>
  <c r="H551" i="7"/>
  <c r="Z551" i="7" s="1"/>
  <c r="G551" i="7"/>
  <c r="C551" i="7"/>
  <c r="D551" i="7"/>
  <c r="H635" i="7"/>
  <c r="C635" i="7"/>
  <c r="G635" i="7"/>
  <c r="D635" i="7"/>
  <c r="H649" i="7"/>
  <c r="C649" i="7"/>
  <c r="G649" i="7"/>
  <c r="D649" i="7"/>
  <c r="G427" i="7"/>
  <c r="H427" i="7"/>
  <c r="Z427" i="7" s="1"/>
  <c r="C427" i="7"/>
  <c r="D427" i="7"/>
  <c r="H985" i="7"/>
  <c r="Z985" i="7" s="1"/>
  <c r="G985" i="7"/>
  <c r="C985" i="7"/>
  <c r="D985" i="7"/>
  <c r="G391" i="7"/>
  <c r="D391" i="7"/>
  <c r="C391" i="7"/>
  <c r="H391" i="7"/>
  <c r="Z391" i="7" s="1"/>
  <c r="H940" i="7"/>
  <c r="C940" i="7"/>
  <c r="G940" i="7"/>
  <c r="D940" i="7"/>
  <c r="H221" i="7"/>
  <c r="Z221" i="7" s="1"/>
  <c r="G221" i="7"/>
  <c r="D221" i="7"/>
  <c r="C221" i="7"/>
  <c r="H165" i="7"/>
  <c r="Z165" i="7" s="1"/>
  <c r="G165" i="7"/>
  <c r="D165" i="7"/>
  <c r="C165" i="7"/>
  <c r="C255" i="7"/>
  <c r="H255" i="7"/>
  <c r="Z255" i="7" s="1"/>
  <c r="G255" i="7"/>
  <c r="D255" i="7"/>
  <c r="G753" i="7"/>
  <c r="H753" i="7"/>
  <c r="Z753" i="7" s="1"/>
  <c r="D753" i="7"/>
  <c r="C753" i="7"/>
  <c r="G757" i="7"/>
  <c r="H757" i="7"/>
  <c r="Z757" i="7" s="1"/>
  <c r="C757" i="7"/>
  <c r="D757" i="7"/>
  <c r="G697" i="7"/>
  <c r="H697" i="7"/>
  <c r="Z697" i="7" s="1"/>
  <c r="D697" i="7"/>
  <c r="C697" i="7"/>
  <c r="H106" i="7"/>
  <c r="C106" i="7"/>
  <c r="G106" i="7"/>
  <c r="D106" i="7"/>
  <c r="X106" i="7" s="1"/>
  <c r="H244" i="7"/>
  <c r="Z244" i="7" s="1"/>
  <c r="G244" i="7"/>
  <c r="C244" i="7"/>
  <c r="D244" i="7"/>
  <c r="G864" i="7"/>
  <c r="C864" i="7"/>
  <c r="H864" i="7"/>
  <c r="Z864" i="7" s="1"/>
  <c r="D864" i="7"/>
  <c r="H55" i="7"/>
  <c r="Z55" i="7" s="1"/>
  <c r="G55" i="7"/>
  <c r="C55" i="7"/>
  <c r="D55" i="7"/>
  <c r="G620" i="7"/>
  <c r="H620" i="7"/>
  <c r="C620" i="7"/>
  <c r="D620" i="7"/>
  <c r="H240" i="7"/>
  <c r="C240" i="7"/>
  <c r="G240" i="7"/>
  <c r="D240" i="7"/>
  <c r="H85" i="7"/>
  <c r="Z85" i="7" s="1"/>
  <c r="G85" i="7"/>
  <c r="C85" i="7"/>
  <c r="D85" i="7"/>
  <c r="G530" i="7"/>
  <c r="C530" i="7"/>
  <c r="H530" i="7"/>
  <c r="Z530" i="7" s="1"/>
  <c r="D530" i="7"/>
  <c r="G509" i="7"/>
  <c r="H509" i="7"/>
  <c r="Z509" i="7" s="1"/>
  <c r="C509" i="7"/>
  <c r="D509" i="7"/>
  <c r="G1066" i="7"/>
  <c r="H1066" i="7"/>
  <c r="Z1066" i="7" s="1"/>
  <c r="C1066" i="7"/>
  <c r="D1066" i="7"/>
  <c r="G504" i="7"/>
  <c r="C504" i="7"/>
  <c r="H504" i="7"/>
  <c r="D504" i="7"/>
  <c r="H983" i="7"/>
  <c r="G983" i="7"/>
  <c r="C983" i="7"/>
  <c r="D983" i="7"/>
  <c r="G257" i="7"/>
  <c r="H257" i="7"/>
  <c r="Z257" i="7" s="1"/>
  <c r="D257" i="7"/>
  <c r="C257" i="7"/>
  <c r="G1044" i="7"/>
  <c r="H1044" i="7"/>
  <c r="Z1044" i="7" s="1"/>
  <c r="D1044" i="7"/>
  <c r="C1044" i="7"/>
  <c r="H625" i="7"/>
  <c r="Z625" i="7" s="1"/>
  <c r="G625" i="7"/>
  <c r="C625" i="7"/>
  <c r="D625" i="7"/>
  <c r="H470" i="7"/>
  <c r="C470" i="7"/>
  <c r="G470" i="7"/>
  <c r="D470" i="7"/>
  <c r="G321" i="7"/>
  <c r="C321" i="7"/>
  <c r="H321" i="7"/>
  <c r="D321" i="7"/>
  <c r="H519" i="7"/>
  <c r="Z519" i="7" s="1"/>
  <c r="C519" i="7"/>
  <c r="D519" i="7"/>
  <c r="X519" i="7" s="1"/>
  <c r="G519" i="7"/>
  <c r="H265" i="7"/>
  <c r="Z265" i="7" s="1"/>
  <c r="G265" i="7"/>
  <c r="D265" i="7"/>
  <c r="X265" i="7" s="1"/>
  <c r="C265" i="7"/>
  <c r="G421" i="7"/>
  <c r="C421" i="7"/>
  <c r="D421" i="7"/>
  <c r="H421" i="7"/>
  <c r="Z421" i="7" s="1"/>
  <c r="G727" i="7"/>
  <c r="H727" i="7"/>
  <c r="Z727" i="7" s="1"/>
  <c r="D727" i="7"/>
  <c r="C727" i="7"/>
  <c r="H580" i="7"/>
  <c r="Z580" i="7" s="1"/>
  <c r="C580" i="7"/>
  <c r="G580" i="7"/>
  <c r="D580" i="7"/>
  <c r="X580" i="7" s="1"/>
  <c r="H655" i="7"/>
  <c r="G655" i="7"/>
  <c r="C655" i="7"/>
  <c r="D655" i="7"/>
  <c r="H135" i="7"/>
  <c r="Z135" i="7" s="1"/>
  <c r="D135" i="7"/>
  <c r="C135" i="7"/>
  <c r="G135" i="7"/>
  <c r="G861" i="7"/>
  <c r="C861" i="7"/>
  <c r="H861" i="7"/>
  <c r="Z861" i="7" s="1"/>
  <c r="D861" i="7"/>
  <c r="X861" i="7" s="1"/>
  <c r="C72" i="7"/>
  <c r="H72" i="7"/>
  <c r="Z72" i="7" s="1"/>
  <c r="D72" i="7"/>
  <c r="G72" i="7"/>
  <c r="H133" i="7"/>
  <c r="G133" i="7"/>
  <c r="C133" i="7"/>
  <c r="D133" i="7"/>
  <c r="H808" i="7"/>
  <c r="G808" i="7"/>
  <c r="C808" i="7"/>
  <c r="D808" i="7"/>
  <c r="G591" i="7"/>
  <c r="H591" i="7"/>
  <c r="Z591" i="7" s="1"/>
  <c r="C591" i="7"/>
  <c r="D591" i="7"/>
  <c r="G803" i="7"/>
  <c r="H803" i="7"/>
  <c r="Z803" i="7" s="1"/>
  <c r="C803" i="7"/>
  <c r="D803" i="7"/>
  <c r="H812" i="7"/>
  <c r="Z812" i="7" s="1"/>
  <c r="G812" i="7"/>
  <c r="C812" i="7"/>
  <c r="D812" i="7"/>
  <c r="H837" i="7"/>
  <c r="Z837" i="7" s="1"/>
  <c r="C837" i="7"/>
  <c r="G837" i="7"/>
  <c r="D837" i="7"/>
  <c r="H939" i="7"/>
  <c r="Z939" i="7" s="1"/>
  <c r="G939" i="7"/>
  <c r="C939" i="7"/>
  <c r="D939" i="7"/>
  <c r="H416" i="7"/>
  <c r="Z416" i="7" s="1"/>
  <c r="G416" i="7"/>
  <c r="D416" i="7"/>
  <c r="C416" i="7"/>
  <c r="G846" i="7"/>
  <c r="H846" i="7"/>
  <c r="Z846" i="7" s="1"/>
  <c r="D846" i="7"/>
  <c r="C846" i="7"/>
  <c r="G819" i="7"/>
  <c r="C819" i="7"/>
  <c r="D819" i="7"/>
  <c r="X819" i="7" s="1"/>
  <c r="H819" i="7"/>
  <c r="Z819" i="7" s="1"/>
  <c r="G1022" i="7"/>
  <c r="H1022" i="7"/>
  <c r="Z1022" i="7" s="1"/>
  <c r="C1022" i="7"/>
  <c r="D1022" i="7"/>
  <c r="G644" i="7"/>
  <c r="H644" i="7"/>
  <c r="C644" i="7"/>
  <c r="D644" i="7"/>
  <c r="G581" i="7"/>
  <c r="H581" i="7"/>
  <c r="C581" i="7"/>
  <c r="D581" i="7"/>
  <c r="G639" i="7"/>
  <c r="H639" i="7"/>
  <c r="Z639" i="7" s="1"/>
  <c r="C639" i="7"/>
  <c r="D639" i="7"/>
  <c r="C1058" i="7"/>
  <c r="H1058" i="7"/>
  <c r="Z1058" i="7" s="1"/>
  <c r="G1058" i="7"/>
  <c r="D1058" i="7"/>
  <c r="G96" i="7"/>
  <c r="C96" i="7"/>
  <c r="H96" i="7"/>
  <c r="Z96" i="7" s="1"/>
  <c r="D96" i="7"/>
  <c r="G926" i="7"/>
  <c r="C926" i="7"/>
  <c r="D926" i="7"/>
  <c r="H926" i="7"/>
  <c r="G696" i="7"/>
  <c r="C696" i="7"/>
  <c r="H696" i="7"/>
  <c r="D696" i="7"/>
  <c r="H914" i="7"/>
  <c r="C914" i="7"/>
  <c r="G914" i="7"/>
  <c r="D914" i="7"/>
  <c r="G251" i="7"/>
  <c r="H251" i="7"/>
  <c r="Z251" i="7" s="1"/>
  <c r="D251" i="7"/>
  <c r="C251" i="7"/>
  <c r="G679" i="7"/>
  <c r="C679" i="7"/>
  <c r="H679" i="7"/>
  <c r="Z679" i="7" s="1"/>
  <c r="D679" i="7"/>
  <c r="H545" i="7"/>
  <c r="Z545" i="7" s="1"/>
  <c r="G545" i="7"/>
  <c r="D545" i="7"/>
  <c r="C545" i="7"/>
  <c r="H1057" i="7"/>
  <c r="C1057" i="7"/>
  <c r="G1057" i="7"/>
  <c r="D1057" i="7"/>
  <c r="H188" i="7"/>
  <c r="C188" i="7"/>
  <c r="G188" i="7"/>
  <c r="D188" i="7"/>
  <c r="G974" i="7"/>
  <c r="C974" i="7"/>
  <c r="H974" i="7"/>
  <c r="Z974" i="7" s="1"/>
  <c r="D974" i="7"/>
  <c r="G90" i="7"/>
  <c r="H90" i="7"/>
  <c r="Z90" i="7" s="1"/>
  <c r="D90" i="7"/>
  <c r="C90" i="7"/>
  <c r="H1079" i="7"/>
  <c r="Z1079" i="7" s="1"/>
  <c r="G1079" i="7"/>
  <c r="D1079" i="7"/>
  <c r="C1079" i="7"/>
  <c r="G885" i="7"/>
  <c r="C885" i="7"/>
  <c r="H885" i="7"/>
  <c r="D885" i="7"/>
  <c r="H941" i="7"/>
  <c r="Z941" i="7" s="1"/>
  <c r="C941" i="7"/>
  <c r="G941" i="7"/>
  <c r="D941" i="7"/>
  <c r="G445" i="7"/>
  <c r="H445" i="7"/>
  <c r="Z445" i="7" s="1"/>
  <c r="D445" i="7"/>
  <c r="C445" i="7"/>
  <c r="G1045" i="7"/>
  <c r="H1045" i="7"/>
  <c r="Z1045" i="7" s="1"/>
  <c r="D1045" i="7"/>
  <c r="C1045" i="7"/>
  <c r="G774" i="7"/>
  <c r="C774" i="7"/>
  <c r="D774" i="7"/>
  <c r="X774" i="7" s="1"/>
  <c r="H774" i="7"/>
  <c r="Z774" i="7" s="1"/>
  <c r="H815" i="7"/>
  <c r="Z815" i="7" s="1"/>
  <c r="C815" i="7"/>
  <c r="D815" i="7"/>
  <c r="G815" i="7"/>
  <c r="H214" i="7"/>
  <c r="D214" i="7"/>
  <c r="G214" i="7"/>
  <c r="C214" i="7"/>
  <c r="G971" i="7"/>
  <c r="C971" i="7"/>
  <c r="H971" i="7"/>
  <c r="Z971" i="7" s="1"/>
  <c r="D971" i="7"/>
  <c r="H160" i="7"/>
  <c r="Z160" i="7" s="1"/>
  <c r="C160" i="7"/>
  <c r="G160" i="7"/>
  <c r="D160" i="7"/>
  <c r="H1005" i="7"/>
  <c r="Z1005" i="7" s="1"/>
  <c r="G1005" i="7"/>
  <c r="D1005" i="7"/>
  <c r="C1005" i="7"/>
  <c r="G534" i="7"/>
  <c r="H534" i="7"/>
  <c r="Z534" i="7" s="1"/>
  <c r="D534" i="7"/>
  <c r="C534" i="7"/>
  <c r="H680" i="7"/>
  <c r="Z680" i="7" s="1"/>
  <c r="C680" i="7"/>
  <c r="G680" i="7"/>
  <c r="D680" i="7"/>
  <c r="G1015" i="7"/>
  <c r="C1015" i="7"/>
  <c r="H1015" i="7"/>
  <c r="D1015" i="7"/>
  <c r="H225" i="7"/>
  <c r="Z225" i="7" s="1"/>
  <c r="G225" i="7"/>
  <c r="D225" i="7"/>
  <c r="C225" i="7"/>
  <c r="H193" i="7"/>
  <c r="Z193" i="7" s="1"/>
  <c r="G193" i="7"/>
  <c r="D193" i="7"/>
  <c r="C193" i="7"/>
  <c r="G884" i="7"/>
  <c r="H884" i="7"/>
  <c r="Z884" i="7" s="1"/>
  <c r="C884" i="7"/>
  <c r="D884" i="7"/>
  <c r="G822" i="7"/>
  <c r="C822" i="7"/>
  <c r="D822" i="7"/>
  <c r="H822" i="7"/>
  <c r="Z822" i="7" s="1"/>
  <c r="H577" i="7"/>
  <c r="G577" i="7"/>
  <c r="C577" i="7"/>
  <c r="D577" i="7"/>
  <c r="H601" i="7"/>
  <c r="C601" i="7"/>
  <c r="G601" i="7"/>
  <c r="D601" i="7"/>
  <c r="H715" i="7"/>
  <c r="Z715" i="7" s="1"/>
  <c r="G715" i="7"/>
  <c r="C715" i="7"/>
  <c r="D715" i="7"/>
  <c r="G1061" i="7"/>
  <c r="C1061" i="7"/>
  <c r="H1061" i="7"/>
  <c r="Z1061" i="7" s="1"/>
  <c r="D1061" i="7"/>
  <c r="H987" i="7"/>
  <c r="Z987" i="7" s="1"/>
  <c r="G987" i="7"/>
  <c r="C987" i="7"/>
  <c r="D987" i="7"/>
  <c r="G501" i="7"/>
  <c r="H501" i="7"/>
  <c r="Z501" i="7" s="1"/>
  <c r="D501" i="7"/>
  <c r="C501" i="7"/>
  <c r="C294" i="7"/>
  <c r="H294" i="7"/>
  <c r="G294" i="7"/>
  <c r="D294" i="7"/>
  <c r="H469" i="7"/>
  <c r="C469" i="7"/>
  <c r="G469" i="7"/>
  <c r="D469" i="7"/>
  <c r="G366" i="7"/>
  <c r="C366" i="7"/>
  <c r="H366" i="7"/>
  <c r="Z366" i="7" s="1"/>
  <c r="D366" i="7"/>
  <c r="G112" i="7"/>
  <c r="D112" i="7"/>
  <c r="H112" i="7"/>
  <c r="Z112" i="7" s="1"/>
  <c r="C112" i="7"/>
  <c r="C637" i="7"/>
  <c r="D637" i="7"/>
  <c r="H637" i="7"/>
  <c r="Z637" i="7" s="1"/>
  <c r="G637" i="7"/>
  <c r="D376" i="7"/>
  <c r="C376" i="7"/>
  <c r="G376" i="7"/>
  <c r="H376" i="7"/>
  <c r="Z376" i="7" s="1"/>
  <c r="H377" i="7"/>
  <c r="Z377" i="7" s="1"/>
  <c r="G377" i="7"/>
  <c r="D377" i="7"/>
  <c r="C377" i="7"/>
  <c r="H936" i="7"/>
  <c r="Z936" i="7" s="1"/>
  <c r="G936" i="7"/>
  <c r="C936" i="7"/>
  <c r="D936" i="7"/>
  <c r="G818" i="7"/>
  <c r="H818" i="7"/>
  <c r="Z818" i="7" s="1"/>
  <c r="C818" i="7"/>
  <c r="D818" i="7"/>
  <c r="H880" i="7"/>
  <c r="Z880" i="7" s="1"/>
  <c r="C880" i="7"/>
  <c r="G880" i="7"/>
  <c r="D880" i="7"/>
  <c r="G169" i="7"/>
  <c r="H169" i="7"/>
  <c r="Z169" i="7" s="1"/>
  <c r="C169" i="7"/>
  <c r="D169" i="7"/>
  <c r="G928" i="7"/>
  <c r="H928" i="7"/>
  <c r="Z928" i="7" s="1"/>
  <c r="D928" i="7"/>
  <c r="C928" i="7"/>
  <c r="H1031" i="7"/>
  <c r="Z1031" i="7" s="1"/>
  <c r="C1031" i="7"/>
  <c r="G1031" i="7"/>
  <c r="D1031" i="7"/>
  <c r="X1031" i="7" s="1"/>
  <c r="G907" i="7"/>
  <c r="C907" i="7"/>
  <c r="D907" i="7"/>
  <c r="H907" i="7"/>
  <c r="Z907" i="7" s="1"/>
  <c r="H718" i="7"/>
  <c r="Z718" i="7" s="1"/>
  <c r="C718" i="7"/>
  <c r="G718" i="7"/>
  <c r="D718" i="7"/>
  <c r="H984" i="7"/>
  <c r="Z984" i="7" s="1"/>
  <c r="G984" i="7"/>
  <c r="C984" i="7"/>
  <c r="D984" i="7"/>
  <c r="X984" i="7" s="1"/>
  <c r="G867" i="7"/>
  <c r="H867" i="7"/>
  <c r="C867" i="7"/>
  <c r="D867" i="7"/>
  <c r="C915" i="7"/>
  <c r="H915" i="7"/>
  <c r="G915" i="7"/>
  <c r="D915" i="7"/>
  <c r="H7" i="7"/>
  <c r="Z7" i="7" s="1"/>
  <c r="G7" i="7"/>
  <c r="D7" i="7"/>
  <c r="C7" i="7"/>
  <c r="H360" i="7"/>
  <c r="Z360" i="7" s="1"/>
  <c r="G360" i="7"/>
  <c r="C360" i="7"/>
  <c r="D360" i="7"/>
  <c r="G87" i="7"/>
  <c r="H87" i="7"/>
  <c r="Z87" i="7" s="1"/>
  <c r="D87" i="7"/>
  <c r="C87" i="7"/>
  <c r="H32" i="7"/>
  <c r="Z32" i="7" s="1"/>
  <c r="G32" i="7"/>
  <c r="D32" i="7"/>
  <c r="C32" i="7"/>
  <c r="H871" i="7"/>
  <c r="C871" i="7"/>
  <c r="G871" i="7"/>
  <c r="D871" i="7"/>
  <c r="H77" i="7"/>
  <c r="G77" i="7"/>
  <c r="C77" i="7"/>
  <c r="D77" i="7"/>
  <c r="H811" i="7"/>
  <c r="Z811" i="7" s="1"/>
  <c r="G811" i="7"/>
  <c r="C811" i="7"/>
  <c r="D811" i="7"/>
  <c r="G256" i="7"/>
  <c r="C256" i="7"/>
  <c r="H256" i="7"/>
  <c r="Z256" i="7" s="1"/>
  <c r="D256" i="7"/>
  <c r="X256" i="7" s="1"/>
  <c r="G672" i="7"/>
  <c r="C672" i="7"/>
  <c r="H672" i="7"/>
  <c r="Z672" i="7" s="1"/>
  <c r="D672" i="7"/>
  <c r="H767" i="7"/>
  <c r="G767" i="7"/>
  <c r="D767" i="7"/>
  <c r="C767" i="7"/>
  <c r="H634" i="7"/>
  <c r="C634" i="7"/>
  <c r="G634" i="7"/>
  <c r="D634" i="7"/>
  <c r="X634" i="7" s="1"/>
  <c r="H277" i="7"/>
  <c r="Z277" i="7" s="1"/>
  <c r="G277" i="7"/>
  <c r="C277" i="7"/>
  <c r="D277" i="7"/>
  <c r="H182" i="7"/>
  <c r="Z182" i="7" s="1"/>
  <c r="G182" i="7"/>
  <c r="C182" i="7"/>
  <c r="D182" i="7"/>
  <c r="X182" i="7" s="1"/>
  <c r="H924" i="7"/>
  <c r="Z924" i="7" s="1"/>
  <c r="G924" i="7"/>
  <c r="D924" i="7"/>
  <c r="C924" i="7"/>
  <c r="G146" i="7"/>
  <c r="D146" i="7"/>
  <c r="H146" i="7"/>
  <c r="C146" i="7"/>
  <c r="G392" i="7"/>
  <c r="C392" i="7"/>
  <c r="D392" i="7"/>
  <c r="H392" i="7"/>
  <c r="G671" i="7"/>
  <c r="H671" i="7"/>
  <c r="Z671" i="7" s="1"/>
  <c r="D671" i="7"/>
  <c r="C671" i="7"/>
  <c r="G482" i="7"/>
  <c r="C482" i="7"/>
  <c r="H482" i="7"/>
  <c r="Z482" i="7" s="1"/>
  <c r="D482" i="7"/>
  <c r="C390" i="7"/>
  <c r="D390" i="7"/>
  <c r="G390" i="7"/>
  <c r="H390" i="7"/>
  <c r="Z390" i="7" s="1"/>
  <c r="H514" i="7"/>
  <c r="Z514" i="7" s="1"/>
  <c r="G514" i="7"/>
  <c r="C514" i="7"/>
  <c r="D514" i="7"/>
  <c r="H555" i="7"/>
  <c r="C555" i="7"/>
  <c r="G555" i="7"/>
  <c r="D555" i="7"/>
  <c r="G531" i="7"/>
  <c r="C531" i="7"/>
  <c r="H531" i="7"/>
  <c r="Z531" i="7" s="1"/>
  <c r="D531" i="7"/>
  <c r="H525" i="7"/>
  <c r="Z525" i="7" s="1"/>
  <c r="C525" i="7"/>
  <c r="D525" i="7"/>
  <c r="G525" i="7"/>
  <c r="G977" i="7"/>
  <c r="H977" i="7"/>
  <c r="Z977" i="7" s="1"/>
  <c r="C977" i="7"/>
  <c r="D977" i="7"/>
  <c r="X977" i="7" s="1"/>
  <c r="H430" i="7"/>
  <c r="Z430" i="7" s="1"/>
  <c r="C430" i="7"/>
  <c r="G430" i="7"/>
  <c r="D430" i="7"/>
  <c r="G370" i="7"/>
  <c r="H370" i="7"/>
  <c r="Z370" i="7" s="1"/>
  <c r="D370" i="7"/>
  <c r="C370" i="7"/>
  <c r="H516" i="7"/>
  <c r="Z516" i="7" s="1"/>
  <c r="G516" i="7"/>
  <c r="C516" i="7"/>
  <c r="D516" i="7"/>
  <c r="H267" i="7"/>
  <c r="Z267" i="7" s="1"/>
  <c r="C267" i="7"/>
  <c r="G267" i="7"/>
  <c r="D267" i="7"/>
  <c r="G929" i="7"/>
  <c r="C929" i="7"/>
  <c r="H929" i="7"/>
  <c r="Z929" i="7" s="1"/>
  <c r="D929" i="7"/>
  <c r="H895" i="7"/>
  <c r="Z895" i="7" s="1"/>
  <c r="G895" i="7"/>
  <c r="D895" i="7"/>
  <c r="C895" i="7"/>
  <c r="G927" i="7"/>
  <c r="C927" i="7"/>
  <c r="H927" i="7"/>
  <c r="Z927" i="7" s="1"/>
  <c r="D927" i="7"/>
  <c r="G1037" i="7"/>
  <c r="C1037" i="7"/>
  <c r="H1037" i="7"/>
  <c r="D1037" i="7"/>
  <c r="H969" i="7"/>
  <c r="Z969" i="7" s="1"/>
  <c r="G969" i="7"/>
  <c r="C969" i="7"/>
  <c r="D969" i="7"/>
  <c r="H1013" i="7"/>
  <c r="Z1013" i="7" s="1"/>
  <c r="C1013" i="7"/>
  <c r="D1013" i="7"/>
  <c r="G1013" i="7"/>
  <c r="C839" i="7"/>
  <c r="H839" i="7"/>
  <c r="Z839" i="7" s="1"/>
  <c r="G839" i="7"/>
  <c r="D839" i="7"/>
  <c r="G970" i="7"/>
  <c r="C970" i="7"/>
  <c r="H970" i="7"/>
  <c r="Z970" i="7" s="1"/>
  <c r="D970" i="7"/>
  <c r="H966" i="7"/>
  <c r="Z966" i="7" s="1"/>
  <c r="G966" i="7"/>
  <c r="C966" i="7"/>
  <c r="D966" i="7"/>
  <c r="H1050" i="7"/>
  <c r="Z1050" i="7" s="1"/>
  <c r="G1050" i="7"/>
  <c r="D1050" i="7"/>
  <c r="C1050" i="7"/>
  <c r="H738" i="7"/>
  <c r="G738" i="7"/>
  <c r="C738" i="7"/>
  <c r="D738" i="7"/>
  <c r="H786" i="7"/>
  <c r="Z786" i="7" s="1"/>
  <c r="G786" i="7"/>
  <c r="C786" i="7"/>
  <c r="D786" i="7"/>
  <c r="H110" i="7"/>
  <c r="Z110" i="7" s="1"/>
  <c r="G110" i="7"/>
  <c r="D110" i="7"/>
  <c r="C110" i="7"/>
  <c r="G69" i="7"/>
  <c r="C69" i="7"/>
  <c r="D69" i="7"/>
  <c r="H69" i="7"/>
  <c r="Z69" i="7" s="1"/>
  <c r="H70" i="7"/>
  <c r="C70" i="7"/>
  <c r="D70" i="7"/>
  <c r="G70" i="7"/>
  <c r="G868" i="7"/>
  <c r="H868" i="7"/>
  <c r="Z868" i="7" s="1"/>
  <c r="C868" i="7"/>
  <c r="D868" i="7"/>
  <c r="G823" i="7"/>
  <c r="C823" i="7"/>
  <c r="D823" i="7"/>
  <c r="H823" i="7"/>
  <c r="Z823" i="7" s="1"/>
  <c r="H1051" i="7"/>
  <c r="Z1051" i="7" s="1"/>
  <c r="C1051" i="7"/>
  <c r="G1051" i="7"/>
  <c r="D1051" i="7"/>
  <c r="H1032" i="7"/>
  <c r="Z1032" i="7" s="1"/>
  <c r="G1032" i="7"/>
  <c r="C1032" i="7"/>
  <c r="D1032" i="7"/>
  <c r="H958" i="7"/>
  <c r="Z958" i="7" s="1"/>
  <c r="C958" i="7"/>
  <c r="G958" i="7"/>
  <c r="D958" i="7"/>
  <c r="H5" i="7"/>
  <c r="Z5" i="7" s="1"/>
  <c r="G5" i="7"/>
  <c r="D5" i="7"/>
  <c r="C5" i="7"/>
  <c r="H920" i="7"/>
  <c r="D920" i="7"/>
  <c r="G920" i="7"/>
  <c r="C920" i="7"/>
  <c r="G667" i="7"/>
  <c r="C667" i="7"/>
  <c r="H667" i="7"/>
  <c r="Z667" i="7" s="1"/>
  <c r="D667" i="7"/>
  <c r="G865" i="7"/>
  <c r="H865" i="7"/>
  <c r="Z865" i="7" s="1"/>
  <c r="C865" i="7"/>
  <c r="D865" i="7"/>
  <c r="X865" i="7" s="1"/>
  <c r="H626" i="7"/>
  <c r="Z626" i="7" s="1"/>
  <c r="G626" i="7"/>
  <c r="C626" i="7"/>
  <c r="D626" i="7"/>
  <c r="G722" i="7"/>
  <c r="H722" i="7"/>
  <c r="D722" i="7"/>
  <c r="C722" i="7"/>
  <c r="H332" i="7"/>
  <c r="Z332" i="7" s="1"/>
  <c r="G332" i="7"/>
  <c r="C332" i="7"/>
  <c r="D332" i="7"/>
  <c r="G481" i="7"/>
  <c r="C481" i="7"/>
  <c r="H481" i="7"/>
  <c r="Z481" i="7" s="1"/>
  <c r="D481" i="7"/>
  <c r="H873" i="7"/>
  <c r="Z873" i="7" s="1"/>
  <c r="C873" i="7"/>
  <c r="G873" i="7"/>
  <c r="D873" i="7"/>
  <c r="G419" i="7"/>
  <c r="H419" i="7"/>
  <c r="Z419" i="7" s="1"/>
  <c r="C419" i="7"/>
  <c r="D419" i="7"/>
  <c r="H155" i="7"/>
  <c r="Z155" i="7" s="1"/>
  <c r="G155" i="7"/>
  <c r="D155" i="7"/>
  <c r="C155" i="7"/>
  <c r="H571" i="7"/>
  <c r="C571" i="7"/>
  <c r="G571" i="7"/>
  <c r="D571" i="7"/>
  <c r="C237" i="7"/>
  <c r="G237" i="7"/>
  <c r="H237" i="7"/>
  <c r="Z237" i="7" s="1"/>
  <c r="D237" i="7"/>
  <c r="X237" i="7" s="1"/>
  <c r="G949" i="7"/>
  <c r="C949" i="7"/>
  <c r="H949" i="7"/>
  <c r="Z949" i="7" s="1"/>
  <c r="D949" i="7"/>
  <c r="H351" i="7"/>
  <c r="Z351" i="7" s="1"/>
  <c r="C351" i="7"/>
  <c r="G351" i="7"/>
  <c r="D351" i="7"/>
  <c r="H437" i="7"/>
  <c r="Z437" i="7" s="1"/>
  <c r="G437" i="7"/>
  <c r="C437" i="7"/>
  <c r="D437" i="7"/>
  <c r="G230" i="7"/>
  <c r="H230" i="7"/>
  <c r="Z230" i="7" s="1"/>
  <c r="D230" i="7"/>
  <c r="C230" i="7"/>
  <c r="G205" i="7"/>
  <c r="D205" i="7"/>
  <c r="C205" i="7"/>
  <c r="H205" i="7"/>
  <c r="Z205" i="7" s="1"/>
  <c r="G454" i="7"/>
  <c r="H454" i="7"/>
  <c r="Z454" i="7" s="1"/>
  <c r="C454" i="7"/>
  <c r="D454" i="7"/>
  <c r="H554" i="7"/>
  <c r="Z554" i="7" s="1"/>
  <c r="G554" i="7"/>
  <c r="C554" i="7"/>
  <c r="D554" i="7"/>
  <c r="X554" i="7" s="1"/>
  <c r="H870" i="7"/>
  <c r="Z870" i="7" s="1"/>
  <c r="G870" i="7"/>
  <c r="C870" i="7"/>
  <c r="D870" i="7"/>
  <c r="G699" i="7"/>
  <c r="H699" i="7"/>
  <c r="Z699" i="7" s="1"/>
  <c r="D699" i="7"/>
  <c r="C699" i="7"/>
  <c r="H327" i="7"/>
  <c r="Z327" i="7" s="1"/>
  <c r="G327" i="7"/>
  <c r="C327" i="7"/>
  <c r="D327" i="7"/>
  <c r="H684" i="7"/>
  <c r="Z684" i="7" s="1"/>
  <c r="G684" i="7"/>
  <c r="C684" i="7"/>
  <c r="D684" i="7"/>
  <c r="G888" i="7"/>
  <c r="H888" i="7"/>
  <c r="Z888" i="7" s="1"/>
  <c r="C888" i="7"/>
  <c r="D888" i="7"/>
  <c r="H959" i="7"/>
  <c r="Z959" i="7" s="1"/>
  <c r="G959" i="7"/>
  <c r="C959" i="7"/>
  <c r="D959" i="7"/>
  <c r="H324" i="7"/>
  <c r="Z324" i="7" s="1"/>
  <c r="G324" i="7"/>
  <c r="C324" i="7"/>
  <c r="D324" i="7"/>
  <c r="X324" i="7" s="1"/>
  <c r="H760" i="7"/>
  <c r="G760" i="7"/>
  <c r="C760" i="7"/>
  <c r="D760" i="7"/>
  <c r="X760" i="7" s="1"/>
  <c r="G862" i="7"/>
  <c r="H862" i="7"/>
  <c r="D862" i="7"/>
  <c r="C862" i="7"/>
  <c r="H856" i="7"/>
  <c r="Z856" i="7" s="1"/>
  <c r="G856" i="7"/>
  <c r="C856" i="7"/>
  <c r="D856" i="7"/>
  <c r="G148" i="7"/>
  <c r="D148" i="7"/>
  <c r="H148" i="7"/>
  <c r="Z148" i="7" s="1"/>
  <c r="C148" i="7"/>
  <c r="G455" i="7"/>
  <c r="H455" i="7"/>
  <c r="Z455" i="7" s="1"/>
  <c r="C455" i="7"/>
  <c r="D455" i="7"/>
  <c r="H13" i="7"/>
  <c r="Z13" i="7" s="1"/>
  <c r="C13" i="7"/>
  <c r="G13" i="7"/>
  <c r="D13" i="7"/>
  <c r="H496" i="7"/>
  <c r="G496" i="7"/>
  <c r="D496" i="7"/>
  <c r="C496" i="7"/>
  <c r="G584" i="7"/>
  <c r="D584" i="7"/>
  <c r="H584" i="7"/>
  <c r="Z584" i="7" s="1"/>
  <c r="C584" i="7"/>
  <c r="G345" i="7"/>
  <c r="H345" i="7"/>
  <c r="Z345" i="7" s="1"/>
  <c r="D345" i="7"/>
  <c r="C345" i="7"/>
  <c r="G315" i="7"/>
  <c r="H315" i="7"/>
  <c r="Z315" i="7" s="1"/>
  <c r="D315" i="7"/>
  <c r="C315" i="7"/>
  <c r="H29" i="7"/>
  <c r="Z29" i="7" s="1"/>
  <c r="G29" i="7"/>
  <c r="D29" i="7"/>
  <c r="C29" i="7"/>
  <c r="H857" i="7"/>
  <c r="G857" i="7"/>
  <c r="C857" i="7"/>
  <c r="D857" i="7"/>
  <c r="X857" i="7" s="1"/>
  <c r="G841" i="7"/>
  <c r="C841" i="7"/>
  <c r="H841" i="7"/>
  <c r="Z841" i="7" s="1"/>
  <c r="D841" i="7"/>
  <c r="X841" i="7" s="1"/>
  <c r="G499" i="7"/>
  <c r="H499" i="7"/>
  <c r="Z499" i="7" s="1"/>
  <c r="C499" i="7"/>
  <c r="D499" i="7"/>
  <c r="H594" i="7"/>
  <c r="Z594" i="7" s="1"/>
  <c r="G594" i="7"/>
  <c r="C594" i="7"/>
  <c r="D594" i="7"/>
  <c r="G728" i="7"/>
  <c r="D728" i="7"/>
  <c r="C728" i="7"/>
  <c r="H728" i="7"/>
  <c r="Z728" i="7" s="1"/>
  <c r="H98" i="7"/>
  <c r="Z98" i="7" s="1"/>
  <c r="G98" i="7"/>
  <c r="C98" i="7"/>
  <c r="D98" i="7"/>
  <c r="C485" i="7"/>
  <c r="G485" i="7"/>
  <c r="H485" i="7"/>
  <c r="Z485" i="7" s="1"/>
  <c r="D485" i="7"/>
  <c r="G1000" i="7"/>
  <c r="C1000" i="7"/>
  <c r="D1000" i="7"/>
  <c r="H1000" i="7"/>
  <c r="Z1000" i="7" s="1"/>
  <c r="H300" i="7"/>
  <c r="Z300" i="7" s="1"/>
  <c r="C300" i="7"/>
  <c r="G300" i="7"/>
  <c r="D300" i="7"/>
  <c r="G564" i="7"/>
  <c r="C564" i="7"/>
  <c r="H564" i="7"/>
  <c r="Z564" i="7" s="1"/>
  <c r="D564" i="7"/>
  <c r="H386" i="7"/>
  <c r="Z386" i="7" s="1"/>
  <c r="G386" i="7"/>
  <c r="C386" i="7"/>
  <c r="D386" i="7"/>
  <c r="H878" i="7"/>
  <c r="C878" i="7"/>
  <c r="G878" i="7"/>
  <c r="D878" i="7"/>
  <c r="H100" i="7"/>
  <c r="C100" i="7"/>
  <c r="D100" i="7"/>
  <c r="G100" i="7"/>
  <c r="H872" i="7"/>
  <c r="Z872" i="7" s="1"/>
  <c r="C872" i="7"/>
  <c r="G872" i="7"/>
  <c r="D872" i="7"/>
  <c r="H1012" i="7"/>
  <c r="Z1012" i="7" s="1"/>
  <c r="G1012" i="7"/>
  <c r="D1012" i="7"/>
  <c r="C1012" i="7"/>
  <c r="H1053" i="7"/>
  <c r="Z1053" i="7" s="1"/>
  <c r="C1053" i="7"/>
  <c r="G1053" i="7"/>
  <c r="D1053" i="7"/>
  <c r="G891" i="7"/>
  <c r="H891" i="7"/>
  <c r="Z891" i="7" s="1"/>
  <c r="C891" i="7"/>
  <c r="D891" i="7"/>
  <c r="G62" i="7"/>
  <c r="H62" i="7"/>
  <c r="Z62" i="7" s="1"/>
  <c r="C62" i="7"/>
  <c r="D62" i="7"/>
  <c r="C236" i="7"/>
  <c r="G236" i="7"/>
  <c r="D236" i="7"/>
  <c r="H236" i="7"/>
  <c r="Z236" i="7" s="1"/>
  <c r="G784" i="7"/>
  <c r="H784" i="7"/>
  <c r="Z784" i="7" s="1"/>
  <c r="C784" i="7"/>
  <c r="D784" i="7"/>
  <c r="H922" i="7"/>
  <c r="Z922" i="7" s="1"/>
  <c r="G922" i="7"/>
  <c r="D922" i="7"/>
  <c r="C922" i="7"/>
  <c r="H826" i="7"/>
  <c r="Z826" i="7" s="1"/>
  <c r="G826" i="7"/>
  <c r="C826" i="7"/>
  <c r="D826" i="7"/>
  <c r="G955" i="7"/>
  <c r="H955" i="7"/>
  <c r="C955" i="7"/>
  <c r="D955" i="7"/>
  <c r="H215" i="7"/>
  <c r="C215" i="7"/>
  <c r="D215" i="7"/>
  <c r="G215" i="7"/>
  <c r="G341" i="7"/>
  <c r="H341" i="7"/>
  <c r="Z341" i="7" s="1"/>
  <c r="D341" i="7"/>
  <c r="C341" i="7"/>
  <c r="G364" i="7"/>
  <c r="H364" i="7"/>
  <c r="Z364" i="7" s="1"/>
  <c r="C364" i="7"/>
  <c r="D364" i="7"/>
  <c r="G1047" i="7"/>
  <c r="H1047" i="7"/>
  <c r="Z1047" i="7" s="1"/>
  <c r="D1047" i="7"/>
  <c r="C1047" i="7"/>
  <c r="G694" i="7"/>
  <c r="H694" i="7"/>
  <c r="Z694" i="7" s="1"/>
  <c r="C694" i="7"/>
  <c r="D694" i="7"/>
  <c r="H709" i="7"/>
  <c r="D709" i="7"/>
  <c r="G709" i="7"/>
  <c r="C709" i="7"/>
  <c r="H790" i="7"/>
  <c r="Z790" i="7" s="1"/>
  <c r="G790" i="7"/>
  <c r="C790" i="7"/>
  <c r="D790" i="7"/>
  <c r="D92" i="7"/>
  <c r="H92" i="7"/>
  <c r="Z92" i="7" s="1"/>
  <c r="G92" i="7"/>
  <c r="C92" i="7"/>
  <c r="H806" i="7"/>
  <c r="Z806" i="7" s="1"/>
  <c r="C806" i="7"/>
  <c r="G806" i="7"/>
  <c r="D806" i="7"/>
  <c r="G1001" i="7"/>
  <c r="H1001" i="7"/>
  <c r="Z1001" i="7" s="1"/>
  <c r="C1001" i="7"/>
  <c r="D1001" i="7"/>
  <c r="G474" i="7"/>
  <c r="C474" i="7"/>
  <c r="D474" i="7"/>
  <c r="H474" i="7"/>
  <c r="Z474" i="7" s="1"/>
  <c r="G209" i="7"/>
  <c r="H209" i="7"/>
  <c r="Z209" i="7" s="1"/>
  <c r="C209" i="7"/>
  <c r="D209" i="7"/>
  <c r="H942" i="7"/>
  <c r="Z942" i="7" s="1"/>
  <c r="C942" i="7"/>
  <c r="D942" i="7"/>
  <c r="G942" i="7"/>
  <c r="H1052" i="7"/>
  <c r="Z1052" i="7" s="1"/>
  <c r="C1052" i="7"/>
  <c r="G1052" i="7"/>
  <c r="D1052" i="7"/>
  <c r="X1052" i="7" s="1"/>
  <c r="H246" i="7"/>
  <c r="Z246" i="7" s="1"/>
  <c r="G246" i="7"/>
  <c r="C246" i="7"/>
  <c r="D246" i="7"/>
  <c r="H1056" i="7"/>
  <c r="Z1056" i="7" s="1"/>
  <c r="G1056" i="7"/>
  <c r="D1056" i="7"/>
  <c r="C1056" i="7"/>
  <c r="H76" i="7"/>
  <c r="C76" i="7"/>
  <c r="G76" i="7"/>
  <c r="D76" i="7"/>
  <c r="G175" i="7"/>
  <c r="H175" i="7"/>
  <c r="Z175" i="7" s="1"/>
  <c r="C175" i="7"/>
  <c r="D175" i="7"/>
  <c r="H859" i="7"/>
  <c r="Z859" i="7" s="1"/>
  <c r="G859" i="7"/>
  <c r="C859" i="7"/>
  <c r="D859" i="7"/>
  <c r="H716" i="7"/>
  <c r="Z716" i="7" s="1"/>
  <c r="G716" i="7"/>
  <c r="D716" i="7"/>
  <c r="C716" i="7"/>
  <c r="G532" i="7"/>
  <c r="H532" i="7"/>
  <c r="Z532" i="7" s="1"/>
  <c r="D532" i="7"/>
  <c r="C532" i="7"/>
  <c r="H597" i="7"/>
  <c r="G597" i="7"/>
  <c r="C597" i="7"/>
  <c r="D597" i="7"/>
  <c r="H742" i="7"/>
  <c r="C742" i="7"/>
  <c r="D742" i="7"/>
  <c r="G742" i="7"/>
  <c r="G559" i="7"/>
  <c r="H559" i="7"/>
  <c r="Z559" i="7" s="1"/>
  <c r="C559" i="7"/>
  <c r="D559" i="7"/>
  <c r="H330" i="7"/>
  <c r="Z330" i="7" s="1"/>
  <c r="G330" i="7"/>
  <c r="C330" i="7"/>
  <c r="D330" i="7"/>
  <c r="H197" i="7"/>
  <c r="Z197" i="7" s="1"/>
  <c r="C197" i="7"/>
  <c r="D197" i="7"/>
  <c r="G197" i="7"/>
  <c r="H9" i="7"/>
  <c r="Z9" i="7" s="1"/>
  <c r="G9" i="7"/>
  <c r="C9" i="7"/>
  <c r="D9" i="7"/>
  <c r="H227" i="7"/>
  <c r="Z227" i="7" s="1"/>
  <c r="G227" i="7"/>
  <c r="D227" i="7"/>
  <c r="C227" i="7"/>
  <c r="G1017" i="7"/>
  <c r="C1017" i="7"/>
  <c r="H1017" i="7"/>
  <c r="Z1017" i="7" s="1"/>
  <c r="D1017" i="7"/>
  <c r="G845" i="7"/>
  <c r="H845" i="7"/>
  <c r="Z845" i="7" s="1"/>
  <c r="C845" i="7"/>
  <c r="D845" i="7"/>
  <c r="H768" i="7"/>
  <c r="Z768" i="7" s="1"/>
  <c r="G768" i="7"/>
  <c r="D768" i="7"/>
  <c r="C768" i="7"/>
  <c r="H415" i="7"/>
  <c r="Z415" i="7" s="1"/>
  <c r="G415" i="7"/>
  <c r="D415" i="7"/>
  <c r="C415" i="7"/>
  <c r="H661" i="7"/>
  <c r="G661" i="7"/>
  <c r="C661" i="7"/>
  <c r="D661" i="7"/>
  <c r="X661" i="7" s="1"/>
  <c r="H547" i="7"/>
  <c r="Z547" i="7" s="1"/>
  <c r="G547" i="7"/>
  <c r="D547" i="7"/>
  <c r="C547" i="7"/>
  <c r="G866" i="7"/>
  <c r="H866" i="7"/>
  <c r="Z866" i="7" s="1"/>
  <c r="C866" i="7"/>
  <c r="D866" i="7"/>
  <c r="H981" i="7"/>
  <c r="Z981" i="7" s="1"/>
  <c r="G981" i="7"/>
  <c r="D981" i="7"/>
  <c r="C981" i="7"/>
  <c r="H352" i="7"/>
  <c r="Z352" i="7" s="1"/>
  <c r="C352" i="7"/>
  <c r="D352" i="7"/>
  <c r="X352" i="7" s="1"/>
  <c r="G352" i="7"/>
  <c r="G342" i="7"/>
  <c r="H342" i="7"/>
  <c r="Z342" i="7" s="1"/>
  <c r="D342" i="7"/>
  <c r="C342" i="7"/>
  <c r="C748" i="7"/>
  <c r="G748" i="7"/>
  <c r="H748" i="7"/>
  <c r="Z748" i="7" s="1"/>
  <c r="D748" i="7"/>
  <c r="C905" i="7"/>
  <c r="H905" i="7"/>
  <c r="Z905" i="7" s="1"/>
  <c r="D905" i="7"/>
  <c r="G905" i="7"/>
  <c r="G477" i="7"/>
  <c r="C477" i="7"/>
  <c r="D477" i="7"/>
  <c r="H477" i="7"/>
  <c r="Z477" i="7" s="1"/>
  <c r="G535" i="7"/>
  <c r="D535" i="7"/>
  <c r="H535" i="7"/>
  <c r="Z535" i="7" s="1"/>
  <c r="C535" i="7"/>
  <c r="G184" i="7"/>
  <c r="C184" i="7"/>
  <c r="H184" i="7"/>
  <c r="Z184" i="7" s="1"/>
  <c r="D184" i="7"/>
  <c r="H74" i="7"/>
  <c r="C74" i="7"/>
  <c r="D74" i="7"/>
  <c r="G74" i="7"/>
  <c r="H921" i="7"/>
  <c r="Z921" i="7" s="1"/>
  <c r="G921" i="7"/>
  <c r="D921" i="7"/>
  <c r="C921" i="7"/>
  <c r="H355" i="7"/>
  <c r="Z355" i="7" s="1"/>
  <c r="C355" i="7"/>
  <c r="D355" i="7"/>
  <c r="G355" i="7"/>
  <c r="H919" i="7"/>
  <c r="Z919" i="7" s="1"/>
  <c r="G919" i="7"/>
  <c r="D919" i="7"/>
  <c r="X919" i="7" s="1"/>
  <c r="C919" i="7"/>
  <c r="G820" i="7"/>
  <c r="C820" i="7"/>
  <c r="H820" i="7"/>
  <c r="Z820" i="7" s="1"/>
  <c r="D820" i="7"/>
  <c r="H216" i="7"/>
  <c r="Z216" i="7" s="1"/>
  <c r="D216" i="7"/>
  <c r="C216" i="7"/>
  <c r="G216" i="7"/>
  <c r="H945" i="7"/>
  <c r="G945" i="7"/>
  <c r="C945" i="7"/>
  <c r="D945" i="7"/>
  <c r="H261" i="7"/>
  <c r="Z261" i="7" s="1"/>
  <c r="G261" i="7"/>
  <c r="C261" i="7"/>
  <c r="D261" i="7"/>
  <c r="C721" i="7"/>
  <c r="H721" i="7"/>
  <c r="Z721" i="7" s="1"/>
  <c r="G721" i="7"/>
  <c r="D721" i="7"/>
  <c r="H1006" i="7"/>
  <c r="Z1006" i="7" s="1"/>
  <c r="G1006" i="7"/>
  <c r="D1006" i="7"/>
  <c r="C1006" i="7"/>
  <c r="G39" i="7"/>
  <c r="H39" i="7"/>
  <c r="Z39" i="7" s="1"/>
  <c r="C39" i="7"/>
  <c r="D39" i="7"/>
  <c r="H52" i="7"/>
  <c r="G52" i="7"/>
  <c r="D52" i="7"/>
  <c r="C52" i="7"/>
  <c r="G1021" i="7"/>
  <c r="H1021" i="7"/>
  <c r="Z1021" i="7" s="1"/>
  <c r="C1021" i="7"/>
  <c r="D1021" i="7"/>
  <c r="H105" i="7"/>
  <c r="Z105" i="7" s="1"/>
  <c r="C105" i="7"/>
  <c r="G105" i="7"/>
  <c r="D105" i="7"/>
  <c r="C512" i="7"/>
  <c r="H512" i="7"/>
  <c r="Z512" i="7" s="1"/>
  <c r="G512" i="7"/>
  <c r="D512" i="7"/>
  <c r="G89" i="7"/>
  <c r="H89" i="7"/>
  <c r="Z89" i="7" s="1"/>
  <c r="D89" i="7"/>
  <c r="C89" i="7"/>
  <c r="G772" i="7"/>
  <c r="D772" i="7"/>
  <c r="X772" i="7" s="1"/>
  <c r="H772" i="7"/>
  <c r="C772" i="7"/>
  <c r="H804" i="7"/>
  <c r="Z804" i="7" s="1"/>
  <c r="C804" i="7"/>
  <c r="D804" i="7"/>
  <c r="G804" i="7"/>
  <c r="H410" i="7"/>
  <c r="Z410" i="7" s="1"/>
  <c r="G410" i="7"/>
  <c r="D410" i="7"/>
  <c r="X410" i="7" s="1"/>
  <c r="C410" i="7"/>
  <c r="G312" i="7"/>
  <c r="H312" i="7"/>
  <c r="D312" i="7"/>
  <c r="C312" i="7"/>
  <c r="G58" i="7"/>
  <c r="H58" i="7"/>
  <c r="Z58" i="7" s="1"/>
  <c r="C58" i="7"/>
  <c r="D58" i="7"/>
  <c r="H686" i="7"/>
  <c r="Z686" i="7" s="1"/>
  <c r="G686" i="7"/>
  <c r="D686" i="7"/>
  <c r="C686" i="7"/>
  <c r="G847" i="7"/>
  <c r="H847" i="7"/>
  <c r="Z847" i="7" s="1"/>
  <c r="D847" i="7"/>
  <c r="C847" i="7"/>
  <c r="G229" i="7"/>
  <c r="H229" i="7"/>
  <c r="D229" i="7"/>
  <c r="C229" i="7"/>
  <c r="C948" i="7"/>
  <c r="D948" i="7"/>
  <c r="H948" i="7"/>
  <c r="Z948" i="7" s="1"/>
  <c r="G948" i="7"/>
  <c r="G890" i="7"/>
  <c r="H890" i="7"/>
  <c r="Z890" i="7" s="1"/>
  <c r="C890" i="7"/>
  <c r="D890" i="7"/>
  <c r="G202" i="7"/>
  <c r="H202" i="7"/>
  <c r="Z202" i="7" s="1"/>
  <c r="D202" i="7"/>
  <c r="C202" i="7"/>
  <c r="H270" i="7"/>
  <c r="Z270" i="7" s="1"/>
  <c r="C270" i="7"/>
  <c r="G270" i="7"/>
  <c r="D270" i="7"/>
  <c r="H835" i="7"/>
  <c r="C835" i="7"/>
  <c r="G835" i="7"/>
  <c r="D835" i="7"/>
  <c r="H461" i="7"/>
  <c r="Z461" i="7" s="1"/>
  <c r="C461" i="7"/>
  <c r="D461" i="7"/>
  <c r="G461" i="7"/>
  <c r="G726" i="7"/>
  <c r="H726" i="7"/>
  <c r="Z726" i="7" s="1"/>
  <c r="D726" i="7"/>
  <c r="C726" i="7"/>
  <c r="G41" i="7"/>
  <c r="H41" i="7"/>
  <c r="Z41" i="7" s="1"/>
  <c r="C41" i="7"/>
  <c r="D41" i="7"/>
  <c r="X41" i="7" s="1"/>
  <c r="G780" i="7"/>
  <c r="C780" i="7"/>
  <c r="H780" i="7"/>
  <c r="Z780" i="7" s="1"/>
  <c r="D780" i="7"/>
  <c r="G399" i="7"/>
  <c r="H399" i="7"/>
  <c r="C399" i="7"/>
  <c r="D399" i="7"/>
  <c r="G1042" i="7"/>
  <c r="H1042" i="7"/>
  <c r="C1042" i="7"/>
  <c r="D1042" i="7"/>
  <c r="H579" i="7"/>
  <c r="Z579" i="7" s="1"/>
  <c r="G579" i="7"/>
  <c r="C579" i="7"/>
  <c r="D579" i="7"/>
  <c r="H23" i="7"/>
  <c r="Z23" i="7" s="1"/>
  <c r="C23" i="7"/>
  <c r="G23" i="7"/>
  <c r="D23" i="7"/>
  <c r="H129" i="7"/>
  <c r="Z129" i="7" s="1"/>
  <c r="G129" i="7"/>
  <c r="C129" i="7"/>
  <c r="D129" i="7"/>
  <c r="H770" i="7"/>
  <c r="Z770" i="7" s="1"/>
  <c r="C770" i="7"/>
  <c r="G770" i="7"/>
  <c r="D770" i="7"/>
  <c r="G1062" i="7"/>
  <c r="C1062" i="7"/>
  <c r="H1062" i="7"/>
  <c r="D1062" i="7"/>
  <c r="H660" i="7"/>
  <c r="G660" i="7"/>
  <c r="C660" i="7"/>
  <c r="D660" i="7"/>
  <c r="G66" i="7"/>
  <c r="D66" i="7"/>
  <c r="H66" i="7"/>
  <c r="Z66" i="7" s="1"/>
  <c r="C66" i="7"/>
  <c r="H53" i="7"/>
  <c r="Z53" i="7" s="1"/>
  <c r="G53" i="7"/>
  <c r="C53" i="7"/>
  <c r="D53" i="7"/>
  <c r="G994" i="7"/>
  <c r="C994" i="7"/>
  <c r="D994" i="7"/>
  <c r="H994" i="7"/>
  <c r="Z994" i="7" s="1"/>
  <c r="G397" i="7"/>
  <c r="H397" i="7"/>
  <c r="Z397" i="7" s="1"/>
  <c r="D397" i="7"/>
  <c r="C397" i="7"/>
  <c r="H854" i="7"/>
  <c r="C854" i="7"/>
  <c r="G854" i="7"/>
  <c r="D854" i="7"/>
  <c r="X854" i="7" s="1"/>
  <c r="H1055" i="7"/>
  <c r="Z1055" i="7" s="1"/>
  <c r="C1055" i="7"/>
  <c r="G1055" i="7"/>
  <c r="D1055" i="7"/>
  <c r="G735" i="7"/>
  <c r="C735" i="7"/>
  <c r="H735" i="7"/>
  <c r="Z735" i="7" s="1"/>
  <c r="D735" i="7"/>
  <c r="H99" i="7"/>
  <c r="Z99" i="7" s="1"/>
  <c r="G99" i="7"/>
  <c r="C99" i="7"/>
  <c r="D99" i="7"/>
  <c r="H491" i="7"/>
  <c r="Z491" i="7" s="1"/>
  <c r="G491" i="7"/>
  <c r="D491" i="7"/>
  <c r="C491" i="7"/>
  <c r="G17" i="7"/>
  <c r="H17" i="7"/>
  <c r="C17" i="7"/>
  <c r="D17" i="7"/>
  <c r="G284" i="7"/>
  <c r="C284" i="7"/>
  <c r="H284" i="7"/>
  <c r="Z284" i="7" s="1"/>
  <c r="D284" i="7"/>
  <c r="H549" i="7"/>
  <c r="Z549" i="7" s="1"/>
  <c r="G549" i="7"/>
  <c r="C549" i="7"/>
  <c r="D549" i="7"/>
  <c r="H685" i="7"/>
  <c r="Z685" i="7" s="1"/>
  <c r="G685" i="7"/>
  <c r="D685" i="7"/>
  <c r="X685" i="7" s="1"/>
  <c r="C685" i="7"/>
  <c r="H276" i="7"/>
  <c r="Z276" i="7" s="1"/>
  <c r="G276" i="7"/>
  <c r="C276" i="7"/>
  <c r="D276" i="7"/>
  <c r="H350" i="7"/>
  <c r="G350" i="7"/>
  <c r="C350" i="7"/>
  <c r="D350" i="7"/>
  <c r="G254" i="7"/>
  <c r="H254" i="7"/>
  <c r="Z254" i="7" s="1"/>
  <c r="D254" i="7"/>
  <c r="C254" i="7"/>
  <c r="G999" i="7"/>
  <c r="C999" i="7"/>
  <c r="D999" i="7"/>
  <c r="H999" i="7"/>
  <c r="Z999" i="7" s="1"/>
  <c r="H250" i="7"/>
  <c r="Z250" i="7" s="1"/>
  <c r="G250" i="7"/>
  <c r="C250" i="7"/>
  <c r="D250" i="7"/>
  <c r="G777" i="7"/>
  <c r="C777" i="7"/>
  <c r="H777" i="7"/>
  <c r="Z777" i="7" s="1"/>
  <c r="D777" i="7"/>
  <c r="G113" i="7"/>
  <c r="H113" i="7"/>
  <c r="Z113" i="7" s="1"/>
  <c r="D113" i="7"/>
  <c r="C113" i="7"/>
  <c r="H809" i="7"/>
  <c r="Z809" i="7" s="1"/>
  <c r="C809" i="7"/>
  <c r="G809" i="7"/>
  <c r="D809" i="7"/>
  <c r="G174" i="7"/>
  <c r="H174" i="7"/>
  <c r="Z174" i="7" s="1"/>
  <c r="C174" i="7"/>
  <c r="D174" i="7"/>
  <c r="G537" i="7"/>
  <c r="H537" i="7"/>
  <c r="Z537" i="7" s="1"/>
  <c r="C537" i="7"/>
  <c r="D537" i="7"/>
  <c r="G172" i="7"/>
  <c r="H172" i="7"/>
  <c r="Z172" i="7" s="1"/>
  <c r="D172" i="7"/>
  <c r="C172" i="7"/>
  <c r="H224" i="7"/>
  <c r="Z224" i="7" s="1"/>
  <c r="G224" i="7"/>
  <c r="D224" i="7"/>
  <c r="X224" i="7" s="1"/>
  <c r="C224" i="7"/>
  <c r="H793" i="7"/>
  <c r="G793" i="7"/>
  <c r="C793" i="7"/>
  <c r="D793" i="7"/>
  <c r="G91" i="7"/>
  <c r="H91" i="7"/>
  <c r="D91" i="7"/>
  <c r="C91" i="7"/>
  <c r="G821" i="7"/>
  <c r="C821" i="7"/>
  <c r="D821" i="7"/>
  <c r="X821" i="7" s="1"/>
  <c r="H821" i="7"/>
  <c r="Z821" i="7" s="1"/>
  <c r="C773" i="7"/>
  <c r="G773" i="7"/>
  <c r="D773" i="7"/>
  <c r="H773" i="7"/>
  <c r="Z773" i="7" s="1"/>
  <c r="H789" i="7"/>
  <c r="Z789" i="7" s="1"/>
  <c r="G789" i="7"/>
  <c r="C789" i="7"/>
  <c r="D789" i="7"/>
  <c r="G311" i="7"/>
  <c r="C311" i="7"/>
  <c r="H311" i="7"/>
  <c r="D311" i="7"/>
  <c r="H219" i="7"/>
  <c r="Z219" i="7" s="1"/>
  <c r="G219" i="7"/>
  <c r="D219" i="7"/>
  <c r="X219" i="7" s="1"/>
  <c r="C219" i="7"/>
  <c r="G796" i="7"/>
  <c r="H796" i="7"/>
  <c r="Z796" i="7" s="1"/>
  <c r="D796" i="7"/>
  <c r="C796" i="7"/>
  <c r="H489" i="7"/>
  <c r="Z489" i="7" s="1"/>
  <c r="G489" i="7"/>
  <c r="D489" i="7"/>
  <c r="X489" i="7" s="1"/>
  <c r="C489" i="7"/>
  <c r="G997" i="7"/>
  <c r="C997" i="7"/>
  <c r="D997" i="7"/>
  <c r="H997" i="7"/>
  <c r="Z997" i="7" s="1"/>
  <c r="H84" i="7"/>
  <c r="Z84" i="7" s="1"/>
  <c r="G84" i="7"/>
  <c r="C84" i="7"/>
  <c r="D84" i="7"/>
  <c r="X84" i="7" s="1"/>
  <c r="H1078" i="7"/>
  <c r="Z1078" i="7" s="1"/>
  <c r="D1078" i="7"/>
  <c r="C1078" i="7"/>
  <c r="G1078" i="7"/>
  <c r="H409" i="7"/>
  <c r="G409" i="7"/>
  <c r="D409" i="7"/>
  <c r="C409" i="7"/>
  <c r="G365" i="7"/>
  <c r="C365" i="7"/>
  <c r="H365" i="7"/>
  <c r="Z365" i="7" s="1"/>
  <c r="D365" i="7"/>
  <c r="G838" i="7"/>
  <c r="H838" i="7"/>
  <c r="Z838" i="7" s="1"/>
  <c r="D838" i="7"/>
  <c r="C838" i="7"/>
  <c r="H30" i="7"/>
  <c r="Z30" i="7" s="1"/>
  <c r="G30" i="7"/>
  <c r="D30" i="7"/>
  <c r="C30" i="7"/>
  <c r="H439" i="7"/>
  <c r="Z439" i="7" s="1"/>
  <c r="G439" i="7"/>
  <c r="C439" i="7"/>
  <c r="D439" i="7"/>
  <c r="H12" i="7"/>
  <c r="C12" i="7"/>
  <c r="G12" i="7"/>
  <c r="D12" i="7"/>
  <c r="G702" i="7"/>
  <c r="H702" i="7"/>
  <c r="Z702" i="7" s="1"/>
  <c r="C702" i="7"/>
  <c r="D702" i="7"/>
  <c r="H347" i="7"/>
  <c r="Z347" i="7" s="1"/>
  <c r="G347" i="7"/>
  <c r="D347" i="7"/>
  <c r="C347" i="7"/>
  <c r="H81" i="7"/>
  <c r="Z81" i="7" s="1"/>
  <c r="G81" i="7"/>
  <c r="C81" i="7"/>
  <c r="D81" i="7"/>
  <c r="H874" i="7"/>
  <c r="Z874" i="7" s="1"/>
  <c r="G874" i="7"/>
  <c r="D874" i="7"/>
  <c r="C874" i="7"/>
  <c r="H1089" i="7"/>
  <c r="G1089" i="7"/>
  <c r="C1089" i="7"/>
  <c r="D1089" i="7"/>
  <c r="G614" i="7"/>
  <c r="C614" i="7"/>
  <c r="H614" i="7"/>
  <c r="D614" i="7"/>
  <c r="C636" i="7"/>
  <c r="H636" i="7"/>
  <c r="Z636" i="7" s="1"/>
  <c r="G636" i="7"/>
  <c r="D636" i="7"/>
  <c r="H771" i="7"/>
  <c r="Z771" i="7" s="1"/>
  <c r="C771" i="7"/>
  <c r="D771" i="7"/>
  <c r="G771" i="7"/>
  <c r="H466" i="7"/>
  <c r="Z466" i="7" s="1"/>
  <c r="C466" i="7"/>
  <c r="G466" i="7"/>
  <c r="D466" i="7"/>
  <c r="H1008" i="7"/>
  <c r="Z1008" i="7" s="1"/>
  <c r="G1008" i="7"/>
  <c r="D1008" i="7"/>
  <c r="C1008" i="7"/>
  <c r="H600" i="7"/>
  <c r="C600" i="7"/>
  <c r="G600" i="7"/>
  <c r="D600" i="7"/>
  <c r="G337" i="7"/>
  <c r="C337" i="7"/>
  <c r="H337" i="7"/>
  <c r="Z337" i="7" s="1"/>
  <c r="D337" i="7"/>
  <c r="H212" i="7"/>
  <c r="Z212" i="7" s="1"/>
  <c r="G212" i="7"/>
  <c r="C212" i="7"/>
  <c r="D212" i="7"/>
  <c r="G996" i="7"/>
  <c r="C996" i="7"/>
  <c r="H996" i="7"/>
  <c r="Z996" i="7" s="1"/>
  <c r="D996" i="7"/>
  <c r="X996" i="7" s="1"/>
  <c r="G536" i="7"/>
  <c r="H536" i="7"/>
  <c r="Z536" i="7" s="1"/>
  <c r="D536" i="7"/>
  <c r="X536" i="7" s="1"/>
  <c r="C536" i="7"/>
  <c r="H264" i="7"/>
  <c r="C264" i="7"/>
  <c r="G264" i="7"/>
  <c r="D264" i="7"/>
  <c r="X264" i="7" s="1"/>
  <c r="H923" i="7"/>
  <c r="Z923" i="7" s="1"/>
  <c r="G923" i="7"/>
  <c r="D923" i="7"/>
  <c r="C923" i="7"/>
  <c r="G641" i="7"/>
  <c r="C641" i="7"/>
  <c r="H641" i="7"/>
  <c r="Z641" i="7" s="1"/>
  <c r="D641" i="7"/>
  <c r="H462" i="7"/>
  <c r="Z462" i="7" s="1"/>
  <c r="G462" i="7"/>
  <c r="D462" i="7"/>
  <c r="C462" i="7"/>
  <c r="G282" i="7"/>
  <c r="C282" i="7"/>
  <c r="H282" i="7"/>
  <c r="Z282" i="7" s="1"/>
  <c r="D282" i="7"/>
  <c r="G94" i="7"/>
  <c r="H94" i="7"/>
  <c r="Z94" i="7" s="1"/>
  <c r="C94" i="7"/>
  <c r="D94" i="7"/>
  <c r="H27" i="7"/>
  <c r="Z27" i="7" s="1"/>
  <c r="G27" i="7"/>
  <c r="D27" i="7"/>
  <c r="C27" i="7"/>
  <c r="H833" i="7"/>
  <c r="G833" i="7"/>
  <c r="C833" i="7"/>
  <c r="D833" i="7"/>
  <c r="G1065" i="7"/>
  <c r="H1065" i="7"/>
  <c r="Z1065" i="7" s="1"/>
  <c r="D1065" i="7"/>
  <c r="C1065" i="7"/>
  <c r="H75" i="7"/>
  <c r="Z75" i="7" s="1"/>
  <c r="D75" i="7"/>
  <c r="C75" i="7"/>
  <c r="G75" i="7"/>
  <c r="G1067" i="7"/>
  <c r="H1067" i="7"/>
  <c r="Z1067" i="7" s="1"/>
  <c r="D1067" i="7"/>
  <c r="C1067" i="7"/>
  <c r="C1014" i="7"/>
  <c r="D1014" i="7"/>
  <c r="H1014" i="7"/>
  <c r="Z1014" i="7" s="1"/>
  <c r="G1014" i="7"/>
  <c r="G394" i="7"/>
  <c r="C394" i="7"/>
  <c r="D394" i="7"/>
  <c r="H394" i="7"/>
  <c r="Z394" i="7" s="1"/>
  <c r="G976" i="7"/>
  <c r="H976" i="7"/>
  <c r="Z976" i="7" s="1"/>
  <c r="C976" i="7"/>
  <c r="D976" i="7"/>
  <c r="G731" i="7"/>
  <c r="H731" i="7"/>
  <c r="Z731" i="7" s="1"/>
  <c r="D731" i="7"/>
  <c r="C731" i="7"/>
  <c r="H737" i="7"/>
  <c r="Z737" i="7" s="1"/>
  <c r="G737" i="7"/>
  <c r="C737" i="7"/>
  <c r="D737" i="7"/>
  <c r="G998" i="7"/>
  <c r="C998" i="7"/>
  <c r="D998" i="7"/>
  <c r="H998" i="7"/>
  <c r="H596" i="7"/>
  <c r="G596" i="7"/>
  <c r="C596" i="7"/>
  <c r="D596" i="7"/>
  <c r="G886" i="7"/>
  <c r="C886" i="7"/>
  <c r="H886" i="7"/>
  <c r="Z886" i="7" s="1"/>
  <c r="D886" i="7"/>
  <c r="G840" i="7"/>
  <c r="H840" i="7"/>
  <c r="C840" i="7"/>
  <c r="D840" i="7"/>
  <c r="H1087" i="7"/>
  <c r="Z1087" i="7" s="1"/>
  <c r="G1087" i="7"/>
  <c r="C1087" i="7"/>
  <c r="D1087" i="7"/>
  <c r="G173" i="7"/>
  <c r="H173" i="7"/>
  <c r="Z173" i="7" s="1"/>
  <c r="C173" i="7"/>
  <c r="D173" i="7"/>
  <c r="G675" i="7"/>
  <c r="H675" i="7"/>
  <c r="C675" i="7"/>
  <c r="D675" i="7"/>
  <c r="H10" i="7"/>
  <c r="G10" i="7"/>
  <c r="C10" i="7"/>
  <c r="D10" i="7"/>
  <c r="H406" i="7"/>
  <c r="Z406" i="7" s="1"/>
  <c r="G406" i="7"/>
  <c r="D406" i="7"/>
  <c r="C406" i="7"/>
  <c r="H651" i="7"/>
  <c r="Z651" i="7" s="1"/>
  <c r="C651" i="7"/>
  <c r="G651" i="7"/>
  <c r="D651" i="7"/>
  <c r="C25" i="7"/>
  <c r="H25" i="7"/>
  <c r="Z25" i="7" s="1"/>
  <c r="G25" i="7"/>
  <c r="D25" i="7"/>
  <c r="G59" i="7"/>
  <c r="D59" i="7"/>
  <c r="X59" i="7" s="1"/>
  <c r="H59" i="7"/>
  <c r="C59" i="7"/>
  <c r="H879" i="7"/>
  <c r="G879" i="7"/>
  <c r="C879" i="7"/>
  <c r="D879" i="7"/>
  <c r="H1033" i="7"/>
  <c r="G1033" i="7"/>
  <c r="C1033" i="7"/>
  <c r="D1033" i="7"/>
  <c r="H524" i="7"/>
  <c r="Z524" i="7" s="1"/>
  <c r="C524" i="7"/>
  <c r="D524" i="7"/>
  <c r="G524" i="7"/>
  <c r="H189" i="7"/>
  <c r="Z189" i="7" s="1"/>
  <c r="G189" i="7"/>
  <c r="D189" i="7"/>
  <c r="C189" i="7"/>
  <c r="H295" i="7"/>
  <c r="Z295" i="7" s="1"/>
  <c r="G295" i="7"/>
  <c r="D295" i="7"/>
  <c r="C295" i="7"/>
  <c r="H893" i="7"/>
  <c r="G893" i="7"/>
  <c r="C893" i="7"/>
  <c r="D893" i="7"/>
  <c r="H220" i="7"/>
  <c r="Z220" i="7" s="1"/>
  <c r="D220" i="7"/>
  <c r="C220" i="7"/>
  <c r="G220" i="7"/>
  <c r="H459" i="7"/>
  <c r="Z459" i="7" s="1"/>
  <c r="G459" i="7"/>
  <c r="C459" i="7"/>
  <c r="D459" i="7"/>
  <c r="C97" i="7"/>
  <c r="H97" i="7"/>
  <c r="Z97" i="7" s="1"/>
  <c r="G97" i="7"/>
  <c r="D97" i="7"/>
  <c r="G779" i="7"/>
  <c r="C779" i="7"/>
  <c r="H779" i="7"/>
  <c r="Z779" i="7" s="1"/>
  <c r="D779" i="7"/>
  <c r="H381" i="7"/>
  <c r="Z381" i="7" s="1"/>
  <c r="G381" i="7"/>
  <c r="D381" i="7"/>
  <c r="C381" i="7"/>
  <c r="C484" i="7"/>
  <c r="H484" i="7"/>
  <c r="Z484" i="7" s="1"/>
  <c r="G484" i="7"/>
  <c r="D484" i="7"/>
  <c r="C144" i="7"/>
  <c r="H144" i="7"/>
  <c r="Z144" i="7" s="1"/>
  <c r="G144" i="7"/>
  <c r="D144" i="7"/>
  <c r="G557" i="7"/>
  <c r="H557" i="7"/>
  <c r="Z557" i="7" s="1"/>
  <c r="C557" i="7"/>
  <c r="D557" i="7"/>
  <c r="G502" i="7"/>
  <c r="C502" i="7"/>
  <c r="H502" i="7"/>
  <c r="Z502" i="7" s="1"/>
  <c r="D502" i="7"/>
  <c r="G1003" i="7"/>
  <c r="C1003" i="7"/>
  <c r="H1003" i="7"/>
  <c r="Z1003" i="7" s="1"/>
  <c r="D1003" i="7"/>
  <c r="H405" i="7"/>
  <c r="G405" i="7"/>
  <c r="C405" i="7"/>
  <c r="D405" i="7"/>
  <c r="X405" i="7" s="1"/>
  <c r="G950" i="7"/>
  <c r="D950" i="7"/>
  <c r="C950" i="7"/>
  <c r="H950" i="7"/>
  <c r="Z950" i="7" s="1"/>
  <c r="G64" i="7"/>
  <c r="D64" i="7"/>
  <c r="H64" i="7"/>
  <c r="Z64" i="7" s="1"/>
  <c r="C64" i="7"/>
  <c r="H190" i="7"/>
  <c r="Z190" i="7" s="1"/>
  <c r="G190" i="7"/>
  <c r="D190" i="7"/>
  <c r="C190" i="7"/>
  <c r="G906" i="7"/>
  <c r="H906" i="7"/>
  <c r="Z906" i="7" s="1"/>
  <c r="C906" i="7"/>
  <c r="D906" i="7"/>
  <c r="H1024" i="7"/>
  <c r="Z1024" i="7" s="1"/>
  <c r="C1024" i="7"/>
  <c r="D1024" i="7"/>
  <c r="G1024" i="7"/>
  <c r="G828" i="7"/>
  <c r="C828" i="7"/>
  <c r="D828" i="7"/>
  <c r="H828" i="7"/>
  <c r="Z828" i="7" s="1"/>
  <c r="G1064" i="7"/>
  <c r="H1064" i="7"/>
  <c r="Z1064" i="7" s="1"/>
  <c r="D1064" i="7"/>
  <c r="X1064" i="7" s="1"/>
  <c r="C1064" i="7"/>
  <c r="H605" i="7"/>
  <c r="Z605" i="7" s="1"/>
  <c r="C605" i="7"/>
  <c r="D605" i="7"/>
  <c r="G605" i="7"/>
  <c r="H117" i="7"/>
  <c r="Z117" i="7" s="1"/>
  <c r="G117" i="7"/>
  <c r="C117" i="7"/>
  <c r="D117" i="7"/>
  <c r="H134" i="7"/>
  <c r="Z134" i="7" s="1"/>
  <c r="G134" i="7"/>
  <c r="C134" i="7"/>
  <c r="D134" i="7"/>
  <c r="H301" i="7"/>
  <c r="G301" i="7"/>
  <c r="D301" i="7"/>
  <c r="C301" i="7"/>
  <c r="H575" i="7"/>
  <c r="Z575" i="7" s="1"/>
  <c r="C575" i="7"/>
  <c r="G575" i="7"/>
  <c r="D575" i="7"/>
  <c r="H31" i="7"/>
  <c r="Z31" i="7" s="1"/>
  <c r="G31" i="7"/>
  <c r="D31" i="7"/>
  <c r="C31" i="7"/>
  <c r="G340" i="7"/>
  <c r="H340" i="7"/>
  <c r="Z340" i="7" s="1"/>
  <c r="D340" i="7"/>
  <c r="C340" i="7"/>
  <c r="H441" i="7"/>
  <c r="Z441" i="7" s="1"/>
  <c r="C441" i="7"/>
  <c r="D441" i="7"/>
  <c r="G441" i="7"/>
  <c r="H163" i="7"/>
  <c r="Z163" i="7" s="1"/>
  <c r="G163" i="7"/>
  <c r="D163" i="7"/>
  <c r="C163" i="7"/>
  <c r="G426" i="7"/>
  <c r="H426" i="7"/>
  <c r="Z426" i="7" s="1"/>
  <c r="D426" i="7"/>
  <c r="C426" i="7"/>
  <c r="G18" i="7"/>
  <c r="H18" i="7"/>
  <c r="Z18" i="7" s="1"/>
  <c r="C18" i="7"/>
  <c r="D18" i="7"/>
  <c r="G1018" i="7"/>
  <c r="C1018" i="7"/>
  <c r="H1018" i="7"/>
  <c r="Z1018" i="7" s="1"/>
  <c r="D1018" i="7"/>
  <c r="H442" i="7"/>
  <c r="Z442" i="7" s="1"/>
  <c r="D442" i="7"/>
  <c r="G442" i="7"/>
  <c r="C442" i="7"/>
  <c r="H689" i="7"/>
  <c r="Z689" i="7" s="1"/>
  <c r="G689" i="7"/>
  <c r="C689" i="7"/>
  <c r="D689" i="7"/>
  <c r="X689" i="7" s="1"/>
  <c r="G206" i="7"/>
  <c r="C206" i="7"/>
  <c r="H206" i="7"/>
  <c r="D206" i="7"/>
  <c r="H280" i="7"/>
  <c r="C280" i="7"/>
  <c r="D280" i="7"/>
  <c r="X280" i="7" s="1"/>
  <c r="G280" i="7"/>
  <c r="G231" i="7"/>
  <c r="H231" i="7"/>
  <c r="Z231" i="7" s="1"/>
  <c r="D231" i="7"/>
  <c r="C231" i="7"/>
  <c r="G307" i="7"/>
  <c r="H307" i="7"/>
  <c r="Z307" i="7" s="1"/>
  <c r="D307" i="7"/>
  <c r="C307" i="7"/>
  <c r="H252" i="7"/>
  <c r="Z252" i="7" s="1"/>
  <c r="G252" i="7"/>
  <c r="D252" i="7"/>
  <c r="C252" i="7"/>
  <c r="H711" i="7"/>
  <c r="Z711" i="7" s="1"/>
  <c r="G711" i="7"/>
  <c r="C711" i="7"/>
  <c r="D711" i="7"/>
  <c r="G642" i="7"/>
  <c r="H642" i="7"/>
  <c r="Z642" i="7" s="1"/>
  <c r="D642" i="7"/>
  <c r="C642" i="7"/>
  <c r="G725" i="7"/>
  <c r="C725" i="7"/>
  <c r="H725" i="7"/>
  <c r="Z725" i="7" s="1"/>
  <c r="D725" i="7"/>
  <c r="H43" i="7"/>
  <c r="Z43" i="7" s="1"/>
  <c r="G43" i="7"/>
  <c r="C43" i="7"/>
  <c r="D43" i="7"/>
  <c r="C389" i="7"/>
  <c r="G389" i="7"/>
  <c r="D389" i="7"/>
  <c r="H389" i="7"/>
  <c r="Z389" i="7" s="1"/>
  <c r="H741" i="7"/>
  <c r="Z741" i="7" s="1"/>
  <c r="C741" i="7"/>
  <c r="D741" i="7"/>
  <c r="G741" i="7"/>
  <c r="G587" i="7"/>
  <c r="H587" i="7"/>
  <c r="D587" i="7"/>
  <c r="C587" i="7"/>
  <c r="H50" i="7"/>
  <c r="Z50" i="7" s="1"/>
  <c r="C50" i="7"/>
  <c r="G50" i="7"/>
  <c r="D50" i="7"/>
  <c r="X50" i="7" s="1"/>
  <c r="H526" i="7"/>
  <c r="Z526" i="7" s="1"/>
  <c r="C526" i="7"/>
  <c r="D526" i="7"/>
  <c r="G526" i="7"/>
  <c r="H687" i="7"/>
  <c r="Z687" i="7" s="1"/>
  <c r="G687" i="7"/>
  <c r="C687" i="7"/>
  <c r="D687" i="7"/>
  <c r="H387" i="7"/>
  <c r="Z387" i="7" s="1"/>
  <c r="C387" i="7"/>
  <c r="G387" i="7"/>
  <c r="D387" i="7"/>
  <c r="H792" i="7"/>
  <c r="Z792" i="7" s="1"/>
  <c r="G792" i="7"/>
  <c r="C792" i="7"/>
  <c r="D792" i="7"/>
  <c r="H765" i="7"/>
  <c r="Z765" i="7" s="1"/>
  <c r="G765" i="7"/>
  <c r="C765" i="7"/>
  <c r="D765" i="7"/>
  <c r="H291" i="7"/>
  <c r="Z291" i="7" s="1"/>
  <c r="G291" i="7"/>
  <c r="D291" i="7"/>
  <c r="C291" i="7"/>
  <c r="H380" i="7"/>
  <c r="Z380" i="7" s="1"/>
  <c r="D380" i="7"/>
  <c r="C380" i="7"/>
  <c r="G380" i="7"/>
  <c r="G931" i="7"/>
  <c r="H931" i="7"/>
  <c r="Z931" i="7" s="1"/>
  <c r="D931" i="7"/>
  <c r="C931" i="7"/>
  <c r="G978" i="7"/>
  <c r="H978" i="7"/>
  <c r="Z978" i="7" s="1"/>
  <c r="D978" i="7"/>
  <c r="C978" i="7"/>
  <c r="H783" i="7"/>
  <c r="G783" i="7"/>
  <c r="D783" i="7"/>
  <c r="C783" i="7"/>
  <c r="G424" i="7"/>
  <c r="D424" i="7"/>
  <c r="H424" i="7"/>
  <c r="Z424" i="7" s="1"/>
  <c r="C424" i="7"/>
  <c r="H855" i="7"/>
  <c r="Z855" i="7" s="1"/>
  <c r="C855" i="7"/>
  <c r="G855" i="7"/>
  <c r="D855" i="7"/>
  <c r="G624" i="7"/>
  <c r="H624" i="7"/>
  <c r="Z624" i="7" s="1"/>
  <c r="C624" i="7"/>
  <c r="D624" i="7"/>
  <c r="G934" i="7"/>
  <c r="H934" i="7"/>
  <c r="Z934" i="7" s="1"/>
  <c r="C934" i="7"/>
  <c r="D934" i="7"/>
  <c r="H3" i="7"/>
  <c r="Z3" i="7" s="1"/>
  <c r="G3" i="7"/>
  <c r="C3" i="7"/>
  <c r="D3" i="7"/>
  <c r="H829" i="7"/>
  <c r="Z829" i="7" s="1"/>
  <c r="G829" i="7"/>
  <c r="C829" i="7"/>
  <c r="D829" i="7"/>
  <c r="G422" i="7"/>
  <c r="C422" i="7"/>
  <c r="H422" i="7"/>
  <c r="Z422" i="7" s="1"/>
  <c r="D422" i="7"/>
  <c r="X422" i="7" s="1"/>
  <c r="H627" i="7"/>
  <c r="Z627" i="7" s="1"/>
  <c r="G627" i="7"/>
  <c r="D627" i="7"/>
  <c r="C627" i="7"/>
  <c r="H140" i="7"/>
  <c r="Z140" i="7" s="1"/>
  <c r="C140" i="7"/>
  <c r="D140" i="7"/>
  <c r="G140" i="7"/>
  <c r="H630" i="7"/>
  <c r="Z630" i="7" s="1"/>
  <c r="G630" i="7"/>
  <c r="D630" i="7"/>
  <c r="C630" i="7"/>
  <c r="G1040" i="7"/>
  <c r="C1040" i="7"/>
  <c r="H1040" i="7"/>
  <c r="Z1040" i="7" s="1"/>
  <c r="D1040" i="7"/>
  <c r="G799" i="7"/>
  <c r="H799" i="7"/>
  <c r="Z799" i="7" s="1"/>
  <c r="C799" i="7"/>
  <c r="D799" i="7"/>
  <c r="G1019" i="7"/>
  <c r="H1019" i="7"/>
  <c r="Z1019" i="7" s="1"/>
  <c r="D1019" i="7"/>
  <c r="C1019" i="7"/>
  <c r="H33" i="7"/>
  <c r="Z33" i="7" s="1"/>
  <c r="G33" i="7"/>
  <c r="C33" i="7"/>
  <c r="D33" i="7"/>
  <c r="G909" i="7"/>
  <c r="C909" i="7"/>
  <c r="D909" i="7"/>
  <c r="H909" i="7"/>
  <c r="Z909" i="7" s="1"/>
  <c r="G863" i="7"/>
  <c r="C863" i="7"/>
  <c r="D863" i="7"/>
  <c r="H863" i="7"/>
  <c r="H1086" i="7"/>
  <c r="Z1086" i="7" s="1"/>
  <c r="G1086" i="7"/>
  <c r="C1086" i="7"/>
  <c r="D1086" i="7"/>
  <c r="H304" i="7"/>
  <c r="Z304" i="7" s="1"/>
  <c r="G304" i="7"/>
  <c r="D304" i="7"/>
  <c r="C304" i="7"/>
  <c r="C24" i="7"/>
  <c r="H24" i="7"/>
  <c r="Z24" i="7" s="1"/>
  <c r="G24" i="7"/>
  <c r="D24" i="7"/>
  <c r="H918" i="7"/>
  <c r="Z918" i="7" s="1"/>
  <c r="C918" i="7"/>
  <c r="D918" i="7"/>
  <c r="G918" i="7"/>
  <c r="G510" i="7"/>
  <c r="C510" i="7"/>
  <c r="H510" i="7"/>
  <c r="Z510" i="7" s="1"/>
  <c r="D510" i="7"/>
  <c r="H788" i="7"/>
  <c r="G788" i="7"/>
  <c r="C788" i="7"/>
  <c r="D788" i="7"/>
  <c r="G150" i="7"/>
  <c r="D150" i="7"/>
  <c r="H150" i="7"/>
  <c r="Z150" i="7" s="1"/>
  <c r="C150" i="7"/>
  <c r="H876" i="7"/>
  <c r="Z876" i="7" s="1"/>
  <c r="G876" i="7"/>
  <c r="D876" i="7"/>
  <c r="C876" i="7"/>
  <c r="H168" i="7"/>
  <c r="Z168" i="7" s="1"/>
  <c r="G168" i="7"/>
  <c r="C168" i="7"/>
  <c r="D168" i="7"/>
  <c r="H1075" i="7"/>
  <c r="Z1075" i="7" s="1"/>
  <c r="C1075" i="7"/>
  <c r="G1075" i="7"/>
  <c r="D1075" i="7"/>
  <c r="H249" i="7"/>
  <c r="Z249" i="7" s="1"/>
  <c r="G249" i="7"/>
  <c r="C249" i="7"/>
  <c r="D249" i="7"/>
  <c r="H896" i="7"/>
  <c r="G896" i="7"/>
  <c r="D896" i="7"/>
  <c r="C896" i="7"/>
  <c r="H944" i="7"/>
  <c r="Z944" i="7" s="1"/>
  <c r="G944" i="7"/>
  <c r="D944" i="7"/>
  <c r="C944" i="7"/>
  <c r="H552" i="7"/>
  <c r="Z552" i="7" s="1"/>
  <c r="C552" i="7"/>
  <c r="G552" i="7"/>
  <c r="D552" i="7"/>
  <c r="H766" i="7"/>
  <c r="Z766" i="7" s="1"/>
  <c r="G766" i="7"/>
  <c r="C766" i="7"/>
  <c r="D766" i="7"/>
  <c r="X766" i="7" s="1"/>
  <c r="H712" i="7"/>
  <c r="Z712" i="7" s="1"/>
  <c r="G712" i="7"/>
  <c r="C712" i="7"/>
  <c r="D712" i="7"/>
  <c r="H271" i="7"/>
  <c r="Z271" i="7" s="1"/>
  <c r="G271" i="7"/>
  <c r="D271" i="7"/>
  <c r="C271" i="7"/>
  <c r="G952" i="7"/>
  <c r="C952" i="7"/>
  <c r="H952" i="7"/>
  <c r="D952" i="7"/>
  <c r="G310" i="7"/>
  <c r="C310" i="7"/>
  <c r="H310" i="7"/>
  <c r="Z310" i="7" s="1"/>
  <c r="D310" i="7"/>
  <c r="H382" i="7"/>
  <c r="Z382" i="7" s="1"/>
  <c r="G382" i="7"/>
  <c r="D382" i="7"/>
  <c r="C382" i="7"/>
  <c r="H86" i="7"/>
  <c r="Z86" i="7" s="1"/>
  <c r="D86" i="7"/>
  <c r="C86" i="7"/>
  <c r="G86" i="7"/>
  <c r="H682" i="7"/>
  <c r="Z682" i="7" s="1"/>
  <c r="G682" i="7"/>
  <c r="C682" i="7"/>
  <c r="D682" i="7"/>
  <c r="G677" i="7"/>
  <c r="C677" i="7"/>
  <c r="H677" i="7"/>
  <c r="Z677" i="7" s="1"/>
  <c r="D677" i="7"/>
  <c r="H54" i="7"/>
  <c r="Z54" i="7" s="1"/>
  <c r="G54" i="7"/>
  <c r="C54" i="7"/>
  <c r="D54" i="7"/>
  <c r="H357" i="7"/>
  <c r="Z357" i="7" s="1"/>
  <c r="C357" i="7"/>
  <c r="D357" i="7"/>
  <c r="G357" i="7"/>
  <c r="G111" i="7"/>
  <c r="H111" i="7"/>
  <c r="Z111" i="7" s="1"/>
  <c r="D111" i="7"/>
  <c r="C111" i="7"/>
  <c r="G63" i="7"/>
  <c r="H63" i="7"/>
  <c r="Z63" i="7" s="1"/>
  <c r="C63" i="7"/>
  <c r="D63" i="7"/>
  <c r="X63" i="7" s="1"/>
  <c r="H654" i="7"/>
  <c r="C654" i="7"/>
  <c r="G654" i="7"/>
  <c r="D654" i="7"/>
  <c r="G670" i="7"/>
  <c r="H670" i="7"/>
  <c r="Z670" i="7" s="1"/>
  <c r="D670" i="7"/>
  <c r="C670" i="7"/>
  <c r="G207" i="7"/>
  <c r="C207" i="7"/>
  <c r="H207" i="7"/>
  <c r="Z207" i="7" s="1"/>
  <c r="D207" i="7"/>
  <c r="H736" i="7"/>
  <c r="Z736" i="7" s="1"/>
  <c r="G736" i="7"/>
  <c r="C736" i="7"/>
  <c r="D736" i="7"/>
  <c r="H465" i="7"/>
  <c r="Z465" i="7" s="1"/>
  <c r="G465" i="7"/>
  <c r="D465" i="7"/>
  <c r="X465" i="7" s="1"/>
  <c r="C465" i="7"/>
  <c r="G57" i="7"/>
  <c r="H57" i="7"/>
  <c r="Z57" i="7" s="1"/>
  <c r="C57" i="7"/>
  <c r="D57" i="7"/>
  <c r="G235" i="7"/>
  <c r="C235" i="7"/>
  <c r="D235" i="7"/>
  <c r="X235" i="7" s="1"/>
  <c r="H235" i="7"/>
  <c r="Z235" i="7" s="1"/>
  <c r="G339" i="7"/>
  <c r="C339" i="7"/>
  <c r="H339" i="7"/>
  <c r="Z339" i="7" s="1"/>
  <c r="D339" i="7"/>
  <c r="G556" i="7"/>
  <c r="H556" i="7"/>
  <c r="Z556" i="7" s="1"/>
  <c r="C556" i="7"/>
  <c r="D556" i="7"/>
  <c r="G908" i="7"/>
  <c r="C908" i="7"/>
  <c r="D908" i="7"/>
  <c r="H908" i="7"/>
  <c r="Z908" i="7" s="1"/>
  <c r="G289" i="7"/>
  <c r="H289" i="7"/>
  <c r="Z289" i="7" s="1"/>
  <c r="C289" i="7"/>
  <c r="D289" i="7"/>
  <c r="G887" i="7"/>
  <c r="H887" i="7"/>
  <c r="Z887" i="7" s="1"/>
  <c r="C887" i="7"/>
  <c r="D887" i="7"/>
  <c r="X887" i="7" s="1"/>
  <c r="G750" i="7"/>
  <c r="H750" i="7"/>
  <c r="Z750" i="7" s="1"/>
  <c r="C750" i="7"/>
  <c r="D750" i="7"/>
  <c r="H500" i="7"/>
  <c r="Z500" i="7" s="1"/>
  <c r="G500" i="7"/>
  <c r="D500" i="7"/>
  <c r="C500" i="7"/>
  <c r="H120" i="7"/>
  <c r="Z120" i="7" s="1"/>
  <c r="G120" i="7"/>
  <c r="C120" i="7"/>
  <c r="D120" i="7"/>
  <c r="G226" i="7"/>
  <c r="H226" i="7"/>
  <c r="Z226" i="7" s="1"/>
  <c r="D226" i="7"/>
  <c r="C226" i="7"/>
  <c r="G666" i="7"/>
  <c r="H666" i="7"/>
  <c r="Z666" i="7" s="1"/>
  <c r="D666" i="7"/>
  <c r="X666" i="7" s="1"/>
  <c r="C666" i="7"/>
  <c r="G1036" i="7"/>
  <c r="C1036" i="7"/>
  <c r="D1036" i="7"/>
  <c r="H1036" i="7"/>
  <c r="G798" i="7"/>
  <c r="C798" i="7"/>
  <c r="H798" i="7"/>
  <c r="Z798" i="7" s="1"/>
  <c r="D798" i="7"/>
  <c r="H1030" i="7"/>
  <c r="Z1030" i="7" s="1"/>
  <c r="C1030" i="7"/>
  <c r="G1030" i="7"/>
  <c r="D1030" i="7"/>
  <c r="H1028" i="7"/>
  <c r="Z1028" i="7" s="1"/>
  <c r="C1028" i="7"/>
  <c r="G1028" i="7"/>
  <c r="D1028" i="7"/>
  <c r="G344" i="7"/>
  <c r="H344" i="7"/>
  <c r="Z344" i="7" s="1"/>
  <c r="D344" i="7"/>
  <c r="C344" i="7"/>
  <c r="G211" i="7"/>
  <c r="H211" i="7"/>
  <c r="Z211" i="7" s="1"/>
  <c r="C211" i="7"/>
  <c r="D211" i="7"/>
  <c r="G541" i="7"/>
  <c r="H541" i="7"/>
  <c r="C541" i="7"/>
  <c r="D541" i="7"/>
  <c r="H384" i="7"/>
  <c r="Z384" i="7" s="1"/>
  <c r="G384" i="7"/>
  <c r="C384" i="7"/>
  <c r="D384" i="7"/>
  <c r="C904" i="7"/>
  <c r="H904" i="7"/>
  <c r="Z904" i="7" s="1"/>
  <c r="D904" i="7"/>
  <c r="G904" i="7"/>
  <c r="H787" i="7"/>
  <c r="Z787" i="7" s="1"/>
  <c r="G787" i="7"/>
  <c r="C787" i="7"/>
  <c r="D787" i="7"/>
  <c r="X787" i="7" s="1"/>
  <c r="G973" i="7"/>
  <c r="C973" i="7"/>
  <c r="H973" i="7"/>
  <c r="D973" i="7"/>
  <c r="H691" i="7"/>
  <c r="Z691" i="7" s="1"/>
  <c r="G691" i="7"/>
  <c r="C691" i="7"/>
  <c r="D691" i="7"/>
  <c r="H42" i="7"/>
  <c r="Z42" i="7" s="1"/>
  <c r="G42" i="7"/>
  <c r="C42" i="7"/>
  <c r="D42" i="7"/>
  <c r="H167" i="7"/>
  <c r="Z167" i="7" s="1"/>
  <c r="G167" i="7"/>
  <c r="C167" i="7"/>
  <c r="D167" i="7"/>
  <c r="H8" i="7"/>
  <c r="Z8" i="7" s="1"/>
  <c r="G8" i="7"/>
  <c r="D8" i="7"/>
  <c r="C8" i="7"/>
  <c r="H814" i="7"/>
  <c r="Z814" i="7" s="1"/>
  <c r="G814" i="7"/>
  <c r="C814" i="7"/>
  <c r="D814" i="7"/>
  <c r="H813" i="7"/>
  <c r="G813" i="7"/>
  <c r="C813" i="7"/>
  <c r="D813" i="7"/>
  <c r="H432" i="7"/>
  <c r="Z432" i="7" s="1"/>
  <c r="G432" i="7"/>
  <c r="C432" i="7"/>
  <c r="D432" i="7"/>
  <c r="H118" i="7"/>
  <c r="Z118" i="7" s="1"/>
  <c r="G118" i="7"/>
  <c r="C118" i="7"/>
  <c r="D118" i="7"/>
  <c r="H36" i="7"/>
  <c r="Z36" i="7" s="1"/>
  <c r="G36" i="7"/>
  <c r="C36" i="7"/>
  <c r="D36" i="7"/>
  <c r="H102" i="7"/>
  <c r="Z102" i="7" s="1"/>
  <c r="C102" i="7"/>
  <c r="G102" i="7"/>
  <c r="D102" i="7"/>
  <c r="G511" i="7"/>
  <c r="C511" i="7"/>
  <c r="H511" i="7"/>
  <c r="D511" i="7"/>
  <c r="G701" i="7"/>
  <c r="H701" i="7"/>
  <c r="Z701" i="7" s="1"/>
  <c r="C701" i="7"/>
  <c r="D701" i="7"/>
  <c r="X701" i="7" s="1"/>
  <c r="G585" i="7"/>
  <c r="C585" i="7"/>
  <c r="H585" i="7"/>
  <c r="Z585" i="7" s="1"/>
  <c r="D585" i="7"/>
  <c r="G889" i="7"/>
  <c r="H889" i="7"/>
  <c r="Z889" i="7" s="1"/>
  <c r="C889" i="7"/>
  <c r="D889" i="7"/>
  <c r="G446" i="7"/>
  <c r="H446" i="7"/>
  <c r="Z446" i="7" s="1"/>
  <c r="D446" i="7"/>
  <c r="C446" i="7"/>
  <c r="C692" i="7"/>
  <c r="H692" i="7"/>
  <c r="Z692" i="7" s="1"/>
  <c r="D692" i="7"/>
  <c r="G692" i="7"/>
  <c r="H1091" i="7"/>
  <c r="G1091" i="7"/>
  <c r="C1091" i="7"/>
  <c r="D1091" i="7"/>
  <c r="G758" i="7"/>
  <c r="H758" i="7"/>
  <c r="Z758" i="7" s="1"/>
  <c r="C758" i="7"/>
  <c r="D758" i="7"/>
  <c r="X758" i="7" s="1"/>
  <c r="H38" i="7"/>
  <c r="Z38" i="7" s="1"/>
  <c r="G38" i="7"/>
  <c r="C38" i="7"/>
  <c r="D38" i="7"/>
  <c r="H1034" i="7"/>
  <c r="Z1034" i="7" s="1"/>
  <c r="C1034" i="7"/>
  <c r="G1034" i="7"/>
  <c r="D1034" i="7"/>
  <c r="G910" i="7"/>
  <c r="C910" i="7"/>
  <c r="D910" i="7"/>
  <c r="X910" i="7" s="1"/>
  <c r="H910" i="7"/>
  <c r="Z910" i="7" s="1"/>
  <c r="H159" i="7"/>
  <c r="Z159" i="7" s="1"/>
  <c r="G159" i="7"/>
  <c r="D159" i="7"/>
  <c r="C159" i="7"/>
  <c r="G933" i="7"/>
  <c r="H933" i="7"/>
  <c r="Z933" i="7" s="1"/>
  <c r="D933" i="7"/>
  <c r="C933" i="7"/>
  <c r="G507" i="7"/>
  <c r="H507" i="7"/>
  <c r="Z507" i="7" s="1"/>
  <c r="D507" i="7"/>
  <c r="X507" i="7" s="1"/>
  <c r="C507" i="7"/>
  <c r="G204" i="7"/>
  <c r="D204" i="7"/>
  <c r="C204" i="7"/>
  <c r="H204" i="7"/>
  <c r="Z204" i="7" s="1"/>
  <c r="H622" i="7"/>
  <c r="Z622" i="7" s="1"/>
  <c r="G622" i="7"/>
  <c r="C622" i="7"/>
  <c r="D622" i="7"/>
  <c r="H1025" i="7"/>
  <c r="Z1025" i="7" s="1"/>
  <c r="C1025" i="7"/>
  <c r="D1025" i="7"/>
  <c r="G1025" i="7"/>
  <c r="H515" i="7"/>
  <c r="C515" i="7"/>
  <c r="G515" i="7"/>
  <c r="D515" i="7"/>
  <c r="G565" i="7"/>
  <c r="H565" i="7"/>
  <c r="D565" i="7"/>
  <c r="C565" i="7"/>
  <c r="H1027" i="7"/>
  <c r="Z1027" i="7" s="1"/>
  <c r="C1027" i="7"/>
  <c r="G1027" i="7"/>
  <c r="D1027" i="7"/>
  <c r="H917" i="7"/>
  <c r="Z917" i="7" s="1"/>
  <c r="C917" i="7"/>
  <c r="G917" i="7"/>
  <c r="D917" i="7"/>
  <c r="G951" i="7"/>
  <c r="C951" i="7"/>
  <c r="D951" i="7"/>
  <c r="H951" i="7"/>
  <c r="Z951" i="7" s="1"/>
  <c r="G825" i="7"/>
  <c r="H825" i="7"/>
  <c r="Z825" i="7" s="1"/>
  <c r="C825" i="7"/>
  <c r="D825" i="7"/>
  <c r="H881" i="7"/>
  <c r="Z881" i="7" s="1"/>
  <c r="C881" i="7"/>
  <c r="G881" i="7"/>
  <c r="D881" i="7"/>
  <c r="H849" i="7"/>
  <c r="Z849" i="7" s="1"/>
  <c r="G849" i="7"/>
  <c r="D849" i="7"/>
  <c r="C849" i="7"/>
  <c r="G183" i="7"/>
  <c r="C183" i="7"/>
  <c r="H183" i="7"/>
  <c r="Z183" i="7" s="1"/>
  <c r="D183" i="7"/>
  <c r="H297" i="7"/>
  <c r="Z297" i="7" s="1"/>
  <c r="C297" i="7"/>
  <c r="G297" i="7"/>
  <c r="D297" i="7"/>
  <c r="G953" i="7"/>
  <c r="H953" i="7"/>
  <c r="Z953" i="7" s="1"/>
  <c r="C953" i="7"/>
  <c r="D953" i="7"/>
  <c r="H903" i="7"/>
  <c r="C903" i="7"/>
  <c r="D903" i="7"/>
  <c r="G903" i="7"/>
  <c r="H379" i="7"/>
  <c r="G379" i="7"/>
  <c r="D379" i="7"/>
  <c r="C379" i="7"/>
  <c r="G95" i="7"/>
  <c r="H95" i="7"/>
  <c r="Z95" i="7" s="1"/>
  <c r="D95" i="7"/>
  <c r="C95" i="7"/>
  <c r="H937" i="7"/>
  <c r="Z937" i="7" s="1"/>
  <c r="G937" i="7"/>
  <c r="D937" i="7"/>
  <c r="C937" i="7"/>
  <c r="G109" i="7"/>
  <c r="H109" i="7"/>
  <c r="Z109" i="7" s="1"/>
  <c r="D109" i="7"/>
  <c r="C109" i="7"/>
  <c r="H762" i="7"/>
  <c r="Z762" i="7" s="1"/>
  <c r="G762" i="7"/>
  <c r="C762" i="7"/>
  <c r="D762" i="7"/>
  <c r="H299" i="7"/>
  <c r="C299" i="7"/>
  <c r="G299" i="7"/>
  <c r="D299" i="7"/>
  <c r="H164" i="7"/>
  <c r="Z164" i="7" s="1"/>
  <c r="G164" i="7"/>
  <c r="D164" i="7"/>
  <c r="C164" i="7"/>
  <c r="G93" i="7"/>
  <c r="H93" i="7"/>
  <c r="Z93" i="7" s="1"/>
  <c r="C93" i="7"/>
  <c r="D93" i="7"/>
  <c r="G797" i="7"/>
  <c r="C797" i="7"/>
  <c r="H797" i="7"/>
  <c r="Z797" i="7" s="1"/>
  <c r="D797" i="7"/>
  <c r="G645" i="7"/>
  <c r="H645" i="7"/>
  <c r="Z645" i="7" s="1"/>
  <c r="C645" i="7"/>
  <c r="D645" i="7"/>
  <c r="G755" i="7"/>
  <c r="H755" i="7"/>
  <c r="Z755" i="7" s="1"/>
  <c r="D755" i="7"/>
  <c r="C755" i="7"/>
  <c r="G22" i="7"/>
  <c r="H22" i="7"/>
  <c r="Z22" i="7" s="1"/>
  <c r="C22" i="7"/>
  <c r="D22" i="7"/>
  <c r="H602" i="7"/>
  <c r="Z602" i="7" s="1"/>
  <c r="G602" i="7"/>
  <c r="C602" i="7"/>
  <c r="D602" i="7"/>
  <c r="G37" i="7"/>
  <c r="H37" i="7"/>
  <c r="Z37" i="7" s="1"/>
  <c r="C37" i="7"/>
  <c r="D37" i="7"/>
  <c r="G1004" i="7"/>
  <c r="H1004" i="7"/>
  <c r="Z1004" i="7" s="1"/>
  <c r="D1004" i="7"/>
  <c r="C1004" i="7"/>
  <c r="G506" i="7"/>
  <c r="H506" i="7"/>
  <c r="Z506" i="7" s="1"/>
  <c r="C506" i="7"/>
  <c r="D506" i="7"/>
  <c r="H963" i="7"/>
  <c r="Z963" i="7" s="1"/>
  <c r="C963" i="7"/>
  <c r="G963" i="7"/>
  <c r="D963" i="7"/>
  <c r="H875" i="7"/>
  <c r="Z875" i="7" s="1"/>
  <c r="G875" i="7"/>
  <c r="D875" i="7"/>
  <c r="X875" i="7" s="1"/>
  <c r="C875" i="7"/>
  <c r="H329" i="7"/>
  <c r="Z329" i="7" s="1"/>
  <c r="G329" i="7"/>
  <c r="C329" i="7"/>
  <c r="D329" i="7"/>
  <c r="H412" i="7"/>
  <c r="Z412" i="7" s="1"/>
  <c r="G412" i="7"/>
  <c r="D412" i="7"/>
  <c r="C412" i="7"/>
  <c r="G371" i="7"/>
  <c r="H371" i="7"/>
  <c r="Z371" i="7" s="1"/>
  <c r="D371" i="7"/>
  <c r="C371" i="7"/>
  <c r="H836" i="7"/>
  <c r="G836" i="7"/>
  <c r="C836" i="7"/>
  <c r="D836" i="7"/>
  <c r="H629" i="7"/>
  <c r="Z629" i="7" s="1"/>
  <c r="G629" i="7"/>
  <c r="D629" i="7"/>
  <c r="C629" i="7"/>
  <c r="H51" i="7"/>
  <c r="Z51" i="7" s="1"/>
  <c r="C51" i="7"/>
  <c r="G51" i="7"/>
  <c r="D51" i="7"/>
  <c r="G560" i="7"/>
  <c r="D560" i="7"/>
  <c r="C560" i="7"/>
  <c r="H560" i="7"/>
  <c r="Z560" i="7" s="1"/>
  <c r="H713" i="7"/>
  <c r="Z713" i="7" s="1"/>
  <c r="C713" i="7"/>
  <c r="D713" i="7"/>
  <c r="G713" i="7"/>
  <c r="H1049" i="7"/>
  <c r="Z1049" i="7" s="1"/>
  <c r="G1049" i="7"/>
  <c r="C1049" i="7"/>
  <c r="D1049" i="7"/>
  <c r="G1043" i="7"/>
  <c r="H1043" i="7"/>
  <c r="Z1043" i="7" s="1"/>
  <c r="D1043" i="7"/>
  <c r="C1043" i="7"/>
  <c r="H520" i="7"/>
  <c r="C520" i="7"/>
  <c r="D520" i="7"/>
  <c r="G520" i="7"/>
  <c r="G46" i="7"/>
  <c r="H46" i="7"/>
  <c r="Z46" i="7" s="1"/>
  <c r="C46" i="7"/>
  <c r="D46" i="7"/>
  <c r="X46" i="7" s="1"/>
  <c r="F848" i="7"/>
  <c r="I848" i="7" s="1"/>
  <c r="H848" i="7"/>
  <c r="Z848" i="7" s="1"/>
  <c r="G848" i="7"/>
  <c r="D848" i="7"/>
  <c r="X848" i="7" s="1"/>
  <c r="C848" i="7"/>
  <c r="G373" i="7"/>
  <c r="D373" i="7"/>
  <c r="C373" i="7"/>
  <c r="T448" i="7"/>
  <c r="C448" i="7"/>
  <c r="D448" i="7"/>
  <c r="T693" i="7"/>
  <c r="C693" i="7"/>
  <c r="D693" i="7"/>
  <c r="H698" i="7"/>
  <c r="Z698" i="7" s="1"/>
  <c r="C698" i="7"/>
  <c r="D698" i="7"/>
  <c r="T607" i="7"/>
  <c r="C493" i="7"/>
  <c r="D493" i="7"/>
  <c r="T898" i="7"/>
  <c r="Z312" i="7"/>
  <c r="T512" i="7"/>
  <c r="F708" i="7"/>
  <c r="C708" i="7"/>
  <c r="D708" i="7"/>
  <c r="H703" i="7"/>
  <c r="Z703" i="7" s="1"/>
  <c r="C703" i="7"/>
  <c r="D703" i="7"/>
  <c r="H288" i="7"/>
  <c r="Z288" i="7" s="1"/>
  <c r="D288" i="7"/>
  <c r="C288" i="7"/>
  <c r="F1091" i="7"/>
  <c r="I1091" i="7" s="1"/>
  <c r="C318" i="7"/>
  <c r="D318" i="7"/>
  <c r="F707" i="7"/>
  <c r="F1175" i="7"/>
  <c r="C1175" i="7"/>
  <c r="D1175" i="7"/>
  <c r="T453" i="7"/>
  <c r="C453" i="7"/>
  <c r="D453" i="7"/>
  <c r="H1131" i="7"/>
  <c r="Z1131" i="7" s="1"/>
  <c r="C1131" i="7"/>
  <c r="D1131" i="7"/>
  <c r="T714" i="7"/>
  <c r="C714" i="7"/>
  <c r="D714" i="7"/>
  <c r="T581" i="7"/>
  <c r="T149" i="7"/>
  <c r="D149" i="7"/>
  <c r="C149" i="7"/>
  <c r="D678" i="7"/>
  <c r="C678" i="7"/>
  <c r="T414" i="7"/>
  <c r="C1165" i="7"/>
  <c r="D1165" i="7"/>
  <c r="X1165" i="7" s="1"/>
  <c r="T103" i="7"/>
  <c r="T73" i="7"/>
  <c r="T177" i="7"/>
  <c r="H82" i="7"/>
  <c r="Z82" i="7" s="1"/>
  <c r="D82" i="7"/>
  <c r="C82" i="7"/>
  <c r="T471" i="7"/>
  <c r="F640" i="7"/>
  <c r="I640" i="7" s="1"/>
  <c r="F1048" i="7"/>
  <c r="I1048" i="7" s="1"/>
  <c r="H213" i="7"/>
  <c r="Z213" i="7" s="1"/>
  <c r="D213" i="7"/>
  <c r="C213" i="7"/>
  <c r="F331" i="7"/>
  <c r="I331" i="7" s="1"/>
  <c r="F973" i="7"/>
  <c r="I973" i="7" s="1"/>
  <c r="F503" i="7"/>
  <c r="D503" i="7"/>
  <c r="C503" i="7"/>
  <c r="T588" i="7"/>
  <c r="D588" i="7"/>
  <c r="C588" i="7"/>
  <c r="C1168" i="7"/>
  <c r="D1168" i="7"/>
  <c r="T335" i="7"/>
  <c r="C739" i="7"/>
  <c r="D739" i="7"/>
  <c r="F814" i="7"/>
  <c r="I814" i="7" s="1"/>
  <c r="T813" i="7"/>
  <c r="H428" i="7"/>
  <c r="Z428" i="7" s="1"/>
  <c r="C428" i="7"/>
  <c r="D428" i="7"/>
  <c r="C228" i="7"/>
  <c r="D228" i="7"/>
  <c r="T432" i="7"/>
  <c r="T315" i="7"/>
  <c r="H1073" i="7"/>
  <c r="Z1073" i="7" s="1"/>
  <c r="C1073" i="7"/>
  <c r="D1073" i="7"/>
  <c r="C1148" i="7"/>
  <c r="D1148" i="7"/>
  <c r="T630" i="7"/>
  <c r="T302" i="7"/>
  <c r="F598" i="7"/>
  <c r="I598" i="7" s="1"/>
  <c r="C598" i="7"/>
  <c r="D598" i="7"/>
  <c r="C498" i="7"/>
  <c r="D498" i="7"/>
  <c r="X498" i="7" s="1"/>
  <c r="T794" i="7"/>
  <c r="T939" i="7"/>
  <c r="F611" i="7"/>
  <c r="I611" i="7" s="1"/>
  <c r="T236" i="7"/>
  <c r="D303" i="7"/>
  <c r="C303" i="7"/>
  <c r="T430" i="7"/>
  <c r="F1038" i="7"/>
  <c r="I1038" i="7" s="1"/>
  <c r="C508" i="7"/>
  <c r="D508" i="7"/>
  <c r="F35" i="7"/>
  <c r="I35" i="7" s="1"/>
  <c r="F946" i="7"/>
  <c r="I946" i="7" s="1"/>
  <c r="C1110" i="7"/>
  <c r="D1110" i="7"/>
  <c r="T47" i="7"/>
  <c r="F157" i="7"/>
  <c r="I157" i="7" s="1"/>
  <c r="T234" i="7"/>
  <c r="Z669" i="7"/>
  <c r="T756" i="7"/>
  <c r="G1119" i="7"/>
  <c r="D1119" i="7"/>
  <c r="C1119" i="7"/>
  <c r="D348" i="7"/>
  <c r="C348" i="7"/>
  <c r="H218" i="7"/>
  <c r="Z218" i="7" s="1"/>
  <c r="D218" i="7"/>
  <c r="C218" i="7"/>
  <c r="C623" i="7"/>
  <c r="D623" i="7"/>
  <c r="G1159" i="7"/>
  <c r="D1159" i="7"/>
  <c r="C1159" i="7"/>
  <c r="T156" i="7"/>
  <c r="X863" i="7"/>
  <c r="C1156" i="7"/>
  <c r="D1156" i="7"/>
  <c r="C658" i="7"/>
  <c r="D658" i="7"/>
  <c r="X658" i="7" s="1"/>
  <c r="T562" i="7"/>
  <c r="T1136" i="7"/>
  <c r="C1136" i="7"/>
  <c r="D1136" i="7"/>
  <c r="F322" i="7"/>
  <c r="I322" i="7" s="1"/>
  <c r="F943" i="7"/>
  <c r="I943" i="7" s="1"/>
  <c r="F384" i="7"/>
  <c r="I384" i="7" s="1"/>
  <c r="F80" i="7"/>
  <c r="C80" i="7"/>
  <c r="D80" i="7"/>
  <c r="F1016" i="7"/>
  <c r="I1016" i="7" s="1"/>
  <c r="F561" i="7"/>
  <c r="I561" i="7" s="1"/>
  <c r="G161" i="7"/>
  <c r="C161" i="7"/>
  <c r="D161" i="7"/>
  <c r="F673" i="7"/>
  <c r="C673" i="7"/>
  <c r="D673" i="7"/>
  <c r="T496" i="7"/>
  <c r="C1177" i="7"/>
  <c r="D1177" i="7"/>
  <c r="D618" i="7"/>
  <c r="C618" i="7"/>
  <c r="F83" i="7"/>
  <c r="I83" i="7" s="1"/>
  <c r="C488" i="7"/>
  <c r="D488" i="7"/>
  <c r="F659" i="7"/>
  <c r="I659" i="7" s="1"/>
  <c r="T1083" i="7"/>
  <c r="T869" i="7"/>
  <c r="F542" i="7"/>
  <c r="I542" i="7" s="1"/>
  <c r="T198" i="7"/>
  <c r="F719" i="7"/>
  <c r="C719" i="7"/>
  <c r="D719" i="7"/>
  <c r="T319" i="7"/>
  <c r="T529" i="7"/>
  <c r="T648" i="7"/>
  <c r="C648" i="7"/>
  <c r="D648" i="7"/>
  <c r="C1172" i="7"/>
  <c r="D1172" i="7"/>
  <c r="F1023" i="7"/>
  <c r="I1023" i="7" s="1"/>
  <c r="D663" i="7"/>
  <c r="C663" i="7"/>
  <c r="C1106" i="7"/>
  <c r="D1106" i="7"/>
  <c r="F590" i="7"/>
  <c r="I590" i="7" s="1"/>
  <c r="T695" i="7"/>
  <c r="T126" i="7"/>
  <c r="C744" i="7"/>
  <c r="D744" i="7"/>
  <c r="X744" i="7" s="1"/>
  <c r="T1088" i="7"/>
  <c r="C1088" i="7"/>
  <c r="D1088" i="7"/>
  <c r="F374" i="7"/>
  <c r="I374" i="7" s="1"/>
  <c r="F749" i="7"/>
  <c r="C749" i="7"/>
  <c r="D749" i="7"/>
  <c r="C253" i="7"/>
  <c r="D253" i="7"/>
  <c r="T935" i="7"/>
  <c r="H705" i="7"/>
  <c r="Z705" i="7" s="1"/>
  <c r="C705" i="7"/>
  <c r="D705" i="7"/>
  <c r="T356" i="7"/>
  <c r="F1011" i="7"/>
  <c r="I1011" i="7" s="1"/>
  <c r="T286" i="7"/>
  <c r="T179" i="7"/>
  <c r="C1069" i="7"/>
  <c r="D1069" i="7"/>
  <c r="T516" i="7"/>
  <c r="H238" i="7"/>
  <c r="Z238" i="7" s="1"/>
  <c r="D238" i="7"/>
  <c r="C238" i="7"/>
  <c r="T242" i="7"/>
  <c r="T24" i="7"/>
  <c r="T639" i="7"/>
  <c r="T955" i="7"/>
  <c r="H1117" i="7"/>
  <c r="Z1117" i="7" s="1"/>
  <c r="D1117" i="7"/>
  <c r="C1117" i="7"/>
  <c r="F526" i="7"/>
  <c r="I526" i="7" s="1"/>
  <c r="F798" i="7"/>
  <c r="I798" i="7" s="1"/>
  <c r="C643" i="7"/>
  <c r="D643" i="7"/>
  <c r="F455" i="7"/>
  <c r="I455" i="7" s="1"/>
  <c r="F402" i="7"/>
  <c r="I402" i="7" s="1"/>
  <c r="C136" i="7"/>
  <c r="D136" i="7"/>
  <c r="T672" i="7"/>
  <c r="C233" i="7"/>
  <c r="D233" i="7"/>
  <c r="X233" i="7" s="1"/>
  <c r="T721" i="7"/>
  <c r="T256" i="7"/>
  <c r="T606" i="7"/>
  <c r="T829" i="7"/>
  <c r="T420" i="7"/>
  <c r="C143" i="7"/>
  <c r="D143" i="7"/>
  <c r="T485" i="7"/>
  <c r="C633" i="7"/>
  <c r="D633" i="7"/>
  <c r="G243" i="7"/>
  <c r="D243" i="7"/>
  <c r="C243" i="7"/>
  <c r="T617" i="7"/>
  <c r="T203" i="7"/>
  <c r="F79" i="7"/>
  <c r="T847" i="7"/>
  <c r="T336" i="7"/>
  <c r="C1132" i="7"/>
  <c r="D1132" i="7"/>
  <c r="T933" i="7"/>
  <c r="F926" i="7"/>
  <c r="I926" i="7" s="1"/>
  <c r="C578" i="7"/>
  <c r="D578" i="7"/>
  <c r="T850" i="7"/>
  <c r="Z1057" i="7"/>
  <c r="T188" i="7"/>
  <c r="T90" i="7"/>
  <c r="F1079" i="7"/>
  <c r="C1130" i="7"/>
  <c r="D1130" i="7"/>
  <c r="F885" i="7"/>
  <c r="I885" i="7" s="1"/>
  <c r="C343" i="7"/>
  <c r="D343" i="7"/>
  <c r="F815" i="7"/>
  <c r="I815" i="7" s="1"/>
  <c r="D353" i="7"/>
  <c r="X353" i="7" s="1"/>
  <c r="C353" i="7"/>
  <c r="T418" i="7"/>
  <c r="D418" i="7"/>
  <c r="C418" i="7"/>
  <c r="C186" i="7"/>
  <c r="D186" i="7"/>
  <c r="C538" i="7"/>
  <c r="D538" i="7"/>
  <c r="T1005" i="7"/>
  <c r="F225" i="7"/>
  <c r="I225" i="7" s="1"/>
  <c r="F193" i="7"/>
  <c r="I193" i="7" s="1"/>
  <c r="C473" i="7"/>
  <c r="D473" i="7"/>
  <c r="D147" i="7"/>
  <c r="C147" i="7"/>
  <c r="T121" i="7"/>
  <c r="C121" i="7"/>
  <c r="D121" i="7"/>
  <c r="F601" i="7"/>
  <c r="I601" i="7" s="1"/>
  <c r="F715" i="7"/>
  <c r="I715" i="7" s="1"/>
  <c r="D201" i="7"/>
  <c r="C201" i="7"/>
  <c r="T517" i="7"/>
  <c r="F551" i="7"/>
  <c r="I551" i="7" s="1"/>
  <c r="F1128" i="7"/>
  <c r="C1128" i="7"/>
  <c r="D1128" i="7"/>
  <c r="T317" i="7"/>
  <c r="T20" i="7"/>
  <c r="T899" i="7"/>
  <c r="T333" i="7"/>
  <c r="D333" i="7"/>
  <c r="C333" i="7"/>
  <c r="T995" i="7"/>
  <c r="F241" i="7"/>
  <c r="I241" i="7" s="1"/>
  <c r="T130" i="7"/>
  <c r="C130" i="7"/>
  <c r="D130" i="7"/>
  <c r="X130" i="7" s="1"/>
  <c r="Z894" i="7"/>
  <c r="C1090" i="7"/>
  <c r="D1090" i="7"/>
  <c r="T123" i="7"/>
  <c r="C123" i="7"/>
  <c r="D123" i="7"/>
  <c r="T684" i="7"/>
  <c r="C1103" i="7"/>
  <c r="D1103" i="7"/>
  <c r="T741" i="7"/>
  <c r="T1101" i="7"/>
  <c r="C1101" i="7"/>
  <c r="D1101" i="7"/>
  <c r="T492" i="7"/>
  <c r="G1164" i="7"/>
  <c r="C1164" i="7"/>
  <c r="D1164" i="7"/>
  <c r="T856" i="7"/>
  <c r="Z566" i="7"/>
  <c r="T401" i="7"/>
  <c r="T795" i="7"/>
  <c r="T871" i="7"/>
  <c r="C1125" i="7"/>
  <c r="D1125" i="7"/>
  <c r="F1163" i="7"/>
  <c r="C1163" i="7"/>
  <c r="D1163" i="7"/>
  <c r="T372" i="7"/>
  <c r="F460" i="7"/>
  <c r="I460" i="7" s="1"/>
  <c r="T776" i="7"/>
  <c r="C388" i="7"/>
  <c r="D388" i="7"/>
  <c r="F182" i="7"/>
  <c r="I182" i="7" s="1"/>
  <c r="F948" i="7"/>
  <c r="I948" i="7" s="1"/>
  <c r="C1171" i="7"/>
  <c r="D1171" i="7"/>
  <c r="T817" i="7"/>
  <c r="F278" i="7"/>
  <c r="D278" i="7"/>
  <c r="C278" i="7"/>
  <c r="F592" i="7"/>
  <c r="I592" i="7" s="1"/>
  <c r="C1150" i="7"/>
  <c r="D1150" i="7"/>
  <c r="T341" i="7"/>
  <c r="F929" i="7"/>
  <c r="I929" i="7" s="1"/>
  <c r="F1037" i="7"/>
  <c r="I1037" i="7" s="1"/>
  <c r="T969" i="7"/>
  <c r="F608" i="7"/>
  <c r="C608" i="7"/>
  <c r="D608" i="7"/>
  <c r="F839" i="7"/>
  <c r="I839" i="7" s="1"/>
  <c r="T970" i="7"/>
  <c r="F966" i="7"/>
  <c r="I966" i="7" s="1"/>
  <c r="G1176" i="7"/>
  <c r="C1176" i="7"/>
  <c r="D1176" i="7"/>
  <c r="T69" i="7"/>
  <c r="H273" i="7"/>
  <c r="Z273" i="7" s="1"/>
  <c r="C273" i="7"/>
  <c r="D273" i="7"/>
  <c r="T70" i="7"/>
  <c r="T868" i="7"/>
  <c r="C378" i="7"/>
  <c r="D378" i="7"/>
  <c r="X378" i="7" s="1"/>
  <c r="C478" i="7"/>
  <c r="D478" i="7"/>
  <c r="F1096" i="7"/>
  <c r="C1096" i="7"/>
  <c r="D1096" i="7"/>
  <c r="F987" i="7"/>
  <c r="I987" i="7" s="1"/>
  <c r="T1139" i="7"/>
  <c r="C1139" i="7"/>
  <c r="D1139" i="7"/>
  <c r="H458" i="7"/>
  <c r="Z458" i="7" s="1"/>
  <c r="D458" i="7"/>
  <c r="C458" i="7"/>
  <c r="T635" i="7"/>
  <c r="F649" i="7"/>
  <c r="I649" i="7" s="1"/>
  <c r="T985" i="7"/>
  <c r="Z940" i="7"/>
  <c r="T221" i="7"/>
  <c r="T165" i="7"/>
  <c r="T255" i="7"/>
  <c r="T753" i="7"/>
  <c r="T757" i="7"/>
  <c r="T697" i="7"/>
  <c r="F106" i="7"/>
  <c r="I106" i="7" s="1"/>
  <c r="G1138" i="7"/>
  <c r="C1138" i="7"/>
  <c r="D1138" i="7"/>
  <c r="C368" i="7"/>
  <c r="D368" i="7"/>
  <c r="G124" i="7"/>
  <c r="C124" i="7"/>
  <c r="D124" i="7"/>
  <c r="T925" i="7"/>
  <c r="T983" i="7"/>
  <c r="T199" i="7"/>
  <c r="F584" i="7"/>
  <c r="I584" i="7" s="1"/>
  <c r="T1122" i="7"/>
  <c r="C1122" i="7"/>
  <c r="D1122" i="7"/>
  <c r="G1169" i="7"/>
  <c r="C1169" i="7"/>
  <c r="D1169" i="7"/>
  <c r="T380" i="7"/>
  <c r="T359" i="7"/>
  <c r="H433" i="7"/>
  <c r="Z433" i="7" s="1"/>
  <c r="C433" i="7"/>
  <c r="D433" i="7"/>
  <c r="F1089" i="7"/>
  <c r="F105" i="7"/>
  <c r="I105" i="7" s="1"/>
  <c r="C363" i="7"/>
  <c r="D363" i="7"/>
  <c r="D513" i="7"/>
  <c r="C513" i="7"/>
  <c r="T1085" i="7"/>
  <c r="D1085" i="7"/>
  <c r="C1085" i="7"/>
  <c r="T89" i="7"/>
  <c r="T573" i="7"/>
  <c r="D573" i="7"/>
  <c r="C573" i="7"/>
  <c r="F807" i="7"/>
  <c r="I807" i="7" s="1"/>
  <c r="C653" i="7"/>
  <c r="D653" i="7"/>
  <c r="D151" i="7"/>
  <c r="C151" i="7"/>
  <c r="T141" i="7"/>
  <c r="C141" i="7"/>
  <c r="D141" i="7"/>
  <c r="T743" i="7"/>
  <c r="T889" i="7"/>
  <c r="C729" i="7"/>
  <c r="D729" i="7"/>
  <c r="T801" i="7"/>
  <c r="D1160" i="7"/>
  <c r="C1160" i="7"/>
  <c r="F383" i="7"/>
  <c r="C383" i="7"/>
  <c r="D383" i="7"/>
  <c r="T910" i="7"/>
  <c r="F215" i="7"/>
  <c r="I215" i="7" s="1"/>
  <c r="D176" i="7"/>
  <c r="C176" i="7"/>
  <c r="C1142" i="7"/>
  <c r="D1142" i="7"/>
  <c r="F694" i="7"/>
  <c r="I694" i="7" s="1"/>
  <c r="H248" i="7"/>
  <c r="Z248" i="7" s="1"/>
  <c r="C248" i="7"/>
  <c r="D248" i="7"/>
  <c r="D1114" i="7"/>
  <c r="C1114" i="7"/>
  <c r="D393" i="7"/>
  <c r="C393" i="7"/>
  <c r="C724" i="7"/>
  <c r="D724" i="7"/>
  <c r="H603" i="7"/>
  <c r="Z603" i="7" s="1"/>
  <c r="C603" i="7"/>
  <c r="D603" i="7"/>
  <c r="G1099" i="7"/>
  <c r="C1099" i="7"/>
  <c r="D1099" i="7"/>
  <c r="T1056" i="7"/>
  <c r="G1145" i="7"/>
  <c r="C1145" i="7"/>
  <c r="D1145" i="7"/>
  <c r="C1081" i="7"/>
  <c r="D1081" i="7"/>
  <c r="F175" i="7"/>
  <c r="I175" i="7" s="1"/>
  <c r="F859" i="7"/>
  <c r="I859" i="7" s="1"/>
  <c r="T716" i="7"/>
  <c r="T722" i="7"/>
  <c r="X501" i="7"/>
  <c r="D139" i="7"/>
  <c r="C139" i="7"/>
  <c r="C71" i="7"/>
  <c r="D71" i="7"/>
  <c r="T294" i="7"/>
  <c r="T366" i="7"/>
  <c r="T637" i="7"/>
  <c r="T377" i="7"/>
  <c r="F818" i="7"/>
  <c r="I818" i="7" s="1"/>
  <c r="T169" i="7"/>
  <c r="X169" i="7"/>
  <c r="T497" i="7"/>
  <c r="T1031" i="7"/>
  <c r="F360" i="7"/>
  <c r="I360" i="7" s="1"/>
  <c r="C145" i="7"/>
  <c r="D145" i="7"/>
  <c r="X145" i="7" s="1"/>
  <c r="T104" i="7"/>
  <c r="D528" i="7"/>
  <c r="C528" i="7"/>
  <c r="T727" i="7"/>
  <c r="F1153" i="7"/>
  <c r="C1153" i="7"/>
  <c r="D1153" i="7"/>
  <c r="T655" i="7"/>
  <c r="T345" i="7"/>
  <c r="D638" i="7"/>
  <c r="C638" i="7"/>
  <c r="F1162" i="7"/>
  <c r="C1162" i="7"/>
  <c r="D1162" i="7"/>
  <c r="T424" i="7"/>
  <c r="T782" i="7"/>
  <c r="F464" i="7"/>
  <c r="I464" i="7" s="1"/>
  <c r="T472" i="7"/>
  <c r="T585" i="7"/>
  <c r="F647" i="7"/>
  <c r="I647" i="7" s="1"/>
  <c r="F1034" i="7"/>
  <c r="I1034" i="7" s="1"/>
  <c r="F916" i="7"/>
  <c r="I916" i="7" s="1"/>
  <c r="X763" i="7"/>
  <c r="F759" i="7"/>
  <c r="C759" i="7"/>
  <c r="D759" i="7"/>
  <c r="F480" i="7"/>
  <c r="I480" i="7" s="1"/>
  <c r="T1040" i="7"/>
  <c r="H1157" i="7"/>
  <c r="Z1157" i="7" s="1"/>
  <c r="C1157" i="7"/>
  <c r="D1157" i="7"/>
  <c r="G1098" i="7"/>
  <c r="C1098" i="7"/>
  <c r="D1098" i="7"/>
  <c r="T1158" i="7"/>
  <c r="D1158" i="7"/>
  <c r="C1158" i="7"/>
  <c r="D568" i="7"/>
  <c r="C568" i="7"/>
  <c r="G1151" i="7"/>
  <c r="D1151" i="7"/>
  <c r="C1151" i="7"/>
  <c r="F1042" i="7"/>
  <c r="I1042" i="7" s="1"/>
  <c r="C1137" i="7"/>
  <c r="D1137" i="7"/>
  <c r="F579" i="7"/>
  <c r="I579" i="7" s="1"/>
  <c r="T23" i="7"/>
  <c r="F998" i="7"/>
  <c r="I998" i="7" s="1"/>
  <c r="F596" i="7"/>
  <c r="I596" i="7" s="1"/>
  <c r="C1144" i="7"/>
  <c r="D1144" i="7"/>
  <c r="C1174" i="7"/>
  <c r="D1174" i="7"/>
  <c r="D1147" i="7"/>
  <c r="C1147" i="7"/>
  <c r="D1107" i="7"/>
  <c r="C1107" i="7"/>
  <c r="C338" i="7"/>
  <c r="D338" i="7"/>
  <c r="X338" i="7" s="1"/>
  <c r="T1055" i="7"/>
  <c r="F17" i="7"/>
  <c r="I17" i="7" s="1"/>
  <c r="C548" i="7"/>
  <c r="D548" i="7"/>
  <c r="X548" i="7" s="1"/>
  <c r="F350" i="7"/>
  <c r="I350" i="7" s="1"/>
  <c r="F999" i="7"/>
  <c r="I999" i="7" s="1"/>
  <c r="H1134" i="7"/>
  <c r="Z1134" i="7" s="1"/>
  <c r="C1134" i="7"/>
  <c r="D1134" i="7"/>
  <c r="T268" i="7"/>
  <c r="C268" i="7"/>
  <c r="D268" i="7"/>
  <c r="F597" i="7"/>
  <c r="I597" i="7" s="1"/>
  <c r="T742" i="7"/>
  <c r="T873" i="7"/>
  <c r="F155" i="7"/>
  <c r="I155" i="7" s="1"/>
  <c r="T571" i="7"/>
  <c r="T613" i="7"/>
  <c r="D613" i="7"/>
  <c r="C613" i="7"/>
  <c r="T949" i="7"/>
  <c r="T351" i="7"/>
  <c r="T437" i="7"/>
  <c r="T230" i="7"/>
  <c r="T454" i="7"/>
  <c r="T298" i="7"/>
  <c r="C298" i="7"/>
  <c r="D298" i="7"/>
  <c r="T554" i="7"/>
  <c r="F263" i="7"/>
  <c r="D263" i="7"/>
  <c r="C263" i="7"/>
  <c r="T683" i="7"/>
  <c r="C683" i="7"/>
  <c r="D683" i="7"/>
  <c r="T1080" i="7"/>
  <c r="C1080" i="7"/>
  <c r="D1080" i="7"/>
  <c r="C423" i="7"/>
  <c r="D423" i="7"/>
  <c r="X423" i="7" s="1"/>
  <c r="F358" i="7"/>
  <c r="C358" i="7"/>
  <c r="D358" i="7"/>
  <c r="C1167" i="7"/>
  <c r="D1167" i="7"/>
  <c r="X115" i="7"/>
  <c r="T403" i="7"/>
  <c r="D403" i="7"/>
  <c r="C403" i="7"/>
  <c r="F185" i="7"/>
  <c r="I185" i="7" s="1"/>
  <c r="X272" i="7"/>
  <c r="X690" i="7"/>
  <c r="D413" i="7"/>
  <c r="C413" i="7"/>
  <c r="F982" i="7"/>
  <c r="I982" i="7" s="1"/>
  <c r="T923" i="7"/>
  <c r="D1077" i="7"/>
  <c r="C1077" i="7"/>
  <c r="D171" i="7"/>
  <c r="C171" i="7"/>
  <c r="C1166" i="7"/>
  <c r="D1166" i="7"/>
  <c r="T25" i="7"/>
  <c r="C1170" i="7"/>
  <c r="D1170" i="7"/>
  <c r="F1033" i="7"/>
  <c r="I1033" i="7" s="1"/>
  <c r="F1097" i="7"/>
  <c r="C1097" i="7"/>
  <c r="D1097" i="7"/>
  <c r="F893" i="7"/>
  <c r="I893" i="7" s="1"/>
  <c r="F65" i="7"/>
  <c r="D65" i="7"/>
  <c r="C65" i="7"/>
  <c r="T381" i="7"/>
  <c r="F557" i="7"/>
  <c r="I557" i="7" s="1"/>
  <c r="T502" i="7"/>
  <c r="F1003" i="7"/>
  <c r="I1003" i="7" s="1"/>
  <c r="T950" i="7"/>
  <c r="T906" i="7"/>
  <c r="X113" i="7"/>
  <c r="T809" i="7"/>
  <c r="T330" i="7"/>
  <c r="C1141" i="7"/>
  <c r="D1141" i="7"/>
  <c r="T845" i="7"/>
  <c r="T768" i="7"/>
  <c r="T415" i="7"/>
  <c r="T866" i="7"/>
  <c r="T981" i="7"/>
  <c r="T352" i="7"/>
  <c r="F615" i="7"/>
  <c r="I615" i="7" s="1"/>
  <c r="C628" i="7"/>
  <c r="D628" i="7"/>
  <c r="T800" i="7"/>
  <c r="T831" i="7"/>
  <c r="T208" i="7"/>
  <c r="C208" i="7"/>
  <c r="D208" i="7"/>
  <c r="F167" i="7"/>
  <c r="I167" i="7" s="1"/>
  <c r="T470" i="7"/>
  <c r="X274" i="7"/>
  <c r="G132" i="7"/>
  <c r="D132" i="7"/>
  <c r="C132" i="7"/>
  <c r="T591" i="7"/>
  <c r="C563" i="7"/>
  <c r="D563" i="7"/>
  <c r="X563" i="7" s="1"/>
  <c r="C1155" i="7"/>
  <c r="D1155" i="7"/>
  <c r="F932" i="7"/>
  <c r="I932" i="7" s="1"/>
  <c r="F308" i="7"/>
  <c r="D308" i="7"/>
  <c r="C308" i="7"/>
  <c r="Z902" i="7"/>
  <c r="F751" i="7"/>
  <c r="I751" i="7" s="1"/>
  <c r="C1084" i="7"/>
  <c r="D1084" i="7"/>
  <c r="X1084" i="7" s="1"/>
  <c r="F86" i="7"/>
  <c r="I86" i="7" s="1"/>
  <c r="T117" i="7"/>
  <c r="F1121" i="7"/>
  <c r="C1121" i="7"/>
  <c r="D1121" i="7"/>
  <c r="T328" i="7"/>
  <c r="D328" i="7"/>
  <c r="C328" i="7"/>
  <c r="T537" i="7"/>
  <c r="T172" i="7"/>
  <c r="T91" i="7"/>
  <c r="F311" i="7"/>
  <c r="I311" i="7" s="1"/>
  <c r="F796" i="7"/>
  <c r="I796" i="7" s="1"/>
  <c r="T489" i="7"/>
  <c r="C1133" i="7"/>
  <c r="D1133" i="7"/>
  <c r="F30" i="7"/>
  <c r="I30" i="7" s="1"/>
  <c r="T15" i="7"/>
  <c r="T781" i="7"/>
  <c r="C1111" i="7"/>
  <c r="D1111" i="7"/>
  <c r="C583" i="7"/>
  <c r="D583" i="7"/>
  <c r="H438" i="7"/>
  <c r="Z438" i="7" s="1"/>
  <c r="C438" i="7"/>
  <c r="D438" i="7"/>
  <c r="F1026" i="7"/>
  <c r="I1026" i="7" s="1"/>
  <c r="F499" i="7"/>
  <c r="I499" i="7" s="1"/>
  <c r="F495" i="7"/>
  <c r="I495" i="7" s="1"/>
  <c r="C1123" i="7"/>
  <c r="D1123" i="7"/>
  <c r="T375" i="7"/>
  <c r="T476" i="7"/>
  <c r="F462" i="7"/>
  <c r="I462" i="7" s="1"/>
  <c r="Z878" i="7"/>
  <c r="C443" i="7"/>
  <c r="D443" i="7"/>
  <c r="T572" i="7"/>
  <c r="T108" i="7"/>
  <c r="T367" i="7"/>
  <c r="H558" i="7"/>
  <c r="Z558" i="7" s="1"/>
  <c r="C558" i="7"/>
  <c r="D558" i="7"/>
  <c r="F565" i="7"/>
  <c r="I565" i="7" s="1"/>
  <c r="C122" i="7"/>
  <c r="D122" i="7"/>
  <c r="X122" i="7" s="1"/>
  <c r="C1113" i="7"/>
  <c r="D1113" i="7"/>
  <c r="T1075" i="7"/>
  <c r="F552" i="7"/>
  <c r="I552" i="7" s="1"/>
  <c r="T468" i="7"/>
  <c r="C468" i="7"/>
  <c r="D468" i="7"/>
  <c r="F183" i="7"/>
  <c r="I183" i="7" s="1"/>
  <c r="T61" i="7"/>
  <c r="D61" i="7"/>
  <c r="C61" i="7"/>
  <c r="C1102" i="7"/>
  <c r="D1102" i="7"/>
  <c r="T379" i="7"/>
  <c r="D1115" i="7"/>
  <c r="C1115" i="7"/>
  <c r="C1093" i="7"/>
  <c r="D1093" i="7"/>
  <c r="C1105" i="7"/>
  <c r="D1105" i="7"/>
  <c r="T1109" i="7"/>
  <c r="C1109" i="7"/>
  <c r="D1109" i="7"/>
  <c r="T93" i="7"/>
  <c r="D463" i="7"/>
  <c r="C463" i="7"/>
  <c r="T668" i="7"/>
  <c r="C668" i="7"/>
  <c r="D668" i="7"/>
  <c r="F797" i="7"/>
  <c r="I797" i="7" s="1"/>
  <c r="C1149" i="7"/>
  <c r="D1149" i="7"/>
  <c r="H68" i="7"/>
  <c r="Z68" i="7" s="1"/>
  <c r="D68" i="7"/>
  <c r="C68" i="7"/>
  <c r="F602" i="7"/>
  <c r="I602" i="7" s="1"/>
  <c r="G523" i="7"/>
  <c r="D523" i="7"/>
  <c r="C523" i="7"/>
  <c r="T1161" i="7"/>
  <c r="D1161" i="7"/>
  <c r="C1161" i="7"/>
  <c r="T31" i="7"/>
  <c r="F340" i="7"/>
  <c r="I340" i="7" s="1"/>
  <c r="T18" i="7"/>
  <c r="T1068" i="7"/>
  <c r="C1068" i="7"/>
  <c r="D1068" i="7"/>
  <c r="T323" i="7"/>
  <c r="D323" i="7"/>
  <c r="C323" i="7"/>
  <c r="Z206" i="7"/>
  <c r="D1173" i="7"/>
  <c r="C1173" i="7"/>
  <c r="D293" i="7"/>
  <c r="C293" i="7"/>
  <c r="C1120" i="7"/>
  <c r="D1120" i="7"/>
  <c r="F12" i="7"/>
  <c r="I12" i="7" s="1"/>
  <c r="G1154" i="7"/>
  <c r="C1154" i="7"/>
  <c r="D1154" i="7"/>
  <c r="F676" i="7"/>
  <c r="I676" i="7" s="1"/>
  <c r="F1118" i="7"/>
  <c r="D1118" i="7"/>
  <c r="C1118" i="7"/>
  <c r="T1140" i="7"/>
  <c r="C1140" i="7"/>
  <c r="D1140" i="7"/>
  <c r="F745" i="7"/>
  <c r="I745" i="7" s="1"/>
  <c r="H518" i="7"/>
  <c r="Z518" i="7" s="1"/>
  <c r="C518" i="7"/>
  <c r="D518" i="7"/>
  <c r="F901" i="7"/>
  <c r="I901" i="7" s="1"/>
  <c r="T133" i="7"/>
  <c r="F292" i="7"/>
  <c r="I292" i="7" s="1"/>
  <c r="H1104" i="7"/>
  <c r="Z1104" i="7" s="1"/>
  <c r="C1104" i="7"/>
  <c r="D1104" i="7"/>
  <c r="F972" i="7"/>
  <c r="I972" i="7" s="1"/>
  <c r="G283" i="7"/>
  <c r="D283" i="7"/>
  <c r="C283" i="7"/>
  <c r="T337" i="7"/>
  <c r="T846" i="7"/>
  <c r="C313" i="7"/>
  <c r="D313" i="7"/>
  <c r="X313" i="7" s="1"/>
  <c r="T662" i="7"/>
  <c r="F1143" i="7"/>
  <c r="C1143" i="7"/>
  <c r="D1143" i="7"/>
  <c r="X1143" i="7" s="1"/>
  <c r="D1116" i="7"/>
  <c r="C1116" i="7"/>
  <c r="T785" i="7"/>
  <c r="D1129" i="7"/>
  <c r="X1129" i="7" s="1"/>
  <c r="C1129" i="7"/>
  <c r="C1135" i="7"/>
  <c r="D1135" i="7"/>
  <c r="F896" i="7"/>
  <c r="I896" i="7" s="1"/>
  <c r="C734" i="7"/>
  <c r="D734" i="7"/>
  <c r="F342" i="7"/>
  <c r="I342" i="7" s="1"/>
  <c r="F1126" i="7"/>
  <c r="C1126" i="7"/>
  <c r="D1126" i="7"/>
  <c r="G1146" i="7"/>
  <c r="D1146" i="7"/>
  <c r="C1146" i="7"/>
  <c r="F307" i="7"/>
  <c r="I307" i="7" s="1"/>
  <c r="T619" i="7"/>
  <c r="C1108" i="7"/>
  <c r="D1108" i="7"/>
  <c r="F1124" i="7"/>
  <c r="C1124" i="7"/>
  <c r="D1124" i="7"/>
  <c r="D483" i="7"/>
  <c r="C483" i="7"/>
  <c r="D398" i="7"/>
  <c r="X398" i="7" s="1"/>
  <c r="C398" i="7"/>
  <c r="H181" i="7"/>
  <c r="Z181" i="7" s="1"/>
  <c r="C181" i="7"/>
  <c r="D181" i="7"/>
  <c r="T327" i="7"/>
  <c r="C1112" i="7"/>
  <c r="D1112" i="7"/>
  <c r="X1112" i="7" s="1"/>
  <c r="T107" i="7"/>
  <c r="T245" i="7"/>
  <c r="F78" i="7"/>
  <c r="H1152" i="7"/>
  <c r="Z1152" i="7" s="1"/>
  <c r="C1152" i="7"/>
  <c r="D1152" i="7"/>
  <c r="F748" i="7"/>
  <c r="I748" i="7" s="1"/>
  <c r="T339" i="7"/>
  <c r="F556" i="7"/>
  <c r="I556" i="7" s="1"/>
  <c r="T223" i="7"/>
  <c r="D223" i="7"/>
  <c r="C223" i="7"/>
  <c r="T908" i="7"/>
  <c r="H533" i="7"/>
  <c r="Z533" i="7" s="1"/>
  <c r="C533" i="7"/>
  <c r="D533" i="7"/>
  <c r="F500" i="7"/>
  <c r="I500" i="7" s="1"/>
  <c r="C1095" i="7"/>
  <c r="D1095" i="7"/>
  <c r="T120" i="7"/>
  <c r="F587" i="7"/>
  <c r="I587" i="7" s="1"/>
  <c r="T45" i="7"/>
  <c r="T344" i="7"/>
  <c r="T429" i="7"/>
  <c r="C408" i="7"/>
  <c r="D408" i="7"/>
  <c r="D128" i="7"/>
  <c r="C128" i="7"/>
  <c r="T191" i="7"/>
  <c r="D191" i="7"/>
  <c r="C191" i="7"/>
  <c r="F39" i="7"/>
  <c r="I39" i="7" s="1"/>
  <c r="F14" i="7"/>
  <c r="I14" i="7" s="1"/>
  <c r="H543" i="7"/>
  <c r="Z543" i="7" s="1"/>
  <c r="C543" i="7"/>
  <c r="D543" i="7"/>
  <c r="F36" i="7"/>
  <c r="I36" i="7" s="1"/>
  <c r="T600" i="7"/>
  <c r="T1021" i="7"/>
  <c r="T102" i="7"/>
  <c r="Z48" i="7"/>
  <c r="H754" i="7"/>
  <c r="Z754" i="7" s="1"/>
  <c r="C754" i="7"/>
  <c r="D754" i="7"/>
  <c r="T1074" i="7"/>
  <c r="T891" i="7"/>
  <c r="T1012" i="7"/>
  <c r="X975" i="7"/>
  <c r="Z989" i="7"/>
  <c r="T166" i="7"/>
  <c r="C166" i="7"/>
  <c r="D166" i="7"/>
  <c r="F539" i="7"/>
  <c r="I539" i="7" s="1"/>
  <c r="F688" i="7"/>
  <c r="C688" i="7"/>
  <c r="D688" i="7"/>
  <c r="F682" i="7"/>
  <c r="I682" i="7" s="1"/>
  <c r="D258" i="7"/>
  <c r="C258" i="7"/>
  <c r="T681" i="7"/>
  <c r="F553" i="7"/>
  <c r="D553" i="7"/>
  <c r="C553" i="7"/>
  <c r="C1127" i="7"/>
  <c r="D1127" i="7"/>
  <c r="T1076" i="7"/>
  <c r="D1076" i="7"/>
  <c r="C1076" i="7"/>
  <c r="F535" i="7"/>
  <c r="I535" i="7" s="1"/>
  <c r="Z1063" i="7"/>
  <c r="D593" i="7"/>
  <c r="C593" i="7"/>
  <c r="T988" i="7"/>
  <c r="F260" i="7"/>
  <c r="I260" i="7" s="1"/>
  <c r="T389" i="7"/>
  <c r="T74" i="7"/>
  <c r="F88" i="7"/>
  <c r="I88" i="7" s="1"/>
  <c r="C196" i="7"/>
  <c r="D196" i="7"/>
  <c r="Z930" i="7"/>
  <c r="H1072" i="7"/>
  <c r="Z1072" i="7" s="1"/>
  <c r="C1072" i="7"/>
  <c r="D1072" i="7"/>
  <c r="C138" i="7"/>
  <c r="D138" i="7"/>
  <c r="T711" i="7"/>
  <c r="T320" i="7"/>
  <c r="H1094" i="7"/>
  <c r="Z1094" i="7" s="1"/>
  <c r="C1094" i="7"/>
  <c r="D1094" i="7"/>
  <c r="T371" i="7"/>
  <c r="T836" i="7"/>
  <c r="T629" i="7"/>
  <c r="T560" i="7"/>
  <c r="T713" i="7"/>
  <c r="T1049" i="7"/>
  <c r="T1100" i="7"/>
  <c r="C1100" i="7"/>
  <c r="D1100" i="7"/>
  <c r="T1092" i="7"/>
  <c r="C1092" i="7"/>
  <c r="D1092" i="7"/>
  <c r="Z520" i="7"/>
  <c r="T848" i="7"/>
  <c r="F352" i="7"/>
  <c r="I352" i="7" s="1"/>
  <c r="F489" i="7"/>
  <c r="I489" i="7" s="1"/>
  <c r="F326" i="7"/>
  <c r="I326" i="7" s="1"/>
  <c r="F280" i="7"/>
  <c r="I280" i="7" s="1"/>
  <c r="Z106" i="7"/>
  <c r="F1020" i="7"/>
  <c r="I1020" i="7" s="1"/>
  <c r="X1020" i="7"/>
  <c r="T106" i="7"/>
  <c r="F41" i="7"/>
  <c r="I41" i="7" s="1"/>
  <c r="F60" i="7"/>
  <c r="F604" i="7"/>
  <c r="I604" i="7" s="1"/>
  <c r="T41" i="7"/>
  <c r="T60" i="7"/>
  <c r="T326" i="7"/>
  <c r="L608" i="7"/>
  <c r="M608" i="7" s="1"/>
  <c r="L86" i="7"/>
  <c r="M86" i="7" s="1"/>
  <c r="L553" i="7"/>
  <c r="M553" i="7" s="1"/>
  <c r="L358" i="7"/>
  <c r="M358" i="7" s="1"/>
  <c r="E666" i="7"/>
  <c r="J666" i="7"/>
  <c r="L503" i="7"/>
  <c r="M503" i="7" s="1"/>
  <c r="E554" i="7"/>
  <c r="J554" i="7"/>
  <c r="L708" i="7"/>
  <c r="M708" i="7" s="1"/>
  <c r="E169" i="7"/>
  <c r="J169" i="7"/>
  <c r="T604" i="7"/>
  <c r="T83" i="7"/>
  <c r="F256" i="7"/>
  <c r="I256" i="7" s="1"/>
  <c r="F199" i="7"/>
  <c r="I199" i="7" s="1"/>
  <c r="F46" i="7"/>
  <c r="I46" i="7" s="1"/>
  <c r="F1031" i="7"/>
  <c r="I1031" i="7" s="1"/>
  <c r="Z199" i="7"/>
  <c r="T182" i="7"/>
  <c r="F960" i="7"/>
  <c r="I960" i="7" s="1"/>
  <c r="T919" i="7"/>
  <c r="T732" i="7"/>
  <c r="T960" i="7"/>
  <c r="F422" i="7"/>
  <c r="I422" i="7" s="1"/>
  <c r="F732" i="7"/>
  <c r="I732" i="7" s="1"/>
  <c r="F919" i="7"/>
  <c r="I919" i="7" s="1"/>
  <c r="T422" i="7"/>
  <c r="T46" i="7"/>
  <c r="G1143" i="7"/>
  <c r="H1143" i="7"/>
  <c r="Z1143" i="7" s="1"/>
  <c r="T1143" i="7"/>
  <c r="F354" i="7"/>
  <c r="I354" i="7" s="1"/>
  <c r="Z354" i="7"/>
  <c r="H130" i="7"/>
  <c r="Z130" i="7" s="1"/>
  <c r="T640" i="7"/>
  <c r="T226" i="7"/>
  <c r="F226" i="7"/>
  <c r="I226" i="7" s="1"/>
  <c r="F272" i="7"/>
  <c r="I272" i="7" s="1"/>
  <c r="T975" i="7"/>
  <c r="T272" i="7"/>
  <c r="F206" i="7"/>
  <c r="I206" i="7" s="1"/>
  <c r="F127" i="7"/>
  <c r="G166" i="7"/>
  <c r="H166" i="7"/>
  <c r="Z166" i="7" s="1"/>
  <c r="F166" i="7"/>
  <c r="I166" i="7" s="1"/>
  <c r="T609" i="7"/>
  <c r="F609" i="7"/>
  <c r="I609" i="7" s="1"/>
  <c r="F995" i="7"/>
  <c r="I995" i="7" s="1"/>
  <c r="Z995" i="7"/>
  <c r="T206" i="7"/>
  <c r="F529" i="7"/>
  <c r="I529" i="7" s="1"/>
  <c r="T441" i="7"/>
  <c r="H683" i="7"/>
  <c r="Z683" i="7" s="1"/>
  <c r="F471" i="7"/>
  <c r="I471" i="7" s="1"/>
  <c r="F1154" i="7"/>
  <c r="I1154" i="7" s="1"/>
  <c r="T796" i="7"/>
  <c r="F287" i="7"/>
  <c r="I287" i="7" s="1"/>
  <c r="T504" i="7"/>
  <c r="F981" i="7"/>
  <c r="I981" i="7" s="1"/>
  <c r="T287" i="7"/>
  <c r="Z975" i="7"/>
  <c r="Z607" i="7"/>
  <c r="T642" i="7"/>
  <c r="T217" i="7"/>
  <c r="T1128" i="7"/>
  <c r="H1128" i="7"/>
  <c r="Z1128" i="7" s="1"/>
  <c r="F345" i="7"/>
  <c r="I345" i="7" s="1"/>
  <c r="T905" i="7"/>
  <c r="F82" i="7"/>
  <c r="F428" i="7"/>
  <c r="I428" i="7" s="1"/>
  <c r="F435" i="7"/>
  <c r="I435" i="7" s="1"/>
  <c r="H1092" i="7"/>
  <c r="Z1092" i="7" s="1"/>
  <c r="F923" i="7"/>
  <c r="I923" i="7" s="1"/>
  <c r="F607" i="7"/>
  <c r="I607" i="7" s="1"/>
  <c r="Z73" i="7"/>
  <c r="F1092" i="7"/>
  <c r="I1092" i="7" s="1"/>
  <c r="H298" i="7"/>
  <c r="Z298" i="7" s="1"/>
  <c r="F562" i="7"/>
  <c r="I562" i="7" s="1"/>
  <c r="F213" i="7"/>
  <c r="I213" i="7" s="1"/>
  <c r="F1129" i="7"/>
  <c r="I1129" i="7" s="1"/>
  <c r="F975" i="7"/>
  <c r="I975" i="7" s="1"/>
  <c r="H223" i="7"/>
  <c r="Z223" i="7" s="1"/>
  <c r="F1095" i="7"/>
  <c r="I1095" i="7" s="1"/>
  <c r="F385" i="7"/>
  <c r="I385" i="7" s="1"/>
  <c r="T821" i="7"/>
  <c r="G323" i="7"/>
  <c r="F899" i="7"/>
  <c r="I899" i="7" s="1"/>
  <c r="F661" i="7"/>
  <c r="I661" i="7" s="1"/>
  <c r="G223" i="7"/>
  <c r="Z504" i="7"/>
  <c r="F217" i="7"/>
  <c r="I217" i="7" s="1"/>
  <c r="H1129" i="7"/>
  <c r="Z1129" i="7" s="1"/>
  <c r="F73" i="7"/>
  <c r="I73" i="7" s="1"/>
  <c r="F1068" i="7"/>
  <c r="G1095" i="7"/>
  <c r="G1100" i="7"/>
  <c r="Z782" i="7"/>
  <c r="T860" i="7"/>
  <c r="F512" i="7"/>
  <c r="I512" i="7" s="1"/>
  <c r="T1095" i="7"/>
  <c r="T887" i="7"/>
  <c r="F223" i="7"/>
  <c r="I223" i="7" s="1"/>
  <c r="H1095" i="7"/>
  <c r="Z1095" i="7" s="1"/>
  <c r="H1100" i="7"/>
  <c r="Z1100" i="7" s="1"/>
  <c r="F642" i="7"/>
  <c r="I642" i="7" s="1"/>
  <c r="F298" i="7"/>
  <c r="I298" i="7" s="1"/>
  <c r="T500" i="7"/>
  <c r="T520" i="7"/>
  <c r="F27" i="7"/>
  <c r="I27" i="7" s="1"/>
  <c r="Z609" i="7"/>
  <c r="Z272" i="7"/>
  <c r="T241" i="7"/>
  <c r="F1043" i="7"/>
  <c r="I1043" i="7" s="1"/>
  <c r="F323" i="7"/>
  <c r="I323" i="7" s="1"/>
  <c r="G298" i="7"/>
  <c r="Z562" i="7"/>
  <c r="T442" i="7"/>
  <c r="F442" i="7"/>
  <c r="I442" i="7" s="1"/>
  <c r="F782" i="7"/>
  <c r="I782" i="7" s="1"/>
  <c r="T308" i="7"/>
  <c r="G1068" i="7"/>
  <c r="F103" i="7"/>
  <c r="I103" i="7" s="1"/>
  <c r="F743" i="7"/>
  <c r="I743" i="7" s="1"/>
  <c r="F424" i="7"/>
  <c r="I424" i="7" s="1"/>
  <c r="Z496" i="7"/>
  <c r="F429" i="7"/>
  <c r="I429" i="7" s="1"/>
  <c r="T81" i="7"/>
  <c r="T1129" i="7"/>
  <c r="G288" i="7"/>
  <c r="F1100" i="7"/>
  <c r="I1100" i="7" s="1"/>
  <c r="H1068" i="7"/>
  <c r="Z1068" i="7" s="1"/>
  <c r="F177" i="7"/>
  <c r="I177" i="7" s="1"/>
  <c r="F801" i="7"/>
  <c r="I801" i="7" s="1"/>
  <c r="F221" i="7"/>
  <c r="I221" i="7" s="1"/>
  <c r="T112" i="7"/>
  <c r="T385" i="7"/>
  <c r="T82" i="7"/>
  <c r="G238" i="7"/>
  <c r="F504" i="7"/>
  <c r="I504" i="7" s="1"/>
  <c r="T661" i="7"/>
  <c r="F889" i="7"/>
  <c r="I889" i="7" s="1"/>
  <c r="F8" i="7"/>
  <c r="I8" i="7" s="1"/>
  <c r="F317" i="7"/>
  <c r="I317" i="7" s="1"/>
  <c r="F496" i="7"/>
  <c r="I496" i="7" s="1"/>
  <c r="T772" i="7"/>
  <c r="F697" i="7"/>
  <c r="I697" i="7" s="1"/>
  <c r="G1129" i="7"/>
  <c r="F441" i="7"/>
  <c r="I441" i="7" s="1"/>
  <c r="G82" i="7"/>
  <c r="H1175" i="7"/>
  <c r="Z1175" i="7" s="1"/>
  <c r="F860" i="7"/>
  <c r="I860" i="7" s="1"/>
  <c r="F836" i="7"/>
  <c r="I836" i="7" s="1"/>
  <c r="F772" i="7"/>
  <c r="I772" i="7" s="1"/>
  <c r="F238" i="7"/>
  <c r="I238" i="7" s="1"/>
  <c r="T1043" i="7"/>
  <c r="G428" i="7"/>
  <c r="F949" i="7"/>
  <c r="I949" i="7" s="1"/>
  <c r="T1154" i="7"/>
  <c r="F690" i="7"/>
  <c r="I690" i="7" s="1"/>
  <c r="G1165" i="7"/>
  <c r="E130" i="7"/>
  <c r="F81" i="7"/>
  <c r="Z661" i="7"/>
  <c r="F130" i="7"/>
  <c r="F236" i="7"/>
  <c r="I236" i="7" s="1"/>
  <c r="F288" i="7"/>
  <c r="I288" i="7" s="1"/>
  <c r="F161" i="7"/>
  <c r="I161" i="7" s="1"/>
  <c r="T8" i="7"/>
  <c r="G308" i="7"/>
  <c r="T435" i="7"/>
  <c r="G683" i="7"/>
  <c r="F781" i="7"/>
  <c r="I781" i="7" s="1"/>
  <c r="F457" i="7"/>
  <c r="I457" i="7" s="1"/>
  <c r="F112" i="7"/>
  <c r="I112" i="7" s="1"/>
  <c r="F520" i="7"/>
  <c r="I520" i="7" s="1"/>
  <c r="F985" i="7"/>
  <c r="I985" i="7" s="1"/>
  <c r="F486" i="7"/>
  <c r="I486" i="7" s="1"/>
  <c r="F821" i="7"/>
  <c r="I821" i="7" s="1"/>
  <c r="T1078" i="7"/>
  <c r="T158" i="7"/>
  <c r="T161" i="7"/>
  <c r="H161" i="7"/>
  <c r="Z161" i="7" s="1"/>
  <c r="G130" i="7"/>
  <c r="H323" i="7"/>
  <c r="Z323" i="7" s="1"/>
  <c r="F120" i="7"/>
  <c r="I120" i="7" s="1"/>
  <c r="F887" i="7"/>
  <c r="I887" i="7" s="1"/>
  <c r="F158" i="7"/>
  <c r="I158" i="7" s="1"/>
  <c r="F1078" i="7"/>
  <c r="I1078" i="7" s="1"/>
  <c r="H308" i="7"/>
  <c r="Z308" i="7" s="1"/>
  <c r="F880" i="7"/>
  <c r="I880" i="7" s="1"/>
  <c r="Z772" i="7"/>
  <c r="T27" i="7"/>
  <c r="T798" i="7"/>
  <c r="T219" i="7"/>
  <c r="T486" i="7"/>
  <c r="T880" i="7"/>
  <c r="F789" i="7"/>
  <c r="I789" i="7" s="1"/>
  <c r="F910" i="7"/>
  <c r="I910" i="7" s="1"/>
  <c r="F219" i="7"/>
  <c r="I219" i="7" s="1"/>
  <c r="Z955" i="7"/>
  <c r="Z649" i="7"/>
  <c r="F267" i="7"/>
  <c r="I267" i="7" s="1"/>
  <c r="F847" i="7"/>
  <c r="I847" i="7" s="1"/>
  <c r="T1175" i="7"/>
  <c r="F955" i="7"/>
  <c r="I955" i="7" s="1"/>
  <c r="F683" i="7"/>
  <c r="I683" i="7" s="1"/>
  <c r="G1175" i="7"/>
  <c r="T288" i="7"/>
  <c r="F693" i="7"/>
  <c r="I693" i="7" s="1"/>
  <c r="F741" i="7"/>
  <c r="I741" i="7" s="1"/>
  <c r="F359" i="7"/>
  <c r="I359" i="7" s="1"/>
  <c r="Z635" i="7"/>
  <c r="G1092" i="7"/>
  <c r="T457" i="7"/>
  <c r="Z943" i="7"/>
  <c r="F1040" i="7"/>
  <c r="I1040" i="7" s="1"/>
  <c r="Z359" i="7"/>
  <c r="T943" i="7"/>
  <c r="F242" i="7"/>
  <c r="I242" i="7" s="1"/>
  <c r="F302" i="7"/>
  <c r="I302" i="7" s="1"/>
  <c r="T267" i="7"/>
  <c r="F635" i="7"/>
  <c r="I635" i="7" s="1"/>
  <c r="F639" i="7"/>
  <c r="I639" i="7" s="1"/>
  <c r="Z836" i="7"/>
  <c r="T649" i="7"/>
  <c r="T789" i="7"/>
  <c r="F939" i="7"/>
  <c r="I939" i="7" s="1"/>
  <c r="F172" i="7"/>
  <c r="I172" i="7" s="1"/>
  <c r="G1128" i="7"/>
  <c r="H693" i="7"/>
  <c r="Z693" i="7" s="1"/>
  <c r="T428" i="7"/>
  <c r="H1165" i="7"/>
  <c r="Z1165" i="7" s="1"/>
  <c r="F1049" i="7"/>
  <c r="I1049" i="7" s="1"/>
  <c r="F585" i="7"/>
  <c r="I585" i="7" s="1"/>
  <c r="H1155" i="7"/>
  <c r="Z1155" i="7" s="1"/>
  <c r="G693" i="7"/>
  <c r="T1165" i="7"/>
  <c r="Z356" i="7"/>
  <c r="T942" i="7"/>
  <c r="F74" i="7"/>
  <c r="I74" i="7" s="1"/>
  <c r="Z74" i="7"/>
  <c r="F713" i="7"/>
  <c r="I713" i="7" s="1"/>
  <c r="F356" i="7"/>
  <c r="I356" i="7" s="1"/>
  <c r="F878" i="7"/>
  <c r="I878" i="7" s="1"/>
  <c r="F716" i="7"/>
  <c r="I716" i="7" s="1"/>
  <c r="G218" i="7"/>
  <c r="T878" i="7"/>
  <c r="G1155" i="7"/>
  <c r="T904" i="7"/>
  <c r="F828" i="7"/>
  <c r="I828" i="7" s="1"/>
  <c r="F866" i="7"/>
  <c r="I866" i="7" s="1"/>
  <c r="T160" i="7"/>
  <c r="F113" i="7"/>
  <c r="I113" i="7" s="1"/>
  <c r="G213" i="7"/>
  <c r="T289" i="7"/>
  <c r="F858" i="7"/>
  <c r="I858" i="7" s="1"/>
  <c r="F600" i="7"/>
  <c r="I600" i="7" s="1"/>
  <c r="F726" i="7"/>
  <c r="I726" i="7" s="1"/>
  <c r="T858" i="7"/>
  <c r="F785" i="7"/>
  <c r="I785" i="7" s="1"/>
  <c r="F547" i="7"/>
  <c r="I547" i="7" s="1"/>
  <c r="F950" i="7"/>
  <c r="I950" i="7" s="1"/>
  <c r="T218" i="7"/>
  <c r="T113" i="7"/>
  <c r="T13" i="7"/>
  <c r="Z242" i="7"/>
  <c r="H358" i="7"/>
  <c r="Z358" i="7" s="1"/>
  <c r="H598" i="7"/>
  <c r="Z598" i="7" s="1"/>
  <c r="F13" i="7"/>
  <c r="I13" i="7" s="1"/>
  <c r="T958" i="7"/>
  <c r="F37" i="7"/>
  <c r="I37" i="7" s="1"/>
  <c r="T402" i="7"/>
  <c r="F99" i="7"/>
  <c r="I99" i="7" s="1"/>
  <c r="T930" i="7"/>
  <c r="T75" i="7"/>
  <c r="F1021" i="7"/>
  <c r="I1021" i="7" s="1"/>
  <c r="T726" i="7"/>
  <c r="G268" i="7"/>
  <c r="F662" i="7"/>
  <c r="I662" i="7" s="1"/>
  <c r="F773" i="7"/>
  <c r="I773" i="7" s="1"/>
  <c r="T1066" i="7"/>
  <c r="F75" i="7"/>
  <c r="I75" i="7" s="1"/>
  <c r="F118" i="7"/>
  <c r="I118" i="7" s="1"/>
  <c r="F117" i="7"/>
  <c r="I117" i="7" s="1"/>
  <c r="F198" i="7"/>
  <c r="I198" i="7" s="1"/>
  <c r="T311" i="7"/>
  <c r="T547" i="7"/>
  <c r="F84" i="7"/>
  <c r="I84" i="7" s="1"/>
  <c r="G358" i="7"/>
  <c r="F286" i="7"/>
  <c r="I286" i="7" s="1"/>
  <c r="Z444" i="7"/>
  <c r="F448" i="7"/>
  <c r="I448" i="7" s="1"/>
  <c r="F268" i="7"/>
  <c r="I268" i="7" s="1"/>
  <c r="G1118" i="7"/>
  <c r="T859" i="7"/>
  <c r="T765" i="7"/>
  <c r="T828" i="7"/>
  <c r="T260" i="7"/>
  <c r="F523" i="7"/>
  <c r="I523" i="7" s="1"/>
  <c r="F55" i="7"/>
  <c r="I55" i="7" s="1"/>
  <c r="Z1091" i="7"/>
  <c r="G1140" i="7"/>
  <c r="T843" i="7"/>
  <c r="T602" i="7"/>
  <c r="F218" i="7"/>
  <c r="I218" i="7" s="1"/>
  <c r="H448" i="7"/>
  <c r="Z448" i="7" s="1"/>
  <c r="G448" i="7"/>
  <c r="T99" i="7"/>
  <c r="T702" i="7"/>
  <c r="F91" i="7"/>
  <c r="I91" i="7" s="1"/>
  <c r="F765" i="7"/>
  <c r="I765" i="7" s="1"/>
  <c r="T936" i="7"/>
  <c r="F838" i="7"/>
  <c r="I838" i="7" s="1"/>
  <c r="G573" i="7"/>
  <c r="F289" i="7"/>
  <c r="I289" i="7" s="1"/>
  <c r="F905" i="7"/>
  <c r="I905" i="7" s="1"/>
  <c r="T205" i="7"/>
  <c r="T750" i="7"/>
  <c r="T358" i="7"/>
  <c r="F1165" i="7"/>
  <c r="I1165" i="7" s="1"/>
  <c r="F502" i="7"/>
  <c r="I502" i="7" s="1"/>
  <c r="F625" i="7"/>
  <c r="I625" i="7" s="1"/>
  <c r="T1018" i="7"/>
  <c r="T137" i="7"/>
  <c r="F763" i="7"/>
  <c r="I763" i="7" s="1"/>
  <c r="F1158" i="7"/>
  <c r="I1158" i="7" s="1"/>
  <c r="T439" i="7"/>
  <c r="F670" i="7"/>
  <c r="I670" i="7" s="1"/>
  <c r="T444" i="7"/>
  <c r="F411" i="7"/>
  <c r="I411" i="7" s="1"/>
  <c r="T625" i="7"/>
  <c r="T211" i="7"/>
  <c r="F444" i="7"/>
  <c r="I444" i="7" s="1"/>
  <c r="F629" i="7"/>
  <c r="I629" i="7" s="1"/>
  <c r="F750" i="7"/>
  <c r="I750" i="7" s="1"/>
  <c r="T1091" i="7"/>
  <c r="F312" i="7"/>
  <c r="I312" i="7" s="1"/>
  <c r="F871" i="7"/>
  <c r="I871" i="7" s="1"/>
  <c r="H1096" i="7"/>
  <c r="Z1096" i="7" s="1"/>
  <c r="H1145" i="7"/>
  <c r="Z1145" i="7" s="1"/>
  <c r="T411" i="7"/>
  <c r="G1088" i="7"/>
  <c r="T1155" i="7"/>
  <c r="Z6" i="7"/>
  <c r="F270" i="7"/>
  <c r="I270" i="7" s="1"/>
  <c r="T118" i="7"/>
  <c r="F1155" i="7"/>
  <c r="I1155" i="7" s="1"/>
  <c r="T396" i="7"/>
  <c r="H1154" i="7"/>
  <c r="Z1154" i="7" s="1"/>
  <c r="T1051" i="7"/>
  <c r="F689" i="7"/>
  <c r="I689" i="7" s="1"/>
  <c r="T615" i="7"/>
  <c r="T1096" i="7"/>
  <c r="T52" i="7"/>
  <c r="F1066" i="7"/>
  <c r="I1066" i="7" s="1"/>
  <c r="F52" i="7"/>
  <c r="I52" i="7" s="1"/>
  <c r="H1088" i="7"/>
  <c r="Z1088" i="7" s="1"/>
  <c r="Z52" i="7"/>
  <c r="F768" i="7"/>
  <c r="I768" i="7" s="1"/>
  <c r="F702" i="7"/>
  <c r="I702" i="7" s="1"/>
  <c r="Z311" i="7"/>
  <c r="T312" i="7"/>
  <c r="F396" i="7"/>
  <c r="I396" i="7" s="1"/>
  <c r="T670" i="7"/>
  <c r="F1051" i="7"/>
  <c r="I1051" i="7" s="1"/>
  <c r="F1145" i="7"/>
  <c r="I1145" i="7" s="1"/>
  <c r="T360" i="7"/>
  <c r="F437" i="7"/>
  <c r="I437" i="7" s="1"/>
  <c r="F337" i="7"/>
  <c r="I337" i="7" s="1"/>
  <c r="T88" i="7"/>
  <c r="Z350" i="7"/>
  <c r="T78" i="7"/>
  <c r="T481" i="7"/>
  <c r="F255" i="7"/>
  <c r="I255" i="7" s="1"/>
  <c r="T818" i="7"/>
  <c r="T322" i="7"/>
  <c r="Z322" i="7"/>
  <c r="G1136" i="7"/>
  <c r="H1136" i="7"/>
  <c r="Z1136" i="7" s="1"/>
  <c r="Z871" i="7"/>
  <c r="H573" i="7"/>
  <c r="Z573" i="7" s="1"/>
  <c r="F351" i="7"/>
  <c r="I351" i="7" s="1"/>
  <c r="F1140" i="7"/>
  <c r="I1140" i="7" s="1"/>
  <c r="T689" i="7"/>
  <c r="Z760" i="7"/>
  <c r="F855" i="7"/>
  <c r="I855" i="7" s="1"/>
  <c r="T127" i="7"/>
  <c r="F211" i="7"/>
  <c r="I211" i="7" s="1"/>
  <c r="T238" i="7"/>
  <c r="H1112" i="7"/>
  <c r="Z1112" i="7" s="1"/>
  <c r="G1153" i="7"/>
  <c r="F507" i="7"/>
  <c r="I507" i="7" s="1"/>
  <c r="F650" i="7"/>
  <c r="I650" i="7" s="1"/>
  <c r="T855" i="7"/>
  <c r="T34" i="7"/>
  <c r="F898" i="7"/>
  <c r="I898" i="7" s="1"/>
  <c r="G1112" i="7"/>
  <c r="F269" i="7"/>
  <c r="I269" i="7" s="1"/>
  <c r="T760" i="7"/>
  <c r="T1171" i="7"/>
  <c r="T841" i="7"/>
  <c r="F34" i="7"/>
  <c r="I34" i="7" s="1"/>
  <c r="F426" i="7"/>
  <c r="I426" i="7" s="1"/>
  <c r="F439" i="7"/>
  <c r="I439" i="7" s="1"/>
  <c r="F760" i="7"/>
  <c r="T1153" i="7"/>
  <c r="T101" i="7"/>
  <c r="F841" i="7"/>
  <c r="I841" i="7" s="1"/>
  <c r="F573" i="7"/>
  <c r="I573" i="7" s="1"/>
  <c r="T324" i="7"/>
  <c r="F454" i="7"/>
  <c r="I454" i="7" s="1"/>
  <c r="F421" i="7"/>
  <c r="I421" i="7" s="1"/>
  <c r="F831" i="7"/>
  <c r="I831" i="7" s="1"/>
  <c r="F753" i="7"/>
  <c r="I753" i="7" s="1"/>
  <c r="F757" i="7"/>
  <c r="I757" i="7" s="1"/>
  <c r="F1018" i="7"/>
  <c r="I1018" i="7" s="1"/>
  <c r="F936" i="7"/>
  <c r="I936" i="7" s="1"/>
  <c r="F371" i="7"/>
  <c r="I371" i="7" s="1"/>
  <c r="F637" i="7"/>
  <c r="I637" i="7" s="1"/>
  <c r="T32" i="7"/>
  <c r="F1112" i="7"/>
  <c r="I1112" i="7" s="1"/>
  <c r="H1153" i="7"/>
  <c r="Z1153" i="7" s="1"/>
  <c r="T530" i="7"/>
  <c r="T507" i="7"/>
  <c r="F658" i="7"/>
  <c r="I658" i="7" s="1"/>
  <c r="F230" i="7"/>
  <c r="I230" i="7" s="1"/>
  <c r="F32" i="7"/>
  <c r="I32" i="7" s="1"/>
  <c r="T426" i="7"/>
  <c r="T451" i="7"/>
  <c r="F205" i="7"/>
  <c r="I205" i="7" s="1"/>
  <c r="T270" i="7"/>
  <c r="T376" i="7"/>
  <c r="H333" i="7"/>
  <c r="Z333" i="7" s="1"/>
  <c r="G1171" i="7"/>
  <c r="T658" i="7"/>
  <c r="T421" i="7"/>
  <c r="F376" i="7"/>
  <c r="I376" i="7" s="1"/>
  <c r="F485" i="7"/>
  <c r="I485" i="7" s="1"/>
  <c r="T838" i="7"/>
  <c r="Z127" i="7"/>
  <c r="F1136" i="7"/>
  <c r="I1136" i="7" s="1"/>
  <c r="F612" i="7"/>
  <c r="I612" i="7" s="1"/>
  <c r="F377" i="7"/>
  <c r="I377" i="7" s="1"/>
  <c r="Z269" i="7"/>
  <c r="F856" i="7"/>
  <c r="I856" i="7" s="1"/>
  <c r="Z245" i="7"/>
  <c r="T378" i="7"/>
  <c r="F925" i="7"/>
  <c r="I925" i="7" s="1"/>
  <c r="F245" i="7"/>
  <c r="I245" i="7" s="1"/>
  <c r="F101" i="7"/>
  <c r="I101" i="7" s="1"/>
  <c r="T773" i="7"/>
  <c r="G378" i="7"/>
  <c r="T269" i="7"/>
  <c r="Z101" i="7"/>
  <c r="Z831" i="7"/>
  <c r="F62" i="7"/>
  <c r="F415" i="7"/>
  <c r="I415" i="7" s="1"/>
  <c r="F304" i="7"/>
  <c r="I304" i="7" s="1"/>
  <c r="F869" i="7"/>
  <c r="I869" i="7" s="1"/>
  <c r="H658" i="7"/>
  <c r="Z658" i="7" s="1"/>
  <c r="Z869" i="7"/>
  <c r="Z372" i="7"/>
  <c r="T612" i="7"/>
  <c r="T1026" i="7"/>
  <c r="F559" i="7"/>
  <c r="I559" i="7" s="1"/>
  <c r="F530" i="7"/>
  <c r="I530" i="7" s="1"/>
  <c r="T690" i="7"/>
  <c r="Z690" i="7"/>
  <c r="F165" i="7"/>
  <c r="I165" i="7" s="1"/>
  <c r="F24" i="7"/>
  <c r="I24" i="7" s="1"/>
  <c r="T1016" i="7"/>
  <c r="T55" i="7"/>
  <c r="F935" i="7"/>
  <c r="I935" i="7" s="1"/>
  <c r="H1140" i="7"/>
  <c r="Z1140" i="7" s="1"/>
  <c r="F451" i="7"/>
  <c r="I451" i="7" s="1"/>
  <c r="T313" i="7"/>
  <c r="G313" i="7"/>
  <c r="F313" i="7"/>
  <c r="I313" i="7" s="1"/>
  <c r="H313" i="7"/>
  <c r="Z313" i="7" s="1"/>
  <c r="F671" i="7"/>
  <c r="I671" i="7" s="1"/>
  <c r="T793" i="7"/>
  <c r="F843" i="7"/>
  <c r="I843" i="7" s="1"/>
  <c r="F108" i="7"/>
  <c r="I108" i="7" s="1"/>
  <c r="T893" i="7"/>
  <c r="G1141" i="7"/>
  <c r="Z793" i="7"/>
  <c r="F481" i="7"/>
  <c r="I481" i="7" s="1"/>
  <c r="T937" i="7"/>
  <c r="T277" i="7"/>
  <c r="T984" i="7"/>
  <c r="T586" i="7"/>
  <c r="F793" i="7"/>
  <c r="I793" i="7" s="1"/>
  <c r="H498" i="7"/>
  <c r="Z498" i="7" s="1"/>
  <c r="F459" i="7"/>
  <c r="I459" i="7" s="1"/>
  <c r="F18" i="7"/>
  <c r="I18" i="7" s="1"/>
  <c r="F940" i="7"/>
  <c r="I940" i="7" s="1"/>
  <c r="T43" i="7"/>
  <c r="F43" i="7"/>
  <c r="I43" i="7" s="1"/>
  <c r="Z617" i="7"/>
  <c r="T940" i="7"/>
  <c r="H124" i="7"/>
  <c r="Z124" i="7" s="1"/>
  <c r="F721" i="7"/>
  <c r="I721" i="7" s="1"/>
  <c r="F617" i="7"/>
  <c r="I617" i="7" s="1"/>
  <c r="F470" i="7"/>
  <c r="I470" i="7" s="1"/>
  <c r="F937" i="7"/>
  <c r="I937" i="7" s="1"/>
  <c r="G1162" i="7"/>
  <c r="F776" i="7"/>
  <c r="I776" i="7" s="1"/>
  <c r="T706" i="7"/>
  <c r="F944" i="7"/>
  <c r="I944" i="7" s="1"/>
  <c r="G563" i="7"/>
  <c r="F988" i="7"/>
  <c r="I988" i="7" s="1"/>
  <c r="F1052" i="7"/>
  <c r="I1052" i="7" s="1"/>
  <c r="T213" i="7"/>
  <c r="G403" i="7"/>
  <c r="T1052" i="7"/>
  <c r="F403" i="7"/>
  <c r="I403" i="7" s="1"/>
  <c r="G613" i="7"/>
  <c r="F563" i="7"/>
  <c r="I563" i="7" s="1"/>
  <c r="F968" i="7"/>
  <c r="I968" i="7" s="1"/>
  <c r="Z470" i="7"/>
  <c r="H403" i="7"/>
  <c r="Z403" i="7" s="1"/>
  <c r="F706" i="7"/>
  <c r="F38" i="7"/>
  <c r="I38" i="7" s="1"/>
  <c r="G181" i="7"/>
  <c r="T1141" i="7"/>
  <c r="F902" i="7"/>
  <c r="I902" i="7" s="1"/>
  <c r="F329" i="7"/>
  <c r="I329" i="7" s="1"/>
  <c r="T947" i="7"/>
  <c r="F620" i="7"/>
  <c r="I620" i="7" s="1"/>
  <c r="H1171" i="7"/>
  <c r="Z1171" i="7" s="1"/>
  <c r="F712" i="7"/>
  <c r="I712" i="7" s="1"/>
  <c r="H1151" i="7"/>
  <c r="Z1151" i="7" s="1"/>
  <c r="Z620" i="7"/>
  <c r="F845" i="7"/>
  <c r="I845" i="7" s="1"/>
  <c r="G333" i="7"/>
  <c r="F333" i="7"/>
  <c r="I333" i="7" s="1"/>
  <c r="Z91" i="7"/>
  <c r="F1141" i="7"/>
  <c r="I1141" i="7" s="1"/>
  <c r="F72" i="7"/>
  <c r="I72" i="7" s="1"/>
  <c r="F669" i="7"/>
  <c r="I669" i="7" s="1"/>
  <c r="F1074" i="7"/>
  <c r="I1074" i="7" s="1"/>
  <c r="T897" i="7"/>
  <c r="H1141" i="7"/>
  <c r="Z1141" i="7" s="1"/>
  <c r="Z1082" i="7"/>
  <c r="F1171" i="7"/>
  <c r="I1171" i="7" s="1"/>
  <c r="F1001" i="7"/>
  <c r="I1001" i="7" s="1"/>
  <c r="H145" i="7"/>
  <c r="Z145" i="7" s="1"/>
  <c r="F861" i="7"/>
  <c r="I861" i="7" s="1"/>
  <c r="F564" i="7"/>
  <c r="I564" i="7" s="1"/>
  <c r="T865" i="7"/>
  <c r="F440" i="7"/>
  <c r="I440" i="7" s="1"/>
  <c r="H1084" i="7"/>
  <c r="Z1084" i="7" s="1"/>
  <c r="F414" i="7"/>
  <c r="I414" i="7" s="1"/>
  <c r="F984" i="7"/>
  <c r="I984" i="7" s="1"/>
  <c r="F381" i="7"/>
  <c r="I381" i="7" s="1"/>
  <c r="Z434" i="7"/>
  <c r="F705" i="7"/>
  <c r="F89" i="7"/>
  <c r="I89" i="7" s="1"/>
  <c r="F586" i="7"/>
  <c r="I586" i="7" s="1"/>
  <c r="T80" i="7"/>
  <c r="T790" i="7"/>
  <c r="F1135" i="7"/>
  <c r="I1135" i="7" s="1"/>
  <c r="F790" i="7"/>
  <c r="I790" i="7" s="1"/>
  <c r="F125" i="7"/>
  <c r="I125" i="7" s="1"/>
  <c r="F522" i="7"/>
  <c r="I522" i="7" s="1"/>
  <c r="F804" i="7"/>
  <c r="I804" i="7" s="1"/>
  <c r="F5" i="7"/>
  <c r="I5" i="7" s="1"/>
  <c r="F685" i="7"/>
  <c r="I685" i="7" s="1"/>
  <c r="T1164" i="7"/>
  <c r="T896" i="7"/>
  <c r="T181" i="7"/>
  <c r="G1152" i="7"/>
  <c r="F576" i="7"/>
  <c r="I576" i="7" s="1"/>
  <c r="F969" i="7"/>
  <c r="I969" i="7" s="1"/>
  <c r="F632" i="7"/>
  <c r="I632" i="7" s="1"/>
  <c r="F1139" i="7"/>
  <c r="I1139" i="7" s="1"/>
  <c r="T440" i="7"/>
  <c r="T5" i="7"/>
  <c r="T759" i="7"/>
  <c r="T1067" i="7"/>
  <c r="G1072" i="7"/>
  <c r="F606" i="7"/>
  <c r="I606" i="7" s="1"/>
  <c r="F1067" i="7"/>
  <c r="H759" i="7"/>
  <c r="Z759" i="7" s="1"/>
  <c r="F277" i="7"/>
  <c r="I277" i="7" s="1"/>
  <c r="T1072" i="7"/>
  <c r="G1139" i="7"/>
  <c r="F832" i="7"/>
  <c r="I832" i="7" s="1"/>
  <c r="T6" i="7"/>
  <c r="T832" i="7"/>
  <c r="T751" i="7"/>
  <c r="F1072" i="7"/>
  <c r="G759" i="7"/>
  <c r="T717" i="7"/>
  <c r="T1162" i="7"/>
  <c r="G1157" i="7"/>
  <c r="F434" i="7"/>
  <c r="I434" i="7" s="1"/>
  <c r="G348" i="7"/>
  <c r="F336" i="7"/>
  <c r="I336" i="7" s="1"/>
  <c r="T705" i="7"/>
  <c r="F6" i="7"/>
  <c r="I6" i="7" s="1"/>
  <c r="F717" i="7"/>
  <c r="I717" i="7" s="1"/>
  <c r="G705" i="7"/>
  <c r="Z988" i="7"/>
  <c r="H348" i="7"/>
  <c r="Z348" i="7" s="1"/>
  <c r="F397" i="7"/>
  <c r="I397" i="7" s="1"/>
  <c r="G145" i="7"/>
  <c r="T522" i="7"/>
  <c r="T1034" i="7"/>
  <c r="T552" i="7"/>
  <c r="G518" i="7"/>
  <c r="H1135" i="7"/>
  <c r="Z1135" i="7" s="1"/>
  <c r="F947" i="7"/>
  <c r="I947" i="7" s="1"/>
  <c r="T459" i="7"/>
  <c r="T1001" i="7"/>
  <c r="F137" i="7"/>
  <c r="F942" i="7"/>
  <c r="I942" i="7" s="1"/>
  <c r="H1139" i="7"/>
  <c r="Z1139" i="7" s="1"/>
  <c r="H1118" i="7"/>
  <c r="Z1118" i="7" s="1"/>
  <c r="F819" i="7"/>
  <c r="I819" i="7" s="1"/>
  <c r="T1011" i="7"/>
  <c r="T1112" i="7"/>
  <c r="T37" i="7"/>
  <c r="T650" i="7"/>
  <c r="F897" i="7"/>
  <c r="I897" i="7" s="1"/>
  <c r="T495" i="7"/>
  <c r="F830" i="7"/>
  <c r="I830" i="7" s="1"/>
  <c r="T1118" i="7"/>
  <c r="T902" i="7"/>
  <c r="G1096" i="7"/>
  <c r="T558" i="7"/>
  <c r="T698" i="7"/>
  <c r="T861" i="7"/>
  <c r="F63" i="7"/>
  <c r="F664" i="7"/>
  <c r="I664" i="7" s="1"/>
  <c r="Z722" i="7"/>
  <c r="F558" i="7"/>
  <c r="I558" i="7" s="1"/>
  <c r="F50" i="7"/>
  <c r="I50" i="7" s="1"/>
  <c r="F698" i="7"/>
  <c r="I698" i="7" s="1"/>
  <c r="F722" i="7"/>
  <c r="I722" i="7" s="1"/>
  <c r="F153" i="7"/>
  <c r="I153" i="7" s="1"/>
  <c r="G453" i="7"/>
  <c r="F271" i="7"/>
  <c r="I271" i="7" s="1"/>
  <c r="T1070" i="7"/>
  <c r="T737" i="7"/>
  <c r="T50" i="7"/>
  <c r="T579" i="7"/>
  <c r="Z1015" i="7"/>
  <c r="F737" i="7"/>
  <c r="I737" i="7" s="1"/>
  <c r="T423" i="7"/>
  <c r="Z581" i="7"/>
  <c r="T928" i="7"/>
  <c r="F591" i="7"/>
  <c r="I591" i="7" s="1"/>
  <c r="F756" i="7"/>
  <c r="I756" i="7" s="1"/>
  <c r="F761" i="7"/>
  <c r="F327" i="7"/>
  <c r="I327" i="7" s="1"/>
  <c r="F423" i="7"/>
  <c r="I423" i="7" s="1"/>
  <c r="T162" i="7"/>
  <c r="T1054" i="7"/>
  <c r="F626" i="7"/>
  <c r="I626" i="7" s="1"/>
  <c r="F202" i="7"/>
  <c r="G423" i="7"/>
  <c r="Z15" i="7"/>
  <c r="Z756" i="7"/>
  <c r="F619" i="7"/>
  <c r="I619" i="7" s="1"/>
  <c r="T677" i="7"/>
  <c r="F453" i="7"/>
  <c r="I453" i="7" s="1"/>
  <c r="F367" i="7"/>
  <c r="I367" i="7" s="1"/>
  <c r="H268" i="7"/>
  <c r="Z268" i="7" s="1"/>
  <c r="H1123" i="7"/>
  <c r="Z1123" i="7" s="1"/>
  <c r="F795" i="7"/>
  <c r="I795" i="7" s="1"/>
  <c r="F145" i="7"/>
  <c r="G123" i="7"/>
  <c r="T718" i="7"/>
  <c r="T145" i="7"/>
  <c r="T916" i="7"/>
  <c r="T383" i="7"/>
  <c r="T292" i="7"/>
  <c r="Z178" i="7"/>
  <c r="F366" i="7"/>
  <c r="I366" i="7" s="1"/>
  <c r="F15" i="7"/>
  <c r="I15" i="7" s="1"/>
  <c r="T992" i="7"/>
  <c r="F718" i="7"/>
  <c r="I718" i="7" s="1"/>
  <c r="H423" i="7"/>
  <c r="Z423" i="7" s="1"/>
  <c r="F330" i="7"/>
  <c r="I330" i="7" s="1"/>
  <c r="T688" i="7"/>
  <c r="T39" i="7"/>
  <c r="T548" i="7"/>
  <c r="H453" i="7"/>
  <c r="Z453" i="7" s="1"/>
  <c r="F1012" i="7"/>
  <c r="I1012" i="7" s="1"/>
  <c r="F357" i="7"/>
  <c r="I357" i="7" s="1"/>
  <c r="T664" i="7"/>
  <c r="T72" i="7"/>
  <c r="F548" i="7"/>
  <c r="I548" i="7" s="1"/>
  <c r="F430" i="7"/>
  <c r="I430" i="7" s="1"/>
  <c r="T63" i="7"/>
  <c r="T804" i="7"/>
  <c r="F850" i="7"/>
  <c r="I850" i="7" s="1"/>
  <c r="T36" i="7"/>
  <c r="T533" i="7"/>
  <c r="F792" i="7"/>
  <c r="I792" i="7" s="1"/>
  <c r="F427" i="7"/>
  <c r="I427" i="7" s="1"/>
  <c r="Z401" i="7"/>
  <c r="F775" i="7"/>
  <c r="I775" i="7" s="1"/>
  <c r="T594" i="7"/>
  <c r="T1082" i="7"/>
  <c r="H1146" i="7"/>
  <c r="Z1146" i="7" s="1"/>
  <c r="F315" i="7"/>
  <c r="I315" i="7" s="1"/>
  <c r="Z571" i="7"/>
  <c r="T771" i="7"/>
  <c r="F594" i="7"/>
  <c r="I594" i="7" s="1"/>
  <c r="T1156" i="7"/>
  <c r="T464" i="7"/>
  <c r="F1082" i="7"/>
  <c r="I1082" i="7" s="1"/>
  <c r="G1080" i="7"/>
  <c r="T1038" i="7"/>
  <c r="F537" i="7"/>
  <c r="I537" i="7" s="1"/>
  <c r="F492" i="7"/>
  <c r="I492" i="7" s="1"/>
  <c r="Z1011" i="7"/>
  <c r="F613" i="7"/>
  <c r="I613" i="7" s="1"/>
  <c r="F965" i="7"/>
  <c r="I965" i="7" s="1"/>
  <c r="F498" i="7"/>
  <c r="I498" i="7" s="1"/>
  <c r="T634" i="7"/>
  <c r="T792" i="7"/>
  <c r="T814" i="7"/>
  <c r="T304" i="7"/>
  <c r="H1080" i="7"/>
  <c r="Z1080" i="7" s="1"/>
  <c r="Z319" i="7"/>
  <c r="F380" i="7"/>
  <c r="I380" i="7" s="1"/>
  <c r="F401" i="7"/>
  <c r="I401" i="7" s="1"/>
  <c r="F865" i="7"/>
  <c r="I865" i="7" s="1"/>
  <c r="T1044" i="7"/>
  <c r="H1159" i="7"/>
  <c r="Z1159" i="7" s="1"/>
  <c r="F580" i="7"/>
  <c r="I580" i="7" s="1"/>
  <c r="T227" i="7"/>
  <c r="T823" i="7"/>
  <c r="F123" i="7"/>
  <c r="H648" i="7"/>
  <c r="Z648" i="7" s="1"/>
  <c r="F957" i="7"/>
  <c r="I957" i="7" s="1"/>
  <c r="H123" i="7"/>
  <c r="Z123" i="7" s="1"/>
  <c r="F339" i="7"/>
  <c r="I339" i="7" s="1"/>
  <c r="F111" i="7"/>
  <c r="I111" i="7" s="1"/>
  <c r="F809" i="7"/>
  <c r="I809" i="7" s="1"/>
  <c r="F436" i="7"/>
  <c r="I436" i="7" s="1"/>
  <c r="T235" i="7"/>
  <c r="T580" i="7"/>
  <c r="F890" i="7"/>
  <c r="I890" i="7" s="1"/>
  <c r="F243" i="7"/>
  <c r="I243" i="7" s="1"/>
  <c r="F527" i="7"/>
  <c r="I527" i="7" s="1"/>
  <c r="T174" i="7"/>
  <c r="Z1038" i="7"/>
  <c r="F1056" i="7"/>
  <c r="I1056" i="7" s="1"/>
  <c r="F1146" i="7"/>
  <c r="I1146" i="7" s="1"/>
  <c r="F572" i="7"/>
  <c r="I572" i="7" s="1"/>
  <c r="Z492" i="7"/>
  <c r="F677" i="7"/>
  <c r="I677" i="7" s="1"/>
  <c r="Z742" i="7"/>
  <c r="F996" i="7"/>
  <c r="I996" i="7" s="1"/>
  <c r="T1169" i="7"/>
  <c r="T638" i="7"/>
  <c r="T391" i="7"/>
  <c r="T59" i="7"/>
  <c r="T1121" i="7"/>
  <c r="T972" i="7"/>
  <c r="F636" i="7"/>
  <c r="I636" i="7" s="1"/>
  <c r="G328" i="7"/>
  <c r="G533" i="7"/>
  <c r="Z561" i="7"/>
  <c r="G1121" i="7"/>
  <c r="F208" i="7"/>
  <c r="I208" i="7" s="1"/>
  <c r="Z156" i="7"/>
  <c r="F47" i="7"/>
  <c r="I47" i="7" s="1"/>
  <c r="F420" i="7"/>
  <c r="I420" i="7" s="1"/>
  <c r="F533" i="7"/>
  <c r="I533" i="7" s="1"/>
  <c r="Z320" i="7"/>
  <c r="F156" i="7"/>
  <c r="I156" i="7" s="1"/>
  <c r="F259" i="7"/>
  <c r="I259" i="7" s="1"/>
  <c r="F378" i="7"/>
  <c r="I378" i="7" s="1"/>
  <c r="Z420" i="7"/>
  <c r="G668" i="7"/>
  <c r="H303" i="7"/>
  <c r="Z303" i="7" s="1"/>
  <c r="F324" i="7"/>
  <c r="I324" i="7" s="1"/>
  <c r="T901" i="7"/>
  <c r="H638" i="7"/>
  <c r="Z638" i="7" s="1"/>
  <c r="T875" i="7"/>
  <c r="Z59" i="7"/>
  <c r="T1146" i="7"/>
  <c r="T111" i="7"/>
  <c r="F389" i="7"/>
  <c r="I389" i="7" s="1"/>
  <c r="T340" i="7"/>
  <c r="F328" i="7"/>
  <c r="I328" i="7" s="1"/>
  <c r="F571" i="7"/>
  <c r="I571" i="7" s="1"/>
  <c r="G638" i="7"/>
  <c r="F31" i="7"/>
  <c r="I31" i="7" s="1"/>
  <c r="F227" i="7"/>
  <c r="I227" i="7" s="1"/>
  <c r="F59" i="7"/>
  <c r="I59" i="7" s="1"/>
  <c r="F320" i="7"/>
  <c r="I320" i="7" s="1"/>
  <c r="F274" i="7"/>
  <c r="I274" i="7" s="1"/>
  <c r="F476" i="7"/>
  <c r="I476" i="7" s="1"/>
  <c r="H378" i="7"/>
  <c r="Z378" i="7" s="1"/>
  <c r="F695" i="7"/>
  <c r="I695" i="7" s="1"/>
  <c r="F516" i="7"/>
  <c r="I516" i="7" s="1"/>
  <c r="F391" i="7"/>
  <c r="I391" i="7" s="1"/>
  <c r="F281" i="7"/>
  <c r="I281" i="7" s="1"/>
  <c r="F191" i="7"/>
  <c r="I191" i="7" s="1"/>
  <c r="F771" i="7"/>
  <c r="I771" i="7" s="1"/>
  <c r="Z901" i="7"/>
  <c r="T427" i="7"/>
  <c r="T353" i="7"/>
  <c r="T446" i="7"/>
  <c r="T233" i="7"/>
  <c r="F875" i="7"/>
  <c r="I875" i="7" s="1"/>
  <c r="T890" i="7"/>
  <c r="F873" i="7"/>
  <c r="I873" i="7" s="1"/>
  <c r="F742" i="7"/>
  <c r="I742" i="7" s="1"/>
  <c r="F20" i="7"/>
  <c r="I20" i="7" s="1"/>
  <c r="F174" i="7"/>
  <c r="I174" i="7" s="1"/>
  <c r="F184" i="7"/>
  <c r="I184" i="7" s="1"/>
  <c r="G1084" i="7"/>
  <c r="F630" i="7"/>
  <c r="I630" i="7" s="1"/>
  <c r="Z634" i="7"/>
  <c r="G658" i="7"/>
  <c r="F294" i="7"/>
  <c r="I294" i="7" s="1"/>
  <c r="F163" i="7"/>
  <c r="I163" i="7" s="1"/>
  <c r="F432" i="7"/>
  <c r="I432" i="7" s="1"/>
  <c r="F1055" i="7"/>
  <c r="I1055" i="7" s="1"/>
  <c r="F634" i="7"/>
  <c r="I634" i="7" s="1"/>
  <c r="F107" i="7"/>
  <c r="I107" i="7" s="1"/>
  <c r="G191" i="7"/>
  <c r="H548" i="7"/>
  <c r="Z548" i="7" s="1"/>
  <c r="F446" i="7"/>
  <c r="I446" i="7" s="1"/>
  <c r="T647" i="7"/>
  <c r="F233" i="7"/>
  <c r="I233" i="7" s="1"/>
  <c r="T601" i="7"/>
  <c r="F992" i="7"/>
  <c r="I992" i="7" s="1"/>
  <c r="F335" i="7"/>
  <c r="I335" i="7" s="1"/>
  <c r="Z294" i="7"/>
  <c r="F891" i="7"/>
  <c r="I891" i="7" s="1"/>
  <c r="T626" i="7"/>
  <c r="T331" i="7"/>
  <c r="T163" i="7"/>
  <c r="Z601" i="7"/>
  <c r="T1099" i="7"/>
  <c r="F275" i="7"/>
  <c r="I275" i="7" s="1"/>
  <c r="H328" i="7"/>
  <c r="Z328" i="7" s="1"/>
  <c r="Z281" i="7"/>
  <c r="T1084" i="7"/>
  <c r="F648" i="7"/>
  <c r="I648" i="7" s="1"/>
  <c r="F372" i="7"/>
  <c r="I372" i="7" s="1"/>
  <c r="F1054" i="7"/>
  <c r="I1054" i="7" s="1"/>
  <c r="H353" i="7"/>
  <c r="Z353" i="7" s="1"/>
  <c r="F684" i="7"/>
  <c r="I684" i="7" s="1"/>
  <c r="G1122" i="7"/>
  <c r="F142" i="7"/>
  <c r="H191" i="7"/>
  <c r="Z191" i="7" s="1"/>
  <c r="T535" i="7"/>
  <c r="T153" i="7"/>
  <c r="T957" i="7"/>
  <c r="T775" i="7"/>
  <c r="F767" i="7"/>
  <c r="I767" i="7" s="1"/>
  <c r="T501" i="7"/>
  <c r="T700" i="7"/>
  <c r="F908" i="7"/>
  <c r="I908" i="7" s="1"/>
  <c r="G698" i="7"/>
  <c r="H1121" i="7"/>
  <c r="Z1121" i="7" s="1"/>
  <c r="F1169" i="7"/>
  <c r="I1169" i="7" s="1"/>
  <c r="G1156" i="7"/>
  <c r="T527" i="7"/>
  <c r="T9" i="7"/>
  <c r="G648" i="7"/>
  <c r="F727" i="7"/>
  <c r="I727" i="7" s="1"/>
  <c r="H613" i="7"/>
  <c r="Z613" i="7" s="1"/>
  <c r="F235" i="7"/>
  <c r="I235" i="7" s="1"/>
  <c r="F846" i="7"/>
  <c r="I846" i="7" s="1"/>
  <c r="F817" i="7"/>
  <c r="I817" i="7" s="1"/>
  <c r="H1169" i="7"/>
  <c r="Z1169" i="7" s="1"/>
  <c r="F1084" i="7"/>
  <c r="F560" i="7"/>
  <c r="I560" i="7" s="1"/>
  <c r="H1156" i="7"/>
  <c r="Z1156" i="7" s="1"/>
  <c r="T68" i="7"/>
  <c r="F93" i="7"/>
  <c r="I93" i="7" s="1"/>
  <c r="F9" i="7"/>
  <c r="I9" i="7" s="1"/>
  <c r="T802" i="7"/>
  <c r="F802" i="7"/>
  <c r="I802" i="7" s="1"/>
  <c r="T1017" i="7"/>
  <c r="F1017" i="7"/>
  <c r="I1017" i="7" s="1"/>
  <c r="T57" i="7"/>
  <c r="F57" i="7"/>
  <c r="I57" i="7" s="1"/>
  <c r="F575" i="7"/>
  <c r="I575" i="7" s="1"/>
  <c r="F306" i="7"/>
  <c r="I306" i="7" s="1"/>
  <c r="Z306" i="7"/>
  <c r="T306" i="7"/>
  <c r="F197" i="7"/>
  <c r="I197" i="7" s="1"/>
  <c r="T197" i="7"/>
  <c r="T692" i="7"/>
  <c r="F692" i="7"/>
  <c r="I692" i="7" s="1"/>
  <c r="F395" i="7"/>
  <c r="I395" i="7" s="1"/>
  <c r="T395" i="7"/>
  <c r="T433" i="7"/>
  <c r="G433" i="7"/>
  <c r="F433" i="7"/>
  <c r="I433" i="7" s="1"/>
  <c r="T799" i="7"/>
  <c r="F412" i="7"/>
  <c r="I412" i="7" s="1"/>
  <c r="G1069" i="7"/>
  <c r="T1069" i="7"/>
  <c r="F1069" i="7"/>
  <c r="H1069" i="7"/>
  <c r="Z1069" i="7" s="1"/>
  <c r="F570" i="7"/>
  <c r="I570" i="7" s="1"/>
  <c r="T570" i="7"/>
  <c r="T921" i="7"/>
  <c r="F921" i="7"/>
  <c r="I921" i="7" s="1"/>
  <c r="H739" i="7"/>
  <c r="Z739" i="7" s="1"/>
  <c r="T739" i="7"/>
  <c r="F739" i="7"/>
  <c r="I739" i="7" s="1"/>
  <c r="T493" i="7"/>
  <c r="F493" i="7"/>
  <c r="I493" i="7" s="1"/>
  <c r="G493" i="7"/>
  <c r="H493" i="7"/>
  <c r="Z493" i="7" s="1"/>
  <c r="F180" i="7"/>
  <c r="I180" i="7" s="1"/>
  <c r="F76" i="7"/>
  <c r="I76" i="7" s="1"/>
  <c r="T94" i="7"/>
  <c r="F94" i="7"/>
  <c r="I94" i="7" s="1"/>
  <c r="F754" i="7"/>
  <c r="I754" i="7" s="1"/>
  <c r="G754" i="7"/>
  <c r="T754" i="7"/>
  <c r="F589" i="7"/>
  <c r="I589" i="7" s="1"/>
  <c r="T131" i="7"/>
  <c r="H744" i="7"/>
  <c r="Z744" i="7" s="1"/>
  <c r="G744" i="7"/>
  <c r="H653" i="7"/>
  <c r="Z653" i="7" s="1"/>
  <c r="Z783" i="7"/>
  <c r="F747" i="7"/>
  <c r="I747" i="7" s="1"/>
  <c r="T747" i="7"/>
  <c r="Z920" i="7"/>
  <c r="G739" i="7"/>
  <c r="Z945" i="7"/>
  <c r="G1081" i="7"/>
  <c r="E1081" i="7"/>
  <c r="F1024" i="7"/>
  <c r="I1024" i="7" s="1"/>
  <c r="F467" i="7"/>
  <c r="I467" i="7" s="1"/>
  <c r="T467" i="7"/>
  <c r="F623" i="7"/>
  <c r="I623" i="7" s="1"/>
  <c r="H623" i="7"/>
  <c r="Z623" i="7" s="1"/>
  <c r="T623" i="7"/>
  <c r="G623" i="7"/>
  <c r="F867" i="7"/>
  <c r="I867" i="7" s="1"/>
  <c r="T867" i="7"/>
  <c r="T412" i="7"/>
  <c r="T362" i="7"/>
  <c r="F362" i="7"/>
  <c r="I362" i="7" s="1"/>
  <c r="Z362" i="7"/>
  <c r="T220" i="7"/>
  <c r="F220" i="7"/>
  <c r="I220" i="7" s="1"/>
  <c r="G278" i="7"/>
  <c r="F301" i="7"/>
  <c r="I301" i="7" s="1"/>
  <c r="Z301" i="7"/>
  <c r="H71" i="7"/>
  <c r="Z71" i="7" s="1"/>
  <c r="G71" i="7"/>
  <c r="F71" i="7"/>
  <c r="T71" i="7"/>
  <c r="T505" i="7"/>
  <c r="F505" i="7"/>
  <c r="I505" i="7" s="1"/>
  <c r="T575" i="7"/>
  <c r="Z867" i="7"/>
  <c r="T980" i="7"/>
  <c r="F980" i="7"/>
  <c r="I980" i="7" s="1"/>
  <c r="T209" i="7"/>
  <c r="F209" i="7"/>
  <c r="I209" i="7" s="1"/>
  <c r="Z511" i="7"/>
  <c r="T511" i="7"/>
  <c r="F511" i="7"/>
  <c r="I511" i="7" s="1"/>
  <c r="F1028" i="7"/>
  <c r="I1028" i="7" s="1"/>
  <c r="T1028" i="7"/>
  <c r="F190" i="7"/>
  <c r="I190" i="7" s="1"/>
  <c r="T190" i="7"/>
  <c r="F131" i="7"/>
  <c r="T1123" i="7"/>
  <c r="G1123" i="7"/>
  <c r="F1123" i="7"/>
  <c r="I1123" i="7" s="1"/>
  <c r="T808" i="7"/>
  <c r="Z808" i="7"/>
  <c r="F808" i="7"/>
  <c r="I808" i="7" s="1"/>
  <c r="F465" i="7"/>
  <c r="I465" i="7" s="1"/>
  <c r="T882" i="7"/>
  <c r="F882" i="7"/>
  <c r="I882" i="7" s="1"/>
  <c r="Z469" i="7"/>
  <c r="T469" i="7"/>
  <c r="F469" i="7"/>
  <c r="I469" i="7" s="1"/>
  <c r="T707" i="7"/>
  <c r="T237" i="7"/>
  <c r="F237" i="7"/>
  <c r="I237" i="7" s="1"/>
  <c r="T877" i="7"/>
  <c r="F877" i="7"/>
  <c r="I877" i="7" s="1"/>
  <c r="F962" i="7"/>
  <c r="I962" i="7" s="1"/>
  <c r="Z962" i="7"/>
  <c r="H139" i="7"/>
  <c r="Z139" i="7" s="1"/>
  <c r="F139" i="7"/>
  <c r="T139" i="7"/>
  <c r="G139" i="7"/>
  <c r="T736" i="7"/>
  <c r="F736" i="7"/>
  <c r="I736" i="7" s="1"/>
  <c r="F799" i="7"/>
  <c r="I799" i="7" s="1"/>
  <c r="T114" i="7"/>
  <c r="F114" i="7"/>
  <c r="I114" i="7" s="1"/>
  <c r="Z114" i="7"/>
  <c r="F392" i="7"/>
  <c r="I392" i="7" s="1"/>
  <c r="F1004" i="7"/>
  <c r="I1004" i="7" s="1"/>
  <c r="T1147" i="7"/>
  <c r="G1147" i="7"/>
  <c r="F1147" i="7"/>
  <c r="I1147" i="7" s="1"/>
  <c r="H1147" i="7"/>
  <c r="Z1147" i="7" s="1"/>
  <c r="G1107" i="7"/>
  <c r="H1107" i="7"/>
  <c r="Z1107" i="7" s="1"/>
  <c r="F605" i="7"/>
  <c r="I605" i="7" s="1"/>
  <c r="T888" i="7"/>
  <c r="T325" i="7"/>
  <c r="F325" i="7"/>
  <c r="I325" i="7" s="1"/>
  <c r="G583" i="7"/>
  <c r="F583" i="7"/>
  <c r="I583" i="7" s="1"/>
  <c r="H583" i="7"/>
  <c r="Z583" i="7" s="1"/>
  <c r="T583" i="7"/>
  <c r="F517" i="7"/>
  <c r="I517" i="7" s="1"/>
  <c r="G488" i="7"/>
  <c r="H488" i="7"/>
  <c r="Z488" i="7" s="1"/>
  <c r="F488" i="7"/>
  <c r="I488" i="7" s="1"/>
  <c r="T488" i="7"/>
  <c r="T155" i="7"/>
  <c r="T994" i="7"/>
  <c r="F994" i="7"/>
  <c r="I994" i="7" s="1"/>
  <c r="F555" i="7"/>
  <c r="I555" i="7" s="1"/>
  <c r="T64" i="7"/>
  <c r="T494" i="7"/>
  <c r="F494" i="7"/>
  <c r="I494" i="7" s="1"/>
  <c r="L83" i="7"/>
  <c r="M83" i="7" s="1"/>
  <c r="F482" i="7"/>
  <c r="I482" i="7" s="1"/>
  <c r="T482" i="7"/>
  <c r="T657" i="7"/>
  <c r="Z657" i="7"/>
  <c r="F657" i="7"/>
  <c r="I657" i="7" s="1"/>
  <c r="F419" i="7"/>
  <c r="I419" i="7" s="1"/>
  <c r="T419" i="7"/>
  <c r="T519" i="7"/>
  <c r="F519" i="7"/>
  <c r="I519" i="7" s="1"/>
  <c r="F276" i="7"/>
  <c r="I276" i="7" s="1"/>
  <c r="T276" i="7"/>
  <c r="F334" i="7"/>
  <c r="I334" i="7" s="1"/>
  <c r="T334" i="7"/>
  <c r="F787" i="7"/>
  <c r="I787" i="7" s="1"/>
  <c r="T787" i="7"/>
  <c r="G498" i="7"/>
  <c r="F160" i="7"/>
  <c r="I160" i="7" s="1"/>
  <c r="F1161" i="7"/>
  <c r="I1161" i="7" s="1"/>
  <c r="F344" i="7"/>
  <c r="I344" i="7" s="1"/>
  <c r="F375" i="7"/>
  <c r="I375" i="7" s="1"/>
  <c r="F121" i="7"/>
  <c r="Z893" i="7"/>
  <c r="F1156" i="7"/>
  <c r="I1156" i="7" s="1"/>
  <c r="F1094" i="7"/>
  <c r="I1094" i="7" s="1"/>
  <c r="F864" i="7"/>
  <c r="I864" i="7" s="1"/>
  <c r="T561" i="7"/>
  <c r="T1086" i="7"/>
  <c r="T224" i="7"/>
  <c r="T864" i="7"/>
  <c r="T967" i="7"/>
  <c r="F261" i="7"/>
  <c r="I261" i="7" s="1"/>
  <c r="Z375" i="7"/>
  <c r="G548" i="7"/>
  <c r="T116" i="7"/>
  <c r="T458" i="7"/>
  <c r="F961" i="7"/>
  <c r="I961" i="7" s="1"/>
  <c r="F638" i="7"/>
  <c r="I638" i="7" s="1"/>
  <c r="Z800" i="7"/>
  <c r="H263" i="7"/>
  <c r="Z263" i="7" s="1"/>
  <c r="H149" i="7"/>
  <c r="Z149" i="7" s="1"/>
  <c r="F933" i="7"/>
  <c r="I933" i="7" s="1"/>
  <c r="T460" i="7"/>
  <c r="T259" i="7"/>
  <c r="T557" i="7"/>
  <c r="T261" i="7"/>
  <c r="T819" i="7"/>
  <c r="T338" i="7"/>
  <c r="T281" i="7"/>
  <c r="F1059" i="7"/>
  <c r="I1059" i="7" s="1"/>
  <c r="H1119" i="7"/>
  <c r="Z1119" i="7" s="1"/>
  <c r="T498" i="7"/>
  <c r="Z179" i="7"/>
  <c r="F68" i="7"/>
  <c r="F458" i="7"/>
  <c r="I458" i="7" s="1"/>
  <c r="F181" i="7"/>
  <c r="I181" i="7" s="1"/>
  <c r="H523" i="7"/>
  <c r="Z523" i="7" s="1"/>
  <c r="T551" i="7"/>
  <c r="H338" i="7"/>
  <c r="Z338" i="7" s="1"/>
  <c r="T1059" i="7"/>
  <c r="H233" i="7"/>
  <c r="Z233" i="7" s="1"/>
  <c r="F829" i="7"/>
  <c r="I829" i="7" s="1"/>
  <c r="G68" i="7"/>
  <c r="F1015" i="7"/>
  <c r="I1015" i="7" s="1"/>
  <c r="F1070" i="7"/>
  <c r="I1070" i="7" s="1"/>
  <c r="G458" i="7"/>
  <c r="F149" i="7"/>
  <c r="F1086" i="7"/>
  <c r="F711" i="7"/>
  <c r="I711" i="7" s="1"/>
  <c r="T1015" i="7"/>
  <c r="T51" i="7"/>
  <c r="F51" i="7"/>
  <c r="I51" i="7" s="1"/>
  <c r="F224" i="7"/>
  <c r="I224" i="7" s="1"/>
  <c r="G263" i="7"/>
  <c r="G149" i="7"/>
  <c r="T755" i="7"/>
  <c r="T357" i="7"/>
  <c r="Z200" i="7"/>
  <c r="F497" i="7"/>
  <c r="I497" i="7" s="1"/>
  <c r="F800" i="7"/>
  <c r="I800" i="7" s="1"/>
  <c r="G233" i="7"/>
  <c r="F518" i="7"/>
  <c r="I518" i="7" s="1"/>
  <c r="G383" i="7"/>
  <c r="F967" i="7"/>
  <c r="I967" i="7" s="1"/>
  <c r="H383" i="7"/>
  <c r="Z383" i="7" s="1"/>
  <c r="G121" i="7"/>
  <c r="T263" i="7"/>
  <c r="T748" i="7"/>
  <c r="T523" i="7"/>
  <c r="T518" i="7"/>
  <c r="T142" i="7"/>
  <c r="T556" i="7"/>
  <c r="T1152" i="7"/>
  <c r="F102" i="7"/>
  <c r="I102" i="7" s="1"/>
  <c r="F958" i="7"/>
  <c r="I958" i="7" s="1"/>
  <c r="Z700" i="7"/>
  <c r="F906" i="7"/>
  <c r="I906" i="7" s="1"/>
  <c r="Z264" i="7"/>
  <c r="F379" i="7"/>
  <c r="I379" i="7" s="1"/>
  <c r="H121" i="7"/>
  <c r="Z121" i="7" s="1"/>
  <c r="T38" i="7"/>
  <c r="T883" i="7"/>
  <c r="T1094" i="7"/>
  <c r="F338" i="7"/>
  <c r="I338" i="7" s="1"/>
  <c r="F774" i="7"/>
  <c r="I774" i="7" s="1"/>
  <c r="F264" i="7"/>
  <c r="I264" i="7" s="1"/>
  <c r="F700" i="7"/>
  <c r="I700" i="7" s="1"/>
  <c r="F970" i="7"/>
  <c r="I970" i="7" s="1"/>
  <c r="F116" i="7"/>
  <c r="I116" i="7" s="1"/>
  <c r="F755" i="7"/>
  <c r="I755" i="7" s="1"/>
  <c r="T597" i="7"/>
  <c r="G1094" i="7"/>
  <c r="Z833" i="7"/>
  <c r="F1152" i="7"/>
  <c r="I1152" i="7" s="1"/>
  <c r="T264" i="7"/>
  <c r="F501" i="7"/>
  <c r="I501" i="7" s="1"/>
  <c r="G1161" i="7"/>
  <c r="G338" i="7"/>
  <c r="Z597" i="7"/>
  <c r="T135" i="7"/>
  <c r="F179" i="7"/>
  <c r="I179" i="7" s="1"/>
  <c r="H1161" i="7"/>
  <c r="Z1161" i="7" s="1"/>
  <c r="M17" i="7"/>
  <c r="F1076" i="7"/>
  <c r="T694" i="7"/>
  <c r="T971" i="7"/>
  <c r="F971" i="7"/>
  <c r="I971" i="7" s="1"/>
  <c r="G138" i="7"/>
  <c r="H138" i="7"/>
  <c r="Z138" i="7" s="1"/>
  <c r="T138" i="7"/>
  <c r="L213" i="7"/>
  <c r="M213" i="7" s="1"/>
  <c r="L35" i="7"/>
  <c r="M35" i="7" s="1"/>
  <c r="T598" i="7"/>
  <c r="G598" i="7"/>
  <c r="Z232" i="7"/>
  <c r="F811" i="7"/>
  <c r="I811" i="7" s="1"/>
  <c r="T811" i="7"/>
  <c r="F577" i="7"/>
  <c r="I577" i="7" s="1"/>
  <c r="Z577" i="7"/>
  <c r="H563" i="7"/>
  <c r="Z563" i="7" s="1"/>
  <c r="T563" i="7"/>
  <c r="T354" i="7"/>
  <c r="F373" i="7"/>
  <c r="I373" i="7" s="1"/>
  <c r="H1122" i="7"/>
  <c r="Z1122" i="7" s="1"/>
  <c r="T76" i="7"/>
  <c r="T1134" i="7"/>
  <c r="H688" i="7"/>
  <c r="Z688" i="7" s="1"/>
  <c r="G688" i="7"/>
  <c r="T92" i="7"/>
  <c r="F92" i="7"/>
  <c r="I92" i="7" s="1"/>
  <c r="T1176" i="7"/>
  <c r="H1176" i="7"/>
  <c r="Z1176" i="7" s="1"/>
  <c r="F1176" i="7"/>
  <c r="G273" i="7"/>
  <c r="F291" i="7"/>
  <c r="I291" i="7" s="1"/>
  <c r="F964" i="7"/>
  <c r="I964" i="7" s="1"/>
  <c r="T685" i="7"/>
  <c r="T564" i="7"/>
  <c r="T87" i="7"/>
  <c r="F87" i="7"/>
  <c r="I87" i="7" s="1"/>
  <c r="T576" i="7"/>
  <c r="F11" i="7"/>
  <c r="I11" i="7" s="1"/>
  <c r="T11" i="7"/>
  <c r="F853" i="7"/>
  <c r="I853" i="7" s="1"/>
  <c r="T853" i="7"/>
  <c r="T365" i="7"/>
  <c r="F365" i="7"/>
  <c r="I365" i="7" s="1"/>
  <c r="F904" i="7"/>
  <c r="I904" i="7" s="1"/>
  <c r="T480" i="7"/>
  <c r="G1120" i="7"/>
  <c r="T1120" i="7"/>
  <c r="H1120" i="7"/>
  <c r="Z1120" i="7" s="1"/>
  <c r="F1120" i="7"/>
  <c r="I1120" i="7" s="1"/>
  <c r="F744" i="7"/>
  <c r="I744" i="7" s="1"/>
  <c r="T744" i="7"/>
  <c r="F1099" i="7"/>
  <c r="I1099" i="7" s="1"/>
  <c r="F491" i="7"/>
  <c r="I491" i="7" s="1"/>
  <c r="T892" i="7"/>
  <c r="F892" i="7"/>
  <c r="I892" i="7" s="1"/>
  <c r="F49" i="7"/>
  <c r="I49" i="7" s="1"/>
  <c r="T49" i="7"/>
  <c r="F930" i="7"/>
  <c r="I930" i="7" s="1"/>
  <c r="F410" i="7"/>
  <c r="I410" i="7" s="1"/>
  <c r="T920" i="7"/>
  <c r="T761" i="7"/>
  <c r="T397" i="7"/>
  <c r="G468" i="7"/>
  <c r="T278" i="7"/>
  <c r="H278" i="7"/>
  <c r="Z278" i="7" s="1"/>
  <c r="F252" i="7"/>
  <c r="I252" i="7" s="1"/>
  <c r="T1003" i="7"/>
  <c r="T193" i="7"/>
  <c r="T1168" i="7"/>
  <c r="F1168" i="7"/>
  <c r="I1168" i="7" s="1"/>
  <c r="H1168" i="7"/>
  <c r="Z1168" i="7" s="1"/>
  <c r="G1168" i="7"/>
  <c r="H673" i="7"/>
  <c r="Z673" i="7" s="1"/>
  <c r="G673" i="7"/>
  <c r="T673" i="7"/>
  <c r="T147" i="7"/>
  <c r="H147" i="7"/>
  <c r="Z147" i="7" s="1"/>
  <c r="F147" i="7"/>
  <c r="G147" i="7"/>
  <c r="F265" i="7"/>
  <c r="I265" i="7" s="1"/>
  <c r="T265" i="7"/>
  <c r="F348" i="7"/>
  <c r="I348" i="7" s="1"/>
  <c r="T348" i="7"/>
  <c r="G80" i="7"/>
  <c r="H80" i="7"/>
  <c r="Z80" i="7" s="1"/>
  <c r="F667" i="7"/>
  <c r="I667" i="7" s="1"/>
  <c r="T667" i="7"/>
  <c r="T671" i="7"/>
  <c r="T474" i="7"/>
  <c r="L120" i="7"/>
  <c r="M120" i="7" s="1"/>
  <c r="T599" i="7"/>
  <c r="L27" i="7"/>
  <c r="M27" i="7" s="1"/>
  <c r="T1048" i="7"/>
  <c r="T678" i="7"/>
  <c r="F678" i="7"/>
  <c r="I678" i="7" s="1"/>
  <c r="H678" i="7"/>
  <c r="Z678" i="7" s="1"/>
  <c r="G678" i="7"/>
  <c r="L428" i="7"/>
  <c r="M428" i="7" s="1"/>
  <c r="T779" i="7"/>
  <c r="F779" i="7"/>
  <c r="I779" i="7" s="1"/>
  <c r="T885" i="7"/>
  <c r="Z885" i="7"/>
  <c r="F279" i="7"/>
  <c r="I279" i="7" s="1"/>
  <c r="F67" i="7"/>
  <c r="F194" i="7"/>
  <c r="I194" i="7" s="1"/>
  <c r="L30" i="7"/>
  <c r="M30" i="7" s="1"/>
  <c r="T194" i="7"/>
  <c r="F920" i="7"/>
  <c r="I920" i="7" s="1"/>
  <c r="L80" i="7"/>
  <c r="M80" i="7" s="1"/>
  <c r="T1107" i="7"/>
  <c r="T19" i="7"/>
  <c r="F19" i="7"/>
  <c r="I19" i="7" s="1"/>
  <c r="H468" i="7"/>
  <c r="Z468" i="7" s="1"/>
  <c r="T303" i="7"/>
  <c r="F303" i="7"/>
  <c r="I303" i="7" s="1"/>
  <c r="G303" i="7"/>
  <c r="T682" i="7"/>
  <c r="T669" i="7"/>
  <c r="T262" i="7"/>
  <c r="F262" i="7"/>
  <c r="I262" i="7" s="1"/>
  <c r="T175" i="7"/>
  <c r="T290" i="7"/>
  <c r="F290" i="7"/>
  <c r="I290" i="7" s="1"/>
  <c r="T434" i="7"/>
  <c r="F250" i="7"/>
  <c r="I250" i="7" s="1"/>
  <c r="T250" i="7"/>
  <c r="F370" i="7"/>
  <c r="I370" i="7" s="1"/>
  <c r="T370" i="7"/>
  <c r="F138" i="7"/>
  <c r="H122" i="7"/>
  <c r="Z122" i="7" s="1"/>
  <c r="T98" i="7"/>
  <c r="F98" i="7"/>
  <c r="I98" i="7" s="1"/>
  <c r="L118" i="7"/>
  <c r="M118" i="7" s="1"/>
  <c r="L91" i="7"/>
  <c r="M91" i="7" s="1"/>
  <c r="F532" i="7"/>
  <c r="I532" i="7" s="1"/>
  <c r="T532" i="7"/>
  <c r="L55" i="7"/>
  <c r="M55" i="7" s="1"/>
  <c r="F70" i="7"/>
  <c r="H1099" i="7"/>
  <c r="Z1099" i="7" s="1"/>
  <c r="L278" i="7"/>
  <c r="M278" i="7" s="1"/>
  <c r="T491" i="7"/>
  <c r="T62" i="7"/>
  <c r="L113" i="7"/>
  <c r="M113" i="7" s="1"/>
  <c r="Z555" i="7"/>
  <c r="T555" i="7"/>
  <c r="F531" i="7"/>
  <c r="I531" i="7" s="1"/>
  <c r="T531" i="7"/>
  <c r="T945" i="7"/>
  <c r="F945" i="7"/>
  <c r="I945" i="7" s="1"/>
  <c r="T180" i="7"/>
  <c r="Z76" i="7"/>
  <c r="T822" i="7"/>
  <c r="F822" i="7"/>
  <c r="I822" i="7" s="1"/>
  <c r="T266" i="7"/>
  <c r="F266" i="7"/>
  <c r="I266" i="7" s="1"/>
  <c r="F1134" i="7"/>
  <c r="I1134" i="7" s="1"/>
  <c r="G1134" i="7"/>
  <c r="Z592" i="7"/>
  <c r="T592" i="7"/>
  <c r="T777" i="7"/>
  <c r="F777" i="7"/>
  <c r="I777" i="7" s="1"/>
  <c r="T202" i="7"/>
  <c r="F122" i="7"/>
  <c r="G122" i="7"/>
  <c r="T122" i="7"/>
  <c r="L749" i="7"/>
  <c r="M749" i="7" s="1"/>
  <c r="L127" i="7"/>
  <c r="M127" i="7" s="1"/>
  <c r="E127" i="7"/>
  <c r="G1076" i="7"/>
  <c r="T857" i="7"/>
  <c r="Z857" i="7"/>
  <c r="L79" i="7"/>
  <c r="M79" i="7" s="1"/>
  <c r="F449" i="7"/>
  <c r="I449" i="7" s="1"/>
  <c r="T332" i="7"/>
  <c r="G1104" i="7"/>
  <c r="T67" i="7"/>
  <c r="F543" i="7"/>
  <c r="I543" i="7" s="1"/>
  <c r="F668" i="7"/>
  <c r="I668" i="7" s="1"/>
  <c r="F660" i="7"/>
  <c r="I660" i="7" s="1"/>
  <c r="Z660" i="7"/>
  <c r="F1090" i="7"/>
  <c r="G1090" i="7"/>
  <c r="H1090" i="7"/>
  <c r="Z1090" i="7" s="1"/>
  <c r="T766" i="7"/>
  <c r="T763" i="7"/>
  <c r="H1149" i="7"/>
  <c r="Z1149" i="7" s="1"/>
  <c r="T1149" i="7"/>
  <c r="G1149" i="7"/>
  <c r="F653" i="7"/>
  <c r="I653" i="7" s="1"/>
  <c r="T653" i="7"/>
  <c r="G653" i="7"/>
  <c r="H478" i="7"/>
  <c r="Z478" i="7" s="1"/>
  <c r="F478" i="7"/>
  <c r="I478" i="7" s="1"/>
  <c r="T478" i="7"/>
  <c r="G478" i="7"/>
  <c r="F783" i="7"/>
  <c r="I783" i="7" s="1"/>
  <c r="T783" i="7"/>
  <c r="H253" i="7"/>
  <c r="Z253" i="7" s="1"/>
  <c r="T253" i="7"/>
  <c r="F254" i="7"/>
  <c r="I254" i="7" s="1"/>
  <c r="T254" i="7"/>
  <c r="T115" i="7"/>
  <c r="F506" i="7"/>
  <c r="I506" i="7" s="1"/>
  <c r="T506" i="7"/>
  <c r="T909" i="7"/>
  <c r="F909" i="7"/>
  <c r="I909" i="7" s="1"/>
  <c r="F253" i="7"/>
  <c r="I253" i="7" s="1"/>
  <c r="F1103" i="7"/>
  <c r="I1103" i="7" s="1"/>
  <c r="H1103" i="7"/>
  <c r="Z1103" i="7" s="1"/>
  <c r="T1103" i="7"/>
  <c r="G1103" i="7"/>
  <c r="T17" i="7"/>
  <c r="Z17" i="7"/>
  <c r="F332" i="7"/>
  <c r="I332" i="7" s="1"/>
  <c r="T144" i="7"/>
  <c r="F144" i="7"/>
  <c r="T310" i="7"/>
  <c r="T201" i="7"/>
  <c r="H201" i="7"/>
  <c r="Z201" i="7" s="1"/>
  <c r="G201" i="7"/>
  <c r="L161" i="7"/>
  <c r="M161" i="7" s="1"/>
  <c r="F857" i="7"/>
  <c r="I857" i="7" s="1"/>
  <c r="L41" i="7"/>
  <c r="M41" i="7" s="1"/>
  <c r="H668" i="7"/>
  <c r="Z668" i="7" s="1"/>
  <c r="T232" i="7"/>
  <c r="L99" i="7"/>
  <c r="M99" i="7" s="1"/>
  <c r="L693" i="7"/>
  <c r="M693" i="7" s="1"/>
  <c r="T1079" i="7"/>
  <c r="T1033" i="7"/>
  <c r="Z1033" i="7"/>
  <c r="Z805" i="7"/>
  <c r="Z979" i="7"/>
  <c r="G558" i="7"/>
  <c r="F991" i="7"/>
  <c r="I991" i="7" s="1"/>
  <c r="Z1009" i="7"/>
  <c r="T1009" i="7"/>
  <c r="F1009" i="7"/>
  <c r="I1009" i="7" s="1"/>
  <c r="T284" i="7"/>
  <c r="F284" i="7"/>
  <c r="I284" i="7" s="1"/>
  <c r="G1111" i="7"/>
  <c r="T1163" i="7"/>
  <c r="G1163" i="7"/>
  <c r="H1163" i="7"/>
  <c r="Z1163" i="7" s="1"/>
  <c r="F473" i="7"/>
  <c r="I473" i="7" s="1"/>
  <c r="T473" i="7"/>
  <c r="G473" i="7"/>
  <c r="H473" i="7"/>
  <c r="Z473" i="7" s="1"/>
  <c r="T636" i="7"/>
  <c r="F1081" i="7"/>
  <c r="H1081" i="7"/>
  <c r="Z1081" i="7" s="1"/>
  <c r="T1081" i="7"/>
  <c r="T274" i="7"/>
  <c r="T1024" i="7"/>
  <c r="F404" i="7"/>
  <c r="I404" i="7" s="1"/>
  <c r="T404" i="7"/>
  <c r="T1064" i="7"/>
  <c r="F1064" i="7"/>
  <c r="I1064" i="7" s="1"/>
  <c r="F187" i="7"/>
  <c r="I187" i="7" s="1"/>
  <c r="T187" i="7"/>
  <c r="F1164" i="7"/>
  <c r="I1164" i="7" s="1"/>
  <c r="H1164" i="7"/>
  <c r="Z1164" i="7" s="1"/>
  <c r="L24" i="7"/>
  <c r="M24" i="7" s="1"/>
  <c r="T987" i="7"/>
  <c r="F257" i="7"/>
  <c r="I257" i="7" s="1"/>
  <c r="F686" i="7"/>
  <c r="I686" i="7" s="1"/>
  <c r="H1076" i="7"/>
  <c r="Z1076" i="7" s="1"/>
  <c r="F593" i="7"/>
  <c r="I593" i="7" s="1"/>
  <c r="H593" i="7"/>
  <c r="Z593" i="7" s="1"/>
  <c r="T593" i="7"/>
  <c r="G1085" i="7"/>
  <c r="L105" i="7"/>
  <c r="M105" i="7" s="1"/>
  <c r="T965" i="7"/>
  <c r="F1061" i="7"/>
  <c r="I1061" i="7" s="1"/>
  <c r="T1061" i="7"/>
  <c r="F1122" i="7"/>
  <c r="I1122" i="7" s="1"/>
  <c r="J598" i="7"/>
  <c r="L598" i="7"/>
  <c r="M598" i="7" s="1"/>
  <c r="L37" i="7"/>
  <c r="M37" i="7" s="1"/>
  <c r="L81" i="7"/>
  <c r="M81" i="7" s="1"/>
  <c r="F232" i="7"/>
  <c r="I232" i="7" s="1"/>
  <c r="L32" i="7"/>
  <c r="M32" i="7" s="1"/>
  <c r="T577" i="7"/>
  <c r="T279" i="7"/>
  <c r="T1037" i="7"/>
  <c r="Z1037" i="7"/>
  <c r="T839" i="7"/>
  <c r="T30" i="7"/>
  <c r="F1088" i="7"/>
  <c r="F810" i="7"/>
  <c r="I810" i="7" s="1"/>
  <c r="T810" i="7"/>
  <c r="F246" i="7"/>
  <c r="I246" i="7" s="1"/>
  <c r="T514" i="7"/>
  <c r="T589" i="7"/>
  <c r="T654" i="7"/>
  <c r="F654" i="7"/>
  <c r="I654" i="7" s="1"/>
  <c r="Z654" i="7"/>
  <c r="T791" i="7"/>
  <c r="F791" i="7"/>
  <c r="I791" i="7" s="1"/>
  <c r="T196" i="7"/>
  <c r="H196" i="7"/>
  <c r="Z196" i="7" s="1"/>
  <c r="F196" i="7"/>
  <c r="I196" i="7" s="1"/>
  <c r="G196" i="7"/>
  <c r="F207" i="7"/>
  <c r="I207" i="7" s="1"/>
  <c r="T207" i="7"/>
  <c r="T16" i="7"/>
  <c r="F16" i="7"/>
  <c r="I16" i="7" s="1"/>
  <c r="T595" i="7"/>
  <c r="F595" i="7"/>
  <c r="I595" i="7" s="1"/>
  <c r="T386" i="7"/>
  <c r="F386" i="7"/>
  <c r="I386" i="7" s="1"/>
  <c r="T301" i="7"/>
  <c r="F514" i="7"/>
  <c r="I514" i="7" s="1"/>
  <c r="G65" i="7"/>
  <c r="F282" i="7"/>
  <c r="I282" i="7" s="1"/>
  <c r="T282" i="7"/>
  <c r="T305" i="7"/>
  <c r="F305" i="7"/>
  <c r="I305" i="7" s="1"/>
  <c r="F1114" i="7"/>
  <c r="I1114" i="7" s="1"/>
  <c r="H1114" i="7"/>
  <c r="Z1114" i="7" s="1"/>
  <c r="T1114" i="7"/>
  <c r="L308" i="7"/>
  <c r="M308" i="7" s="1"/>
  <c r="H65" i="7"/>
  <c r="Z65" i="7" s="1"/>
  <c r="F201" i="7"/>
  <c r="I201" i="7" s="1"/>
  <c r="H1142" i="7"/>
  <c r="Z1142" i="7" s="1"/>
  <c r="T1142" i="7"/>
  <c r="T1135" i="7"/>
  <c r="G1135" i="7"/>
  <c r="F709" i="7"/>
  <c r="T709" i="7"/>
  <c r="Z709" i="7"/>
  <c r="T659" i="7"/>
  <c r="F353" i="7"/>
  <c r="I353" i="7" s="1"/>
  <c r="G353" i="7"/>
  <c r="T455" i="7"/>
  <c r="T806" i="7"/>
  <c r="F806" i="7"/>
  <c r="I806" i="7" s="1"/>
  <c r="F701" i="7"/>
  <c r="I701" i="7" s="1"/>
  <c r="T701" i="7"/>
  <c r="T1032" i="7"/>
  <c r="F1032" i="7"/>
  <c r="I1032" i="7" s="1"/>
  <c r="F64" i="7"/>
  <c r="T392" i="7"/>
  <c r="Z392" i="7"/>
  <c r="T999" i="7"/>
  <c r="T185" i="7"/>
  <c r="T1004" i="7"/>
  <c r="T526" i="7"/>
  <c r="T963" i="7"/>
  <c r="F963" i="7"/>
  <c r="I963" i="7" s="1"/>
  <c r="T134" i="7"/>
  <c r="F134" i="7"/>
  <c r="I134" i="7" s="1"/>
  <c r="T167" i="7"/>
  <c r="T574" i="7"/>
  <c r="L88" i="7"/>
  <c r="M88" i="7" s="1"/>
  <c r="Z379" i="7"/>
  <c r="L673" i="7"/>
  <c r="M673" i="7" s="1"/>
  <c r="L323" i="7"/>
  <c r="M323" i="7" s="1"/>
  <c r="F1149" i="7"/>
  <c r="I1149" i="7" s="1"/>
  <c r="Z916" i="7"/>
  <c r="T186" i="7"/>
  <c r="H186" i="7"/>
  <c r="Z186" i="7" s="1"/>
  <c r="G186" i="7"/>
  <c r="F186" i="7"/>
  <c r="I186" i="7" s="1"/>
  <c r="F210" i="7"/>
  <c r="I210" i="7" s="1"/>
  <c r="T210" i="7"/>
  <c r="Z405" i="7"/>
  <c r="T405" i="7"/>
  <c r="F405" i="7"/>
  <c r="I405" i="7" s="1"/>
  <c r="F1083" i="7"/>
  <c r="E1083" i="7"/>
  <c r="F581" i="7"/>
  <c r="I581" i="7" s="1"/>
  <c r="T990" i="7"/>
  <c r="F990" i="7"/>
  <c r="I990" i="7" s="1"/>
  <c r="T246" i="7"/>
  <c r="T465" i="7"/>
  <c r="T618" i="7"/>
  <c r="H618" i="7"/>
  <c r="Z618" i="7" s="1"/>
  <c r="F618" i="7"/>
  <c r="I618" i="7" s="1"/>
  <c r="G618" i="7"/>
  <c r="T758" i="7"/>
  <c r="F758" i="7"/>
  <c r="I758" i="7" s="1"/>
  <c r="T1073" i="7"/>
  <c r="F1073" i="7"/>
  <c r="G1073" i="7"/>
  <c r="F42" i="7"/>
  <c r="I42" i="7" s="1"/>
  <c r="T42" i="7"/>
  <c r="L62" i="7"/>
  <c r="M62" i="7" s="1"/>
  <c r="L688" i="7"/>
  <c r="M688" i="7" s="1"/>
  <c r="L12" i="7"/>
  <c r="M12" i="7" s="1"/>
  <c r="G1114" i="7"/>
  <c r="L60" i="7"/>
  <c r="M60" i="7" s="1"/>
  <c r="Z70" i="7"/>
  <c r="F599" i="7"/>
  <c r="I599" i="7" s="1"/>
  <c r="H1085" i="7"/>
  <c r="Z1085" i="7" s="1"/>
  <c r="F310" i="7"/>
  <c r="I310" i="7" s="1"/>
  <c r="T509" i="7"/>
  <c r="F509" i="7"/>
  <c r="I509" i="7" s="1"/>
  <c r="F780" i="7"/>
  <c r="I780" i="7" s="1"/>
  <c r="F143" i="7"/>
  <c r="T826" i="7"/>
  <c r="F826" i="7"/>
  <c r="I826" i="7" s="1"/>
  <c r="F119" i="7"/>
  <c r="I119" i="7" s="1"/>
  <c r="T119" i="7"/>
  <c r="F674" i="7"/>
  <c r="I674" i="7" s="1"/>
  <c r="T674" i="7"/>
  <c r="G253" i="7"/>
  <c r="F837" i="7"/>
  <c r="I837" i="7" s="1"/>
  <c r="T837" i="7"/>
  <c r="L65" i="7"/>
  <c r="M65" i="7" s="1"/>
  <c r="L13" i="7"/>
  <c r="M13" i="7" s="1"/>
  <c r="F445" i="7"/>
  <c r="I445" i="7" s="1"/>
  <c r="T445" i="7"/>
  <c r="T966" i="7"/>
  <c r="F888" i="7"/>
  <c r="I888" i="7" s="1"/>
  <c r="T436" i="7"/>
  <c r="T993" i="7"/>
  <c r="F993" i="7"/>
  <c r="I993" i="7" s="1"/>
  <c r="F115" i="7"/>
  <c r="I115" i="7" s="1"/>
  <c r="T79" i="7"/>
  <c r="F69" i="7"/>
  <c r="L43" i="7"/>
  <c r="M43" i="7" s="1"/>
  <c r="L573" i="7"/>
  <c r="M573" i="7" s="1"/>
  <c r="L103" i="7"/>
  <c r="M103" i="7" s="1"/>
  <c r="T384" i="7"/>
  <c r="T686" i="7"/>
  <c r="G593" i="7"/>
  <c r="F1085" i="7"/>
  <c r="L298" i="7"/>
  <c r="M298" i="7" s="1"/>
  <c r="Z599" i="7"/>
  <c r="E1085" i="7"/>
  <c r="F766" i="7"/>
  <c r="I766" i="7" s="1"/>
  <c r="T65" i="7"/>
  <c r="L52" i="7"/>
  <c r="M52" i="7" s="1"/>
  <c r="T774" i="7"/>
  <c r="F691" i="7"/>
  <c r="I691" i="7" s="1"/>
  <c r="T608" i="7"/>
  <c r="T329" i="7"/>
  <c r="F794" i="7"/>
  <c r="I794" i="7" s="1"/>
  <c r="F863" i="7"/>
  <c r="I863" i="7" s="1"/>
  <c r="T863" i="7"/>
  <c r="Z863" i="7"/>
  <c r="L403" i="7"/>
  <c r="M403" i="7" s="1"/>
  <c r="L117" i="7"/>
  <c r="M117" i="7" s="1"/>
  <c r="L288" i="7"/>
  <c r="M288" i="7" s="1"/>
  <c r="F222" i="7"/>
  <c r="I222" i="7" s="1"/>
  <c r="T989" i="7"/>
  <c r="L73" i="7"/>
  <c r="M73" i="7" s="1"/>
  <c r="L106" i="7"/>
  <c r="M106" i="7" s="1"/>
  <c r="T222" i="7"/>
  <c r="F1044" i="7"/>
  <c r="I1044" i="7" s="1"/>
  <c r="T605" i="7"/>
  <c r="L82" i="7"/>
  <c r="M82" i="7" s="1"/>
  <c r="L75" i="7"/>
  <c r="M75" i="7" s="1"/>
  <c r="H1162" i="7"/>
  <c r="Z1162" i="7" s="1"/>
  <c r="F641" i="7"/>
  <c r="I641" i="7" s="1"/>
  <c r="F319" i="7"/>
  <c r="I319" i="7" s="1"/>
  <c r="F104" i="7"/>
  <c r="I104" i="7" s="1"/>
  <c r="F989" i="7"/>
  <c r="I989" i="7" s="1"/>
  <c r="L263" i="7"/>
  <c r="M263" i="7" s="1"/>
  <c r="L14" i="7"/>
  <c r="M14" i="7" s="1"/>
  <c r="T157" i="7"/>
  <c r="Z961" i="7"/>
  <c r="T961" i="7"/>
  <c r="T124" i="7"/>
  <c r="F124" i="7"/>
  <c r="F135" i="7"/>
  <c r="T54" i="7"/>
  <c r="F54" i="7"/>
  <c r="I54" i="7" s="1"/>
  <c r="T715" i="7"/>
  <c r="L448" i="7"/>
  <c r="M448" i="7" s="1"/>
  <c r="T192" i="7"/>
  <c r="F192" i="7"/>
  <c r="I192" i="7" s="1"/>
  <c r="T830" i="7"/>
  <c r="T22" i="7"/>
  <c r="F22" i="7"/>
  <c r="I22" i="7" s="1"/>
  <c r="L719" i="7"/>
  <c r="M719" i="7" s="1"/>
  <c r="T243" i="7"/>
  <c r="T85" i="7"/>
  <c r="F85" i="7"/>
  <c r="I85" i="7" s="1"/>
  <c r="L108" i="7"/>
  <c r="M108" i="7" s="1"/>
  <c r="L8" i="7"/>
  <c r="M8" i="7" s="1"/>
  <c r="L218" i="7"/>
  <c r="M218" i="7" s="1"/>
  <c r="T851" i="7"/>
  <c r="F851" i="7"/>
  <c r="I851" i="7" s="1"/>
  <c r="T559" i="7"/>
  <c r="L523" i="7"/>
  <c r="M523" i="7" s="1"/>
  <c r="L223" i="7"/>
  <c r="M223" i="7" s="1"/>
  <c r="L166" i="7"/>
  <c r="M166" i="7" s="1"/>
  <c r="L683" i="7"/>
  <c r="M683" i="7" s="1"/>
  <c r="L658" i="7"/>
  <c r="M658" i="7" s="1"/>
  <c r="L36" i="7"/>
  <c r="M36" i="7" s="1"/>
  <c r="T767" i="7"/>
  <c r="T1041" i="7"/>
  <c r="T225" i="7"/>
  <c r="T84" i="7"/>
  <c r="T884" i="7"/>
  <c r="F884" i="7"/>
  <c r="I884" i="7" s="1"/>
  <c r="F1041" i="7"/>
  <c r="I1041" i="7" s="1"/>
  <c r="L268" i="7"/>
  <c r="M268" i="7" s="1"/>
  <c r="H1158" i="7"/>
  <c r="Z1158" i="7" s="1"/>
  <c r="G1158" i="7"/>
  <c r="T105" i="7"/>
  <c r="Z600" i="7"/>
  <c r="T962" i="7"/>
  <c r="H243" i="7"/>
  <c r="Z243" i="7" s="1"/>
  <c r="L707" i="7"/>
  <c r="M707" i="7" s="1"/>
  <c r="L84" i="7"/>
  <c r="M84" i="7" s="1"/>
  <c r="L78" i="7"/>
  <c r="M78" i="7" s="1"/>
  <c r="T1145" i="7"/>
  <c r="T1119" i="7"/>
  <c r="F1119" i="7"/>
  <c r="I1119" i="7" s="1"/>
  <c r="T1159" i="7"/>
  <c r="F1159" i="7"/>
  <c r="I1159" i="7" s="1"/>
  <c r="L74" i="7"/>
  <c r="M74" i="7" s="1"/>
  <c r="L39" i="7"/>
  <c r="M39" i="7" s="1"/>
  <c r="L313" i="7"/>
  <c r="M313" i="7" s="1"/>
  <c r="L34" i="7"/>
  <c r="M34" i="7" s="1"/>
  <c r="F1014" i="7"/>
  <c r="I1014" i="7" s="1"/>
  <c r="F234" i="7"/>
  <c r="I234" i="7" s="1"/>
  <c r="T178" i="7"/>
  <c r="F178" i="7"/>
  <c r="I178" i="7" s="1"/>
  <c r="T350" i="7"/>
  <c r="F1166" i="7"/>
  <c r="I1166" i="7" s="1"/>
  <c r="T1166" i="7"/>
  <c r="G1166" i="7"/>
  <c r="H1166" i="7"/>
  <c r="Z1166" i="7" s="1"/>
  <c r="T624" i="7"/>
  <c r="F624" i="7"/>
  <c r="I624" i="7" s="1"/>
  <c r="T204" i="7"/>
  <c r="F204" i="7"/>
  <c r="I204" i="7" s="1"/>
  <c r="T450" i="7"/>
  <c r="Z450" i="7"/>
  <c r="F450" i="7"/>
  <c r="I450" i="7" s="1"/>
  <c r="H1077" i="7"/>
  <c r="Z1077" i="7" s="1"/>
  <c r="G1077" i="7"/>
  <c r="F1077" i="7"/>
  <c r="T40" i="7"/>
  <c r="T164" i="7"/>
  <c r="T293" i="7"/>
  <c r="G293" i="7"/>
  <c r="F293" i="7"/>
  <c r="I293" i="7" s="1"/>
  <c r="H293" i="7"/>
  <c r="Z293" i="7" s="1"/>
  <c r="T86" i="7"/>
  <c r="F66" i="7"/>
  <c r="T622" i="7"/>
  <c r="F622" i="7"/>
  <c r="I622" i="7" s="1"/>
  <c r="Z314" i="7"/>
  <c r="T314" i="7"/>
  <c r="F314" i="7"/>
  <c r="I314" i="7" s="1"/>
  <c r="T443" i="7"/>
  <c r="G443" i="7"/>
  <c r="H443" i="7"/>
  <c r="Z443" i="7" s="1"/>
  <c r="F443" i="7"/>
  <c r="I443" i="7" s="1"/>
  <c r="T10" i="7"/>
  <c r="F10" i="7"/>
  <c r="I10" i="7" s="1"/>
  <c r="Z10" i="7"/>
  <c r="F874" i="7"/>
  <c r="I874" i="7" s="1"/>
  <c r="T874" i="7"/>
  <c r="H1177" i="7"/>
  <c r="Z1177" i="7" s="1"/>
  <c r="T1177" i="7"/>
  <c r="G1177" i="7"/>
  <c r="F1177" i="7"/>
  <c r="T1133" i="7"/>
  <c r="F1133" i="7"/>
  <c r="I1133" i="7" s="1"/>
  <c r="H1133" i="7"/>
  <c r="Z1133" i="7" s="1"/>
  <c r="G1133" i="7"/>
  <c r="T146" i="7"/>
  <c r="F146" i="7"/>
  <c r="F95" i="7"/>
  <c r="I95" i="7" s="1"/>
  <c r="T95" i="7"/>
  <c r="T978" i="7"/>
  <c r="F978" i="7"/>
  <c r="I978" i="7" s="1"/>
  <c r="T1060" i="7"/>
  <c r="F1060" i="7"/>
  <c r="I1060" i="7" s="1"/>
  <c r="Z1060" i="7"/>
  <c r="T699" i="7"/>
  <c r="F699" i="7"/>
  <c r="I699" i="7" s="1"/>
  <c r="H1124" i="7"/>
  <c r="Z1124" i="7" s="1"/>
  <c r="G1124" i="7"/>
  <c r="T1124" i="7"/>
  <c r="T140" i="7"/>
  <c r="F140" i="7"/>
  <c r="T735" i="7"/>
  <c r="F735" i="7"/>
  <c r="I735" i="7" s="1"/>
  <c r="H398" i="7"/>
  <c r="Z398" i="7" s="1"/>
  <c r="F398" i="7"/>
  <c r="I398" i="7" s="1"/>
  <c r="G398" i="7"/>
  <c r="T398" i="7"/>
  <c r="T1039" i="7"/>
  <c r="F1039" i="7"/>
  <c r="I1039" i="7" s="1"/>
  <c r="T1025" i="7"/>
  <c r="F1025" i="7"/>
  <c r="I1025" i="7" s="1"/>
  <c r="T466" i="7"/>
  <c r="F466" i="7"/>
  <c r="I466" i="7" s="1"/>
  <c r="T976" i="7"/>
  <c r="F976" i="7"/>
  <c r="I976" i="7" s="1"/>
  <c r="T646" i="7"/>
  <c r="F646" i="7"/>
  <c r="I646" i="7" s="1"/>
  <c r="F525" i="7"/>
  <c r="I525" i="7" s="1"/>
  <c r="T525" i="7"/>
  <c r="T541" i="7"/>
  <c r="F541" i="7"/>
  <c r="I541" i="7" s="1"/>
  <c r="Z541" i="7"/>
  <c r="T924" i="7"/>
  <c r="F924" i="7"/>
  <c r="I924" i="7" s="1"/>
  <c r="T731" i="7"/>
  <c r="T417" i="7"/>
  <c r="F417" i="7"/>
  <c r="I417" i="7" s="1"/>
  <c r="T1022" i="7"/>
  <c r="F1022" i="7"/>
  <c r="I1022" i="7" s="1"/>
  <c r="H1174" i="7"/>
  <c r="Z1174" i="7" s="1"/>
  <c r="F1174" i="7"/>
  <c r="T1174" i="7"/>
  <c r="G1174" i="7"/>
  <c r="F7" i="7"/>
  <c r="I7" i="7" s="1"/>
  <c r="T7" i="7"/>
  <c r="T1030" i="7"/>
  <c r="F1030" i="7"/>
  <c r="I1030" i="7" s="1"/>
  <c r="T1115" i="7"/>
  <c r="F1115" i="7"/>
  <c r="I1115" i="7" s="1"/>
  <c r="G1115" i="7"/>
  <c r="H1115" i="7"/>
  <c r="Z1115" i="7" s="1"/>
  <c r="T964" i="7"/>
  <c r="T645" i="7"/>
  <c r="F645" i="7"/>
  <c r="I645" i="7" s="1"/>
  <c r="T568" i="7"/>
  <c r="F568" i="7"/>
  <c r="I568" i="7" s="1"/>
  <c r="H568" i="7"/>
  <c r="Z568" i="7" s="1"/>
  <c r="G568" i="7"/>
  <c r="T912" i="7"/>
  <c r="F912" i="7"/>
  <c r="I912" i="7" s="1"/>
  <c r="Z644" i="7"/>
  <c r="T644" i="7"/>
  <c r="F644" i="7"/>
  <c r="I644" i="7" s="1"/>
  <c r="T152" i="7"/>
  <c r="F152" i="7"/>
  <c r="I152" i="7" s="1"/>
  <c r="H538" i="7"/>
  <c r="Z538" i="7" s="1"/>
  <c r="T538" i="7"/>
  <c r="G538" i="7"/>
  <c r="F538" i="7"/>
  <c r="I538" i="7" s="1"/>
  <c r="T1167" i="7"/>
  <c r="H1167" i="7"/>
  <c r="Z1167" i="7" s="1"/>
  <c r="G1167" i="7"/>
  <c r="F1167" i="7"/>
  <c r="I1167" i="7" s="1"/>
  <c r="F788" i="7"/>
  <c r="I788" i="7" s="1"/>
  <c r="T788" i="7"/>
  <c r="Z788" i="7"/>
  <c r="T621" i="7"/>
  <c r="F621" i="7"/>
  <c r="I621" i="7" s="1"/>
  <c r="H151" i="7"/>
  <c r="Z151" i="7" s="1"/>
  <c r="F151" i="7"/>
  <c r="G151" i="7"/>
  <c r="F820" i="7"/>
  <c r="I820" i="7" s="1"/>
  <c r="T820" i="7"/>
  <c r="T710" i="7"/>
  <c r="F710" i="7"/>
  <c r="I710" i="7" s="1"/>
  <c r="T1046" i="7"/>
  <c r="Z1046" i="7"/>
  <c r="F1046" i="7"/>
  <c r="I1046" i="7" s="1"/>
  <c r="Z852" i="7"/>
  <c r="T852" i="7"/>
  <c r="F852" i="7"/>
  <c r="I852" i="7" s="1"/>
  <c r="T643" i="7"/>
  <c r="F643" i="7"/>
  <c r="I643" i="7" s="1"/>
  <c r="H643" i="7"/>
  <c r="Z643" i="7" s="1"/>
  <c r="G643" i="7"/>
  <c r="T1113" i="7"/>
  <c r="H1113" i="7"/>
  <c r="Z1113" i="7" s="1"/>
  <c r="G1113" i="7"/>
  <c r="F1113" i="7"/>
  <c r="I1113" i="7" s="1"/>
  <c r="T567" i="7"/>
  <c r="F567" i="7"/>
  <c r="I567" i="7" s="1"/>
  <c r="T1013" i="7"/>
  <c r="F1013" i="7"/>
  <c r="I1013" i="7" s="1"/>
  <c r="T503" i="7"/>
  <c r="H503" i="7"/>
  <c r="Z503" i="7" s="1"/>
  <c r="G503" i="7"/>
  <c r="T35" i="7"/>
  <c r="T952" i="7"/>
  <c r="F952" i="7"/>
  <c r="I952" i="7" s="1"/>
  <c r="Z952" i="7"/>
  <c r="T168" i="7"/>
  <c r="F168" i="7"/>
  <c r="I168" i="7" s="1"/>
  <c r="T879" i="7"/>
  <c r="Z879" i="7"/>
  <c r="F813" i="7"/>
  <c r="I813" i="7" s="1"/>
  <c r="T844" i="7"/>
  <c r="F844" i="7"/>
  <c r="I844" i="7" s="1"/>
  <c r="T309" i="7"/>
  <c r="F309" i="7"/>
  <c r="I309" i="7" s="1"/>
  <c r="T1130" i="7"/>
  <c r="F1130" i="7"/>
  <c r="I1130" i="7" s="1"/>
  <c r="H1130" i="7"/>
  <c r="Z1130" i="7" s="1"/>
  <c r="G1130" i="7"/>
  <c r="F879" i="7"/>
  <c r="I879" i="7" s="1"/>
  <c r="Z813" i="7"/>
  <c r="T66" i="7"/>
  <c r="T734" i="7"/>
  <c r="F734" i="7"/>
  <c r="I734" i="7" s="1"/>
  <c r="H734" i="7"/>
  <c r="Z734" i="7" s="1"/>
  <c r="G734" i="7"/>
  <c r="T44" i="7"/>
  <c r="F44" i="7"/>
  <c r="I44" i="7" s="1"/>
  <c r="Z44" i="7"/>
  <c r="T413" i="7"/>
  <c r="G413" i="7"/>
  <c r="H413" i="7"/>
  <c r="Z413" i="7" s="1"/>
  <c r="F413" i="7"/>
  <c r="I413" i="7" s="1"/>
  <c r="F1006" i="7"/>
  <c r="I1006" i="7" s="1"/>
  <c r="T1006" i="7"/>
  <c r="T369" i="7"/>
  <c r="F369" i="7"/>
  <c r="I369" i="7" s="1"/>
  <c r="Z369" i="7"/>
  <c r="F704" i="7"/>
  <c r="T704" i="7"/>
  <c r="F1047" i="7"/>
  <c r="I1047" i="7" s="1"/>
  <c r="T1047" i="7"/>
  <c r="T249" i="7"/>
  <c r="F249" i="7"/>
  <c r="I249" i="7" s="1"/>
  <c r="T616" i="7"/>
  <c r="F616" i="7"/>
  <c r="I616" i="7" s="1"/>
  <c r="T614" i="7"/>
  <c r="F614" i="7"/>
  <c r="I614" i="7" s="1"/>
  <c r="Z614" i="7"/>
  <c r="F665" i="7"/>
  <c r="I665" i="7" s="1"/>
  <c r="T539" i="7"/>
  <c r="Z896" i="7"/>
  <c r="F343" i="7"/>
  <c r="I343" i="7" s="1"/>
  <c r="T343" i="7"/>
  <c r="G343" i="7"/>
  <c r="H343" i="7"/>
  <c r="Z343" i="7" s="1"/>
  <c r="F164" i="7"/>
  <c r="I164" i="7" s="1"/>
  <c r="F1071" i="7"/>
  <c r="T1071" i="7"/>
  <c r="F714" i="7"/>
  <c r="I714" i="7" s="1"/>
  <c r="T656" i="7"/>
  <c r="F656" i="7"/>
  <c r="I656" i="7" s="1"/>
  <c r="F126" i="7"/>
  <c r="Z126" i="7"/>
  <c r="T720" i="7"/>
  <c r="F720" i="7"/>
  <c r="I720" i="7" s="1"/>
  <c r="F731" i="7"/>
  <c r="I731" i="7" s="1"/>
  <c r="T463" i="7"/>
  <c r="H463" i="7"/>
  <c r="Z463" i="7" s="1"/>
  <c r="G463" i="7"/>
  <c r="F463" i="7"/>
  <c r="I463" i="7" s="1"/>
  <c r="F1109" i="7"/>
  <c r="I1109" i="7" s="1"/>
  <c r="H1109" i="7"/>
  <c r="Z1109" i="7" s="1"/>
  <c r="T652" i="7"/>
  <c r="F652" i="7"/>
  <c r="I652" i="7" s="1"/>
  <c r="Z611" i="7"/>
  <c r="T239" i="7"/>
  <c r="F239" i="7"/>
  <c r="I239" i="7" s="1"/>
  <c r="T934" i="7"/>
  <c r="F934" i="7"/>
  <c r="I934" i="7" s="1"/>
  <c r="F40" i="7"/>
  <c r="I40" i="7" s="1"/>
  <c r="F986" i="7"/>
  <c r="I986" i="7" s="1"/>
  <c r="T986" i="7"/>
  <c r="T1108" i="7"/>
  <c r="H1108" i="7"/>
  <c r="Z1108" i="7" s="1"/>
  <c r="G1108" i="7"/>
  <c r="F1108" i="7"/>
  <c r="I1108" i="7" s="1"/>
  <c r="F883" i="7"/>
  <c r="I883" i="7" s="1"/>
  <c r="T1111" i="7"/>
  <c r="T151" i="7"/>
  <c r="T587" i="7"/>
  <c r="Z587" i="7"/>
  <c r="F1107" i="7"/>
  <c r="I1107" i="7" s="1"/>
  <c r="Z842" i="7"/>
  <c r="F842" i="7"/>
  <c r="I842" i="7" s="1"/>
  <c r="T842" i="7"/>
  <c r="F461" i="7"/>
  <c r="I461" i="7" s="1"/>
  <c r="T461" i="7"/>
  <c r="G513" i="7"/>
  <c r="T513" i="7"/>
  <c r="H513" i="7"/>
  <c r="Z513" i="7" s="1"/>
  <c r="F513" i="7"/>
  <c r="I513" i="7" s="1"/>
  <c r="F582" i="7"/>
  <c r="I582" i="7" s="1"/>
  <c r="T582" i="7"/>
  <c r="F900" i="7"/>
  <c r="I900" i="7" s="1"/>
  <c r="T900" i="7"/>
  <c r="F132" i="7"/>
  <c r="T132" i="7"/>
  <c r="H132" i="7"/>
  <c r="Z132" i="7" s="1"/>
  <c r="T703" i="7"/>
  <c r="G703" i="7"/>
  <c r="F703" i="7"/>
  <c r="I703" i="7" s="1"/>
  <c r="H483" i="7"/>
  <c r="Z483" i="7" s="1"/>
  <c r="F483" i="7"/>
  <c r="I483" i="7" s="1"/>
  <c r="G483" i="7"/>
  <c r="T483" i="7"/>
  <c r="F816" i="7"/>
  <c r="I816" i="7" s="1"/>
  <c r="Z816" i="7"/>
  <c r="T816" i="7"/>
  <c r="F938" i="7"/>
  <c r="I938" i="7" s="1"/>
  <c r="T938" i="7"/>
  <c r="T719" i="7"/>
  <c r="H719" i="7"/>
  <c r="Z719" i="7" s="1"/>
  <c r="G719" i="7"/>
  <c r="F109" i="7"/>
  <c r="I109" i="7" s="1"/>
  <c r="T109" i="7"/>
  <c r="F346" i="7"/>
  <c r="I346" i="7" s="1"/>
  <c r="T252" i="7"/>
  <c r="T12" i="7"/>
  <c r="T833" i="7"/>
  <c r="F833" i="7"/>
  <c r="I833" i="7" s="1"/>
  <c r="T346" i="7"/>
  <c r="T1019" i="7"/>
  <c r="F1019" i="7"/>
  <c r="I1019" i="7" s="1"/>
  <c r="Z77" i="7"/>
  <c r="F77" i="7"/>
  <c r="I77" i="7" s="1"/>
  <c r="T77" i="7"/>
  <c r="T214" i="7"/>
  <c r="Z214" i="7"/>
  <c r="F214" i="7"/>
  <c r="I214" i="7" s="1"/>
  <c r="G393" i="7"/>
  <c r="T393" i="7"/>
  <c r="F393" i="7"/>
  <c r="I393" i="7" s="1"/>
  <c r="H393" i="7"/>
  <c r="Z393" i="7" s="1"/>
  <c r="T48" i="7"/>
  <c r="F48" i="7"/>
  <c r="I48" i="7" s="1"/>
  <c r="T407" i="7"/>
  <c r="F407" i="7"/>
  <c r="I407" i="7" s="1"/>
  <c r="G1109" i="7"/>
  <c r="T620" i="7"/>
  <c r="T954" i="7"/>
  <c r="F954" i="7"/>
  <c r="I954" i="7" s="1"/>
  <c r="F911" i="7"/>
  <c r="I911" i="7" s="1"/>
  <c r="T911" i="7"/>
  <c r="F840" i="7"/>
  <c r="I840" i="7" s="1"/>
  <c r="T840" i="7"/>
  <c r="Z840" i="7"/>
  <c r="T611" i="7"/>
  <c r="T803" i="7"/>
  <c r="F803" i="7"/>
  <c r="I803" i="7" s="1"/>
  <c r="T627" i="7"/>
  <c r="F627" i="7"/>
  <c r="I627" i="7" s="1"/>
  <c r="F1111" i="7"/>
  <c r="I1111" i="7" s="1"/>
  <c r="H1111" i="7"/>
  <c r="Z1111" i="7" s="1"/>
  <c r="T484" i="7"/>
  <c r="T291" i="7"/>
  <c r="Z146" i="7"/>
  <c r="T1002" i="7"/>
  <c r="Z1002" i="7"/>
  <c r="F1002" i="7"/>
  <c r="I1002" i="7" s="1"/>
  <c r="T257" i="7"/>
  <c r="T1023" i="7"/>
  <c r="T449" i="7"/>
  <c r="T189" i="7"/>
  <c r="F189" i="7"/>
  <c r="I189" i="7" s="1"/>
  <c r="T1105" i="7"/>
  <c r="F1105" i="7"/>
  <c r="I1105" i="7" s="1"/>
  <c r="G1105" i="7"/>
  <c r="H1105" i="7"/>
  <c r="Z1105" i="7" s="1"/>
  <c r="T996" i="7"/>
  <c r="T738" i="7"/>
  <c r="F738" i="7"/>
  <c r="I738" i="7" s="1"/>
  <c r="Z738" i="7"/>
  <c r="T97" i="7"/>
  <c r="F97" i="7"/>
  <c r="I97" i="7" s="1"/>
  <c r="T749" i="7"/>
  <c r="H749" i="7"/>
  <c r="Z749" i="7" s="1"/>
  <c r="G749" i="7"/>
  <c r="T797" i="7"/>
  <c r="G714" i="7"/>
  <c r="F1142" i="7"/>
  <c r="I1142" i="7" s="1"/>
  <c r="G1142" i="7"/>
  <c r="T1029" i="7"/>
  <c r="F1029" i="7"/>
  <c r="I1029" i="7" s="1"/>
  <c r="T1050" i="7"/>
  <c r="F1050" i="7"/>
  <c r="I1050" i="7" s="1"/>
  <c r="T425" i="7"/>
  <c r="T534" i="7"/>
  <c r="F534" i="7"/>
  <c r="I534" i="7" s="1"/>
  <c r="T524" i="7"/>
  <c r="F524" i="7"/>
  <c r="I524" i="7" s="1"/>
  <c r="H1160" i="7"/>
  <c r="Z1160" i="7" s="1"/>
  <c r="F1160" i="7"/>
  <c r="I1160" i="7" s="1"/>
  <c r="T1160" i="7"/>
  <c r="G1160" i="7"/>
  <c r="G708" i="7"/>
  <c r="H708" i="7"/>
  <c r="Z708" i="7" s="1"/>
  <c r="T708" i="7"/>
  <c r="F150" i="7"/>
  <c r="T150" i="7"/>
  <c r="T176" i="7"/>
  <c r="G176" i="7"/>
  <c r="H176" i="7"/>
  <c r="Z176" i="7" s="1"/>
  <c r="F176" i="7"/>
  <c r="I176" i="7" s="1"/>
  <c r="T1065" i="7"/>
  <c r="F1065" i="7"/>
  <c r="I1065" i="7" s="1"/>
  <c r="F388" i="7"/>
  <c r="I388" i="7" s="1"/>
  <c r="T388" i="7"/>
  <c r="H388" i="7"/>
  <c r="Z388" i="7" s="1"/>
  <c r="G388" i="7"/>
  <c r="T183" i="7"/>
  <c r="H714" i="7"/>
  <c r="Z714" i="7" s="1"/>
  <c r="Z1089" i="7"/>
  <c r="T1089" i="7"/>
  <c r="F4" i="7"/>
  <c r="I4" i="7" s="1"/>
  <c r="Z4" i="7"/>
  <c r="T4" i="7"/>
  <c r="T508" i="7"/>
  <c r="F508" i="7"/>
  <c r="I508" i="7" s="1"/>
  <c r="H508" i="7"/>
  <c r="Z508" i="7" s="1"/>
  <c r="G508" i="7"/>
  <c r="T300" i="7"/>
  <c r="F300" i="7"/>
  <c r="I300" i="7" s="1"/>
  <c r="T691" i="7"/>
  <c r="H143" i="7"/>
  <c r="Z143" i="7" s="1"/>
  <c r="T143" i="7"/>
  <c r="G143" i="7"/>
  <c r="T946" i="7"/>
  <c r="E1084" i="7"/>
  <c r="T764" i="7"/>
  <c r="F764" i="7"/>
  <c r="I764" i="7" s="1"/>
  <c r="F769" i="7"/>
  <c r="I769" i="7" s="1"/>
  <c r="T769" i="7"/>
  <c r="T680" i="7"/>
  <c r="F680" i="7"/>
  <c r="I680" i="7" s="1"/>
  <c r="T632" i="7"/>
  <c r="T295" i="7"/>
  <c r="F295" i="7"/>
  <c r="I295" i="7" s="1"/>
  <c r="T745" i="7"/>
  <c r="Z409" i="7"/>
  <c r="T409" i="7"/>
  <c r="F409" i="7"/>
  <c r="I409" i="7" s="1"/>
  <c r="G1173" i="7"/>
  <c r="H1173" i="7"/>
  <c r="Z1173" i="7" s="1"/>
  <c r="F1173" i="7"/>
  <c r="I1173" i="7" s="1"/>
  <c r="E1079" i="7"/>
  <c r="F484" i="7"/>
  <c r="I484" i="7" s="1"/>
  <c r="T665" i="7"/>
  <c r="G1116" i="7"/>
  <c r="F1116" i="7"/>
  <c r="I1116" i="7" s="1"/>
  <c r="H1116" i="7"/>
  <c r="Z1116" i="7" s="1"/>
  <c r="T1116" i="7"/>
  <c r="T1173" i="7"/>
  <c r="T676" i="7"/>
  <c r="T536" i="7"/>
  <c r="F536" i="7"/>
  <c r="I536" i="7" s="1"/>
  <c r="T368" i="7"/>
  <c r="H368" i="7"/>
  <c r="Z368" i="7" s="1"/>
  <c r="F368" i="7"/>
  <c r="I368" i="7" s="1"/>
  <c r="G368" i="7"/>
  <c r="Z12" i="7"/>
  <c r="T968" i="7"/>
  <c r="T316" i="7"/>
  <c r="F316" i="7"/>
  <c r="I316" i="7" s="1"/>
  <c r="Z316" i="7"/>
  <c r="T361" i="7"/>
  <c r="Z361" i="7"/>
  <c r="F361" i="7"/>
  <c r="I361" i="7" s="1"/>
  <c r="T951" i="7"/>
  <c r="F951" i="7"/>
  <c r="I951" i="7" s="1"/>
  <c r="T696" i="7"/>
  <c r="Z696" i="7"/>
  <c r="F696" i="7"/>
  <c r="I696" i="7" s="1"/>
  <c r="F825" i="7"/>
  <c r="I825" i="7" s="1"/>
  <c r="T825" i="7"/>
  <c r="Z447" i="7"/>
  <c r="F447" i="7"/>
  <c r="I447" i="7" s="1"/>
  <c r="T447" i="7"/>
  <c r="T932" i="7"/>
  <c r="Z932" i="7"/>
  <c r="T1132" i="7"/>
  <c r="G1132" i="7"/>
  <c r="H1132" i="7"/>
  <c r="Z1132" i="7" s="1"/>
  <c r="F1132" i="7"/>
  <c r="I1132" i="7" s="1"/>
  <c r="Z903" i="7"/>
  <c r="F903" i="7"/>
  <c r="I903" i="7" s="1"/>
  <c r="T903" i="7"/>
  <c r="T566" i="7"/>
  <c r="F566" i="7"/>
  <c r="I566" i="7" s="1"/>
  <c r="F1075" i="7"/>
  <c r="T56" i="7"/>
  <c r="F56" i="7"/>
  <c r="I56" i="7" s="1"/>
  <c r="G128" i="7"/>
  <c r="H128" i="7"/>
  <c r="Z128" i="7" s="1"/>
  <c r="F128" i="7"/>
  <c r="T128" i="7"/>
  <c r="T543" i="7"/>
  <c r="G543" i="7"/>
  <c r="T1077" i="7"/>
  <c r="F479" i="7"/>
  <c r="I479" i="7" s="1"/>
  <c r="T479" i="7"/>
  <c r="T872" i="7"/>
  <c r="F872" i="7"/>
  <c r="I872" i="7" s="1"/>
  <c r="F823" i="7"/>
  <c r="I823" i="7" s="1"/>
  <c r="T917" i="7"/>
  <c r="F917" i="7"/>
  <c r="I917" i="7" s="1"/>
  <c r="F200" i="7"/>
  <c r="I200" i="7" s="1"/>
  <c r="T170" i="7"/>
  <c r="F170" i="7"/>
  <c r="I170" i="7" s="1"/>
  <c r="T610" i="7"/>
  <c r="Z610" i="7"/>
  <c r="F610" i="7"/>
  <c r="I610" i="7" s="1"/>
  <c r="T1053" i="7"/>
  <c r="F1053" i="7"/>
  <c r="I1053" i="7" s="1"/>
  <c r="Z665" i="7"/>
  <c r="F425" i="7"/>
  <c r="I425" i="7" s="1"/>
  <c r="T200" i="7"/>
  <c r="H61" i="7"/>
  <c r="Z61" i="7" s="1"/>
  <c r="G61" i="7"/>
  <c r="F61" i="7"/>
  <c r="F53" i="7"/>
  <c r="I53" i="7" s="1"/>
  <c r="T53" i="7"/>
  <c r="G248" i="7"/>
  <c r="T248" i="7"/>
  <c r="F248" i="7"/>
  <c r="I248" i="7" s="1"/>
  <c r="T299" i="7"/>
  <c r="F299" i="7"/>
  <c r="I299" i="7" s="1"/>
  <c r="Z299" i="7"/>
  <c r="T410" i="7"/>
  <c r="T374" i="7"/>
  <c r="T184" i="7"/>
  <c r="T125" i="7"/>
  <c r="F472" i="7"/>
  <c r="I472" i="7" s="1"/>
  <c r="F474" i="7"/>
  <c r="I474" i="7" s="1"/>
  <c r="F162" i="7"/>
  <c r="I162" i="7" s="1"/>
  <c r="T991" i="7"/>
  <c r="T1138" i="7"/>
  <c r="F1138" i="7"/>
  <c r="I1138" i="7" s="1"/>
  <c r="H1138" i="7"/>
  <c r="Z1138" i="7" s="1"/>
  <c r="T215" i="7"/>
  <c r="T148" i="7"/>
  <c r="F148" i="7"/>
  <c r="T956" i="7"/>
  <c r="Z956" i="7"/>
  <c r="F778" i="7"/>
  <c r="I778" i="7" s="1"/>
  <c r="T231" i="7"/>
  <c r="F231" i="7"/>
  <c r="I231" i="7" s="1"/>
  <c r="T431" i="7"/>
  <c r="F431" i="7"/>
  <c r="I431" i="7" s="1"/>
  <c r="T1137" i="7"/>
  <c r="F1137" i="7"/>
  <c r="I1137" i="7" s="1"/>
  <c r="T475" i="7"/>
  <c r="F475" i="7"/>
  <c r="I475" i="7" s="1"/>
  <c r="T1093" i="7"/>
  <c r="F1093" i="7"/>
  <c r="I1093" i="7" s="1"/>
  <c r="T540" i="7"/>
  <c r="F540" i="7"/>
  <c r="I540" i="7" s="1"/>
  <c r="F1110" i="7"/>
  <c r="I1110" i="7" s="1"/>
  <c r="G1110" i="7"/>
  <c r="T1110" i="7"/>
  <c r="H1110" i="7"/>
  <c r="Z1110" i="7" s="1"/>
  <c r="T862" i="7"/>
  <c r="F862" i="7"/>
  <c r="I862" i="7" s="1"/>
  <c r="Z862" i="7"/>
  <c r="F931" i="7"/>
  <c r="I931" i="7" s="1"/>
  <c r="T931" i="7"/>
  <c r="Z574" i="7"/>
  <c r="T854" i="7"/>
  <c r="F983" i="7"/>
  <c r="I983" i="7" s="1"/>
  <c r="Z983" i="7"/>
  <c r="F834" i="7"/>
  <c r="I834" i="7" s="1"/>
  <c r="T834" i="7"/>
  <c r="T835" i="7"/>
  <c r="F835" i="7"/>
  <c r="I835" i="7" s="1"/>
  <c r="Z835" i="7"/>
  <c r="G171" i="7"/>
  <c r="H171" i="7"/>
  <c r="Z171" i="7" s="1"/>
  <c r="T171" i="7"/>
  <c r="F171" i="7"/>
  <c r="I171" i="7" s="1"/>
  <c r="F1148" i="7"/>
  <c r="I1148" i="7" s="1"/>
  <c r="T1148" i="7"/>
  <c r="T154" i="7"/>
  <c r="F154" i="7"/>
  <c r="I154" i="7" s="1"/>
  <c r="T297" i="7"/>
  <c r="F297" i="7"/>
  <c r="I297" i="7" s="1"/>
  <c r="T347" i="7"/>
  <c r="F347" i="7"/>
  <c r="I347" i="7" s="1"/>
  <c r="T723" i="7"/>
  <c r="H1137" i="7"/>
  <c r="Z1137" i="7" s="1"/>
  <c r="T786" i="7"/>
  <c r="F786" i="7"/>
  <c r="I786" i="7" s="1"/>
  <c r="T728" i="7"/>
  <c r="F728" i="7"/>
  <c r="I728" i="7" s="1"/>
  <c r="T812" i="7"/>
  <c r="F812" i="7"/>
  <c r="I812" i="7" s="1"/>
  <c r="T258" i="7"/>
  <c r="H258" i="7"/>
  <c r="Z258" i="7" s="1"/>
  <c r="G258" i="7"/>
  <c r="F258" i="7"/>
  <c r="I258" i="7" s="1"/>
  <c r="F188" i="7"/>
  <c r="I188" i="7" s="1"/>
  <c r="Z188" i="7"/>
  <c r="F959" i="7"/>
  <c r="I959" i="7" s="1"/>
  <c r="Z854" i="7"/>
  <c r="T1058" i="7"/>
  <c r="F1058" i="7"/>
  <c r="I1058" i="7" s="1"/>
  <c r="G1101" i="7"/>
  <c r="F1101" i="7"/>
  <c r="I1101" i="7" s="1"/>
  <c r="H1101" i="7"/>
  <c r="Z1101" i="7" s="1"/>
  <c r="T679" i="7"/>
  <c r="F679" i="7"/>
  <c r="I679" i="7" s="1"/>
  <c r="T364" i="7"/>
  <c r="F364" i="7"/>
  <c r="I364" i="7" s="1"/>
  <c r="T159" i="7"/>
  <c r="F159" i="7"/>
  <c r="I159" i="7" s="1"/>
  <c r="T342" i="7"/>
  <c r="F29" i="7"/>
  <c r="I29" i="7" s="1"/>
  <c r="T29" i="7"/>
  <c r="T941" i="7"/>
  <c r="F941" i="7"/>
  <c r="I941" i="7" s="1"/>
  <c r="H608" i="7"/>
  <c r="Z608" i="7" s="1"/>
  <c r="G608" i="7"/>
  <c r="T778" i="7"/>
  <c r="T283" i="7"/>
  <c r="H283" i="7"/>
  <c r="Z283" i="7" s="1"/>
  <c r="F283" i="7"/>
  <c r="I283" i="7" s="1"/>
  <c r="G1137" i="7"/>
  <c r="T296" i="7"/>
  <c r="Z296" i="7"/>
  <c r="T285" i="7"/>
  <c r="G438" i="7"/>
  <c r="E1080" i="7"/>
  <c r="F1080" i="7"/>
  <c r="Z215" i="7"/>
  <c r="G729" i="7"/>
  <c r="T729" i="7"/>
  <c r="F729" i="7"/>
  <c r="I729" i="7" s="1"/>
  <c r="F868" i="7"/>
  <c r="I868" i="7" s="1"/>
  <c r="F418" i="7"/>
  <c r="I418" i="7" s="1"/>
  <c r="F247" i="7"/>
  <c r="I247" i="7" s="1"/>
  <c r="F928" i="7"/>
  <c r="I928" i="7" s="1"/>
  <c r="T251" i="7"/>
  <c r="F251" i="7"/>
  <c r="I251" i="7" s="1"/>
  <c r="T96" i="7"/>
  <c r="F96" i="7"/>
  <c r="I96" i="7" s="1"/>
  <c r="T886" i="7"/>
  <c r="F886" i="7"/>
  <c r="I886" i="7" s="1"/>
  <c r="T14" i="7"/>
  <c r="T578" i="7"/>
  <c r="H578" i="7"/>
  <c r="Z578" i="7" s="1"/>
  <c r="G578" i="7"/>
  <c r="F578" i="7"/>
  <c r="I578" i="7" s="1"/>
  <c r="T229" i="7"/>
  <c r="F229" i="7"/>
  <c r="I229" i="7" s="1"/>
  <c r="Z229" i="7"/>
  <c r="T770" i="7"/>
  <c r="F770" i="7"/>
  <c r="I770" i="7" s="1"/>
  <c r="T228" i="7"/>
  <c r="F228" i="7"/>
  <c r="I228" i="7" s="1"/>
  <c r="H228" i="7"/>
  <c r="Z228" i="7" s="1"/>
  <c r="G228" i="7"/>
  <c r="H1102" i="7"/>
  <c r="Z1102" i="7" s="1"/>
  <c r="G1102" i="7"/>
  <c r="T1102" i="7"/>
  <c r="F1102" i="7"/>
  <c r="I1102" i="7" s="1"/>
  <c r="T922" i="7"/>
  <c r="F922" i="7"/>
  <c r="I922" i="7" s="1"/>
  <c r="T815" i="7"/>
  <c r="T944" i="7"/>
  <c r="F1157" i="7"/>
  <c r="I1157" i="7" s="1"/>
  <c r="T1157" i="7"/>
  <c r="Z45" i="7"/>
  <c r="F45" i="7"/>
  <c r="I45" i="7" s="1"/>
  <c r="T824" i="7"/>
  <c r="F824" i="7"/>
  <c r="I824" i="7" s="1"/>
  <c r="Z824" i="7"/>
  <c r="F655" i="7"/>
  <c r="I655" i="7" s="1"/>
  <c r="G136" i="7"/>
  <c r="H136" i="7"/>
  <c r="Z136" i="7" s="1"/>
  <c r="F136" i="7"/>
  <c r="T136" i="7"/>
  <c r="T408" i="7"/>
  <c r="F408" i="7"/>
  <c r="I408" i="7" s="1"/>
  <c r="G408" i="7"/>
  <c r="H408" i="7"/>
  <c r="Z408" i="7" s="1"/>
  <c r="T406" i="7"/>
  <c r="F406" i="7"/>
  <c r="I406" i="7" s="1"/>
  <c r="H553" i="7"/>
  <c r="Z553" i="7" s="1"/>
  <c r="T553" i="7"/>
  <c r="G553" i="7"/>
  <c r="T913" i="7"/>
  <c r="F913" i="7"/>
  <c r="I913" i="7" s="1"/>
  <c r="H141" i="7"/>
  <c r="Z141" i="7" s="1"/>
  <c r="G141" i="7"/>
  <c r="F141" i="7"/>
  <c r="T307" i="7"/>
  <c r="T438" i="7"/>
  <c r="F438" i="7"/>
  <c r="I438" i="7" s="1"/>
  <c r="G418" i="7"/>
  <c r="H588" i="7"/>
  <c r="Z588" i="7" s="1"/>
  <c r="F574" i="7"/>
  <c r="I574" i="7" s="1"/>
  <c r="F510" i="7"/>
  <c r="I510" i="7" s="1"/>
  <c r="T510" i="7"/>
  <c r="T490" i="7"/>
  <c r="F490" i="7"/>
  <c r="I490" i="7" s="1"/>
  <c r="T515" i="7"/>
  <c r="Z515" i="7"/>
  <c r="F515" i="7"/>
  <c r="I515" i="7" s="1"/>
  <c r="T565" i="7"/>
  <c r="Z565" i="7"/>
  <c r="T363" i="7"/>
  <c r="G363" i="7"/>
  <c r="H363" i="7"/>
  <c r="Z363" i="7" s="1"/>
  <c r="F363" i="7"/>
  <c r="I363" i="7" s="1"/>
  <c r="T974" i="7"/>
  <c r="F974" i="7"/>
  <c r="I974" i="7" s="1"/>
  <c r="T542" i="7"/>
  <c r="F25" i="7"/>
  <c r="I25" i="7" s="1"/>
  <c r="F672" i="7"/>
  <c r="I672" i="7" s="1"/>
  <c r="T1170" i="7"/>
  <c r="G1170" i="7"/>
  <c r="F1170" i="7"/>
  <c r="I1170" i="7" s="1"/>
  <c r="H1170" i="7"/>
  <c r="Z1170" i="7" s="1"/>
  <c r="Z1036" i="7"/>
  <c r="F1036" i="7"/>
  <c r="I1036" i="7" s="1"/>
  <c r="T1036" i="7"/>
  <c r="T977" i="7"/>
  <c r="F977" i="7"/>
  <c r="I977" i="7" s="1"/>
  <c r="F687" i="7"/>
  <c r="I687" i="7" s="1"/>
  <c r="T687" i="7"/>
  <c r="T1045" i="7"/>
  <c r="F1045" i="7"/>
  <c r="I1045" i="7" s="1"/>
  <c r="H1148" i="7"/>
  <c r="Z1148" i="7" s="1"/>
  <c r="F240" i="7"/>
  <c r="I240" i="7" s="1"/>
  <c r="Z240" i="7"/>
  <c r="G208" i="7"/>
  <c r="H208" i="7"/>
  <c r="Z208" i="7" s="1"/>
  <c r="T387" i="7"/>
  <c r="F387" i="7"/>
  <c r="I387" i="7" s="1"/>
  <c r="T982" i="7"/>
  <c r="T827" i="7"/>
  <c r="F827" i="7"/>
  <c r="I827" i="7" s="1"/>
  <c r="Z827" i="7"/>
  <c r="T569" i="7"/>
  <c r="Z569" i="7"/>
  <c r="F569" i="7"/>
  <c r="I569" i="7" s="1"/>
  <c r="T21" i="7"/>
  <c r="F21" i="7"/>
  <c r="I21" i="7" s="1"/>
  <c r="Z21" i="7"/>
  <c r="F129" i="7"/>
  <c r="F1062" i="7"/>
  <c r="I1062" i="7" s="1"/>
  <c r="F588" i="7"/>
  <c r="I588" i="7" s="1"/>
  <c r="T1062" i="7"/>
  <c r="T959" i="7"/>
  <c r="T394" i="7"/>
  <c r="F394" i="7"/>
  <c r="I394" i="7" s="1"/>
  <c r="T1150" i="7"/>
  <c r="F1150" i="7"/>
  <c r="I1150" i="7" s="1"/>
  <c r="H1150" i="7"/>
  <c r="Z1150" i="7" s="1"/>
  <c r="G1150" i="7"/>
  <c r="T499" i="7"/>
  <c r="F681" i="7"/>
  <c r="I681" i="7" s="1"/>
  <c r="Z349" i="7"/>
  <c r="T349" i="7"/>
  <c r="T1027" i="7"/>
  <c r="F1027" i="7"/>
  <c r="I1027" i="7" s="1"/>
  <c r="T546" i="7"/>
  <c r="F546" i="7"/>
  <c r="I546" i="7" s="1"/>
  <c r="G1148" i="7"/>
  <c r="F349" i="7"/>
  <c r="I349" i="7" s="1"/>
  <c r="T1008" i="7"/>
  <c r="F1008" i="7"/>
  <c r="I1008" i="7" s="1"/>
  <c r="T752" i="7"/>
  <c r="F752" i="7"/>
  <c r="I752" i="7" s="1"/>
  <c r="F1087" i="7"/>
  <c r="T979" i="7"/>
  <c r="T273" i="7"/>
  <c r="F273" i="7"/>
  <c r="I273" i="7" s="1"/>
  <c r="T1131" i="7"/>
  <c r="F1131" i="7"/>
  <c r="I1131" i="7" s="1"/>
  <c r="G1131" i="7"/>
  <c r="T915" i="7"/>
  <c r="F915" i="7"/>
  <c r="I915" i="7" s="1"/>
  <c r="T1125" i="7"/>
  <c r="H1125" i="7"/>
  <c r="Z1125" i="7" s="1"/>
  <c r="G1125" i="7"/>
  <c r="F1125" i="7"/>
  <c r="I1125" i="7" s="1"/>
  <c r="F876" i="7"/>
  <c r="I876" i="7" s="1"/>
  <c r="T876" i="7"/>
  <c r="T895" i="7"/>
  <c r="F895" i="7"/>
  <c r="I895" i="7" s="1"/>
  <c r="T550" i="7"/>
  <c r="T660" i="7"/>
  <c r="T590" i="7"/>
  <c r="H729" i="7"/>
  <c r="Z729" i="7" s="1"/>
  <c r="Z655" i="7"/>
  <c r="Z1062" i="7"/>
  <c r="T247" i="7"/>
  <c r="F23" i="7"/>
  <c r="I23" i="7" s="1"/>
  <c r="T521" i="7"/>
  <c r="F521" i="7"/>
  <c r="I521" i="7" s="1"/>
  <c r="T545" i="7"/>
  <c r="F545" i="7"/>
  <c r="I545" i="7" s="1"/>
  <c r="F1172" i="7"/>
  <c r="I1172" i="7" s="1"/>
  <c r="T1172" i="7"/>
  <c r="H1172" i="7"/>
  <c r="Z1172" i="7" s="1"/>
  <c r="G1172" i="7"/>
  <c r="T881" i="7"/>
  <c r="F881" i="7"/>
  <c r="I881" i="7" s="1"/>
  <c r="T212" i="7"/>
  <c r="F212" i="7"/>
  <c r="I212" i="7" s="1"/>
  <c r="T929" i="7"/>
  <c r="T894" i="7"/>
  <c r="F894" i="7"/>
  <c r="I894" i="7" s="1"/>
  <c r="T1117" i="7"/>
  <c r="F1117" i="7"/>
  <c r="I1117" i="7" s="1"/>
  <c r="G1117" i="7"/>
  <c r="F746" i="7"/>
  <c r="I746" i="7" s="1"/>
  <c r="Z746" i="7"/>
  <c r="T746" i="7"/>
  <c r="T740" i="7"/>
  <c r="Z1007" i="7"/>
  <c r="F1007" i="7"/>
  <c r="I1007" i="7" s="1"/>
  <c r="T1007" i="7"/>
  <c r="F1035" i="7"/>
  <c r="I1035" i="7" s="1"/>
  <c r="T1035" i="7"/>
  <c r="T1010" i="7"/>
  <c r="F723" i="7"/>
  <c r="I723" i="7" s="1"/>
  <c r="T712" i="7"/>
  <c r="T110" i="7"/>
  <c r="F110" i="7"/>
  <c r="I110" i="7" s="1"/>
  <c r="T355" i="7"/>
  <c r="F355" i="7"/>
  <c r="I355" i="7" s="1"/>
  <c r="T918" i="7"/>
  <c r="F918" i="7"/>
  <c r="I918" i="7" s="1"/>
  <c r="F927" i="7"/>
  <c r="I927" i="7" s="1"/>
  <c r="T927" i="7"/>
  <c r="T663" i="7"/>
  <c r="H663" i="7"/>
  <c r="Z663" i="7" s="1"/>
  <c r="F663" i="7"/>
  <c r="I663" i="7" s="1"/>
  <c r="G663" i="7"/>
  <c r="H418" i="7"/>
  <c r="Z418" i="7" s="1"/>
  <c r="G588" i="7"/>
  <c r="F1151" i="7"/>
  <c r="I1151" i="7" s="1"/>
  <c r="T1151" i="7"/>
  <c r="F133" i="7"/>
  <c r="I133" i="7" s="1"/>
  <c r="Z133" i="7"/>
  <c r="T321" i="7"/>
  <c r="F321" i="7"/>
  <c r="I321" i="7" s="1"/>
  <c r="Z321" i="7"/>
  <c r="T926" i="7"/>
  <c r="Z926" i="7"/>
  <c r="T416" i="7"/>
  <c r="F416" i="7"/>
  <c r="I416" i="7" s="1"/>
  <c r="T849" i="7"/>
  <c r="F849" i="7"/>
  <c r="I849" i="7" s="1"/>
  <c r="T390" i="7"/>
  <c r="F390" i="7"/>
  <c r="I390" i="7" s="1"/>
  <c r="T628" i="7"/>
  <c r="G628" i="7"/>
  <c r="F628" i="7"/>
  <c r="I628" i="7" s="1"/>
  <c r="H628" i="7"/>
  <c r="Z628" i="7" s="1"/>
  <c r="T452" i="7"/>
  <c r="F452" i="7"/>
  <c r="I452" i="7" s="1"/>
  <c r="T953" i="7"/>
  <c r="F953" i="7"/>
  <c r="I953" i="7" s="1"/>
  <c r="T100" i="7"/>
  <c r="F100" i="7"/>
  <c r="I100" i="7" s="1"/>
  <c r="Z100" i="7"/>
  <c r="F544" i="7"/>
  <c r="I544" i="7" s="1"/>
  <c r="T544" i="7"/>
  <c r="T730" i="7"/>
  <c r="F730" i="7"/>
  <c r="I730" i="7" s="1"/>
  <c r="T487" i="7"/>
  <c r="F487" i="7"/>
  <c r="I487" i="7" s="1"/>
  <c r="T275" i="7"/>
  <c r="T1087" i="7"/>
  <c r="T271" i="7"/>
  <c r="F285" i="7"/>
  <c r="I285" i="7" s="1"/>
  <c r="F725" i="7"/>
  <c r="I725" i="7" s="1"/>
  <c r="T725" i="7"/>
  <c r="T733" i="7"/>
  <c r="F733" i="7"/>
  <c r="I733" i="7" s="1"/>
  <c r="T780" i="7"/>
  <c r="T1090" i="7"/>
  <c r="T998" i="7"/>
  <c r="Z998" i="7"/>
  <c r="T1057" i="7"/>
  <c r="F1057" i="7"/>
  <c r="I1057" i="7" s="1"/>
  <c r="T26" i="7"/>
  <c r="F26" i="7"/>
  <c r="I26" i="7" s="1"/>
  <c r="F997" i="7"/>
  <c r="I997" i="7" s="1"/>
  <c r="T997" i="7"/>
  <c r="T1042" i="7"/>
  <c r="Z1042" i="7"/>
  <c r="F631" i="7"/>
  <c r="I631" i="7" s="1"/>
  <c r="T631" i="7"/>
  <c r="F870" i="7"/>
  <c r="I870" i="7" s="1"/>
  <c r="T870" i="7"/>
  <c r="T58" i="7"/>
  <c r="F58" i="7"/>
  <c r="I58" i="7" s="1"/>
  <c r="G1093" i="7"/>
  <c r="F956" i="7"/>
  <c r="I956" i="7" s="1"/>
  <c r="T28" i="7"/>
  <c r="F28" i="7"/>
  <c r="I28" i="7" s="1"/>
  <c r="T1097" i="7"/>
  <c r="H1097" i="7"/>
  <c r="Z1097" i="7" s="1"/>
  <c r="G1097" i="7"/>
  <c r="T1063" i="7"/>
  <c r="F1063" i="7"/>
  <c r="I1063" i="7" s="1"/>
  <c r="T1098" i="7"/>
  <c r="F1098" i="7"/>
  <c r="I1098" i="7" s="1"/>
  <c r="H1098" i="7"/>
  <c r="Z1098" i="7" s="1"/>
  <c r="F979" i="7"/>
  <c r="I979" i="7" s="1"/>
  <c r="T724" i="7"/>
  <c r="H724" i="7"/>
  <c r="Z724" i="7" s="1"/>
  <c r="F724" i="7"/>
  <c r="I724" i="7" s="1"/>
  <c r="G724" i="7"/>
  <c r="Z154" i="7"/>
  <c r="F296" i="7"/>
  <c r="I296" i="7" s="1"/>
  <c r="T549" i="7"/>
  <c r="F549" i="7"/>
  <c r="I549" i="7" s="1"/>
  <c r="T651" i="7"/>
  <c r="F651" i="7"/>
  <c r="I651" i="7" s="1"/>
  <c r="F784" i="7"/>
  <c r="I784" i="7" s="1"/>
  <c r="T784" i="7"/>
  <c r="F854" i="7"/>
  <c r="I854" i="7" s="1"/>
  <c r="T807" i="7"/>
  <c r="Z807" i="7"/>
  <c r="T399" i="7"/>
  <c r="Z399" i="7"/>
  <c r="F399" i="7"/>
  <c r="I399" i="7" s="1"/>
  <c r="T1014" i="7"/>
  <c r="F244" i="7"/>
  <c r="I244" i="7" s="1"/>
  <c r="T244" i="7"/>
  <c r="F195" i="7"/>
  <c r="I195" i="7" s="1"/>
  <c r="T195" i="7"/>
  <c r="T907" i="7"/>
  <c r="F907" i="7"/>
  <c r="I907" i="7" s="1"/>
  <c r="T633" i="7"/>
  <c r="H633" i="7"/>
  <c r="Z633" i="7" s="1"/>
  <c r="F633" i="7"/>
  <c r="I633" i="7" s="1"/>
  <c r="G633" i="7"/>
  <c r="T584" i="7"/>
  <c r="T1127" i="7"/>
  <c r="F1127" i="7"/>
  <c r="I1127" i="7" s="1"/>
  <c r="T462" i="7"/>
  <c r="T129" i="7"/>
  <c r="H1093" i="7"/>
  <c r="Z1093" i="7" s="1"/>
  <c r="Z915" i="7"/>
  <c r="T528" i="7"/>
  <c r="H528" i="7"/>
  <c r="Z528" i="7" s="1"/>
  <c r="G528" i="7"/>
  <c r="T318" i="7"/>
  <c r="G318" i="7"/>
  <c r="H318" i="7"/>
  <c r="Z318" i="7" s="1"/>
  <c r="F318" i="7"/>
  <c r="I318" i="7" s="1"/>
  <c r="F528" i="7"/>
  <c r="I528" i="7" s="1"/>
  <c r="T373" i="7"/>
  <c r="H373" i="7"/>
  <c r="Z373" i="7" s="1"/>
  <c r="G1127" i="7"/>
  <c r="T948" i="7"/>
  <c r="T33" i="7"/>
  <c r="F33" i="7"/>
  <c r="I33" i="7" s="1"/>
  <c r="F762" i="7"/>
  <c r="I762" i="7" s="1"/>
  <c r="T762" i="7"/>
  <c r="F1104" i="7"/>
  <c r="I1104" i="7" s="1"/>
  <c r="T1104" i="7"/>
  <c r="Z285" i="7"/>
  <c r="F740" i="7"/>
  <c r="I740" i="7" s="1"/>
  <c r="F1005" i="7"/>
  <c r="I1005" i="7" s="1"/>
  <c r="T400" i="7"/>
  <c r="F400" i="7"/>
  <c r="I400" i="7" s="1"/>
  <c r="Z400" i="7"/>
  <c r="T1000" i="7"/>
  <c r="F1000" i="7"/>
  <c r="I1000" i="7" s="1"/>
  <c r="T173" i="7"/>
  <c r="F173" i="7"/>
  <c r="I173" i="7" s="1"/>
  <c r="T456" i="7"/>
  <c r="F456" i="7"/>
  <c r="I456" i="7" s="1"/>
  <c r="T675" i="7"/>
  <c r="Z675" i="7"/>
  <c r="F675" i="7"/>
  <c r="I675" i="7" s="1"/>
  <c r="T641" i="7"/>
  <c r="T596" i="7"/>
  <c r="Z596" i="7"/>
  <c r="T477" i="7"/>
  <c r="F203" i="7"/>
  <c r="Z203" i="7"/>
  <c r="F1144" i="7"/>
  <c r="I1144" i="7" s="1"/>
  <c r="T1144" i="7"/>
  <c r="H1144" i="7"/>
  <c r="Z1144" i="7" s="1"/>
  <c r="G1144" i="7"/>
  <c r="F90" i="7"/>
  <c r="I90" i="7" s="1"/>
  <c r="T973" i="7"/>
  <c r="Z973" i="7"/>
  <c r="T914" i="7"/>
  <c r="Z914" i="7"/>
  <c r="F914" i="7"/>
  <c r="I914" i="7" s="1"/>
  <c r="T1126" i="7"/>
  <c r="G1126" i="7"/>
  <c r="H1126" i="7"/>
  <c r="Z1126" i="7" s="1"/>
  <c r="G1106" i="7"/>
  <c r="H1106" i="7"/>
  <c r="Z1106" i="7" s="1"/>
  <c r="F1106" i="7"/>
  <c r="I1106" i="7" s="1"/>
  <c r="T1106" i="7"/>
  <c r="T805" i="7"/>
  <c r="F805" i="7"/>
  <c r="I805" i="7" s="1"/>
  <c r="F341" i="7"/>
  <c r="I341" i="7" s="1"/>
  <c r="F216" i="7"/>
  <c r="I216" i="7" s="1"/>
  <c r="T216" i="7"/>
  <c r="H1127" i="7"/>
  <c r="Z1127" i="7" s="1"/>
  <c r="F477" i="7"/>
  <c r="I477" i="7" s="1"/>
  <c r="F1010" i="7"/>
  <c r="I1010" i="7" s="1"/>
  <c r="T240" i="7"/>
  <c r="G603" i="7"/>
  <c r="F603" i="7"/>
  <c r="I603" i="7" s="1"/>
  <c r="T603" i="7"/>
  <c r="F468" i="7"/>
  <c r="I468" i="7" s="1"/>
  <c r="F550" i="7"/>
  <c r="I550" i="7" s="1"/>
  <c r="T382" i="7"/>
  <c r="F382" i="7"/>
  <c r="I382" i="7" s="1"/>
  <c r="F3" i="7"/>
  <c r="I3" i="7" s="1"/>
  <c r="T3" i="7"/>
  <c r="L666" i="7"/>
  <c r="M666" i="7" s="1"/>
  <c r="L169" i="7"/>
  <c r="M169" i="7" s="1"/>
  <c r="L554" i="7"/>
  <c r="M554" i="7" s="1"/>
  <c r="X961" i="7"/>
  <c r="X504" i="7"/>
  <c r="X281" i="7"/>
  <c r="X654" i="7"/>
  <c r="X6" i="7"/>
  <c r="X1082" i="7"/>
  <c r="Z1020" i="7"/>
  <c r="Y666" i="7"/>
  <c r="Z767" i="7"/>
  <c r="Z280" i="7"/>
  <c r="I1079" i="7" l="1"/>
  <c r="I1083" i="7"/>
  <c r="J1083" i="7" s="1"/>
  <c r="I127" i="7"/>
  <c r="E797" i="7"/>
  <c r="L797" i="7"/>
  <c r="M797" i="7" s="1"/>
  <c r="I1080" i="7"/>
  <c r="J1080" i="7" s="1"/>
  <c r="I1085" i="7"/>
  <c r="J1085" i="7" s="1"/>
  <c r="I688" i="7"/>
  <c r="J688" i="7" s="1"/>
  <c r="I1097" i="7"/>
  <c r="J1097" i="7" s="1"/>
  <c r="I1121" i="7"/>
  <c r="J1121" i="7" s="1"/>
  <c r="I130" i="7"/>
  <c r="J130" i="7" s="1"/>
  <c r="I1124" i="7"/>
  <c r="J1124" i="7" s="1"/>
  <c r="I358" i="7"/>
  <c r="J358" i="7" s="1"/>
  <c r="E946" i="7"/>
  <c r="I1143" i="7"/>
  <c r="J1143" i="7" s="1"/>
  <c r="J1079" i="7"/>
  <c r="I608" i="7"/>
  <c r="J608" i="7" s="1"/>
  <c r="E1175" i="7"/>
  <c r="I1175" i="7" s="1"/>
  <c r="J1175" i="7" s="1"/>
  <c r="I503" i="7"/>
  <c r="J503" i="7" s="1"/>
  <c r="I1128" i="7"/>
  <c r="J1128" i="7" s="1"/>
  <c r="I263" i="7"/>
  <c r="J263" i="7" s="1"/>
  <c r="I1153" i="7"/>
  <c r="J1153" i="7" s="1"/>
  <c r="I1163" i="7"/>
  <c r="J1163" i="7" s="1"/>
  <c r="J848" i="7"/>
  <c r="I308" i="7"/>
  <c r="J308" i="7" s="1"/>
  <c r="I278" i="7"/>
  <c r="J278" i="7" s="1"/>
  <c r="I673" i="7"/>
  <c r="J673" i="7" s="1"/>
  <c r="I553" i="7"/>
  <c r="J553" i="7" s="1"/>
  <c r="I1118" i="7"/>
  <c r="J1118" i="7" s="1"/>
  <c r="I1162" i="7"/>
  <c r="J1162" i="7" s="1"/>
  <c r="I749" i="7"/>
  <c r="J749" i="7" s="1"/>
  <c r="E65" i="7"/>
  <c r="I65" i="7" s="1"/>
  <c r="J65" i="7" s="1"/>
  <c r="I383" i="7"/>
  <c r="J383" i="7" s="1"/>
  <c r="I1081" i="7"/>
  <c r="J1081" i="7" s="1"/>
  <c r="I1084" i="7"/>
  <c r="J1084" i="7" s="1"/>
  <c r="I1126" i="7"/>
  <c r="J1126" i="7" s="1"/>
  <c r="I759" i="7"/>
  <c r="J759" i="7" s="1"/>
  <c r="E708" i="7"/>
  <c r="I708" i="7" s="1"/>
  <c r="J708" i="7" s="1"/>
  <c r="I1096" i="7"/>
  <c r="J1096" i="7" s="1"/>
  <c r="I719" i="7"/>
  <c r="J719" i="7" s="1"/>
  <c r="Y848" i="7"/>
  <c r="E848" i="7"/>
  <c r="Y859" i="7"/>
  <c r="L464" i="7"/>
  <c r="M464" i="7" s="1"/>
  <c r="L848" i="7"/>
  <c r="M848" i="7" s="1"/>
  <c r="J796" i="7"/>
  <c r="J106" i="7"/>
  <c r="J715" i="7"/>
  <c r="J1048" i="7"/>
  <c r="J1033" i="7"/>
  <c r="J215" i="7"/>
  <c r="J157" i="7"/>
  <c r="J1026" i="7"/>
  <c r="J39" i="7"/>
  <c r="J929" i="7"/>
  <c r="J311" i="7"/>
  <c r="J807" i="7"/>
  <c r="J561" i="7"/>
  <c r="J350" i="7"/>
  <c r="J901" i="7"/>
  <c r="J649" i="7"/>
  <c r="J193" i="7"/>
  <c r="J798" i="7"/>
  <c r="J659" i="7"/>
  <c r="J88" i="7"/>
  <c r="J932" i="7"/>
  <c r="J1003" i="7"/>
  <c r="J225" i="7"/>
  <c r="J526" i="7"/>
  <c r="J1011" i="7"/>
  <c r="J590" i="7"/>
  <c r="J946" i="7"/>
  <c r="E707" i="7"/>
  <c r="I707" i="7" s="1"/>
  <c r="J972" i="7"/>
  <c r="J601" i="7"/>
  <c r="J556" i="7"/>
  <c r="J565" i="7"/>
  <c r="J1042" i="7"/>
  <c r="J35" i="7"/>
  <c r="J748" i="7"/>
  <c r="J602" i="7"/>
  <c r="J615" i="7"/>
  <c r="J557" i="7"/>
  <c r="J17" i="7"/>
  <c r="J916" i="7"/>
  <c r="J384" i="7"/>
  <c r="J260" i="7"/>
  <c r="J948" i="7"/>
  <c r="J83" i="7"/>
  <c r="J167" i="7"/>
  <c r="J374" i="7"/>
  <c r="J584" i="7"/>
  <c r="J587" i="7"/>
  <c r="J307" i="7"/>
  <c r="J745" i="7"/>
  <c r="J1034" i="7"/>
  <c r="J966" i="7"/>
  <c r="J926" i="7"/>
  <c r="J943" i="7"/>
  <c r="J1091" i="7"/>
  <c r="J552" i="7"/>
  <c r="J36" i="7"/>
  <c r="J105" i="7"/>
  <c r="J182" i="7"/>
  <c r="J1023" i="7"/>
  <c r="J322" i="7"/>
  <c r="J292" i="7"/>
  <c r="E78" i="7"/>
  <c r="I78" i="7" s="1"/>
  <c r="J982" i="7"/>
  <c r="J647" i="7"/>
  <c r="E1089" i="7"/>
  <c r="I1089" i="7" s="1"/>
  <c r="J839" i="7"/>
  <c r="J1038" i="7"/>
  <c r="J973" i="7"/>
  <c r="J241" i="7"/>
  <c r="J682" i="7"/>
  <c r="J539" i="7"/>
  <c r="J30" i="7"/>
  <c r="J155" i="7"/>
  <c r="J987" i="7"/>
  <c r="J12" i="7"/>
  <c r="J999" i="7"/>
  <c r="J542" i="7"/>
  <c r="J797" i="7"/>
  <c r="J183" i="7"/>
  <c r="J462" i="7"/>
  <c r="J360" i="7"/>
  <c r="J859" i="7"/>
  <c r="J551" i="7"/>
  <c r="J331" i="7"/>
  <c r="J340" i="7"/>
  <c r="J352" i="7"/>
  <c r="J751" i="7"/>
  <c r="J885" i="7"/>
  <c r="J640" i="7"/>
  <c r="J499" i="7"/>
  <c r="J814" i="7"/>
  <c r="J998" i="7"/>
  <c r="J402" i="7"/>
  <c r="J1016" i="7"/>
  <c r="J500" i="7"/>
  <c r="J893" i="7"/>
  <c r="J464" i="7"/>
  <c r="J175" i="7"/>
  <c r="J460" i="7"/>
  <c r="J818" i="7"/>
  <c r="J596" i="7"/>
  <c r="J592" i="7"/>
  <c r="J455" i="7"/>
  <c r="J480" i="7"/>
  <c r="J579" i="7"/>
  <c r="J535" i="7"/>
  <c r="J86" i="7"/>
  <c r="J597" i="7"/>
  <c r="J694" i="7"/>
  <c r="J896" i="7"/>
  <c r="J495" i="7"/>
  <c r="J14" i="7"/>
  <c r="J342" i="7"/>
  <c r="J676" i="7"/>
  <c r="J185" i="7"/>
  <c r="J1037" i="7"/>
  <c r="J815" i="7"/>
  <c r="E79" i="7"/>
  <c r="I79" i="7" s="1"/>
  <c r="J611" i="7"/>
  <c r="E598" i="7"/>
  <c r="U598" i="7" s="1" a="1"/>
  <c r="U598" i="7" s="1"/>
  <c r="Y946" i="7"/>
  <c r="L185" i="7"/>
  <c r="M185" i="7" s="1"/>
  <c r="L402" i="7"/>
  <c r="M402" i="7" s="1"/>
  <c r="E402" i="7"/>
  <c r="L649" i="7"/>
  <c r="M649" i="7" s="1"/>
  <c r="E587" i="7"/>
  <c r="E12" i="7"/>
  <c r="L932" i="7"/>
  <c r="M932" i="7" s="1"/>
  <c r="E155" i="7"/>
  <c r="E383" i="7"/>
  <c r="L1037" i="7"/>
  <c r="M1037" i="7" s="1"/>
  <c r="L859" i="7"/>
  <c r="M859" i="7" s="1"/>
  <c r="E36" i="7"/>
  <c r="E360" i="7"/>
  <c r="L360" i="7"/>
  <c r="M360" i="7" s="1"/>
  <c r="E1096" i="7"/>
  <c r="L943" i="7"/>
  <c r="M943" i="7" s="1"/>
  <c r="L556" i="7"/>
  <c r="M556" i="7" s="1"/>
  <c r="E932" i="7"/>
  <c r="L807" i="7"/>
  <c r="M807" i="7" s="1"/>
  <c r="L260" i="7"/>
  <c r="M260" i="7" s="1"/>
  <c r="E943" i="7"/>
  <c r="E358" i="7"/>
  <c r="E807" i="7"/>
  <c r="E916" i="7"/>
  <c r="E818" i="7"/>
  <c r="E1011" i="7"/>
  <c r="Y818" i="7"/>
  <c r="E688" i="7"/>
  <c r="E39" i="7"/>
  <c r="Y1016" i="7"/>
  <c r="E579" i="7"/>
  <c r="E749" i="7"/>
  <c r="E455" i="7"/>
  <c r="E814" i="7"/>
  <c r="L455" i="7"/>
  <c r="M455" i="7" s="1"/>
  <c r="L818" i="7"/>
  <c r="M818" i="7" s="1"/>
  <c r="L551" i="7"/>
  <c r="M551" i="7" s="1"/>
  <c r="E551" i="7"/>
  <c r="L193" i="7"/>
  <c r="M193" i="7" s="1"/>
  <c r="L557" i="7"/>
  <c r="M557" i="7" s="1"/>
  <c r="E893" i="7"/>
  <c r="E1097" i="7"/>
  <c r="L340" i="7"/>
  <c r="M340" i="7" s="1"/>
  <c r="L745" i="7"/>
  <c r="M745" i="7" s="1"/>
  <c r="E1042" i="7"/>
  <c r="E340" i="7"/>
  <c r="E1121" i="7"/>
  <c r="Y331" i="7"/>
  <c r="E193" i="7"/>
  <c r="E557" i="7"/>
  <c r="E183" i="7"/>
  <c r="E745" i="7"/>
  <c r="L1042" i="7"/>
  <c r="M1042" i="7" s="1"/>
  <c r="L157" i="7"/>
  <c r="M157" i="7" s="1"/>
  <c r="L542" i="7"/>
  <c r="M542" i="7" s="1"/>
  <c r="E157" i="7"/>
  <c r="L579" i="7"/>
  <c r="M579" i="7" s="1"/>
  <c r="E748" i="7"/>
  <c r="L292" i="7"/>
  <c r="M292" i="7" s="1"/>
  <c r="L462" i="7"/>
  <c r="M462" i="7" s="1"/>
  <c r="L311" i="7"/>
  <c r="M311" i="7" s="1"/>
  <c r="E542" i="7"/>
  <c r="L814" i="7"/>
  <c r="M814" i="7" s="1"/>
  <c r="L893" i="7"/>
  <c r="M893" i="7" s="1"/>
  <c r="L1038" i="7"/>
  <c r="M1038" i="7" s="1"/>
  <c r="E311" i="7"/>
  <c r="E331" i="7"/>
  <c r="E462" i="7"/>
  <c r="E308" i="7"/>
  <c r="Y308" i="7"/>
  <c r="E17" i="7"/>
  <c r="L183" i="7"/>
  <c r="M183" i="7" s="1"/>
  <c r="L331" i="7"/>
  <c r="M331" i="7" s="1"/>
  <c r="E1016" i="7"/>
  <c r="E1037" i="7"/>
  <c r="E1038" i="7"/>
  <c r="E292" i="7"/>
  <c r="E556" i="7"/>
  <c r="L552" i="7"/>
  <c r="M552" i="7" s="1"/>
  <c r="L535" i="7"/>
  <c r="M535" i="7" s="1"/>
  <c r="E759" i="7"/>
  <c r="E185" i="7"/>
  <c r="E611" i="7"/>
  <c r="U554" i="7" a="1"/>
  <c r="U554" i="7" s="1"/>
  <c r="U666" i="7" a="1"/>
  <c r="U666" i="7" s="1"/>
  <c r="U169" i="7" a="1"/>
  <c r="U169" i="7" s="1"/>
  <c r="E896" i="7"/>
  <c r="E260" i="7"/>
  <c r="E464" i="7"/>
  <c r="E859" i="7"/>
  <c r="E1153" i="7"/>
  <c r="L167" i="7"/>
  <c r="M167" i="7" s="1"/>
  <c r="L640" i="7"/>
  <c r="M640" i="7" s="1"/>
  <c r="E640" i="7"/>
  <c r="L611" i="7"/>
  <c r="M611" i="7" s="1"/>
  <c r="L748" i="7"/>
  <c r="M748" i="7" s="1"/>
  <c r="E384" i="7"/>
  <c r="L352" i="7"/>
  <c r="M352" i="7" s="1"/>
  <c r="E167" i="7"/>
  <c r="L694" i="7"/>
  <c r="M694" i="7" s="1"/>
  <c r="L384" i="7"/>
  <c r="M384" i="7" s="1"/>
  <c r="E503" i="7"/>
  <c r="E539" i="7"/>
  <c r="E1124" i="7"/>
  <c r="E592" i="7"/>
  <c r="E647" i="7"/>
  <c r="E182" i="7"/>
  <c r="E1162" i="7"/>
  <c r="E480" i="7"/>
  <c r="Y796" i="7"/>
  <c r="E86" i="7"/>
  <c r="E14" i="7"/>
  <c r="L982" i="7"/>
  <c r="M982" i="7" s="1"/>
  <c r="E1003" i="7"/>
  <c r="Y1048" i="7"/>
  <c r="E649" i="7"/>
  <c r="E1128" i="7"/>
  <c r="L987" i="7"/>
  <c r="M987" i="7" s="1"/>
  <c r="E88" i="7"/>
  <c r="Y611" i="7"/>
  <c r="E987" i="7"/>
  <c r="E552" i="7"/>
  <c r="L539" i="7"/>
  <c r="M539" i="7" s="1"/>
  <c r="E553" i="7"/>
  <c r="E1126" i="7"/>
  <c r="E1026" i="7"/>
  <c r="E175" i="7"/>
  <c r="Y1033" i="7"/>
  <c r="E973" i="7"/>
  <c r="E815" i="7"/>
  <c r="E615" i="7"/>
  <c r="E839" i="7"/>
  <c r="Y647" i="7"/>
  <c r="E972" i="7"/>
  <c r="E561" i="7"/>
  <c r="L587" i="7"/>
  <c r="M587" i="7" s="1"/>
  <c r="E796" i="7"/>
  <c r="L839" i="7"/>
  <c r="M839" i="7" s="1"/>
  <c r="L561" i="7"/>
  <c r="M561" i="7" s="1"/>
  <c r="E278" i="7"/>
  <c r="E80" i="7"/>
  <c r="I80" i="7" s="1"/>
  <c r="L1003" i="7"/>
  <c r="M1003" i="7" s="1"/>
  <c r="L500" i="7"/>
  <c r="M500" i="7" s="1"/>
  <c r="E982" i="7"/>
  <c r="E565" i="7"/>
  <c r="L1048" i="7"/>
  <c r="M1048" i="7" s="1"/>
  <c r="E1048" i="7"/>
  <c r="E998" i="7"/>
  <c r="E926" i="7"/>
  <c r="E715" i="7"/>
  <c r="E673" i="7"/>
  <c r="L460" i="7"/>
  <c r="M460" i="7" s="1"/>
  <c r="E241" i="7"/>
  <c r="E602" i="7"/>
  <c r="E999" i="7"/>
  <c r="L676" i="7"/>
  <c r="M676" i="7" s="1"/>
  <c r="E106" i="7"/>
  <c r="E694" i="7"/>
  <c r="E798" i="7"/>
  <c r="E499" i="7"/>
  <c r="E948" i="7"/>
  <c r="L597" i="7"/>
  <c r="L751" i="7"/>
  <c r="E682" i="7"/>
  <c r="L1034" i="7"/>
  <c r="M1034" i="7" s="1"/>
  <c r="E225" i="7"/>
  <c r="E1033" i="7"/>
  <c r="E342" i="7"/>
  <c r="E322" i="7"/>
  <c r="Y278" i="7"/>
  <c r="Y495" i="7"/>
  <c r="L798" i="7"/>
  <c r="M798" i="7" s="1"/>
  <c r="L602" i="7"/>
  <c r="M602" i="7" s="1"/>
  <c r="L596" i="7"/>
  <c r="M596" i="7" s="1"/>
  <c r="L499" i="7"/>
  <c r="M499" i="7" s="1"/>
  <c r="E719" i="7"/>
  <c r="E350" i="7"/>
  <c r="L972" i="7"/>
  <c r="M972" i="7" s="1"/>
  <c r="E526" i="7"/>
  <c r="Y500" i="7"/>
  <c r="L526" i="7"/>
  <c r="M526" i="7" s="1"/>
  <c r="L999" i="7"/>
  <c r="M999" i="7" s="1"/>
  <c r="L998" i="7"/>
  <c r="M998" i="7" s="1"/>
  <c r="E584" i="7"/>
  <c r="Y885" i="7"/>
  <c r="L1023" i="7"/>
  <c r="M1023" i="7" s="1"/>
  <c r="E596" i="7"/>
  <c r="E535" i="7"/>
  <c r="L241" i="7"/>
  <c r="M241" i="7" s="1"/>
  <c r="E966" i="7"/>
  <c r="E676" i="7"/>
  <c r="L948" i="7"/>
  <c r="M948" i="7" s="1"/>
  <c r="E105" i="7"/>
  <c r="L885" i="7"/>
  <c r="M885" i="7" s="1"/>
  <c r="Y175" i="7"/>
  <c r="Y342" i="7"/>
  <c r="Y615" i="7"/>
  <c r="E1091" i="7"/>
  <c r="L322" i="7"/>
  <c r="M322" i="7" s="1"/>
  <c r="L601" i="7"/>
  <c r="M601" i="7" s="1"/>
  <c r="L1033" i="7"/>
  <c r="M1033" i="7" s="1"/>
  <c r="L495" i="7"/>
  <c r="M495" i="7" s="1"/>
  <c r="E885" i="7"/>
  <c r="E1143" i="7"/>
  <c r="E1118" i="7"/>
  <c r="L584" i="7"/>
  <c r="M584" i="7" s="1"/>
  <c r="E35" i="7"/>
  <c r="E597" i="7"/>
  <c r="E500" i="7"/>
  <c r="L973" i="7"/>
  <c r="M973" i="7" s="1"/>
  <c r="L615" i="7"/>
  <c r="M615" i="7" s="1"/>
  <c r="Y601" i="7"/>
  <c r="L480" i="7"/>
  <c r="M480" i="7" s="1"/>
  <c r="E263" i="7"/>
  <c r="Y241" i="7"/>
  <c r="L182" i="7"/>
  <c r="M182" i="7" s="1"/>
  <c r="E929" i="7"/>
  <c r="L590" i="7"/>
  <c r="M590" i="7" s="1"/>
  <c r="E307" i="7"/>
  <c r="L647" i="7"/>
  <c r="M647" i="7" s="1"/>
  <c r="L374" i="7"/>
  <c r="M374" i="7" s="1"/>
  <c r="E601" i="7"/>
  <c r="E659" i="7"/>
  <c r="E590" i="7"/>
  <c r="L307" i="7"/>
  <c r="M307" i="7" s="1"/>
  <c r="E215" i="7"/>
  <c r="E460" i="7"/>
  <c r="E83" i="7"/>
  <c r="L815" i="7"/>
  <c r="M815" i="7" s="1"/>
  <c r="E30" i="7"/>
  <c r="L175" i="7"/>
  <c r="M175" i="7" s="1"/>
  <c r="Y839" i="7"/>
  <c r="L592" i="7"/>
  <c r="M592" i="7" s="1"/>
  <c r="E495" i="7"/>
  <c r="L215" i="7"/>
  <c r="M215" i="7" s="1"/>
  <c r="E374" i="7"/>
  <c r="E608" i="7"/>
  <c r="L929" i="7"/>
  <c r="M929" i="7" s="1"/>
  <c r="E1163" i="7"/>
  <c r="E1023" i="7"/>
  <c r="E1034" i="7"/>
  <c r="L715" i="7"/>
  <c r="M715" i="7" s="1"/>
  <c r="E751" i="7"/>
  <c r="L659" i="7"/>
  <c r="M659" i="7" s="1"/>
  <c r="L682" i="7"/>
  <c r="M682" i="7" s="1"/>
  <c r="E901" i="7"/>
  <c r="L350" i="7"/>
  <c r="M350" i="7" s="1"/>
  <c r="L342" i="7"/>
  <c r="M342" i="7" s="1"/>
  <c r="L155" i="7"/>
  <c r="L565" i="7"/>
  <c r="L225" i="7"/>
  <c r="M225" i="7" s="1"/>
  <c r="J489" i="7"/>
  <c r="E280" i="7"/>
  <c r="L489" i="7"/>
  <c r="M489" i="7" s="1"/>
  <c r="E489" i="7"/>
  <c r="L326" i="7"/>
  <c r="M326" i="7" s="1"/>
  <c r="E352" i="7"/>
  <c r="J280" i="7"/>
  <c r="J1020" i="7"/>
  <c r="J604" i="7"/>
  <c r="J256" i="7"/>
  <c r="E326" i="7"/>
  <c r="J326" i="7"/>
  <c r="E60" i="7"/>
  <c r="I60" i="7" s="1"/>
  <c r="J41" i="7"/>
  <c r="L280" i="7"/>
  <c r="M280" i="7" s="1"/>
  <c r="L199" i="7"/>
  <c r="M199" i="7" s="1"/>
  <c r="J199" i="7"/>
  <c r="E1020" i="7"/>
  <c r="L1020" i="7"/>
  <c r="M1020" i="7" s="1"/>
  <c r="E41" i="7"/>
  <c r="E604" i="7"/>
  <c r="L604" i="7"/>
  <c r="M604" i="7" s="1"/>
  <c r="E256" i="7"/>
  <c r="Y256" i="7"/>
  <c r="L256" i="7"/>
  <c r="M256" i="7" s="1"/>
  <c r="J1173" i="7"/>
  <c r="E645" i="7"/>
  <c r="J645" i="7"/>
  <c r="L95" i="7"/>
  <c r="M95" i="7" s="1"/>
  <c r="J95" i="7"/>
  <c r="Y178" i="7"/>
  <c r="J178" i="7"/>
  <c r="E674" i="7"/>
  <c r="J674" i="7"/>
  <c r="J806" i="7"/>
  <c r="E739" i="7"/>
  <c r="J739" i="7"/>
  <c r="E142" i="7"/>
  <c r="I142" i="7" s="1"/>
  <c r="E423" i="7"/>
  <c r="J423" i="7"/>
  <c r="E277" i="7"/>
  <c r="J277" i="7"/>
  <c r="E935" i="7"/>
  <c r="J935" i="7"/>
  <c r="J32" i="7"/>
  <c r="J573" i="7"/>
  <c r="L702" i="7"/>
  <c r="M702" i="7" s="1"/>
  <c r="J702" i="7"/>
  <c r="L985" i="7"/>
  <c r="M985" i="7" s="1"/>
  <c r="J985" i="7"/>
  <c r="E697" i="7"/>
  <c r="J697" i="7"/>
  <c r="E782" i="7"/>
  <c r="J782" i="7"/>
  <c r="J981" i="7"/>
  <c r="E418" i="7"/>
  <c r="J418" i="7"/>
  <c r="L425" i="7"/>
  <c r="M425" i="7" s="1"/>
  <c r="J425" i="7"/>
  <c r="L56" i="7"/>
  <c r="M56" i="7" s="1"/>
  <c r="J56" i="7"/>
  <c r="E214" i="7"/>
  <c r="J214" i="7"/>
  <c r="J813" i="7"/>
  <c r="J1113" i="7"/>
  <c r="E146" i="7"/>
  <c r="I146" i="7" s="1"/>
  <c r="E66" i="7"/>
  <c r="I66" i="7" s="1"/>
  <c r="E766" i="7"/>
  <c r="J766" i="7"/>
  <c r="Y210" i="7"/>
  <c r="J210" i="7"/>
  <c r="E134" i="7"/>
  <c r="J134" i="7"/>
  <c r="L755" i="7"/>
  <c r="M755" i="7" s="1"/>
  <c r="J755" i="7"/>
  <c r="J906" i="7"/>
  <c r="E497" i="7"/>
  <c r="J497" i="7"/>
  <c r="J623" i="7"/>
  <c r="L1084" i="7"/>
  <c r="M1084" i="7" s="1"/>
  <c r="E184" i="7"/>
  <c r="J184" i="7"/>
  <c r="E391" i="7"/>
  <c r="J391" i="7"/>
  <c r="E339" i="7"/>
  <c r="J339" i="7"/>
  <c r="J865" i="7"/>
  <c r="E327" i="7"/>
  <c r="J327" i="7"/>
  <c r="J333" i="7"/>
  <c r="E329" i="7"/>
  <c r="J329" i="7"/>
  <c r="J968" i="7"/>
  <c r="J1140" i="7"/>
  <c r="J768" i="7"/>
  <c r="E444" i="7"/>
  <c r="J444" i="7"/>
  <c r="E302" i="7"/>
  <c r="J302" i="7"/>
  <c r="E520" i="7"/>
  <c r="J520" i="7"/>
  <c r="E161" i="7"/>
  <c r="J161" i="7"/>
  <c r="J512" i="7"/>
  <c r="J661" i="7"/>
  <c r="J1031" i="7"/>
  <c r="E655" i="7"/>
  <c r="J655" i="7"/>
  <c r="E536" i="7"/>
  <c r="J536" i="7"/>
  <c r="E783" i="7"/>
  <c r="J783" i="7"/>
  <c r="E365" i="7"/>
  <c r="J365" i="7"/>
  <c r="E829" i="7"/>
  <c r="J829" i="7"/>
  <c r="E519" i="7"/>
  <c r="J519" i="7"/>
  <c r="E1004" i="7"/>
  <c r="J1004" i="7"/>
  <c r="E692" i="7"/>
  <c r="J692" i="7"/>
  <c r="L560" i="7"/>
  <c r="M560" i="7" s="1"/>
  <c r="J560" i="7"/>
  <c r="E908" i="7"/>
  <c r="J908" i="7"/>
  <c r="L281" i="7"/>
  <c r="M281" i="7" s="1"/>
  <c r="J281" i="7"/>
  <c r="J378" i="7"/>
  <c r="E111" i="7"/>
  <c r="J111" i="7"/>
  <c r="E619" i="7"/>
  <c r="J619" i="7"/>
  <c r="J6" i="7"/>
  <c r="J856" i="7"/>
  <c r="J1155" i="7"/>
  <c r="L629" i="7"/>
  <c r="M629" i="7" s="1"/>
  <c r="J629" i="7"/>
  <c r="E887" i="7"/>
  <c r="J887" i="7"/>
  <c r="J27" i="7"/>
  <c r="J213" i="7"/>
  <c r="L633" i="7"/>
  <c r="M633" i="7" s="1"/>
  <c r="J633" i="7"/>
  <c r="L438" i="7"/>
  <c r="M438" i="7" s="1"/>
  <c r="J438" i="7"/>
  <c r="L283" i="7"/>
  <c r="M283" i="7" s="1"/>
  <c r="J283" i="7"/>
  <c r="J474" i="7"/>
  <c r="E189" i="7"/>
  <c r="J189" i="7"/>
  <c r="L644" i="7"/>
  <c r="M644" i="7" s="1"/>
  <c r="J644" i="7"/>
  <c r="E10" i="7"/>
  <c r="J10" i="7"/>
  <c r="E863" i="7"/>
  <c r="J863" i="7"/>
  <c r="J310" i="7"/>
  <c r="L282" i="7"/>
  <c r="M282" i="7" s="1"/>
  <c r="J282" i="7"/>
  <c r="E284" i="7"/>
  <c r="J284" i="7"/>
  <c r="L667" i="7"/>
  <c r="M667" i="7" s="1"/>
  <c r="J667" i="7"/>
  <c r="E252" i="7"/>
  <c r="J252" i="7"/>
  <c r="L892" i="7"/>
  <c r="M892" i="7" s="1"/>
  <c r="J892" i="7"/>
  <c r="L116" i="7"/>
  <c r="M116" i="7" s="1"/>
  <c r="J116" i="7"/>
  <c r="L638" i="7"/>
  <c r="M638" i="7" s="1"/>
  <c r="J638" i="7"/>
  <c r="E787" i="7"/>
  <c r="J787" i="7"/>
  <c r="L488" i="7"/>
  <c r="M488" i="7" s="1"/>
  <c r="J488" i="7"/>
  <c r="E465" i="7"/>
  <c r="J465" i="7"/>
  <c r="E220" i="7"/>
  <c r="J220" i="7"/>
  <c r="E747" i="7"/>
  <c r="J747" i="7"/>
  <c r="J648" i="7"/>
  <c r="E1055" i="7"/>
  <c r="J1055" i="7"/>
  <c r="J498" i="7"/>
  <c r="E50" i="7"/>
  <c r="J50" i="7"/>
  <c r="E685" i="7"/>
  <c r="J685" i="7"/>
  <c r="J459" i="7"/>
  <c r="J377" i="7"/>
  <c r="J351" i="7"/>
  <c r="E218" i="7"/>
  <c r="J218" i="7"/>
  <c r="E75" i="7"/>
  <c r="J75" i="7"/>
  <c r="E74" i="7"/>
  <c r="J74" i="7"/>
  <c r="J683" i="7"/>
  <c r="L847" i="7"/>
  <c r="M847" i="7" s="1"/>
  <c r="J847" i="7"/>
  <c r="J899" i="7"/>
  <c r="E532" i="7"/>
  <c r="J532" i="7"/>
  <c r="L775" i="7"/>
  <c r="M775" i="7" s="1"/>
  <c r="J775" i="7"/>
  <c r="E312" i="7"/>
  <c r="J312" i="7"/>
  <c r="J1021" i="7"/>
  <c r="J891" i="7"/>
  <c r="E737" i="7"/>
  <c r="J737" i="7"/>
  <c r="J727" i="7"/>
  <c r="J1171" i="7"/>
  <c r="E559" i="7"/>
  <c r="J559" i="7"/>
  <c r="E868" i="7"/>
  <c r="J868" i="7"/>
  <c r="E472" i="7"/>
  <c r="J472" i="7"/>
  <c r="E938" i="7"/>
  <c r="J938" i="7"/>
  <c r="J1108" i="7"/>
  <c r="J1006" i="7"/>
  <c r="E1039" i="7"/>
  <c r="J1039" i="7"/>
  <c r="E42" i="7"/>
  <c r="J42" i="7"/>
  <c r="L187" i="7"/>
  <c r="M187" i="7" s="1"/>
  <c r="J187" i="7"/>
  <c r="L266" i="7"/>
  <c r="M266" i="7" s="1"/>
  <c r="J266" i="7"/>
  <c r="E98" i="7"/>
  <c r="J98" i="7"/>
  <c r="E678" i="7"/>
  <c r="J678" i="7"/>
  <c r="J261" i="7"/>
  <c r="E375" i="7"/>
  <c r="J375" i="7"/>
  <c r="L237" i="7"/>
  <c r="M237" i="7" s="1"/>
  <c r="J237" i="7"/>
  <c r="E1028" i="7"/>
  <c r="J1028" i="7"/>
  <c r="J94" i="7"/>
  <c r="E1017" i="7"/>
  <c r="J1017" i="7"/>
  <c r="J335" i="7"/>
  <c r="L174" i="7"/>
  <c r="M174" i="7" s="1"/>
  <c r="J174" i="7"/>
  <c r="E259" i="7"/>
  <c r="J259" i="7"/>
  <c r="E942" i="7"/>
  <c r="J942" i="7"/>
  <c r="J5" i="7"/>
  <c r="E988" i="7"/>
  <c r="J988" i="7"/>
  <c r="J230" i="7"/>
  <c r="J211" i="7"/>
  <c r="L270" i="7"/>
  <c r="M270" i="7" s="1"/>
  <c r="J270" i="7"/>
  <c r="E84" i="7"/>
  <c r="J84" i="7"/>
  <c r="E726" i="7"/>
  <c r="J726" i="7"/>
  <c r="L242" i="7"/>
  <c r="M242" i="7" s="1"/>
  <c r="J242" i="7"/>
  <c r="L955" i="7"/>
  <c r="M955" i="7" s="1"/>
  <c r="J955" i="7"/>
  <c r="E267" i="7"/>
  <c r="J267" i="7"/>
  <c r="E288" i="7"/>
  <c r="J288" i="7"/>
  <c r="L872" i="7"/>
  <c r="J872" i="7"/>
  <c r="E646" i="7"/>
  <c r="J646" i="7"/>
  <c r="L395" i="7"/>
  <c r="M395" i="7" s="1"/>
  <c r="J395" i="7"/>
  <c r="E698" i="7"/>
  <c r="J698" i="7"/>
  <c r="J861" i="7"/>
  <c r="E898" i="7"/>
  <c r="J898" i="7"/>
  <c r="E785" i="7"/>
  <c r="J785" i="7"/>
  <c r="E960" i="7"/>
  <c r="J960" i="7"/>
  <c r="L28" i="7"/>
  <c r="M28" i="7" s="1"/>
  <c r="J28" i="7"/>
  <c r="L23" i="7"/>
  <c r="M23" i="7" s="1"/>
  <c r="J23" i="7"/>
  <c r="E299" i="7"/>
  <c r="J299" i="7"/>
  <c r="J1046" i="7"/>
  <c r="E7" i="7"/>
  <c r="J7" i="7"/>
  <c r="E253" i="7"/>
  <c r="J253" i="7"/>
  <c r="E389" i="7"/>
  <c r="J389" i="7"/>
  <c r="J103" i="7"/>
  <c r="E918" i="7"/>
  <c r="J918" i="7"/>
  <c r="E809" i="7"/>
  <c r="J809" i="7"/>
  <c r="E634" i="7"/>
  <c r="J634" i="7"/>
  <c r="J721" i="7"/>
  <c r="E729" i="7"/>
  <c r="J729" i="7"/>
  <c r="L686" i="7"/>
  <c r="M686" i="7" s="1"/>
  <c r="J686" i="7"/>
  <c r="E970" i="7"/>
  <c r="J970" i="7"/>
  <c r="E511" i="7"/>
  <c r="J511" i="7"/>
  <c r="E401" i="7"/>
  <c r="J401" i="7"/>
  <c r="E430" i="7"/>
  <c r="J430" i="7"/>
  <c r="E236" i="7"/>
  <c r="J236" i="7"/>
  <c r="L822" i="7"/>
  <c r="M822" i="7" s="1"/>
  <c r="J822" i="7"/>
  <c r="E548" i="7"/>
  <c r="E336" i="7"/>
  <c r="J336" i="7"/>
  <c r="E562" i="7"/>
  <c r="J562" i="7"/>
  <c r="E607" i="7"/>
  <c r="J607" i="7"/>
  <c r="L663" i="7"/>
  <c r="M663" i="7" s="1"/>
  <c r="J663" i="7"/>
  <c r="L110" i="7"/>
  <c r="M110" i="7" s="1"/>
  <c r="J110" i="7"/>
  <c r="L273" i="7"/>
  <c r="M273" i="7" s="1"/>
  <c r="J273" i="7"/>
  <c r="L96" i="7"/>
  <c r="M96" i="7" s="1"/>
  <c r="J96" i="7"/>
  <c r="Y150" i="7"/>
  <c r="E48" i="7"/>
  <c r="J48" i="7"/>
  <c r="J842" i="7"/>
  <c r="Y1167" i="7"/>
  <c r="J1167" i="7"/>
  <c r="E699" i="7"/>
  <c r="J699" i="7"/>
  <c r="J1133" i="7"/>
  <c r="E119" i="7"/>
  <c r="J119" i="7"/>
  <c r="J1122" i="7"/>
  <c r="E517" i="7"/>
  <c r="J517" i="7"/>
  <c r="J921" i="7"/>
  <c r="L275" i="7"/>
  <c r="M275" i="7" s="1"/>
  <c r="J275" i="7"/>
  <c r="L695" i="7"/>
  <c r="M695" i="7" s="1"/>
  <c r="J695" i="7"/>
  <c r="E533" i="7"/>
  <c r="J533" i="7"/>
  <c r="L957" i="7"/>
  <c r="J957" i="7"/>
  <c r="L790" i="7"/>
  <c r="M790" i="7" s="1"/>
  <c r="J790" i="7"/>
  <c r="L984" i="7"/>
  <c r="M984" i="7" s="1"/>
  <c r="J984" i="7"/>
  <c r="L944" i="7"/>
  <c r="M944" i="7" s="1"/>
  <c r="J944" i="7"/>
  <c r="J843" i="7"/>
  <c r="J936" i="7"/>
  <c r="J34" i="7"/>
  <c r="Y1066" i="7"/>
  <c r="J1066" i="7"/>
  <c r="E172" i="7"/>
  <c r="J172" i="7"/>
  <c r="E880" i="7"/>
  <c r="J880" i="7"/>
  <c r="E120" i="7"/>
  <c r="J120" i="7"/>
  <c r="E496" i="7"/>
  <c r="J496" i="7"/>
  <c r="J429" i="7"/>
  <c r="L422" i="7"/>
  <c r="M422" i="7" s="1"/>
  <c r="J422" i="7"/>
  <c r="E199" i="7"/>
  <c r="L1002" i="7"/>
  <c r="M1002" i="7" s="1"/>
  <c r="J1002" i="7"/>
  <c r="J811" i="7"/>
  <c r="L276" i="7"/>
  <c r="M276" i="7" s="1"/>
  <c r="J276" i="7"/>
  <c r="E415" i="7"/>
  <c r="J415" i="7"/>
  <c r="L689" i="7"/>
  <c r="M689" i="7" s="1"/>
  <c r="J689" i="7"/>
  <c r="E188" i="7"/>
  <c r="J188" i="7"/>
  <c r="E162" i="7"/>
  <c r="J162" i="7"/>
  <c r="J1134" i="7"/>
  <c r="J49" i="7"/>
  <c r="L325" i="7"/>
  <c r="M325" i="7" s="1"/>
  <c r="J325" i="7"/>
  <c r="E57" i="7"/>
  <c r="J57" i="7"/>
  <c r="E947" i="7"/>
  <c r="J947" i="7"/>
  <c r="E437" i="7"/>
  <c r="J437" i="7"/>
  <c r="L158" i="7"/>
  <c r="M158" i="7" s="1"/>
  <c r="J158" i="7"/>
  <c r="E135" i="7"/>
  <c r="I135" i="7" s="1"/>
  <c r="L909" i="7"/>
  <c r="M909" i="7" s="1"/>
  <c r="J909" i="7"/>
  <c r="E531" i="7"/>
  <c r="J531" i="7"/>
  <c r="E800" i="7"/>
  <c r="J800" i="7"/>
  <c r="E980" i="7"/>
  <c r="J980" i="7"/>
  <c r="J580" i="7"/>
  <c r="E706" i="7"/>
  <c r="I706" i="7" s="1"/>
  <c r="L451" i="7"/>
  <c r="M451" i="7" s="1"/>
  <c r="J451" i="7"/>
  <c r="L217" i="7"/>
  <c r="M217" i="7" s="1"/>
  <c r="J217" i="7"/>
  <c r="E206" i="7"/>
  <c r="J206" i="7"/>
  <c r="L527" i="7"/>
  <c r="M527" i="7" s="1"/>
  <c r="J527" i="7"/>
  <c r="E558" i="7"/>
  <c r="J558" i="7"/>
  <c r="E804" i="7"/>
  <c r="J804" i="7"/>
  <c r="E732" i="7"/>
  <c r="J732" i="7"/>
  <c r="E522" i="7"/>
  <c r="J522" i="7"/>
  <c r="L112" i="7"/>
  <c r="M112" i="7" s="1"/>
  <c r="J112" i="7"/>
  <c r="E618" i="7"/>
  <c r="J618" i="7"/>
  <c r="Y709" i="7"/>
  <c r="J518" i="7"/>
  <c r="E91" i="7"/>
  <c r="J91" i="7"/>
  <c r="J223" i="7"/>
  <c r="E620" i="7"/>
  <c r="J620" i="7"/>
  <c r="J1112" i="7"/>
  <c r="E486" i="7"/>
  <c r="J486" i="7"/>
  <c r="Y975" i="7"/>
  <c r="J975" i="7"/>
  <c r="E904" i="7"/>
  <c r="J904" i="7"/>
  <c r="E441" i="7"/>
  <c r="J441" i="7"/>
  <c r="J1129" i="7"/>
  <c r="E919" i="7"/>
  <c r="J919" i="7"/>
  <c r="L90" i="7"/>
  <c r="M90" i="7" s="1"/>
  <c r="J90" i="7"/>
  <c r="E247" i="7"/>
  <c r="J247" i="7"/>
  <c r="J18" i="7"/>
  <c r="J1092" i="7"/>
  <c r="E248" i="7"/>
  <c r="J248" i="7"/>
  <c r="E1044" i="7"/>
  <c r="J1044" i="7"/>
  <c r="J990" i="7"/>
  <c r="L20" i="7"/>
  <c r="M20" i="7" s="1"/>
  <c r="J20" i="7"/>
  <c r="J658" i="7"/>
  <c r="E221" i="7"/>
  <c r="J221" i="7"/>
  <c r="E858" i="7"/>
  <c r="J858" i="7"/>
  <c r="E840" i="7"/>
  <c r="J840" i="7"/>
  <c r="E788" i="7"/>
  <c r="J788" i="7"/>
  <c r="E884" i="7"/>
  <c r="J884" i="7"/>
  <c r="J102" i="7"/>
  <c r="E411" i="7"/>
  <c r="J411" i="7"/>
  <c r="L457" i="7"/>
  <c r="M457" i="7" s="1"/>
  <c r="J457" i="7"/>
  <c r="J257" i="7"/>
  <c r="E149" i="7"/>
  <c r="I149" i="7" s="1"/>
  <c r="E632" i="7"/>
  <c r="J632" i="7"/>
  <c r="L363" i="7"/>
  <c r="M363" i="7" s="1"/>
  <c r="J363" i="7"/>
  <c r="L171" i="7"/>
  <c r="M171" i="7" s="1"/>
  <c r="J171" i="7"/>
  <c r="E566" i="7"/>
  <c r="J566" i="7"/>
  <c r="E388" i="7"/>
  <c r="J388" i="7"/>
  <c r="E738" i="7"/>
  <c r="J738" i="7"/>
  <c r="E346" i="7"/>
  <c r="J346" i="7"/>
  <c r="J1130" i="7"/>
  <c r="E643" i="7"/>
  <c r="J643" i="7"/>
  <c r="E1177" i="7"/>
  <c r="I1177" i="7" s="1"/>
  <c r="E1166" i="7"/>
  <c r="J1166" i="7"/>
  <c r="E353" i="7"/>
  <c r="J353" i="7"/>
  <c r="J1061" i="7"/>
  <c r="E1064" i="7"/>
  <c r="J1064" i="7"/>
  <c r="E291" i="7"/>
  <c r="J291" i="7"/>
  <c r="E373" i="7"/>
  <c r="J373" i="7"/>
  <c r="Y338" i="7"/>
  <c r="J338" i="7"/>
  <c r="E808" i="7"/>
  <c r="J808" i="7"/>
  <c r="J505" i="7"/>
  <c r="J76" i="7"/>
  <c r="L433" i="7"/>
  <c r="M433" i="7" s="1"/>
  <c r="J433" i="7"/>
  <c r="E802" i="7"/>
  <c r="J802" i="7"/>
  <c r="E684" i="7"/>
  <c r="J684" i="7"/>
  <c r="E572" i="7"/>
  <c r="J572" i="7"/>
  <c r="J897" i="7"/>
  <c r="J606" i="7"/>
  <c r="E414" i="7"/>
  <c r="J776" i="7"/>
  <c r="J24" i="7"/>
  <c r="E612" i="7"/>
  <c r="J612" i="7"/>
  <c r="J1018" i="7"/>
  <c r="L650" i="7"/>
  <c r="M650" i="7" s="1"/>
  <c r="J650" i="7"/>
  <c r="L772" i="7"/>
  <c r="M772" i="7" s="1"/>
  <c r="J772" i="7"/>
  <c r="J8" i="7"/>
  <c r="J323" i="7"/>
  <c r="J1154" i="7"/>
  <c r="E226" i="7"/>
  <c r="J226" i="7"/>
  <c r="E59" i="7"/>
  <c r="E850" i="7"/>
  <c r="J850" i="7"/>
  <c r="E1141" i="7"/>
  <c r="J1141" i="7"/>
  <c r="E481" i="7"/>
  <c r="J481" i="7"/>
  <c r="J523" i="7"/>
  <c r="J1109" i="7"/>
  <c r="E1164" i="7"/>
  <c r="J1164" i="7"/>
  <c r="E227" i="7"/>
  <c r="J227" i="7"/>
  <c r="L949" i="7"/>
  <c r="M949" i="7" s="1"/>
  <c r="J949" i="7"/>
  <c r="Y133" i="7"/>
  <c r="J133" i="7"/>
  <c r="J764" i="7"/>
  <c r="E190" i="7"/>
  <c r="J190" i="7"/>
  <c r="E630" i="7"/>
  <c r="J630" i="7"/>
  <c r="J1001" i="7"/>
  <c r="L58" i="7"/>
  <c r="M58" i="7" s="1"/>
  <c r="J58" i="7"/>
  <c r="L46" i="7"/>
  <c r="M46" i="7" s="1"/>
  <c r="J46" i="7"/>
  <c r="E200" i="7"/>
  <c r="J200" i="7"/>
  <c r="L665" i="7"/>
  <c r="J665" i="7"/>
  <c r="L1014" i="7"/>
  <c r="M1014" i="7" s="1"/>
  <c r="J1014" i="7"/>
  <c r="E201" i="7"/>
  <c r="J201" i="7"/>
  <c r="E197" i="7"/>
  <c r="J197" i="7"/>
  <c r="E125" i="7"/>
  <c r="J125" i="7"/>
  <c r="E625" i="7"/>
  <c r="J625" i="7"/>
  <c r="E67" i="7"/>
  <c r="I67" i="7" s="1"/>
  <c r="E964" i="7"/>
  <c r="J964" i="7"/>
  <c r="E317" i="7"/>
  <c r="J317" i="7"/>
  <c r="E1005" i="7"/>
  <c r="J1005" i="7"/>
  <c r="E1062" i="7"/>
  <c r="J1062" i="7"/>
  <c r="E1116" i="7"/>
  <c r="J1116" i="7"/>
  <c r="E4" i="7"/>
  <c r="J4" i="7"/>
  <c r="E1142" i="7"/>
  <c r="J1142" i="7"/>
  <c r="J816" i="7"/>
  <c r="E1107" i="7"/>
  <c r="J1107" i="7"/>
  <c r="E912" i="7"/>
  <c r="J912" i="7"/>
  <c r="Y1060" i="7"/>
  <c r="J1060" i="7"/>
  <c r="J826" i="7"/>
  <c r="E581" i="7"/>
  <c r="J581" i="7"/>
  <c r="E64" i="7"/>
  <c r="I64" i="7" s="1"/>
  <c r="E777" i="7"/>
  <c r="J777" i="7"/>
  <c r="J279" i="7"/>
  <c r="E744" i="7"/>
  <c r="J744" i="7"/>
  <c r="J501" i="7"/>
  <c r="E419" i="7"/>
  <c r="J419" i="7"/>
  <c r="J555" i="7"/>
  <c r="E362" i="7"/>
  <c r="J362" i="7"/>
  <c r="E294" i="7"/>
  <c r="J294" i="7"/>
  <c r="L875" i="7"/>
  <c r="M875" i="7" s="1"/>
  <c r="J875" i="7"/>
  <c r="E476" i="7"/>
  <c r="J476" i="7"/>
  <c r="E380" i="7"/>
  <c r="J380" i="7"/>
  <c r="J1136" i="7"/>
  <c r="E507" i="7"/>
  <c r="J507" i="7"/>
  <c r="E950" i="7"/>
  <c r="J950" i="7"/>
  <c r="L939" i="7"/>
  <c r="M939" i="7" s="1"/>
  <c r="J939" i="7"/>
  <c r="E836" i="7"/>
  <c r="J836" i="7"/>
  <c r="J801" i="7"/>
  <c r="E1043" i="7"/>
  <c r="J1043" i="7"/>
  <c r="L923" i="7"/>
  <c r="M923" i="7" s="1"/>
  <c r="J923" i="7"/>
  <c r="E471" i="7"/>
  <c r="J471" i="7"/>
  <c r="Y953" i="7"/>
  <c r="J953" i="7"/>
  <c r="L176" i="7"/>
  <c r="M176" i="7" s="1"/>
  <c r="J176" i="7"/>
  <c r="E934" i="7"/>
  <c r="J934" i="7"/>
  <c r="L147" i="7"/>
  <c r="M147" i="7" s="1"/>
  <c r="J453" i="7"/>
  <c r="E337" i="7"/>
  <c r="J337" i="7"/>
  <c r="E713" i="7"/>
  <c r="J713" i="7"/>
  <c r="L603" i="7"/>
  <c r="M603" i="7" s="1"/>
  <c r="J603" i="7"/>
  <c r="L228" i="7"/>
  <c r="M228" i="7" s="1"/>
  <c r="J228" i="7"/>
  <c r="E703" i="7"/>
  <c r="J703" i="7"/>
  <c r="E952" i="7"/>
  <c r="J952" i="7"/>
  <c r="E654" i="7"/>
  <c r="J654" i="7"/>
  <c r="E920" i="7"/>
  <c r="J920" i="7"/>
  <c r="J1156" i="7"/>
  <c r="L736" i="7"/>
  <c r="M736" i="7" s="1"/>
  <c r="J736" i="7"/>
  <c r="E617" i="7"/>
  <c r="J617" i="7"/>
  <c r="L454" i="7"/>
  <c r="M454" i="7" s="1"/>
  <c r="J454" i="7"/>
  <c r="E529" i="7"/>
  <c r="J529" i="7"/>
  <c r="E258" i="7"/>
  <c r="J258" i="7"/>
  <c r="E369" i="7"/>
  <c r="J369" i="7"/>
  <c r="E624" i="7"/>
  <c r="J624" i="7"/>
  <c r="L250" i="7"/>
  <c r="M250" i="7" s="1"/>
  <c r="J250" i="7"/>
  <c r="J107" i="7"/>
  <c r="J636" i="7"/>
  <c r="E530" i="7"/>
  <c r="J530" i="7"/>
  <c r="E635" i="7"/>
  <c r="J635" i="7"/>
  <c r="J1160" i="7"/>
  <c r="L750" i="7"/>
  <c r="M750" i="7" s="1"/>
  <c r="J750" i="7"/>
  <c r="L33" i="7"/>
  <c r="M33" i="7" s="1"/>
  <c r="J33" i="7"/>
  <c r="E461" i="7"/>
  <c r="J461" i="7"/>
  <c r="E264" i="7"/>
  <c r="J264" i="7"/>
  <c r="J31" i="7"/>
  <c r="Y195" i="7"/>
  <c r="J195" i="7"/>
  <c r="L26" i="7"/>
  <c r="M26" i="7" s="1"/>
  <c r="J26" i="7"/>
  <c r="E141" i="7"/>
  <c r="I141" i="7" s="1"/>
  <c r="L534" i="7"/>
  <c r="M534" i="7" s="1"/>
  <c r="J534" i="7"/>
  <c r="J1111" i="7"/>
  <c r="E309" i="7"/>
  <c r="J309" i="7"/>
  <c r="E398" i="7"/>
  <c r="J398" i="7"/>
  <c r="E314" i="7"/>
  <c r="J314" i="7"/>
  <c r="L115" i="7"/>
  <c r="M115" i="7" s="1"/>
  <c r="J115" i="7"/>
  <c r="L449" i="7"/>
  <c r="M449" i="7" s="1"/>
  <c r="J449" i="7"/>
  <c r="E19" i="7"/>
  <c r="J19" i="7"/>
  <c r="E348" i="7"/>
  <c r="J348" i="7"/>
  <c r="L179" i="7"/>
  <c r="M179" i="7" s="1"/>
  <c r="J179" i="7"/>
  <c r="J1161" i="7"/>
  <c r="L114" i="7"/>
  <c r="M114" i="7" s="1"/>
  <c r="J114" i="7"/>
  <c r="E180" i="7"/>
  <c r="J180" i="7"/>
  <c r="J817" i="7"/>
  <c r="L992" i="7"/>
  <c r="M992" i="7" s="1"/>
  <c r="J992" i="7"/>
  <c r="J324" i="7"/>
  <c r="J1146" i="7"/>
  <c r="L712" i="7"/>
  <c r="M712" i="7" s="1"/>
  <c r="J712" i="7"/>
  <c r="E403" i="7"/>
  <c r="J403" i="7"/>
  <c r="E757" i="7"/>
  <c r="J757" i="7"/>
  <c r="E439" i="7"/>
  <c r="J439" i="7"/>
  <c r="J1145" i="7"/>
  <c r="J670" i="7"/>
  <c r="E502" i="7"/>
  <c r="J502" i="7"/>
  <c r="E268" i="7"/>
  <c r="J268" i="7"/>
  <c r="L198" i="7"/>
  <c r="M198" i="7" s="1"/>
  <c r="J198" i="7"/>
  <c r="J99" i="7"/>
  <c r="E359" i="7"/>
  <c r="J359" i="7"/>
  <c r="E781" i="7"/>
  <c r="J781" i="7"/>
  <c r="L860" i="7"/>
  <c r="M860" i="7" s="1"/>
  <c r="J860" i="7"/>
  <c r="E889" i="7"/>
  <c r="J889" i="7"/>
  <c r="E642" i="7"/>
  <c r="J642" i="7"/>
  <c r="L773" i="7"/>
  <c r="M773" i="7" s="1"/>
  <c r="J773" i="7"/>
  <c r="J494" i="7"/>
  <c r="J795" i="7"/>
  <c r="J1139" i="7"/>
  <c r="E108" i="7"/>
  <c r="J108" i="7"/>
  <c r="Y406" i="7"/>
  <c r="J406" i="7"/>
  <c r="E1072" i="7"/>
  <c r="I1072" i="7" s="1"/>
  <c r="L77" i="7"/>
  <c r="M77" i="7" s="1"/>
  <c r="J77" i="7"/>
  <c r="E11" i="7"/>
  <c r="J11" i="7"/>
  <c r="E334" i="7"/>
  <c r="J334" i="7"/>
  <c r="L962" i="7"/>
  <c r="M962" i="7" s="1"/>
  <c r="J962" i="7"/>
  <c r="E845" i="7"/>
  <c r="J845" i="7"/>
  <c r="L238" i="7"/>
  <c r="M238" i="7" s="1"/>
  <c r="J238" i="7"/>
  <c r="L528" i="7"/>
  <c r="M528" i="7" s="1"/>
  <c r="J528" i="7"/>
  <c r="L100" i="7"/>
  <c r="M100" i="7" s="1"/>
  <c r="J100" i="7"/>
  <c r="Y521" i="7"/>
  <c r="J521" i="7"/>
  <c r="L45" i="7"/>
  <c r="M45" i="7" s="1"/>
  <c r="J45" i="7"/>
  <c r="L578" i="7"/>
  <c r="M578" i="7" s="1"/>
  <c r="J578" i="7"/>
  <c r="J959" i="7"/>
  <c r="E1065" i="7"/>
  <c r="J1065" i="7"/>
  <c r="Y1019" i="7"/>
  <c r="J1019" i="7"/>
  <c r="E164" i="7"/>
  <c r="J164" i="7"/>
  <c r="Y1030" i="7"/>
  <c r="J1030" i="7"/>
  <c r="E417" i="7"/>
  <c r="J417" i="7"/>
  <c r="E1032" i="7"/>
  <c r="J1032" i="7"/>
  <c r="E1114" i="7"/>
  <c r="J1114" i="7"/>
  <c r="E386" i="7"/>
  <c r="J386" i="7"/>
  <c r="E246" i="7"/>
  <c r="J246" i="7"/>
  <c r="J1168" i="7"/>
  <c r="E1070" i="7"/>
  <c r="J1070" i="7"/>
  <c r="L657" i="7"/>
  <c r="M657" i="7" s="1"/>
  <c r="J657" i="7"/>
  <c r="E877" i="7"/>
  <c r="J877" i="7"/>
  <c r="J1123" i="7"/>
  <c r="E1024" i="7"/>
  <c r="J1024" i="7"/>
  <c r="J571" i="7"/>
  <c r="L436" i="7"/>
  <c r="M436" i="7" s="1"/>
  <c r="J436" i="7"/>
  <c r="L594" i="7"/>
  <c r="M594" i="7" s="1"/>
  <c r="J594" i="7"/>
  <c r="E366" i="7"/>
  <c r="J366" i="7"/>
  <c r="E153" i="7"/>
  <c r="J153" i="7"/>
  <c r="E397" i="7"/>
  <c r="J397" i="7"/>
  <c r="E434" i="7"/>
  <c r="J434" i="7"/>
  <c r="L969" i="7"/>
  <c r="M969" i="7" s="1"/>
  <c r="J969" i="7"/>
  <c r="E586" i="7"/>
  <c r="J586" i="7"/>
  <c r="E440" i="7"/>
  <c r="J440" i="7"/>
  <c r="J38" i="7"/>
  <c r="E671" i="7"/>
  <c r="J671" i="7"/>
  <c r="L101" i="7"/>
  <c r="M101" i="7" s="1"/>
  <c r="J101" i="7"/>
  <c r="J426" i="7"/>
  <c r="E1165" i="7"/>
  <c r="J1165" i="7"/>
  <c r="J448" i="7"/>
  <c r="J117" i="7"/>
  <c r="L716" i="7"/>
  <c r="M716" i="7" s="1"/>
  <c r="J716" i="7"/>
  <c r="E219" i="7"/>
  <c r="J219" i="7"/>
  <c r="E81" i="7"/>
  <c r="I81" i="7" s="1"/>
  <c r="L177" i="7"/>
  <c r="J177" i="7"/>
  <c r="J435" i="7"/>
  <c r="L995" i="7"/>
  <c r="M995" i="7" s="1"/>
  <c r="J995" i="7"/>
  <c r="L888" i="7"/>
  <c r="M888" i="7" s="1"/>
  <c r="J888" i="7"/>
  <c r="E16" i="7"/>
  <c r="J16" i="7"/>
  <c r="Y680" i="7"/>
  <c r="J680" i="7"/>
  <c r="J879" i="7"/>
  <c r="L392" i="7"/>
  <c r="M392" i="7" s="1"/>
  <c r="J392" i="7"/>
  <c r="E516" i="7"/>
  <c r="J516" i="7"/>
  <c r="L145" i="7"/>
  <c r="M145" i="7" s="1"/>
  <c r="J637" i="7"/>
  <c r="E442" i="7"/>
  <c r="J442" i="7"/>
  <c r="L287" i="7"/>
  <c r="M287" i="7" s="1"/>
  <c r="J287" i="7"/>
  <c r="E491" i="7"/>
  <c r="J491" i="7"/>
  <c r="E700" i="7"/>
  <c r="J700" i="7"/>
  <c r="E344" i="7"/>
  <c r="J344" i="7"/>
  <c r="E163" i="7"/>
  <c r="J163" i="7"/>
  <c r="L15" i="7"/>
  <c r="M15" i="7" s="1"/>
  <c r="J15" i="7"/>
  <c r="E272" i="7"/>
  <c r="J272" i="7"/>
  <c r="E506" i="7"/>
  <c r="J506" i="7"/>
  <c r="E303" i="7"/>
  <c r="J303" i="7"/>
  <c r="E427" i="7"/>
  <c r="J427" i="7"/>
  <c r="E756" i="7"/>
  <c r="J756" i="7"/>
  <c r="E371" i="7"/>
  <c r="J371" i="7"/>
  <c r="E52" i="7"/>
  <c r="J52" i="7"/>
  <c r="E469" i="7"/>
  <c r="J469" i="7"/>
  <c r="J1135" i="7"/>
  <c r="Y550" i="7"/>
  <c r="J550" i="7"/>
  <c r="E854" i="7"/>
  <c r="J854" i="7"/>
  <c r="L408" i="7"/>
  <c r="M408" i="7" s="1"/>
  <c r="J408" i="7"/>
  <c r="E823" i="7"/>
  <c r="J823" i="7"/>
  <c r="J951" i="7"/>
  <c r="J911" i="7"/>
  <c r="E538" i="7"/>
  <c r="J538" i="7"/>
  <c r="E758" i="7"/>
  <c r="J758" i="7"/>
  <c r="E262" i="7"/>
  <c r="J262" i="7"/>
  <c r="E410" i="7"/>
  <c r="J410" i="7"/>
  <c r="J306" i="7"/>
  <c r="J846" i="7"/>
  <c r="E233" i="7"/>
  <c r="J233" i="7"/>
  <c r="J420" i="7"/>
  <c r="J1056" i="7"/>
  <c r="L492" i="7"/>
  <c r="M492" i="7" s="1"/>
  <c r="J492" i="7"/>
  <c r="E664" i="7"/>
  <c r="J664" i="7"/>
  <c r="E576" i="7"/>
  <c r="J576" i="7"/>
  <c r="J89" i="7"/>
  <c r="L1074" i="7"/>
  <c r="M1074" i="7" s="1"/>
  <c r="J1074" i="7"/>
  <c r="E937" i="7"/>
  <c r="J937" i="7"/>
  <c r="E165" i="7"/>
  <c r="J165" i="7"/>
  <c r="E245" i="7"/>
  <c r="J245" i="7"/>
  <c r="E753" i="7"/>
  <c r="J753" i="7"/>
  <c r="E113" i="7"/>
  <c r="J113" i="7"/>
  <c r="E1040" i="7"/>
  <c r="J1040" i="7"/>
  <c r="L910" i="7"/>
  <c r="M910" i="7" s="1"/>
  <c r="J910" i="7"/>
  <c r="J1095" i="7"/>
  <c r="E428" i="7"/>
  <c r="J428" i="7"/>
  <c r="L609" i="7"/>
  <c r="M609" i="7" s="1"/>
  <c r="J609" i="7"/>
  <c r="E543" i="7"/>
  <c r="J543" i="7"/>
  <c r="L628" i="7"/>
  <c r="M628" i="7" s="1"/>
  <c r="J628" i="7"/>
  <c r="L413" i="7"/>
  <c r="M413" i="7" s="1"/>
  <c r="J413" i="7"/>
  <c r="J1115" i="7"/>
  <c r="E330" i="7"/>
  <c r="J330" i="7"/>
  <c r="J255" i="7"/>
  <c r="E662" i="7"/>
  <c r="J662" i="7"/>
  <c r="E271" i="7"/>
  <c r="J271" i="7"/>
  <c r="L203" i="7"/>
  <c r="M203" i="7" s="1"/>
  <c r="L318" i="7"/>
  <c r="M318" i="7" s="1"/>
  <c r="J318" i="7"/>
  <c r="Y672" i="7"/>
  <c r="J672" i="7"/>
  <c r="E610" i="7"/>
  <c r="J610" i="7"/>
  <c r="Y447" i="7"/>
  <c r="J447" i="7"/>
  <c r="E484" i="7"/>
  <c r="J484" i="7"/>
  <c r="L44" i="7"/>
  <c r="M44" i="7" s="1"/>
  <c r="J44" i="7"/>
  <c r="E993" i="7"/>
  <c r="J993" i="7"/>
  <c r="E232" i="7"/>
  <c r="J232" i="7"/>
  <c r="E857" i="7"/>
  <c r="J857" i="7"/>
  <c r="Y254" i="7"/>
  <c r="J254" i="7"/>
  <c r="E70" i="7"/>
  <c r="I70" i="7" s="1"/>
  <c r="E1176" i="7"/>
  <c r="I1176" i="7" s="1"/>
  <c r="E967" i="7"/>
  <c r="J967" i="7"/>
  <c r="L224" i="7"/>
  <c r="M224" i="7" s="1"/>
  <c r="J224" i="7"/>
  <c r="J1015" i="7"/>
  <c r="E994" i="7"/>
  <c r="J994" i="7"/>
  <c r="L583" i="7"/>
  <c r="M583" i="7" s="1"/>
  <c r="J583" i="7"/>
  <c r="J799" i="7"/>
  <c r="L71" i="7"/>
  <c r="M71" i="7" s="1"/>
  <c r="J235" i="7"/>
  <c r="J274" i="7"/>
  <c r="E328" i="7"/>
  <c r="J328" i="7"/>
  <c r="L367" i="7"/>
  <c r="M367" i="7" s="1"/>
  <c r="J367" i="7"/>
  <c r="E819" i="7"/>
  <c r="J819" i="7"/>
  <c r="E669" i="7"/>
  <c r="J669" i="7"/>
  <c r="J43" i="7"/>
  <c r="E313" i="7"/>
  <c r="J313" i="7"/>
  <c r="L869" i="7"/>
  <c r="M869" i="7" s="1"/>
  <c r="J869" i="7"/>
  <c r="E269" i="7"/>
  <c r="J269" i="7"/>
  <c r="J1051" i="7"/>
  <c r="E1158" i="7"/>
  <c r="J1158" i="7"/>
  <c r="L878" i="7"/>
  <c r="M878" i="7" s="1"/>
  <c r="J878" i="7"/>
  <c r="E585" i="7"/>
  <c r="J585" i="7"/>
  <c r="E741" i="7"/>
  <c r="J741" i="7"/>
  <c r="E424" i="7"/>
  <c r="J424" i="7"/>
  <c r="E82" i="7"/>
  <c r="I82" i="7" s="1"/>
  <c r="J717" i="7"/>
  <c r="E376" i="7"/>
  <c r="J376" i="7"/>
  <c r="E696" i="7"/>
  <c r="J696" i="7"/>
  <c r="E132" i="7"/>
  <c r="I132" i="7" s="1"/>
  <c r="E794" i="7"/>
  <c r="J794" i="7"/>
  <c r="E186" i="7"/>
  <c r="J186" i="7"/>
  <c r="E207" i="7"/>
  <c r="J207" i="7"/>
  <c r="L412" i="7"/>
  <c r="M412" i="7" s="1"/>
  <c r="J412" i="7"/>
  <c r="L208" i="7"/>
  <c r="M208" i="7" s="1"/>
  <c r="J208" i="7"/>
  <c r="E600" i="7"/>
  <c r="J600" i="7"/>
  <c r="L443" i="7"/>
  <c r="M443" i="7" s="1"/>
  <c r="J443" i="7"/>
  <c r="Y514" i="7"/>
  <c r="J514" i="7"/>
  <c r="E1009" i="7"/>
  <c r="J1009" i="7"/>
  <c r="E138" i="7"/>
  <c r="I138" i="7" s="1"/>
  <c r="L1082" i="7"/>
  <c r="M1082" i="7" s="1"/>
  <c r="J1082" i="7"/>
  <c r="L838" i="7"/>
  <c r="M838" i="7" s="1"/>
  <c r="J838" i="7"/>
  <c r="J298" i="7"/>
  <c r="E385" i="7"/>
  <c r="J385" i="7"/>
  <c r="E129" i="7"/>
  <c r="I129" i="7" s="1"/>
  <c r="E128" i="7"/>
  <c r="I128" i="7" s="1"/>
  <c r="L368" i="7"/>
  <c r="M368" i="7" s="1"/>
  <c r="J368" i="7"/>
  <c r="E627" i="7"/>
  <c r="J627" i="7"/>
  <c r="L126" i="7"/>
  <c r="M126" i="7" s="1"/>
  <c r="E704" i="7"/>
  <c r="I704" i="7" s="1"/>
  <c r="E568" i="7"/>
  <c r="J568" i="7"/>
  <c r="L143" i="7"/>
  <c r="M143" i="7" s="1"/>
  <c r="E404" i="7"/>
  <c r="J404" i="7"/>
  <c r="J991" i="7"/>
  <c r="L945" i="7"/>
  <c r="M945" i="7" s="1"/>
  <c r="J945" i="7"/>
  <c r="L370" i="7"/>
  <c r="M370" i="7" s="1"/>
  <c r="J370" i="7"/>
  <c r="L181" i="7"/>
  <c r="M181" i="7" s="1"/>
  <c r="J181" i="7"/>
  <c r="J864" i="7"/>
  <c r="L160" i="7"/>
  <c r="M160" i="7" s="1"/>
  <c r="J160" i="7"/>
  <c r="J1147" i="7"/>
  <c r="E1169" i="7"/>
  <c r="J1169" i="7"/>
  <c r="E1054" i="7"/>
  <c r="J1054" i="7"/>
  <c r="E320" i="7"/>
  <c r="J320" i="7"/>
  <c r="J47" i="7"/>
  <c r="J996" i="7"/>
  <c r="E357" i="7"/>
  <c r="J357" i="7"/>
  <c r="E626" i="7"/>
  <c r="J626" i="7"/>
  <c r="J832" i="7"/>
  <c r="E925" i="7"/>
  <c r="J925" i="7"/>
  <c r="E485" i="7"/>
  <c r="J485" i="7"/>
  <c r="J205" i="7"/>
  <c r="J831" i="7"/>
  <c r="E855" i="7"/>
  <c r="J855" i="7"/>
  <c r="J871" i="7"/>
  <c r="E765" i="7"/>
  <c r="J765" i="7"/>
  <c r="J55" i="7"/>
  <c r="E286" i="7"/>
  <c r="J286" i="7"/>
  <c r="E37" i="7"/>
  <c r="J37" i="7"/>
  <c r="E547" i="7"/>
  <c r="J547" i="7"/>
  <c r="J866" i="7"/>
  <c r="E504" i="7"/>
  <c r="J504" i="7"/>
  <c r="E743" i="7"/>
  <c r="J743" i="7"/>
  <c r="J821" i="7"/>
  <c r="E194" i="7"/>
  <c r="J194" i="7"/>
  <c r="L605" i="7"/>
  <c r="M605" i="7" s="1"/>
  <c r="J605" i="7"/>
  <c r="E467" i="7"/>
  <c r="J467" i="7"/>
  <c r="E830" i="7"/>
  <c r="J830" i="7"/>
  <c r="L793" i="7"/>
  <c r="M793" i="7" s="1"/>
  <c r="J793" i="7"/>
  <c r="E900" i="7"/>
  <c r="J900" i="7"/>
  <c r="E445" i="7"/>
  <c r="J445" i="7"/>
  <c r="L332" i="7"/>
  <c r="M332" i="7" s="1"/>
  <c r="J332" i="7"/>
  <c r="E774" i="7"/>
  <c r="J774" i="7"/>
  <c r="E792" i="7"/>
  <c r="J792" i="7"/>
  <c r="Y361" i="7"/>
  <c r="J361" i="7"/>
  <c r="L468" i="7"/>
  <c r="M468" i="7" s="1"/>
  <c r="J468" i="7"/>
  <c r="L724" i="7"/>
  <c r="M724" i="7" s="1"/>
  <c r="J724" i="7"/>
  <c r="L574" i="7"/>
  <c r="M574" i="7" s="1"/>
  <c r="J574" i="7"/>
  <c r="E136" i="7"/>
  <c r="I136" i="7" s="1"/>
  <c r="L928" i="7"/>
  <c r="M928" i="7" s="1"/>
  <c r="J928" i="7"/>
  <c r="E109" i="7"/>
  <c r="J109" i="7"/>
  <c r="E582" i="7"/>
  <c r="J582" i="7"/>
  <c r="L735" i="7"/>
  <c r="M735" i="7" s="1"/>
  <c r="J735" i="7"/>
  <c r="E978" i="7"/>
  <c r="J978" i="7"/>
  <c r="E222" i="7"/>
  <c r="J222" i="7"/>
  <c r="L691" i="7"/>
  <c r="M691" i="7" s="1"/>
  <c r="J691" i="7"/>
  <c r="J780" i="7"/>
  <c r="J1149" i="7"/>
  <c r="E595" i="7"/>
  <c r="J595" i="7"/>
  <c r="Y473" i="7"/>
  <c r="J473" i="7"/>
  <c r="E779" i="7"/>
  <c r="J779" i="7"/>
  <c r="E265" i="7"/>
  <c r="J265" i="7"/>
  <c r="L87" i="7"/>
  <c r="M87" i="7" s="1"/>
  <c r="J87" i="7"/>
  <c r="Y577" i="7"/>
  <c r="J577" i="7"/>
  <c r="L458" i="7"/>
  <c r="M458" i="7" s="1"/>
  <c r="J458" i="7"/>
  <c r="J1094" i="7"/>
  <c r="E131" i="7"/>
  <c r="I131" i="7" s="1"/>
  <c r="E867" i="7"/>
  <c r="J867" i="7"/>
  <c r="L589" i="7"/>
  <c r="M589" i="7" s="1"/>
  <c r="J589" i="7"/>
  <c r="E493" i="7"/>
  <c r="J493" i="7"/>
  <c r="E570" i="7"/>
  <c r="J570" i="7"/>
  <c r="E575" i="7"/>
  <c r="J575" i="7"/>
  <c r="L9" i="7"/>
  <c r="M9" i="7" s="1"/>
  <c r="J9" i="7"/>
  <c r="J372" i="7"/>
  <c r="L446" i="7"/>
  <c r="M446" i="7" s="1"/>
  <c r="J446" i="7"/>
  <c r="J771" i="7"/>
  <c r="E537" i="7"/>
  <c r="J537" i="7"/>
  <c r="E315" i="7"/>
  <c r="J315" i="7"/>
  <c r="J1012" i="7"/>
  <c r="E718" i="7"/>
  <c r="J718" i="7"/>
  <c r="E722" i="7"/>
  <c r="J722" i="7"/>
  <c r="E564" i="7"/>
  <c r="J564" i="7"/>
  <c r="E940" i="7"/>
  <c r="J940" i="7"/>
  <c r="L304" i="7"/>
  <c r="M304" i="7" s="1"/>
  <c r="J304" i="7"/>
  <c r="E421" i="7"/>
  <c r="J421" i="7"/>
  <c r="E396" i="7"/>
  <c r="J396" i="7"/>
  <c r="E763" i="7"/>
  <c r="J763" i="7"/>
  <c r="J905" i="7"/>
  <c r="E828" i="7"/>
  <c r="J828" i="7"/>
  <c r="L690" i="7"/>
  <c r="M690" i="7" s="1"/>
  <c r="J690" i="7"/>
  <c r="E1068" i="7"/>
  <c r="I1068" i="7" s="1"/>
  <c r="L345" i="7"/>
  <c r="M345" i="7" s="1"/>
  <c r="J345" i="7"/>
  <c r="J166" i="7"/>
  <c r="Y631" i="7"/>
  <c r="J631" i="7"/>
  <c r="E295" i="7"/>
  <c r="J295" i="7"/>
  <c r="J693" i="7"/>
  <c r="E825" i="7"/>
  <c r="J825" i="7"/>
  <c r="L463" i="7"/>
  <c r="M463" i="7" s="1"/>
  <c r="J463" i="7"/>
  <c r="L482" i="7"/>
  <c r="M482" i="7" s="1"/>
  <c r="J482" i="7"/>
  <c r="L754" i="7"/>
  <c r="M754" i="7" s="1"/>
  <c r="J754" i="7"/>
  <c r="E432" i="7"/>
  <c r="J432" i="7"/>
  <c r="E156" i="7"/>
  <c r="J156" i="7"/>
  <c r="E243" i="7"/>
  <c r="J243" i="7"/>
  <c r="E965" i="7"/>
  <c r="J965" i="7"/>
  <c r="J381" i="7"/>
  <c r="E354" i="7"/>
  <c r="J354" i="7"/>
  <c r="E148" i="7"/>
  <c r="I148" i="7" s="1"/>
  <c r="E97" i="7"/>
  <c r="J97" i="7"/>
  <c r="E599" i="7"/>
  <c r="J599" i="7"/>
  <c r="L711" i="7"/>
  <c r="M711" i="7" s="1"/>
  <c r="J711" i="7"/>
  <c r="E677" i="7"/>
  <c r="J677" i="7"/>
  <c r="E613" i="7"/>
  <c r="J613" i="7"/>
  <c r="J841" i="7"/>
  <c r="Y400" i="7"/>
  <c r="J400" i="7"/>
  <c r="E290" i="7"/>
  <c r="J290" i="7"/>
  <c r="Y961" i="7"/>
  <c r="J961" i="7"/>
  <c r="J742" i="7"/>
  <c r="J563" i="7"/>
  <c r="E409" i="7"/>
  <c r="J409" i="7"/>
  <c r="J1099" i="7"/>
  <c r="E591" i="7"/>
  <c r="J591" i="7"/>
  <c r="Y805" i="7"/>
  <c r="J805" i="7"/>
  <c r="E784" i="7"/>
  <c r="J784" i="7"/>
  <c r="L21" i="7"/>
  <c r="M21" i="7" s="1"/>
  <c r="J21" i="7"/>
  <c r="L25" i="7"/>
  <c r="M25" i="7" s="1"/>
  <c r="J25" i="7"/>
  <c r="L29" i="7"/>
  <c r="M29" i="7" s="1"/>
  <c r="J29" i="7"/>
  <c r="E61" i="7"/>
  <c r="I61" i="7" s="1"/>
  <c r="J1132" i="7"/>
  <c r="E1050" i="7"/>
  <c r="J1050" i="7"/>
  <c r="E513" i="7"/>
  <c r="J513" i="7"/>
  <c r="E40" i="7"/>
  <c r="J40" i="7"/>
  <c r="E656" i="7"/>
  <c r="J656" i="7"/>
  <c r="L616" i="7"/>
  <c r="M616" i="7" s="1"/>
  <c r="J616" i="7"/>
  <c r="Y151" i="7"/>
  <c r="E622" i="7"/>
  <c r="J622" i="7"/>
  <c r="E204" i="7"/>
  <c r="J204" i="7"/>
  <c r="E509" i="7"/>
  <c r="J509" i="7"/>
  <c r="E405" i="7"/>
  <c r="E701" i="7"/>
  <c r="J701" i="7"/>
  <c r="E305" i="7"/>
  <c r="J305" i="7"/>
  <c r="L810" i="7"/>
  <c r="M810" i="7" s="1"/>
  <c r="J810" i="7"/>
  <c r="L930" i="7"/>
  <c r="M930" i="7" s="1"/>
  <c r="J930" i="7"/>
  <c r="J971" i="7"/>
  <c r="E379" i="7"/>
  <c r="J379" i="7"/>
  <c r="E933" i="7"/>
  <c r="J933" i="7"/>
  <c r="E882" i="7"/>
  <c r="J882" i="7"/>
  <c r="E209" i="7"/>
  <c r="J209" i="7"/>
  <c r="E93" i="7"/>
  <c r="J93" i="7"/>
  <c r="J191" i="7"/>
  <c r="L705" i="7"/>
  <c r="M705" i="7" s="1"/>
  <c r="Y72" i="7"/>
  <c r="J72" i="7"/>
  <c r="E470" i="7"/>
  <c r="J470" i="7"/>
  <c r="J289" i="7"/>
  <c r="E118" i="7"/>
  <c r="J118" i="7"/>
  <c r="J13" i="7"/>
  <c r="E356" i="7"/>
  <c r="J356" i="7"/>
  <c r="J1049" i="7"/>
  <c r="L639" i="7"/>
  <c r="M639" i="7" s="1"/>
  <c r="J639" i="7"/>
  <c r="L789" i="7"/>
  <c r="M789" i="7" s="1"/>
  <c r="J789" i="7"/>
  <c r="E1078" i="7"/>
  <c r="J1078" i="7"/>
  <c r="J1100" i="7"/>
  <c r="E73" i="7"/>
  <c r="J73" i="7"/>
  <c r="Y3" i="7"/>
  <c r="J3" i="7"/>
  <c r="E46" i="7"/>
  <c r="E1031" i="7"/>
  <c r="L960" i="7"/>
  <c r="M960" i="7" s="1"/>
  <c r="L732" i="7"/>
  <c r="M732" i="7" s="1"/>
  <c r="Y960" i="7"/>
  <c r="E422" i="7"/>
  <c r="L354" i="7"/>
  <c r="L919" i="7"/>
  <c r="M919" i="7" s="1"/>
  <c r="E298" i="7"/>
  <c r="E609" i="7"/>
  <c r="E323" i="7"/>
  <c r="E772" i="7"/>
  <c r="Y939" i="7"/>
  <c r="L226" i="7"/>
  <c r="M226" i="7" s="1"/>
  <c r="X179" i="7"/>
  <c r="X966" i="7"/>
  <c r="X278" i="7"/>
  <c r="X700" i="7"/>
  <c r="X1096" i="7"/>
  <c r="X756" i="7"/>
  <c r="X81" i="7"/>
  <c r="X1144" i="7"/>
  <c r="X503" i="7"/>
  <c r="X445" i="7"/>
  <c r="X294" i="7"/>
  <c r="X191" i="7"/>
  <c r="X37" i="7"/>
  <c r="X351" i="7"/>
  <c r="X260" i="7"/>
  <c r="X974" i="7"/>
  <c r="X484" i="7"/>
  <c r="X1077" i="7"/>
  <c r="X246" i="7"/>
  <c r="X901" i="7"/>
  <c r="X174" i="7"/>
  <c r="X362" i="7"/>
  <c r="X104" i="7"/>
  <c r="X891" i="7"/>
  <c r="X442" i="7"/>
  <c r="X1063" i="7"/>
  <c r="X431" i="7"/>
  <c r="X466" i="7"/>
  <c r="X31" i="7"/>
  <c r="X1141" i="7"/>
  <c r="X547" i="7"/>
  <c r="X99" i="7"/>
  <c r="X789" i="7"/>
  <c r="X607" i="7"/>
  <c r="X216" i="7"/>
  <c r="X780" i="7"/>
  <c r="X499" i="7"/>
  <c r="X941" i="7"/>
  <c r="X566" i="7"/>
  <c r="X643" i="7"/>
  <c r="X473" i="7"/>
  <c r="X743" i="7"/>
  <c r="X1043" i="7"/>
  <c r="X981" i="7"/>
  <c r="X1060" i="7"/>
  <c r="X932" i="7"/>
  <c r="X477" i="7"/>
  <c r="X1127" i="7"/>
  <c r="X546" i="7"/>
  <c r="X36" i="7"/>
  <c r="X791" i="7"/>
  <c r="X5" i="7"/>
  <c r="X196" i="7"/>
  <c r="X315" i="7"/>
  <c r="X973" i="7"/>
  <c r="X596" i="7"/>
  <c r="X631" i="7"/>
  <c r="X927" i="7"/>
  <c r="X1010" i="7"/>
  <c r="X212" i="7"/>
  <c r="X660" i="7"/>
  <c r="X752" i="7"/>
  <c r="X1150" i="7"/>
  <c r="X672" i="7"/>
  <c r="X565" i="7"/>
  <c r="X1157" i="7"/>
  <c r="X578" i="7"/>
  <c r="X835" i="7"/>
  <c r="X1093" i="7"/>
  <c r="X128" i="7"/>
  <c r="X447" i="7"/>
  <c r="X361" i="7"/>
  <c r="X40" i="7"/>
  <c r="X708" i="7"/>
  <c r="X66" i="7"/>
  <c r="X126" i="7"/>
  <c r="X616" i="7"/>
  <c r="X44" i="7"/>
  <c r="X852" i="7"/>
  <c r="X568" i="7"/>
  <c r="X1025" i="7"/>
  <c r="X531" i="7"/>
  <c r="X105" i="7"/>
  <c r="X225" i="7"/>
  <c r="X1083" i="7"/>
  <c r="X305" i="7"/>
  <c r="X201" i="7"/>
  <c r="X1103" i="7"/>
  <c r="X994" i="7"/>
  <c r="X1147" i="7"/>
  <c r="X493" i="7"/>
  <c r="X395" i="7"/>
  <c r="X89" i="7"/>
  <c r="X957" i="7"/>
  <c r="X1011" i="7"/>
  <c r="X335" i="7"/>
  <c r="X759" i="7"/>
  <c r="X535" i="7"/>
  <c r="X1135" i="7"/>
  <c r="X481" i="7"/>
  <c r="X1016" i="7"/>
  <c r="X289" i="7"/>
  <c r="X269" i="7"/>
  <c r="X502" i="7"/>
  <c r="X52" i="7"/>
  <c r="X117" i="7"/>
  <c r="X878" i="7"/>
  <c r="X639" i="7"/>
  <c r="X512" i="7"/>
  <c r="X157" i="7"/>
  <c r="X134" i="7"/>
  <c r="X572" i="7"/>
  <c r="X907" i="7"/>
  <c r="X1007" i="7"/>
  <c r="X1047" i="7"/>
  <c r="X1166" i="7"/>
  <c r="X794" i="7"/>
  <c r="X1099" i="7"/>
  <c r="X110" i="7"/>
  <c r="X273" i="7"/>
  <c r="X1170" i="7"/>
  <c r="X695" i="7"/>
  <c r="X818" i="7"/>
  <c r="X681" i="7"/>
  <c r="X1142" i="7"/>
  <c r="X76" i="7"/>
  <c r="X802" i="7"/>
  <c r="X75" i="7"/>
  <c r="X663" i="7"/>
  <c r="X77" i="7"/>
  <c r="X611" i="7"/>
  <c r="X776" i="7"/>
  <c r="X401" i="7"/>
  <c r="X637" i="7"/>
  <c r="X635" i="7"/>
  <c r="X53" i="7"/>
  <c r="X43" i="7"/>
  <c r="X870" i="7"/>
  <c r="X347" i="7"/>
  <c r="X559" i="7"/>
  <c r="X826" i="7"/>
  <c r="X793" i="7"/>
  <c r="X1158" i="7"/>
  <c r="X318" i="7"/>
  <c r="X590" i="7"/>
  <c r="X769" i="7"/>
  <c r="X386" i="7"/>
  <c r="X511" i="7"/>
  <c r="X380" i="7"/>
  <c r="X312" i="7"/>
  <c r="X287" i="7"/>
  <c r="X805" i="7"/>
  <c r="X277" i="7"/>
  <c r="X691" i="7"/>
  <c r="X797" i="7"/>
  <c r="X143" i="7"/>
  <c r="X78" i="7"/>
  <c r="X468" i="7"/>
  <c r="X1104" i="7"/>
  <c r="X724" i="7"/>
  <c r="X1057" i="7"/>
  <c r="X733" i="7"/>
  <c r="X487" i="7"/>
  <c r="X953" i="7"/>
  <c r="X918" i="7"/>
  <c r="X1125" i="7"/>
  <c r="X687" i="7"/>
  <c r="X574" i="7"/>
  <c r="X131" i="7"/>
  <c r="X1138" i="7"/>
  <c r="X610" i="7"/>
  <c r="X745" i="7"/>
  <c r="X764" i="7"/>
  <c r="X483" i="7"/>
  <c r="X417" i="7"/>
  <c r="X874" i="7"/>
  <c r="X851" i="7"/>
  <c r="X668" i="7"/>
  <c r="X558" i="7"/>
  <c r="X370" i="7"/>
  <c r="X480" i="7"/>
  <c r="X87" i="7"/>
  <c r="X829" i="7"/>
  <c r="X344" i="7"/>
  <c r="X418" i="7"/>
  <c r="X107" i="7"/>
  <c r="X882" i="7"/>
  <c r="X575" i="7"/>
  <c r="X737" i="7"/>
  <c r="X992" i="7"/>
  <c r="X38" i="7"/>
  <c r="X440" i="7"/>
  <c r="X586" i="7"/>
  <c r="X856" i="7"/>
  <c r="X1161" i="7"/>
  <c r="X213" i="7"/>
  <c r="X112" i="7"/>
  <c r="X782" i="7"/>
  <c r="X73" i="7"/>
  <c r="X166" i="7"/>
  <c r="X1126" i="7"/>
  <c r="X1058" i="7"/>
  <c r="X1108" i="7"/>
  <c r="X532" i="7"/>
  <c r="X491" i="7"/>
  <c r="X220" i="7"/>
  <c r="X30" i="7"/>
  <c r="X1148" i="7"/>
  <c r="X189" i="7"/>
  <c r="X412" i="7"/>
  <c r="X360" i="7"/>
  <c r="X897" i="7"/>
  <c r="X308" i="7"/>
  <c r="X545" i="7"/>
  <c r="X1071" i="7"/>
  <c r="X912" i="7"/>
  <c r="X506" i="7"/>
  <c r="X175" i="7"/>
  <c r="X123" i="7"/>
  <c r="X172" i="7"/>
  <c r="X32" i="7"/>
  <c r="X443" i="7"/>
  <c r="X1037" i="7"/>
  <c r="X263" i="7"/>
  <c r="X334" i="7"/>
  <c r="X467" i="7"/>
  <c r="X1056" i="7"/>
  <c r="X357" i="7"/>
  <c r="X333" i="7"/>
  <c r="X377" i="7"/>
  <c r="X13" i="7"/>
  <c r="X1040" i="7"/>
  <c r="X1128" i="7"/>
  <c r="X321" i="7"/>
  <c r="X45" i="7"/>
  <c r="X534" i="7"/>
  <c r="X69" i="7"/>
  <c r="X591" i="7"/>
  <c r="X409" i="7"/>
  <c r="X293" i="7"/>
  <c r="X991" i="7"/>
  <c r="X1168" i="7"/>
  <c r="X783" i="7"/>
  <c r="X699" i="7"/>
  <c r="X411" i="7"/>
  <c r="X652" i="7"/>
  <c r="X314" i="7"/>
  <c r="X903" i="7"/>
  <c r="X921" i="7"/>
  <c r="X1094" i="7"/>
  <c r="X195" i="7"/>
  <c r="X1102" i="7"/>
  <c r="X543" i="7"/>
  <c r="X627" i="7"/>
  <c r="X1019" i="7"/>
  <c r="X986" i="7"/>
  <c r="X958" i="7"/>
  <c r="X704" i="7"/>
  <c r="X1030" i="7"/>
  <c r="X1061" i="7"/>
  <c r="X900" i="7"/>
  <c r="X626" i="7"/>
  <c r="X659" i="7"/>
  <c r="X955" i="7"/>
  <c r="X913" i="7"/>
  <c r="X389" i="7"/>
  <c r="X727" i="7"/>
  <c r="X133" i="7"/>
  <c r="X746" i="7"/>
  <c r="X21" i="7"/>
  <c r="X387" i="7"/>
  <c r="X296" i="7"/>
  <c r="X778" i="7"/>
  <c r="X368" i="7"/>
  <c r="X295" i="7"/>
  <c r="X954" i="7"/>
  <c r="X393" i="7"/>
  <c r="X343" i="7"/>
  <c r="X369" i="7"/>
  <c r="X844" i="7"/>
  <c r="X952" i="7"/>
  <c r="X567" i="7"/>
  <c r="X538" i="7"/>
  <c r="X350" i="7"/>
  <c r="X1119" i="7"/>
  <c r="X1041" i="7"/>
  <c r="X436" i="7"/>
  <c r="X810" i="7"/>
  <c r="X1085" i="7"/>
  <c r="X669" i="7"/>
  <c r="X1034" i="7"/>
  <c r="X83" i="7"/>
  <c r="X800" i="7"/>
  <c r="X799" i="7"/>
  <c r="X209" i="7"/>
  <c r="X71" i="7"/>
  <c r="X684" i="7"/>
  <c r="X846" i="7"/>
  <c r="X1156" i="7"/>
  <c r="X718" i="7"/>
  <c r="X804" i="7"/>
  <c r="X717" i="7"/>
  <c r="X91" i="7"/>
  <c r="X359" i="7"/>
  <c r="X688" i="7"/>
  <c r="X753" i="7"/>
  <c r="X317" i="7"/>
  <c r="X222" i="7"/>
  <c r="X836" i="7"/>
  <c r="X1078" i="7"/>
  <c r="X486" i="7"/>
  <c r="X457" i="7"/>
  <c r="X1012" i="7"/>
  <c r="X429" i="7"/>
  <c r="X608" i="7"/>
  <c r="X1110" i="7"/>
  <c r="X252" i="7"/>
  <c r="X1130" i="7"/>
  <c r="X721" i="7"/>
  <c r="X899" i="7"/>
  <c r="X555" i="7"/>
  <c r="X306" i="7"/>
  <c r="X845" i="7"/>
  <c r="X520" i="7"/>
  <c r="X683" i="7"/>
  <c r="X978" i="7"/>
  <c r="X556" i="7"/>
  <c r="X441" i="7"/>
  <c r="E995" i="7"/>
  <c r="X285" i="7"/>
  <c r="X651" i="7"/>
  <c r="X849" i="7"/>
  <c r="X1035" i="7"/>
  <c r="X881" i="7"/>
  <c r="X550" i="7"/>
  <c r="X1027" i="7"/>
  <c r="X25" i="7"/>
  <c r="X247" i="7"/>
  <c r="X136" i="7"/>
  <c r="X29" i="7"/>
  <c r="X297" i="7"/>
  <c r="X475" i="7"/>
  <c r="X300" i="7"/>
  <c r="X146" i="7"/>
  <c r="X1160" i="7"/>
  <c r="X513" i="7"/>
  <c r="X656" i="7"/>
  <c r="X731" i="7"/>
  <c r="X646" i="7"/>
  <c r="X204" i="7"/>
  <c r="X319" i="7"/>
  <c r="X837" i="7"/>
  <c r="X595" i="7"/>
  <c r="X593" i="7"/>
  <c r="X1163" i="7"/>
  <c r="X253" i="7"/>
  <c r="X904" i="7"/>
  <c r="X971" i="7"/>
  <c r="X57" i="7"/>
  <c r="X570" i="7"/>
  <c r="X476" i="7"/>
  <c r="X1044" i="7"/>
  <c r="X453" i="7"/>
  <c r="X495" i="7"/>
  <c r="X1026" i="7"/>
  <c r="X415" i="7"/>
  <c r="X372" i="7"/>
  <c r="X1066" i="7"/>
  <c r="X930" i="7"/>
  <c r="X523" i="7"/>
  <c r="X356" i="7"/>
  <c r="X943" i="7"/>
  <c r="X781" i="7"/>
  <c r="X1087" i="7"/>
  <c r="X469" i="7"/>
  <c r="X451" i="7"/>
  <c r="X298" i="7"/>
  <c r="X1177" i="7"/>
  <c r="X740" i="7"/>
  <c r="X388" i="7"/>
  <c r="X168" i="7"/>
  <c r="X138" i="7"/>
  <c r="X9" i="7"/>
  <c r="X612" i="7"/>
  <c r="X625" i="7"/>
  <c r="X693" i="7"/>
  <c r="X540" i="7"/>
  <c r="X1107" i="7"/>
  <c r="X868" i="7"/>
  <c r="X24" i="7"/>
  <c r="X245" i="7"/>
  <c r="X505" i="7"/>
  <c r="X391" i="7"/>
  <c r="X579" i="7"/>
  <c r="X114" i="7"/>
  <c r="X989" i="7"/>
  <c r="X55" i="7"/>
  <c r="X670" i="7"/>
  <c r="X609" i="7"/>
  <c r="X1106" i="7"/>
  <c r="X28" i="7"/>
  <c r="X341" i="7"/>
  <c r="X915" i="7"/>
  <c r="X228" i="7"/>
  <c r="X655" i="7"/>
  <c r="X862" i="7"/>
  <c r="X472" i="7"/>
  <c r="X61" i="7"/>
  <c r="X1132" i="7"/>
  <c r="X1079" i="7"/>
  <c r="AE9" i="7" s="1"/>
  <c r="X1105" i="7"/>
  <c r="X620" i="7"/>
  <c r="X719" i="7"/>
  <c r="X883" i="7"/>
  <c r="X1109" i="7"/>
  <c r="X896" i="7"/>
  <c r="X734" i="7"/>
  <c r="X7" i="7"/>
  <c r="X22" i="7"/>
  <c r="X888" i="7"/>
  <c r="X509" i="7"/>
  <c r="X618" i="7"/>
  <c r="X1164" i="7"/>
  <c r="X1024" i="7"/>
  <c r="X1134" i="7"/>
  <c r="X779" i="7"/>
  <c r="X92" i="7"/>
  <c r="X181" i="7"/>
  <c r="X482" i="7"/>
  <c r="X325" i="7"/>
  <c r="X945" i="7"/>
  <c r="X208" i="7"/>
  <c r="X771" i="7"/>
  <c r="X330" i="7"/>
  <c r="X160" i="7"/>
  <c r="X101" i="7"/>
  <c r="X757" i="7"/>
  <c r="X898" i="7"/>
  <c r="X322" i="7"/>
  <c r="X642" i="7"/>
  <c r="X223" i="7"/>
  <c r="X995" i="7"/>
  <c r="X588" i="7"/>
  <c r="X144" i="7"/>
  <c r="X366" i="7"/>
  <c r="X20" i="7"/>
  <c r="X1159" i="7"/>
  <c r="X1070" i="7"/>
  <c r="X1032" i="7"/>
  <c r="X877" i="7"/>
  <c r="X792" i="7"/>
  <c r="X855" i="7"/>
  <c r="X521" i="7"/>
  <c r="X109" i="7"/>
  <c r="X309" i="7"/>
  <c r="X19" i="7"/>
  <c r="X433" i="7"/>
  <c r="X581" i="7"/>
  <c r="X925" i="7"/>
  <c r="X869" i="7"/>
  <c r="X866" i="7"/>
  <c r="X1095" i="7"/>
  <c r="X26" i="7"/>
  <c r="X982" i="7"/>
  <c r="X728" i="7"/>
  <c r="X425" i="7"/>
  <c r="X1023" i="7"/>
  <c r="X715" i="7"/>
  <c r="X795" i="7"/>
  <c r="X374" i="7"/>
  <c r="X722" i="7"/>
  <c r="X124" i="7"/>
  <c r="X784" i="7"/>
  <c r="X510" i="7"/>
  <c r="X679" i="7"/>
  <c r="X474" i="7"/>
  <c r="X709" i="7"/>
  <c r="X18" i="7"/>
  <c r="X633" i="7"/>
  <c r="X1014" i="7"/>
  <c r="X725" i="7"/>
  <c r="X730" i="7"/>
  <c r="X944" i="7"/>
  <c r="X14" i="7"/>
  <c r="X1101" i="7"/>
  <c r="X299" i="7"/>
  <c r="X872" i="7"/>
  <c r="X56" i="7"/>
  <c r="X911" i="7"/>
  <c r="X176" i="7"/>
  <c r="X833" i="7"/>
  <c r="X249" i="7"/>
  <c r="X1046" i="7"/>
  <c r="X645" i="7"/>
  <c r="X95" i="7"/>
  <c r="X622" i="7"/>
  <c r="X178" i="7"/>
  <c r="X1145" i="7"/>
  <c r="X384" i="7"/>
  <c r="X167" i="7"/>
  <c r="X1003" i="7"/>
  <c r="X51" i="7"/>
  <c r="X638" i="7"/>
  <c r="X950" i="7"/>
  <c r="X284" i="7"/>
  <c r="X155" i="7"/>
  <c r="X867" i="7"/>
  <c r="X427" i="7"/>
  <c r="X1089" i="7"/>
  <c r="X613" i="7"/>
  <c r="X742" i="7"/>
  <c r="X537" i="7"/>
  <c r="X292" i="7"/>
  <c r="X137" i="7"/>
  <c r="X662" i="7"/>
  <c r="X748" i="7"/>
  <c r="X617" i="7"/>
  <c r="X165" i="7"/>
  <c r="X1018" i="7"/>
  <c r="X304" i="7"/>
  <c r="X241" i="7"/>
  <c r="X236" i="7"/>
  <c r="X796" i="7"/>
  <c r="X729" i="7"/>
  <c r="X524" i="7"/>
  <c r="X1081" i="7"/>
  <c r="X777" i="7"/>
  <c r="X494" i="7"/>
  <c r="X327" i="7"/>
  <c r="X437" i="7"/>
  <c r="X177" i="7"/>
  <c r="X665" i="7"/>
  <c r="X840" i="7"/>
  <c r="X190" i="7"/>
  <c r="X432" i="7"/>
  <c r="X127" i="7"/>
  <c r="X1001" i="7"/>
  <c r="X404" i="7"/>
  <c r="X1149" i="7"/>
  <c r="X1176" i="7"/>
  <c r="X657" i="7"/>
  <c r="X79" i="7"/>
  <c r="X390" i="7"/>
  <c r="X129" i="7"/>
  <c r="X251" i="7"/>
  <c r="X1065" i="7"/>
  <c r="X1120" i="7"/>
  <c r="X716" i="7"/>
  <c r="X27" i="7"/>
  <c r="X188" i="7"/>
  <c r="X525" i="7"/>
  <c r="X70" i="7"/>
  <c r="X446" i="7"/>
  <c r="X603" i="7"/>
  <c r="X641" i="7"/>
  <c r="X528" i="7"/>
  <c r="X416" i="7"/>
  <c r="X1151" i="7"/>
  <c r="X23" i="7"/>
  <c r="X569" i="7"/>
  <c r="X1036" i="7"/>
  <c r="X342" i="7"/>
  <c r="X258" i="7"/>
  <c r="X786" i="7"/>
  <c r="X154" i="7"/>
  <c r="X834" i="7"/>
  <c r="X1090" i="7"/>
  <c r="X1050" i="7"/>
  <c r="X749" i="7"/>
  <c r="X703" i="7"/>
  <c r="X934" i="7"/>
  <c r="X35" i="7"/>
  <c r="X621" i="7"/>
  <c r="X164" i="7"/>
  <c r="X615" i="7"/>
  <c r="X135" i="7"/>
  <c r="X42" i="7"/>
  <c r="X282" i="7"/>
  <c r="X1111" i="7"/>
  <c r="X266" i="7"/>
  <c r="X147" i="7"/>
  <c r="X892" i="7"/>
  <c r="X530" i="7"/>
  <c r="X261" i="7"/>
  <c r="X464" i="7"/>
  <c r="X707" i="7"/>
  <c r="X301" i="7"/>
  <c r="X920" i="7"/>
  <c r="X754" i="7"/>
  <c r="X698" i="7"/>
  <c r="X890" i="7"/>
  <c r="X339" i="7"/>
  <c r="X814" i="7"/>
  <c r="X414" i="7"/>
  <c r="X1169" i="7"/>
  <c r="X403" i="7"/>
  <c r="X750" i="7"/>
  <c r="X1155" i="7"/>
  <c r="X88" i="7"/>
  <c r="X828" i="7"/>
  <c r="X1091" i="7"/>
  <c r="X302" i="7"/>
  <c r="X847" i="7"/>
  <c r="X985" i="7"/>
  <c r="X500" i="7"/>
  <c r="X1068" i="7"/>
  <c r="X159" i="7"/>
  <c r="X150" i="7"/>
  <c r="X990" i="7"/>
  <c r="X187" i="7"/>
  <c r="X1048" i="7"/>
  <c r="X696" i="7"/>
  <c r="X448" i="7"/>
  <c r="X1045" i="7"/>
  <c r="X307" i="7"/>
  <c r="X96" i="7"/>
  <c r="X346" i="7"/>
  <c r="X541" i="7"/>
  <c r="X1002" i="7"/>
  <c r="X517" i="7"/>
  <c r="X747" i="7"/>
  <c r="X988" i="7"/>
  <c r="X454" i="7"/>
  <c r="X402" i="7"/>
  <c r="X1062" i="7"/>
  <c r="X1115" i="7"/>
  <c r="X987" i="7"/>
  <c r="X1009" i="7"/>
  <c r="X822" i="7"/>
  <c r="X348" i="7"/>
  <c r="X116" i="7"/>
  <c r="X773" i="7"/>
  <c r="X807" i="7"/>
  <c r="X275" i="7"/>
  <c r="X413" i="7"/>
  <c r="X257" i="7"/>
  <c r="X1086" i="7"/>
  <c r="X1146" i="7"/>
  <c r="X367" i="7"/>
  <c r="X600" i="7"/>
  <c r="X1153" i="7"/>
  <c r="X408" i="7"/>
  <c r="X962" i="7"/>
  <c r="X397" i="7"/>
  <c r="X936" i="7"/>
  <c r="X765" i="7"/>
  <c r="X4" i="7"/>
  <c r="X450" i="7"/>
  <c r="X630" i="7"/>
  <c r="X598" i="7"/>
  <c r="X373" i="7"/>
  <c r="X576" i="7"/>
  <c r="X151" i="7"/>
  <c r="X916" i="7"/>
  <c r="X276" i="7"/>
  <c r="X180" i="7"/>
  <c r="X1051" i="7"/>
  <c r="E8" i="7"/>
  <c r="X205" i="7"/>
  <c r="X337" i="7"/>
  <c r="X741" i="7"/>
  <c r="X762" i="7"/>
  <c r="X90" i="7"/>
  <c r="X452" i="7"/>
  <c r="X355" i="7"/>
  <c r="X1117" i="7"/>
  <c r="X349" i="7"/>
  <c r="X394" i="7"/>
  <c r="X438" i="7"/>
  <c r="X553" i="7"/>
  <c r="X770" i="7"/>
  <c r="X283" i="7"/>
  <c r="X956" i="7"/>
  <c r="X825" i="7"/>
  <c r="X316" i="7"/>
  <c r="X803" i="7"/>
  <c r="X463" i="7"/>
  <c r="X644" i="7"/>
  <c r="X999" i="7"/>
  <c r="X806" i="7"/>
  <c r="X16" i="7"/>
  <c r="X589" i="7"/>
  <c r="X1033" i="7"/>
  <c r="X459" i="7"/>
  <c r="X434" i="7"/>
  <c r="X365" i="7"/>
  <c r="X564" i="7"/>
  <c r="X232" i="7"/>
  <c r="X149" i="7"/>
  <c r="X552" i="7"/>
  <c r="X254" i="7"/>
  <c r="X736" i="7"/>
  <c r="X980" i="7"/>
  <c r="X692" i="7"/>
  <c r="X1054" i="7"/>
  <c r="X320" i="7"/>
  <c r="X371" i="7"/>
  <c r="X111" i="7"/>
  <c r="L383" i="7"/>
  <c r="M383" i="7" s="1"/>
  <c r="X279" i="7"/>
  <c r="X49" i="7"/>
  <c r="X108" i="7"/>
  <c r="X242" i="7"/>
  <c r="X311" i="7"/>
  <c r="X726" i="7"/>
  <c r="X860" i="7"/>
  <c r="X345" i="7"/>
  <c r="X939" i="7"/>
  <c r="X812" i="7"/>
  <c r="X479" i="7"/>
  <c r="X132" i="7"/>
  <c r="X121" i="7"/>
  <c r="X332" i="7"/>
  <c r="X544" i="7"/>
  <c r="X963" i="7"/>
  <c r="X529" i="7"/>
  <c r="X218" i="7"/>
  <c r="X206" i="7"/>
  <c r="X215" i="7"/>
  <c r="X291" i="7"/>
  <c r="X286" i="7"/>
  <c r="X850" i="7"/>
  <c r="X522" i="7"/>
  <c r="X68" i="7"/>
  <c r="X1092" i="7"/>
  <c r="X329" i="7"/>
  <c r="X906" i="7"/>
  <c r="X184" i="7"/>
  <c r="X238" i="7"/>
  <c r="X439" i="7"/>
  <c r="X697" i="7"/>
  <c r="X917" i="7"/>
  <c r="X1116" i="7"/>
  <c r="X243" i="7"/>
  <c r="X262" i="7"/>
  <c r="X937" i="7"/>
  <c r="X444" i="7"/>
  <c r="X385" i="7"/>
  <c r="X949" i="7"/>
  <c r="X587" i="7"/>
  <c r="X1097" i="7"/>
  <c r="X103" i="7"/>
  <c r="X702" i="7"/>
  <c r="X1100" i="7"/>
  <c r="X584" i="7"/>
  <c r="X231" i="7"/>
  <c r="X823" i="7"/>
  <c r="X1013" i="7"/>
  <c r="X193" i="7"/>
  <c r="X1000" i="7"/>
  <c r="X948" i="7"/>
  <c r="X1042" i="7"/>
  <c r="X557" i="7"/>
  <c r="X1008" i="7"/>
  <c r="X515" i="7"/>
  <c r="X959" i="7"/>
  <c r="X815" i="7"/>
  <c r="X983" i="7"/>
  <c r="X170" i="7"/>
  <c r="X714" i="7"/>
  <c r="X539" i="7"/>
  <c r="X813" i="7"/>
  <c r="X964" i="7"/>
  <c r="X1039" i="7"/>
  <c r="X624" i="7"/>
  <c r="X767" i="7"/>
  <c r="X310" i="7"/>
  <c r="X909" i="7"/>
  <c r="X478" i="7"/>
  <c r="X682" i="7"/>
  <c r="X694" i="7"/>
  <c r="X970" i="7"/>
  <c r="X864" i="7"/>
  <c r="X381" i="7"/>
  <c r="X1069" i="7"/>
  <c r="X527" i="7"/>
  <c r="X93" i="7"/>
  <c r="X470" i="7"/>
  <c r="X969" i="7"/>
  <c r="X1171" i="7"/>
  <c r="X485" i="7"/>
  <c r="X713" i="7"/>
  <c r="X211" i="7"/>
  <c r="X430" i="7"/>
  <c r="X288" i="7"/>
  <c r="X424" i="7"/>
  <c r="X1076" i="7"/>
  <c r="X1022" i="7"/>
  <c r="X186" i="7"/>
  <c r="X419" i="7"/>
  <c r="X808" i="7"/>
  <c r="X420" i="7"/>
  <c r="X619" i="7"/>
  <c r="X376" i="7"/>
  <c r="X363" i="7"/>
  <c r="X1167" i="7"/>
  <c r="X17" i="7"/>
  <c r="X471" i="7"/>
  <c r="X1122" i="7"/>
  <c r="X202" i="7"/>
  <c r="X1121" i="7"/>
  <c r="X396" i="7"/>
  <c r="X858" i="7"/>
  <c r="X582" i="7"/>
  <c r="X1072" i="7"/>
  <c r="X1136" i="7"/>
  <c r="X573" i="7"/>
  <c r="X118" i="7"/>
  <c r="X173" i="7"/>
  <c r="X100" i="7"/>
  <c r="X141" i="7"/>
  <c r="X931" i="7"/>
  <c r="X1067" i="7"/>
  <c r="X323" i="7"/>
  <c r="X1049" i="7"/>
  <c r="X244" i="7"/>
  <c r="X735" i="7"/>
  <c r="X54" i="7"/>
  <c r="X592" i="7"/>
  <c r="X336" i="7"/>
  <c r="X583" i="7"/>
  <c r="X1123" i="7"/>
  <c r="X156" i="7"/>
  <c r="X1139" i="7"/>
  <c r="X255" i="7"/>
  <c r="X230" i="7"/>
  <c r="X905" i="7"/>
  <c r="X221" i="7"/>
  <c r="X839" i="7"/>
  <c r="X240" i="7"/>
  <c r="X542" i="7"/>
  <c r="X406" i="7"/>
  <c r="X886" i="7"/>
  <c r="X183" i="7"/>
  <c r="X1029" i="7"/>
  <c r="X214" i="7"/>
  <c r="X461" i="7"/>
  <c r="X152" i="7"/>
  <c r="X788" i="7"/>
  <c r="X976" i="7"/>
  <c r="X1124" i="7"/>
  <c r="X1133" i="7"/>
  <c r="X10" i="7"/>
  <c r="X86" i="7"/>
  <c r="X234" i="7"/>
  <c r="X711" i="7"/>
  <c r="X1015" i="7"/>
  <c r="X392" i="7"/>
  <c r="X65" i="7"/>
  <c r="X686" i="7"/>
  <c r="X853" i="7"/>
  <c r="X379" i="7"/>
  <c r="X497" i="7"/>
  <c r="X739" i="7"/>
  <c r="X39" i="7"/>
  <c r="X227" i="7"/>
  <c r="X533" i="7"/>
  <c r="X830" i="7"/>
  <c r="X62" i="7"/>
  <c r="X606" i="7"/>
  <c r="X751" i="7"/>
  <c r="X908" i="7"/>
  <c r="X250" i="7"/>
  <c r="X577" i="7"/>
  <c r="X940" i="7"/>
  <c r="X358" i="7"/>
  <c r="X843" i="7"/>
  <c r="X1118" i="7"/>
  <c r="X798" i="7"/>
  <c r="X161" i="7"/>
  <c r="X428" i="7"/>
  <c r="X929" i="7"/>
  <c r="X827" i="7"/>
  <c r="X938" i="7"/>
  <c r="X328" i="7"/>
  <c r="X551" i="7"/>
  <c r="X914" i="7"/>
  <c r="X58" i="7"/>
  <c r="X1028" i="7"/>
  <c r="X303" i="7"/>
  <c r="X518" i="7"/>
  <c r="X460" i="7"/>
  <c r="X926" i="7"/>
  <c r="X64" i="7"/>
  <c r="X809" i="7"/>
  <c r="X893" i="7"/>
  <c r="X1162" i="7"/>
  <c r="X876" i="7"/>
  <c r="X171" i="7"/>
  <c r="X48" i="7"/>
  <c r="X1088" i="7"/>
  <c r="X629" i="7"/>
  <c r="X712" i="7"/>
  <c r="X993" i="7"/>
  <c r="X526" i="7"/>
  <c r="X889" i="7"/>
  <c r="X675" i="7"/>
  <c r="X400" i="7"/>
  <c r="X399" i="7"/>
  <c r="X998" i="7"/>
  <c r="X628" i="7"/>
  <c r="X894" i="7"/>
  <c r="X895" i="7"/>
  <c r="X148" i="7"/>
  <c r="X928" i="7"/>
  <c r="X676" i="7"/>
  <c r="X1173" i="7"/>
  <c r="X946" i="7"/>
  <c r="X508" i="7"/>
  <c r="X97" i="7"/>
  <c r="X239" i="7"/>
  <c r="X140" i="7"/>
  <c r="X1174" i="7"/>
  <c r="X924" i="7"/>
  <c r="X859" i="7"/>
  <c r="X192" i="7"/>
  <c r="X119" i="7"/>
  <c r="X455" i="7"/>
  <c r="X290" i="7"/>
  <c r="X678" i="7"/>
  <c r="X667" i="7"/>
  <c r="X673" i="7"/>
  <c r="X488" i="7"/>
  <c r="X623" i="7"/>
  <c r="X94" i="7"/>
  <c r="X1017" i="7"/>
  <c r="X185" i="7"/>
  <c r="X142" i="7"/>
  <c r="X1055" i="7"/>
  <c r="X594" i="7"/>
  <c r="X72" i="7"/>
  <c r="X492" i="7"/>
  <c r="X153" i="7"/>
  <c r="X210" i="7"/>
  <c r="X15" i="7"/>
  <c r="X785" i="7"/>
  <c r="X705" i="7"/>
  <c r="X790" i="7"/>
  <c r="X811" i="7"/>
  <c r="X33" i="7"/>
  <c r="X755" i="7"/>
  <c r="X871" i="7"/>
  <c r="X198" i="7"/>
  <c r="X902" i="7"/>
  <c r="X268" i="7"/>
  <c r="X880" i="7"/>
  <c r="X649" i="7"/>
  <c r="X496" i="7"/>
  <c r="X585" i="7"/>
  <c r="X801" i="7"/>
  <c r="X923" i="7"/>
  <c r="X462" i="7"/>
  <c r="X680" i="7"/>
  <c r="X80" i="7"/>
  <c r="X331" i="7"/>
  <c r="X382" i="7"/>
  <c r="X102" i="7"/>
  <c r="X723" i="7"/>
  <c r="X1075" i="7"/>
  <c r="X710" i="7"/>
  <c r="X85" i="7"/>
  <c r="X1074" i="7"/>
  <c r="X816" i="7"/>
  <c r="X614" i="7"/>
  <c r="X605" i="7"/>
  <c r="X163" i="7"/>
  <c r="X648" i="7"/>
  <c r="X120" i="7"/>
  <c r="L1175" i="7"/>
  <c r="M1175" i="7" s="1"/>
  <c r="X456" i="7"/>
  <c r="X1053" i="7"/>
  <c r="X720" i="7"/>
  <c r="X933" i="7"/>
  <c r="X125" i="7"/>
  <c r="X197" i="7"/>
  <c r="X968" i="7"/>
  <c r="X942" i="7"/>
  <c r="X82" i="7"/>
  <c r="X158" i="7"/>
  <c r="X229" i="7"/>
  <c r="X738" i="7"/>
  <c r="X820" i="7"/>
  <c r="X636" i="7"/>
  <c r="X458" i="7"/>
  <c r="X647" i="7"/>
  <c r="X426" i="7"/>
  <c r="X74" i="7"/>
  <c r="X1080" i="7"/>
  <c r="X1005" i="7"/>
  <c r="X375" i="7"/>
  <c r="X653" i="7"/>
  <c r="X677" i="7"/>
  <c r="X561" i="7"/>
  <c r="X421" i="7"/>
  <c r="X267" i="7"/>
  <c r="X203" i="7"/>
  <c r="X979" i="7"/>
  <c r="X364" i="7"/>
  <c r="X951" i="7"/>
  <c r="X599" i="7"/>
  <c r="X885" i="7"/>
  <c r="X597" i="7"/>
  <c r="X226" i="7"/>
  <c r="X549" i="7"/>
  <c r="X1098" i="7"/>
  <c r="X997" i="7"/>
  <c r="X271" i="7"/>
  <c r="X1172" i="7"/>
  <c r="X1131" i="7"/>
  <c r="X490" i="7"/>
  <c r="X824" i="7"/>
  <c r="X922" i="7"/>
  <c r="X1137" i="7"/>
  <c r="X248" i="7"/>
  <c r="X200" i="7"/>
  <c r="X407" i="7"/>
  <c r="X12" i="7"/>
  <c r="X1006" i="7"/>
  <c r="X879" i="7"/>
  <c r="X1113" i="7"/>
  <c r="X884" i="7"/>
  <c r="X1073" i="7"/>
  <c r="X1114" i="7"/>
  <c r="X207" i="7"/>
  <c r="X514" i="7"/>
  <c r="X98" i="7"/>
  <c r="X1152" i="7"/>
  <c r="X601" i="7"/>
  <c r="X1004" i="7"/>
  <c r="X139" i="7"/>
  <c r="X47" i="7"/>
  <c r="X516" i="7"/>
  <c r="X340" i="7"/>
  <c r="X972" i="7"/>
  <c r="X873" i="7"/>
  <c r="X775" i="7"/>
  <c r="X1038" i="7"/>
  <c r="X935" i="7"/>
  <c r="X560" i="7"/>
  <c r="X602" i="7"/>
  <c r="X947" i="7"/>
  <c r="X832" i="7"/>
  <c r="X817" i="7"/>
  <c r="X671" i="7"/>
  <c r="X1140" i="7"/>
  <c r="X838" i="7"/>
  <c r="X831" i="7"/>
  <c r="X768" i="7"/>
  <c r="X270" i="7"/>
  <c r="X1021" i="7"/>
  <c r="X571" i="7"/>
  <c r="X34" i="7"/>
  <c r="X8" i="7"/>
  <c r="X562" i="7"/>
  <c r="X1154" i="7"/>
  <c r="X3" i="7"/>
  <c r="L272" i="7"/>
  <c r="M272" i="7" s="1"/>
  <c r="L858" i="7"/>
  <c r="M858" i="7" s="1"/>
  <c r="E166" i="7"/>
  <c r="L206" i="7"/>
  <c r="M206" i="7" s="1"/>
  <c r="E939" i="7"/>
  <c r="L529" i="7"/>
  <c r="M529" i="7" s="1"/>
  <c r="L471" i="7"/>
  <c r="M471" i="7" s="1"/>
  <c r="L359" i="7"/>
  <c r="M359" i="7" s="1"/>
  <c r="L642" i="7"/>
  <c r="M642" i="7" s="1"/>
  <c r="Y836" i="7"/>
  <c r="L1043" i="7"/>
  <c r="M1043" i="7" s="1"/>
  <c r="E801" i="7"/>
  <c r="L857" i="7"/>
  <c r="M857" i="7" s="1"/>
  <c r="E923" i="7"/>
  <c r="E1154" i="7"/>
  <c r="L889" i="7"/>
  <c r="M889" i="7" s="1"/>
  <c r="E860" i="7"/>
  <c r="L236" i="7"/>
  <c r="M236" i="7" s="1"/>
  <c r="L562" i="7"/>
  <c r="M562" i="7" s="1"/>
  <c r="Y323" i="7"/>
  <c r="L880" i="7"/>
  <c r="M880" i="7" s="1"/>
  <c r="E255" i="7"/>
  <c r="L172" i="7"/>
  <c r="M172" i="7" s="1"/>
  <c r="L442" i="7"/>
  <c r="M442" i="7" s="1"/>
  <c r="L255" i="7"/>
  <c r="M255" i="7" s="1"/>
  <c r="L512" i="7"/>
  <c r="M512" i="7" s="1"/>
  <c r="X1175" i="7"/>
  <c r="E457" i="7"/>
  <c r="L385" i="7"/>
  <c r="M385" i="7" s="1"/>
  <c r="Y130" i="7"/>
  <c r="E512" i="7"/>
  <c r="Y981" i="7"/>
  <c r="L429" i="7"/>
  <c r="M429" i="7" s="1"/>
  <c r="E112" i="7"/>
  <c r="E955" i="7"/>
  <c r="E429" i="7"/>
  <c r="E27" i="7"/>
  <c r="E899" i="7"/>
  <c r="L302" i="7"/>
  <c r="M302" i="7" s="1"/>
  <c r="E985" i="7"/>
  <c r="L130" i="7"/>
  <c r="L662" i="7"/>
  <c r="M662" i="7" s="1"/>
  <c r="E683" i="7"/>
  <c r="L899" i="7"/>
  <c r="M899" i="7" s="1"/>
  <c r="L221" i="7"/>
  <c r="M221" i="7" s="1"/>
  <c r="L697" i="7"/>
  <c r="M697" i="7" s="1"/>
  <c r="Y221" i="7"/>
  <c r="L317" i="7"/>
  <c r="M317" i="7" s="1"/>
  <c r="L661" i="7"/>
  <c r="M661" i="7" s="1"/>
  <c r="L496" i="7"/>
  <c r="M496" i="7" s="1"/>
  <c r="L267" i="7"/>
  <c r="M267" i="7" s="1"/>
  <c r="Y288" i="7"/>
  <c r="L600" i="7"/>
  <c r="M600" i="7" s="1"/>
  <c r="L782" i="7"/>
  <c r="M782" i="7" s="1"/>
  <c r="Y858" i="7"/>
  <c r="Y782" i="7"/>
  <c r="E213" i="7"/>
  <c r="E773" i="7"/>
  <c r="E238" i="7"/>
  <c r="E287" i="7"/>
  <c r="E981" i="7"/>
  <c r="L607" i="7"/>
  <c r="M607" i="7" s="1"/>
  <c r="L887" i="7"/>
  <c r="E661" i="7"/>
  <c r="Y899" i="7"/>
  <c r="E1100" i="7"/>
  <c r="E949" i="7"/>
  <c r="E1092" i="7"/>
  <c r="E345" i="7"/>
  <c r="L435" i="7"/>
  <c r="M435" i="7" s="1"/>
  <c r="E103" i="7"/>
  <c r="E1088" i="7"/>
  <c r="I1088" i="7" s="1"/>
  <c r="E223" i="7"/>
  <c r="E435" i="7"/>
  <c r="L441" i="7"/>
  <c r="M441" i="7" s="1"/>
  <c r="Y217" i="7"/>
  <c r="L585" i="7"/>
  <c r="M585" i="7" s="1"/>
  <c r="L219" i="7"/>
  <c r="M219" i="7" s="1"/>
  <c r="E1049" i="7"/>
  <c r="E975" i="7"/>
  <c r="E1095" i="7"/>
  <c r="L975" i="7"/>
  <c r="M975" i="7" s="1"/>
  <c r="L741" i="7"/>
  <c r="M741" i="7" s="1"/>
  <c r="L424" i="7"/>
  <c r="M424" i="7" s="1"/>
  <c r="L1068" i="7"/>
  <c r="M1068" i="7" s="1"/>
  <c r="L743" i="7"/>
  <c r="M743" i="7" s="1"/>
  <c r="E217" i="7"/>
  <c r="L504" i="7"/>
  <c r="E177" i="7"/>
  <c r="E910" i="7"/>
  <c r="L1040" i="7"/>
  <c r="M1040" i="7" s="1"/>
  <c r="E1129" i="7"/>
  <c r="E690" i="7"/>
  <c r="L486" i="7"/>
  <c r="M486" i="7" s="1"/>
  <c r="E693" i="7"/>
  <c r="E821" i="7"/>
  <c r="Y789" i="7"/>
  <c r="Y821" i="7"/>
  <c r="E847" i="7"/>
  <c r="E789" i="7"/>
  <c r="E158" i="7"/>
  <c r="L1049" i="7"/>
  <c r="M1049" i="7" s="1"/>
  <c r="E639" i="7"/>
  <c r="L1078" i="7"/>
  <c r="M1078" i="7" s="1"/>
  <c r="L635" i="7"/>
  <c r="M635" i="7" s="1"/>
  <c r="L520" i="7"/>
  <c r="M520" i="7" s="1"/>
  <c r="Y1078" i="7"/>
  <c r="L726" i="7"/>
  <c r="M726" i="7" s="1"/>
  <c r="E242" i="7"/>
  <c r="E1021" i="7"/>
  <c r="L785" i="7"/>
  <c r="M785" i="7" s="1"/>
  <c r="Y337" i="7"/>
  <c r="L337" i="7"/>
  <c r="M337" i="7" s="1"/>
  <c r="E523" i="7"/>
  <c r="E905" i="7"/>
  <c r="E62" i="7"/>
  <c r="I62" i="7" s="1"/>
  <c r="L763" i="7"/>
  <c r="M763" i="7" s="1"/>
  <c r="E716" i="7"/>
  <c r="L356" i="7"/>
  <c r="M356" i="7" s="1"/>
  <c r="L312" i="7"/>
  <c r="M312" i="7" s="1"/>
  <c r="E878" i="7"/>
  <c r="E838" i="7"/>
  <c r="E689" i="7"/>
  <c r="Y855" i="7"/>
  <c r="L1012" i="7"/>
  <c r="M1012" i="7" s="1"/>
  <c r="L713" i="7"/>
  <c r="M713" i="7" s="1"/>
  <c r="E55" i="7"/>
  <c r="E879" i="7"/>
  <c r="Y269" i="7"/>
  <c r="Y905" i="7"/>
  <c r="L855" i="7"/>
  <c r="M855" i="7" s="1"/>
  <c r="L765" i="7"/>
  <c r="M765" i="7" s="1"/>
  <c r="L289" i="7"/>
  <c r="M289" i="7" s="1"/>
  <c r="L396" i="7"/>
  <c r="M396" i="7" s="1"/>
  <c r="L925" i="7"/>
  <c r="M925" i="7" s="1"/>
  <c r="E871" i="7"/>
  <c r="L670" i="7"/>
  <c r="M670" i="7" s="1"/>
  <c r="E198" i="7"/>
  <c r="E117" i="7"/>
  <c r="L547" i="7"/>
  <c r="M547" i="7" s="1"/>
  <c r="E13" i="7"/>
  <c r="L245" i="7"/>
  <c r="M245" i="7" s="1"/>
  <c r="L828" i="7"/>
  <c r="M828" i="7" s="1"/>
  <c r="E448" i="7"/>
  <c r="L165" i="7"/>
  <c r="M165" i="7" s="1"/>
  <c r="L819" i="7"/>
  <c r="E202" i="7"/>
  <c r="I202" i="7" s="1"/>
  <c r="L970" i="7"/>
  <c r="M970" i="7" s="1"/>
  <c r="E1051" i="7"/>
  <c r="E670" i="7"/>
  <c r="L437" i="7"/>
  <c r="M437" i="7" s="1"/>
  <c r="E866" i="7"/>
  <c r="E869" i="7"/>
  <c r="L274" i="7"/>
  <c r="M274" i="7" s="1"/>
  <c r="E831" i="7"/>
  <c r="L865" i="7"/>
  <c r="M865" i="7" s="1"/>
  <c r="L950" i="7"/>
  <c r="M950" i="7" s="1"/>
  <c r="E43" i="7"/>
  <c r="E289" i="7"/>
  <c r="Y1165" i="7"/>
  <c r="L485" i="7"/>
  <c r="M485" i="7" s="1"/>
  <c r="L205" i="7"/>
  <c r="M205" i="7" s="1"/>
  <c r="L439" i="7"/>
  <c r="M439" i="7" s="1"/>
  <c r="L787" i="7"/>
  <c r="M787" i="7" s="1"/>
  <c r="E99" i="7"/>
  <c r="E1145" i="7"/>
  <c r="L832" i="7"/>
  <c r="M832" i="7" s="1"/>
  <c r="L286" i="7"/>
  <c r="M286" i="7" s="1"/>
  <c r="L502" i="7"/>
  <c r="M502" i="7" s="1"/>
  <c r="L905" i="7"/>
  <c r="M905" i="7" s="1"/>
  <c r="E205" i="7"/>
  <c r="Y768" i="7"/>
  <c r="E1066" i="7"/>
  <c r="E768" i="7"/>
  <c r="L768" i="7"/>
  <c r="M768" i="7" s="1"/>
  <c r="E629" i="7"/>
  <c r="E712" i="7"/>
  <c r="E270" i="7"/>
  <c r="U270" i="7" s="1" a="1"/>
  <c r="U270" i="7" s="1"/>
  <c r="L757" i="7"/>
  <c r="M757" i="7" s="1"/>
  <c r="L897" i="7"/>
  <c r="M897" i="7" s="1"/>
  <c r="L912" i="7"/>
  <c r="M912" i="7" s="1"/>
  <c r="L625" i="7"/>
  <c r="M625" i="7" s="1"/>
  <c r="E702" i="7"/>
  <c r="L444" i="7"/>
  <c r="M444" i="7" s="1"/>
  <c r="E750" i="7"/>
  <c r="E1155" i="7"/>
  <c r="L411" i="7"/>
  <c r="M411" i="7" s="1"/>
  <c r="L753" i="7"/>
  <c r="M753" i="7" s="1"/>
  <c r="L777" i="7"/>
  <c r="M777" i="7" s="1"/>
  <c r="L1004" i="7"/>
  <c r="M1004" i="7" s="1"/>
  <c r="L269" i="7"/>
  <c r="L1054" i="7"/>
  <c r="M1054" i="7" s="1"/>
  <c r="L124" i="7"/>
  <c r="M124" i="7" s="1"/>
  <c r="L507" i="7"/>
  <c r="M507" i="7" s="1"/>
  <c r="L800" i="7"/>
  <c r="M800" i="7" s="1"/>
  <c r="E755" i="7"/>
  <c r="L426" i="7"/>
  <c r="M426" i="7" s="1"/>
  <c r="E101" i="7"/>
  <c r="E426" i="7"/>
  <c r="E1136" i="7"/>
  <c r="E888" i="7"/>
  <c r="L990" i="7"/>
  <c r="M990" i="7" s="1"/>
  <c r="L813" i="7"/>
  <c r="M813" i="7" s="1"/>
  <c r="Y671" i="7"/>
  <c r="L980" i="7"/>
  <c r="M980" i="7" s="1"/>
  <c r="L671" i="7"/>
  <c r="M671" i="7" s="1"/>
  <c r="E969" i="7"/>
  <c r="L937" i="7"/>
  <c r="M937" i="7" s="1"/>
  <c r="L829" i="7"/>
  <c r="M829" i="7" s="1"/>
  <c r="E34" i="7"/>
  <c r="E841" i="7"/>
  <c r="L1024" i="7"/>
  <c r="M1024" i="7" s="1"/>
  <c r="E24" i="7"/>
  <c r="L1018" i="7"/>
  <c r="M1018" i="7" s="1"/>
  <c r="L795" i="7"/>
  <c r="M795" i="7" s="1"/>
  <c r="L612" i="7"/>
  <c r="M612" i="7" s="1"/>
  <c r="Y841" i="7"/>
  <c r="L371" i="7"/>
  <c r="M371" i="7" s="1"/>
  <c r="E230" i="7"/>
  <c r="L230" i="7"/>
  <c r="M230" i="7" s="1"/>
  <c r="L1032" i="7"/>
  <c r="M1032" i="7" s="1"/>
  <c r="E381" i="7"/>
  <c r="L1009" i="7"/>
  <c r="M1009" i="7" s="1"/>
  <c r="L864" i="7"/>
  <c r="M864" i="7" s="1"/>
  <c r="Y612" i="7"/>
  <c r="L764" i="7"/>
  <c r="M764" i="7" s="1"/>
  <c r="L877" i="7"/>
  <c r="M877" i="7" s="1"/>
  <c r="L792" i="7"/>
  <c r="M792" i="7" s="1"/>
  <c r="L845" i="7"/>
  <c r="M845" i="7" s="1"/>
  <c r="L799" i="7"/>
  <c r="M799" i="7" s="1"/>
  <c r="L994" i="7"/>
  <c r="M994" i="7" s="1"/>
  <c r="L1039" i="7"/>
  <c r="M1039" i="7" s="1"/>
  <c r="E1082" i="7"/>
  <c r="L993" i="7"/>
  <c r="M993" i="7" s="1"/>
  <c r="E573" i="7"/>
  <c r="L868" i="7"/>
  <c r="M868" i="7" s="1"/>
  <c r="E637" i="7"/>
  <c r="L867" i="7"/>
  <c r="M867" i="7" s="1"/>
  <c r="L1176" i="7"/>
  <c r="M1176" i="7" s="1"/>
  <c r="L804" i="7"/>
  <c r="M804" i="7" s="1"/>
  <c r="E1018" i="7"/>
  <c r="L637" i="7"/>
  <c r="M637" i="7" s="1"/>
  <c r="L830" i="7"/>
  <c r="M830" i="7" s="1"/>
  <c r="L1070" i="7"/>
  <c r="M1070" i="7" s="1"/>
  <c r="L1062" i="7"/>
  <c r="M1062" i="7" s="1"/>
  <c r="E760" i="7"/>
  <c r="I760" i="7" s="1"/>
  <c r="L808" i="7"/>
  <c r="M808" i="7" s="1"/>
  <c r="E936" i="7"/>
  <c r="L817" i="7"/>
  <c r="M817" i="7" s="1"/>
  <c r="E571" i="7"/>
  <c r="L933" i="7"/>
  <c r="M933" i="7" s="1"/>
  <c r="L1072" i="7"/>
  <c r="M1072" i="7" s="1"/>
  <c r="L863" i="7"/>
  <c r="M863" i="7" s="1"/>
  <c r="E658" i="7"/>
  <c r="L802" i="7"/>
  <c r="M802" i="7" s="1"/>
  <c r="L965" i="7"/>
  <c r="M965" i="7" s="1"/>
  <c r="L843" i="7"/>
  <c r="M843" i="7" s="1"/>
  <c r="E377" i="7"/>
  <c r="L882" i="7"/>
  <c r="M882" i="7" s="1"/>
  <c r="L351" i="7"/>
  <c r="M351" i="7" s="1"/>
  <c r="L988" i="7"/>
  <c r="M988" i="7" s="1"/>
  <c r="E650" i="7"/>
  <c r="L904" i="7"/>
  <c r="M904" i="7" s="1"/>
  <c r="E304" i="7"/>
  <c r="L850" i="7"/>
  <c r="M850" i="7" s="1"/>
  <c r="L879" i="7"/>
  <c r="M879" i="7" s="1"/>
  <c r="L1028" i="7"/>
  <c r="M1028" i="7" s="1"/>
  <c r="L421" i="7"/>
  <c r="M421" i="7" s="1"/>
  <c r="E856" i="7"/>
  <c r="L940" i="7"/>
  <c r="M940" i="7" s="1"/>
  <c r="L947" i="7"/>
  <c r="M947" i="7" s="1"/>
  <c r="L377" i="7"/>
  <c r="M377" i="7" s="1"/>
  <c r="L530" i="7"/>
  <c r="M530" i="7" s="1"/>
  <c r="E873" i="7"/>
  <c r="L873" i="7"/>
  <c r="M873" i="7" s="1"/>
  <c r="E1086" i="7"/>
  <c r="I1086" i="7" s="1"/>
  <c r="L823" i="7"/>
  <c r="M823" i="7" s="1"/>
  <c r="L617" i="7"/>
  <c r="M617" i="7" s="1"/>
  <c r="L1064" i="7"/>
  <c r="L1044" i="7"/>
  <c r="M1044" i="7" s="1"/>
  <c r="E767" i="7"/>
  <c r="L767" i="7"/>
  <c r="M767" i="7" s="1"/>
  <c r="E351" i="7"/>
  <c r="E890" i="7"/>
  <c r="L890" i="7"/>
  <c r="M890" i="7" s="1"/>
  <c r="L779" i="7"/>
  <c r="M779" i="7" s="1"/>
  <c r="L1005" i="7"/>
  <c r="M1005" i="7" s="1"/>
  <c r="L1055" i="7"/>
  <c r="M1055" i="7" s="1"/>
  <c r="E211" i="7"/>
  <c r="E32" i="7"/>
  <c r="J1059" i="7"/>
  <c r="L1059" i="7"/>
  <c r="M1059" i="7" s="1"/>
  <c r="L415" i="7"/>
  <c r="M415" i="7" s="1"/>
  <c r="J837" i="7"/>
  <c r="L837" i="7"/>
  <c r="M837" i="7" s="1"/>
  <c r="L898" i="7"/>
  <c r="M898" i="7" s="1"/>
  <c r="L376" i="7"/>
  <c r="M376" i="7" s="1"/>
  <c r="L780" i="7"/>
  <c r="M780" i="7" s="1"/>
  <c r="L137" i="7"/>
  <c r="M137" i="7" s="1"/>
  <c r="L978" i="7"/>
  <c r="M978" i="7" s="1"/>
  <c r="L809" i="7"/>
  <c r="M809" i="7" s="1"/>
  <c r="L942" i="7"/>
  <c r="M942" i="7" s="1"/>
  <c r="L935" i="7"/>
  <c r="M935" i="7" s="1"/>
  <c r="E1140" i="7"/>
  <c r="E902" i="7"/>
  <c r="L902" i="7"/>
  <c r="M902" i="7" s="1"/>
  <c r="L794" i="7"/>
  <c r="M794" i="7" s="1"/>
  <c r="L968" i="7"/>
  <c r="M968" i="7" s="1"/>
  <c r="L920" i="7"/>
  <c r="M920" i="7" s="1"/>
  <c r="L1017" i="7"/>
  <c r="M1017" i="7" s="1"/>
  <c r="E1052" i="7"/>
  <c r="L1052" i="7"/>
  <c r="M1052" i="7" s="1"/>
  <c r="L481" i="7"/>
  <c r="M481" i="7" s="1"/>
  <c r="E1112" i="7"/>
  <c r="Y940" i="7"/>
  <c r="L967" i="7"/>
  <c r="M967" i="7" s="1"/>
  <c r="E454" i="7"/>
  <c r="L1015" i="7"/>
  <c r="M1015" i="7" s="1"/>
  <c r="L908" i="7"/>
  <c r="M908" i="7" s="1"/>
  <c r="L211" i="7"/>
  <c r="M211" i="7" s="1"/>
  <c r="E451" i="7"/>
  <c r="L1076" i="7"/>
  <c r="M1076" i="7" s="1"/>
  <c r="L774" i="7"/>
  <c r="M774" i="7" s="1"/>
  <c r="L470" i="7"/>
  <c r="M470" i="7" s="1"/>
  <c r="L783" i="7"/>
  <c r="M783" i="7" s="1"/>
  <c r="E853" i="7"/>
  <c r="L853" i="7"/>
  <c r="M853" i="7" s="1"/>
  <c r="E958" i="7"/>
  <c r="L958" i="7"/>
  <c r="M958" i="7" s="1"/>
  <c r="L758" i="7"/>
  <c r="M758" i="7" s="1"/>
  <c r="L964" i="7"/>
  <c r="M964" i="7" s="1"/>
  <c r="L559" i="7"/>
  <c r="M559" i="7" s="1"/>
  <c r="E984" i="7"/>
  <c r="L721" i="7"/>
  <c r="M721" i="7" s="1"/>
  <c r="E18" i="7"/>
  <c r="E721" i="7"/>
  <c r="E843" i="7"/>
  <c r="L18" i="7"/>
  <c r="M18" i="7" s="1"/>
  <c r="AG22" i="7"/>
  <c r="AG33" i="7"/>
  <c r="AG25" i="7"/>
  <c r="AG17" i="7"/>
  <c r="AG28" i="7"/>
  <c r="AG39" i="7"/>
  <c r="AG23" i="7"/>
  <c r="AG20" i="7"/>
  <c r="AG52" i="7"/>
  <c r="AG44" i="7"/>
  <c r="AG43" i="7"/>
  <c r="AG38" i="7"/>
  <c r="AG36" i="7"/>
  <c r="AG47" i="7"/>
  <c r="AG35" i="7"/>
  <c r="AG30" i="7"/>
  <c r="AG50" i="7"/>
  <c r="AG31" i="7"/>
  <c r="AG42" i="7"/>
  <c r="AG53" i="7"/>
  <c r="AG29" i="7"/>
  <c r="AG49" i="7"/>
  <c r="AG19" i="7"/>
  <c r="AG41" i="7"/>
  <c r="AG34" i="7"/>
  <c r="AG45" i="7"/>
  <c r="AG37" i="7"/>
  <c r="AG48" i="7"/>
  <c r="AG18" i="7"/>
  <c r="AG40" i="7"/>
  <c r="AG32" i="7"/>
  <c r="AG26" i="7"/>
  <c r="AG51" i="7"/>
  <c r="AG21" i="7"/>
  <c r="AG24" i="7"/>
  <c r="AG46" i="7"/>
  <c r="AG27" i="7"/>
  <c r="AE49" i="7"/>
  <c r="AE52" i="7"/>
  <c r="AE33" i="7"/>
  <c r="AE36" i="7"/>
  <c r="AE47" i="7"/>
  <c r="AE23" i="7"/>
  <c r="AE32" i="7"/>
  <c r="AE44" i="7"/>
  <c r="AE38" i="7"/>
  <c r="AE39" i="7"/>
  <c r="AE50" i="7"/>
  <c r="AE34" i="7"/>
  <c r="AE24" i="7"/>
  <c r="AE53" i="7"/>
  <c r="AE45" i="7"/>
  <c r="AE35" i="7"/>
  <c r="AE46" i="7"/>
  <c r="AE27" i="7"/>
  <c r="AE30" i="7"/>
  <c r="AE37" i="7"/>
  <c r="AE48" i="7"/>
  <c r="AE29" i="7"/>
  <c r="AE40" i="7"/>
  <c r="AE51" i="7"/>
  <c r="AE19" i="7"/>
  <c r="AE41" i="7"/>
  <c r="AE18" i="7"/>
  <c r="AE21" i="7"/>
  <c r="AE43" i="7"/>
  <c r="AE22" i="7"/>
  <c r="AE25" i="7"/>
  <c r="AE17" i="7"/>
  <c r="AE28" i="7"/>
  <c r="AE20" i="7"/>
  <c r="AE31" i="7"/>
  <c r="AE42" i="7"/>
  <c r="AE26" i="7"/>
  <c r="L459" i="7"/>
  <c r="M459" i="7" s="1"/>
  <c r="E793" i="7"/>
  <c r="E459" i="7"/>
  <c r="L328" i="7"/>
  <c r="M328" i="7" s="1"/>
  <c r="E944" i="7"/>
  <c r="E38" i="7"/>
  <c r="L563" i="7"/>
  <c r="M563" i="7" s="1"/>
  <c r="J414" i="7"/>
  <c r="L414" i="7"/>
  <c r="M414" i="7" s="1"/>
  <c r="L664" i="7"/>
  <c r="M664" i="7" s="1"/>
  <c r="E563" i="7"/>
  <c r="L434" i="7"/>
  <c r="M434" i="7" s="1"/>
  <c r="L397" i="7"/>
  <c r="M397" i="7" s="1"/>
  <c r="L381" i="7"/>
  <c r="M381" i="7" s="1"/>
  <c r="Y969" i="7"/>
  <c r="E776" i="7"/>
  <c r="Y984" i="7"/>
  <c r="L38" i="7"/>
  <c r="M38" i="7" s="1"/>
  <c r="L440" i="7"/>
  <c r="M440" i="7" s="1"/>
  <c r="L586" i="7"/>
  <c r="M586" i="7" s="1"/>
  <c r="Y968" i="7"/>
  <c r="L122" i="7"/>
  <c r="M122" i="7" s="1"/>
  <c r="L706" i="7"/>
  <c r="M706" i="7" s="1"/>
  <c r="E968" i="7"/>
  <c r="J1052" i="7"/>
  <c r="E208" i="7"/>
  <c r="E122" i="7"/>
  <c r="I122" i="7" s="1"/>
  <c r="L63" i="7"/>
  <c r="M63" i="7" s="1"/>
  <c r="J902" i="7"/>
  <c r="E333" i="7"/>
  <c r="E6" i="7"/>
  <c r="L329" i="7"/>
  <c r="M329" i="7" s="1"/>
  <c r="Y717" i="7"/>
  <c r="L333" i="7"/>
  <c r="M333" i="7" s="1"/>
  <c r="L6" i="7"/>
  <c r="M6" i="7" s="1"/>
  <c r="L50" i="7"/>
  <c r="M50" i="7" s="1"/>
  <c r="E20" i="7"/>
  <c r="Y401" i="7"/>
  <c r="L564" i="7"/>
  <c r="M564" i="7" s="1"/>
  <c r="Y1168" i="7"/>
  <c r="E826" i="7"/>
  <c r="L291" i="7"/>
  <c r="M291" i="7" s="1"/>
  <c r="L620" i="7"/>
  <c r="M620" i="7" s="1"/>
  <c r="L72" i="7"/>
  <c r="M72" i="7" s="1"/>
  <c r="E705" i="7"/>
  <c r="I705" i="7" s="1"/>
  <c r="E72" i="7"/>
  <c r="L576" i="7"/>
  <c r="M576" i="7" s="1"/>
  <c r="L669" i="7"/>
  <c r="M669" i="7" s="1"/>
  <c r="E832" i="7"/>
  <c r="L89" i="7"/>
  <c r="M89" i="7" s="1"/>
  <c r="E89" i="7"/>
  <c r="L410" i="7"/>
  <c r="E1171" i="7"/>
  <c r="L277" i="7"/>
  <c r="M277" i="7" s="1"/>
  <c r="E1001" i="7"/>
  <c r="E150" i="7"/>
  <c r="I150" i="7" s="1"/>
  <c r="Y744" i="7"/>
  <c r="E1168" i="7"/>
  <c r="E453" i="7"/>
  <c r="L391" i="7"/>
  <c r="M391" i="7" s="1"/>
  <c r="L202" i="7"/>
  <c r="M202" i="7" s="1"/>
  <c r="E861" i="7"/>
  <c r="L717" i="7"/>
  <c r="M717" i="7" s="1"/>
  <c r="Y277" i="7"/>
  <c r="E367" i="7"/>
  <c r="E1074" i="7"/>
  <c r="Y357" i="7"/>
  <c r="E717" i="7"/>
  <c r="L153" i="7"/>
  <c r="M153" i="7" s="1"/>
  <c r="L180" i="7"/>
  <c r="M180" i="7" s="1"/>
  <c r="E1146" i="7"/>
  <c r="L685" i="7"/>
  <c r="M685" i="7" s="1"/>
  <c r="E9" i="7"/>
  <c r="E742" i="7"/>
  <c r="E325" i="7"/>
  <c r="Y572" i="7"/>
  <c r="L366" i="7"/>
  <c r="M366" i="7" s="1"/>
  <c r="E1135" i="7"/>
  <c r="L572" i="7"/>
  <c r="M572" i="7" s="1"/>
  <c r="Y476" i="7"/>
  <c r="L497" i="7"/>
  <c r="M497" i="7" s="1"/>
  <c r="L626" i="7"/>
  <c r="M626" i="7" s="1"/>
  <c r="E606" i="7"/>
  <c r="E1139" i="7"/>
  <c r="U1139" i="7" s="1" a="1"/>
  <c r="U1139" i="7" s="1"/>
  <c r="L357" i="7"/>
  <c r="M357" i="7" s="1"/>
  <c r="E121" i="7"/>
  <c r="I121" i="7" s="1"/>
  <c r="L606" i="7"/>
  <c r="M606" i="7" s="1"/>
  <c r="L125" i="7"/>
  <c r="M125" i="7" s="1"/>
  <c r="E71" i="7"/>
  <c r="I71" i="7" s="1"/>
  <c r="L5" i="7"/>
  <c r="M5" i="7" s="1"/>
  <c r="E5" i="7"/>
  <c r="Y964" i="7"/>
  <c r="L684" i="7"/>
  <c r="M684" i="7" s="1"/>
  <c r="E761" i="7"/>
  <c r="I761" i="7" s="1"/>
  <c r="E137" i="7"/>
  <c r="I137" i="7" s="1"/>
  <c r="Y145" i="7"/>
  <c r="L476" i="7"/>
  <c r="M476" i="7" s="1"/>
  <c r="E589" i="7"/>
  <c r="E15" i="7"/>
  <c r="E1147" i="7"/>
  <c r="U1147" i="7" s="1" a="1"/>
  <c r="U1147" i="7" s="1"/>
  <c r="L558" i="7"/>
  <c r="M558" i="7" s="1"/>
  <c r="Y123" i="7"/>
  <c r="L330" i="7"/>
  <c r="M330" i="7" s="1"/>
  <c r="L522" i="7"/>
  <c r="M522" i="7" s="1"/>
  <c r="E996" i="7"/>
  <c r="L430" i="7"/>
  <c r="M430" i="7" s="1"/>
  <c r="L591" i="7"/>
  <c r="M591" i="7" s="1"/>
  <c r="E813" i="7"/>
  <c r="E790" i="7"/>
  <c r="E957" i="7"/>
  <c r="L271" i="7"/>
  <c r="M271" i="7" s="1"/>
  <c r="L380" i="7"/>
  <c r="M380" i="7" s="1"/>
  <c r="L131" i="7"/>
  <c r="M131" i="7" s="1"/>
  <c r="E518" i="7"/>
  <c r="L121" i="7"/>
  <c r="M121" i="7" s="1"/>
  <c r="E992" i="7"/>
  <c r="Y336" i="7"/>
  <c r="E1099" i="7"/>
  <c r="J873" i="7"/>
  <c r="E817" i="7"/>
  <c r="L533" i="7"/>
  <c r="M533" i="7" s="1"/>
  <c r="L519" i="7"/>
  <c r="L632" i="7"/>
  <c r="M632" i="7" s="1"/>
  <c r="E795" i="7"/>
  <c r="L756" i="7"/>
  <c r="M756" i="7" s="1"/>
  <c r="L427" i="7"/>
  <c r="M427" i="7" s="1"/>
  <c r="E275" i="7"/>
  <c r="E482" i="7"/>
  <c r="E875" i="7"/>
  <c r="E31" i="7"/>
  <c r="L294" i="7"/>
  <c r="M294" i="7" s="1"/>
  <c r="E897" i="7"/>
  <c r="L700" i="7"/>
  <c r="M700" i="7" s="1"/>
  <c r="L548" i="7"/>
  <c r="M548" i="7" s="1"/>
  <c r="E123" i="7"/>
  <c r="I123" i="7" s="1"/>
  <c r="E261" i="7"/>
  <c r="L742" i="7"/>
  <c r="M742" i="7" s="1"/>
  <c r="L336" i="7"/>
  <c r="M336" i="7" s="1"/>
  <c r="E324" i="7"/>
  <c r="E736" i="7"/>
  <c r="J958" i="7"/>
  <c r="E145" i="7"/>
  <c r="I145" i="7" s="1"/>
  <c r="E1067" i="7"/>
  <c r="I1067" i="7" s="1"/>
  <c r="L123" i="7"/>
  <c r="M123" i="7" s="1"/>
  <c r="E695" i="7"/>
  <c r="L324" i="7"/>
  <c r="M324" i="7" s="1"/>
  <c r="E846" i="7"/>
  <c r="L453" i="7"/>
  <c r="M453" i="7" s="1"/>
  <c r="L339" i="7"/>
  <c r="M339" i="7" s="1"/>
  <c r="L677" i="7"/>
  <c r="M677" i="7" s="1"/>
  <c r="L423" i="7"/>
  <c r="M423" i="7" s="1"/>
  <c r="E865" i="7"/>
  <c r="Y327" i="7"/>
  <c r="L184" i="7"/>
  <c r="M184" i="7" s="1"/>
  <c r="L163" i="7"/>
  <c r="M163" i="7" s="1"/>
  <c r="L737" i="7"/>
  <c r="M737" i="7" s="1"/>
  <c r="E63" i="7"/>
  <c r="I63" i="7" s="1"/>
  <c r="E648" i="7"/>
  <c r="L698" i="7"/>
  <c r="M698" i="7" s="1"/>
  <c r="L327" i="7"/>
  <c r="M327" i="7" s="1"/>
  <c r="J767" i="7"/>
  <c r="E1012" i="7"/>
  <c r="E580" i="7"/>
  <c r="E310" i="7"/>
  <c r="L111" i="7"/>
  <c r="M111" i="7" s="1"/>
  <c r="J890" i="7"/>
  <c r="L197" i="7"/>
  <c r="M197" i="7" s="1"/>
  <c r="E115" i="7"/>
  <c r="Y25" i="7"/>
  <c r="L718" i="7"/>
  <c r="M718" i="7" s="1"/>
  <c r="L613" i="7"/>
  <c r="M613" i="7" s="1"/>
  <c r="Y281" i="7"/>
  <c r="L722" i="7"/>
  <c r="M722" i="7" s="1"/>
  <c r="E335" i="7"/>
  <c r="L335" i="7"/>
  <c r="M335" i="7" s="1"/>
  <c r="L619" i="7"/>
  <c r="M619" i="7" s="1"/>
  <c r="X383" i="7"/>
  <c r="L630" i="7"/>
  <c r="M630" i="7" s="1"/>
  <c r="L445" i="7"/>
  <c r="M445" i="7" s="1"/>
  <c r="L648" i="7"/>
  <c r="M648" i="7" s="1"/>
  <c r="E378" i="7"/>
  <c r="L401" i="7"/>
  <c r="M401" i="7" s="1"/>
  <c r="L156" i="7"/>
  <c r="M156" i="7" s="1"/>
  <c r="L68" i="7"/>
  <c r="M68" i="7" s="1"/>
  <c r="E191" i="7"/>
  <c r="L142" i="7"/>
  <c r="M142" i="7" s="1"/>
  <c r="L378" i="7"/>
  <c r="M378" i="7" s="1"/>
  <c r="Y362" i="7"/>
  <c r="L259" i="7"/>
  <c r="M259" i="7" s="1"/>
  <c r="L362" i="7"/>
  <c r="M362" i="7" s="1"/>
  <c r="Y498" i="7"/>
  <c r="E76" i="7"/>
  <c r="E68" i="7"/>
  <c r="I68" i="7" s="1"/>
  <c r="E1156" i="7"/>
  <c r="E498" i="7"/>
  <c r="L227" i="7"/>
  <c r="M227" i="7" s="1"/>
  <c r="E433" i="7"/>
  <c r="L222" i="7"/>
  <c r="M222" i="7" s="1"/>
  <c r="E799" i="7"/>
  <c r="L498" i="7"/>
  <c r="M498" i="7" s="1"/>
  <c r="L59" i="7"/>
  <c r="M59" i="7" s="1"/>
  <c r="Y174" i="7"/>
  <c r="L389" i="7"/>
  <c r="M389" i="7" s="1"/>
  <c r="L432" i="7"/>
  <c r="M432" i="7" s="1"/>
  <c r="E281" i="7"/>
  <c r="E276" i="7"/>
  <c r="L191" i="7"/>
  <c r="M191" i="7" s="1"/>
  <c r="E527" i="7"/>
  <c r="E657" i="7"/>
  <c r="L31" i="7"/>
  <c r="M31" i="7" s="1"/>
  <c r="L516" i="7"/>
  <c r="M516" i="7" s="1"/>
  <c r="E174" i="7"/>
  <c r="L580" i="7"/>
  <c r="M580" i="7" s="1"/>
  <c r="E1123" i="7"/>
  <c r="E143" i="7"/>
  <c r="I143" i="7" s="1"/>
  <c r="E235" i="7"/>
  <c r="L265" i="7"/>
  <c r="Y235" i="7"/>
  <c r="E274" i="7"/>
  <c r="E727" i="7"/>
  <c r="L372" i="7"/>
  <c r="M372" i="7" s="1"/>
  <c r="E436" i="7"/>
  <c r="E775" i="7"/>
  <c r="E636" i="7"/>
  <c r="E1122" i="7"/>
  <c r="L727" i="7"/>
  <c r="M727" i="7" s="1"/>
  <c r="E891" i="7"/>
  <c r="E709" i="7"/>
  <c r="I709" i="7" s="1"/>
  <c r="Y1054" i="7"/>
  <c r="Y372" i="7"/>
  <c r="E492" i="7"/>
  <c r="E1056" i="7"/>
  <c r="L634" i="7"/>
  <c r="E372" i="7"/>
  <c r="E107" i="7"/>
  <c r="L636" i="7"/>
  <c r="M636" i="7" s="1"/>
  <c r="E420" i="7"/>
  <c r="E446" i="7"/>
  <c r="L305" i="7"/>
  <c r="M305" i="7" s="1"/>
  <c r="L571" i="7"/>
  <c r="M571" i="7" s="1"/>
  <c r="L243" i="7"/>
  <c r="M243" i="7" s="1"/>
  <c r="L235" i="7"/>
  <c r="M235" i="7" s="1"/>
  <c r="L93" i="7"/>
  <c r="M93" i="7" s="1"/>
  <c r="Y227" i="7"/>
  <c r="Y233" i="7"/>
  <c r="L537" i="7"/>
  <c r="M537" i="7" s="1"/>
  <c r="Y420" i="7"/>
  <c r="L320" i="7"/>
  <c r="M320" i="7" s="1"/>
  <c r="L420" i="7"/>
  <c r="M420" i="7" s="1"/>
  <c r="L76" i="7"/>
  <c r="M76" i="7" s="1"/>
  <c r="L581" i="7"/>
  <c r="M581" i="7" s="1"/>
  <c r="E771" i="7"/>
  <c r="Y809" i="7"/>
  <c r="L315" i="7"/>
  <c r="M315" i="7" s="1"/>
  <c r="L47" i="7"/>
  <c r="M47" i="7" s="1"/>
  <c r="Y771" i="7"/>
  <c r="E560" i="7"/>
  <c r="E47" i="7"/>
  <c r="L107" i="7"/>
  <c r="M107" i="7" s="1"/>
  <c r="L233" i="7"/>
  <c r="M233" i="7" s="1"/>
  <c r="Y386" i="7"/>
  <c r="E56" i="7"/>
  <c r="E594" i="7"/>
  <c r="E181" i="7"/>
  <c r="L94" i="7"/>
  <c r="M94" i="7" s="1"/>
  <c r="E1076" i="7"/>
  <c r="I1076" i="7" s="1"/>
  <c r="E906" i="7"/>
  <c r="L467" i="7"/>
  <c r="M467" i="7" s="1"/>
  <c r="E583" i="7"/>
  <c r="E458" i="7"/>
  <c r="Y623" i="7"/>
  <c r="Y222" i="7"/>
  <c r="E116" i="7"/>
  <c r="Y994" i="7"/>
  <c r="E151" i="7"/>
  <c r="I151" i="7" s="1"/>
  <c r="E1094" i="7"/>
  <c r="E160" i="7"/>
  <c r="L194" i="7"/>
  <c r="M194" i="7" s="1"/>
  <c r="L365" i="7"/>
  <c r="M365" i="7" s="1"/>
  <c r="E921" i="7"/>
  <c r="E945" i="7"/>
  <c r="Y109" i="7"/>
  <c r="L674" i="7"/>
  <c r="E332" i="7"/>
  <c r="E147" i="7"/>
  <c r="I147" i="7" s="1"/>
  <c r="L654" i="7"/>
  <c r="L405" i="7"/>
  <c r="M405" i="7" s="1"/>
  <c r="E961" i="7"/>
  <c r="E1134" i="7"/>
  <c r="Y582" i="7"/>
  <c r="E754" i="7"/>
  <c r="E412" i="7"/>
  <c r="Y232" i="7"/>
  <c r="L220" i="7"/>
  <c r="M220" i="7" s="1"/>
  <c r="Y1176" i="7"/>
  <c r="Y126" i="7"/>
  <c r="E555" i="7"/>
  <c r="E94" i="7"/>
  <c r="E810" i="7"/>
  <c r="Y181" i="7"/>
  <c r="Y160" i="7"/>
  <c r="E224" i="7"/>
  <c r="L505" i="7"/>
  <c r="M505" i="7" s="1"/>
  <c r="E864" i="7"/>
  <c r="L469" i="7"/>
  <c r="M469" i="7" s="1"/>
  <c r="L379" i="7"/>
  <c r="Y513" i="7"/>
  <c r="L290" i="7"/>
  <c r="M290" i="7" s="1"/>
  <c r="E505" i="7"/>
  <c r="E1161" i="7"/>
  <c r="E501" i="7"/>
  <c r="L232" i="7"/>
  <c r="M232" i="7" s="1"/>
  <c r="L518" i="7"/>
  <c r="M518" i="7" s="1"/>
  <c r="L310" i="7"/>
  <c r="M310" i="7" s="1"/>
  <c r="Y1017" i="7"/>
  <c r="L501" i="7"/>
  <c r="M501" i="7" s="1"/>
  <c r="E1173" i="7"/>
  <c r="J405" i="7"/>
  <c r="E114" i="7"/>
  <c r="L465" i="7"/>
  <c r="M465" i="7" s="1"/>
  <c r="E395" i="7"/>
  <c r="L582" i="7"/>
  <c r="M582" i="7" s="1"/>
  <c r="Y443" i="7"/>
  <c r="L599" i="7"/>
  <c r="M599" i="7" s="1"/>
  <c r="E179" i="7"/>
  <c r="Y711" i="7"/>
  <c r="L404" i="7"/>
  <c r="E990" i="7"/>
  <c r="L57" i="7"/>
  <c r="M57" i="7" s="1"/>
  <c r="L555" i="7"/>
  <c r="M555" i="7" s="1"/>
  <c r="E1015" i="7"/>
  <c r="L334" i="7"/>
  <c r="M334" i="7" s="1"/>
  <c r="L209" i="7"/>
  <c r="M209" i="7" s="1"/>
  <c r="L386" i="7"/>
  <c r="M386" i="7" s="1"/>
  <c r="E577" i="7"/>
  <c r="E686" i="7"/>
  <c r="E237" i="7"/>
  <c r="E1152" i="7"/>
  <c r="J1152" i="7"/>
  <c r="L261" i="7"/>
  <c r="M261" i="7" s="1"/>
  <c r="L692" i="7"/>
  <c r="M692" i="7" s="1"/>
  <c r="L419" i="7"/>
  <c r="M419" i="7" s="1"/>
  <c r="E680" i="7"/>
  <c r="E1071" i="7"/>
  <c r="I1071" i="7" s="1"/>
  <c r="L338" i="7"/>
  <c r="M338" i="7" s="1"/>
  <c r="L102" i="7"/>
  <c r="M102" i="7" s="1"/>
  <c r="Y638" i="7"/>
  <c r="E1133" i="7"/>
  <c r="E392" i="7"/>
  <c r="Y990" i="7"/>
  <c r="L577" i="7"/>
  <c r="M577" i="7" s="1"/>
  <c r="E102" i="7"/>
  <c r="L531" i="7"/>
  <c r="M531" i="7" s="1"/>
  <c r="L190" i="7"/>
  <c r="M190" i="7" s="1"/>
  <c r="E370" i="7"/>
  <c r="L747" i="7"/>
  <c r="M747" i="7" s="1"/>
  <c r="E780" i="7"/>
  <c r="Y465" i="7"/>
  <c r="Y1173" i="7"/>
  <c r="E638" i="7"/>
  <c r="L306" i="7"/>
  <c r="M306" i="7" s="1"/>
  <c r="E494" i="7"/>
  <c r="L570" i="7"/>
  <c r="M570" i="7" s="1"/>
  <c r="E665" i="7"/>
  <c r="E1069" i="7"/>
  <c r="I1069" i="7" s="1"/>
  <c r="E488" i="7"/>
  <c r="L149" i="7"/>
  <c r="M149" i="7" s="1"/>
  <c r="Y993" i="7"/>
  <c r="E991" i="7"/>
  <c r="L739" i="7"/>
  <c r="M739" i="7" s="1"/>
  <c r="E139" i="7"/>
  <c r="I139" i="7" s="1"/>
  <c r="L493" i="7"/>
  <c r="M493" i="7" s="1"/>
  <c r="J51" i="7"/>
  <c r="E51" i="7"/>
  <c r="L51" i="7"/>
  <c r="M51" i="7" s="1"/>
  <c r="L139" i="7"/>
  <c r="M139" i="7" s="1"/>
  <c r="L575" i="7"/>
  <c r="M575" i="7" s="1"/>
  <c r="E266" i="7"/>
  <c r="E306" i="7"/>
  <c r="Y938" i="7"/>
  <c r="L494" i="7"/>
  <c r="M494" i="7" s="1"/>
  <c r="L511" i="7"/>
  <c r="M511" i="7" s="1"/>
  <c r="E338" i="7"/>
  <c r="E282" i="7"/>
  <c r="E301" i="7"/>
  <c r="J301" i="7"/>
  <c r="L301" i="7"/>
  <c r="M301" i="7" s="1"/>
  <c r="E1090" i="7"/>
  <c r="I1090" i="7" s="1"/>
  <c r="E962" i="7"/>
  <c r="L264" i="7"/>
  <c r="M264" i="7" s="1"/>
  <c r="L344" i="7"/>
  <c r="M344" i="7" s="1"/>
  <c r="E971" i="7"/>
  <c r="Y395" i="7"/>
  <c r="L699" i="7"/>
  <c r="M699" i="7" s="1"/>
  <c r="Y1069" i="7"/>
  <c r="L295" i="7"/>
  <c r="M295" i="7" s="1"/>
  <c r="E711" i="7"/>
  <c r="E574" i="7"/>
  <c r="L623" i="7"/>
  <c r="M623" i="7" s="1"/>
  <c r="E87" i="7"/>
  <c r="L517" i="7"/>
  <c r="M517" i="7" s="1"/>
  <c r="E623" i="7"/>
  <c r="Y1032" i="7"/>
  <c r="L375" i="7"/>
  <c r="M375" i="7" s="1"/>
  <c r="E930" i="7"/>
  <c r="E605" i="7"/>
  <c r="E1059" i="7"/>
  <c r="E196" i="7"/>
  <c r="L196" i="7"/>
  <c r="M196" i="7" s="1"/>
  <c r="E660" i="7"/>
  <c r="L660" i="7"/>
  <c r="M660" i="7" s="1"/>
  <c r="J660" i="7"/>
  <c r="Y1014" i="7"/>
  <c r="L509" i="7"/>
  <c r="M509" i="7" s="1"/>
  <c r="E279" i="7"/>
  <c r="J588" i="7"/>
  <c r="L588" i="7"/>
  <c r="M588" i="7" s="1"/>
  <c r="L258" i="7"/>
  <c r="M258" i="7" s="1"/>
  <c r="E1014" i="7"/>
  <c r="L140" i="7"/>
  <c r="M140" i="7" s="1"/>
  <c r="J478" i="7"/>
  <c r="L478" i="7"/>
  <c r="M478" i="7" s="1"/>
  <c r="J668" i="7"/>
  <c r="L668" i="7"/>
  <c r="M668" i="7" s="1"/>
  <c r="L506" i="7"/>
  <c r="M506" i="7" s="1"/>
  <c r="L346" i="7"/>
  <c r="M346" i="7" s="1"/>
  <c r="E140" i="7"/>
  <c r="I140" i="7" s="1"/>
  <c r="L543" i="7"/>
  <c r="M543" i="7" s="1"/>
  <c r="Y248" i="7"/>
  <c r="E667" i="7"/>
  <c r="E951" i="7"/>
  <c r="L48" i="7"/>
  <c r="M48" i="7" s="1"/>
  <c r="E1108" i="7"/>
  <c r="U1108" i="7" s="1" a="1"/>
  <c r="U1108" i="7" s="1"/>
  <c r="L709" i="7"/>
  <c r="M709" i="7" s="1"/>
  <c r="E822" i="7"/>
  <c r="E892" i="7"/>
  <c r="J92" i="7"/>
  <c r="L92" i="7"/>
  <c r="M92" i="7" s="1"/>
  <c r="E425" i="7"/>
  <c r="J343" i="7"/>
  <c r="L343" i="7"/>
  <c r="M343" i="7" s="1"/>
  <c r="E1115" i="7"/>
  <c r="E1073" i="7"/>
  <c r="I1073" i="7" s="1"/>
  <c r="L247" i="7"/>
  <c r="M247" i="7" s="1"/>
  <c r="L284" i="7"/>
  <c r="M284" i="7" s="1"/>
  <c r="L418" i="7"/>
  <c r="M418" i="7" s="1"/>
  <c r="J653" i="7"/>
  <c r="L653" i="7"/>
  <c r="M653" i="7" s="1"/>
  <c r="E653" i="7"/>
  <c r="J714" i="7"/>
  <c r="L714" i="7"/>
  <c r="M714" i="7" s="1"/>
  <c r="L66" i="7"/>
  <c r="M66" i="7" s="1"/>
  <c r="Y888" i="7"/>
  <c r="E806" i="7"/>
  <c r="E842" i="7"/>
  <c r="E254" i="7"/>
  <c r="E250" i="7"/>
  <c r="L129" i="7"/>
  <c r="M129" i="7" s="1"/>
  <c r="E449" i="7"/>
  <c r="J1041" i="7"/>
  <c r="E1041" i="7"/>
  <c r="J54" i="7"/>
  <c r="L54" i="7"/>
  <c r="M54" i="7" s="1"/>
  <c r="E54" i="7"/>
  <c r="E69" i="7"/>
  <c r="I69" i="7" s="1"/>
  <c r="L69" i="7"/>
  <c r="M69" i="7" s="1"/>
  <c r="L119" i="7"/>
  <c r="M119" i="7" s="1"/>
  <c r="L963" i="7"/>
  <c r="M963" i="7" s="1"/>
  <c r="J963" i="7"/>
  <c r="E963" i="7"/>
  <c r="J593" i="7"/>
  <c r="L593" i="7"/>
  <c r="M593" i="7" s="1"/>
  <c r="L704" i="7"/>
  <c r="M704" i="7" s="1"/>
  <c r="L146" i="7"/>
  <c r="M146" i="7" s="1"/>
  <c r="J791" i="7"/>
  <c r="E791" i="7"/>
  <c r="L729" i="7"/>
  <c r="M729" i="7" s="1"/>
  <c r="L10" i="7"/>
  <c r="M10" i="7" s="1"/>
  <c r="E668" i="7"/>
  <c r="L248" i="7"/>
  <c r="M248" i="7" s="1"/>
  <c r="L348" i="7"/>
  <c r="M348" i="7" s="1"/>
  <c r="L409" i="7"/>
  <c r="M409" i="7" s="1"/>
  <c r="L474" i="7"/>
  <c r="E872" i="7"/>
  <c r="E764" i="7"/>
  <c r="J508" i="7"/>
  <c r="L508" i="7"/>
  <c r="M508" i="7" s="1"/>
  <c r="L538" i="7"/>
  <c r="M538" i="7" s="1"/>
  <c r="E1077" i="7"/>
  <c r="I1077" i="7" s="1"/>
  <c r="E22" i="7"/>
  <c r="L22" i="7"/>
  <c r="M22" i="7" s="1"/>
  <c r="J22" i="7"/>
  <c r="L618" i="7"/>
  <c r="M618" i="7" s="1"/>
  <c r="E1149" i="7"/>
  <c r="L744" i="7"/>
  <c r="M744" i="7" s="1"/>
  <c r="L11" i="7"/>
  <c r="M11" i="7" s="1"/>
  <c r="L299" i="7"/>
  <c r="M299" i="7" s="1"/>
  <c r="E1002" i="7"/>
  <c r="J1159" i="7"/>
  <c r="E1159" i="7"/>
  <c r="L16" i="7"/>
  <c r="M16" i="7" s="1"/>
  <c r="L144" i="7"/>
  <c r="M144" i="7" s="1"/>
  <c r="J1103" i="7"/>
  <c r="E1103" i="7"/>
  <c r="J1120" i="7"/>
  <c r="E1120" i="7"/>
  <c r="L373" i="7"/>
  <c r="M373" i="7" s="1"/>
  <c r="L641" i="7"/>
  <c r="M641" i="7" s="1"/>
  <c r="E641" i="7"/>
  <c r="L19" i="7"/>
  <c r="M19" i="7" s="1"/>
  <c r="L162" i="7"/>
  <c r="M162" i="7" s="1"/>
  <c r="L201" i="7"/>
  <c r="M201" i="7" s="1"/>
  <c r="L253" i="7"/>
  <c r="M253" i="7" s="1"/>
  <c r="L98" i="7"/>
  <c r="M98" i="7" s="1"/>
  <c r="Y641" i="7"/>
  <c r="L568" i="7"/>
  <c r="M568" i="7" s="1"/>
  <c r="E1061" i="7"/>
  <c r="E1075" i="7"/>
  <c r="I1075" i="7" s="1"/>
  <c r="L109" i="7"/>
  <c r="M109" i="7" s="1"/>
  <c r="L178" i="7"/>
  <c r="M178" i="7" s="1"/>
  <c r="E178" i="7"/>
  <c r="E909" i="7"/>
  <c r="L246" i="7"/>
  <c r="M246" i="7" s="1"/>
  <c r="E257" i="7"/>
  <c r="E1160" i="7"/>
  <c r="L262" i="7"/>
  <c r="M262" i="7" s="1"/>
  <c r="L254" i="7"/>
  <c r="M254" i="7" s="1"/>
  <c r="L200" i="7"/>
  <c r="M200" i="7" s="1"/>
  <c r="L484" i="7"/>
  <c r="M484" i="7" s="1"/>
  <c r="L257" i="7"/>
  <c r="M257" i="7" s="1"/>
  <c r="E474" i="7"/>
  <c r="E1119" i="7"/>
  <c r="J1119" i="7"/>
  <c r="J851" i="7"/>
  <c r="E851" i="7"/>
  <c r="L192" i="7"/>
  <c r="M192" i="7" s="1"/>
  <c r="J192" i="7"/>
  <c r="E192" i="7"/>
  <c r="L135" i="7"/>
  <c r="M135" i="7" s="1"/>
  <c r="J104" i="7"/>
  <c r="L104" i="7"/>
  <c r="M104" i="7" s="1"/>
  <c r="E104" i="7"/>
  <c r="Y811" i="7"/>
  <c r="J734" i="7"/>
  <c r="L734" i="7"/>
  <c r="M734" i="7" s="1"/>
  <c r="L989" i="7"/>
  <c r="M989" i="7" s="1"/>
  <c r="J989" i="7"/>
  <c r="E989" i="7"/>
  <c r="L134" i="7"/>
  <c r="L164" i="7"/>
  <c r="M164" i="7" s="1"/>
  <c r="L279" i="7"/>
  <c r="M279" i="7" s="1"/>
  <c r="L97" i="7"/>
  <c r="M97" i="7" s="1"/>
  <c r="L513" i="7"/>
  <c r="M513" i="7" s="1"/>
  <c r="J293" i="7"/>
  <c r="L293" i="7"/>
  <c r="M293" i="7" s="1"/>
  <c r="E210" i="7"/>
  <c r="L210" i="7"/>
  <c r="M210" i="7" s="1"/>
  <c r="L353" i="7"/>
  <c r="M353" i="7" s="1"/>
  <c r="L303" i="7"/>
  <c r="M303" i="7" s="1"/>
  <c r="E837" i="7"/>
  <c r="J196" i="7"/>
  <c r="L148" i="7"/>
  <c r="M148" i="7" s="1"/>
  <c r="L884" i="7"/>
  <c r="M884" i="7" s="1"/>
  <c r="Y247" i="7"/>
  <c r="L532" i="7"/>
  <c r="M532" i="7" s="1"/>
  <c r="L701" i="7"/>
  <c r="M701" i="7" s="1"/>
  <c r="E187" i="7"/>
  <c r="E53" i="7"/>
  <c r="L53" i="7"/>
  <c r="M53" i="7" s="1"/>
  <c r="L4" i="7"/>
  <c r="M4" i="7" s="1"/>
  <c r="L388" i="7"/>
  <c r="M388" i="7" s="1"/>
  <c r="L150" i="7"/>
  <c r="M150" i="7" s="1"/>
  <c r="E691" i="7"/>
  <c r="L703" i="7"/>
  <c r="M703" i="7" s="1"/>
  <c r="E1113" i="7"/>
  <c r="E124" i="7"/>
  <c r="I124" i="7" s="1"/>
  <c r="L42" i="7"/>
  <c r="M42" i="7" s="1"/>
  <c r="L64" i="7"/>
  <c r="M64" i="7" s="1"/>
  <c r="E49" i="7"/>
  <c r="L49" i="7"/>
  <c r="M49" i="7" s="1"/>
  <c r="L738" i="7"/>
  <c r="M738" i="7" s="1"/>
  <c r="L643" i="7"/>
  <c r="M643" i="7" s="1"/>
  <c r="L595" i="7"/>
  <c r="M595" i="7" s="1"/>
  <c r="J393" i="7"/>
  <c r="L393" i="7"/>
  <c r="M393" i="7" s="1"/>
  <c r="J483" i="7"/>
  <c r="L483" i="7"/>
  <c r="M483" i="7" s="1"/>
  <c r="E85" i="7"/>
  <c r="L85" i="7"/>
  <c r="M85" i="7" s="1"/>
  <c r="J85" i="7"/>
  <c r="L252" i="7"/>
  <c r="M252" i="7" s="1"/>
  <c r="E588" i="7"/>
  <c r="E593" i="7"/>
  <c r="E1132" i="7"/>
  <c r="J641" i="7"/>
  <c r="L319" i="7"/>
  <c r="M319" i="7" s="1"/>
  <c r="E319" i="7"/>
  <c r="J319" i="7"/>
  <c r="L207" i="7"/>
  <c r="M207" i="7" s="1"/>
  <c r="L138" i="7"/>
  <c r="M138" i="7" s="1"/>
  <c r="L67" i="7"/>
  <c r="M67" i="7" s="1"/>
  <c r="L61" i="7"/>
  <c r="M61" i="7" s="1"/>
  <c r="L398" i="7"/>
  <c r="M398" i="7" s="1"/>
  <c r="L491" i="7"/>
  <c r="M491" i="7" s="1"/>
  <c r="Y729" i="7"/>
  <c r="L655" i="7"/>
  <c r="M655" i="7" s="1"/>
  <c r="E1109" i="7"/>
  <c r="L472" i="7"/>
  <c r="M472" i="7" s="1"/>
  <c r="E92" i="7"/>
  <c r="E811" i="7"/>
  <c r="J853" i="7"/>
  <c r="L40" i="7"/>
  <c r="M40" i="7" s="1"/>
  <c r="E1130" i="7"/>
  <c r="L7" i="7"/>
  <c r="M7" i="7" s="1"/>
  <c r="L234" i="7"/>
  <c r="M234" i="7" s="1"/>
  <c r="J234" i="7"/>
  <c r="E234" i="7"/>
  <c r="L186" i="7"/>
  <c r="M186" i="7" s="1"/>
  <c r="E514" i="7"/>
  <c r="L514" i="7"/>
  <c r="M514" i="7" s="1"/>
  <c r="L473" i="7"/>
  <c r="M473" i="7" s="1"/>
  <c r="E473" i="7"/>
  <c r="E478" i="7"/>
  <c r="L70" i="7"/>
  <c r="M70" i="7" s="1"/>
  <c r="L678" i="7"/>
  <c r="M678" i="7" s="1"/>
  <c r="E144" i="7"/>
  <c r="I144" i="7" s="1"/>
  <c r="E803" i="7"/>
  <c r="J803" i="7"/>
  <c r="L803" i="7"/>
  <c r="M803" i="7" s="1"/>
  <c r="E463" i="7"/>
  <c r="E45" i="7"/>
  <c r="L825" i="7"/>
  <c r="M825" i="7" s="1"/>
  <c r="L296" i="7"/>
  <c r="M296" i="7" s="1"/>
  <c r="J296" i="7"/>
  <c r="E296" i="7"/>
  <c r="J1007" i="7"/>
  <c r="E1007" i="7"/>
  <c r="L1007" i="7"/>
  <c r="M1007" i="7" s="1"/>
  <c r="E44" i="7"/>
  <c r="E710" i="7"/>
  <c r="L710" i="7"/>
  <c r="M710" i="7" s="1"/>
  <c r="J710" i="7"/>
  <c r="L416" i="7"/>
  <c r="M416" i="7" s="1"/>
  <c r="J416" i="7"/>
  <c r="E416" i="7"/>
  <c r="J1102" i="7"/>
  <c r="E1102" i="7"/>
  <c r="J614" i="7"/>
  <c r="L614" i="7"/>
  <c r="M614" i="7" s="1"/>
  <c r="L914" i="7"/>
  <c r="M914" i="7" s="1"/>
  <c r="E914" i="7"/>
  <c r="J914" i="7"/>
  <c r="E528" i="7"/>
  <c r="U528" i="7" s="1" a="1"/>
  <c r="U528" i="7" s="1"/>
  <c r="E1157" i="7"/>
  <c r="J1157" i="7"/>
  <c r="E228" i="7"/>
  <c r="E316" i="7"/>
  <c r="J316" i="7"/>
  <c r="L316" i="7"/>
  <c r="M316" i="7" s="1"/>
  <c r="L833" i="7"/>
  <c r="M833" i="7" s="1"/>
  <c r="J833" i="7"/>
  <c r="L240" i="7"/>
  <c r="M240" i="7" s="1"/>
  <c r="J240" i="7"/>
  <c r="E240" i="7"/>
  <c r="J778" i="7"/>
  <c r="L778" i="7"/>
  <c r="M778" i="7" s="1"/>
  <c r="E778" i="7"/>
  <c r="E959" i="7"/>
  <c r="E508" i="7"/>
  <c r="L805" i="7"/>
  <c r="M805" i="7" s="1"/>
  <c r="E805" i="7"/>
  <c r="L214" i="7"/>
  <c r="M214" i="7" s="1"/>
  <c r="E400" i="7"/>
  <c r="E720" i="7"/>
  <c r="L720" i="7"/>
  <c r="M720" i="7" s="1"/>
  <c r="J720" i="7"/>
  <c r="E1167" i="7"/>
  <c r="J725" i="7"/>
  <c r="L725" i="7"/>
  <c r="M725" i="7" s="1"/>
  <c r="E913" i="7"/>
  <c r="L913" i="7"/>
  <c r="M913" i="7" s="1"/>
  <c r="J913" i="7"/>
  <c r="L1080" i="7"/>
  <c r="M1080" i="7" s="1"/>
  <c r="L917" i="7"/>
  <c r="M917" i="7" s="1"/>
  <c r="J917" i="7"/>
  <c r="E524" i="7"/>
  <c r="L524" i="7"/>
  <c r="M524" i="7" s="1"/>
  <c r="J524" i="7"/>
  <c r="L239" i="7"/>
  <c r="M239" i="7" s="1"/>
  <c r="J239" i="7"/>
  <c r="E997" i="7"/>
  <c r="L997" i="7"/>
  <c r="M997" i="7" s="1"/>
  <c r="J997" i="7"/>
  <c r="E203" i="7"/>
  <c r="I203" i="7" s="1"/>
  <c r="E1138" i="7"/>
  <c r="J1138" i="7"/>
  <c r="E731" i="7"/>
  <c r="J731" i="7"/>
  <c r="L731" i="7"/>
  <c r="M731" i="7" s="1"/>
  <c r="L545" i="7"/>
  <c r="M545" i="7" s="1"/>
  <c r="J545" i="7"/>
  <c r="E545" i="7"/>
  <c r="E663" i="7"/>
  <c r="L681" i="7"/>
  <c r="M681" i="7" s="1"/>
  <c r="J681" i="7"/>
  <c r="E681" i="7"/>
  <c r="L835" i="7"/>
  <c r="M835" i="7" s="1"/>
  <c r="E835" i="7"/>
  <c r="J835" i="7"/>
  <c r="Y959" i="7"/>
  <c r="E273" i="7"/>
  <c r="E468" i="7"/>
  <c r="L173" i="7"/>
  <c r="M173" i="7" s="1"/>
  <c r="J173" i="7"/>
  <c r="E173" i="7"/>
  <c r="E318" i="7"/>
  <c r="E870" i="7"/>
  <c r="L870" i="7"/>
  <c r="M870" i="7" s="1"/>
  <c r="J870" i="7"/>
  <c r="L974" i="7"/>
  <c r="M974" i="7" s="1"/>
  <c r="E974" i="7"/>
  <c r="J974" i="7"/>
  <c r="J786" i="7"/>
  <c r="E786" i="7"/>
  <c r="L128" i="7"/>
  <c r="M128" i="7" s="1"/>
  <c r="E903" i="7"/>
  <c r="J903" i="7"/>
  <c r="L903" i="7"/>
  <c r="M903" i="7" s="1"/>
  <c r="L1065" i="7"/>
  <c r="M1065" i="7" s="1"/>
  <c r="E1013" i="7"/>
  <c r="J1013" i="7"/>
  <c r="L1013" i="7"/>
  <c r="M1013" i="7" s="1"/>
  <c r="L788" i="7"/>
  <c r="M788" i="7" s="1"/>
  <c r="E976" i="7"/>
  <c r="J976" i="7"/>
  <c r="Y508" i="7"/>
  <c r="E534" i="7"/>
  <c r="J1104" i="7"/>
  <c r="E1104" i="7"/>
  <c r="E733" i="7"/>
  <c r="L733" i="7"/>
  <c r="M733" i="7" s="1"/>
  <c r="J733" i="7"/>
  <c r="E100" i="7"/>
  <c r="U100" i="7" s="1" a="1"/>
  <c r="U100" i="7" s="1"/>
  <c r="J876" i="7"/>
  <c r="E876" i="7"/>
  <c r="Y293" i="7"/>
  <c r="Y318" i="7"/>
  <c r="E616" i="7"/>
  <c r="E321" i="7"/>
  <c r="L321" i="7"/>
  <c r="M321" i="7" s="1"/>
  <c r="J321" i="7"/>
  <c r="L862" i="7"/>
  <c r="M862" i="7" s="1"/>
  <c r="J862" i="7"/>
  <c r="E862" i="7"/>
  <c r="E300" i="7"/>
  <c r="J300" i="7"/>
  <c r="L300" i="7"/>
  <c r="M300" i="7" s="1"/>
  <c r="E734" i="7"/>
  <c r="L204" i="7"/>
  <c r="M204" i="7" s="1"/>
  <c r="E977" i="7"/>
  <c r="L977" i="7"/>
  <c r="M977" i="7" s="1"/>
  <c r="J977" i="7"/>
  <c r="L1047" i="7"/>
  <c r="M1047" i="7" s="1"/>
  <c r="J1047" i="7"/>
  <c r="L1025" i="7"/>
  <c r="M1025" i="7" s="1"/>
  <c r="J1025" i="7"/>
  <c r="E1025" i="7"/>
  <c r="L285" i="7"/>
  <c r="M285" i="7" s="1"/>
  <c r="E285" i="7"/>
  <c r="J285" i="7"/>
  <c r="L1008" i="7"/>
  <c r="M1008" i="7" s="1"/>
  <c r="J1008" i="7"/>
  <c r="E1008" i="7"/>
  <c r="E450" i="7"/>
  <c r="L450" i="7"/>
  <c r="M450" i="7" s="1"/>
  <c r="J450" i="7"/>
  <c r="L136" i="7"/>
  <c r="M136" i="7" s="1"/>
  <c r="J1036" i="7"/>
  <c r="E1036" i="7"/>
  <c r="E928" i="7"/>
  <c r="J1127" i="7"/>
  <c r="E1127" i="7"/>
  <c r="L842" i="7"/>
  <c r="M842" i="7" s="1"/>
  <c r="E390" i="7"/>
  <c r="L390" i="7"/>
  <c r="M390" i="7" s="1"/>
  <c r="J390" i="7"/>
  <c r="E735" i="7"/>
  <c r="E603" i="7"/>
  <c r="E724" i="7"/>
  <c r="J1057" i="7"/>
  <c r="L1057" i="7"/>
  <c r="M1057" i="7" s="1"/>
  <c r="E1057" i="7"/>
  <c r="L212" i="7"/>
  <c r="M212" i="7" s="1"/>
  <c r="J212" i="7"/>
  <c r="E212" i="7"/>
  <c r="L521" i="7"/>
  <c r="M521" i="7" s="1"/>
  <c r="E521" i="7"/>
  <c r="E827" i="7"/>
  <c r="J827" i="7"/>
  <c r="L827" i="7"/>
  <c r="M827" i="7" s="1"/>
  <c r="E363" i="7"/>
  <c r="J1101" i="7"/>
  <c r="E1101" i="7"/>
  <c r="E154" i="7"/>
  <c r="L154" i="7"/>
  <c r="M154" i="7" s="1"/>
  <c r="J154" i="7"/>
  <c r="L834" i="7"/>
  <c r="M834" i="7" s="1"/>
  <c r="J834" i="7"/>
  <c r="L840" i="7"/>
  <c r="M840" i="7" s="1"/>
  <c r="J407" i="7"/>
  <c r="L407" i="7"/>
  <c r="M407" i="7" s="1"/>
  <c r="E249" i="7"/>
  <c r="J249" i="7"/>
  <c r="L249" i="7"/>
  <c r="M249" i="7" s="1"/>
  <c r="L369" i="7"/>
  <c r="M369" i="7" s="1"/>
  <c r="E833" i="7"/>
  <c r="L730" i="7"/>
  <c r="M730" i="7" s="1"/>
  <c r="E730" i="7"/>
  <c r="J730" i="7"/>
  <c r="E413" i="7"/>
  <c r="E621" i="7"/>
  <c r="J621" i="7"/>
  <c r="L621" i="7"/>
  <c r="M621" i="7" s="1"/>
  <c r="E382" i="7"/>
  <c r="J382" i="7"/>
  <c r="L382" i="7"/>
  <c r="M382" i="7" s="1"/>
  <c r="L895" i="7"/>
  <c r="M895" i="7" s="1"/>
  <c r="J895" i="7"/>
  <c r="E895" i="7"/>
  <c r="E239" i="7"/>
  <c r="E931" i="7"/>
  <c r="J931" i="7"/>
  <c r="E110" i="7"/>
  <c r="E438" i="7"/>
  <c r="L188" i="7"/>
  <c r="M188" i="7" s="1"/>
  <c r="J1106" i="7"/>
  <c r="E1106" i="7"/>
  <c r="J244" i="7"/>
  <c r="E244" i="7"/>
  <c r="L244" i="7"/>
  <c r="M244" i="7" s="1"/>
  <c r="L784" i="7"/>
  <c r="M784" i="7" s="1"/>
  <c r="E487" i="7"/>
  <c r="L487" i="7"/>
  <c r="M487" i="7" s="1"/>
  <c r="J487" i="7"/>
  <c r="L546" i="7"/>
  <c r="M546" i="7" s="1"/>
  <c r="J546" i="7"/>
  <c r="E546" i="7"/>
  <c r="E770" i="7"/>
  <c r="L770" i="7"/>
  <c r="M770" i="7" s="1"/>
  <c r="J770" i="7"/>
  <c r="E283" i="7"/>
  <c r="E1137" i="7"/>
  <c r="J1137" i="7"/>
  <c r="L652" i="7"/>
  <c r="M652" i="7" s="1"/>
  <c r="J652" i="7"/>
  <c r="E652" i="7"/>
  <c r="L844" i="7"/>
  <c r="M844" i="7" s="1"/>
  <c r="J844" i="7"/>
  <c r="L189" i="7"/>
  <c r="M189" i="7" s="1"/>
  <c r="L959" i="7"/>
  <c r="M959" i="7" s="1"/>
  <c r="E628" i="7"/>
  <c r="L769" i="7"/>
  <c r="M769" i="7" s="1"/>
  <c r="E769" i="7"/>
  <c r="J769" i="7"/>
  <c r="E679" i="7"/>
  <c r="L679" i="7"/>
  <c r="M679" i="7" s="1"/>
  <c r="J679" i="7"/>
  <c r="E26" i="7"/>
  <c r="E714" i="7"/>
  <c r="E1006" i="7"/>
  <c r="E844" i="7"/>
  <c r="L852" i="7"/>
  <c r="M852" i="7" s="1"/>
  <c r="J852" i="7"/>
  <c r="E852" i="7"/>
  <c r="L820" i="7"/>
  <c r="M820" i="7" s="1"/>
  <c r="J820" i="7"/>
  <c r="E820" i="7"/>
  <c r="E917" i="7"/>
  <c r="L907" i="7"/>
  <c r="J907" i="7"/>
  <c r="E907" i="7"/>
  <c r="E578" i="7"/>
  <c r="E368" i="7"/>
  <c r="J1105" i="7"/>
  <c r="E1105" i="7"/>
  <c r="L1029" i="7"/>
  <c r="M1029" i="7" s="1"/>
  <c r="E1029" i="7"/>
  <c r="J1029" i="7"/>
  <c r="J894" i="7"/>
  <c r="E894" i="7"/>
  <c r="L894" i="7"/>
  <c r="M894" i="7" s="1"/>
  <c r="E515" i="7"/>
  <c r="J515" i="7"/>
  <c r="L515" i="7"/>
  <c r="M515" i="7" s="1"/>
  <c r="J1172" i="7"/>
  <c r="E1172" i="7"/>
  <c r="Y1166" i="7"/>
  <c r="E740" i="7"/>
  <c r="L740" i="7"/>
  <c r="M740" i="7" s="1"/>
  <c r="J740" i="7"/>
  <c r="E544" i="7"/>
  <c r="L544" i="7"/>
  <c r="M544" i="7" s="1"/>
  <c r="J544" i="7"/>
  <c r="L349" i="7"/>
  <c r="M349" i="7" s="1"/>
  <c r="J349" i="7"/>
  <c r="E349" i="7"/>
  <c r="E924" i="7"/>
  <c r="L924" i="7"/>
  <c r="M924" i="7" s="1"/>
  <c r="J924" i="7"/>
  <c r="Y393" i="7"/>
  <c r="L447" i="7"/>
  <c r="M447" i="7" s="1"/>
  <c r="E176" i="7"/>
  <c r="L1050" i="7"/>
  <c r="M1050" i="7" s="1"/>
  <c r="L938" i="7"/>
  <c r="M938" i="7" s="1"/>
  <c r="E126" i="7"/>
  <c r="I126" i="7" s="1"/>
  <c r="E1022" i="7"/>
  <c r="L1022" i="7"/>
  <c r="M1022" i="7" s="1"/>
  <c r="J1022" i="7"/>
  <c r="L624" i="7"/>
  <c r="M624" i="7" s="1"/>
  <c r="E407" i="7"/>
  <c r="E540" i="7"/>
  <c r="L540" i="7"/>
  <c r="M540" i="7" s="1"/>
  <c r="J540" i="7"/>
  <c r="J251" i="7"/>
  <c r="L251" i="7"/>
  <c r="M251" i="7" s="1"/>
  <c r="E251" i="7"/>
  <c r="J394" i="7"/>
  <c r="E394" i="7"/>
  <c r="L394" i="7"/>
  <c r="M394" i="7" s="1"/>
  <c r="E941" i="7"/>
  <c r="J941" i="7"/>
  <c r="E954" i="7"/>
  <c r="L954" i="7"/>
  <c r="M954" i="7" s="1"/>
  <c r="J954" i="7"/>
  <c r="L1063" i="7"/>
  <c r="M1063" i="7" s="1"/>
  <c r="J1063" i="7"/>
  <c r="E1063" i="7"/>
  <c r="J1131" i="7"/>
  <c r="E1131" i="7"/>
  <c r="E355" i="7"/>
  <c r="L355" i="7"/>
  <c r="M355" i="7" s="1"/>
  <c r="J355" i="7"/>
  <c r="E1053" i="7"/>
  <c r="L1053" i="7"/>
  <c r="M1053" i="7" s="1"/>
  <c r="J1053" i="7"/>
  <c r="L900" i="7"/>
  <c r="M900" i="7" s="1"/>
  <c r="E874" i="7"/>
  <c r="L874" i="7"/>
  <c r="M874" i="7" s="1"/>
  <c r="J874" i="7"/>
  <c r="E341" i="7"/>
  <c r="L341" i="7"/>
  <c r="M341" i="7" s="1"/>
  <c r="J341" i="7"/>
  <c r="E475" i="7"/>
  <c r="J475" i="7"/>
  <c r="L475" i="7"/>
  <c r="M475" i="7" s="1"/>
  <c r="L696" i="7"/>
  <c r="M696" i="7" s="1"/>
  <c r="E168" i="7"/>
  <c r="J168" i="7"/>
  <c r="L168" i="7"/>
  <c r="M168" i="7" s="1"/>
  <c r="E986" i="7"/>
  <c r="J986" i="7"/>
  <c r="Y928" i="7"/>
  <c r="E483" i="7"/>
  <c r="J53" i="7"/>
  <c r="E651" i="7"/>
  <c r="L651" i="7"/>
  <c r="M651" i="7" s="1"/>
  <c r="J651" i="7"/>
  <c r="E927" i="7"/>
  <c r="J927" i="7"/>
  <c r="L927" i="7"/>
  <c r="M927" i="7" s="1"/>
  <c r="E1087" i="7"/>
  <c r="I1087" i="7" s="1"/>
  <c r="L1045" i="7"/>
  <c r="M1045" i="7" s="1"/>
  <c r="E1045" i="7"/>
  <c r="J1045" i="7"/>
  <c r="L406" i="7"/>
  <c r="M406" i="7" s="1"/>
  <c r="E406" i="7"/>
  <c r="E886" i="7"/>
  <c r="J886" i="7"/>
  <c r="E159" i="7"/>
  <c r="L159" i="7"/>
  <c r="M159" i="7" s="1"/>
  <c r="J159" i="7"/>
  <c r="L854" i="7"/>
  <c r="M854" i="7" s="1"/>
  <c r="E90" i="7"/>
  <c r="E28" i="7"/>
  <c r="Y296" i="7"/>
  <c r="Y168" i="7"/>
  <c r="L631" i="7"/>
  <c r="M631" i="7" s="1"/>
  <c r="E631" i="7"/>
  <c r="E953" i="7"/>
  <c r="L953" i="7"/>
  <c r="M953" i="7" s="1"/>
  <c r="L849" i="7"/>
  <c r="M849" i="7" s="1"/>
  <c r="E849" i="7"/>
  <c r="J849" i="7"/>
  <c r="E1150" i="7"/>
  <c r="J1150" i="7"/>
  <c r="E812" i="7"/>
  <c r="L812" i="7"/>
  <c r="M812" i="7" s="1"/>
  <c r="J812" i="7"/>
  <c r="E447" i="7"/>
  <c r="L680" i="7"/>
  <c r="M680" i="7" s="1"/>
  <c r="E1030" i="7"/>
  <c r="L1030" i="7"/>
  <c r="M1030" i="7" s="1"/>
  <c r="L541" i="7"/>
  <c r="M541" i="7" s="1"/>
  <c r="J541" i="7"/>
  <c r="E541" i="7"/>
  <c r="E466" i="7"/>
  <c r="L466" i="7"/>
  <c r="M466" i="7" s="1"/>
  <c r="J466" i="7"/>
  <c r="E479" i="7"/>
  <c r="L479" i="7"/>
  <c r="M479" i="7" s="1"/>
  <c r="J479" i="7"/>
  <c r="J1151" i="7"/>
  <c r="E1151" i="7"/>
  <c r="L314" i="7"/>
  <c r="M314" i="7" s="1"/>
  <c r="L400" i="7"/>
  <c r="M400" i="7" s="1"/>
  <c r="L231" i="7"/>
  <c r="M231" i="7" s="1"/>
  <c r="E231" i="7"/>
  <c r="J231" i="7"/>
  <c r="L622" i="7"/>
  <c r="M622" i="7" s="1"/>
  <c r="Y228" i="7"/>
  <c r="L762" i="7"/>
  <c r="M762" i="7" s="1"/>
  <c r="E762" i="7"/>
  <c r="J762" i="7"/>
  <c r="E723" i="7"/>
  <c r="J723" i="7"/>
  <c r="L723" i="7"/>
  <c r="M723" i="7" s="1"/>
  <c r="E1125" i="7"/>
  <c r="J1125" i="7"/>
  <c r="E1170" i="7"/>
  <c r="J1170" i="7"/>
  <c r="E510" i="7"/>
  <c r="L510" i="7"/>
  <c r="M510" i="7" s="1"/>
  <c r="J510" i="7"/>
  <c r="E170" i="7"/>
  <c r="J170" i="7"/>
  <c r="L170" i="7"/>
  <c r="M170" i="7" s="1"/>
  <c r="E33" i="7"/>
  <c r="L746" i="7"/>
  <c r="M746" i="7" s="1"/>
  <c r="J746" i="7"/>
  <c r="E746" i="7"/>
  <c r="J881" i="7"/>
  <c r="E881" i="7"/>
  <c r="E672" i="7"/>
  <c r="L672" i="7"/>
  <c r="M672" i="7" s="1"/>
  <c r="L141" i="7"/>
  <c r="M141" i="7" s="1"/>
  <c r="E824" i="7"/>
  <c r="L824" i="7"/>
  <c r="M824" i="7" s="1"/>
  <c r="J824" i="7"/>
  <c r="E96" i="7"/>
  <c r="J1148" i="7"/>
  <c r="E1148" i="7"/>
  <c r="L983" i="7"/>
  <c r="M983" i="7" s="1"/>
  <c r="J983" i="7"/>
  <c r="E983" i="7"/>
  <c r="E431" i="7"/>
  <c r="L431" i="7"/>
  <c r="M431" i="7" s="1"/>
  <c r="J431" i="7"/>
  <c r="E77" i="7"/>
  <c r="L132" i="7"/>
  <c r="M132" i="7" s="1"/>
  <c r="L934" i="7"/>
  <c r="M934" i="7" s="1"/>
  <c r="E1047" i="7"/>
  <c r="L952" i="7"/>
  <c r="M952" i="7" s="1"/>
  <c r="L417" i="7"/>
  <c r="M417" i="7" s="1"/>
  <c r="E443" i="7"/>
  <c r="J1098" i="7"/>
  <c r="E1098" i="7"/>
  <c r="E408" i="7"/>
  <c r="L1019" i="7"/>
  <c r="M1019" i="7" s="1"/>
  <c r="L525" i="7"/>
  <c r="M525" i="7" s="1"/>
  <c r="J525" i="7"/>
  <c r="E525" i="7"/>
  <c r="Y200" i="7"/>
  <c r="E1093" i="7"/>
  <c r="J1093" i="7"/>
  <c r="L646" i="7"/>
  <c r="M646" i="7" s="1"/>
  <c r="L216" i="7"/>
  <c r="M216" i="7" s="1"/>
  <c r="E216" i="7"/>
  <c r="J216" i="7"/>
  <c r="L728" i="7"/>
  <c r="M728" i="7" s="1"/>
  <c r="E728" i="7"/>
  <c r="J728" i="7"/>
  <c r="E550" i="7"/>
  <c r="L550" i="7"/>
  <c r="M550" i="7" s="1"/>
  <c r="L610" i="7"/>
  <c r="M610" i="7" s="1"/>
  <c r="E95" i="7"/>
  <c r="Y911" i="7"/>
  <c r="E1010" i="7"/>
  <c r="L1010" i="7"/>
  <c r="M1010" i="7" s="1"/>
  <c r="J1010" i="7"/>
  <c r="E675" i="7"/>
  <c r="J675" i="7"/>
  <c r="L675" i="7"/>
  <c r="M675" i="7" s="1"/>
  <c r="E1000" i="7"/>
  <c r="J1000" i="7"/>
  <c r="L1000" i="7"/>
  <c r="M1000" i="7" s="1"/>
  <c r="E633" i="7"/>
  <c r="J399" i="7"/>
  <c r="E399" i="7"/>
  <c r="L399" i="7"/>
  <c r="M399" i="7" s="1"/>
  <c r="E979" i="7"/>
  <c r="J979" i="7"/>
  <c r="L979" i="7"/>
  <c r="M979" i="7" s="1"/>
  <c r="L133" i="7"/>
  <c r="M133" i="7" s="1"/>
  <c r="E133" i="7"/>
  <c r="L752" i="7"/>
  <c r="M752" i="7" s="1"/>
  <c r="J752" i="7"/>
  <c r="E752" i="7"/>
  <c r="L1027" i="7"/>
  <c r="M1027" i="7" s="1"/>
  <c r="J1027" i="7"/>
  <c r="E1027" i="7"/>
  <c r="E687" i="7"/>
  <c r="L687" i="7"/>
  <c r="M687" i="7" s="1"/>
  <c r="J687" i="7"/>
  <c r="L922" i="7"/>
  <c r="M922" i="7" s="1"/>
  <c r="J922" i="7"/>
  <c r="E922" i="7"/>
  <c r="L229" i="7"/>
  <c r="M229" i="7" s="1"/>
  <c r="J229" i="7"/>
  <c r="E229" i="7"/>
  <c r="E1110" i="7"/>
  <c r="J1110" i="7"/>
  <c r="L627" i="7"/>
  <c r="M627" i="7" s="1"/>
  <c r="E883" i="7"/>
  <c r="J883" i="7"/>
  <c r="L883" i="7"/>
  <c r="M883" i="7" s="1"/>
  <c r="L656" i="7"/>
  <c r="M656" i="7" s="1"/>
  <c r="E614" i="7"/>
  <c r="E567" i="7"/>
  <c r="J567" i="7"/>
  <c r="L567" i="7"/>
  <c r="M567" i="7" s="1"/>
  <c r="L1060" i="7"/>
  <c r="M1060" i="7" s="1"/>
  <c r="E1060" i="7"/>
  <c r="J1144" i="7"/>
  <c r="E1144" i="7"/>
  <c r="E456" i="7"/>
  <c r="J456" i="7"/>
  <c r="L456" i="7"/>
  <c r="M456" i="7" s="1"/>
  <c r="E816" i="7"/>
  <c r="L347" i="7"/>
  <c r="M347" i="7" s="1"/>
  <c r="J347" i="7"/>
  <c r="E347" i="7"/>
  <c r="L195" i="7"/>
  <c r="M195" i="7" s="1"/>
  <c r="E195" i="7"/>
  <c r="E29" i="7"/>
  <c r="E1174" i="7"/>
  <c r="I1174" i="7" s="1"/>
  <c r="L1174" i="7"/>
  <c r="M1174" i="7" s="1"/>
  <c r="Y714" i="7"/>
  <c r="L1177" i="7"/>
  <c r="M1177" i="7" s="1"/>
  <c r="E58" i="7"/>
  <c r="E152" i="7"/>
  <c r="J152" i="7"/>
  <c r="L152" i="7"/>
  <c r="M152" i="7" s="1"/>
  <c r="E569" i="7"/>
  <c r="J569" i="7"/>
  <c r="L569" i="7"/>
  <c r="M569" i="7" s="1"/>
  <c r="L297" i="7"/>
  <c r="M297" i="7" s="1"/>
  <c r="E297" i="7"/>
  <c r="J297" i="7"/>
  <c r="E490" i="7"/>
  <c r="L490" i="7"/>
  <c r="M490" i="7" s="1"/>
  <c r="J490" i="7"/>
  <c r="L309" i="7"/>
  <c r="M309" i="7" s="1"/>
  <c r="Y616" i="7"/>
  <c r="L645" i="7"/>
  <c r="M645" i="7" s="1"/>
  <c r="E1111" i="7"/>
  <c r="E644" i="7"/>
  <c r="L477" i="7"/>
  <c r="M477" i="7" s="1"/>
  <c r="J477" i="7"/>
  <c r="E477" i="7"/>
  <c r="J956" i="7"/>
  <c r="E956" i="7"/>
  <c r="E725" i="7"/>
  <c r="E452" i="7"/>
  <c r="J452" i="7"/>
  <c r="L452" i="7"/>
  <c r="M452" i="7" s="1"/>
  <c r="E23" i="7"/>
  <c r="E387" i="7"/>
  <c r="J387" i="7"/>
  <c r="L387" i="7"/>
  <c r="M387" i="7" s="1"/>
  <c r="E1058" i="7"/>
  <c r="J1058" i="7"/>
  <c r="L1058" i="7"/>
  <c r="M1058" i="7" s="1"/>
  <c r="L461" i="7"/>
  <c r="M461" i="7" s="1"/>
  <c r="E343" i="7"/>
  <c r="L536" i="7"/>
  <c r="E393" i="7"/>
  <c r="E293" i="7"/>
  <c r="L566" i="7"/>
  <c r="M566" i="7" s="1"/>
  <c r="E911" i="7"/>
  <c r="E834" i="7"/>
  <c r="E549" i="7"/>
  <c r="L549" i="7"/>
  <c r="M549" i="7" s="1"/>
  <c r="J549" i="7"/>
  <c r="L918" i="7"/>
  <c r="M918" i="7" s="1"/>
  <c r="E1035" i="7"/>
  <c r="J1035" i="7"/>
  <c r="L1035" i="7"/>
  <c r="M1035" i="7" s="1"/>
  <c r="E1117" i="7"/>
  <c r="J1117" i="7"/>
  <c r="E915" i="7"/>
  <c r="L915" i="7"/>
  <c r="M915" i="7" s="1"/>
  <c r="J915" i="7"/>
  <c r="E21" i="7"/>
  <c r="E25" i="7"/>
  <c r="L364" i="7"/>
  <c r="M364" i="7" s="1"/>
  <c r="E364" i="7"/>
  <c r="J364" i="7"/>
  <c r="E171" i="7"/>
  <c r="E361" i="7"/>
  <c r="L361" i="7"/>
  <c r="M361" i="7" s="1"/>
  <c r="E1019" i="7"/>
  <c r="E1046" i="7"/>
  <c r="L151" i="7"/>
  <c r="M151" i="7" s="1"/>
  <c r="Y951" i="7"/>
  <c r="Y321" i="7"/>
  <c r="Y251" i="7"/>
  <c r="Y535" i="7"/>
  <c r="Y893" i="7"/>
  <c r="Y673" i="7"/>
  <c r="Y423" i="7"/>
  <c r="Y425" i="7"/>
  <c r="Y173" i="7"/>
  <c r="Y929" i="7"/>
  <c r="Y437" i="7"/>
  <c r="Y553" i="7"/>
  <c r="Y230" i="7"/>
  <c r="Y636" i="7"/>
  <c r="Y523" i="7"/>
  <c r="Y506" i="7"/>
  <c r="Y441" i="7"/>
  <c r="Y265" i="7"/>
  <c r="Y613" i="7"/>
  <c r="Y322" i="7"/>
  <c r="Y250" i="7"/>
  <c r="Y1129" i="7"/>
  <c r="Y695" i="7"/>
  <c r="Y1056" i="7"/>
  <c r="Y518" i="7"/>
  <c r="Y463" i="7"/>
  <c r="Y466" i="7"/>
  <c r="Y283" i="7"/>
  <c r="Y1013" i="7"/>
  <c r="Y303" i="7"/>
  <c r="Y381" i="7"/>
  <c r="Y690" i="7"/>
  <c r="Y129" i="7"/>
  <c r="Y869" i="7"/>
  <c r="Y760" i="7"/>
  <c r="Y727" i="7"/>
  <c r="Y433" i="7"/>
  <c r="Y617" i="7"/>
  <c r="Y576" i="7"/>
  <c r="Y813" i="7"/>
  <c r="Y880" i="7"/>
  <c r="Y651" i="7"/>
  <c r="Y635" i="7"/>
  <c r="Y552" i="7"/>
  <c r="Y936" i="7"/>
  <c r="Y462" i="7"/>
  <c r="Y243" i="7"/>
  <c r="Y773" i="7"/>
  <c r="Y879" i="7"/>
  <c r="Y87" i="7"/>
  <c r="Y896" i="7"/>
  <c r="Y999" i="7"/>
  <c r="Y502" i="7"/>
  <c r="Y751" i="7"/>
  <c r="Y487" i="7"/>
  <c r="Y732" i="7"/>
  <c r="Y363" i="7"/>
  <c r="Y238" i="7"/>
  <c r="Y983" i="7"/>
  <c r="Y335" i="7"/>
  <c r="Y758" i="7"/>
  <c r="Y908" i="7"/>
  <c r="Y396" i="7"/>
  <c r="Y137" i="7"/>
  <c r="Y398" i="7"/>
  <c r="Y1172" i="7"/>
  <c r="Y282" i="7"/>
  <c r="Y761" i="7"/>
  <c r="Y312" i="7"/>
  <c r="Y298" i="7"/>
  <c r="Y1131" i="7"/>
  <c r="Y774" i="7"/>
  <c r="Y385" i="7"/>
  <c r="Y653" i="7"/>
  <c r="Y1162" i="7"/>
  <c r="Y1175" i="7"/>
  <c r="Y1171" i="7"/>
  <c r="Y1015" i="7"/>
  <c r="Y575" i="7"/>
  <c r="Y829" i="7"/>
  <c r="Y1057" i="7"/>
  <c r="Y686" i="7"/>
  <c r="Y333" i="7"/>
  <c r="Y830" i="7"/>
  <c r="Y461" i="7"/>
  <c r="Y207" i="7"/>
  <c r="Y1051" i="7"/>
  <c r="Y628" i="7"/>
  <c r="Y493" i="7"/>
  <c r="Y646" i="7"/>
  <c r="Y452" i="7"/>
  <c r="Y598" i="7"/>
  <c r="Y570" i="7"/>
  <c r="Y706" i="7"/>
  <c r="Y242" i="7"/>
  <c r="Y1170" i="7"/>
  <c r="Y194" i="7"/>
  <c r="Y956" i="7"/>
  <c r="Y658" i="7"/>
  <c r="Y261" i="7"/>
  <c r="Y374" i="7"/>
  <c r="Y1031" i="7"/>
  <c r="Y1082" i="7"/>
  <c r="Y812" i="7"/>
  <c r="Y950" i="7"/>
  <c r="Y226" i="7"/>
  <c r="Y411" i="7"/>
  <c r="Y580" i="7"/>
  <c r="Y453" i="7"/>
  <c r="Y540" i="7"/>
  <c r="Y988" i="7"/>
  <c r="Y526" i="7"/>
  <c r="Y971" i="7"/>
  <c r="Y492" i="7"/>
  <c r="Y317" i="7"/>
  <c r="Y748" i="7"/>
  <c r="Y347" i="7"/>
  <c r="Y1044" i="7"/>
  <c r="Y903" i="7"/>
  <c r="Y287" i="7"/>
  <c r="Y458" i="7"/>
  <c r="Y980" i="7"/>
  <c r="Y1072" i="7"/>
  <c r="Y300" i="7"/>
  <c r="Y1143" i="7"/>
  <c r="Y657" i="7"/>
  <c r="Y941" i="7"/>
  <c r="Y800" i="7"/>
  <c r="Y161" i="7"/>
  <c r="Y1058" i="7"/>
  <c r="Y597" i="7"/>
  <c r="Y520" i="7"/>
  <c r="Y311" i="7"/>
  <c r="Y681" i="7"/>
  <c r="Y982" i="7"/>
  <c r="Y436" i="7"/>
  <c r="Y345" i="7"/>
  <c r="Y930" i="7"/>
  <c r="Y871" i="7"/>
  <c r="Y759" i="7"/>
  <c r="Y687" i="7"/>
  <c r="Y348" i="7"/>
  <c r="Y189" i="7"/>
  <c r="Y305" i="7"/>
  <c r="Y378" i="7"/>
  <c r="Y330" i="7"/>
  <c r="Y831" i="7"/>
  <c r="Y592" i="7"/>
  <c r="Y171" i="7"/>
  <c r="Y397" i="7"/>
  <c r="Y986" i="7"/>
  <c r="Y435" i="7"/>
  <c r="Y1169" i="7"/>
  <c r="Y325" i="7"/>
  <c r="Y667" i="7"/>
  <c r="Y1023" i="7"/>
  <c r="Y804" i="7"/>
  <c r="Y356" i="7"/>
  <c r="Y196" i="7"/>
  <c r="Y83" i="7"/>
  <c r="Y766" i="7"/>
  <c r="Y541" i="7"/>
  <c r="Y7" i="7"/>
  <c r="Y663" i="7"/>
  <c r="Y705" i="7"/>
  <c r="Y272" i="7"/>
  <c r="Y258" i="7"/>
  <c r="Y704" i="7"/>
  <c r="Y865" i="7"/>
  <c r="Y866" i="7"/>
  <c r="Y1055" i="7"/>
  <c r="Y1003" i="7"/>
  <c r="Y795" i="7"/>
  <c r="Y1152" i="7"/>
  <c r="Y1164" i="7"/>
  <c r="Y974" i="7"/>
  <c r="Y263" i="7"/>
  <c r="Y471" i="7"/>
  <c r="Y1092" i="7"/>
  <c r="Y216" i="7"/>
  <c r="Y943" i="7"/>
  <c r="Y382" i="7"/>
  <c r="Y1177" i="7"/>
  <c r="Y285" i="7"/>
  <c r="Y683" i="7"/>
  <c r="Y156" i="7"/>
  <c r="Y914" i="7"/>
  <c r="Y164" i="7"/>
  <c r="Y738" i="7"/>
  <c r="Y478" i="7"/>
  <c r="Y1059" i="7"/>
  <c r="Y299" i="7"/>
  <c r="Y1136" i="7"/>
  <c r="Y1174" i="7"/>
  <c r="Y731" i="7"/>
  <c r="Y271" i="7"/>
  <c r="Y328" i="7"/>
  <c r="Y143" i="7"/>
  <c r="Y159" i="7"/>
  <c r="Y407" i="7"/>
  <c r="Y823" i="7"/>
  <c r="Y698" i="7"/>
  <c r="Y1045" i="7"/>
  <c r="L3" i="7"/>
  <c r="M3" i="7" s="1"/>
  <c r="Y1106" i="7"/>
  <c r="Y764" i="7"/>
  <c r="Y925" i="7"/>
  <c r="Y485" i="7"/>
  <c r="Y529" i="7"/>
  <c r="Y289" i="7"/>
  <c r="Y609" i="7"/>
  <c r="Y574" i="7"/>
  <c r="Y394" i="7"/>
  <c r="Y519" i="7"/>
  <c r="Y319" i="7"/>
  <c r="Y1091" i="7"/>
  <c r="Y31" i="7"/>
  <c r="Y474" i="7"/>
  <c r="Y569" i="7"/>
  <c r="Y584" i="7"/>
  <c r="Y379" i="7"/>
  <c r="Y559" i="7"/>
  <c r="Y359" i="7"/>
  <c r="Y534" i="7"/>
  <c r="Y244" i="7"/>
  <c r="Y309" i="7"/>
  <c r="Y544" i="7"/>
  <c r="Y419" i="7"/>
  <c r="Y224" i="7"/>
  <c r="Y206" i="7"/>
  <c r="Y231" i="7"/>
  <c r="Y339" i="7"/>
  <c r="Y469" i="7"/>
  <c r="Y604" i="7"/>
  <c r="Y350" i="7"/>
  <c r="Y264" i="7"/>
  <c r="Y284" i="7"/>
  <c r="Y957" i="7"/>
  <c r="Y504" i="7"/>
  <c r="Y389" i="7"/>
  <c r="Y864" i="7"/>
  <c r="Y491" i="7"/>
  <c r="Y499" i="7"/>
  <c r="Y249" i="7"/>
  <c r="Y479" i="7"/>
  <c r="Y349" i="7"/>
  <c r="Y692" i="7"/>
  <c r="Y881" i="7"/>
  <c r="Y909" i="7"/>
  <c r="Y440" i="7"/>
  <c r="Y824" i="7"/>
  <c r="Y590" i="7"/>
  <c r="Y66" i="7"/>
  <c r="Y556" i="7"/>
  <c r="Y794" i="7"/>
  <c r="Y610" i="7"/>
  <c r="Y1034" i="7"/>
  <c r="Y141" i="7"/>
  <c r="Y82" i="7"/>
  <c r="Y607" i="7"/>
  <c r="Y237" i="7"/>
  <c r="Y286" i="7"/>
  <c r="Y418" i="7"/>
  <c r="Y16" i="7"/>
  <c r="Y42" i="7"/>
  <c r="Y995" i="7"/>
  <c r="Y944" i="7"/>
  <c r="Y169" i="7"/>
  <c r="Y13" i="7"/>
  <c r="Y177" i="7"/>
  <c r="Y1122" i="7"/>
  <c r="Y1096" i="7"/>
  <c r="Y152" i="7"/>
  <c r="Y1140" i="7"/>
  <c r="Y48" i="7"/>
  <c r="Y725" i="7"/>
  <c r="Y1109" i="7"/>
  <c r="Y101" i="7"/>
  <c r="Y962" i="7"/>
  <c r="Y649" i="7"/>
  <c r="Y85" i="7"/>
  <c r="Y27" i="7"/>
  <c r="Y634" i="7"/>
  <c r="Y187" i="7"/>
  <c r="Y1113" i="7"/>
  <c r="Y37" i="7"/>
  <c r="Y997" i="7"/>
  <c r="Y1149" i="7"/>
  <c r="Y882" i="7"/>
  <c r="Y892" i="7"/>
  <c r="Y73" i="7"/>
  <c r="Y78" i="7"/>
  <c r="Y4" i="7"/>
  <c r="Y1098" i="7"/>
  <c r="Y9" i="7"/>
  <c r="Y134" i="7"/>
  <c r="Y1007" i="7"/>
  <c r="Y108" i="7"/>
  <c r="Y96" i="7"/>
  <c r="Y1145" i="7"/>
  <c r="Y1088" i="7"/>
  <c r="Y1099" i="7"/>
  <c r="Y867" i="7"/>
  <c r="Y900" i="7"/>
  <c r="Y750" i="7"/>
  <c r="Y182" i="7"/>
  <c r="Y117" i="7"/>
  <c r="Y619" i="7"/>
  <c r="Y755" i="7"/>
  <c r="Y1139" i="7"/>
  <c r="Y1083" i="7"/>
  <c r="Y1137" i="7"/>
  <c r="Y6" i="7"/>
  <c r="Y57" i="7"/>
  <c r="Y735" i="7"/>
  <c r="Y39" i="7"/>
  <c r="Y92" i="7"/>
  <c r="Y952" i="7"/>
  <c r="Y1156" i="7"/>
  <c r="Y1150" i="7"/>
  <c r="Y1133" i="7"/>
  <c r="Y89" i="7"/>
  <c r="Y122" i="7"/>
  <c r="Y1158" i="7"/>
  <c r="Y1126" i="7"/>
  <c r="Y1108" i="7"/>
  <c r="Y55" i="7"/>
  <c r="Y1148" i="7"/>
  <c r="Y45" i="7"/>
  <c r="Y49" i="7"/>
  <c r="Y822" i="7"/>
  <c r="Y842" i="7"/>
  <c r="Y852" i="7"/>
  <c r="Y34" i="7"/>
  <c r="Y1146" i="7"/>
  <c r="Y1089" i="7"/>
  <c r="Y1134" i="7"/>
  <c r="Y1142" i="7"/>
  <c r="Y1037" i="7"/>
  <c r="Y694" i="7"/>
  <c r="Y81" i="7"/>
  <c r="Y1123" i="7"/>
  <c r="Y90" i="7"/>
  <c r="Y1095" i="7"/>
  <c r="Y684" i="7"/>
  <c r="Y689" i="7"/>
  <c r="Y8" i="7"/>
  <c r="Y67" i="7"/>
  <c r="Y1107" i="7"/>
  <c r="Y11" i="7"/>
  <c r="Y33" i="7"/>
  <c r="Y1138" i="7"/>
  <c r="Y1130" i="7"/>
  <c r="Y827" i="7"/>
  <c r="Y41" i="7"/>
  <c r="Y720" i="7"/>
  <c r="Y1163" i="7"/>
  <c r="Y629" i="7"/>
  <c r="Y1042" i="7"/>
  <c r="Y787" i="7"/>
  <c r="Y1161" i="7"/>
  <c r="Y1105" i="7"/>
  <c r="Y76" i="7"/>
  <c r="Y1119" i="7"/>
  <c r="Y1114" i="7"/>
  <c r="Y1159" i="7"/>
  <c r="Y113" i="7"/>
  <c r="Y18" i="7"/>
  <c r="Y10" i="7"/>
  <c r="Y987" i="7"/>
  <c r="Y91" i="7"/>
  <c r="Y106" i="7"/>
  <c r="Y56" i="7"/>
  <c r="Y1101" i="7"/>
  <c r="Y1135" i="7"/>
  <c r="Y1002" i="7"/>
  <c r="Y105" i="7"/>
  <c r="Y51" i="7"/>
  <c r="Y1127" i="7"/>
  <c r="Y53" i="7"/>
  <c r="Y5" i="7"/>
  <c r="Y114" i="7"/>
  <c r="Y669" i="7"/>
  <c r="Y947" i="7"/>
  <c r="Y1110" i="7"/>
  <c r="Y107" i="7"/>
  <c r="Y1012" i="7"/>
  <c r="Y1125" i="7"/>
  <c r="Y1090" i="7"/>
  <c r="Y74" i="7"/>
  <c r="Y1100" i="7"/>
  <c r="Y162" i="7"/>
  <c r="Y54" i="7"/>
  <c r="Y857" i="7"/>
  <c r="Y15" i="7"/>
  <c r="Y22" i="7"/>
  <c r="Y12" i="7"/>
  <c r="Y1141" i="7"/>
  <c r="Y1018" i="7"/>
  <c r="Y1035" i="7"/>
  <c r="Y742" i="7"/>
  <c r="AE15" i="7"/>
  <c r="AE10" i="7"/>
  <c r="AE11" i="7"/>
  <c r="AE14" i="7"/>
  <c r="AE12" i="7"/>
  <c r="AE13" i="7"/>
  <c r="AE16" i="7"/>
  <c r="AG15" i="7"/>
  <c r="AG13" i="7"/>
  <c r="AG16" i="7"/>
  <c r="AG11" i="7"/>
  <c r="AG12" i="7"/>
  <c r="AG10" i="7"/>
  <c r="AG14" i="7"/>
  <c r="Y1049" i="7"/>
  <c r="Y28" i="7"/>
  <c r="Y320" i="7"/>
  <c r="Y366" i="7"/>
  <c r="Y515" i="7"/>
  <c r="Y116" i="7"/>
  <c r="Y682" i="7"/>
  <c r="Y135" i="7"/>
  <c r="Y412" i="7"/>
  <c r="Y884" i="7"/>
  <c r="Y373" i="7"/>
  <c r="Y266" i="7"/>
  <c r="Y676" i="7"/>
  <c r="Y602" i="7"/>
  <c r="Y935" i="7"/>
  <c r="Y645" i="7"/>
  <c r="Y932" i="7"/>
  <c r="AG6" i="7"/>
  <c r="AG7" i="7"/>
  <c r="AG8" i="7"/>
  <c r="AG9" i="7"/>
  <c r="AG5" i="7"/>
  <c r="Y588" i="7"/>
  <c r="Y1027" i="7"/>
  <c r="Y723" i="7"/>
  <c r="Y399" i="7"/>
  <c r="Y861" i="7"/>
  <c r="Y977" i="7"/>
  <c r="Y933" i="7"/>
  <c r="Y432" i="7"/>
  <c r="Y820" i="7"/>
  <c r="Y180" i="7"/>
  <c r="Y163" i="7"/>
  <c r="Y555" i="7"/>
  <c r="Y851" i="7"/>
  <c r="Y211" i="7"/>
  <c r="Y198" i="7"/>
  <c r="Y660" i="7"/>
  <c r="Y1071" i="7"/>
  <c r="Y913" i="7"/>
  <c r="Y176" i="7"/>
  <c r="Y976" i="7"/>
  <c r="Y558" i="7"/>
  <c r="Y563" i="7"/>
  <c r="Y772" i="7"/>
  <c r="Y71" i="7"/>
  <c r="Y1121" i="7"/>
  <c r="Y77" i="7"/>
  <c r="Y564" i="7"/>
  <c r="Y1000" i="7"/>
  <c r="Y193" i="7"/>
  <c r="Y14" i="7"/>
  <c r="Y444" i="7"/>
  <c r="Y927" i="7"/>
  <c r="Y275" i="7"/>
  <c r="Y699" i="7"/>
  <c r="Y371" i="7"/>
  <c r="Y1004" i="7"/>
  <c r="Y739" i="7"/>
  <c r="Y1068" i="7"/>
  <c r="Y1074" i="7"/>
  <c r="Y302" i="7"/>
  <c r="Y46" i="7"/>
  <c r="Y1147" i="7"/>
  <c r="Y183" i="7"/>
  <c r="Y390" i="7"/>
  <c r="Y88" i="7"/>
  <c r="Y100" i="7"/>
  <c r="Y605" i="7"/>
  <c r="Y1024" i="7"/>
  <c r="Y849" i="7"/>
  <c r="Y815" i="7"/>
  <c r="Y726" i="7"/>
  <c r="Y1006" i="7"/>
  <c r="Y890" i="7"/>
  <c r="Y741" i="7"/>
  <c r="Y205" i="7"/>
  <c r="Y1104" i="7"/>
  <c r="Y340" i="7"/>
  <c r="Y60" i="7"/>
  <c r="Y416" i="7"/>
  <c r="Y240" i="7"/>
  <c r="Y23" i="7"/>
  <c r="Y924" i="7"/>
  <c r="Y486" i="7"/>
  <c r="Y446" i="7"/>
  <c r="Y733" i="7"/>
  <c r="Y854" i="7"/>
  <c r="Y785" i="7"/>
  <c r="Y1064" i="7"/>
  <c r="Y352" i="7"/>
  <c r="Y737" i="7"/>
  <c r="Y468" i="7"/>
  <c r="Y743" i="7"/>
  <c r="Y656" i="7"/>
  <c r="Y894" i="7"/>
  <c r="Y295" i="7"/>
  <c r="Y144" i="7"/>
  <c r="Y860" i="7"/>
  <c r="Y229" i="7"/>
  <c r="Y482" i="7"/>
  <c r="Y834" i="7"/>
  <c r="Y155" i="7"/>
  <c r="Y583" i="7"/>
  <c r="Y511" i="7"/>
  <c r="Y415" i="7"/>
  <c r="Y62" i="7"/>
  <c r="Y874" i="7"/>
  <c r="Y353" i="7"/>
  <c r="Y622" i="7"/>
  <c r="Y454" i="7"/>
  <c r="Y835" i="7"/>
  <c r="Y826" i="7"/>
  <c r="Y188" i="7"/>
  <c r="Y945" i="7"/>
  <c r="Y998" i="7"/>
  <c r="Y788" i="7"/>
  <c r="Y730" i="7"/>
  <c r="Y767" i="7"/>
  <c r="Y878" i="7"/>
  <c r="Y1118" i="7"/>
  <c r="Y538" i="7"/>
  <c r="Y898" i="7"/>
  <c r="Y843" i="7"/>
  <c r="Y547" i="7"/>
  <c r="Y786" i="7"/>
  <c r="Y351" i="7"/>
  <c r="Y533" i="7"/>
  <c r="Y490" i="7"/>
  <c r="Y68" i="7"/>
  <c r="Y1076" i="7"/>
  <c r="Y806" i="7"/>
  <c r="Y292" i="7"/>
  <c r="Y392" i="7"/>
  <c r="Y1132" i="7"/>
  <c r="Y332" i="7"/>
  <c r="Y819" i="7"/>
  <c r="Y208" i="7"/>
  <c r="Y202" i="7"/>
  <c r="Y845" i="7"/>
  <c r="Y63" i="7"/>
  <c r="Y30" i="7"/>
  <c r="Y313" i="7"/>
  <c r="Y314" i="7"/>
  <c r="Y784" i="7"/>
  <c r="Y505" i="7"/>
  <c r="Y808" i="7"/>
  <c r="Y204" i="7"/>
  <c r="Y464" i="7"/>
  <c r="Y1001" i="7"/>
  <c r="Y585" i="7"/>
  <c r="Y503" i="7"/>
  <c r="Y846" i="7"/>
  <c r="Y664" i="7"/>
  <c r="Y850" i="7"/>
  <c r="Y1038" i="7"/>
  <c r="Y496" i="7"/>
  <c r="Y149" i="7"/>
  <c r="Y220" i="7"/>
  <c r="Y1052" i="7"/>
  <c r="Y1021" i="7"/>
  <c r="Y970" i="7"/>
  <c r="Y906" i="7"/>
  <c r="Y765" i="7"/>
  <c r="Y734" i="7"/>
  <c r="Y1112" i="7"/>
  <c r="Y675" i="7"/>
  <c r="Y814" i="7"/>
  <c r="Y923" i="7"/>
  <c r="Y255" i="7"/>
  <c r="Y531" i="7"/>
  <c r="Y115" i="7"/>
  <c r="Y103" i="7"/>
  <c r="Y791" i="7"/>
  <c r="Y1103" i="7"/>
  <c r="Y639" i="7"/>
  <c r="Y614" i="7"/>
  <c r="Y665" i="7"/>
  <c r="Y862" i="7"/>
  <c r="Y837" i="7"/>
  <c r="Y507" i="7"/>
  <c r="Y97" i="7"/>
  <c r="Y497" i="7"/>
  <c r="Y26" i="7"/>
  <c r="Y215" i="7"/>
  <c r="Y522" i="7"/>
  <c r="Y712" i="7"/>
  <c r="Y762" i="7"/>
  <c r="Y50" i="7"/>
  <c r="Y719" i="7"/>
  <c r="Y154" i="7"/>
  <c r="Y157" i="7"/>
  <c r="Y1028" i="7"/>
  <c r="Y404" i="7"/>
  <c r="Y1128" i="7"/>
  <c r="Y59" i="7"/>
  <c r="Y1061" i="7"/>
  <c r="Y408" i="7"/>
  <c r="Y958" i="7"/>
  <c r="Y891" i="7"/>
  <c r="Y360" i="7"/>
  <c r="Y1008" i="7"/>
  <c r="Y405" i="7"/>
  <c r="Y716" i="7"/>
  <c r="Y620" i="7"/>
  <c r="Y696" i="7"/>
  <c r="Y901" i="7"/>
  <c r="Y119" i="7"/>
  <c r="Y1026" i="7"/>
  <c r="Y1065" i="7"/>
  <c r="Y655" i="7"/>
  <c r="Y963" i="7"/>
  <c r="Y329" i="7"/>
  <c r="Y483" i="7"/>
  <c r="Y549" i="7"/>
  <c r="Y257" i="7"/>
  <c r="Y926" i="7"/>
  <c r="Y219" i="7"/>
  <c r="Y472" i="7"/>
  <c r="Y798" i="7"/>
  <c r="Y954" i="7"/>
  <c r="Y383" i="7"/>
  <c r="Y260" i="7"/>
  <c r="Y70" i="7"/>
  <c r="Y633" i="7"/>
  <c r="Y775" i="7"/>
  <c r="Y84" i="7"/>
  <c r="Y111" i="7"/>
  <c r="Y624" i="7"/>
  <c r="Y354" i="7"/>
  <c r="Y128" i="7"/>
  <c r="Y917" i="7"/>
  <c r="Y1094" i="7"/>
  <c r="Y648" i="7"/>
  <c r="Y467" i="7"/>
  <c r="Y167" i="7"/>
  <c r="Y1029" i="7"/>
  <c r="Y494" i="7"/>
  <c r="Y608" i="7"/>
  <c r="Y252" i="7"/>
  <c r="Y1053" i="7"/>
  <c r="Y79" i="7"/>
  <c r="Y414" i="7"/>
  <c r="Y700" i="7"/>
  <c r="Y1153" i="7"/>
  <c r="Y573" i="7"/>
  <c r="Y186" i="7"/>
  <c r="Y693" i="7"/>
  <c r="Y306" i="7"/>
  <c r="Y568" i="7"/>
  <c r="Y640" i="7"/>
  <c r="Y274" i="7"/>
  <c r="Y589" i="7"/>
  <c r="Y422" i="7"/>
  <c r="Y427" i="7"/>
  <c r="Y797" i="7"/>
  <c r="Y428" i="7"/>
  <c r="Y528" i="7"/>
  <c r="Y64" i="7"/>
  <c r="Y897" i="7"/>
  <c r="Y364" i="7"/>
  <c r="Y868" i="7"/>
  <c r="Y701" i="7"/>
  <c r="Y833" i="7"/>
  <c r="Y1084" i="7"/>
  <c r="Y199" i="7"/>
  <c r="Y599" i="7"/>
  <c r="Y679" i="7"/>
  <c r="Y978" i="7"/>
  <c r="Y24" i="7"/>
  <c r="Y270" i="7"/>
  <c r="Y566" i="7"/>
  <c r="Y801" i="7"/>
  <c r="Y626" i="7"/>
  <c r="Y740" i="7"/>
  <c r="Y637" i="7"/>
  <c r="Y1009" i="7"/>
  <c r="Y391" i="7"/>
  <c r="Y52" i="7"/>
  <c r="Y910" i="7"/>
  <c r="Y972" i="7"/>
  <c r="Y770" i="7"/>
  <c r="Y17" i="7"/>
  <c r="Y1155" i="7"/>
  <c r="Y763" i="7"/>
  <c r="Y120" i="7"/>
  <c r="Y86" i="7"/>
  <c r="Y904" i="7"/>
  <c r="Y172" i="7"/>
  <c r="Y916" i="7"/>
  <c r="Y139" i="7"/>
  <c r="Y948" i="7"/>
  <c r="Y560" i="7"/>
  <c r="Y1079" i="7"/>
  <c r="Y1043" i="7"/>
  <c r="Y907" i="7"/>
  <c r="Y355" i="7"/>
  <c r="Y512" i="7"/>
  <c r="Y1085" i="7"/>
  <c r="Y537" i="7"/>
  <c r="Y524" i="7"/>
  <c r="Y191" i="7"/>
  <c r="Y721" i="7"/>
  <c r="Y594" i="7"/>
  <c r="Y996" i="7"/>
  <c r="Y223" i="7"/>
  <c r="Y876" i="7"/>
  <c r="Y368" i="7"/>
  <c r="Y20" i="7"/>
  <c r="Y595" i="7"/>
  <c r="Y148" i="7"/>
  <c r="Y847" i="7"/>
  <c r="Y460" i="7"/>
  <c r="Y434" i="7"/>
  <c r="Y1022" i="7"/>
  <c r="Y844" i="7"/>
  <c r="Y600" i="7"/>
  <c r="Y1077" i="7"/>
  <c r="Y213" i="7"/>
  <c r="Y780" i="7"/>
  <c r="Y102" i="7"/>
  <c r="Y61" i="7"/>
  <c r="Y756" i="7"/>
  <c r="Y439" i="7"/>
  <c r="Y736" i="7"/>
  <c r="Y967" i="7"/>
  <c r="Y170" i="7"/>
  <c r="Y402" i="7"/>
  <c r="Y239" i="7"/>
  <c r="Y517" i="7"/>
  <c r="Y315" i="7"/>
  <c r="Y201" i="7"/>
  <c r="Y872" i="7"/>
  <c r="Y324" i="7"/>
  <c r="Y280" i="7"/>
  <c r="Y127" i="7"/>
  <c r="Y1020" i="7"/>
  <c r="Y291" i="7"/>
  <c r="Y365" i="7"/>
  <c r="Y80" i="7"/>
  <c r="Y606" i="7"/>
  <c r="Y1073" i="7"/>
  <c r="Y21" i="7"/>
  <c r="Y632" i="7"/>
  <c r="Y384" i="7"/>
  <c r="Y451" i="7"/>
  <c r="Y124" i="7"/>
  <c r="Y1040" i="7"/>
  <c r="Y158" i="7"/>
  <c r="Y955" i="7"/>
  <c r="Y949" i="7"/>
  <c r="Y294" i="7"/>
  <c r="Y643" i="7"/>
  <c r="Y902" i="7"/>
  <c r="Y1097" i="7"/>
  <c r="Y752" i="7"/>
  <c r="Y1124" i="7"/>
  <c r="Y32" i="7"/>
  <c r="Y192" i="7"/>
  <c r="Y310" i="7"/>
  <c r="Y214" i="7"/>
  <c r="Y776" i="7"/>
  <c r="Y380" i="7"/>
  <c r="Y567" i="7"/>
  <c r="Y838" i="7"/>
  <c r="Y36" i="7"/>
  <c r="Y710" i="7"/>
  <c r="Y548" i="7"/>
  <c r="Y942" i="7"/>
  <c r="Y621" i="7"/>
  <c r="Y267" i="7"/>
  <c r="Y966" i="7"/>
  <c r="Y276" i="7"/>
  <c r="Y470" i="7"/>
  <c r="Y708" i="7"/>
  <c r="Y489" i="7"/>
  <c r="Y532" i="7"/>
  <c r="Y561" i="7"/>
  <c r="Y591" i="7"/>
  <c r="Y165" i="7"/>
  <c r="Y747" i="7"/>
  <c r="Y678" i="7"/>
  <c r="Y29" i="7"/>
  <c r="Y887" i="7"/>
  <c r="Y1067" i="7"/>
  <c r="Y1160" i="7"/>
  <c r="Y781" i="7"/>
  <c r="Y627" i="7"/>
  <c r="Y488" i="7"/>
  <c r="Y142" i="7"/>
  <c r="Y484" i="7"/>
  <c r="Y44" i="7"/>
  <c r="Y262" i="7"/>
  <c r="Y543" i="7"/>
  <c r="Y375" i="7"/>
  <c r="Y58" i="7"/>
  <c r="Y212" i="7"/>
  <c r="Y369" i="7"/>
  <c r="Y184" i="7"/>
  <c r="Y1080" i="7"/>
  <c r="Y388" i="7"/>
  <c r="Y259" i="7"/>
  <c r="Y586" i="7"/>
  <c r="Y1086" i="7"/>
  <c r="Y618" i="7"/>
  <c r="Y131" i="7"/>
  <c r="Y166" i="7"/>
  <c r="Y121" i="7"/>
  <c r="Y1154" i="7"/>
  <c r="Y799" i="7"/>
  <c r="Y1047" i="7"/>
  <c r="Y118" i="7"/>
  <c r="Y853" i="7"/>
  <c r="Y225" i="7"/>
  <c r="Y1157" i="7"/>
  <c r="Y1102" i="7"/>
  <c r="Y510" i="7"/>
  <c r="Y1036" i="7"/>
  <c r="Y1087" i="7"/>
  <c r="Y430" i="7"/>
  <c r="Y527" i="7"/>
  <c r="Y889" i="7"/>
  <c r="Y346" i="7"/>
  <c r="Y557" i="7"/>
  <c r="Y542" i="7"/>
  <c r="Y110" i="7"/>
  <c r="Y218" i="7"/>
  <c r="Y803" i="7"/>
  <c r="Y253" i="7"/>
  <c r="Y98" i="7"/>
  <c r="Y99" i="7"/>
  <c r="Y581" i="7"/>
  <c r="Y1144" i="7"/>
  <c r="Y817" i="7"/>
  <c r="Y480" i="7"/>
  <c r="Y816" i="7"/>
  <c r="Y501" i="7"/>
  <c r="Y307" i="7"/>
  <c r="Y571" i="7"/>
  <c r="Y697" i="7"/>
  <c r="Y989" i="7"/>
  <c r="Y707" i="7"/>
  <c r="Y792" i="7"/>
  <c r="Y426" i="7"/>
  <c r="Y47" i="7"/>
  <c r="Y551" i="7"/>
  <c r="Y410" i="7"/>
  <c r="Y1117" i="7"/>
  <c r="Y979" i="7"/>
  <c r="Y753" i="7"/>
  <c r="Y536" i="7"/>
  <c r="Y409" i="7"/>
  <c r="Y654" i="7"/>
  <c r="Y702" i="7"/>
  <c r="Y745" i="7"/>
  <c r="Y334" i="7"/>
  <c r="Y290" i="7"/>
  <c r="Y579" i="7"/>
  <c r="Y670" i="7"/>
  <c r="Y863" i="7"/>
  <c r="Y973" i="7"/>
  <c r="Y875" i="7"/>
  <c r="Y644" i="7"/>
  <c r="Y429" i="7"/>
  <c r="Y746" i="7"/>
  <c r="Y326" i="7"/>
  <c r="Y922" i="7"/>
  <c r="Y413" i="7"/>
  <c r="Y790" i="7"/>
  <c r="Y554" i="7"/>
  <c r="Y832" i="7"/>
  <c r="Y779" i="7"/>
  <c r="Y316" i="7"/>
  <c r="Y920" i="7"/>
  <c r="Y367" i="7"/>
  <c r="Y442" i="7"/>
  <c r="Y93" i="7"/>
  <c r="Y688" i="7"/>
  <c r="Y793" i="7"/>
  <c r="Y132" i="7"/>
  <c r="Y197" i="7"/>
  <c r="Y642" i="7"/>
  <c r="Y341" i="7"/>
  <c r="Y1120" i="7"/>
  <c r="Y965" i="7"/>
  <c r="Y431" i="7"/>
  <c r="Y69" i="7"/>
  <c r="Y883" i="7"/>
  <c r="Y343" i="7"/>
  <c r="Y424" i="7"/>
  <c r="Y661" i="7"/>
  <c r="Y449" i="7"/>
  <c r="Y825" i="7"/>
  <c r="Y457" i="7"/>
  <c r="Y1093" i="7"/>
  <c r="Y1062" i="7"/>
  <c r="Y1081" i="7"/>
  <c r="Y802" i="7"/>
  <c r="Y125" i="7"/>
  <c r="Y387" i="7"/>
  <c r="Y245" i="7"/>
  <c r="Y448" i="7"/>
  <c r="Y146" i="7"/>
  <c r="Y895" i="7"/>
  <c r="Y934" i="7"/>
  <c r="Y754" i="7"/>
  <c r="Y38" i="7"/>
  <c r="Y677" i="7"/>
  <c r="Y1050" i="7"/>
  <c r="Y530" i="7"/>
  <c r="Y456" i="7"/>
  <c r="Y477" i="7"/>
  <c r="Y985" i="7"/>
  <c r="Y185" i="7"/>
  <c r="Y1151" i="7"/>
  <c r="Y728" i="7"/>
  <c r="Y1111" i="7"/>
  <c r="Y856" i="7"/>
  <c r="Y578" i="7"/>
  <c r="Y94" i="7"/>
  <c r="Y1046" i="7"/>
  <c r="Y279" i="7"/>
  <c r="Y153" i="7"/>
  <c r="Y778" i="7"/>
  <c r="Y565" i="7"/>
  <c r="Y358" i="7"/>
  <c r="Y525" i="7"/>
  <c r="Y147" i="7"/>
  <c r="Y840" i="7"/>
  <c r="Y918" i="7"/>
  <c r="Y65" i="7"/>
  <c r="Y1116" i="7"/>
  <c r="Y377" i="7"/>
  <c r="Y370" i="7"/>
  <c r="Y724" i="7"/>
  <c r="Y539" i="7"/>
  <c r="Y297" i="7"/>
  <c r="Y810" i="7"/>
  <c r="Y886" i="7"/>
  <c r="Y273" i="7"/>
  <c r="Y991" i="7"/>
  <c r="Y931" i="7"/>
  <c r="Y662" i="7"/>
  <c r="Y179" i="7"/>
  <c r="Y376" i="7"/>
  <c r="Y445" i="7"/>
  <c r="Y475" i="7"/>
  <c r="Y769" i="7"/>
  <c r="Y421" i="7"/>
  <c r="Y718" i="7"/>
  <c r="Y1039" i="7"/>
  <c r="Y713" i="7"/>
  <c r="Y450" i="7"/>
  <c r="Y596" i="7"/>
  <c r="Y1063" i="7"/>
  <c r="Y138" i="7"/>
  <c r="Y668" i="7"/>
  <c r="Y777" i="7"/>
  <c r="Y203" i="7"/>
  <c r="Y674" i="7"/>
  <c r="Y659" i="7"/>
  <c r="Y828" i="7"/>
  <c r="Y95" i="7"/>
  <c r="Y915" i="7"/>
  <c r="Y807" i="7"/>
  <c r="Y715" i="7"/>
  <c r="Y912" i="7"/>
  <c r="Y481" i="7"/>
  <c r="Y603" i="7"/>
  <c r="Y870" i="7"/>
  <c r="Y35" i="7"/>
  <c r="Y652" i="7"/>
  <c r="Y344" i="7"/>
  <c r="Y301" i="7"/>
  <c r="Y587" i="7"/>
  <c r="Y509" i="7"/>
  <c r="Y992" i="7"/>
  <c r="Y919" i="7"/>
  <c r="Y937" i="7"/>
  <c r="Y722" i="7"/>
  <c r="Y136" i="7"/>
  <c r="Y545" i="7"/>
  <c r="Y40" i="7"/>
  <c r="Y630" i="7"/>
  <c r="Y1041" i="7"/>
  <c r="Y1070" i="7"/>
  <c r="Y749" i="7"/>
  <c r="Y1075" i="7"/>
  <c r="Y783" i="7"/>
  <c r="Y516" i="7"/>
  <c r="Y140" i="7"/>
  <c r="Y1011" i="7"/>
  <c r="Y234" i="7"/>
  <c r="Y1005" i="7"/>
  <c r="Y417" i="7"/>
  <c r="Y190" i="7"/>
  <c r="Y438" i="7"/>
  <c r="Y691" i="7"/>
  <c r="Y593" i="7"/>
  <c r="Y19" i="7"/>
  <c r="Y650" i="7"/>
  <c r="Y546" i="7"/>
  <c r="Y455" i="7"/>
  <c r="Y1115" i="7"/>
  <c r="Y236" i="7"/>
  <c r="Y703" i="7"/>
  <c r="Y625" i="7"/>
  <c r="Y104" i="7"/>
  <c r="Y757" i="7"/>
  <c r="Y1025" i="7"/>
  <c r="Y112" i="7"/>
  <c r="Y685" i="7"/>
  <c r="Y877" i="7"/>
  <c r="Y246" i="7"/>
  <c r="Y562" i="7"/>
  <c r="Y459" i="7"/>
  <c r="Y43" i="7"/>
  <c r="Y873" i="7"/>
  <c r="Y75" i="7"/>
  <c r="Y403" i="7"/>
  <c r="Y209" i="7"/>
  <c r="Y268" i="7"/>
  <c r="Y1010" i="7"/>
  <c r="Y304" i="7"/>
  <c r="Y921" i="7"/>
  <c r="E3" i="7"/>
  <c r="U797" i="7" l="1" a="1"/>
  <c r="U797" i="7" s="1"/>
  <c r="U1126" i="7" a="1"/>
  <c r="U1126" i="7" s="1"/>
  <c r="U759" i="7" a="1"/>
  <c r="U759" i="7" s="1"/>
  <c r="U946" i="7" a="1"/>
  <c r="U946" i="7" s="1"/>
  <c r="U1162" i="7" a="1"/>
  <c r="U1162" i="7" s="1"/>
  <c r="U83" i="7" a="1"/>
  <c r="U83" i="7" s="1"/>
  <c r="U1118" i="7" a="1"/>
  <c r="U1118" i="7" s="1"/>
  <c r="U848" i="7" a="1"/>
  <c r="U848" i="7" s="1"/>
  <c r="U358" i="7" a="1"/>
  <c r="U358" i="7" s="1"/>
  <c r="U263" i="7" a="1"/>
  <c r="U263" i="7" s="1"/>
  <c r="U688" i="7" a="1"/>
  <c r="U688" i="7" s="1"/>
  <c r="U308" i="7" a="1"/>
  <c r="U308" i="7" s="1"/>
  <c r="U608" i="7" a="1"/>
  <c r="U608" i="7" s="1"/>
  <c r="U1124" i="7" a="1"/>
  <c r="U1124" i="7" s="1"/>
  <c r="J707" i="7"/>
  <c r="U707" i="7" s="1" a="1"/>
  <c r="U707" i="7" s="1"/>
  <c r="U553" i="7" a="1"/>
  <c r="U553" i="7" s="1"/>
  <c r="U503" i="7" a="1"/>
  <c r="U503" i="7" s="1"/>
  <c r="U1096" i="7" a="1"/>
  <c r="U1096" i="7" s="1"/>
  <c r="U673" i="7" a="1"/>
  <c r="U673" i="7" s="1"/>
  <c r="U1153" i="7" a="1"/>
  <c r="U1153" i="7" s="1"/>
  <c r="U1097" i="7" a="1"/>
  <c r="U1097" i="7" s="1"/>
  <c r="U1163" i="7" a="1"/>
  <c r="U1163" i="7" s="1"/>
  <c r="U278" i="7" a="1"/>
  <c r="U278" i="7" s="1"/>
  <c r="U749" i="7" a="1"/>
  <c r="U749" i="7" s="1"/>
  <c r="J1089" i="7"/>
  <c r="U1089" i="7" s="1" a="1"/>
  <c r="U1089" i="7" s="1"/>
  <c r="U1121" i="7" a="1"/>
  <c r="U1121" i="7" s="1"/>
  <c r="U719" i="7" a="1"/>
  <c r="U719" i="7" s="1"/>
  <c r="U1143" i="7" a="1"/>
  <c r="U1143" i="7" s="1"/>
  <c r="U1128" i="7" a="1"/>
  <c r="U1128" i="7" s="1"/>
  <c r="U12" i="7" a="1"/>
  <c r="U12" i="7" s="1"/>
  <c r="U30" i="7" a="1"/>
  <c r="U30" i="7" s="1"/>
  <c r="U588" i="7" a="1"/>
  <c r="U588" i="7" s="1"/>
  <c r="U103" i="7" a="1"/>
  <c r="U103" i="7" s="1"/>
  <c r="U1149" i="7" a="1"/>
  <c r="U1149" i="7" s="1"/>
  <c r="U468" i="7" a="1"/>
  <c r="U468" i="7" s="1"/>
  <c r="U638" i="7" a="1"/>
  <c r="U638" i="7" s="1"/>
  <c r="U86" i="7" a="1"/>
  <c r="U86" i="7" s="1"/>
  <c r="U984" i="7" a="1"/>
  <c r="U984" i="7" s="1"/>
  <c r="U402" i="7" a="1"/>
  <c r="U402" i="7" s="1"/>
  <c r="U39" i="7" a="1"/>
  <c r="U39" i="7" s="1"/>
  <c r="U916" i="7" a="1"/>
  <c r="U916" i="7" s="1"/>
  <c r="U966" i="7" a="1"/>
  <c r="U966" i="7" s="1"/>
  <c r="U1011" i="7" a="1"/>
  <c r="U1011" i="7" s="1"/>
  <c r="U932" i="7" a="1"/>
  <c r="U932" i="7" s="1"/>
  <c r="U35" i="7" a="1"/>
  <c r="U35" i="7" s="1"/>
  <c r="U464" i="7" a="1"/>
  <c r="U464" i="7" s="1"/>
  <c r="U88" i="7" a="1"/>
  <c r="U88" i="7" s="1"/>
  <c r="U185" i="7" a="1"/>
  <c r="U185" i="7" s="1"/>
  <c r="U551" i="7" a="1"/>
  <c r="U551" i="7" s="1"/>
  <c r="U1091" i="7" a="1"/>
  <c r="U1091" i="7" s="1"/>
  <c r="U17" i="7" a="1"/>
  <c r="U17" i="7" s="1"/>
  <c r="U1026" i="7" a="1"/>
  <c r="U1026" i="7" s="1"/>
  <c r="U796" i="7" a="1"/>
  <c r="U796" i="7" s="1"/>
  <c r="U649" i="7" a="1"/>
  <c r="U649" i="7" s="1"/>
  <c r="U14" i="7" a="1"/>
  <c r="U14" i="7" s="1"/>
  <c r="U926" i="7" a="1"/>
  <c r="U926" i="7" s="1"/>
  <c r="U901" i="7" a="1"/>
  <c r="U901" i="7" s="1"/>
  <c r="U36" i="7" a="1"/>
  <c r="U36" i="7" s="1"/>
  <c r="U1016" i="7" a="1"/>
  <c r="U1016" i="7" s="1"/>
  <c r="U105" i="7" a="1"/>
  <c r="U105" i="7" s="1"/>
  <c r="U659" i="7" a="1"/>
  <c r="U659" i="7" s="1"/>
  <c r="U106" i="7" a="1"/>
  <c r="U106" i="7" s="1"/>
  <c r="U896" i="7" a="1"/>
  <c r="U896" i="7" s="1"/>
  <c r="U90" i="7" a="1"/>
  <c r="U90" i="7" s="1"/>
  <c r="U311" i="7" a="1"/>
  <c r="U311" i="7" s="1"/>
  <c r="U943" i="7" a="1"/>
  <c r="U943" i="7" s="1"/>
  <c r="U115" i="7" a="1"/>
  <c r="U115" i="7" s="1"/>
  <c r="U951" i="7" a="1"/>
  <c r="U951" i="7" s="1"/>
  <c r="U1158" i="7" a="1"/>
  <c r="U1158" i="7" s="1"/>
  <c r="U859" i="7" a="1"/>
  <c r="U859" i="7" s="1"/>
  <c r="U807" i="7" a="1"/>
  <c r="U807" i="7" s="1"/>
  <c r="U360" i="7" a="1"/>
  <c r="U360" i="7" s="1"/>
  <c r="U721" i="7" a="1"/>
  <c r="U721" i="7" s="1"/>
  <c r="U714" i="7" a="1"/>
  <c r="U714" i="7" s="1"/>
  <c r="U292" i="7" a="1"/>
  <c r="U292" i="7" s="1"/>
  <c r="U455" i="7" a="1"/>
  <c r="U455" i="7" s="1"/>
  <c r="U1037" i="7" a="1"/>
  <c r="U1037" i="7" s="1"/>
  <c r="U193" i="7" a="1"/>
  <c r="U193" i="7" s="1"/>
  <c r="U462" i="7" a="1"/>
  <c r="U462" i="7" s="1"/>
  <c r="U893" i="7" a="1"/>
  <c r="U893" i="7" s="1"/>
  <c r="U260" i="7" a="1"/>
  <c r="U260" i="7" s="1"/>
  <c r="U556" i="7" a="1"/>
  <c r="U556" i="7" s="1"/>
  <c r="U340" i="7" a="1"/>
  <c r="U340" i="7" s="1"/>
  <c r="U331" i="7" a="1"/>
  <c r="U331" i="7" s="1"/>
  <c r="U1042" i="7" a="1"/>
  <c r="U1042" i="7" s="1"/>
  <c r="U31" i="7" a="1"/>
  <c r="U31" i="7" s="1"/>
  <c r="U21" i="7" a="1"/>
  <c r="U21" i="7" s="1"/>
  <c r="U453" i="7" a="1"/>
  <c r="U453" i="7" s="1"/>
  <c r="U454" i="7" a="1"/>
  <c r="U454" i="7" s="1"/>
  <c r="U750" i="7" a="1"/>
  <c r="U750" i="7" s="1"/>
  <c r="U824" i="7" a="1"/>
  <c r="U824" i="7" s="1"/>
  <c r="U154" i="7" a="1"/>
  <c r="U154" i="7" s="1"/>
  <c r="U463" i="7" a="1"/>
  <c r="U463" i="7" s="1"/>
  <c r="U104" i="7" a="1"/>
  <c r="U104" i="7" s="1"/>
  <c r="U791" i="7" a="1"/>
  <c r="U791" i="7" s="1"/>
  <c r="U488" i="7" a="1"/>
  <c r="U488" i="7" s="1"/>
  <c r="U1109" i="7" a="1"/>
  <c r="U1109" i="7" s="1"/>
  <c r="U157" i="7" a="1"/>
  <c r="U157" i="7" s="1"/>
  <c r="U527" i="7" a="1"/>
  <c r="U527" i="7" s="1"/>
  <c r="U1038" i="7" a="1"/>
  <c r="U1038" i="7" s="1"/>
  <c r="U166" i="7" a="1"/>
  <c r="U166" i="7" s="1"/>
  <c r="U615" i="7" a="1"/>
  <c r="U615" i="7" s="1"/>
  <c r="U814" i="7" a="1"/>
  <c r="U814" i="7" s="1"/>
  <c r="U363" i="7" a="1"/>
  <c r="U363" i="7" s="1"/>
  <c r="U745" i="7" a="1"/>
  <c r="U745" i="7" s="1"/>
  <c r="U891" i="7" a="1"/>
  <c r="U891" i="7" s="1"/>
  <c r="U183" i="7" a="1"/>
  <c r="U183" i="7" s="1"/>
  <c r="U1021" i="7" a="1"/>
  <c r="U1021" i="7" s="1"/>
  <c r="U557" i="7" a="1"/>
  <c r="U557" i="7" s="1"/>
  <c r="U818" i="7" a="1"/>
  <c r="U818" i="7" s="1"/>
  <c r="U623" i="7" a="1"/>
  <c r="U623" i="7" s="1"/>
  <c r="U266" i="7" a="1"/>
  <c r="U266" i="7" s="1"/>
  <c r="U5" i="7" a="1"/>
  <c r="U5" i="7" s="1"/>
  <c r="U1101" i="7" a="1"/>
  <c r="U1101" i="7" s="1"/>
  <c r="U579" i="7" a="1"/>
  <c r="U579" i="7" s="1"/>
  <c r="U478" i="7" a="1"/>
  <c r="U478" i="7" s="1"/>
  <c r="U542" i="7" a="1"/>
  <c r="U542" i="7" s="1"/>
  <c r="U38" i="7" a="1"/>
  <c r="U38" i="7" s="1"/>
  <c r="U535" i="7" a="1"/>
  <c r="U535" i="7" s="1"/>
  <c r="U995" i="7" a="1"/>
  <c r="U995" i="7" s="1"/>
  <c r="U552" i="7" a="1"/>
  <c r="U552" i="7" s="1"/>
  <c r="U25" i="7" a="1"/>
  <c r="U25" i="7" s="1"/>
  <c r="U28" i="7" a="1"/>
  <c r="U28" i="7" s="1"/>
  <c r="U734" i="7" a="1"/>
  <c r="U734" i="7" s="1"/>
  <c r="U921" i="7" a="1"/>
  <c r="U921" i="7" s="1"/>
  <c r="U76" i="7" a="1"/>
  <c r="U76" i="7" s="1"/>
  <c r="U1155" i="7" a="1"/>
  <c r="U1155" i="7" s="1"/>
  <c r="U590" i="7" a="1"/>
  <c r="U590" i="7" s="1"/>
  <c r="U98" i="7" a="1"/>
  <c r="U98" i="7" s="1"/>
  <c r="U578" i="7" a="1"/>
  <c r="U578" i="7" s="1"/>
  <c r="U601" i="7" a="1"/>
  <c r="U601" i="7" s="1"/>
  <c r="U927" i="7" a="1"/>
  <c r="U927" i="7" s="1"/>
  <c r="U281" i="7" a="1"/>
  <c r="U281" i="7" s="1"/>
  <c r="U956" i="7" a="1"/>
  <c r="U956" i="7" s="1"/>
  <c r="U1105" i="7" a="1"/>
  <c r="U1105" i="7" s="1"/>
  <c r="U323" i="7" a="1"/>
  <c r="U323" i="7" s="1"/>
  <c r="U389" i="7" a="1"/>
  <c r="U389" i="7" s="1"/>
  <c r="U110" i="7" a="1"/>
  <c r="U110" i="7" s="1"/>
  <c r="U32" i="7" a="1"/>
  <c r="U32" i="7" s="1"/>
  <c r="U1098" i="7" a="1"/>
  <c r="U1098" i="7" s="1"/>
  <c r="U1036" i="7" a="1"/>
  <c r="U1036" i="7" s="1"/>
  <c r="U1102" i="7" a="1"/>
  <c r="U1102" i="7" s="1"/>
  <c r="U191" i="7" a="1"/>
  <c r="U191" i="7" s="1"/>
  <c r="U1171" i="7" a="1"/>
  <c r="U1171" i="7" s="1"/>
  <c r="U313" i="7" a="1"/>
  <c r="U313" i="7" s="1"/>
  <c r="U1107" i="7" a="1"/>
  <c r="U1107" i="7" s="1"/>
  <c r="U322" i="7" a="1"/>
  <c r="U322" i="7" s="1"/>
  <c r="U1048" i="7" a="1"/>
  <c r="U1048" i="7" s="1"/>
  <c r="U636" i="7" a="1"/>
  <c r="U636" i="7" s="1"/>
  <c r="U941" i="7" a="1"/>
  <c r="U941" i="7" s="1"/>
  <c r="U33" i="7" a="1"/>
  <c r="U33" i="7" s="1"/>
  <c r="U1113" i="7" a="1"/>
  <c r="U1113" i="7" s="1"/>
  <c r="U236" i="7" a="1"/>
  <c r="U236" i="7" s="1"/>
  <c r="U1035" i="7" a="1"/>
  <c r="U1035" i="7" s="1"/>
  <c r="U450" i="7" a="1"/>
  <c r="U450" i="7" s="1"/>
  <c r="U710" i="7" a="1"/>
  <c r="U710" i="7" s="1"/>
  <c r="U879" i="7" a="1"/>
  <c r="U879" i="7" s="1"/>
  <c r="U374" i="7" a="1"/>
  <c r="U374" i="7" s="1"/>
  <c r="U583" i="7" a="1"/>
  <c r="U583" i="7" s="1"/>
  <c r="U1146" i="7" a="1"/>
  <c r="U1146" i="7" s="1"/>
  <c r="U944" i="7" a="1"/>
  <c r="U944" i="7" s="1"/>
  <c r="U883" i="7" a="1"/>
  <c r="U883" i="7" s="1"/>
  <c r="U1136" i="7" a="1"/>
  <c r="U1136" i="7" s="1"/>
  <c r="U485" i="7" a="1"/>
  <c r="U485" i="7" s="1"/>
  <c r="U616" i="7" a="1"/>
  <c r="U616" i="7" s="1"/>
  <c r="U102" i="7" a="1"/>
  <c r="U102" i="7" s="1"/>
  <c r="U727" i="7" a="1"/>
  <c r="U727" i="7" s="1"/>
  <c r="U497" i="7" a="1"/>
  <c r="U497" i="7" s="1"/>
  <c r="U487" i="7" a="1"/>
  <c r="U487" i="7" s="1"/>
  <c r="U301" i="7" a="1"/>
  <c r="U301" i="7" s="1"/>
  <c r="U621" i="7" a="1"/>
  <c r="U621" i="7" s="1"/>
  <c r="U9" i="7" a="1"/>
  <c r="U9" i="7" s="1"/>
  <c r="U393" i="7" a="1"/>
  <c r="U393" i="7" s="1"/>
  <c r="U779" i="7" a="1"/>
  <c r="U779" i="7" s="1"/>
  <c r="U347" i="7" a="1"/>
  <c r="U347" i="7" s="1"/>
  <c r="U229" i="7" a="1"/>
  <c r="U229" i="7" s="1"/>
  <c r="U820" i="7" a="1"/>
  <c r="U820" i="7" s="1"/>
  <c r="U1025" i="7" a="1"/>
  <c r="U1025" i="7" s="1"/>
  <c r="U876" i="7" a="1"/>
  <c r="U876" i="7" s="1"/>
  <c r="U296" i="7" a="1"/>
  <c r="U296" i="7" s="1"/>
  <c r="U1130" i="7" a="1"/>
  <c r="U1130" i="7" s="1"/>
  <c r="U449" i="7" a="1"/>
  <c r="U449" i="7" s="1"/>
  <c r="U392" i="7" a="1"/>
  <c r="U392" i="7" s="1"/>
  <c r="U826" i="7" a="1"/>
  <c r="U826" i="7" s="1"/>
  <c r="U451" i="7" a="1"/>
  <c r="U451" i="7" s="1"/>
  <c r="U841" i="7" a="1"/>
  <c r="U841" i="7" s="1"/>
  <c r="U955" i="7" a="1"/>
  <c r="U955" i="7" s="1"/>
  <c r="U460" i="7" a="1"/>
  <c r="U460" i="7" s="1"/>
  <c r="U1029" i="7" a="1"/>
  <c r="U1029" i="7" s="1"/>
  <c r="U89" i="7" a="1"/>
  <c r="U89" i="7" s="1"/>
  <c r="U112" i="7" a="1"/>
  <c r="U112" i="7" s="1"/>
  <c r="U499" i="7" a="1"/>
  <c r="U499" i="7" s="1"/>
  <c r="U446" i="7" a="1"/>
  <c r="U446" i="7" s="1"/>
  <c r="U1148" i="7" a="1"/>
  <c r="U1148" i="7" s="1"/>
  <c r="U275" i="7" a="1"/>
  <c r="U275" i="7" s="1"/>
  <c r="U847" i="7" a="1"/>
  <c r="U847" i="7" s="1"/>
  <c r="U1166" i="7" a="1"/>
  <c r="U1166" i="7" s="1"/>
  <c r="U1110" i="7" a="1"/>
  <c r="U1110" i="7" s="1"/>
  <c r="U332" i="7" a="1"/>
  <c r="U332" i="7" s="1"/>
  <c r="U498" i="7" a="1"/>
  <c r="U498" i="7" s="1"/>
  <c r="U45" i="7" a="1"/>
  <c r="U45" i="7" s="1"/>
  <c r="U461" i="7" a="1"/>
  <c r="U461" i="7" s="1"/>
  <c r="U856" i="7" a="1"/>
  <c r="U856" i="7" s="1"/>
  <c r="U160" i="7" a="1"/>
  <c r="U160" i="7" s="1"/>
  <c r="U729" i="7" a="1"/>
  <c r="U729" i="7" s="1"/>
  <c r="U783" i="7" a="1"/>
  <c r="U783" i="7" s="1"/>
  <c r="U350" i="7" a="1"/>
  <c r="U350" i="7" s="1"/>
  <c r="U1144" i="7" a="1"/>
  <c r="U1144" i="7" s="1"/>
  <c r="U1127" i="7" a="1"/>
  <c r="U1127" i="7" s="1"/>
  <c r="U196" i="7" a="1"/>
  <c r="U196" i="7" s="1"/>
  <c r="U94" i="7" a="1"/>
  <c r="U94" i="7" s="1"/>
  <c r="U1094" i="7" a="1"/>
  <c r="U1094" i="7" s="1"/>
  <c r="U226" i="7" a="1"/>
  <c r="U226" i="7" s="1"/>
  <c r="U213" i="7" a="1"/>
  <c r="U213" i="7" s="1"/>
  <c r="U1010" i="7" a="1"/>
  <c r="U1010" i="7" s="1"/>
  <c r="U508" i="7" a="1"/>
  <c r="U508" i="7" s="1"/>
  <c r="U653" i="7" a="1"/>
  <c r="U653" i="7" s="1"/>
  <c r="U930" i="7" a="1"/>
  <c r="U930" i="7" s="1"/>
  <c r="U116" i="7" a="1"/>
  <c r="U116" i="7" s="1"/>
  <c r="U580" i="7" a="1"/>
  <c r="U580" i="7" s="1"/>
  <c r="U325" i="7" a="1"/>
  <c r="U325" i="7" s="1"/>
  <c r="U1052" i="7" a="1"/>
  <c r="U1052" i="7" s="1"/>
  <c r="U888" i="7" a="1"/>
  <c r="U888" i="7" s="1"/>
  <c r="U345" i="7" a="1"/>
  <c r="U345" i="7" s="1"/>
  <c r="U622" i="7" a="1"/>
  <c r="U622" i="7" s="1"/>
  <c r="U385" i="7" a="1"/>
  <c r="U385" i="7" s="1"/>
  <c r="U610" i="7" a="1"/>
  <c r="U610" i="7" s="1"/>
  <c r="U314" i="7" a="1"/>
  <c r="U314" i="7" s="1"/>
  <c r="U919" i="7" a="1"/>
  <c r="U919" i="7" s="1"/>
  <c r="U868" i="7" a="1"/>
  <c r="U868" i="7" s="1"/>
  <c r="U75" i="7" a="1"/>
  <c r="U75" i="7" s="1"/>
  <c r="U1001" i="7" a="1"/>
  <c r="U1001" i="7" s="1"/>
  <c r="U881" i="7" a="1"/>
  <c r="U881" i="7" s="1"/>
  <c r="U406" i="7" a="1"/>
  <c r="U406" i="7" s="1"/>
  <c r="U959" i="7" a="1"/>
  <c r="U959" i="7" s="1"/>
  <c r="U1152" i="7" a="1"/>
  <c r="U1152" i="7" s="1"/>
  <c r="U276" i="7" a="1"/>
  <c r="U276" i="7" s="1"/>
  <c r="U1099" i="7" a="1"/>
  <c r="U1099" i="7" s="1"/>
  <c r="U742" i="7" a="1"/>
  <c r="U742" i="7" s="1"/>
  <c r="U910" i="7" a="1"/>
  <c r="U910" i="7" s="1"/>
  <c r="U428" i="7" a="1"/>
  <c r="U428" i="7" s="1"/>
  <c r="U476" i="7" a="1"/>
  <c r="U476" i="7" s="1"/>
  <c r="U715" i="7" a="1"/>
  <c r="U715" i="7" s="1"/>
  <c r="U480" i="7" a="1"/>
  <c r="U480" i="7" s="1"/>
  <c r="U752" i="7" a="1"/>
  <c r="U752" i="7" s="1"/>
  <c r="U851" i="7" a="1"/>
  <c r="U851" i="7" s="1"/>
  <c r="U949" i="7" a="1"/>
  <c r="U949" i="7" s="1"/>
  <c r="U693" i="7" a="1"/>
  <c r="U693" i="7" s="1"/>
  <c r="U189" i="7" a="1"/>
  <c r="U189" i="7" s="1"/>
  <c r="U931" i="7" a="1"/>
  <c r="U931" i="7" s="1"/>
  <c r="U746" i="7" a="1"/>
  <c r="U746" i="7" s="1"/>
  <c r="U862" i="7" a="1"/>
  <c r="U862" i="7" s="1"/>
  <c r="U992" i="7" a="1"/>
  <c r="U992" i="7" s="1"/>
  <c r="U933" i="7" a="1"/>
  <c r="U933" i="7" s="1"/>
  <c r="U1170" i="7" a="1"/>
  <c r="U1170" i="7" s="1"/>
  <c r="U490" i="7" a="1"/>
  <c r="U490" i="7" s="1"/>
  <c r="U780" i="7" a="1"/>
  <c r="U780" i="7" s="1"/>
  <c r="U394" i="7" a="1"/>
  <c r="U394" i="7" s="1"/>
  <c r="U349" i="7" a="1"/>
  <c r="U349" i="7" s="1"/>
  <c r="U1013" i="7" a="1"/>
  <c r="U1013" i="7" s="1"/>
  <c r="U87" i="7" a="1"/>
  <c r="U87" i="7" s="1"/>
  <c r="U866" i="7" a="1"/>
  <c r="U866" i="7" s="1"/>
  <c r="U201" i="7" a="1"/>
  <c r="U201" i="7" s="1"/>
  <c r="U990" i="7" a="1"/>
  <c r="U990" i="7" s="1"/>
  <c r="U335" i="7" a="1"/>
  <c r="U335" i="7" s="1"/>
  <c r="U244" i="7" a="1"/>
  <c r="U244" i="7" s="1"/>
  <c r="U1066" i="7" a="1"/>
  <c r="U1066" i="7" s="1"/>
  <c r="U988" i="7" a="1"/>
  <c r="U988" i="7" s="1"/>
  <c r="U251" i="7" a="1"/>
  <c r="U251" i="7" s="1"/>
  <c r="U1161" i="7" a="1"/>
  <c r="U1161" i="7" s="1"/>
  <c r="U961" i="7" a="1"/>
  <c r="U961" i="7" s="1"/>
  <c r="U72" i="7" a="1"/>
  <c r="U72" i="7" s="1"/>
  <c r="U609" i="7" a="1"/>
  <c r="U609" i="7" s="1"/>
  <c r="U271" i="7" a="1"/>
  <c r="U271" i="7" s="1"/>
  <c r="U731" i="7" a="1"/>
  <c r="U731" i="7" s="1"/>
  <c r="U1114" i="7" a="1"/>
  <c r="U1114" i="7" s="1"/>
  <c r="U526" i="7" a="1"/>
  <c r="U526" i="7" s="1"/>
  <c r="U1018" i="7" a="1"/>
  <c r="U1018" i="7" s="1"/>
  <c r="U1151" i="7" a="1"/>
  <c r="U1151" i="7" s="1"/>
  <c r="U1051" i="7" a="1"/>
  <c r="U1051" i="7" s="1"/>
  <c r="U55" i="7" a="1"/>
  <c r="U55" i="7" s="1"/>
  <c r="U981" i="7" a="1"/>
  <c r="U981" i="7" s="1"/>
  <c r="U867" i="7" a="1"/>
  <c r="U867" i="7" s="1"/>
  <c r="U253" i="7" a="1"/>
  <c r="U253" i="7" s="1"/>
  <c r="U520" i="7" a="1"/>
  <c r="U520" i="7" s="1"/>
  <c r="U500" i="7" a="1"/>
  <c r="U500" i="7" s="1"/>
  <c r="U1070" i="7" a="1"/>
  <c r="U1070" i="7" s="1"/>
  <c r="U241" i="7" a="1"/>
  <c r="U241" i="7" s="1"/>
  <c r="U361" i="7" a="1"/>
  <c r="U361" i="7" s="1"/>
  <c r="U293" i="7" a="1"/>
  <c r="U293" i="7" s="1"/>
  <c r="U1111" i="7" a="1"/>
  <c r="U1111" i="7" s="1"/>
  <c r="U431" i="7" a="1"/>
  <c r="U431" i="7" s="1"/>
  <c r="U953" i="7" a="1"/>
  <c r="U953" i="7" s="1"/>
  <c r="U544" i="7" a="1"/>
  <c r="U544" i="7" s="1"/>
  <c r="U593" i="7" a="1"/>
  <c r="U593" i="7" s="1"/>
  <c r="U1120" i="7" a="1"/>
  <c r="U1120" i="7" s="1"/>
  <c r="U425" i="7" a="1"/>
  <c r="U425" i="7" s="1"/>
  <c r="U51" i="7" a="1"/>
  <c r="U51" i="7" s="1"/>
  <c r="U790" i="7" a="1"/>
  <c r="U790" i="7" s="1"/>
  <c r="U24" i="7" a="1"/>
  <c r="U24" i="7" s="1"/>
  <c r="U639" i="7" a="1"/>
  <c r="U639" i="7" s="1"/>
  <c r="U1095" i="7" a="1"/>
  <c r="U1095" i="7" s="1"/>
  <c r="U52" i="7" a="1"/>
  <c r="U52" i="7" s="1"/>
  <c r="U268" i="7" a="1"/>
  <c r="U268" i="7" s="1"/>
  <c r="U152" i="7" a="1"/>
  <c r="U152" i="7" s="1"/>
  <c r="U918" i="7" a="1"/>
  <c r="U918" i="7" s="1"/>
  <c r="U924" i="7" a="1"/>
  <c r="U924" i="7" s="1"/>
  <c r="U306" i="7" a="1"/>
  <c r="U306" i="7" s="1"/>
  <c r="U230" i="7" a="1"/>
  <c r="U230" i="7" s="1"/>
  <c r="U698" i="7" a="1"/>
  <c r="U698" i="7" s="1"/>
  <c r="U319" i="7" a="1"/>
  <c r="U319" i="7" s="1"/>
  <c r="U351" i="7" a="1"/>
  <c r="U351" i="7" s="1"/>
  <c r="U1065" i="7" a="1"/>
  <c r="U1065" i="7" s="1"/>
  <c r="U792" i="7" a="1"/>
  <c r="U792" i="7" s="1"/>
  <c r="U180" i="7" a="1"/>
  <c r="U180" i="7" s="1"/>
  <c r="U952" i="7" a="1"/>
  <c r="U952" i="7" s="1"/>
  <c r="U1142" i="7" a="1"/>
  <c r="U1142" i="7" s="1"/>
  <c r="U1014" i="7" a="1"/>
  <c r="U1014" i="7" s="1"/>
  <c r="U171" i="7" a="1"/>
  <c r="U171" i="7" s="1"/>
  <c r="U399" i="7" a="1"/>
  <c r="U399" i="7" s="1"/>
  <c r="U983" i="7" a="1"/>
  <c r="U983" i="7" s="1"/>
  <c r="U631" i="7" a="1"/>
  <c r="U631" i="7" s="1"/>
  <c r="U917" i="7" a="1"/>
  <c r="U917" i="7" s="1"/>
  <c r="U652" i="7" a="1"/>
  <c r="U652" i="7" s="1"/>
  <c r="U438" i="7" a="1"/>
  <c r="U438" i="7" s="1"/>
  <c r="U249" i="7" a="1"/>
  <c r="U249" i="7" s="1"/>
  <c r="U786" i="7" a="1"/>
  <c r="U786" i="7" s="1"/>
  <c r="U545" i="7" a="1"/>
  <c r="U545" i="7" s="1"/>
  <c r="U913" i="7" a="1"/>
  <c r="U913" i="7" s="1"/>
  <c r="U989" i="7" a="1"/>
  <c r="U989" i="7" s="1"/>
  <c r="U1103" i="7" a="1"/>
  <c r="U1103" i="7" s="1"/>
  <c r="U56" i="7" a="1"/>
  <c r="U56" i="7" s="1"/>
  <c r="U865" i="7" a="1"/>
  <c r="U865" i="7" s="1"/>
  <c r="U813" i="7" a="1"/>
  <c r="U813" i="7" s="1"/>
  <c r="U975" i="7" a="1"/>
  <c r="U975" i="7" s="1"/>
  <c r="U773" i="7" a="1"/>
  <c r="U773" i="7" s="1"/>
  <c r="U429" i="7" a="1"/>
  <c r="U429" i="7" s="1"/>
  <c r="U923" i="7" a="1"/>
  <c r="U923" i="7" s="1"/>
  <c r="U422" i="7" a="1"/>
  <c r="U422" i="7" s="1"/>
  <c r="U118" i="7" a="1"/>
  <c r="U118" i="7" s="1"/>
  <c r="U1050" i="7" a="1"/>
  <c r="U1050" i="7" s="1"/>
  <c r="U243" i="7" a="1"/>
  <c r="U243" i="7" s="1"/>
  <c r="U735" i="7" a="1"/>
  <c r="U735" i="7" s="1"/>
  <c r="U547" i="7" a="1"/>
  <c r="U547" i="7" s="1"/>
  <c r="U424" i="7" a="1"/>
  <c r="U424" i="7" s="1"/>
  <c r="U434" i="7" a="1"/>
  <c r="U434" i="7" s="1"/>
  <c r="U1116" i="7" a="1"/>
  <c r="U1116" i="7" s="1"/>
  <c r="U1061" i="7" a="1"/>
  <c r="U1061" i="7" s="1"/>
  <c r="U632" i="7" a="1"/>
  <c r="U632" i="7" s="1"/>
  <c r="U206" i="7" a="1"/>
  <c r="U206" i="7" s="1"/>
  <c r="U1046" i="7" a="1"/>
  <c r="U1046" i="7" s="1"/>
  <c r="U259" i="7" a="1"/>
  <c r="U259" i="7" s="1"/>
  <c r="U775" i="7" a="1"/>
  <c r="U775" i="7" s="1"/>
  <c r="U755" i="7" a="1"/>
  <c r="U755" i="7" s="1"/>
  <c r="U782" i="7" a="1"/>
  <c r="U782" i="7" s="1"/>
  <c r="U987" i="7" a="1"/>
  <c r="U987" i="7" s="1"/>
  <c r="U167" i="7" a="1"/>
  <c r="U167" i="7" s="1"/>
  <c r="U475" i="7" a="1"/>
  <c r="U475" i="7" s="1"/>
  <c r="U595" i="7" a="1"/>
  <c r="U595" i="7" s="1"/>
  <c r="U567" i="7" a="1"/>
  <c r="U567" i="7" s="1"/>
  <c r="U940" i="7" a="1"/>
  <c r="U940" i="7" s="1"/>
  <c r="U869" i="7" a="1"/>
  <c r="U869" i="7" s="1"/>
  <c r="U1150" i="7" a="1"/>
  <c r="U1150" i="7" s="1"/>
  <c r="U549" i="7" a="1"/>
  <c r="U549" i="7" s="1"/>
  <c r="U689" i="7" a="1"/>
  <c r="U689" i="7" s="1"/>
  <c r="U289" i="7" a="1"/>
  <c r="U289" i="7" s="1"/>
  <c r="U897" i="7" a="1"/>
  <c r="U897" i="7" s="1"/>
  <c r="U273" i="7" a="1"/>
  <c r="U273" i="7" s="1"/>
  <c r="U950" i="7" a="1"/>
  <c r="U950" i="7" s="1"/>
  <c r="U343" i="7" a="1"/>
  <c r="U343" i="7" s="1"/>
  <c r="U633" i="7" a="1"/>
  <c r="U633" i="7" s="1"/>
  <c r="U257" i="7" a="1"/>
  <c r="U257" i="7" s="1"/>
  <c r="U892" i="7" a="1"/>
  <c r="U892" i="7" s="1"/>
  <c r="U971" i="7" a="1"/>
  <c r="U971" i="7" s="1"/>
  <c r="U1133" i="7" a="1"/>
  <c r="U1133" i="7" s="1"/>
  <c r="U864" i="7" a="1"/>
  <c r="U864" i="7" s="1"/>
  <c r="U235" i="7" a="1"/>
  <c r="U235" i="7" s="1"/>
  <c r="U1156" i="7" a="1"/>
  <c r="U1156" i="7" s="1"/>
  <c r="U482" i="7" a="1"/>
  <c r="U482" i="7" s="1"/>
  <c r="U861" i="7" a="1"/>
  <c r="U861" i="7" s="1"/>
  <c r="U658" i="7" a="1"/>
  <c r="U658" i="7" s="1"/>
  <c r="U34" i="7" a="1"/>
  <c r="U34" i="7" s="1"/>
  <c r="U1145" i="7" a="1"/>
  <c r="U1145" i="7" s="1"/>
  <c r="U448" i="7" a="1"/>
  <c r="U448" i="7" s="1"/>
  <c r="U838" i="7" a="1"/>
  <c r="U838" i="7" s="1"/>
  <c r="U789" i="7" a="1"/>
  <c r="U789" i="7" s="1"/>
  <c r="U801" i="7" a="1"/>
  <c r="U801" i="7" s="1"/>
  <c r="U400" i="7" a="1"/>
  <c r="U400" i="7" s="1"/>
  <c r="U582" i="7" a="1"/>
  <c r="U582" i="7" s="1"/>
  <c r="U1115" i="7" a="1"/>
  <c r="U1115" i="7" s="1"/>
  <c r="U670" i="7" a="1"/>
  <c r="U670" i="7" s="1"/>
  <c r="U223" i="7" a="1"/>
  <c r="U223" i="7" s="1"/>
  <c r="U215" i="7" a="1"/>
  <c r="U215" i="7" s="1"/>
  <c r="U384" i="7" a="1"/>
  <c r="U384" i="7" s="1"/>
  <c r="U655" i="7" a="1"/>
  <c r="U655" i="7" s="1"/>
  <c r="U125" i="7" a="1"/>
  <c r="U125" i="7" s="1"/>
  <c r="U304" i="7" a="1"/>
  <c r="U304" i="7" s="1"/>
  <c r="U298" i="7" a="1"/>
  <c r="U298" i="7" s="1"/>
  <c r="U279" i="7" a="1"/>
  <c r="U279" i="7" s="1"/>
  <c r="U875" i="7" a="1"/>
  <c r="U875" i="7" s="1"/>
  <c r="U1167" i="7" a="1"/>
  <c r="U1167" i="7" s="1"/>
  <c r="U187" i="7" a="1"/>
  <c r="U187" i="7" s="1"/>
  <c r="U668" i="7" a="1"/>
  <c r="U668" i="7" s="1"/>
  <c r="U822" i="7" a="1"/>
  <c r="U822" i="7" s="1"/>
  <c r="U991" i="7" a="1"/>
  <c r="U991" i="7" s="1"/>
  <c r="U945" i="7" a="1"/>
  <c r="U945" i="7" s="1"/>
  <c r="U420" i="7" a="1"/>
  <c r="U420" i="7" s="1"/>
  <c r="U99" i="7" a="1"/>
  <c r="U99" i="7" s="1"/>
  <c r="U878" i="7" a="1"/>
  <c r="U878" i="7" s="1"/>
  <c r="U413" i="7" a="1"/>
  <c r="U413" i="7" s="1"/>
  <c r="U386" i="7" a="1"/>
  <c r="U386" i="7" s="1"/>
  <c r="U572" i="7" a="1"/>
  <c r="U572" i="7" s="1"/>
  <c r="U457" i="7" a="1"/>
  <c r="U457" i="7" s="1"/>
  <c r="U1140" i="7" a="1"/>
  <c r="U1140" i="7" s="1"/>
  <c r="U985" i="7" a="1"/>
  <c r="U985" i="7" s="1"/>
  <c r="U885" i="7" a="1"/>
  <c r="U885" i="7" s="1"/>
  <c r="U798" i="7" a="1"/>
  <c r="U798" i="7" s="1"/>
  <c r="U214" i="7" a="1"/>
  <c r="U214" i="7" s="1"/>
  <c r="U199" i="7" a="1"/>
  <c r="U199" i="7" s="1"/>
  <c r="U718" i="7" a="1"/>
  <c r="U718" i="7" s="1"/>
  <c r="U1082" i="7" a="1"/>
  <c r="U1082" i="7" s="1"/>
  <c r="U158" i="7" a="1"/>
  <c r="U158" i="7" s="1"/>
  <c r="U1132" i="7" a="1"/>
  <c r="U1132" i="7" s="1"/>
  <c r="U697" i="7" a="1"/>
  <c r="U697" i="7" s="1"/>
  <c r="U948" i="7" a="1"/>
  <c r="U948" i="7" s="1"/>
  <c r="U483" i="7" a="1"/>
  <c r="U483" i="7" s="1"/>
  <c r="U250" i="7" a="1"/>
  <c r="U250" i="7" s="1"/>
  <c r="U816" i="7" a="1"/>
  <c r="U816" i="7" s="1"/>
  <c r="U922" i="7" a="1"/>
  <c r="U922" i="7" s="1"/>
  <c r="U1172" i="7" a="1"/>
  <c r="U1172" i="7" s="1"/>
  <c r="U852" i="7" a="1"/>
  <c r="U852" i="7" s="1"/>
  <c r="U239" i="7" a="1"/>
  <c r="U239" i="7" s="1"/>
  <c r="U1047" i="7" a="1"/>
  <c r="U1047" i="7" s="1"/>
  <c r="U1157" i="7" a="1"/>
  <c r="U1157" i="7" s="1"/>
  <c r="U811" i="7" a="1"/>
  <c r="U811" i="7" s="1"/>
  <c r="U909" i="7" a="1"/>
  <c r="U909" i="7" s="1"/>
  <c r="U1159" i="7" a="1"/>
  <c r="U1159" i="7" s="1"/>
  <c r="U254" i="7" a="1"/>
  <c r="U254" i="7" s="1"/>
  <c r="U224" i="7" a="1"/>
  <c r="U224" i="7" s="1"/>
  <c r="U1123" i="7" a="1"/>
  <c r="U1123" i="7" s="1"/>
  <c r="U776" i="7" a="1"/>
  <c r="U776" i="7" s="1"/>
  <c r="U873" i="7" a="1"/>
  <c r="U873" i="7" s="1"/>
  <c r="U1031" i="7" a="1"/>
  <c r="U1031" i="7" s="1"/>
  <c r="U771" i="7" a="1"/>
  <c r="U771" i="7" s="1"/>
  <c r="U1092" i="7" a="1"/>
  <c r="U1092" i="7" s="1"/>
  <c r="U1006" i="7" a="1"/>
  <c r="U1006" i="7" s="1"/>
  <c r="U899" i="7" a="1"/>
  <c r="U899" i="7" s="1"/>
  <c r="U210" i="7" a="1"/>
  <c r="U210" i="7" s="1"/>
  <c r="U694" i="7" a="1"/>
  <c r="U694" i="7" s="1"/>
  <c r="U808" i="7" a="1"/>
  <c r="U808" i="7" s="1"/>
  <c r="U423" i="7" a="1"/>
  <c r="U423" i="7" s="1"/>
  <c r="U637" i="7" a="1"/>
  <c r="U637" i="7" s="1"/>
  <c r="U133" i="7" a="1"/>
  <c r="U133" i="7" s="1"/>
  <c r="U772" i="7" a="1"/>
  <c r="U772" i="7" s="1"/>
  <c r="U359" i="7" a="1"/>
  <c r="U359" i="7" s="1"/>
  <c r="U546" i="7" a="1"/>
  <c r="U546" i="7" s="1"/>
  <c r="U1040" i="7" a="1"/>
  <c r="U1040" i="7" s="1"/>
  <c r="U40" i="7" a="1"/>
  <c r="U40" i="7" s="1"/>
  <c r="U669" i="7" a="1"/>
  <c r="U669" i="7" s="1"/>
  <c r="U612" i="7" a="1"/>
  <c r="U612" i="7" s="1"/>
  <c r="U903" i="7" a="1"/>
  <c r="U903" i="7" s="1"/>
  <c r="U724" i="7" a="1"/>
  <c r="U724" i="7" s="1"/>
  <c r="U1160" i="7" a="1"/>
  <c r="U1160" i="7" s="1"/>
  <c r="U525" i="7" a="1"/>
  <c r="U525" i="7" s="1"/>
  <c r="U541" i="7" a="1"/>
  <c r="U541" i="7" s="1"/>
  <c r="U1131" i="7" a="1"/>
  <c r="U1131" i="7" s="1"/>
  <c r="U283" i="7" a="1"/>
  <c r="U283" i="7" s="1"/>
  <c r="U895" i="7" a="1"/>
  <c r="U895" i="7" s="1"/>
  <c r="U178" i="7" a="1"/>
  <c r="U178" i="7" s="1"/>
  <c r="U842" i="7" a="1"/>
  <c r="U842" i="7" s="1"/>
  <c r="U962" i="7" a="1"/>
  <c r="U962" i="7" s="1"/>
  <c r="U560" i="7" a="1"/>
  <c r="U560" i="7" s="1"/>
  <c r="U846" i="7" a="1"/>
  <c r="U846" i="7" s="1"/>
  <c r="U20" i="7" a="1"/>
  <c r="U20" i="7" s="1"/>
  <c r="U969" i="7" a="1"/>
  <c r="U969" i="7" s="1"/>
  <c r="U13" i="7" a="1"/>
  <c r="U13" i="7" s="1"/>
  <c r="U512" i="7" a="1"/>
  <c r="U512" i="7" s="1"/>
  <c r="U405" i="7" a="1"/>
  <c r="U405" i="7" s="1"/>
  <c r="U763" i="7" a="1"/>
  <c r="U763" i="7" s="1"/>
  <c r="U1054" i="7" a="1"/>
  <c r="U1054" i="7" s="1"/>
  <c r="U427" i="7" a="1"/>
  <c r="U427" i="7" s="1"/>
  <c r="U337" i="7" a="1"/>
  <c r="U337" i="7" s="1"/>
  <c r="U777" i="7" a="1"/>
  <c r="U777" i="7" s="1"/>
  <c r="U1017" i="7" a="1"/>
  <c r="U1017" i="7" s="1"/>
  <c r="U329" i="7" a="1"/>
  <c r="U329" i="7" s="1"/>
  <c r="U640" i="7" a="1"/>
  <c r="U640" i="7" s="1"/>
  <c r="U954" i="7" a="1"/>
  <c r="U954" i="7" s="1"/>
  <c r="U531" i="7" a="1"/>
  <c r="U531" i="7" s="1"/>
  <c r="U97" i="7" a="1"/>
  <c r="U97" i="7" s="1"/>
  <c r="U231" i="7" a="1"/>
  <c r="U231" i="7" s="1"/>
  <c r="U1060" i="7" a="1"/>
  <c r="U1060" i="7" s="1"/>
  <c r="U341" i="7" a="1"/>
  <c r="U341" i="7" s="1"/>
  <c r="U691" i="7" a="1"/>
  <c r="U691" i="7" s="1"/>
  <c r="U505" i="7" a="1"/>
  <c r="U505" i="7" s="1"/>
  <c r="U860" i="7" a="1"/>
  <c r="U860" i="7" s="1"/>
  <c r="U1164" i="7" a="1"/>
  <c r="U1164" i="7" s="1"/>
  <c r="U979" i="7" a="1"/>
  <c r="U979" i="7" s="1"/>
  <c r="U372" i="7" a="1"/>
  <c r="U372" i="7" s="1"/>
  <c r="U821" i="7" a="1"/>
  <c r="U821" i="7" s="1"/>
  <c r="U435" i="7" a="1"/>
  <c r="U435" i="7" s="1"/>
  <c r="U928" i="7" a="1"/>
  <c r="U928" i="7" s="1"/>
  <c r="U366" i="7" a="1"/>
  <c r="U366" i="7" s="1"/>
  <c r="U880" i="7" a="1"/>
  <c r="U880" i="7" s="1"/>
  <c r="U890" i="7" a="1"/>
  <c r="U890" i="7" s="1"/>
  <c r="U471" i="7" a="1"/>
  <c r="U471" i="7" s="1"/>
  <c r="U161" i="7" a="1"/>
  <c r="U161" i="7" s="1"/>
  <c r="U849" i="7" a="1"/>
  <c r="U849" i="7" s="1"/>
  <c r="U1063" i="7" a="1"/>
  <c r="U1063" i="7" s="1"/>
  <c r="U844" i="7" a="1"/>
  <c r="U844" i="7" s="1"/>
  <c r="U1104" i="7" a="1"/>
  <c r="U1104" i="7" s="1"/>
  <c r="U1138" i="7" a="1"/>
  <c r="U1138" i="7" s="1"/>
  <c r="U680" i="7" a="1"/>
  <c r="U680" i="7" s="1"/>
  <c r="U395" i="7" a="1"/>
  <c r="U395" i="7" s="1"/>
  <c r="U843" i="7" a="1"/>
  <c r="U843" i="7" s="1"/>
  <c r="U516" i="7" a="1"/>
  <c r="U516" i="7" s="1"/>
  <c r="U1032" i="7" a="1"/>
  <c r="U1032" i="7" s="1"/>
  <c r="U581" i="7" a="1"/>
  <c r="U581" i="7" s="1"/>
  <c r="U162" i="7" a="1"/>
  <c r="U162" i="7" s="1"/>
  <c r="U683" i="7" a="1"/>
  <c r="U683" i="7" s="1"/>
  <c r="U766" i="7" a="1"/>
  <c r="U766" i="7" s="1"/>
  <c r="U1003" i="7" a="1"/>
  <c r="U1003" i="7" s="1"/>
  <c r="U679" i="7" a="1"/>
  <c r="U679" i="7" s="1"/>
  <c r="U831" i="7" a="1"/>
  <c r="U831" i="7" s="1"/>
  <c r="U794" i="7" a="1"/>
  <c r="U794" i="7" s="1"/>
  <c r="U22" i="7" a="1"/>
  <c r="U22" i="7" s="1"/>
  <c r="U854" i="7" a="1"/>
  <c r="U854" i="7" s="1"/>
  <c r="U980" i="7" a="1"/>
  <c r="U980" i="7" s="1"/>
  <c r="U607" i="7" a="1"/>
  <c r="U607" i="7" s="1"/>
  <c r="U256" i="7" a="1"/>
  <c r="U256" i="7" s="1"/>
  <c r="U602" i="7" a="1"/>
  <c r="U602" i="7" s="1"/>
  <c r="U812" i="7" a="1"/>
  <c r="U812" i="7" s="1"/>
  <c r="U8" i="7" a="1"/>
  <c r="U8" i="7" s="1"/>
  <c r="U77" i="7" a="1"/>
  <c r="U77" i="7" s="1"/>
  <c r="U1002" i="7" a="1"/>
  <c r="U1002" i="7" s="1"/>
  <c r="U806" i="7" a="1"/>
  <c r="U806" i="7" s="1"/>
  <c r="U318" i="7" a="1"/>
  <c r="U318" i="7" s="1"/>
  <c r="U936" i="7" a="1"/>
  <c r="U936" i="7" s="1"/>
  <c r="U198" i="7" a="1"/>
  <c r="U198" i="7" s="1"/>
  <c r="U687" i="7" a="1"/>
  <c r="U687" i="7" s="1"/>
  <c r="U534" i="7" a="1"/>
  <c r="U534" i="7" s="1"/>
  <c r="U173" i="7" a="1"/>
  <c r="U173" i="7" s="1"/>
  <c r="U1059" i="7" a="1"/>
  <c r="U1059" i="7" s="1"/>
  <c r="U114" i="7" a="1"/>
  <c r="U114" i="7" s="1"/>
  <c r="U555" i="7" a="1"/>
  <c r="U555" i="7" s="1"/>
  <c r="U492" i="7" a="1"/>
  <c r="U492" i="7" s="1"/>
  <c r="U657" i="7" a="1"/>
  <c r="U657" i="7" s="1"/>
  <c r="U15" i="7" a="1"/>
  <c r="U15" i="7" s="1"/>
  <c r="U563" i="7" a="1"/>
  <c r="U563" i="7" s="1"/>
  <c r="U905" i="7" a="1"/>
  <c r="U905" i="7" s="1"/>
  <c r="U93" i="7" a="1"/>
  <c r="U93" i="7" s="1"/>
  <c r="U204" i="7" a="1"/>
  <c r="U204" i="7" s="1"/>
  <c r="U506" i="7" a="1"/>
  <c r="U506" i="7" s="1"/>
  <c r="U403" i="7" a="1"/>
  <c r="U403" i="7" s="1"/>
  <c r="U472" i="7" a="1"/>
  <c r="U472" i="7" s="1"/>
  <c r="U10" i="7" a="1"/>
  <c r="U10" i="7" s="1"/>
  <c r="U1034" i="7" a="1"/>
  <c r="U1034" i="7" s="1"/>
  <c r="U664" i="7" a="1"/>
  <c r="U664" i="7" s="1"/>
  <c r="U398" i="7" a="1"/>
  <c r="U398" i="7" s="1"/>
  <c r="U827" i="7" a="1"/>
  <c r="U827" i="7" s="1"/>
  <c r="U650" i="7" a="1"/>
  <c r="U650" i="7" s="1"/>
  <c r="U370" i="7" a="1"/>
  <c r="U370" i="7" s="1"/>
  <c r="U373" i="7" a="1"/>
  <c r="U373" i="7" s="1"/>
  <c r="U728" i="7" a="1"/>
  <c r="U728" i="7" s="1"/>
  <c r="U113" i="7" a="1"/>
  <c r="U113" i="7" s="1"/>
  <c r="U762" i="7" a="1"/>
  <c r="U762" i="7" s="1"/>
  <c r="U644" i="7" a="1"/>
  <c r="U644" i="7" s="1"/>
  <c r="U170" i="7" a="1"/>
  <c r="U170" i="7" s="1"/>
  <c r="U181" i="7" a="1"/>
  <c r="U181" i="7" s="1"/>
  <c r="U1056" i="7" a="1"/>
  <c r="U1056" i="7" s="1"/>
  <c r="U1135" i="7" a="1"/>
  <c r="U1135" i="7" s="1"/>
  <c r="U387" i="7" a="1"/>
  <c r="U387" i="7" s="1"/>
  <c r="U408" i="7" a="1"/>
  <c r="U408" i="7" s="1"/>
  <c r="U168" i="7" a="1"/>
  <c r="U168" i="7" s="1"/>
  <c r="U805" i="7" a="1"/>
  <c r="U805" i="7" s="1"/>
  <c r="U1117" i="7" a="1"/>
  <c r="U1117" i="7" s="1"/>
  <c r="U1027" i="7" a="1"/>
  <c r="U1027" i="7" s="1"/>
  <c r="U176" i="7" a="1"/>
  <c r="U176" i="7" s="1"/>
  <c r="U894" i="7" a="1"/>
  <c r="U894" i="7" s="1"/>
  <c r="U26" i="7" a="1"/>
  <c r="U26" i="7" s="1"/>
  <c r="U382" i="7" a="1"/>
  <c r="U382" i="7" s="1"/>
  <c r="U192" i="7" a="1"/>
  <c r="U192" i="7" s="1"/>
  <c r="U605" i="7" a="1"/>
  <c r="U605" i="7" s="1"/>
  <c r="U589" i="7" a="1"/>
  <c r="U589" i="7" s="1"/>
  <c r="U43" i="7" a="1"/>
  <c r="U43" i="7" s="1"/>
  <c r="U871" i="7" a="1"/>
  <c r="U871" i="7" s="1"/>
  <c r="U523" i="7" a="1"/>
  <c r="U523" i="7" s="1"/>
  <c r="U1129" i="7" a="1"/>
  <c r="U1129" i="7" s="1"/>
  <c r="U473" i="7" a="1"/>
  <c r="U473" i="7" s="1"/>
  <c r="U855" i="7" a="1"/>
  <c r="U855" i="7" s="1"/>
  <c r="U994" i="7" a="1"/>
  <c r="U994" i="7" s="1"/>
  <c r="U889" i="7" a="1"/>
  <c r="U889" i="7" s="1"/>
  <c r="U111" i="7" a="1"/>
  <c r="U111" i="7" s="1"/>
  <c r="U1023" i="7" a="1"/>
  <c r="U1023" i="7" s="1"/>
  <c r="U568" i="7" a="1"/>
  <c r="U568" i="7" s="1"/>
  <c r="U228" i="7" a="1"/>
  <c r="U228" i="7" s="1"/>
  <c r="U1093" i="7" a="1"/>
  <c r="U1093" i="7" s="1"/>
  <c r="U600" i="7" a="1"/>
  <c r="U600" i="7" s="1"/>
  <c r="U585" i="7" a="1"/>
  <c r="U585" i="7" s="1"/>
  <c r="U758" i="7" a="1"/>
  <c r="U758" i="7" s="1"/>
  <c r="U153" i="7" a="1"/>
  <c r="U153" i="7" s="1"/>
  <c r="U713" i="7" a="1"/>
  <c r="U713" i="7" s="1"/>
  <c r="U1005" i="7" a="1"/>
  <c r="U1005" i="7" s="1"/>
  <c r="U747" i="7" a="1"/>
  <c r="U747" i="7" s="1"/>
  <c r="U1058" i="7" a="1"/>
  <c r="U1058" i="7" s="1"/>
  <c r="U850" i="7" a="1"/>
  <c r="U850" i="7" s="1"/>
  <c r="U720" i="7" a="1"/>
  <c r="U720" i="7" s="1"/>
  <c r="U117" i="7" a="1"/>
  <c r="U117" i="7" s="1"/>
  <c r="U507" i="7" a="1"/>
  <c r="U507" i="7" s="1"/>
  <c r="U830" i="7" a="1"/>
  <c r="U830" i="7" s="1"/>
  <c r="U630" i="7" a="1"/>
  <c r="U630" i="7" s="1"/>
  <c r="U1085" i="7" a="1"/>
  <c r="U1085" i="7" s="1"/>
  <c r="U16" i="7" a="1"/>
  <c r="U16" i="7" s="1"/>
  <c r="U494" i="7" a="1"/>
  <c r="U494" i="7" s="1"/>
  <c r="U310" i="7" a="1"/>
  <c r="U310" i="7" s="1"/>
  <c r="U845" i="7" a="1"/>
  <c r="U845" i="7" s="1"/>
  <c r="U934" i="7" a="1"/>
  <c r="U934" i="7" s="1"/>
  <c r="U346" i="7" a="1"/>
  <c r="U346" i="7" s="1"/>
  <c r="U562" i="7" a="1"/>
  <c r="U562" i="7" s="1"/>
  <c r="U194" i="7" a="1"/>
  <c r="U194" i="7" s="1"/>
  <c r="U569" i="7" a="1"/>
  <c r="U569" i="7" s="1"/>
  <c r="U672" i="7" a="1"/>
  <c r="U672" i="7" s="1"/>
  <c r="U447" i="7" a="1"/>
  <c r="U447" i="7" s="1"/>
  <c r="U886" i="7" a="1"/>
  <c r="U886" i="7" s="1"/>
  <c r="U997" i="7" a="1"/>
  <c r="U997" i="7" s="1"/>
  <c r="U1173" i="7" a="1"/>
  <c r="U1173" i="7" s="1"/>
  <c r="U6" i="7" a="1"/>
  <c r="U6" i="7" s="1"/>
  <c r="U211" i="7" a="1"/>
  <c r="U211" i="7" s="1"/>
  <c r="U209" i="7" a="1"/>
  <c r="U209" i="7" s="1"/>
  <c r="U575" i="7" a="1"/>
  <c r="U575" i="7" s="1"/>
  <c r="U186" i="7" a="1"/>
  <c r="U186" i="7" s="1"/>
  <c r="U272" i="7" a="1"/>
  <c r="U272" i="7" s="1"/>
  <c r="U625" i="7" a="1"/>
  <c r="U625" i="7" s="1"/>
  <c r="U788" i="7" a="1"/>
  <c r="U788" i="7" s="1"/>
  <c r="U119" i="7" a="1"/>
  <c r="U119" i="7" s="1"/>
  <c r="U84" i="7" a="1"/>
  <c r="U84" i="7" s="1"/>
  <c r="U41" i="7" a="1"/>
  <c r="U41" i="7" s="1"/>
  <c r="U929" i="7" a="1"/>
  <c r="U929" i="7" s="1"/>
  <c r="U756" i="7" a="1"/>
  <c r="U756" i="7" s="1"/>
  <c r="U248" i="7" a="1"/>
  <c r="U248" i="7" s="1"/>
  <c r="U466" i="7" a="1"/>
  <c r="U466" i="7" s="1"/>
  <c r="U1000" i="7" a="1"/>
  <c r="U1000" i="7" s="1"/>
  <c r="U937" i="7" a="1"/>
  <c r="U937" i="7" s="1"/>
  <c r="U986" i="7" a="1"/>
  <c r="U986" i="7" s="1"/>
  <c r="U660" i="7" a="1"/>
  <c r="U660" i="7" s="1"/>
  <c r="U484" i="7" a="1"/>
  <c r="U484" i="7" s="1"/>
  <c r="U938" i="7" a="1"/>
  <c r="U938" i="7" s="1"/>
  <c r="U677" i="7" a="1"/>
  <c r="U677" i="7" s="1"/>
  <c r="U642" i="7" a="1"/>
  <c r="U642" i="7" s="1"/>
  <c r="U1028" i="7" a="1"/>
  <c r="U1028" i="7" s="1"/>
  <c r="U726" i="7" a="1"/>
  <c r="U726" i="7" s="1"/>
  <c r="U23" i="7" a="1"/>
  <c r="U23" i="7" s="1"/>
  <c r="U467" i="7" a="1"/>
  <c r="U467" i="7" s="1"/>
  <c r="U800" i="7" a="1"/>
  <c r="U800" i="7" s="1"/>
  <c r="U976" i="7" a="1"/>
  <c r="U976" i="7" s="1"/>
  <c r="U963" i="7" a="1"/>
  <c r="U963" i="7" s="1"/>
  <c r="U736" i="7" a="1"/>
  <c r="U736" i="7" s="1"/>
  <c r="U333" i="7" a="1"/>
  <c r="U333" i="7" s="1"/>
  <c r="U1078" i="7" a="1"/>
  <c r="U1078" i="7" s="1"/>
  <c r="U825" i="7" a="1"/>
  <c r="U825" i="7" s="1"/>
  <c r="U738" i="7" a="1"/>
  <c r="U738" i="7" s="1"/>
  <c r="U522" i="7" a="1"/>
  <c r="U522" i="7" s="1"/>
  <c r="U336" i="7" a="1"/>
  <c r="U336" i="7" s="1"/>
  <c r="U898" i="7" a="1"/>
  <c r="U898" i="7" s="1"/>
  <c r="U375" i="7" a="1"/>
  <c r="U375" i="7" s="1"/>
  <c r="U787" i="7" a="1"/>
  <c r="U787" i="7" s="1"/>
  <c r="U277" i="7" a="1"/>
  <c r="U277" i="7" s="1"/>
  <c r="U280" i="7" a="1"/>
  <c r="U280" i="7" s="1"/>
  <c r="U815" i="7" a="1"/>
  <c r="U815" i="7" s="1"/>
  <c r="U1084" i="7" a="1"/>
  <c r="U1084" i="7" s="1"/>
  <c r="U1175" i="7" a="1"/>
  <c r="U1175" i="7" s="1"/>
  <c r="U970" i="7" a="1"/>
  <c r="U970" i="7" s="1"/>
  <c r="U1137" i="7" a="1"/>
  <c r="U1137" i="7" s="1"/>
  <c r="U1125" i="7" a="1"/>
  <c r="U1125" i="7" s="1"/>
  <c r="U529" i="7" a="1"/>
  <c r="U529" i="7" s="1"/>
  <c r="U1169" i="7" a="1"/>
  <c r="U1169" i="7" s="1"/>
  <c r="U643" i="7" a="1"/>
  <c r="U643" i="7" s="1"/>
  <c r="U770" i="7" a="1"/>
  <c r="U770" i="7" s="1"/>
  <c r="U1165" i="7" a="1"/>
  <c r="U1165" i="7" s="1"/>
  <c r="U172" i="7" a="1"/>
  <c r="U172" i="7" s="1"/>
  <c r="U421" i="7" a="1"/>
  <c r="U421" i="7" s="1"/>
  <c r="U190" i="7" a="1"/>
  <c r="U190" i="7" s="1"/>
  <c r="U785" i="7" a="1"/>
  <c r="U785" i="7" s="1"/>
  <c r="U935" i="7" a="1"/>
  <c r="U935" i="7" s="1"/>
  <c r="U839" i="7" a="1"/>
  <c r="U839" i="7" s="1"/>
  <c r="U452" i="7" a="1"/>
  <c r="U452" i="7" s="1"/>
  <c r="U300" i="7" a="1"/>
  <c r="U300" i="7" s="1"/>
  <c r="U778" i="7" a="1"/>
  <c r="U778" i="7" s="1"/>
  <c r="U416" i="7" a="1"/>
  <c r="U416" i="7" s="1"/>
  <c r="U49" i="7" a="1"/>
  <c r="U49" i="7" s="1"/>
  <c r="U237" i="7" a="1"/>
  <c r="U237" i="7" s="1"/>
  <c r="U324" i="7" a="1"/>
  <c r="U324" i="7" s="1"/>
  <c r="U426" i="7" a="1"/>
  <c r="U426" i="7" s="1"/>
  <c r="U712" i="7" a="1"/>
  <c r="U712" i="7" s="1"/>
  <c r="U882" i="7" a="1"/>
  <c r="U882" i="7" s="1"/>
  <c r="U570" i="7" a="1"/>
  <c r="U570" i="7" s="1"/>
  <c r="U671" i="7" a="1"/>
  <c r="U671" i="7" s="1"/>
  <c r="U164" i="7" a="1"/>
  <c r="U164" i="7" s="1"/>
  <c r="U635" i="7" a="1"/>
  <c r="U635" i="7" s="1"/>
  <c r="U912" i="7" a="1"/>
  <c r="U912" i="7" s="1"/>
  <c r="U840" i="7" a="1"/>
  <c r="U840" i="7" s="1"/>
  <c r="U415" i="7" a="1"/>
  <c r="U415" i="7" s="1"/>
  <c r="U559" i="7" a="1"/>
  <c r="U559" i="7" s="1"/>
  <c r="U218" i="7" a="1"/>
  <c r="U218" i="7" s="1"/>
  <c r="U391" i="7" a="1"/>
  <c r="U391" i="7" s="1"/>
  <c r="U973" i="7" a="1"/>
  <c r="U973" i="7" s="1"/>
  <c r="U828" i="7" a="1"/>
  <c r="U828" i="7" s="1"/>
  <c r="U258" i="7" a="1"/>
  <c r="U258" i="7" s="1"/>
  <c r="U532" i="7" a="1"/>
  <c r="U532" i="7" s="1"/>
  <c r="U107" i="7" a="1"/>
  <c r="U107" i="7" s="1"/>
  <c r="U561" i="7" a="1"/>
  <c r="U561" i="7" s="1"/>
  <c r="U441" i="7" a="1"/>
  <c r="U441" i="7" s="1"/>
  <c r="U1030" i="7" a="1"/>
  <c r="U1030" i="7" s="1"/>
  <c r="U18" i="7" a="1"/>
  <c r="U18" i="7" s="1"/>
  <c r="U619" i="7" a="1"/>
  <c r="U619" i="7" s="1"/>
  <c r="U614" i="7" a="1"/>
  <c r="U614" i="7" s="1"/>
  <c r="U686" i="7" a="1"/>
  <c r="U686" i="7" s="1"/>
  <c r="U412" i="7" a="1"/>
  <c r="U412" i="7" s="1"/>
  <c r="U101" i="7" a="1"/>
  <c r="U101" i="7" s="1"/>
  <c r="U629" i="7" a="1"/>
  <c r="U629" i="7" s="1"/>
  <c r="U1100" i="7" a="1"/>
  <c r="U1100" i="7" s="1"/>
  <c r="U334" i="7" a="1"/>
  <c r="U334" i="7" s="1"/>
  <c r="U781" i="7" a="1"/>
  <c r="U781" i="7" s="1"/>
  <c r="U920" i="7" a="1"/>
  <c r="U920" i="7" s="1"/>
  <c r="U732" i="7" a="1"/>
  <c r="U732" i="7" s="1"/>
  <c r="U182" i="7" a="1"/>
  <c r="U182" i="7" s="1"/>
  <c r="U1004" i="7" a="1"/>
  <c r="U1004" i="7" s="1"/>
  <c r="U53" i="7" a="1"/>
  <c r="U53" i="7" s="1"/>
  <c r="U1141" i="7" a="1"/>
  <c r="U1141" i="7" s="1"/>
  <c r="U338" i="7" a="1"/>
  <c r="U338" i="7" s="1"/>
  <c r="U432" i="7" a="1"/>
  <c r="U432" i="7" s="1"/>
  <c r="U900" i="7" a="1"/>
  <c r="U900" i="7" s="1"/>
  <c r="U264" i="7" a="1"/>
  <c r="U264" i="7" s="1"/>
  <c r="U91" i="7" a="1"/>
  <c r="U91" i="7" s="1"/>
  <c r="U120" i="7" a="1"/>
  <c r="U120" i="7" s="1"/>
  <c r="U829" i="7" a="1"/>
  <c r="U829" i="7" s="1"/>
  <c r="U376" i="7" a="1"/>
  <c r="U376" i="7" s="1"/>
  <c r="U96" i="7" a="1"/>
  <c r="U96" i="7" s="1"/>
  <c r="U627" i="7" a="1"/>
  <c r="U627" i="7" s="1"/>
  <c r="U19" i="7" a="1"/>
  <c r="U19" i="7" s="1"/>
  <c r="U390" i="7" a="1"/>
  <c r="U390" i="7" s="1"/>
  <c r="U538" i="7" a="1"/>
  <c r="U538" i="7" s="1"/>
  <c r="U220" i="7" a="1"/>
  <c r="U220" i="7" s="1"/>
  <c r="U695" i="7" a="1"/>
  <c r="U695" i="7" s="1"/>
  <c r="U915" i="7" a="1"/>
  <c r="U915" i="7" s="1"/>
  <c r="U960" i="7" a="1"/>
  <c r="U960" i="7" s="1"/>
  <c r="U73" i="7" a="1"/>
  <c r="U73" i="7" s="1"/>
  <c r="U884" i="7" a="1"/>
  <c r="U884" i="7" s="1"/>
  <c r="U327" i="7" a="1"/>
  <c r="U327" i="7" s="1"/>
  <c r="U58" i="7" a="1"/>
  <c r="U58" i="7" s="1"/>
  <c r="U754" i="7" a="1"/>
  <c r="U754" i="7" s="1"/>
  <c r="U378" i="7" a="1"/>
  <c r="U378" i="7" s="1"/>
  <c r="U242" i="7" a="1"/>
  <c r="U242" i="7" s="1"/>
  <c r="U295" i="7" a="1"/>
  <c r="U295" i="7" s="1"/>
  <c r="U493" i="7" a="1"/>
  <c r="U493" i="7" s="1"/>
  <c r="U163" i="7" a="1"/>
  <c r="U163" i="7" s="1"/>
  <c r="U197" i="7" a="1"/>
  <c r="U197" i="7" s="1"/>
  <c r="U858" i="7" a="1"/>
  <c r="U858" i="7" s="1"/>
  <c r="U678" i="7" a="1"/>
  <c r="U678" i="7" s="1"/>
  <c r="U676" i="7" a="1"/>
  <c r="U676" i="7" s="1"/>
  <c r="U175" i="7" a="1"/>
  <c r="U175" i="7" s="1"/>
  <c r="U647" i="7" a="1"/>
  <c r="U647" i="7" s="1"/>
  <c r="U1039" i="7" a="1"/>
  <c r="U1039" i="7" s="1"/>
  <c r="U795" i="7" a="1"/>
  <c r="U795" i="7" s="1"/>
  <c r="U456" i="7" a="1"/>
  <c r="U456" i="7" s="1"/>
  <c r="U914" i="7" a="1"/>
  <c r="U914" i="7" s="1"/>
  <c r="U396" i="7" a="1"/>
  <c r="U396" i="7" s="1"/>
  <c r="U964" i="7" a="1"/>
  <c r="U964" i="7" s="1"/>
  <c r="U159" i="7" a="1"/>
  <c r="U159" i="7" s="1"/>
  <c r="U550" i="7" a="1"/>
  <c r="U550" i="7" s="1"/>
  <c r="U730" i="7" a="1"/>
  <c r="U730" i="7" s="1"/>
  <c r="U835" i="7" a="1"/>
  <c r="U835" i="7" s="1"/>
  <c r="U524" i="7" a="1"/>
  <c r="U524" i="7" s="1"/>
  <c r="U240" i="7" a="1"/>
  <c r="U240" i="7" s="1"/>
  <c r="U1119" i="7" a="1"/>
  <c r="U1119" i="7" s="1"/>
  <c r="U648" i="7" a="1"/>
  <c r="U648" i="7" s="1"/>
  <c r="U518" i="7" a="1"/>
  <c r="U518" i="7" s="1"/>
  <c r="U208" i="7" a="1"/>
  <c r="U208" i="7" s="1"/>
  <c r="U958" i="7" a="1"/>
  <c r="U958" i="7" s="1"/>
  <c r="U768" i="7" a="1"/>
  <c r="U768" i="7" s="1"/>
  <c r="U661" i="7" a="1"/>
  <c r="U661" i="7" s="1"/>
  <c r="U656" i="7" a="1"/>
  <c r="U656" i="7" s="1"/>
  <c r="U564" i="7" a="1"/>
  <c r="U564" i="7" s="1"/>
  <c r="U925" i="7" a="1"/>
  <c r="U925" i="7" s="1"/>
  <c r="U696" i="7" a="1"/>
  <c r="U696" i="7" s="1"/>
  <c r="U877" i="7" a="1"/>
  <c r="U877" i="7" s="1"/>
  <c r="U11" i="7" a="1"/>
  <c r="U11" i="7" s="1"/>
  <c r="U566" i="7" a="1"/>
  <c r="U566" i="7" s="1"/>
  <c r="U904" i="7" a="1"/>
  <c r="U904" i="7" s="1"/>
  <c r="U804" i="7" a="1"/>
  <c r="U804" i="7" s="1"/>
  <c r="U184" i="7" a="1"/>
  <c r="U184" i="7" s="1"/>
  <c r="U739" i="7" a="1"/>
  <c r="U739" i="7" s="1"/>
  <c r="U592" i="7" a="1"/>
  <c r="U592" i="7" s="1"/>
  <c r="U708" i="7" a="1"/>
  <c r="U708" i="7" s="1"/>
  <c r="U320" i="7" a="1"/>
  <c r="U320" i="7" s="1"/>
  <c r="U701" i="7" a="1"/>
  <c r="U701" i="7" s="1"/>
  <c r="U439" i="7" a="1"/>
  <c r="U439" i="7" s="1"/>
  <c r="U684" i="7" a="1"/>
  <c r="U684" i="7" s="1"/>
  <c r="U733" i="7" a="1"/>
  <c r="U733" i="7" s="1"/>
  <c r="U317" i="7" a="1"/>
  <c r="U317" i="7" s="1"/>
  <c r="U870" i="7" a="1"/>
  <c r="U870" i="7" s="1"/>
  <c r="U303" i="7" a="1"/>
  <c r="U303" i="7" s="1"/>
  <c r="U618" i="7" a="1"/>
  <c r="U618" i="7" s="1"/>
  <c r="U282" i="7" a="1"/>
  <c r="U282" i="7" s="1"/>
  <c r="U784" i="7" a="1"/>
  <c r="U784" i="7" s="1"/>
  <c r="U380" i="7" a="1"/>
  <c r="U380" i="7" s="1"/>
  <c r="U769" i="7" a="1"/>
  <c r="U769" i="7" s="1"/>
  <c r="U1122" i="7" a="1"/>
  <c r="U1122" i="7" s="1"/>
  <c r="U477" i="7" a="1"/>
  <c r="U477" i="7" s="1"/>
  <c r="U368" i="7" a="1"/>
  <c r="U368" i="7" s="1"/>
  <c r="U628" i="7" a="1"/>
  <c r="U628" i="7" s="1"/>
  <c r="U212" i="7" a="1"/>
  <c r="U212" i="7" s="1"/>
  <c r="U1008" i="7" a="1"/>
  <c r="U1008" i="7" s="1"/>
  <c r="U514" i="7" a="1"/>
  <c r="U514" i="7" s="1"/>
  <c r="U641" i="7" a="1"/>
  <c r="U641" i="7" s="1"/>
  <c r="U1134" i="7" a="1"/>
  <c r="U1134" i="7" s="1"/>
  <c r="U459" i="7" a="1"/>
  <c r="U459" i="7" s="1"/>
  <c r="U902" i="7" a="1"/>
  <c r="U902" i="7" s="1"/>
  <c r="U743" i="7" a="1"/>
  <c r="U743" i="7" s="1"/>
  <c r="U344" i="7" a="1"/>
  <c r="U344" i="7" s="1"/>
  <c r="U221" i="7" a="1"/>
  <c r="U221" i="7" s="1"/>
  <c r="U737" i="7" a="1"/>
  <c r="U737" i="7" s="1"/>
  <c r="U85" i="7" a="1"/>
  <c r="U85" i="7" s="1"/>
  <c r="U109" i="7" a="1"/>
  <c r="U109" i="7" s="1"/>
  <c r="U365" i="7" a="1"/>
  <c r="U365" i="7" s="1"/>
  <c r="U247" i="7" a="1"/>
  <c r="U247" i="7" s="1"/>
  <c r="U863" i="7" a="1"/>
  <c r="U863" i="7" s="1"/>
  <c r="U515" i="7" a="1"/>
  <c r="U515" i="7" s="1"/>
  <c r="U972" i="7" a="1"/>
  <c r="U972" i="7" s="1"/>
  <c r="U939" i="7" a="1"/>
  <c r="U939" i="7" s="1"/>
  <c r="U207" i="7" a="1"/>
  <c r="U207" i="7" s="1"/>
  <c r="U1045" i="7" a="1"/>
  <c r="U1045" i="7" s="1"/>
  <c r="U834" i="7" a="1"/>
  <c r="U834" i="7" s="1"/>
  <c r="U833" i="7" a="1"/>
  <c r="U833" i="7" s="1"/>
  <c r="U681" i="7" a="1"/>
  <c r="U681" i="7" s="1"/>
  <c r="U54" i="7" a="1"/>
  <c r="U54" i="7" s="1"/>
  <c r="U574" i="7" a="1"/>
  <c r="U574" i="7" s="1"/>
  <c r="U968" i="7" a="1"/>
  <c r="U968" i="7" s="1"/>
  <c r="U793" i="7" a="1"/>
  <c r="U793" i="7" s="1"/>
  <c r="U853" i="7" a="1"/>
  <c r="U853" i="7" s="1"/>
  <c r="U233" i="7" a="1"/>
  <c r="U233" i="7" s="1"/>
  <c r="U362" i="7" a="1"/>
  <c r="U362" i="7" s="1"/>
  <c r="U558" i="7" a="1"/>
  <c r="U558" i="7" s="1"/>
  <c r="U685" i="7" a="1"/>
  <c r="U685" i="7" s="1"/>
  <c r="U225" i="7" a="1"/>
  <c r="U225" i="7" s="1"/>
  <c r="U982" i="7" a="1"/>
  <c r="U982" i="7" s="1"/>
  <c r="U539" i="7" a="1"/>
  <c r="U539" i="7" s="1"/>
  <c r="U470" i="7" a="1"/>
  <c r="U470" i="7" s="1"/>
  <c r="U348" i="7" a="1"/>
  <c r="U348" i="7" s="1"/>
  <c r="U267" i="7" a="1"/>
  <c r="U267" i="7" s="1"/>
  <c r="U908" i="7" a="1"/>
  <c r="U908" i="7" s="1"/>
  <c r="U1022" i="7" a="1"/>
  <c r="U1022" i="7" s="1"/>
  <c r="U716" i="7" a="1"/>
  <c r="U716" i="7" s="1"/>
  <c r="U411" i="7" a="1"/>
  <c r="U411" i="7" s="1"/>
  <c r="U765" i="7" a="1"/>
  <c r="U765" i="7" s="1"/>
  <c r="U757" i="7" a="1"/>
  <c r="U757" i="7" s="1"/>
  <c r="U723" i="7" a="1"/>
  <c r="U723" i="7" s="1"/>
  <c r="U543" i="7" a="1"/>
  <c r="U543" i="7" s="1"/>
  <c r="U465" i="7" a="1"/>
  <c r="U465" i="7" s="1"/>
  <c r="U803" i="7" a="1"/>
  <c r="U803" i="7" s="1"/>
  <c r="U417" i="7" a="1"/>
  <c r="U417" i="7" s="1"/>
  <c r="U576" i="7" a="1"/>
  <c r="U576" i="7" s="1"/>
  <c r="U388" i="7" a="1"/>
  <c r="U388" i="7" s="1"/>
  <c r="U1019" i="7" a="1"/>
  <c r="U1019" i="7" s="1"/>
  <c r="U911" i="7" a="1"/>
  <c r="U911" i="7" s="1"/>
  <c r="U874" i="7" a="1"/>
  <c r="U874" i="7" s="1"/>
  <c r="U1106" i="7" a="1"/>
  <c r="U1106" i="7" s="1"/>
  <c r="U321" i="7" a="1"/>
  <c r="U321" i="7" s="1"/>
  <c r="U44" i="7" a="1"/>
  <c r="U44" i="7" s="1"/>
  <c r="U764" i="7" a="1"/>
  <c r="U764" i="7" s="1"/>
  <c r="U799" i="7" a="1"/>
  <c r="U799" i="7" s="1"/>
  <c r="U767" i="7" a="1"/>
  <c r="U767" i="7" s="1"/>
  <c r="U356" i="7" a="1"/>
  <c r="U356" i="7" s="1"/>
  <c r="U222" i="7" a="1"/>
  <c r="U222" i="7" s="1"/>
  <c r="U1009" i="7" a="1"/>
  <c r="U1009" i="7" s="1"/>
  <c r="U700" i="7" a="1"/>
  <c r="U700" i="7" s="1"/>
  <c r="U437" i="7" a="1"/>
  <c r="U437" i="7" s="1"/>
  <c r="U48" i="7" a="1"/>
  <c r="U48" i="7" s="1"/>
  <c r="U430" i="7" a="1"/>
  <c r="U430" i="7" s="1"/>
  <c r="U418" i="7" a="1"/>
  <c r="U418" i="7" s="1"/>
  <c r="U326" i="7" a="1"/>
  <c r="U326" i="7" s="1"/>
  <c r="U596" i="7" a="1"/>
  <c r="U596" i="7" s="1"/>
  <c r="U537" i="7" a="1"/>
  <c r="U537" i="7" s="1"/>
  <c r="U442" i="7" a="1"/>
  <c r="U442" i="7" s="1"/>
  <c r="U46" i="7" a="1"/>
  <c r="U46" i="7" s="1"/>
  <c r="U509" i="7" a="1"/>
  <c r="U509" i="7" s="1"/>
  <c r="U999" i="7" a="1"/>
  <c r="U999" i="7" s="1"/>
  <c r="U977" i="7" a="1"/>
  <c r="U977" i="7" s="1"/>
  <c r="U517" i="7" a="1"/>
  <c r="U517" i="7" s="1"/>
  <c r="U74" i="7" a="1"/>
  <c r="U74" i="7" s="1"/>
  <c r="U307" i="7" a="1"/>
  <c r="U307" i="7" s="1"/>
  <c r="U837" i="7" a="1"/>
  <c r="U837" i="7" s="1"/>
  <c r="U817" i="7" a="1"/>
  <c r="U817" i="7" s="1"/>
  <c r="U29" i="7" a="1"/>
  <c r="U29" i="7" s="1"/>
  <c r="U1074" i="7" a="1"/>
  <c r="U1074" i="7" s="1"/>
  <c r="U377" i="7" a="1"/>
  <c r="U377" i="7" s="1"/>
  <c r="U513" i="7" a="1"/>
  <c r="U513" i="7" s="1"/>
  <c r="U662" i="7" a="1"/>
  <c r="U662" i="7" s="1"/>
  <c r="U703" i="7" a="1"/>
  <c r="U703" i="7" s="1"/>
  <c r="U4" i="7" a="1"/>
  <c r="U4" i="7" s="1"/>
  <c r="U486" i="7" a="1"/>
  <c r="U486" i="7" s="1"/>
  <c r="U942" i="7" a="1"/>
  <c r="U942" i="7" s="1"/>
  <c r="U50" i="7" a="1"/>
  <c r="U50" i="7" s="1"/>
  <c r="U692" i="7" a="1"/>
  <c r="U692" i="7" s="1"/>
  <c r="U383" i="7" a="1"/>
  <c r="U383" i="7" s="1"/>
  <c r="U974" i="7" a="1"/>
  <c r="U974" i="7" s="1"/>
  <c r="U355" i="7" a="1"/>
  <c r="U355" i="7" s="1"/>
  <c r="U613" i="7" a="1"/>
  <c r="U613" i="7" s="1"/>
  <c r="U297" i="7" a="1"/>
  <c r="U297" i="7" s="1"/>
  <c r="U702" i="7" a="1"/>
  <c r="U702" i="7" s="1"/>
  <c r="U675" i="7" a="1"/>
  <c r="U675" i="7" s="1"/>
  <c r="U663" i="7" a="1"/>
  <c r="U663" i="7" s="1"/>
  <c r="U594" i="7" a="1"/>
  <c r="U594" i="7" s="1"/>
  <c r="U274" i="7" a="1"/>
  <c r="U274" i="7" s="1"/>
  <c r="U433" i="7" a="1"/>
  <c r="U433" i="7" s="1"/>
  <c r="U573" i="7" a="1"/>
  <c r="U573" i="7" s="1"/>
  <c r="U238" i="7" a="1"/>
  <c r="U238" i="7" s="1"/>
  <c r="U1154" i="7" a="1"/>
  <c r="U1154" i="7" s="1"/>
  <c r="U753" i="7" a="1"/>
  <c r="U753" i="7" s="1"/>
  <c r="U491" i="7" a="1"/>
  <c r="U491" i="7" s="1"/>
  <c r="U1168" i="7" a="1"/>
  <c r="U1168" i="7" s="1"/>
  <c r="U624" i="7" a="1"/>
  <c r="U624" i="7" s="1"/>
  <c r="U419" i="7" a="1"/>
  <c r="U419" i="7" s="1"/>
  <c r="U414" i="7" a="1"/>
  <c r="U414" i="7" s="1"/>
  <c r="U1112" i="7" a="1"/>
  <c r="U1112" i="7" s="1"/>
  <c r="U947" i="7" a="1"/>
  <c r="U947" i="7" s="1"/>
  <c r="U401" i="7" a="1"/>
  <c r="U401" i="7" s="1"/>
  <c r="U7" i="7" a="1"/>
  <c r="U7" i="7" s="1"/>
  <c r="U312" i="7" a="1"/>
  <c r="U312" i="7" s="1"/>
  <c r="U302" i="7" a="1"/>
  <c r="U302" i="7" s="1"/>
  <c r="U906" i="7" a="1"/>
  <c r="U906" i="7" s="1"/>
  <c r="U651" i="7" a="1"/>
  <c r="U651" i="7" s="1"/>
  <c r="U316" i="7" a="1"/>
  <c r="U316" i="7" s="1"/>
  <c r="M265" i="7"/>
  <c r="U265" i="7" s="1" a="1"/>
  <c r="U265" i="7" s="1"/>
  <c r="U371" i="7" a="1"/>
  <c r="U371" i="7" s="1"/>
  <c r="U42" i="7" a="1"/>
  <c r="U42" i="7" s="1"/>
  <c r="U603" i="7" a="1"/>
  <c r="U603" i="7" s="1"/>
  <c r="U37" i="7" a="1"/>
  <c r="U37" i="7" s="1"/>
  <c r="U284" i="7" a="1"/>
  <c r="U284" i="7" s="1"/>
  <c r="U604" i="7" a="1"/>
  <c r="U604" i="7" s="1"/>
  <c r="U741" i="7" a="1"/>
  <c r="U741" i="7" s="1"/>
  <c r="U496" i="7" a="1"/>
  <c r="U496" i="7" s="1"/>
  <c r="U717" i="7" a="1"/>
  <c r="U717" i="7" s="1"/>
  <c r="U330" i="7" a="1"/>
  <c r="U330" i="7" s="1"/>
  <c r="U200" i="7" a="1"/>
  <c r="U200" i="7" s="1"/>
  <c r="U1055" i="7" a="1"/>
  <c r="U1055" i="7" s="1"/>
  <c r="U740" i="7" a="1"/>
  <c r="U740" i="7" s="1"/>
  <c r="U744" i="7" a="1"/>
  <c r="U744" i="7" s="1"/>
  <c r="U996" i="7" a="1"/>
  <c r="U996" i="7" s="1"/>
  <c r="U165" i="7" a="1"/>
  <c r="U165" i="7" s="1"/>
  <c r="U92" i="7" a="1"/>
  <c r="U92" i="7" s="1"/>
  <c r="U802" i="7" a="1"/>
  <c r="U802" i="7" s="1"/>
  <c r="U443" i="7" a="1"/>
  <c r="U443" i="7" s="1"/>
  <c r="U809" i="7" a="1"/>
  <c r="U809" i="7" s="1"/>
  <c r="U998" i="7" a="1"/>
  <c r="U998" i="7" s="1"/>
  <c r="U479" i="7" a="1"/>
  <c r="U479" i="7" s="1"/>
  <c r="U246" i="7" a="1"/>
  <c r="U246" i="7" s="1"/>
  <c r="U288" i="7" a="1"/>
  <c r="U288" i="7" s="1"/>
  <c r="U156" i="7" a="1"/>
  <c r="U156" i="7" s="1"/>
  <c r="U328" i="7" a="1"/>
  <c r="U328" i="7" s="1"/>
  <c r="U47" i="7" a="1"/>
  <c r="U47" i="7" s="1"/>
  <c r="U571" i="7" a="1"/>
  <c r="U571" i="7" s="1"/>
  <c r="U95" i="7" a="1"/>
  <c r="U95" i="7" s="1"/>
  <c r="U1024" i="7" a="1"/>
  <c r="U1024" i="7" s="1"/>
  <c r="U1020" i="7" a="1"/>
  <c r="U1020" i="7" s="1"/>
  <c r="U584" i="7" a="1"/>
  <c r="U584" i="7" s="1"/>
  <c r="U540" i="7" a="1"/>
  <c r="U540" i="7" s="1"/>
  <c r="U315" i="7" a="1"/>
  <c r="U315" i="7" s="1"/>
  <c r="U502" i="7" a="1"/>
  <c r="U502" i="7" s="1"/>
  <c r="U481" i="7" a="1"/>
  <c r="U481" i="7" s="1"/>
  <c r="U57" i="7" a="1"/>
  <c r="U57" i="7" s="1"/>
  <c r="U690" i="7" a="1"/>
  <c r="U690" i="7" s="1"/>
  <c r="U188" i="7" a="1"/>
  <c r="U188" i="7" s="1"/>
  <c r="U458" i="7" a="1"/>
  <c r="U458" i="7" s="1"/>
  <c r="U255" i="7" a="1"/>
  <c r="U255" i="7" s="1"/>
  <c r="U591" i="7" a="1"/>
  <c r="U591" i="7" s="1"/>
  <c r="U699" i="7" a="1"/>
  <c r="U699" i="7" s="1"/>
  <c r="U823" i="7" a="1"/>
  <c r="U823" i="7" s="1"/>
  <c r="U108" i="7" a="1"/>
  <c r="U108" i="7" s="1"/>
  <c r="U364" i="7" a="1"/>
  <c r="U364" i="7" s="1"/>
  <c r="U262" i="7" a="1"/>
  <c r="U262" i="7" s="1"/>
  <c r="U1062" i="7" a="1"/>
  <c r="U1062" i="7" s="1"/>
  <c r="U179" i="7" a="1"/>
  <c r="U179" i="7" s="1"/>
  <c r="U521" i="7" a="1"/>
  <c r="U521" i="7" s="1"/>
  <c r="U577" i="7" a="1"/>
  <c r="U577" i="7" s="1"/>
  <c r="U832" i="7" a="1"/>
  <c r="U832" i="7" s="1"/>
  <c r="U217" i="7" a="1"/>
  <c r="U217" i="7" s="1"/>
  <c r="U469" i="7" a="1"/>
  <c r="U469" i="7" s="1"/>
  <c r="M379" i="7"/>
  <c r="U379" i="7" s="1" a="1"/>
  <c r="U379" i="7" s="1"/>
  <c r="M597" i="7"/>
  <c r="U597" i="7" s="1" a="1"/>
  <c r="U597" i="7" s="1"/>
  <c r="U1053" i="7" a="1"/>
  <c r="U1053" i="7" s="1"/>
  <c r="M404" i="7"/>
  <c r="U404" i="7" s="1" a="1"/>
  <c r="U404" i="7" s="1"/>
  <c r="U232" i="7" a="1"/>
  <c r="U232" i="7" s="1"/>
  <c r="U511" i="7" a="1"/>
  <c r="U511" i="7" s="1"/>
  <c r="U407" i="7" a="1"/>
  <c r="U407" i="7" s="1"/>
  <c r="U445" i="7" a="1"/>
  <c r="U445" i="7" s="1"/>
  <c r="U397" i="7" a="1"/>
  <c r="U397" i="7" s="1"/>
  <c r="U286" i="7" a="1"/>
  <c r="U286" i="7" s="1"/>
  <c r="U440" i="7" a="1"/>
  <c r="U440" i="7" s="1"/>
  <c r="U294" i="7" a="1"/>
  <c r="U294" i="7" s="1"/>
  <c r="J79" i="7"/>
  <c r="U79" i="7" s="1" a="1"/>
  <c r="U79" i="7" s="1"/>
  <c r="J149" i="7"/>
  <c r="U149" i="7" s="1" a="1"/>
  <c r="U149" i="7" s="1"/>
  <c r="U444" i="7" a="1"/>
  <c r="U444" i="7" s="1"/>
  <c r="U501" i="7" a="1"/>
  <c r="U501" i="7" s="1"/>
  <c r="U409" i="7" a="1"/>
  <c r="U409" i="7" s="1"/>
  <c r="U227" i="7" a="1"/>
  <c r="U227" i="7" s="1"/>
  <c r="U290" i="7" a="1"/>
  <c r="U290" i="7" s="1"/>
  <c r="U1044" i="7" a="1"/>
  <c r="U1044" i="7" s="1"/>
  <c r="U993" i="7" a="1"/>
  <c r="U993" i="7" s="1"/>
  <c r="U299" i="7" a="1"/>
  <c r="U299" i="7" s="1"/>
  <c r="U645" i="7" a="1"/>
  <c r="U645" i="7" s="1"/>
  <c r="U617" i="7" a="1"/>
  <c r="U617" i="7" s="1"/>
  <c r="U722" i="7" a="1"/>
  <c r="U722" i="7" s="1"/>
  <c r="U586" i="7" a="1"/>
  <c r="U586" i="7" s="1"/>
  <c r="U725" i="7" a="1"/>
  <c r="U725" i="7" s="1"/>
  <c r="J121" i="7"/>
  <c r="U174" i="7" a="1"/>
  <c r="U174" i="7" s="1"/>
  <c r="U234" i="7" a="1"/>
  <c r="U234" i="7" s="1"/>
  <c r="U291" i="7" a="1"/>
  <c r="U291" i="7" s="1"/>
  <c r="U646" i="7" a="1"/>
  <c r="U646" i="7" s="1"/>
  <c r="J81" i="7"/>
  <c r="U81" i="7" s="1" a="1"/>
  <c r="U81" i="7" s="1"/>
  <c r="M565" i="7"/>
  <c r="U565" i="7" s="1" a="1"/>
  <c r="U565" i="7" s="1"/>
  <c r="U510" i="7" a="1"/>
  <c r="U510" i="7" s="1"/>
  <c r="U245" i="7" a="1"/>
  <c r="U245" i="7" s="1"/>
  <c r="U369" i="7" a="1"/>
  <c r="U369" i="7" s="1"/>
  <c r="U533" i="7" a="1"/>
  <c r="U533" i="7" s="1"/>
  <c r="U305" i="7" a="1"/>
  <c r="U305" i="7" s="1"/>
  <c r="U219" i="7" a="1"/>
  <c r="U219" i="7" s="1"/>
  <c r="U353" i="7" a="1"/>
  <c r="U353" i="7" s="1"/>
  <c r="U606" i="7" a="1"/>
  <c r="U606" i="7" s="1"/>
  <c r="U810" i="7" a="1"/>
  <c r="U810" i="7" s="1"/>
  <c r="U1057" i="7" a="1"/>
  <c r="U1057" i="7" s="1"/>
  <c r="U287" i="7" a="1"/>
  <c r="U287" i="7" s="1"/>
  <c r="U965" i="7" a="1"/>
  <c r="U965" i="7" s="1"/>
  <c r="U774" i="7" a="1"/>
  <c r="U774" i="7" s="1"/>
  <c r="U252" i="7" a="1"/>
  <c r="U252" i="7" s="1"/>
  <c r="J139" i="7"/>
  <c r="U139" i="7" s="1" a="1"/>
  <c r="U139" i="7" s="1"/>
  <c r="U1049" i="7" a="1"/>
  <c r="U1049" i="7" s="1"/>
  <c r="U836" i="7" a="1"/>
  <c r="U836" i="7" s="1"/>
  <c r="U620" i="7" a="1"/>
  <c r="U620" i="7" s="1"/>
  <c r="M155" i="7"/>
  <c r="U155" i="7" s="1" a="1"/>
  <c r="U155" i="7" s="1"/>
  <c r="J78" i="7"/>
  <c r="U78" i="7" s="1" a="1"/>
  <c r="U78" i="7" s="1"/>
  <c r="U352" i="7" a="1"/>
  <c r="U352" i="7" s="1"/>
  <c r="U195" i="7" a="1"/>
  <c r="U195" i="7" s="1"/>
  <c r="U216" i="7" a="1"/>
  <c r="U216" i="7" s="1"/>
  <c r="M907" i="7"/>
  <c r="U907" i="7" s="1" a="1"/>
  <c r="U907" i="7" s="1"/>
  <c r="U285" i="7" a="1"/>
  <c r="U285" i="7" s="1"/>
  <c r="U1007" i="7" a="1"/>
  <c r="U1007" i="7" s="1"/>
  <c r="M134" i="7"/>
  <c r="U134" i="7" s="1" a="1"/>
  <c r="U134" i="7" s="1"/>
  <c r="M474" i="7"/>
  <c r="U474" i="7" s="1" a="1"/>
  <c r="U474" i="7" s="1"/>
  <c r="U1041" i="7" a="1"/>
  <c r="U1041" i="7" s="1"/>
  <c r="J147" i="7"/>
  <c r="U147" i="7" s="1" a="1"/>
  <c r="U147" i="7" s="1"/>
  <c r="U367" i="7" a="1"/>
  <c r="U367" i="7" s="1"/>
  <c r="M269" i="7"/>
  <c r="U269" i="7" s="1" a="1"/>
  <c r="U269" i="7" s="1"/>
  <c r="J202" i="7"/>
  <c r="U202" i="7" s="1" a="1"/>
  <c r="U202" i="7" s="1"/>
  <c r="U27" i="7" a="1"/>
  <c r="U27" i="7" s="1"/>
  <c r="M354" i="7"/>
  <c r="U354" i="7" s="1" a="1"/>
  <c r="U354" i="7" s="1"/>
  <c r="J1068" i="7"/>
  <c r="U1012" i="7" a="1"/>
  <c r="U1012" i="7" s="1"/>
  <c r="U978" i="7" a="1"/>
  <c r="U978" i="7" s="1"/>
  <c r="U357" i="7" a="1"/>
  <c r="U357" i="7" s="1"/>
  <c r="U857" i="7" a="1"/>
  <c r="U857" i="7" s="1"/>
  <c r="M177" i="7"/>
  <c r="U177" i="7" s="1" a="1"/>
  <c r="U177" i="7" s="1"/>
  <c r="M665" i="7"/>
  <c r="U665" i="7" s="1" a="1"/>
  <c r="U665" i="7" s="1"/>
  <c r="M957" i="7"/>
  <c r="U957" i="7" s="1" a="1"/>
  <c r="U957" i="7" s="1"/>
  <c r="M872" i="7"/>
  <c r="U872" i="7" s="1" a="1"/>
  <c r="U872" i="7" s="1"/>
  <c r="U667" i="7" a="1"/>
  <c r="U667" i="7" s="1"/>
  <c r="M751" i="7"/>
  <c r="U751" i="7" s="1" a="1"/>
  <c r="U751" i="7" s="1"/>
  <c r="J80" i="7"/>
  <c r="U80" i="7" s="1" a="1"/>
  <c r="U80" i="7" s="1"/>
  <c r="U530" i="7" a="1"/>
  <c r="U530" i="7" s="1"/>
  <c r="U611" i="7" a="1"/>
  <c r="U611" i="7" s="1"/>
  <c r="U381" i="7" a="1"/>
  <c r="U381" i="7" s="1"/>
  <c r="U436" i="7" a="1"/>
  <c r="U436" i="7" s="1"/>
  <c r="U967" i="7" a="1"/>
  <c r="U967" i="7" s="1"/>
  <c r="U1015" i="7" a="1"/>
  <c r="U1015" i="7" s="1"/>
  <c r="U342" i="7" a="1"/>
  <c r="U342" i="7" s="1"/>
  <c r="U682" i="7" a="1"/>
  <c r="U682" i="7" s="1"/>
  <c r="U599" i="7" a="1"/>
  <c r="U599" i="7" s="1"/>
  <c r="U711" i="7" a="1"/>
  <c r="U711" i="7" s="1"/>
  <c r="U309" i="7" a="1"/>
  <c r="U309" i="7" s="1"/>
  <c r="U261" i="7" a="1"/>
  <c r="U261" i="7" s="1"/>
  <c r="U1080" i="7" a="1"/>
  <c r="U1080" i="7" s="1"/>
  <c r="U1083" i="7" a="1"/>
  <c r="U1083" i="7" s="1"/>
  <c r="U339" i="7" a="1"/>
  <c r="U339" i="7" s="1"/>
  <c r="U587" i="7" a="1"/>
  <c r="U587" i="7" s="1"/>
  <c r="U205" i="7" a="1"/>
  <c r="U205" i="7" s="1"/>
  <c r="U489" i="7" a="1"/>
  <c r="U489" i="7" s="1"/>
  <c r="U1033" i="7" a="1"/>
  <c r="U1033" i="7" s="1"/>
  <c r="U1043" i="7" a="1"/>
  <c r="U1043" i="7" s="1"/>
  <c r="U748" i="7" a="1"/>
  <c r="U748" i="7" s="1"/>
  <c r="U1079" i="7" a="1"/>
  <c r="U1079" i="7" s="1"/>
  <c r="U495" i="7" a="1"/>
  <c r="U495" i="7" s="1"/>
  <c r="U626" i="7" a="1"/>
  <c r="U626" i="7" s="1"/>
  <c r="U3" i="7" a="1"/>
  <c r="U3" i="7" s="1"/>
  <c r="U65" i="7" a="1"/>
  <c r="U65" i="7" s="1"/>
  <c r="U1081" i="7" a="1"/>
  <c r="U1081" i="7" s="1"/>
  <c r="J60" i="7"/>
  <c r="U60" i="7" s="1" a="1"/>
  <c r="U60" i="7" s="1"/>
  <c r="J203" i="7"/>
  <c r="U203" i="7" s="1" a="1"/>
  <c r="U203" i="7" s="1"/>
  <c r="J1075" i="7"/>
  <c r="U1075" i="7" s="1" a="1"/>
  <c r="U1075" i="7" s="1"/>
  <c r="J148" i="7"/>
  <c r="U148" i="7" s="1" a="1"/>
  <c r="U148" i="7" s="1"/>
  <c r="J1088" i="7"/>
  <c r="U1088" i="7" s="1" a="1"/>
  <c r="U1088" i="7" s="1"/>
  <c r="J128" i="7"/>
  <c r="U128" i="7" s="1" a="1"/>
  <c r="U128" i="7" s="1"/>
  <c r="J151" i="7"/>
  <c r="U151" i="7" s="1" a="1"/>
  <c r="U151" i="7" s="1"/>
  <c r="J1067" i="7"/>
  <c r="U1067" i="7" s="1" a="1"/>
  <c r="U1067" i="7" s="1"/>
  <c r="J132" i="7"/>
  <c r="U132" i="7" s="1" a="1"/>
  <c r="U132" i="7" s="1"/>
  <c r="J126" i="7"/>
  <c r="U126" i="7" s="1" a="1"/>
  <c r="U126" i="7" s="1"/>
  <c r="J145" i="7"/>
  <c r="U145" i="7" s="1" a="1"/>
  <c r="U145" i="7" s="1"/>
  <c r="J760" i="7"/>
  <c r="U760" i="7" s="1" a="1"/>
  <c r="U760" i="7" s="1"/>
  <c r="J140" i="7"/>
  <c r="U140" i="7" s="1" a="1"/>
  <c r="U140" i="7" s="1"/>
  <c r="J1176" i="7"/>
  <c r="U1176" i="7" s="1" a="1"/>
  <c r="U1176" i="7" s="1"/>
  <c r="J68" i="7"/>
  <c r="U68" i="7" s="1" a="1"/>
  <c r="U68" i="7" s="1"/>
  <c r="J709" i="7"/>
  <c r="U709" i="7" s="1" a="1"/>
  <c r="U709" i="7" s="1"/>
  <c r="J138" i="7"/>
  <c r="U138" i="7" s="1" a="1"/>
  <c r="U138" i="7" s="1"/>
  <c r="J66" i="7"/>
  <c r="U66" i="7" s="1" a="1"/>
  <c r="U66" i="7" s="1"/>
  <c r="J131" i="7"/>
  <c r="U131" i="7" s="1" a="1"/>
  <c r="U131" i="7" s="1"/>
  <c r="J143" i="7"/>
  <c r="U143" i="7" s="1" a="1"/>
  <c r="U143" i="7" s="1"/>
  <c r="J137" i="7"/>
  <c r="U137" i="7" s="1" a="1"/>
  <c r="U137" i="7" s="1"/>
  <c r="J70" i="7"/>
  <c r="U70" i="7" s="1" a="1"/>
  <c r="U70" i="7" s="1"/>
  <c r="J1077" i="7"/>
  <c r="U1077" i="7" s="1" a="1"/>
  <c r="U1077" i="7" s="1"/>
  <c r="J82" i="7"/>
  <c r="U82" i="7" s="1" a="1"/>
  <c r="U82" i="7" s="1"/>
  <c r="J142" i="7"/>
  <c r="U142" i="7" s="1" a="1"/>
  <c r="U142" i="7" s="1"/>
  <c r="J67" i="7"/>
  <c r="U67" i="7" s="1" a="1"/>
  <c r="U67" i="7" s="1"/>
  <c r="J136" i="7"/>
  <c r="U136" i="7" s="1" a="1"/>
  <c r="U136" i="7" s="1"/>
  <c r="J1072" i="7"/>
  <c r="U1072" i="7" s="1" a="1"/>
  <c r="U1072" i="7" s="1"/>
  <c r="J122" i="7"/>
  <c r="U122" i="7" s="1" a="1"/>
  <c r="U122" i="7" s="1"/>
  <c r="J62" i="7"/>
  <c r="U62" i="7" s="1" a="1"/>
  <c r="U62" i="7" s="1"/>
  <c r="J1086" i="7"/>
  <c r="U1086" i="7" s="1" a="1"/>
  <c r="U1086" i="7" s="1"/>
  <c r="J1177" i="7"/>
  <c r="U1177" i="7" s="1" a="1"/>
  <c r="U1177" i="7" s="1"/>
  <c r="J63" i="7"/>
  <c r="U63" i="7" s="1" a="1"/>
  <c r="U63" i="7" s="1"/>
  <c r="J123" i="7"/>
  <c r="U123" i="7" s="1" a="1"/>
  <c r="U123" i="7" s="1"/>
  <c r="J61" i="7"/>
  <c r="U61" i="7" s="1" a="1"/>
  <c r="U61" i="7" s="1"/>
  <c r="J141" i="7"/>
  <c r="U141" i="7" s="1" a="1"/>
  <c r="U141" i="7" s="1"/>
  <c r="J1087" i="7"/>
  <c r="U1087" i="7" s="1" a="1"/>
  <c r="U1087" i="7" s="1"/>
  <c r="J1076" i="7"/>
  <c r="U1076" i="7" s="1" a="1"/>
  <c r="U1076" i="7" s="1"/>
  <c r="J704" i="7"/>
  <c r="U704" i="7" s="1" a="1"/>
  <c r="U704" i="7" s="1"/>
  <c r="J124" i="7"/>
  <c r="U124" i="7" s="1" a="1"/>
  <c r="U124" i="7" s="1"/>
  <c r="J69" i="7"/>
  <c r="U69" i="7" s="1" a="1"/>
  <c r="U69" i="7" s="1"/>
  <c r="J1174" i="7"/>
  <c r="U1174" i="7" s="1" a="1"/>
  <c r="U1174" i="7" s="1"/>
  <c r="J71" i="7"/>
  <c r="U71" i="7" s="1" a="1"/>
  <c r="U71" i="7" s="1"/>
  <c r="J705" i="7"/>
  <c r="U705" i="7" s="1" a="1"/>
  <c r="U705" i="7" s="1"/>
  <c r="J64" i="7"/>
  <c r="U64" i="7" s="1" a="1"/>
  <c r="U64" i="7" s="1"/>
  <c r="J127" i="7"/>
  <c r="U127" i="7" s="1" a="1"/>
  <c r="U127" i="7" s="1"/>
  <c r="J1071" i="7"/>
  <c r="U1071" i="7" s="1" a="1"/>
  <c r="U1071" i="7" s="1"/>
  <c r="J1073" i="7"/>
  <c r="U1073" i="7" s="1" a="1"/>
  <c r="U1073" i="7" s="1"/>
  <c r="J761" i="7"/>
  <c r="U761" i="7" s="1" a="1"/>
  <c r="U761" i="7" s="1"/>
  <c r="J1069" i="7"/>
  <c r="U1069" i="7" s="1" a="1"/>
  <c r="U1069" i="7" s="1"/>
  <c r="J1090" i="7"/>
  <c r="U1090" i="7" s="1" a="1"/>
  <c r="U1090" i="7" s="1"/>
  <c r="AE6" i="7"/>
  <c r="AH6" i="7" s="1"/>
  <c r="AE8" i="7"/>
  <c r="AH8" i="7" s="1"/>
  <c r="AE7" i="7"/>
  <c r="AH7" i="7" s="1"/>
  <c r="AE5" i="7"/>
  <c r="AH5" i="7" s="1"/>
  <c r="M654" i="7"/>
  <c r="U654" i="7" s="1" a="1"/>
  <c r="U654" i="7" s="1"/>
  <c r="M519" i="7"/>
  <c r="U519" i="7" s="1" a="1"/>
  <c r="U519" i="7" s="1"/>
  <c r="M819" i="7"/>
  <c r="U819" i="7" s="1" a="1"/>
  <c r="U819" i="7" s="1"/>
  <c r="M634" i="7"/>
  <c r="U634" i="7" s="1" a="1"/>
  <c r="U634" i="7" s="1"/>
  <c r="M504" i="7"/>
  <c r="U504" i="7" s="1" a="1"/>
  <c r="U504" i="7" s="1"/>
  <c r="M1064" i="7"/>
  <c r="U1064" i="7" s="1" a="1"/>
  <c r="U1064" i="7" s="1"/>
  <c r="M887" i="7"/>
  <c r="U887" i="7" s="1" a="1"/>
  <c r="U887" i="7" s="1"/>
  <c r="M674" i="7"/>
  <c r="U674" i="7" s="1" a="1"/>
  <c r="U674" i="7" s="1"/>
  <c r="M130" i="7"/>
  <c r="U130" i="7" s="1" a="1"/>
  <c r="U130" i="7" s="1"/>
  <c r="M410" i="7"/>
  <c r="U410" i="7" s="1" a="1"/>
  <c r="U410" i="7" s="1"/>
  <c r="J59" i="7"/>
  <c r="U59" i="7" s="1" a="1"/>
  <c r="U59" i="7" s="1"/>
  <c r="M536" i="7"/>
  <c r="U536" i="7" s="1" a="1"/>
  <c r="U536" i="7" s="1"/>
  <c r="J548" i="7"/>
  <c r="U548" i="7" s="1" a="1"/>
  <c r="U548" i="7" s="1"/>
  <c r="AH45" i="7"/>
  <c r="AH22" i="7"/>
  <c r="AH25" i="7"/>
  <c r="AH19" i="7"/>
  <c r="AH33" i="7"/>
  <c r="AH40" i="7"/>
  <c r="AH17" i="7"/>
  <c r="AH37" i="7"/>
  <c r="AH28" i="7"/>
  <c r="AH34" i="7"/>
  <c r="AF31" i="7"/>
  <c r="AI31" i="7" s="1"/>
  <c r="AH44" i="7"/>
  <c r="AH26" i="7"/>
  <c r="AH23" i="7"/>
  <c r="AH18" i="7"/>
  <c r="AF20" i="7"/>
  <c r="AI20" i="7" s="1"/>
  <c r="AF27" i="7"/>
  <c r="AI27" i="7" s="1"/>
  <c r="AH46" i="7"/>
  <c r="AH20" i="7"/>
  <c r="AF35" i="7"/>
  <c r="AI35" i="7" s="1"/>
  <c r="AH43" i="7"/>
  <c r="AH32" i="7"/>
  <c r="AH21" i="7"/>
  <c r="AH47" i="7"/>
  <c r="AH41" i="7"/>
  <c r="AH36" i="7"/>
  <c r="AF39" i="7"/>
  <c r="AI39" i="7" s="1"/>
  <c r="AF23" i="7"/>
  <c r="AI23" i="7" s="1"/>
  <c r="AH51" i="7"/>
  <c r="AH52" i="7"/>
  <c r="AF46" i="7"/>
  <c r="AI46" i="7" s="1"/>
  <c r="AF34" i="7"/>
  <c r="AI34" i="7" s="1"/>
  <c r="AH29" i="7"/>
  <c r="AF21" i="7"/>
  <c r="AI21" i="7" s="1"/>
  <c r="AF47" i="7"/>
  <c r="AI47" i="7" s="1"/>
  <c r="AH48" i="7"/>
  <c r="AF41" i="7"/>
  <c r="AI41" i="7" s="1"/>
  <c r="AF18" i="7"/>
  <c r="AI18" i="7" s="1"/>
  <c r="AF32" i="7"/>
  <c r="AI32" i="7" s="1"/>
  <c r="AH30" i="7"/>
  <c r="AF37" i="7"/>
  <c r="AI37" i="7" s="1"/>
  <c r="AF45" i="7"/>
  <c r="AI45" i="7" s="1"/>
  <c r="AH27" i="7"/>
  <c r="AF52" i="7"/>
  <c r="AI52" i="7" s="1"/>
  <c r="AF38" i="7"/>
  <c r="AI38" i="7" s="1"/>
  <c r="AF26" i="7"/>
  <c r="AI26" i="7" s="1"/>
  <c r="AF50" i="7"/>
  <c r="AI50" i="7" s="1"/>
  <c r="AF51" i="7"/>
  <c r="AI51" i="7" s="1"/>
  <c r="AF44" i="7"/>
  <c r="AI44" i="7" s="1"/>
  <c r="AH35" i="7"/>
  <c r="AF19" i="7"/>
  <c r="AI19" i="7" s="1"/>
  <c r="AF29" i="7"/>
  <c r="AI29" i="7" s="1"/>
  <c r="AF48" i="7"/>
  <c r="AI48" i="7" s="1"/>
  <c r="AH42" i="7"/>
  <c r="AH53" i="7"/>
  <c r="AF43" i="7"/>
  <c r="AI43" i="7" s="1"/>
  <c r="AH31" i="7"/>
  <c r="AH24" i="7"/>
  <c r="AH49" i="7"/>
  <c r="AF40" i="7"/>
  <c r="AI40" i="7" s="1"/>
  <c r="AF24" i="7"/>
  <c r="AI24" i="7" s="1"/>
  <c r="AF30" i="7"/>
  <c r="AI30" i="7" s="1"/>
  <c r="AF53" i="7"/>
  <c r="AI53" i="7" s="1"/>
  <c r="AH50" i="7"/>
  <c r="AF25" i="7"/>
  <c r="AI25" i="7" s="1"/>
  <c r="AF49" i="7"/>
  <c r="AI49" i="7" s="1"/>
  <c r="AF22" i="7"/>
  <c r="AI22" i="7" s="1"/>
  <c r="AF33" i="7"/>
  <c r="AI33" i="7" s="1"/>
  <c r="AF17" i="7"/>
  <c r="AI17" i="7" s="1"/>
  <c r="AF28" i="7"/>
  <c r="AI28" i="7" s="1"/>
  <c r="AF42" i="7"/>
  <c r="AI42" i="7" s="1"/>
  <c r="AH39" i="7"/>
  <c r="AH38" i="7"/>
  <c r="AF36" i="7"/>
  <c r="AI36" i="7" s="1"/>
  <c r="AH9" i="7"/>
  <c r="AH12" i="7"/>
  <c r="AH10" i="7"/>
  <c r="AF15" i="7"/>
  <c r="AI15" i="7" s="1"/>
  <c r="AF10" i="7"/>
  <c r="AI10" i="7" s="1"/>
  <c r="AF13" i="7"/>
  <c r="AI13" i="7" s="1"/>
  <c r="AF16" i="7"/>
  <c r="AI16" i="7" s="1"/>
  <c r="AF14" i="7"/>
  <c r="AI14" i="7" s="1"/>
  <c r="AF12" i="7"/>
  <c r="AI12" i="7" s="1"/>
  <c r="AF11" i="7"/>
  <c r="AI11" i="7" s="1"/>
  <c r="AH16" i="7"/>
  <c r="AH13" i="7"/>
  <c r="AH14" i="7"/>
  <c r="AH11" i="7"/>
  <c r="AH15" i="7"/>
  <c r="AF6" i="7"/>
  <c r="AI6" i="7" s="1"/>
  <c r="AF7" i="7"/>
  <c r="AI7" i="7" s="1"/>
  <c r="AF8" i="7"/>
  <c r="AI8" i="7" s="1"/>
  <c r="AF9" i="7"/>
  <c r="AI9" i="7" s="1"/>
  <c r="AF5" i="7"/>
  <c r="AI5" i="7" s="1"/>
  <c r="U121" i="7" l="1" a="1"/>
  <c r="U121" i="7" s="1"/>
  <c r="U1068" i="7" a="1"/>
  <c r="U1068" i="7" s="1"/>
  <c r="J135" i="7"/>
  <c r="U135" i="7" s="1" a="1"/>
  <c r="U135" i="7" s="1"/>
  <c r="J706" i="7"/>
  <c r="U706" i="7" s="1" a="1"/>
  <c r="U706" i="7" s="1"/>
  <c r="J146" i="7"/>
  <c r="U146" i="7" s="1" a="1"/>
  <c r="U146" i="7" s="1"/>
  <c r="J144" i="7"/>
  <c r="U144" i="7" s="1" a="1"/>
  <c r="U144" i="7" s="1"/>
  <c r="J129" i="7"/>
  <c r="U129" i="7" s="1" a="1"/>
  <c r="U129" i="7" s="1"/>
  <c r="J150" i="7"/>
  <c r="U150" i="7" s="1" a="1"/>
  <c r="U150"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<sst xmlns="http://schemas.openxmlformats.org/spreadsheetml/2006/main" count="7031" uniqueCount="2442">
  <si>
    <t>Coldkey</t>
  </si>
  <si>
    <t>Block number</t>
  </si>
  <si>
    <t>Timestamp</t>
  </si>
  <si>
    <t>Network</t>
  </si>
  <si>
    <t>Token</t>
  </si>
  <si>
    <t>Transaction type</t>
  </si>
  <si>
    <t>Debit amount</t>
  </si>
  <si>
    <t>Credit amount</t>
  </si>
  <si>
    <t>Extrinsic ID</t>
  </si>
  <si>
    <t>Additional data</t>
  </si>
  <si>
    <t>Total balance</t>
  </si>
  <si>
    <t>Free balance</t>
  </si>
  <si>
    <t>Staked balance</t>
  </si>
  <si>
    <t>Locked balance</t>
  </si>
  <si>
    <t>Reserved balance</t>
  </si>
  <si>
    <t>Token price in USD</t>
  </si>
  <si>
    <t>Token price in TAO</t>
  </si>
  <si>
    <t>Daily income</t>
  </si>
  <si>
    <t>Daily income USD</t>
  </si>
  <si>
    <t>Date</t>
  </si>
  <si>
    <t>5Eq8C1NoLah4DaahQLMQ6wPLTSiAoiP35kVs9VMjaEqcSmdF</t>
  </si>
  <si>
    <t>finney</t>
  </si>
  <si>
    <t>TAO</t>
  </si>
  <si>
    <t>439.7119272666333</t>
  </si>
  <si>
    <t>487.3709307352656</t>
  </si>
  <si>
    <t>522.0907380013595</t>
  </si>
  <si>
    <t>551.3484249315601</t>
  </si>
  <si>
    <t>561.8861556228987</t>
  </si>
  <si>
    <t>555.4454806317118</t>
  </si>
  <si>
    <t>501.76673194932215</t>
  </si>
  <si>
    <t>468.2963637012752</t>
  </si>
  <si>
    <t>431.32496169673266</t>
  </si>
  <si>
    <t>440.5970263845009</t>
  </si>
  <si>
    <t>447.6506990278048</t>
  </si>
  <si>
    <t>443.41416776212833</t>
  </si>
  <si>
    <t>420.58693541865387</t>
  </si>
  <si>
    <t>457.0246357089349</t>
  </si>
  <si>
    <t>443.5276377025133</t>
  </si>
  <si>
    <t>486.9949653436108</t>
  </si>
  <si>
    <t>460.0504845163183</t>
  </si>
  <si>
    <t>424.48641007258374</t>
  </si>
  <si>
    <t>409.87366320933495</t>
  </si>
  <si>
    <t>426.34802246929024</t>
  </si>
  <si>
    <t>401.1287822762729</t>
  </si>
  <si>
    <t>380.85226745247263</t>
  </si>
  <si>
    <t>370.5888915790195</t>
  </si>
  <si>
    <t>413.19252714481706</t>
  </si>
  <si>
    <t>433.4903129911173</t>
  </si>
  <si>
    <t>441.37643698506554</t>
  </si>
  <si>
    <t>444.90636618436974</t>
  </si>
  <si>
    <t>454.5244163596316</t>
  </si>
  <si>
    <t>448.76411187910935</t>
  </si>
  <si>
    <t>395.1650880030533</t>
  </si>
  <si>
    <t>347.5191253328133</t>
  </si>
  <si>
    <t>391.4238925935672</t>
  </si>
  <si>
    <t>357.5705242975157</t>
  </si>
  <si>
    <t>351.1294191389967</t>
  </si>
  <si>
    <t>319.8709765876021</t>
  </si>
  <si>
    <t>351.7078577448325</t>
  </si>
  <si>
    <t>366.5424195159707</t>
  </si>
  <si>
    <t>383.4704222043313</t>
  </si>
  <si>
    <t>411.68538980363576</t>
  </si>
  <si>
    <t>401.5705056616309</t>
  </si>
  <si>
    <t>384.18518953981834</t>
  </si>
  <si>
    <t>389.71824197592656</t>
  </si>
  <si>
    <t>376.0996114424311</t>
  </si>
  <si>
    <t>360.08732120198067</t>
  </si>
  <si>
    <t>373.9885586248297</t>
  </si>
  <si>
    <t>417.3923873232211</t>
  </si>
  <si>
    <t>463.8020780768946</t>
  </si>
  <si>
    <t>441.7635466522848</t>
  </si>
  <si>
    <t>434.6695416651483</t>
  </si>
  <si>
    <t>404.22859682248566</t>
  </si>
  <si>
    <t>381.5133179578216</t>
  </si>
  <si>
    <t>fee</t>
  </si>
  <si>
    <t>5011678-0003</t>
  </si>
  <si>
    <t>Balances.transfer_keep_alive</t>
  </si>
  <si>
    <t>transfer_out</t>
  </si>
  <si>
    <t>5HbnKZMzGk3GT3mpWZgKuQHq3CC8LeW2tbNq1FkBLQhzUX6L</t>
  </si>
  <si>
    <t>5011793-0005</t>
  </si>
  <si>
    <t>root_staking_fee</t>
  </si>
  <si>
    <t>5012969-0007</t>
  </si>
  <si>
    <t>5012975-0006</t>
  </si>
  <si>
    <t>5012985-0004</t>
  </si>
  <si>
    <t>5012990-0005</t>
  </si>
  <si>
    <t>5013006-0007</t>
  </si>
  <si>
    <t>5013009-0009</t>
  </si>
  <si>
    <t>353.0276651136952</t>
  </si>
  <si>
    <t>328.4399689862061</t>
  </si>
  <si>
    <t>328.2682382391846</t>
  </si>
  <si>
    <t>333.83509159209814</t>
  </si>
  <si>
    <t>354.1050065689894</t>
  </si>
  <si>
    <t>299.58360999929397</t>
  </si>
  <si>
    <t>5055665-0003</t>
  </si>
  <si>
    <t>5055670-0007</t>
  </si>
  <si>
    <t>5055718-0007</t>
  </si>
  <si>
    <t>287.3521958204767</t>
  </si>
  <si>
    <t>301.40248330418353</t>
  </si>
  <si>
    <t>289.33940199981885</t>
  </si>
  <si>
    <t>273.7010887205826</t>
  </si>
  <si>
    <t>242.76481749745057</t>
  </si>
  <si>
    <t>229.27625012042927</t>
  </si>
  <si>
    <t>259.1499531050776</t>
  </si>
  <si>
    <t>258.62136606697896</t>
  </si>
  <si>
    <t>238.0610245131248</t>
  </si>
  <si>
    <t>259.1621695866515</t>
  </si>
  <si>
    <t>258.32030492499484</t>
  </si>
  <si>
    <t>241.73464126415553</t>
  </si>
  <si>
    <t>254.8595370934711</t>
  </si>
  <si>
    <t>247.69665889339535</t>
  </si>
  <si>
    <t>262.8715481150947</t>
  </si>
  <si>
    <t>251.1322633024525</t>
  </si>
  <si>
    <t>246.78715309273127</t>
  </si>
  <si>
    <t>247.46087210910375</t>
  </si>
  <si>
    <t>256.43007168689303</t>
  </si>
  <si>
    <t>267.82912555647874</t>
  </si>
  <si>
    <t>269.53672682086966</t>
  </si>
  <si>
    <t>260.8775109564897</t>
  </si>
  <si>
    <t>230.7746596054372</t>
  </si>
  <si>
    <t>226.75823038198357</t>
  </si>
  <si>
    <t>223.97625979060567</t>
  </si>
  <si>
    <t>231.45826650094807</t>
  </si>
  <si>
    <t>213.91361001953192</t>
  </si>
  <si>
    <t>214.2080147609522</t>
  </si>
  <si>
    <t>220.0621757978038</t>
  </si>
  <si>
    <t>219.21976468403852</t>
  </si>
  <si>
    <t>183.7129932184972</t>
  </si>
  <si>
    <t>205.38684307086305</t>
  </si>
  <si>
    <t>195.02018433134336</t>
  </si>
  <si>
    <t>231.1258779433796</t>
  </si>
  <si>
    <t>230.1912176641549</t>
  </si>
  <si>
    <t>2025-04-11T23:59:48.001+00:00</t>
  </si>
  <si>
    <t>250.28207668888427</t>
  </si>
  <si>
    <t>5337373-0006</t>
  </si>
  <si>
    <t>2025-04-12T19:54:24+00:00</t>
  </si>
  <si>
    <t>token_swap</t>
  </si>
  <si>
    <t>5337404-0014</t>
  </si>
  <si>
    <t>SN3</t>
  </si>
  <si>
    <t>2025-04-12T21:59:00+00:00</t>
  </si>
  <si>
    <t>5338027-0012</t>
  </si>
  <si>
    <t>SN56</t>
  </si>
  <si>
    <t>2025-04-12T22:02:00+00:00</t>
  </si>
  <si>
    <t>5338042-0010</t>
  </si>
  <si>
    <t>2025-04-12T22:05:24+00:00</t>
  </si>
  <si>
    <t>5338059-0011</t>
  </si>
  <si>
    <t>2025-04-12T22:16:12+00:00</t>
  </si>
  <si>
    <t>5338113-0009</t>
  </si>
  <si>
    <t>SN64</t>
  </si>
  <si>
    <t>2025-04-12T22:23:24+00:00</t>
  </si>
  <si>
    <t>5338149-0015</t>
  </si>
  <si>
    <t>2025-04-12T22:25:36+00:00</t>
  </si>
  <si>
    <t>5338160-0011</t>
  </si>
  <si>
    <t>2025-04-12T22:37:00+00:00</t>
  </si>
  <si>
    <t>5338217-0011</t>
  </si>
  <si>
    <t>2025-04-12T22:49:24+00:00</t>
  </si>
  <si>
    <t>5338279-0012</t>
  </si>
  <si>
    <t>SN4</t>
  </si>
  <si>
    <t>2025-04-12T22:49:48+00:00</t>
  </si>
  <si>
    <t>5338281-0008</t>
  </si>
  <si>
    <t>2025-04-12T23:59:48+00:00</t>
  </si>
  <si>
    <t>254.94528095071817</t>
  </si>
  <si>
    <t>2025-04-13T23:59:48.001+00:00</t>
  </si>
  <si>
    <t>238.0484368648604</t>
  </si>
  <si>
    <t>2025-04-14T23:59:48+00:00</t>
  </si>
  <si>
    <t>236.8060659172608</t>
  </si>
  <si>
    <t>2025-04-15T23:59:48.001+00:00</t>
  </si>
  <si>
    <t>230.67668337538117</t>
  </si>
  <si>
    <t>2025-04-16T23:59:48+00:00</t>
  </si>
  <si>
    <t>229.9796295644761</t>
  </si>
  <si>
    <t>2025-04-17T23:59:48.001+00:00</t>
  </si>
  <si>
    <t>248.05055883277475</t>
  </si>
  <si>
    <t>2025-04-18T23:59:48.001+00:00</t>
  </si>
  <si>
    <t>271.68202471998745</t>
  </si>
  <si>
    <t>2025-04-19T23:59:48+00:00</t>
  </si>
  <si>
    <t>290.8969865211282</t>
  </si>
  <si>
    <t>2025-04-20T23:59:48+00:00</t>
  </si>
  <si>
    <t>316.4465967230662</t>
  </si>
  <si>
    <t>2025-04-21T23:59:48+00:00</t>
  </si>
  <si>
    <t>315.04123518761713</t>
  </si>
  <si>
    <t>transfer_in</t>
  </si>
  <si>
    <t>5409922-0010</t>
  </si>
  <si>
    <t>5E2b2DcMd5W8MBhzTCFt63t2ZEN8RsRgL7oDd7BFYL9aMQux</t>
  </si>
  <si>
    <t>5409928-0026</t>
  </si>
  <si>
    <t>2025-04-22T23:59:48.001+00:00</t>
  </si>
  <si>
    <t>336.6824752396781</t>
  </si>
  <si>
    <t>2025-04-23T23:59:48+00:00</t>
  </si>
  <si>
    <t>338.01455999538496</t>
  </si>
  <si>
    <t>2025-04-24T23:59:48+00:00</t>
  </si>
  <si>
    <t>358.1445583392098</t>
  </si>
  <si>
    <t>2025-04-25T23:59:48+00:00</t>
  </si>
  <si>
    <t>354.80688303486005</t>
  </si>
  <si>
    <t>2025-04-26T23:59:48+00:00</t>
  </si>
  <si>
    <t>348.89995252995277</t>
  </si>
  <si>
    <t>2025-04-27T23:59:48+00:00</t>
  </si>
  <si>
    <t>363.38137656275126</t>
  </si>
  <si>
    <t>2025-04-28T23:59:48+00:00</t>
  </si>
  <si>
    <t>379.4632019106606</t>
  </si>
  <si>
    <t>2025-04-29T23:59:48+00:00</t>
  </si>
  <si>
    <t>365.64942891544246</t>
  </si>
  <si>
    <t>2025-04-30T23:59:48+00:00</t>
  </si>
  <si>
    <t>355.01602313682315</t>
  </si>
  <si>
    <t>2025-05-01T23:59:48+00:00</t>
  </si>
  <si>
    <t>356.34207017420204</t>
  </si>
  <si>
    <t>2025-05-02T23:59:48.001+00:00</t>
  </si>
  <si>
    <t>374.3135967604741</t>
  </si>
  <si>
    <t>2025-05-03T23:59:48+00:00</t>
  </si>
  <si>
    <t>355.3543641928232</t>
  </si>
  <si>
    <t>2025-05-04T23:59:48+00:00</t>
  </si>
  <si>
    <t>342.3899100233758</t>
  </si>
  <si>
    <t>2025-05-05T23:59:48+00:00</t>
  </si>
  <si>
    <t>375.6237156969027</t>
  </si>
  <si>
    <t>2025-05-06T23:59:48+00:00</t>
  </si>
  <si>
    <t>373.4432154912663</t>
  </si>
  <si>
    <t>2025-05-07T23:59:48.001+00:00</t>
  </si>
  <si>
    <t>367.7422496545756</t>
  </si>
  <si>
    <t>2025-05-08T23:59:48+00:00</t>
  </si>
  <si>
    <t>421.8535358665783</t>
  </si>
  <si>
    <t>2025-05-09T23:59:48+00:00</t>
  </si>
  <si>
    <t>429.19360103417216</t>
  </si>
  <si>
    <t>2025-05-10T23:59:48+00:00</t>
  </si>
  <si>
    <t>464.4473698054134</t>
  </si>
  <si>
    <t>2025-05-11T23:59:48.001+00:00</t>
  </si>
  <si>
    <t>458.70267127435073</t>
  </si>
  <si>
    <t>2025-05-12T23:59:48+00:00</t>
  </si>
  <si>
    <t>457.9229029447073</t>
  </si>
  <si>
    <t>2025-05-13T23:59:48+00:00</t>
  </si>
  <si>
    <t>463.49736987248383</t>
  </si>
  <si>
    <t>2025-05-14T23:59:48.001+00:00</t>
  </si>
  <si>
    <t>456.8697878787084</t>
  </si>
  <si>
    <t>2025-05-15T23:59:48+00:00</t>
  </si>
  <si>
    <t>434.9723982036282</t>
  </si>
  <si>
    <t>2025-05-16T23:59:48+00:00</t>
  </si>
  <si>
    <t>429.94017333144313</t>
  </si>
  <si>
    <t>2025-05-17T23:59:48+00:00</t>
  </si>
  <si>
    <t>423.4803435503036</t>
  </si>
  <si>
    <t>2025-05-18T23:59:48.001+00:00</t>
  </si>
  <si>
    <t>418.9085232305478</t>
  </si>
  <si>
    <t>2025-05-19T23:59:48+00:00</t>
  </si>
  <si>
    <t>410.3961852439029</t>
  </si>
  <si>
    <t>2025-05-20T22:05:12+00:00</t>
  </si>
  <si>
    <t>415.3267726420821</t>
  </si>
  <si>
    <t>2025-05-21T23:46:12.001+00:00</t>
  </si>
  <si>
    <t>451.25998765564384</t>
  </si>
  <si>
    <t>2025-05-22T23:59:48+00:00</t>
  </si>
  <si>
    <t>466.4588905228736</t>
  </si>
  <si>
    <t>2025-05-23T23:59:48+00:00</t>
  </si>
  <si>
    <t>415.93963194227337</t>
  </si>
  <si>
    <t>2025-05-24T23:59:48+00:00</t>
  </si>
  <si>
    <t>432.6760375876798</t>
  </si>
  <si>
    <t>2025-05-25T23:59:48+00:00</t>
  </si>
  <si>
    <t>431.2827961113023</t>
  </si>
  <si>
    <t>2025-05-26T23:59:48.001+00:00</t>
  </si>
  <si>
    <t>434.9318835632118</t>
  </si>
  <si>
    <t>2025-05-27T23:59:48+00:00</t>
  </si>
  <si>
    <t>449.0025976400436</t>
  </si>
  <si>
    <t>2025-05-28T23:59:48+00:00</t>
  </si>
  <si>
    <t>434.6467367588041</t>
  </si>
  <si>
    <t>2025-05-29T23:59:48+00:00</t>
  </si>
  <si>
    <t>418.15940447295463</t>
  </si>
  <si>
    <t>2025-05-30T23:59:48+00:00</t>
  </si>
  <si>
    <t>2025-05-31T23:59:48.001+00:00</t>
  </si>
  <si>
    <t>429.7661997654023</t>
  </si>
  <si>
    <t>2025-06-01T23:59:48.001+00:00</t>
  </si>
  <si>
    <t>414.9231792806815</t>
  </si>
  <si>
    <t>2025-06-02T23:59:48+00:00</t>
  </si>
  <si>
    <t>403.2627642380722</t>
  </si>
  <si>
    <t>2025-06-03T23:59:48.001+00:00</t>
  </si>
  <si>
    <t>387.82400773832126</t>
  </si>
  <si>
    <t>2025-06-04T23:59:48+00:00</t>
  </si>
  <si>
    <t>382.0750118650363</t>
  </si>
  <si>
    <t>2025-06-05T23:59:48+00:00</t>
  </si>
  <si>
    <t>354.1527653327855</t>
  </si>
  <si>
    <t>2025-06-06T23:59:48.001+00:00</t>
  </si>
  <si>
    <t>367.6342580745293</t>
  </si>
  <si>
    <t>2025-06-07T23:59:48+00:00</t>
  </si>
  <si>
    <t>383.8399635945771</t>
  </si>
  <si>
    <t>2025-06-08T23:59:48+00:00</t>
  </si>
  <si>
    <t>2025-06-09T23:59:48+00:00</t>
  </si>
  <si>
    <t>2025-06-10T23:59:48+00:00</t>
  </si>
  <si>
    <t>426.7388585862308</t>
  </si>
  <si>
    <t>2025-06-11T23:59:48.001+00:00</t>
  </si>
  <si>
    <t>407.7734897683259</t>
  </si>
  <si>
    <t>2025-06-12T23:59:48+00:00</t>
  </si>
  <si>
    <t>387.92401156075744</t>
  </si>
  <si>
    <t>2025-06-13T23:59:48.001+00:00</t>
  </si>
  <si>
    <t>372.0164051979152</t>
  </si>
  <si>
    <t>2025-06-14T23:59:48.001+00:00</t>
  </si>
  <si>
    <t>364.0611488802449</t>
  </si>
  <si>
    <t>2025-06-15T23:59:48+00:00</t>
  </si>
  <si>
    <t>367.8763233204816</t>
  </si>
  <si>
    <t>2025-06-16T23:59:48+00:00</t>
  </si>
  <si>
    <t>2025-06-17T23:59:48+00:00</t>
  </si>
  <si>
    <t>2025-06-18T23:59:48+00:00</t>
  </si>
  <si>
    <t>362.1833681138733</t>
  </si>
  <si>
    <t>2025-06-19T23:59:48.001+00:00</t>
  </si>
  <si>
    <t>351.69429269493645</t>
  </si>
  <si>
    <t>2025-06-20T23:59:48+00:00</t>
  </si>
  <si>
    <t>341.60832358328344</t>
  </si>
  <si>
    <t>2025-06-21T23:59:48+00:00</t>
  </si>
  <si>
    <t>308.37892323921415</t>
  </si>
  <si>
    <t>2025-06-22T23:59:48+00:00</t>
  </si>
  <si>
    <t>304.2270108112915</t>
  </si>
  <si>
    <t>2025-06-23T23:59:48+00:00</t>
  </si>
  <si>
    <t>348.39597626068775</t>
  </si>
  <si>
    <t>2025-06-24T23:59:48+00:00</t>
  </si>
  <si>
    <t>343.68135061988465</t>
  </si>
  <si>
    <t>2025-06-25T23:59:48+00:00</t>
  </si>
  <si>
    <t>324.1669243880751</t>
  </si>
  <si>
    <t>2025-06-26T23:59:48+00:00</t>
  </si>
  <si>
    <t>318.4889373191774</t>
  </si>
  <si>
    <t>2025-06-27T23:59:48+00:00</t>
  </si>
  <si>
    <t>326.09825025468854</t>
  </si>
  <si>
    <t>2025-06-28T23:59:48+00:00</t>
  </si>
  <si>
    <t>330.40418132637706</t>
  </si>
  <si>
    <t>2025-06-29T23:59:48+00:00</t>
  </si>
  <si>
    <t>2025-06-30T23:59:48+00:00</t>
  </si>
  <si>
    <t>335.03977157121943</t>
  </si>
  <si>
    <t>2025-07-01T23:59:48+00:00</t>
  </si>
  <si>
    <t>317.37725237582043</t>
  </si>
  <si>
    <t>2025-07-02T23:59:48+00:00</t>
  </si>
  <si>
    <t>334.8565695831441</t>
  </si>
  <si>
    <t>2025-07-03T23:59:48+00:00</t>
  </si>
  <si>
    <t>337.7954731455641</t>
  </si>
  <si>
    <t>2025-07-04T23:59:48.001+00:00</t>
  </si>
  <si>
    <t>325.57603997050825</t>
  </si>
  <si>
    <t>2025-07-05T23:59:48+00:00</t>
  </si>
  <si>
    <t>322.0097358189483</t>
  </si>
  <si>
    <t>2025-07-06T23:59:48+00:00</t>
  </si>
  <si>
    <t>326.14599728744787</t>
  </si>
  <si>
    <t>2025-07-07T23:59:48+00:00</t>
  </si>
  <si>
    <t>320.7178669647138</t>
  </si>
  <si>
    <t>2025-07-08T23:59:48+00:00</t>
  </si>
  <si>
    <t>320.50379501564817</t>
  </si>
  <si>
    <t>2025-07-09T23:59:48+00:00</t>
  </si>
  <si>
    <t>349.5296612910278</t>
  </si>
  <si>
    <t>2025-07-10T23:59:48.001+00:00</t>
  </si>
  <si>
    <t>2025-07-11T23:59:48+00:00</t>
  </si>
  <si>
    <t>2025-07-12T23:59:48+00:00</t>
  </si>
  <si>
    <t>382.9499093628389</t>
  </si>
  <si>
    <t>2025-07-13T23:59:48+00:00</t>
  </si>
  <si>
    <t>390.37627155003975</t>
  </si>
  <si>
    <t>2025-07-14T23:59:48+00:00</t>
  </si>
  <si>
    <t>407.12659161763946</t>
  </si>
  <si>
    <t>2025-07-15T23:59:48.001+00:00</t>
  </si>
  <si>
    <t>434.1226160402129</t>
  </si>
  <si>
    <t>2025-07-16T23:59:48.001+00:00</t>
  </si>
  <si>
    <t>2025-07-17T23:59:48+00:00</t>
  </si>
  <si>
    <t>426.1023831172326</t>
  </si>
  <si>
    <t>2025-07-18T23:59:48+00:00</t>
  </si>
  <si>
    <t>412.4507677217889</t>
  </si>
  <si>
    <t>2025-07-19T23:59:48+00:00</t>
  </si>
  <si>
    <t>414.7463558217035</t>
  </si>
  <si>
    <t>2025-07-20T23:59:48+00:00</t>
  </si>
  <si>
    <t>412.7025065846024</t>
  </si>
  <si>
    <t>2025-07-21T23:59:48+00:00</t>
  </si>
  <si>
    <t>447.4885776333046</t>
  </si>
  <si>
    <t>2025-07-22T23:59:48+00:00</t>
  </si>
  <si>
    <t>450.9138653689001</t>
  </si>
  <si>
    <t>2025-07-23T23:59:48+00:00</t>
  </si>
  <si>
    <t>426.6535557395342</t>
  </si>
  <si>
    <t>2025-07-24T23:59:48+00:00</t>
  </si>
  <si>
    <t>416.9454130641886</t>
  </si>
  <si>
    <t>2025-07-25T23:59:48.001+00:00</t>
  </si>
  <si>
    <t>426.0018177398999</t>
  </si>
  <si>
    <t>2025-07-26T23:59:48+00:00</t>
  </si>
  <si>
    <t>427.4495692871444</t>
  </si>
  <si>
    <t>2025-07-27T23:59:48.001+00:00</t>
  </si>
  <si>
    <t>428.9497602890383</t>
  </si>
  <si>
    <t>2025-07-28T23:59:48+00:00</t>
  </si>
  <si>
    <t>403.2311690387328</t>
  </si>
  <si>
    <t>2025-07-29T23:59:48.001+00:00</t>
  </si>
  <si>
    <t>383.1883141423931</t>
  </si>
  <si>
    <t>2025-07-30T23:59:48.001+00:00</t>
  </si>
  <si>
    <t>373.05386798187186</t>
  </si>
  <si>
    <t>6120049-0002</t>
  </si>
  <si>
    <t>Balances.transfer_allow_death</t>
  </si>
  <si>
    <t>6120053-0006</t>
  </si>
  <si>
    <t>5H6ZiwHmjGZeVRocnDTwf33wA5HVGHAX3DvpTFUS4kQpUX6L</t>
  </si>
  <si>
    <t>6120240-0002</t>
  </si>
  <si>
    <t>6120245-0003</t>
  </si>
  <si>
    <t>2025-07-31T23:59:48+00:00</t>
  </si>
  <si>
    <t>352.58729936797585</t>
  </si>
  <si>
    <t>2025-08-01T23:59:48.001+00:00</t>
  </si>
  <si>
    <t>343.9580413591853</t>
  </si>
  <si>
    <t>2025-08-02T23:59:48+00:00</t>
  </si>
  <si>
    <t>333.6032633411025</t>
  </si>
  <si>
    <t>2025-08-03T23:59:48.001+00:00</t>
  </si>
  <si>
    <t>350.1477837814931</t>
  </si>
  <si>
    <t>2025-08-04T23:59:48+00:00</t>
  </si>
  <si>
    <t>358.08223675236883</t>
  </si>
  <si>
    <t>2025-08-05T23:59:48+00:00</t>
  </si>
  <si>
    <t>342.36669491783374</t>
  </si>
  <si>
    <t>2025-08-06T23:59:48.001+00:00</t>
  </si>
  <si>
    <t>346.97061209828706</t>
  </si>
  <si>
    <t>2025-08-07T23:59:48.001+00:00</t>
  </si>
  <si>
    <t>369.9185970208659</t>
  </si>
  <si>
    <t>2025-08-08T23:59:48+00:00</t>
  </si>
  <si>
    <t>374.0930370559596</t>
  </si>
  <si>
    <t>2025-08-09T23:59:48+00:00</t>
  </si>
  <si>
    <t>390.62176134685353</t>
  </si>
  <si>
    <t>6191028-0008</t>
  </si>
  <si>
    <t>SubtensorModule.add_stake</t>
  </si>
  <si>
    <t>6191037-0006</t>
  </si>
  <si>
    <t>2025-08-10T23:59:48+00:00</t>
  </si>
  <si>
    <t>387.6653359445709</t>
  </si>
  <si>
    <t>2025-08-11T23:59:48+00:00</t>
  </si>
  <si>
    <t>360.2408392940107</t>
  </si>
  <si>
    <t>2025-08-12T23:59:48+00:00</t>
  </si>
  <si>
    <t>391.8246063588917</t>
  </si>
  <si>
    <t>2025-08-13T23:59:48+00:00</t>
  </si>
  <si>
    <t>393.34200333391385</t>
  </si>
  <si>
    <t>2025-08-14T23:59:48+00:00</t>
  </si>
  <si>
    <t>366.5698656847433</t>
  </si>
  <si>
    <t>2025-08-15T23:59:48+00:00</t>
  </si>
  <si>
    <t>368.92562360279845</t>
  </si>
  <si>
    <t>2025-08-16T23:59:48+00:00</t>
  </si>
  <si>
    <t>373.2567247822091</t>
  </si>
  <si>
    <t>2025-08-17T23:59:48+00:00</t>
  </si>
  <si>
    <t>373.15449303362516</t>
  </si>
  <si>
    <t>2025-08-18T23:59:48.001+00:00</t>
  </si>
  <si>
    <t>354.59788614208395</t>
  </si>
  <si>
    <t>2025-08-19T23:59:48+00:00</t>
  </si>
  <si>
    <t>342.1492279192282</t>
  </si>
  <si>
    <t>2025-08-20T23:59:48+00:00</t>
  </si>
  <si>
    <t>353.9608092372001</t>
  </si>
  <si>
    <t>2025-08-21T23:59:48.001+00:00</t>
  </si>
  <si>
    <t>336.5855156464788</t>
  </si>
  <si>
    <t>2025-08-22T23:59:48+00:00</t>
  </si>
  <si>
    <t>370.6641268300432</t>
  </si>
  <si>
    <t>2025-08-23T23:59:48+00:00</t>
  </si>
  <si>
    <t>364.4600892967958</t>
  </si>
  <si>
    <t>2025-08-24T23:59:48.001+00:00</t>
  </si>
  <si>
    <t>362.8556958562526</t>
  </si>
  <si>
    <t>2025-08-25T23:59:48.001+00:00</t>
  </si>
  <si>
    <t>2025-08-26T23:59:48+00:00</t>
  </si>
  <si>
    <t>334.6384048960266</t>
  </si>
  <si>
    <t>2025-08-27T23:59:48+00:00</t>
  </si>
  <si>
    <t>331.2224554823512</t>
  </si>
  <si>
    <t>2025-08-28T23:59:48+00:00</t>
  </si>
  <si>
    <t>336.0956038918966</t>
  </si>
  <si>
    <t>2025-08-29T23:59:48+00:00</t>
  </si>
  <si>
    <t>320.5670294560035</t>
  </si>
  <si>
    <t>2025-08-30T23:59:48+00:00</t>
  </si>
  <si>
    <t>322.82026972962177</t>
  </si>
  <si>
    <t>2025-08-31T23:59:48.001+00:00</t>
  </si>
  <si>
    <t>316.24876922432105</t>
  </si>
  <si>
    <t>2025-09-01T23:59:48+00:00</t>
  </si>
  <si>
    <t>308.66361912298163</t>
  </si>
  <si>
    <t>2025-09-02T23:59:48+00:00</t>
  </si>
  <si>
    <t>321.21928397038283</t>
  </si>
  <si>
    <t>2025-09-03T23:59:48.001+00:00</t>
  </si>
  <si>
    <t>323.7804294625337</t>
  </si>
  <si>
    <t>2025-09-04T23:59:48+00:00</t>
  </si>
  <si>
    <t>315.4863647705887</t>
  </si>
  <si>
    <t>2025-09-05T23:59:48+00:00</t>
  </si>
  <si>
    <t>319.0072148160797</t>
  </si>
  <si>
    <t>2025-09-06T23:59:48+00:00</t>
  </si>
  <si>
    <t>318.09946114758435</t>
  </si>
  <si>
    <t>2025-09-07T23:59:48+00:00</t>
  </si>
  <si>
    <t>327.7752805614622</t>
  </si>
  <si>
    <t>2025-09-08T23:59:48+00:00</t>
  </si>
  <si>
    <t>342.75373110644347</t>
  </si>
  <si>
    <t>2025-09-09T23:59:48+00:00</t>
  </si>
  <si>
    <t>335.5870868335258</t>
  </si>
  <si>
    <t>2025-09-10T23:59:48+00:00</t>
  </si>
  <si>
    <t>347.4221434566661</t>
  </si>
  <si>
    <t>2025-09-11T23:59:48+00:00</t>
  </si>
  <si>
    <t>357.8022742558487</t>
  </si>
  <si>
    <t>2025-09-12T23:59:48.001+00:00</t>
  </si>
  <si>
    <t>360.44237586993023</t>
  </si>
  <si>
    <t>2025-09-13T23:59:48+00:00</t>
  </si>
  <si>
    <t>358.6771294062997</t>
  </si>
  <si>
    <t>2025-09-14T23:59:48+00:00</t>
  </si>
  <si>
    <t>350.4925200640206</t>
  </si>
  <si>
    <t>2025-09-15T23:59:48+00:00</t>
  </si>
  <si>
    <t>343.0120884049416</t>
  </si>
  <si>
    <t>2025-09-16T23:59:48+00:00</t>
  </si>
  <si>
    <t>344.9581705436227</t>
  </si>
  <si>
    <t>2025-09-17T23:59:48+00:00</t>
  </si>
  <si>
    <t>359.0818270236345</t>
  </si>
  <si>
    <t>2025-09-18T23:59:48+00:00</t>
  </si>
  <si>
    <t>362.24452353318503</t>
  </si>
  <si>
    <t>2025-09-19T23:59:48+00:00</t>
  </si>
  <si>
    <t>344.68416273061064</t>
  </si>
  <si>
    <t>2025-09-20T23:59:48+00:00</t>
  </si>
  <si>
    <t>345.1724571600869</t>
  </si>
  <si>
    <t>2025-09-21T23:59:48+00:00</t>
  </si>
  <si>
    <t>2025-09-22T23:59:48+00:00</t>
  </si>
  <si>
    <t>319.0802864552412</t>
  </si>
  <si>
    <t>2025-09-23T23:59:48+00:00</t>
  </si>
  <si>
    <t>309.70134967234486</t>
  </si>
  <si>
    <t>2025-09-24T23:59:48+00:00</t>
  </si>
  <si>
    <t>311.3055514909411</t>
  </si>
  <si>
    <t>2025-09-25T23:59:48+00:00</t>
  </si>
  <si>
    <t>297.4278461448136</t>
  </si>
  <si>
    <t>2025-09-26T23:59:48+00:00</t>
  </si>
  <si>
    <t>300.7155607927536</t>
  </si>
  <si>
    <t>2025-09-27T23:59:48+00:00</t>
  </si>
  <si>
    <t>298.85798821290155</t>
  </si>
  <si>
    <t>2025-09-28T23:59:48+00:00</t>
  </si>
  <si>
    <t>307.26241683824315</t>
  </si>
  <si>
    <t>2025-09-29T23:59:48.001+00:00</t>
  </si>
  <si>
    <t>310.7285822471197</t>
  </si>
  <si>
    <t>2025-09-30T23:59:48+00:00</t>
  </si>
  <si>
    <t>302.37923034954474</t>
  </si>
  <si>
    <t>2025-10-01T23:59:48+00:00</t>
  </si>
  <si>
    <t>2025-10-02T23:59:48+00:00</t>
  </si>
  <si>
    <t>324.8542146111732</t>
  </si>
  <si>
    <t>2025-10-03T23:59:48+00:00</t>
  </si>
  <si>
    <t>322.42478731159343</t>
  </si>
  <si>
    <t>2025-10-04T23:59:48+00:00</t>
  </si>
  <si>
    <t>318.6836163821019</t>
  </si>
  <si>
    <t>2025-10-05T23:59:48+00:00</t>
  </si>
  <si>
    <t>316.58779761351553</t>
  </si>
  <si>
    <t>2025-10-06T23:59:48+00:00</t>
  </si>
  <si>
    <t>346.0767603808523</t>
  </si>
  <si>
    <t>2025-10-07T23:59:48+00:00</t>
  </si>
  <si>
    <t>330.79651374644584</t>
  </si>
  <si>
    <t>2025-10-08T23:59:48+00:00</t>
  </si>
  <si>
    <t>337.59507097581087</t>
  </si>
  <si>
    <t>2025-10-09T23:59:48+00:00</t>
  </si>
  <si>
    <t>344.9099439303492</t>
  </si>
  <si>
    <t>2025-10-10T21:13:48+00:00</t>
  </si>
  <si>
    <t>6631354-0033</t>
  </si>
  <si>
    <t>SubtensorModule.remove_stake</t>
  </si>
  <si>
    <t>2025-10-10T21:16:00+00:00</t>
  </si>
  <si>
    <t>6631365-0004</t>
  </si>
  <si>
    <t>2025-10-10T21:29:12+00:00</t>
  </si>
  <si>
    <t>6631431-0007</t>
  </si>
  <si>
    <t>2025-10-10T21:42:12+00:00</t>
  </si>
  <si>
    <t>6631496-0015</t>
  </si>
  <si>
    <t>2025-10-10T21:46:24+00:00</t>
  </si>
  <si>
    <t>6631517-0023</t>
  </si>
  <si>
    <t>6631521-0016</t>
  </si>
  <si>
    <t>6631673-0013</t>
  </si>
  <si>
    <t>6631693-0008</t>
  </si>
  <si>
    <t>304.48797934369384</t>
  </si>
  <si>
    <t>296.90567885098096</t>
  </si>
  <si>
    <t>446.4212473089644</t>
  </si>
  <si>
    <t>450.6858729040859</t>
  </si>
  <si>
    <t>411.2908198419708</t>
  </si>
  <si>
    <t>378.44070336941144</t>
  </si>
  <si>
    <t>402.26900231361543</t>
  </si>
  <si>
    <t>438.5914550514655</t>
  </si>
  <si>
    <t>424.5859917820577</t>
  </si>
  <si>
    <t>382.0124669012072</t>
  </si>
  <si>
    <t>381.9880770255616</t>
  </si>
  <si>
    <t>385.7796051853788</t>
  </si>
  <si>
    <t>385.42406784345377</t>
  </si>
  <si>
    <t>397.77302957861974</t>
  </si>
  <si>
    <t>405.96414890086555</t>
  </si>
  <si>
    <t>414.95599507433303</t>
  </si>
  <si>
    <t>431.1626626313041</t>
  </si>
  <si>
    <t>439.03948840812694</t>
  </si>
  <si>
    <t>415.4669220575188</t>
  </si>
  <si>
    <t>481.9610508540318</t>
  </si>
  <si>
    <t>499.8480350680149</t>
  </si>
  <si>
    <t>490.74409326861803</t>
  </si>
  <si>
    <t>465.94659489049286</t>
  </si>
  <si>
    <t>402.04316647031794</t>
  </si>
  <si>
    <t>384.85876093511354</t>
  </si>
  <si>
    <t>391.5676726539925</t>
  </si>
  <si>
    <t>400.22978136343875</t>
  </si>
  <si>
    <t>368.1138566227281</t>
  </si>
  <si>
    <t>381.7565884499146</t>
  </si>
  <si>
    <t>365.2450497730443</t>
  </si>
  <si>
    <t>348.49936875382093</t>
  </si>
  <si>
    <t>342.85984713813104</t>
  </si>
  <si>
    <t>333.85656427265604</t>
  </si>
  <si>
    <t>335.98589351111815</t>
  </si>
  <si>
    <t>321.8576296417481</t>
  </si>
  <si>
    <t>310.62268923498505</t>
  </si>
  <si>
    <t>332.5109415753652</t>
  </si>
  <si>
    <t>324.6631366552208</t>
  </si>
  <si>
    <t>308.5866479921523</t>
  </si>
  <si>
    <t>279.79035824499084</t>
  </si>
  <si>
    <t>273.0979745709479</t>
  </si>
  <si>
    <t>292.8948103721457</t>
  </si>
  <si>
    <t>312.66539002389794</t>
  </si>
  <si>
    <t>309.3952615249405</t>
  </si>
  <si>
    <t>296.40822801079116</t>
  </si>
  <si>
    <t>299.19560592909795</t>
  </si>
  <si>
    <t>296.38818778289163</t>
  </si>
  <si>
    <t>292.5326943846384</t>
  </si>
  <si>
    <t>265.6695035428704</t>
  </si>
  <si>
    <t>275.97007524780355</t>
  </si>
  <si>
    <t>296.26352899087703</t>
  </si>
  <si>
    <t>290.3267475124741</t>
  </si>
  <si>
    <t>275.3005048293871</t>
  </si>
  <si>
    <t>281.7484136978629</t>
  </si>
  <si>
    <t>276.39631445092834</t>
  </si>
  <si>
    <t>294.5763832425767</t>
  </si>
  <si>
    <t>303.1676838934517</t>
  </si>
  <si>
    <t>294.6429813115165</t>
  </si>
  <si>
    <t>298.96506092176685</t>
  </si>
  <si>
    <t>292.1971886048967</t>
  </si>
  <si>
    <t>295.5517494710053</t>
  </si>
  <si>
    <t>280.01827091156304</t>
  </si>
  <si>
    <t>269.54675493448656</t>
  </si>
  <si>
    <t>260.91717491530346</t>
  </si>
  <si>
    <t>237.87779322051924</t>
  </si>
  <si>
    <t>218.01037507515775</t>
  </si>
  <si>
    <t>230.28606359462057</t>
  </si>
  <si>
    <t>226.78352314866922</t>
  </si>
  <si>
    <t>221.32792983684627</t>
  </si>
  <si>
    <t>222.0734079297943</t>
  </si>
  <si>
    <t>214.23888536948283</t>
  </si>
  <si>
    <t>218.3223978561324</t>
  </si>
  <si>
    <t>218.9845563569351</t>
  </si>
  <si>
    <t>215.44965379772484</t>
  </si>
  <si>
    <t>222.48038582122393</t>
  </si>
  <si>
    <t>224.06955443447393</t>
  </si>
  <si>
    <t>217.89603025477157</t>
  </si>
  <si>
    <t>221.15222620962308</t>
  </si>
  <si>
    <t>219.13957479549188</t>
  </si>
  <si>
    <t>Net Worth Amount</t>
  </si>
  <si>
    <t>Net Worth Currency</t>
  </si>
  <si>
    <t>0.12540171520438647797</t>
  </si>
  <si>
    <t>0.12761724206088490078</t>
  </si>
  <si>
    <t>0.12431986448579438076</t>
  </si>
  <si>
    <t>29.501217769420518874997312877</t>
  </si>
  <si>
    <t>0.11571588091141490572</t>
  </si>
  <si>
    <t>32.684796774754205244161658221</t>
  </si>
  <si>
    <t>0.13730313546780101753</t>
  </si>
  <si>
    <t>28.712797574059578396192427965</t>
  </si>
  <si>
    <t>0.1212502621621682955</t>
  </si>
  <si>
    <t>30.402065940503248180328305370</t>
  </si>
  <si>
    <t>0.13179514069495196472</t>
  </si>
  <si>
    <t>25.521572961994576546709667977</t>
  </si>
  <si>
    <t>0.1109731892790942082</t>
  </si>
  <si>
    <t>28.901813359674481129673645815</t>
  </si>
  <si>
    <t>0.1165158163548378363</t>
  </si>
  <si>
    <t>30.388974509117993031189117152</t>
  </si>
  <si>
    <t>0.11185493239914851887</t>
  </si>
  <si>
    <t>31.455320944542204529532998809</t>
  </si>
  <si>
    <t>0.10813216500012648471</t>
  </si>
  <si>
    <t>35.889370831384759063858514860</t>
  </si>
  <si>
    <t>0.11341367296420267237</t>
  </si>
  <si>
    <t>32.933258193504317097410316084</t>
  </si>
  <si>
    <t>0.10453634164394863643</t>
  </si>
  <si>
    <t>33.048930115261019221581907870</t>
  </si>
  <si>
    <t>0.09816052971493122701</t>
  </si>
  <si>
    <t>33.076942213543346458527848391</t>
  </si>
  <si>
    <t>0.0978565604215243225</t>
  </si>
  <si>
    <t>35.247423912902752826208291328</t>
  </si>
  <si>
    <t>0.09841675125919078272</t>
  </si>
  <si>
    <t>38.078039348704389923818709921</t>
  </si>
  <si>
    <t>0.10732046408739819509</t>
  </si>
  <si>
    <t>36.288039638628892099803768972</t>
  </si>
  <si>
    <t>0.10400700652291889938</t>
  </si>
  <si>
    <t>37.457260358902822970302971007</t>
  </si>
  <si>
    <t>0.10307974699532913175</t>
  </si>
  <si>
    <t>37.045248817741924960604022245</t>
  </si>
  <si>
    <t>0.09762540512812022305</t>
  </si>
  <si>
    <t>32.181722002018641733229010560</t>
  </si>
  <si>
    <t>0.08801250448407171614</t>
  </si>
  <si>
    <t>35.545253547664735726595951184</t>
  </si>
  <si>
    <t>0.1001229556728080342</t>
  </si>
  <si>
    <t>35.313484009804973817402907865</t>
  </si>
  <si>
    <t>0.09909995750022319581</t>
  </si>
  <si>
    <t>41.584908721536004642588492289</t>
  </si>
  <si>
    <t>0.11109644181091952119</t>
  </si>
  <si>
    <t>40.653111760867128504865306205</t>
  </si>
  <si>
    <t>0.11440161106001738528</t>
  </si>
  <si>
    <t>35.696268790815782135995278356</t>
  </si>
  <si>
    <t>0.10425619373064676527</t>
  </si>
  <si>
    <t>39.406483793933884181988733020</t>
  </si>
  <si>
    <t>0.10490946696702095446</t>
  </si>
  <si>
    <t>38.507315663779138127467499083</t>
  </si>
  <si>
    <t>0.10311424619971361354</t>
  </si>
  <si>
    <t>39.897212744742048321738658652</t>
  </si>
  <si>
    <t>0.10849232793408411898</t>
  </si>
  <si>
    <t>43.449859466858464624821263614</t>
  </si>
  <si>
    <t>0.10299749977821820638</t>
  </si>
  <si>
    <t>37.929478174868599200413458862</t>
  </si>
  <si>
    <t>0.08837382030737376924</t>
  </si>
  <si>
    <t>45.853063603795232583158932629</t>
  </si>
  <si>
    <t>0.09872607013148982392</t>
  </si>
  <si>
    <t>40.915120078830418021407349433</t>
  </si>
  <si>
    <t>0.08919747505538075584</t>
  </si>
  <si>
    <t>41.314122607794944356634153901</t>
  </si>
  <si>
    <t>0.09022069510417890189</t>
  </si>
  <si>
    <t>43.305870664926433696803331730</t>
  </si>
  <si>
    <t>0.09343282935314310467</t>
  </si>
  <si>
    <t>36.941844084959176495727297374</t>
  </si>
  <si>
    <t>0.0808585839227492178</t>
  </si>
  <si>
    <t>41.134265304985473634849138664</t>
  </si>
  <si>
    <t>0.09456752997400275897</t>
  </si>
  <si>
    <t>39.944111973218548163506813222</t>
  </si>
  <si>
    <t>0.0929062098656815286</t>
  </si>
  <si>
    <t>37.848082882101530965509047445</t>
  </si>
  <si>
    <t>0.08937388348369870178</t>
  </si>
  <si>
    <t>35.487790800629197284671306324</t>
  </si>
  <si>
    <t>0.08471489318707025933</t>
  </si>
  <si>
    <t>36.400507971205293005848884223</t>
  </si>
  <si>
    <t>0.08869601931015045054</t>
  </si>
  <si>
    <t>36.275535151622124030577840208</t>
  </si>
  <si>
    <t>0.08734215451813274883</t>
  </si>
  <si>
    <t>39.317371754931244635544500548</t>
  </si>
  <si>
    <t>0.08712798127569489209</t>
  </si>
  <si>
    <t>40.034214430281786581703862887</t>
  </si>
  <si>
    <t>0.08582581497247428114</t>
  </si>
  <si>
    <t>36.138234437850931691611284694</t>
  </si>
  <si>
    <t>0.08688336398505640717</t>
  </si>
  <si>
    <t>37.795781695336992453383061182</t>
  </si>
  <si>
    <t>0.0873535356985833816</t>
  </si>
  <si>
    <t>37.072363740338719055920414082</t>
  </si>
  <si>
    <t>0.08595836438319546462</t>
  </si>
  <si>
    <t>50.786403672151097227243955063</t>
  </si>
  <si>
    <t>0.11676863801310611765</t>
  </si>
  <si>
    <t>53.287340230500507023210335795</t>
  </si>
  <si>
    <t>0.1186793584504379675</t>
  </si>
  <si>
    <t>45.951033738348287515792465787</t>
  </si>
  <si>
    <t>0.10572041580481856546</t>
  </si>
  <si>
    <t>43.455007553553511753259300848</t>
  </si>
  <si>
    <t>0.10391971838663755077</t>
  </si>
  <si>
    <t>38.457106131202545921763392708</t>
  </si>
  <si>
    <t>0.10103874544585091902</t>
  </si>
  <si>
    <t>43.077948683984611740857111954</t>
  </si>
  <si>
    <t>0.10023577635351429296</t>
  </si>
  <si>
    <t>39.945412014491331621810557012</t>
  </si>
  <si>
    <t>0.09627182574794070775</t>
  </si>
  <si>
    <t>38.535161851723113856917313176</t>
  </si>
  <si>
    <t>0.09555844295352125572</t>
  </si>
  <si>
    <t>36.838313260289994058177540659</t>
  </si>
  <si>
    <t>0.09498719141994459153</t>
  </si>
  <si>
    <t>33.838061640504525115702826491</t>
  </si>
  <si>
    <t>0.08856392223958744454</t>
  </si>
  <si>
    <t>30.825622284688568949530222141</t>
  </si>
  <si>
    <t>0.08704046756693474758</t>
  </si>
  <si>
    <t>31.818307160109918883656622231</t>
  </si>
  <si>
    <t>0.0865488089351550495</t>
  </si>
  <si>
    <t>38.486747312265201841762064815</t>
  </si>
  <si>
    <t>0.10026769217005246587</t>
  </si>
  <si>
    <t>37.959466561871074852009474004</t>
  </si>
  <si>
    <t>0.09936646397116133335</t>
  </si>
  <si>
    <t>42.876648472064473212598384278</t>
  </si>
  <si>
    <t>0.10220425489841192093</t>
  </si>
  <si>
    <t>39.485370389998274792911139462</t>
  </si>
  <si>
    <t>0.09252818110075976527</t>
  </si>
  <si>
    <t>37.347449279423618933274417901</t>
  </si>
  <si>
    <t>0.09158871338262414184</t>
  </si>
  <si>
    <t>35.171640770690590849961973514</t>
  </si>
  <si>
    <t>0.0906663153672351051</t>
  </si>
  <si>
    <t>34.411567036906655357831052218</t>
  </si>
  <si>
    <t>0.09250013320944669898</t>
  </si>
  <si>
    <t>33.606191771588507320426626329</t>
  </si>
  <si>
    <t>0.09230919551551215991</t>
  </si>
  <si>
    <t>33.597925753993590147939467767</t>
  </si>
  <si>
    <t>0.09132940508575268183</t>
  </si>
  <si>
    <t>31.750343816298389208820489810</t>
  </si>
  <si>
    <t>0.08483250670892020228</t>
  </si>
  <si>
    <t>32.008859063033705460615286543</t>
  </si>
  <si>
    <t>0.0909137487316231264</t>
  </si>
  <si>
    <t>32.869129406536878737747415592</t>
  </si>
  <si>
    <t>0.09075272997130714708</t>
  </si>
  <si>
    <t>30.919448945519677317940868974</t>
  </si>
  <si>
    <t>0.08791569720563976285</t>
  </si>
  <si>
    <t>29.674120033416819144275411195</t>
  </si>
  <si>
    <t>0.08686591626969629977</t>
  </si>
  <si>
    <t>26.082388910973797844284229359</t>
  </si>
  <si>
    <t>0.08457902581993678626</t>
  </si>
  <si>
    <t>25.478225070786088611158861668</t>
  </si>
  <si>
    <t>0.08374741283767843108</t>
  </si>
  <si>
    <t>29.151323101468476248473571734</t>
  </si>
  <si>
    <t>0.0836729614800601491</t>
  </si>
  <si>
    <t>28.663013047674759325904768415</t>
  </si>
  <si>
    <t>0.0833999662651941993</t>
  </si>
  <si>
    <t>26.330661794471676359752429614</t>
  </si>
  <si>
    <t>0.0812256273343607163</t>
  </si>
  <si>
    <t>25.501771909858612751670184108</t>
  </si>
  <si>
    <t>0.08007113881102160497</t>
  </si>
  <si>
    <t>20.949449209959586330475239493</t>
  </si>
  <si>
    <t>0.06424275258636835208</t>
  </si>
  <si>
    <t>21.882807817437100980570557076</t>
  </si>
  <si>
    <t>0.06623042035845488015</t>
  </si>
  <si>
    <t>22.836413771169771849556266342</t>
  </si>
  <si>
    <t>0.06597283759449485442</t>
  </si>
  <si>
    <t>21.886172538942186407431794147</t>
  </si>
  <si>
    <t>0.06532410297530853297</t>
  </si>
  <si>
    <t>20.190960992958874118533912173</t>
  </si>
  <si>
    <t>0.06361817314194233723</t>
  </si>
  <si>
    <t>20.971531731976711214441557800</t>
  </si>
  <si>
    <t>0.06262840164098834897</t>
  </si>
  <si>
    <t>21.043054015683150491411060127</t>
  </si>
  <si>
    <t>0.06229525167915793308</t>
  </si>
  <si>
    <t>19.703028791072263632791998870</t>
  </si>
  <si>
    <t>0.06051744100351189502</t>
  </si>
  <si>
    <t>19.356104438983046799968979905</t>
  </si>
  <si>
    <t>0.06011030812393237785</t>
  </si>
  <si>
    <t>19.428202603072705122935734361</t>
  </si>
  <si>
    <t>0.05956903584485727308</t>
  </si>
  <si>
    <t>18.709001252938654858861577732</t>
  </si>
  <si>
    <t>0.0583347645393172530277174554</t>
  </si>
  <si>
    <t>19.256155948000421435791490359</t>
  </si>
  <si>
    <t>0.0600808984088948629258395335</t>
  </si>
  <si>
    <t>20.692351414686686149137457924</t>
  </si>
  <si>
    <t>0.0592005592265249204091786897</t>
  </si>
  <si>
    <t>21.884195785503461164978904103</t>
  </si>
  <si>
    <t>0.0584886773567484922276935131</t>
  </si>
  <si>
    <t>22.496080569302344052803661462</t>
  </si>
  <si>
    <t>0.0572331044207450307708918754</t>
  </si>
  <si>
    <t>21.695012191181852459677393180</t>
  </si>
  <si>
    <t>0.0566523497218696981180869950</t>
  </si>
  <si>
    <t>22.438574852864498329348603779</t>
  </si>
  <si>
    <t>0.0574793513032163020696648204</t>
  </si>
  <si>
    <t>25.479401304262023362995157264</t>
  </si>
  <si>
    <t>0.0625834858956878916549689861</t>
  </si>
  <si>
    <t>30.400160374970797894916978098</t>
  </si>
  <si>
    <t>0.0700266681617776450761879446</t>
  </si>
  <si>
    <t>30.070739824865601419619982886</t>
  </si>
  <si>
    <t>0.0695969456606658731853505738</t>
  </si>
  <si>
    <t>31.213667370351426369197381779</t>
  </si>
  <si>
    <t>0.0732539140992405094321351374</t>
  </si>
  <si>
    <t>29.596121783961885343212820672</t>
  </si>
  <si>
    <t>0.0717567382585778248000349020</t>
  </si>
  <si>
    <t>30.546195784543122567797937170</t>
  </si>
  <si>
    <t>0.0736503054355339875508987541</t>
  </si>
  <si>
    <t>30.986981179006898410528102724</t>
  </si>
  <si>
    <t>0.0750830942013062100015898843</t>
  </si>
  <si>
    <t>33.502905951833109457823204322</t>
  </si>
  <si>
    <t>0.0748687399553852567903066863</t>
  </si>
  <si>
    <t>32.828834430729497663500197271</t>
  </si>
  <si>
    <t>0.0728051119117210658376075992</t>
  </si>
  <si>
    <t>29.944467954551518803506680927</t>
  </si>
  <si>
    <t>0.0701845034495204855203147394</t>
  </si>
  <si>
    <t>28.990663846209399919472245929</t>
  </si>
  <si>
    <t>0.0695310775411895403094693525</t>
  </si>
  <si>
    <t>29.378205603806872608130376904</t>
  </si>
  <si>
    <t>0.0689626296893973806623651652</t>
  </si>
  <si>
    <t>29.199362158571557968787936556</t>
  </si>
  <si>
    <t>0.0683106599154309464604173380</t>
  </si>
  <si>
    <t>25.694067577212356883207362640</t>
  </si>
  <si>
    <t>0.0598999462312299189873454177</t>
  </si>
  <si>
    <t>23.769935451329369885855797638</t>
  </si>
  <si>
    <t>0.0589486559483850897070364807</t>
  </si>
  <si>
    <t>22.318587194082855593660148586</t>
  </si>
  <si>
    <t>0.0582444358827426292821789683</t>
  </si>
  <si>
    <t>21.456722297186852807542446146</t>
  </si>
  <si>
    <t>0.0575164182407821019824136974</t>
  </si>
  <si>
    <t>19.907726456667270402347828854</t>
  </si>
  <si>
    <t>0.0564618365220542958797385824</t>
  </si>
  <si>
    <t>19.269984545245073553478931864</t>
  </si>
  <si>
    <t>0.0560242303657090358945922189</t>
  </si>
  <si>
    <t>18.513117660114015394391005903</t>
  </si>
  <si>
    <t>0.0554944141574080826339630719</t>
  </si>
  <si>
    <t>19.275948707355439213662462975</t>
  </si>
  <si>
    <t>0.0550508945085439681518916280</t>
  </si>
  <si>
    <t>19.603082814139729467087084830</t>
  </si>
  <si>
    <t>0.0547446390860661666811397304</t>
  </si>
  <si>
    <t>18.606674846810753315534204067</t>
  </si>
  <si>
    <t>0.0543472105289805141418126390</t>
  </si>
  <si>
    <t>18.762150778229170333571689055</t>
  </si>
  <si>
    <t>0.0540741784001994333649807302</t>
  </si>
  <si>
    <t>19.953480449975446349775179627</t>
  </si>
  <si>
    <t>0.0539401928172049584208134923</t>
  </si>
  <si>
    <t>19.768413015390695203642346807</t>
  </si>
  <si>
    <t>0.0528435738097782075282964495</t>
  </si>
  <si>
    <t>20.466072019763303040625501010</t>
  </si>
  <si>
    <t>0.0523935787632435697745508719</t>
  </si>
  <si>
    <t>20.079445604016315228125621263</t>
  </si>
  <si>
    <t>0.0517958242386864095309109456</t>
  </si>
  <si>
    <t>18.346621111152220775971750202</t>
  </si>
  <si>
    <t>0.0509287651758400964541596028</t>
  </si>
  <si>
    <t>19.681799561854408346689768556</t>
  </si>
  <si>
    <t>0.0502311474124901345753425780</t>
  </si>
  <si>
    <t>19.201814007359854533480868877</t>
  </si>
  <si>
    <t>0.0488170951604656122693142143</t>
  </si>
  <si>
    <t>17.841985649385612020841684019</t>
  </si>
  <si>
    <t>0.0486728106143074010203370291</t>
  </si>
  <si>
    <t>17.814909773921132566729606093</t>
  </si>
  <si>
    <t>0.0482886214298344531526036455</t>
  </si>
  <si>
    <t>18.004505859599068149913110085</t>
  </si>
  <si>
    <t>0.0482362531314190926688131140</t>
  </si>
  <si>
    <t>17.941542501680504584091408827</t>
  </si>
  <si>
    <t>0.0480807355576012913183638826</t>
  </si>
  <si>
    <t>16.959378498365407468590662267</t>
  </si>
  <si>
    <t>0.0478270716243636833618014121</t>
  </si>
  <si>
    <t>16.277938373806711976318342266</t>
  </si>
  <si>
    <t>0.0475755519683635672116630076</t>
  </si>
  <si>
    <t>16.723828271316400700039183696</t>
  </si>
  <si>
    <t>0.0472476834578294950700987964</t>
  </si>
  <si>
    <t>15.730038478804489253792362146</t>
  </si>
  <si>
    <t>0.0467341514936905442206361481</t>
  </si>
  <si>
    <t>17.253149907162893131364929483</t>
  </si>
  <si>
    <t>0.0465465866759579948607580987</t>
  </si>
  <si>
    <t>17.240973788864553493419491554</t>
  </si>
  <si>
    <t>0.0473055193015235038476555440</t>
  </si>
  <si>
    <t>17.053661691841464675826795628</t>
  </si>
  <si>
    <t>0.0469984676734890561229467275</t>
  </si>
  <si>
    <t>15.007745890308241951011584294</t>
  </si>
  <si>
    <t>0.0467200301029792324920606058</t>
  </si>
  <si>
    <t>15.513990657552917449646074780</t>
  </si>
  <si>
    <t>0.0463604608155276504685804291</t>
  </si>
  <si>
    <t>15.105229899016086243562876532</t>
  </si>
  <si>
    <t>0.0456044861965011025635237620</t>
  </si>
  <si>
    <t>15.109462646312400672152807268</t>
  </si>
  <si>
    <t>0.0449558472986522031838831366</t>
  </si>
  <si>
    <t>14.301993918910322851396242989</t>
  </si>
  <si>
    <t>0.0446146752620834090224631030</t>
  </si>
  <si>
    <t>14.371215732380970562551131291</t>
  </si>
  <si>
    <t>0.0445176994134153575103026025</t>
  </si>
  <si>
    <t>13.887571923733062556237741318</t>
  </si>
  <si>
    <t>0.0439134418065745994447587249</t>
  </si>
  <si>
    <t>12.963762843186259712498726428</t>
  </si>
  <si>
    <t>0.0419996463464684341220871050</t>
  </si>
  <si>
    <t>12.533271852541312213711636484</t>
  </si>
  <si>
    <t>0.0390178064580235762576633432</t>
  </si>
  <si>
    <t>12.136097722443896668977428733</t>
  </si>
  <si>
    <t>0.0374824931284125898698719014</t>
  </si>
  <si>
    <t>11.376893152497922418923730848</t>
  </si>
  <si>
    <t>0.0360614417069049074142364429</t>
  </si>
  <si>
    <t>11.312070768837394468079303926</t>
  </si>
  <si>
    <t>0.0354602348895439606500269783</t>
  </si>
  <si>
    <t>11.359732588803352958076662700</t>
  </si>
  <si>
    <t>0.0357112600814275817062080026</t>
  </si>
  <si>
    <t>11.671306730091722483737677732</t>
  </si>
  <si>
    <t>0.0356076477460392200516813103</t>
  </si>
  <si>
    <t>12.056264969667043828472552989</t>
  </si>
  <si>
    <t>0.0351747154750094465260535682</t>
  </si>
  <si>
    <t>11.733199221401863093828721754</t>
  </si>
  <si>
    <t>0.0349632023452151906956018974</t>
  </si>
  <si>
    <t>12.220412234809411794634810528</t>
  </si>
  <si>
    <t>0.0351745346834337908664513840</t>
  </si>
  <si>
    <t>12.570717735211597581008726112</t>
  </si>
  <si>
    <t>0.0351331409543328646953370210</t>
  </si>
  <si>
    <t>13.093017087227752439442781536</t>
  </si>
  <si>
    <t>0.0363248551328840368976491478</t>
  </si>
  <si>
    <t>12.813865610256488173313382295</t>
  </si>
  <si>
    <t>0.0357253489551080063720976361</t>
  </si>
  <si>
    <t>12.221796175779954228873176996</t>
  </si>
  <si>
    <t>0.0348703480848821926992055867</t>
  </si>
  <si>
    <t>12.204835343221299837393908585</t>
  </si>
  <si>
    <t>0.0355813563305469528372192429</t>
  </si>
  <si>
    <t>12.081766556661437344334102075</t>
  </si>
  <si>
    <t>0.0350238596686133631415698905</t>
  </si>
  <si>
    <t>12.611461535383166231171444959</t>
  </si>
  <si>
    <t>0.0351214140796746285077394768</t>
  </si>
  <si>
    <t>12.793846364247758215459379193</t>
  </si>
  <si>
    <t>0.0353182602719892346109840037</t>
  </si>
  <si>
    <t>12.236204782284341688663095852</t>
  </si>
  <si>
    <t>0.0354997592153591318433820661</t>
  </si>
  <si>
    <t>12.320289193470276286300480087</t>
  </si>
  <si>
    <t>0.0356931410311115060590336602</t>
  </si>
  <si>
    <t>11.957048813326428073021331449</t>
  </si>
  <si>
    <t>0.0355540929325512299200212660</t>
  </si>
  <si>
    <t>11.284736568554751318409745481</t>
  </si>
  <si>
    <t>0.0353664486575472318330865311</t>
  </si>
  <si>
    <t>10.918657736708100311687115111</t>
  </si>
  <si>
    <t>0.0352554412444754498112697696</t>
  </si>
  <si>
    <t>10.797679447783370785750635540</t>
  </si>
  <si>
    <t>0.0346851490314575391769449580</t>
  </si>
  <si>
    <t>10.251668487729771747321677073</t>
  </si>
  <si>
    <t>0.0344677494747360435847928023</t>
  </si>
  <si>
    <t>10.351187136380156592553010618</t>
  </si>
  <si>
    <t>0.0344218540240887697872439712</t>
  </si>
  <si>
    <t>10.107786411921494027465232978</t>
  </si>
  <si>
    <t>0.0338213693813694284224691379</t>
  </si>
  <si>
    <t>9.584737666531348070353626102</t>
  </si>
  <si>
    <t>0.0311939799379277420839790282</t>
  </si>
  <si>
    <t>9.645760709272027422613202194</t>
  </si>
  <si>
    <t>0.0310423992524795772796344329</t>
  </si>
  <si>
    <t>9.352672196580832287342513091</t>
  </si>
  <si>
    <t>0.0309302731730923383624099337</t>
  </si>
  <si>
    <t>9.821717761957570944569085256</t>
  </si>
  <si>
    <t>0.0308111327238084554939998731</t>
  </si>
  <si>
    <t>9.933188695863895944759374492</t>
  </si>
  <si>
    <t>0.0305773736312862626277353116</t>
  </si>
  <si>
    <t>9.798672047076737011353536072</t>
  </si>
  <si>
    <t>0.0303905668319701365036048782</t>
  </si>
  <si>
    <t>9.648724399259959405478343820</t>
  </si>
  <si>
    <t>0.0302768134389787125564027857</t>
  </si>
  <si>
    <t>9.538905972506137325123033321</t>
  </si>
  <si>
    <t>0.0301303652396326897149361909</t>
  </si>
  <si>
    <t>10.185099332119121464856199796</t>
  </si>
  <si>
    <t>0.0294301741639934792070369188</t>
  </si>
  <si>
    <t>9.673261475534843937537851528</t>
  </si>
  <si>
    <t>0.0292423319882668378460118218</t>
  </si>
  <si>
    <t>9.827037031323414534805484268</t>
  </si>
  <si>
    <t>0.0291089470083748190688310549</t>
  </si>
  <si>
    <t>9.494870108681883685363673512</t>
  </si>
  <si>
    <t>0.0275285484682902303014460571</t>
  </si>
  <si>
    <t>0.02738525061063825293</t>
  </si>
  <si>
    <t>0.19943743483866430639</t>
  </si>
  <si>
    <t>49.009665295780949454487597497</t>
  </si>
  <si>
    <t>0.19223601673668434032</t>
  </si>
  <si>
    <t>50.534450693883182985015057571</t>
  </si>
  <si>
    <t>0.21228642103023547686</t>
  </si>
  <si>
    <t>48.841951803769538334564668556</t>
  </si>
  <si>
    <t>0.20625295899656026193</t>
  </si>
  <si>
    <t>43.690400432733396270881350693</t>
  </si>
  <si>
    <t>0.18940102568422928836</t>
  </si>
  <si>
    <t>39.627139754961751877145421280</t>
  </si>
  <si>
    <t>0.17230717272658297494</t>
  </si>
  <si>
    <t>42.603372467066936962868357117</t>
  </si>
  <si>
    <t>0.1717527776092951201</t>
  </si>
  <si>
    <t>45.759609452656514090668824398</t>
  </si>
  <si>
    <t>0.16843075834633977067</t>
  </si>
  <si>
    <t>46.260808300658152363563286362</t>
  </si>
  <si>
    <t>0.15902814550916007478</t>
  </si>
  <si>
    <t>52.386143204305144055581115749</t>
  </si>
  <si>
    <t>0.16554497266453506026</t>
  </si>
  <si>
    <t>49.826678283821358466116902637</t>
  </si>
  <si>
    <t>0.15815922716957346292</t>
  </si>
  <si>
    <t>51.249691474479899927279024042</t>
  </si>
  <si>
    <t>0.1522196587095784577</t>
  </si>
  <si>
    <t>51.684195854519432865358949015</t>
  </si>
  <si>
    <t>0.15290523536981689973</t>
  </si>
  <si>
    <t>53.967106908745497046144645283</t>
  </si>
  <si>
    <t>0.15068526284191530051</t>
  </si>
  <si>
    <t>53.161014967995691649979708374</t>
  </si>
  <si>
    <t>0.14983084463660920838</t>
  </si>
  <si>
    <t>51.659703455917407197911937163</t>
  </si>
  <si>
    <t>0.14806451844238203137</t>
  </si>
  <si>
    <t>53.473730130168239571424049517</t>
  </si>
  <si>
    <t>0.14715594573387284904</t>
  </si>
  <si>
    <t>52.892423979356942900976686168</t>
  </si>
  <si>
    <t>0.13938749189126838653</t>
  </si>
  <si>
    <t>48.893342466166402338158185476</t>
  </si>
  <si>
    <t>0.13371644695628154844</t>
  </si>
  <si>
    <t>49.431845919636754020927551606</t>
  </si>
  <si>
    <t>0.13923835178725362525</t>
  </si>
  <si>
    <t>49.401787291013478501061947647</t>
  </si>
  <si>
    <t>0.13863585421407814654</t>
  </si>
  <si>
    <t>54.012995614742051011718087325</t>
  </si>
  <si>
    <t>0.14429878070741134827</t>
  </si>
  <si>
    <t>51.383689351924024404305768571</t>
  </si>
  <si>
    <t>0.1445984474360981509</t>
  </si>
  <si>
    <t>48.938920523995496516646581438</t>
  </si>
  <si>
    <t>0.14293330232965777592</t>
  </si>
  <si>
    <t>54.041518897502542576250305252</t>
  </si>
  <si>
    <t>0.14387142408523955597</t>
  </si>
  <si>
    <t>52.419378652498038004457090624</t>
  </si>
  <si>
    <t>0.14036773591813711153</t>
  </si>
  <si>
    <t>50.515750716065393816508927791</t>
  </si>
  <si>
    <t>0.13736727494193392884</t>
  </si>
  <si>
    <t>54.232278115382054936274278199</t>
  </si>
  <si>
    <t>0.12855712588488144193</t>
  </si>
  <si>
    <t>52.016259816106088481600578381</t>
  </si>
  <si>
    <t>0.12119532931238781982</t>
  </si>
  <si>
    <t>57.024641486751880264933298844</t>
  </si>
  <si>
    <t>0.12277955521772711613</t>
  </si>
  <si>
    <t>55.238518149510140068998820634</t>
  </si>
  <si>
    <t>0.1204233626894923893</t>
  </si>
  <si>
    <t>53.852277289004035890552588280</t>
  </si>
  <si>
    <t>0.11760118776043512959</t>
  </si>
  <si>
    <t>53.791497968481510845706246079</t>
  </si>
  <si>
    <t>0.11605567035532582512</t>
  </si>
  <si>
    <t>52.105003682366581801503346264</t>
  </si>
  <si>
    <t>0.11404782076813454003</t>
  </si>
  <si>
    <t>48.366350203898344868656204913</t>
  </si>
  <si>
    <t>0.11119406749403923569</t>
  </si>
  <si>
    <t>47.030231830683176869240439893</t>
  </si>
  <si>
    <t>0.1093878514916709702</t>
  </si>
  <si>
    <t>46.032120829906727134009310127</t>
  </si>
  <si>
    <t>0.10869954540036106465</t>
  </si>
  <si>
    <t>45.257290842611959437982974728</t>
  </si>
  <si>
    <t>0.10803621395333712986</t>
  </si>
  <si>
    <t>43.706113043044003291538689123</t>
  </si>
  <si>
    <t>0.10649736672642068226</t>
  </si>
  <si>
    <t>43.883217702783274835867334707</t>
  </si>
  <si>
    <t>0.10565949655405600341</t>
  </si>
  <si>
    <t>47.604488758102660050730801963</t>
  </si>
  <si>
    <t>0.10549237703394525179</t>
  </si>
  <si>
    <t>48.733270320703822253907926633</t>
  </si>
  <si>
    <t>0.1044749522644463435</t>
  </si>
  <si>
    <t>43.025047270217558370847482820</t>
  </si>
  <si>
    <t>0.10344060523712930514</t>
  </si>
  <si>
    <t>44.834583174784643115883384008</t>
  </si>
  <si>
    <t>0.10362159971870206003</t>
  </si>
  <si>
    <t>44.605509604999314210187385738</t>
  </si>
  <si>
    <t>0.10342520037244391156</t>
  </si>
  <si>
    <t>44.519176812386633290936853791</t>
  </si>
  <si>
    <t>0.10235896354081923488</t>
  </si>
  <si>
    <t>45.618238898696512022173480308</t>
  </si>
  <si>
    <t>0.10159905340963693384</t>
  </si>
  <si>
    <t>43.490343637729494393560422224</t>
  </si>
  <si>
    <t>0.1000590593686277444</t>
  </si>
  <si>
    <t>40.926765574812815671779059335</t>
  </si>
  <si>
    <t>0.09787359829057687342</t>
  </si>
  <si>
    <t>37.039783507532762568225010222</t>
  </si>
  <si>
    <t>0.09731499932467758301</t>
  </si>
  <si>
    <t>41.532527024883065414065762046</t>
  </si>
  <si>
    <t>0.09663981729497234608</t>
  </si>
  <si>
    <t>39.763977556798113412447232764</t>
  </si>
  <si>
    <t>0.09583455334005123688</t>
  </si>
  <si>
    <t>38.244809288678817922144555851</t>
  </si>
  <si>
    <t>0.09483843458976148652</t>
  </si>
  <si>
    <t>36.129001426679722390176615488</t>
  </si>
  <si>
    <t>0.09315823854581290613</t>
  </si>
  <si>
    <t>37.172295311131270470055883600</t>
  </si>
  <si>
    <t>0.09729056901596581155</t>
  </si>
  <si>
    <t>33.242368214036747642427492465</t>
  </si>
  <si>
    <t>0.09386448862766892943</t>
  </si>
  <si>
    <t>34.303831459064089214296621302</t>
  </si>
  <si>
    <t>0.09330967042823790593</t>
  </si>
  <si>
    <t>35.849362519927977891992857479</t>
  </si>
  <si>
    <t>0.09339663901644466112</t>
  </si>
  <si>
    <t>34.508995969289239294644183487</t>
  </si>
  <si>
    <t>0.09033416997771184899</t>
  </si>
  <si>
    <t>37.554392970976604257790006826</t>
  </si>
  <si>
    <t>0.08951769526159549975</t>
  </si>
  <si>
    <t>37.537552304436828121769924214</t>
  </si>
  <si>
    <t>0.08796375476280101447</t>
  </si>
  <si>
    <t>35.853765411573949438583192017</t>
  </si>
  <si>
    <t>0.08792568990187188116</t>
  </si>
  <si>
    <t>33.259516541979111730737664174</t>
  </si>
  <si>
    <t>0.08573719478761870677</t>
  </si>
  <si>
    <t>31.134712080999735654637127362</t>
  </si>
  <si>
    <t>0.08369177177666630563</t>
  </si>
  <si>
    <t>30.075219665226679520835719039</t>
  </si>
  <si>
    <t>0.08261035201841790179</t>
  </si>
  <si>
    <t>29.943901017704960596078803249</t>
  </si>
  <si>
    <t>0.08139665186231306159</t>
  </si>
  <si>
    <t>30.122771217228568255477125121</t>
  </si>
  <si>
    <t>0.08048385888864150275</t>
  </si>
  <si>
    <t>28.405469714310243723210763068</t>
  </si>
  <si>
    <t>0.08067915607754171712</t>
  </si>
  <si>
    <t>28.924040797512574793992933696</t>
  </si>
  <si>
    <t>0.07986021265454306792</t>
  </si>
  <si>
    <t>27.792867214677632114077912617</t>
  </si>
  <si>
    <t>0.0790256418485172148</t>
  </si>
  <si>
    <t>26.690901804712428997102036814</t>
  </si>
  <si>
    <t>0.07813305461863325889</t>
  </si>
  <si>
    <t>23.842422213966271214448884022</t>
  </si>
  <si>
    <t>0.07731534296678034369</t>
  </si>
  <si>
    <t>23.257307750736487570485824432</t>
  </si>
  <si>
    <t>0.07644721515264378307</t>
  </si>
  <si>
    <t>26.326594138101236229718809917</t>
  </si>
  <si>
    <t>0.075565149806444169</t>
  </si>
  <si>
    <t>25.644337470813931130795609938</t>
  </si>
  <si>
    <t>0.07461661048689502545</t>
  </si>
  <si>
    <t>23.789960712082660532303661591</t>
  </si>
  <si>
    <t>0.07338799526506475698</t>
  </si>
  <si>
    <t>23.149086111253474864575799203</t>
  </si>
  <si>
    <t>0.07268411363391987601</t>
  </si>
  <si>
    <t>23.326249489038163482660282530</t>
  </si>
  <si>
    <t>0.07153135434127581881</t>
  </si>
  <si>
    <t>23.293472243285116441302387284</t>
  </si>
  <si>
    <t>0.07049993177984498924</t>
  </si>
  <si>
    <t>24.010293034038752672175083597</t>
  </si>
  <si>
    <t>0.06936409450290537359</t>
  </si>
  <si>
    <t>22.865578919652229620532740353</t>
  </si>
  <si>
    <t>0.06824735705979220366</t>
  </si>
  <si>
    <t>21.373638691370492500626785466</t>
  </si>
  <si>
    <t>0.06734458292575115745</t>
  </si>
  <si>
    <t>22.328373426805381703582012432</t>
  </si>
  <si>
    <t>0.06668041022638888083</t>
  </si>
  <si>
    <t>22.309990727142810722324399778</t>
  </si>
  <si>
    <t>0.06604585466877735608</t>
  </si>
  <si>
    <t>20.755686425693527732295859784</t>
  </si>
  <si>
    <t>0.06375065692049588836</t>
  </si>
  <si>
    <t>19.482778731903982880661761224</t>
  </si>
  <si>
    <t>0.06050369465492894182</t>
  </si>
  <si>
    <t>19.691210840335859177628434710</t>
  </si>
  <si>
    <t>0.06037544843140007978</t>
  </si>
  <si>
    <t>20.816502680851827611839112921</t>
  </si>
  <si>
    <t>0.0649059651021628691413910294</t>
  </si>
  <si>
    <t>20.605159683033475442402579527</t>
  </si>
  <si>
    <t>0.0642899085860354821182814284</t>
  </si>
  <si>
    <t>22.279515153645774455175215866</t>
  </si>
  <si>
    <t>0.0637414148812259189454161241</t>
  </si>
  <si>
    <t>23.508819311490017285759747879</t>
  </si>
  <si>
    <t>0.0628307186256607065162403601</t>
  </si>
  <si>
    <t>24.548827880571155819136123630</t>
  </si>
  <si>
    <t>0.0624555742129082526299940262</t>
  </si>
  <si>
    <t>23.838999339742488250833009085</t>
  </si>
  <si>
    <t>0.0622509596082850056053112857</t>
  </si>
  <si>
    <t>24.170608842729260319731976325</t>
  </si>
  <si>
    <t>0.0619161834472077793260022999</t>
  </si>
  <si>
    <t>25.109108247257729285967225180</t>
  </si>
  <si>
    <t>0.0616739578407087128071404449</t>
  </si>
  <si>
    <t>27.800856721049858924813495807</t>
  </si>
  <si>
    <t>0.0640391808531685844007793246</t>
  </si>
  <si>
    <t>27.794990058992154998815482473</t>
  </si>
  <si>
    <t>0.0643298576636556359129175838</t>
  </si>
  <si>
    <t>28.072916361980936095427622168</t>
  </si>
  <si>
    <t>0.0658830306383367424580109569</t>
  </si>
  <si>
    <t>26.980372715024726993622016016</t>
  </si>
  <si>
    <t>0.0654147714745529156629088994</t>
  </si>
  <si>
    <t>26.817900878448146576078557140</t>
  </si>
  <si>
    <t>0.0646609680881125592645368970</t>
  </si>
  <si>
    <t>26.579001449879349948244303761</t>
  </si>
  <si>
    <t>0.0644023261933611701645991450</t>
  </si>
  <si>
    <t>29.112640305057091029837498776</t>
  </si>
  <si>
    <t>0.0650578400437150413877236513</t>
  </si>
  <si>
    <t>29.125948877691946739057172386</t>
  </si>
  <si>
    <t>0.0645931542909276601237766984</t>
  </si>
  <si>
    <t>27.517093815037141658121831737</t>
  </si>
  <si>
    <t>0.0644951704840259853228084831</t>
  </si>
  <si>
    <t>26.814730462222104607179881477</t>
  </si>
  <si>
    <t>0.0643123287174620776174990446</t>
  </si>
  <si>
    <t>27.108795344163309293890394998</t>
  </si>
  <si>
    <t>0.0636353982900488062064371718</t>
  </si>
  <si>
    <t>27.000026464559034427230330840</t>
  </si>
  <si>
    <t>0.0631654080493912984437532468</t>
  </si>
  <si>
    <t>26.868028992091505973966478757</t>
  </si>
  <si>
    <t>0.0626367735326092254594480101</t>
  </si>
  <si>
    <t>27.149760078368406895778799424</t>
  </si>
  <si>
    <t>0.0673305095513598745027269647</t>
  </si>
  <si>
    <t>24.267590207773470290731715950</t>
  </si>
  <si>
    <t>0.0633307157659187209649709592</t>
  </si>
  <si>
    <t>22.938350748569926479620376448</t>
  </si>
  <si>
    <t>0.0614880389061790675689684511</t>
  </si>
  <si>
    <t>21.208199897296981025839186836</t>
  </si>
  <si>
    <t>0.0601502094242003782027640255</t>
  </si>
  <si>
    <t>20.506643633485774077086973510</t>
  </si>
  <si>
    <t>0.0596196081139771558670601179</t>
  </si>
  <si>
    <t>19.816169998119606572984001366</t>
  </si>
  <si>
    <t>0.0594004081364695130593309253</t>
  </si>
  <si>
    <t>20.629744455351767447997068234</t>
  </si>
  <si>
    <t>0.0589172498325038466198689494</t>
  </si>
  <si>
    <t>20.826809943379127276432828829</t>
  </si>
  <si>
    <t>0.0581620862633905874182671847</t>
  </si>
  <si>
    <t>19.744075501679430814855048204</t>
  </si>
  <si>
    <t>0.0576693813819066372665715871</t>
  </si>
  <si>
    <t>19.821846312785916994401879836</t>
  </si>
  <si>
    <t>0.0571283146803538015539917396</t>
  </si>
  <si>
    <t>21.331952421143306920496184636</t>
  </si>
  <si>
    <t>0.0576666125816324967004270378</t>
  </si>
  <si>
    <t>21.141169476210971003085083618</t>
  </si>
  <si>
    <t>0.0565131327826572690200077044</t>
  </si>
  <si>
    <t>22.067243128617510688088436414</t>
  </si>
  <si>
    <t>0.0564926107867883203203695304</t>
  </si>
  <si>
    <t>21.751336288604778205223195175</t>
  </si>
  <si>
    <t>0.0561085407226474954154603482</t>
  </si>
  <si>
    <t>19.952190979111194618389302051</t>
  </si>
  <si>
    <t>0.0553856997952061905219215674</t>
  </si>
  <si>
    <t>21.808112466407267194105221230</t>
  </si>
  <si>
    <t>0.0556578431075666780939667002</t>
  </si>
  <si>
    <t>21.182835872719795366616502773</t>
  </si>
  <si>
    <t>0.0538534804144406931937320086</t>
  </si>
  <si>
    <t>19.708957496504332035012445927</t>
  </si>
  <si>
    <t>0.0537658966038806669692076440</t>
  </si>
  <si>
    <t>19.618850801203699550082285987</t>
  </si>
  <si>
    <t>0.0531783360819800824359809223</t>
  </si>
  <si>
    <t>19.727121374308397685946696499</t>
  </si>
  <si>
    <t>0.0528513488559889725215439995</t>
  </si>
  <si>
    <t>19.626458442051906579742517804</t>
  </si>
  <si>
    <t>0.0525960662633194006222720219</t>
  </si>
  <si>
    <t>18.498123838135292148747500264</t>
  </si>
  <si>
    <t>0.0521664808535358061651776499</t>
  </si>
  <si>
    <t>17.473719076331587176123152228</t>
  </si>
  <si>
    <t>0.0510704618057961548374692170</t>
  </si>
  <si>
    <t>17.703680255908387558799742513</t>
  </si>
  <si>
    <t>0.0500159333855647367959045669</t>
  </si>
  <si>
    <t>16.631904375200056901855432906</t>
  </si>
  <si>
    <t>0.0494136069499461602712837454</t>
  </si>
  <si>
    <t>18.108039678390878725310447328</t>
  </si>
  <si>
    <t>0.0488529597758829557286730141</t>
  </si>
  <si>
    <t>17.693214872701656827522804178</t>
  </si>
  <si>
    <t>0.0485463714472541262995133000</t>
  </si>
  <si>
    <t>17.498328976367994080205826979</t>
  </si>
  <si>
    <t>0.0482239335807479212072532291</t>
  </si>
  <si>
    <t>15.425002051374002341566050734</t>
  </si>
  <si>
    <t>0.0480189740315431434064568798</t>
  </si>
  <si>
    <t>15.911108380745295499574047516</t>
  </si>
  <si>
    <t>0.0475471677725960240375317440</t>
  </si>
  <si>
    <t>15.644935639216507578424419575</t>
  </si>
  <si>
    <t>0.0472339220371794195024744985</t>
  </si>
  <si>
    <t>15.742789089616047509622616536</t>
  </si>
  <si>
    <t>0.0468402112592928576461549198</t>
  </si>
  <si>
    <t>14.966699399186867873022003293</t>
  </si>
  <si>
    <t>0.0466882056604045910259775916</t>
  </si>
  <si>
    <t>15.022222626847264324928904653</t>
  </si>
  <si>
    <t>0.0465343227655101463997791808</t>
  </si>
  <si>
    <t>14.615064367206760145580879341</t>
  </si>
  <si>
    <t>0.0462138221219132304122267603</t>
  </si>
  <si>
    <t>14.237205158062841666667064178</t>
  </si>
  <si>
    <t>0.0461253101305414158399975479</t>
  </si>
  <si>
    <t>14.770843935093666311917734109</t>
  </si>
  <si>
    <t>0.0459836774197391359084260628</t>
  </si>
  <si>
    <t>14.817196966817993908089544790</t>
  </si>
  <si>
    <t>0.0457631024562359104340048331</t>
  </si>
  <si>
    <t>14.444972288165654410709401756</t>
  </si>
  <si>
    <t>0.0457863600497269122612805068</t>
  </si>
  <si>
    <t>14.754485497980079759252409133</t>
  </si>
  <si>
    <t>0.0462512595725668000807341200</t>
  </si>
  <si>
    <t>14.726391135752420006318459933</t>
  </si>
  <si>
    <t>0.0462949263812805183849064191</t>
  </si>
  <si>
    <t>15.097887025284542642871662483</t>
  </si>
  <si>
    <t>0.0460617011735071618770388959</t>
  </si>
  <si>
    <t>15.721451162609997862582595091</t>
  </si>
  <si>
    <t>0.0458680671742349075417181584</t>
  </si>
  <si>
    <t>15.489615499808068740587362048</t>
  </si>
  <si>
    <t>0.0461567685633028539675257350</t>
  </si>
  <si>
    <t>16.115991459758805369764497743</t>
  </si>
  <si>
    <t>0.0463873468150683665847395500</t>
  </si>
  <si>
    <t>16.513851520792415526086261756</t>
  </si>
  <si>
    <t>0.0461535677914223798541005771</t>
  </si>
  <si>
    <t>16.833145639116650954724614478</t>
  </si>
  <si>
    <t>0.0467013502463181100547196881</t>
  </si>
  <si>
    <t>16.952661224025876317345265775</t>
  </si>
  <si>
    <t>0.0472644053220978096272721151</t>
  </si>
  <si>
    <t>16.512899892617094422403658928</t>
  </si>
  <si>
    <t>0.0471134159713333262115531498</t>
  </si>
  <si>
    <t>16.236909894736498132414057815</t>
  </si>
  <si>
    <t>0.0473362614426815088971333841</t>
  </si>
  <si>
    <t>16.350586158426809472833271758</t>
  </si>
  <si>
    <t>0.0473987502098001415857353149</t>
  </si>
  <si>
    <t>17.105210453059033699909416422</t>
  </si>
  <si>
    <t>0.0476359680879455406472989443</t>
  </si>
  <si>
    <t>17.342535861453512723533535985</t>
  </si>
  <si>
    <t>0.0478752189054550941966123099</t>
  </si>
  <si>
    <t>16.617538279060315707135832087</t>
  </si>
  <si>
    <t>0.0482109132819305735876545302</t>
  </si>
  <si>
    <t>16.577544806057187212040544392</t>
  </si>
  <si>
    <t>0.0480268470504548923234598556</t>
  </si>
  <si>
    <t>16.112019761747630674353303143</t>
  </si>
  <si>
    <t>0.0479088324287698464245614816</t>
  </si>
  <si>
    <t>15.192523642561370805985686476</t>
  </si>
  <si>
    <t>0.0476134825229715128375217371</t>
  </si>
  <si>
    <t>14.740744249924292323288228718</t>
  </si>
  <si>
    <t>0.0475966419439875761050939885</t>
  </si>
  <si>
    <t>14.708429570190347537909267461</t>
  </si>
  <si>
    <t>0.0472475659356121649920637040</t>
  </si>
  <si>
    <t>14.013219587143871688629266404</t>
  </si>
  <si>
    <t>0.0471146860281569748920622365</t>
  </si>
  <si>
    <t>14.146694014831740193907646974</t>
  </si>
  <si>
    <t>0.0470434385820869558648023308</t>
  </si>
  <si>
    <t>14.372201452432653680455368263</t>
  </si>
  <si>
    <t>0.0480904042029290918117445470</t>
  </si>
  <si>
    <t>14.649566425832645847375314308</t>
  </si>
  <si>
    <t>0.0476777035622447798125528929</t>
  </si>
  <si>
    <t>14.801182186549827352686060417</t>
  </si>
  <si>
    <t>0.0476337969282097703709983796</t>
  </si>
  <si>
    <t>14.342292052036138500666407144</t>
  </si>
  <si>
    <t>0.0474314721796755580395005336</t>
  </si>
  <si>
    <t>15.156746030622679406052827453</t>
  </si>
  <si>
    <t>0.0475473359069009807150449428</t>
  </si>
  <si>
    <t>15.425749855295318459509215562</t>
  </si>
  <si>
    <t>0.0474851461408891243138202252</t>
  </si>
  <si>
    <t>15.350749810292984344119939015</t>
  </si>
  <si>
    <t>0.0476103277861758159610759390</t>
  </si>
  <si>
    <t>14.805657371026532688777672728</t>
  </si>
  <si>
    <t>0.0464587967813021745270024405</t>
  </si>
  <si>
    <t>14.652571621478716903794666560</t>
  </si>
  <si>
    <t>0.0462828060081023800353446680</t>
  </si>
  <si>
    <t>15.599565907737558511213417035</t>
  </si>
  <si>
    <t>0.0450754505750992048300225711</t>
  </si>
  <si>
    <t>14.962567897252599402323558511</t>
  </si>
  <si>
    <t>0.0452319395020025689506650551</t>
  </si>
  <si>
    <t>15.269439051634394244003000325</t>
  </si>
  <si>
    <t>0.0452300414443209379570742230</t>
  </si>
  <si>
    <t>15.588789751073863854092141686</t>
  </si>
  <si>
    <t>0.0451966956169342854932825834</t>
  </si>
  <si>
    <t>0.04508593341858509555</t>
  </si>
  <si>
    <t>0.19852063101078561893</t>
  </si>
  <si>
    <t>0.19869385344726015397</t>
  </si>
  <si>
    <t>0.19860777650508394387</t>
  </si>
  <si>
    <t>0.19962939176148263564</t>
  </si>
  <si>
    <t>43.802390947758510545718223856</t>
  </si>
  <si>
    <t>0.17181095011609831908</t>
  </si>
  <si>
    <t>52.669054494978550446391928248</t>
  </si>
  <si>
    <t>0.22125351961407191506</t>
  </si>
  <si>
    <t>50.071437572263016680217535318</t>
  </si>
  <si>
    <t>0.21144491116945373973</t>
  </si>
  <si>
    <t>51.560543277464640835473918825</t>
  </si>
  <si>
    <t>0.22351866050354098658</t>
  </si>
  <si>
    <t>42.191815476928805918531781085</t>
  </si>
  <si>
    <t>0.18345892441356459339</t>
  </si>
  <si>
    <t>47.216360429451780706345819677</t>
  </si>
  <si>
    <t>0.19034974422808321215</t>
  </si>
  <si>
    <t>47.257918214375194163097219030</t>
  </si>
  <si>
    <t>0.17394569354775006324</t>
  </si>
  <si>
    <t>51.008313904352267682012286251</t>
  </si>
  <si>
    <t>0.17534837508757579427</t>
  </si>
  <si>
    <t>56.405152584151270391130406369</t>
  </si>
  <si>
    <t>0.17824540749766207289</t>
  </si>
  <si>
    <t>50.910985070005232498445976936</t>
  </si>
  <si>
    <t>0.16160102038606505859</t>
  </si>
  <si>
    <t>46.130408366477554038128614703</t>
  </si>
  <si>
    <t>0.13701458127168086051</t>
  </si>
  <si>
    <t>53.448663637534992646740801070</t>
  </si>
  <si>
    <t>0.1581253293889610772</t>
  </si>
  <si>
    <t>55.202602748484316824348681194</t>
  </si>
  <si>
    <t>0.15413497556536995486</t>
  </si>
  <si>
    <t>57.762121441936416558399395710</t>
  </si>
  <si>
    <t>0.16279876237987537452</t>
  </si>
  <si>
    <t>53.118473122364992201758825175</t>
  </si>
  <si>
    <t>0.15224557279870886648</t>
  </si>
  <si>
    <t>50.396474759047108596193347760</t>
  </si>
  <si>
    <t>0.13868755530553253258</t>
  </si>
  <si>
    <t>48.006980202336887471570337883</t>
  </si>
  <si>
    <t>0.12651287387186352714</t>
  </si>
  <si>
    <t>48.437298484021263442214276143</t>
  </si>
  <si>
    <t>0.13246923050773459761</t>
  </si>
  <si>
    <t>46.792878531443887109105406603</t>
  </si>
  <si>
    <t>0.1318049763444336569</t>
  </si>
  <si>
    <t>42.440029827254589328133617526</t>
  </si>
  <si>
    <t>0.11909912799941718436</t>
  </si>
  <si>
    <t>51.349281447934643991170568886</t>
  </si>
  <si>
    <t>0.13718251725916707723</t>
  </si>
  <si>
    <t>47.346743522299159899545186479</t>
  </si>
  <si>
    <t>0.13323810903475428081</t>
  </si>
  <si>
    <t>41.646212146838282218821712291</t>
  </si>
  <si>
    <t>0.12163387683940508948</t>
  </si>
  <si>
    <t>46.804305007146938515212130761</t>
  </si>
  <si>
    <t>0.12460423304292678133</t>
  </si>
  <si>
    <t>42.085898113533516938939399267</t>
  </si>
  <si>
    <t>0.11269691446441012658</t>
  </si>
  <si>
    <t>37.706678011983256260992436808</t>
  </si>
  <si>
    <t>0.10253561576729777396</t>
  </si>
  <si>
    <t>40.977800359806458944842882203</t>
  </si>
  <si>
    <t>0.0971375059726101481</t>
  </si>
  <si>
    <t>44.583171355307903571854549913</t>
  </si>
  <si>
    <t>0.10387659845785588921</t>
  </si>
  <si>
    <t>55.498284944530689325931318447</t>
  </si>
  <si>
    <t>0.11949316230982739229</t>
  </si>
  <si>
    <t>50.435727179695722019808365720</t>
  </si>
  <si>
    <t>0.10995298335537714968</t>
  </si>
  <si>
    <t>44.775158576268261344434680606</t>
  </si>
  <si>
    <t>0.09777881448675808207</t>
  </si>
  <si>
    <t>48.955631155578415386828458615</t>
  </si>
  <si>
    <t>0.10562224154378040828</t>
  </si>
  <si>
    <t>45.642981117550139790384140178</t>
  </si>
  <si>
    <t>0.09990369757097534126</t>
  </si>
  <si>
    <t>50.151200254084096118617626342</t>
  </si>
  <si>
    <t>0.11529743142599657023</t>
  </si>
  <si>
    <t>46.727060006081574228910625138</t>
  </si>
  <si>
    <t>0.1086827026281618003</t>
  </si>
  <si>
    <t>43.108269806505203170631376161</t>
  </si>
  <si>
    <t>0.10179520835631072857</t>
  </si>
  <si>
    <t>40.066241912516226229448935202</t>
  </si>
  <si>
    <t>0.09564437028765257917</t>
  </si>
  <si>
    <t>42.603278388303440508405180922</t>
  </si>
  <si>
    <t>0.10381012280361195489</t>
  </si>
  <si>
    <t>41.840989170405901819210826583</t>
  </si>
  <si>
    <t>0.1007423357378008161</t>
  </si>
  <si>
    <t>45.345675763213032399534394503</t>
  </si>
  <si>
    <t>0.10048680805668124902</t>
  </si>
  <si>
    <t>44.492734631142474580979266363</t>
  </si>
  <si>
    <t>0.09538404248500586387</t>
  </si>
  <si>
    <t>41.249941974949746784135697797</t>
  </si>
  <si>
    <t>0.09917290589100358782</t>
  </si>
  <si>
    <t>48.924689241986618881770090697</t>
  </si>
  <si>
    <t>0.11307464474981990803</t>
  </si>
  <si>
    <t>48.203427903332170983825833046</t>
  </si>
  <si>
    <t>0.11176756489700596345</t>
  </si>
  <si>
    <t>55.036229455920332816058781404</t>
  </si>
  <si>
    <t>0.12653988253294269945</t>
  </si>
  <si>
    <t>51.464895788298571810500356957</t>
  </si>
  <si>
    <t>0.1146204856248002137</t>
  </si>
  <si>
    <t>48.215873386772544180070314847</t>
  </si>
  <si>
    <t>0.11093117538698717728</t>
  </si>
  <si>
    <t>44.383652417116576407613409247</t>
  </si>
  <si>
    <t>0.10614050991644547784</t>
  </si>
  <si>
    <t>39.166831059970902696475088147</t>
  </si>
  <si>
    <t>0.10290341295800723029</t>
  </si>
  <si>
    <t>44.125095766906553787299120786</t>
  </si>
  <si>
    <t>0.10267232693262812557</t>
  </si>
  <si>
    <t>41.089452352468719523033033939</t>
  </si>
  <si>
    <t>0.09902905984597475202</t>
  </si>
  <si>
    <t>38.268519958617434350879697590</t>
  </si>
  <si>
    <t>0.09489723166214533419</t>
  </si>
  <si>
    <t>38.043618967979251281283072570</t>
  </si>
  <si>
    <t>0.09809505912189077978</t>
  </si>
  <si>
    <t>34.691940241753086253074351214</t>
  </si>
  <si>
    <t>0.09079876768807802562</t>
  </si>
  <si>
    <t>30.474216638598737191181702128</t>
  </si>
  <si>
    <t>0.0860482244433786527</t>
  </si>
  <si>
    <t>31.228597517018867319064052370</t>
  </si>
  <si>
    <t>0.08494474285551482826</t>
  </si>
  <si>
    <t>36.178790798203995775268333488</t>
  </si>
  <si>
    <t>0.09425488284074840033</t>
  </si>
  <si>
    <t>34.547614275446473367791086586</t>
  </si>
  <si>
    <t>0.0904352610855424994</t>
  </si>
  <si>
    <t>37.966689997560618205153632656</t>
  </si>
  <si>
    <t>0.09050047987514346592</t>
  </si>
  <si>
    <t>35.696859769240189632176379346</t>
  </si>
  <si>
    <t>0.08365036145876776779</t>
  </si>
  <si>
    <t>35.027213413726535406090774180</t>
  </si>
  <si>
    <t>0.08589870183475399503</t>
  </si>
  <si>
    <t>33.772229827737828038242944796</t>
  </si>
  <si>
    <t>0.0870588796291831329</t>
  </si>
  <si>
    <t>32.483293486486409434979734844</t>
  </si>
  <si>
    <t>0.08731683074353960658</t>
  </si>
  <si>
    <t>29.548741724983437107942233399</t>
  </si>
  <si>
    <t>0.0811642269873275251</t>
  </si>
  <si>
    <t>29.015405269937566068749436001</t>
  </si>
  <si>
    <t>0.07887271735251173372</t>
  </si>
  <si>
    <t>27.651732676204967468205012929</t>
  </si>
  <si>
    <t>0.07388158727790768103</t>
  </si>
  <si>
    <t>29.894060652669399184464087108</t>
  </si>
  <si>
    <t>0.08490715377866717703</t>
  </si>
  <si>
    <t>30.482638281200671259319070110</t>
  </si>
  <si>
    <t>0.08416355074487211129</t>
  </si>
  <si>
    <t>27.729133486082809006419151310</t>
  </si>
  <si>
    <t>0.07884442273317005034</t>
  </si>
  <si>
    <t>27.211678280085019106036494852</t>
  </si>
  <si>
    <t>0.07965753877027784206</t>
  </si>
  <si>
    <t>23.225230242453180805773850755</t>
  </si>
  <si>
    <t>0.0753139352018458856</t>
  </si>
  <si>
    <t>22.573843381292149929120430010</t>
  </si>
  <si>
    <t>0.07420065470549044765</t>
  </si>
  <si>
    <t>25.738993042971892781584766579</t>
  </si>
  <si>
    <t>0.07387856002020143079</t>
  </si>
  <si>
    <t>25.304981069539667658685990604</t>
  </si>
  <si>
    <t>0.07362919467087189948</t>
  </si>
  <si>
    <t>22.427689820645563685914787733</t>
  </si>
  <si>
    <t>0.06918562053479690321</t>
  </si>
  <si>
    <t>21.361232272903439168972435282</t>
  </si>
  <si>
    <t>0.06707056280418315226</t>
  </si>
  <si>
    <t>20.285357558572070113581138818</t>
  </si>
  <si>
    <t>0.06220627538703088611</t>
  </si>
  <si>
    <t>19.794285252514904102558105542</t>
  </si>
  <si>
    <t>0.05990930615058373276</t>
  </si>
  <si>
    <t>20.447293847109448810095738350</t>
  </si>
  <si>
    <t>0.05907083352664117402</t>
  </si>
  <si>
    <t>19.445307332991183722196783271</t>
  </si>
  <si>
    <t>0.05803880310029907374</t>
  </si>
  <si>
    <t>17.917158591139726879853324108</t>
  </si>
  <si>
    <t>0.05645382098753324514</t>
  </si>
  <si>
    <t>18.581674306318486894135320516</t>
  </si>
  <si>
    <t>0.05549144318551200111</t>
  </si>
  <si>
    <t>18.545233516634464855043175988</t>
  </si>
  <si>
    <t>0.05490077573846847511</t>
  </si>
  <si>
    <t>17.551298611646080942228088358</t>
  </si>
  <si>
    <t>0.05390844674330437638</t>
  </si>
  <si>
    <t>16.518410947923184816273323615</t>
  </si>
  <si>
    <t>0.05129786186716649435</t>
  </si>
  <si>
    <t>16.446244529245425436467386380</t>
  </si>
  <si>
    <t>0.05042601983782917146</t>
  </si>
  <si>
    <t>15.208207295216004079308905484</t>
  </si>
  <si>
    <t>0.0474192705231768392337300874</t>
  </si>
  <si>
    <t>17.128023367000890905748956460</t>
  </si>
  <si>
    <t>0.0534409377778651202131366364</t>
  </si>
  <si>
    <t>17.368772843335019985195495949</t>
  </si>
  <si>
    <t>0.0496918424009609656941163234</t>
  </si>
  <si>
    <t>21.507464236854306244042824063</t>
  </si>
  <si>
    <t>0.0574818078233638227420873142</t>
  </si>
  <si>
    <t>20.467572322634869202205842302</t>
  </si>
  <si>
    <t>0.0520723021226644246957721620</t>
  </si>
  <si>
    <t>21.706796538155484778904185452</t>
  </si>
  <si>
    <t>0.0566831222764140754595782039</t>
  </si>
  <si>
    <t>21.640964616372227369020427478</t>
  </si>
  <si>
    <t>0.0554361681114581150349582435</t>
  </si>
  <si>
    <t>24.723471027185630401864673621</t>
  </si>
  <si>
    <t>0.0607267408619801966418629002</t>
  </si>
  <si>
    <t>29.732805447441870517067356709</t>
  </si>
  <si>
    <t>0.0684894183091528048553527234</t>
  </si>
  <si>
    <t>29.317557844186201734258402205</t>
  </si>
  <si>
    <t>0.0678537505917307457666574422</t>
  </si>
  <si>
    <t>32.324174240003104315496456350</t>
  </si>
  <si>
    <t>0.0758601113740070921472223555</t>
  </si>
  <si>
    <t>31.427833731558745745339026551</t>
  </si>
  <si>
    <t>0.0761977821138590158348209661</t>
  </si>
  <si>
    <t>33.846726255764866550608728602</t>
  </si>
  <si>
    <t>0.0816082547336843454767643082</t>
  </si>
  <si>
    <t>33.508808089780415257830121276</t>
  </si>
  <si>
    <t>0.0811936141776527849455323560</t>
  </si>
  <si>
    <t>34.802671071883646292298358316</t>
  </si>
  <si>
    <t>0.0777733171558241737649003547</t>
  </si>
  <si>
    <t>32.815742827964845787231549046</t>
  </si>
  <si>
    <t>0.0727760784226888724734463016</t>
  </si>
  <si>
    <t>31.330753752144664661925431836</t>
  </si>
  <si>
    <t>0.0734337106316573975738024347</t>
  </si>
  <si>
    <t>30.086967397540794665886040689</t>
  </si>
  <si>
    <t>0.0721604470389242934184368753</t>
  </si>
  <si>
    <t>27.662065545581225776202940814</t>
  </si>
  <si>
    <t>0.0649341490896421583999760658</t>
  </si>
  <si>
    <t>27.403676854106929673932447138</t>
  </si>
  <si>
    <t>0.0641097308854654137332023189</t>
  </si>
  <si>
    <t>27.123474093233068082538944272</t>
  </si>
  <si>
    <t>0.0632322863986601030310801568</t>
  </si>
  <si>
    <t>24.926544359629534037578205281</t>
  </si>
  <si>
    <t>0.0618170078941372417423816915</t>
  </si>
  <si>
    <t>22.176367468587057378590207057</t>
  </si>
  <si>
    <t>0.0578732874936950727708563033</t>
  </si>
  <si>
    <t>19.364803321271647800737008386</t>
  </si>
  <si>
    <t>0.0519088662075275922205110004</t>
  </si>
  <si>
    <t>17.770460049601156329379423768</t>
  </si>
  <si>
    <t>0.0504001706285373333944123843</t>
  </si>
  <si>
    <t>16.765894287112932443620713473</t>
  </si>
  <si>
    <t>0.0487440102311921252788124253</t>
  </si>
  <si>
    <t>16.513391966428774578355738709</t>
  </si>
  <si>
    <t>0.0495000912192641524409690446</t>
  </si>
  <si>
    <t>17.334768145216820420421754171</t>
  </si>
  <si>
    <t>0.0495070051793743257002899725</t>
  </si>
  <si>
    <t>18.275176838682304759513357453</t>
  </si>
  <si>
    <t>0.0510362563762705510533023012</t>
  </si>
  <si>
    <t>17.763574220596771434360935118</t>
  </si>
  <si>
    <t>0.0518846444011148298646002367</t>
  </si>
  <si>
    <t>19.221627651804084700217013089</t>
  </si>
  <si>
    <t>0.0553984313990233148316184329</t>
  </si>
  <si>
    <t>20.150384446436402147855858613</t>
  </si>
  <si>
    <t>0.0544724828887145264749915511</t>
  </si>
  <si>
    <t>19.124474022102629064374683618</t>
  </si>
  <si>
    <t>0.0511222399983933648114401827</t>
  </si>
  <si>
    <t>20.045171918874142695577119814</t>
  </si>
  <si>
    <t>0.0513160655713571067701997289</t>
  </si>
  <si>
    <t>19.158083706342194552499089197</t>
  </si>
  <si>
    <t>0.0494191301878005735895656814</t>
  </si>
  <si>
    <t>18.480573460690776002815532224</t>
  </si>
  <si>
    <t>0.0513006062747034875786683573</t>
  </si>
  <si>
    <t>20.474959512962589574411583626</t>
  </si>
  <si>
    <t>0.0522554203607329166227338309</t>
  </si>
  <si>
    <t>20.100909645111164375057453822</t>
  </si>
  <si>
    <t>0.0511028811434796211843812956</t>
  </si>
  <si>
    <t>18.512289210426110587426325156</t>
  </si>
  <si>
    <t>0.0505013939862340277608261181</t>
  </si>
  <si>
    <t>18.157545051289947603794816289</t>
  </si>
  <si>
    <t>0.0492173595153671383102570627</t>
  </si>
  <si>
    <t>18.076838423998493625068110323</t>
  </si>
  <si>
    <t>0.0484300408372980173526947146</t>
  </si>
  <si>
    <t>17.190474256027470237593650730</t>
  </si>
  <si>
    <t>0.0460679814311613474022777516</t>
  </si>
  <si>
    <t>16.115682102086476992766976968</t>
  </si>
  <si>
    <t>0.0454477669831034433779113293</t>
  </si>
  <si>
    <t>15.348568801476178296439494113</t>
  </si>
  <si>
    <t>0.0448592822927531003341421802</t>
  </si>
  <si>
    <t>15.740850085252003323092154870</t>
  </si>
  <si>
    <t>0.0444706014747061226380904647</t>
  </si>
  <si>
    <t>14.704773959230794486569445659</t>
  </si>
  <si>
    <t>0.0436880771027457281602831620</t>
  </si>
  <si>
    <t>15.714664763839580896732011982</t>
  </si>
  <si>
    <t>0.0423959688201633391145692083</t>
  </si>
  <si>
    <t>15.172042809679297169387649713</t>
  </si>
  <si>
    <t>0.0416288182306953197269121222</t>
  </si>
  <si>
    <t>15.061560073711326256853920852</t>
  </si>
  <si>
    <t>0.0415084019507249270669449743</t>
  </si>
  <si>
    <t>13.025916146999912586766787634</t>
  </si>
  <si>
    <t>0.0405504729993945690709810027</t>
  </si>
  <si>
    <t>13.453083208130683020642231899</t>
  </si>
  <si>
    <t>0.0402018507478560511582326250</t>
  </si>
  <si>
    <t>13.117311846534092340471821318</t>
  </si>
  <si>
    <t>0.0396027250852653403958496173</t>
  </si>
  <si>
    <t>12.904885875141469645896380344</t>
  </si>
  <si>
    <t>0.0383964732823231420656268741</t>
  </si>
  <si>
    <t>12.228281046367046675131522176</t>
  </si>
  <si>
    <t>0.0381457851954339169290097892</t>
  </si>
  <si>
    <t>12.263790326519853232238059726</t>
  </si>
  <si>
    <t>0.0379895300155451673352885634</t>
  </si>
  <si>
    <t>11.951205227341338631456325571</t>
  </si>
  <si>
    <t>0.0377905193327855440748943212</t>
  </si>
  <si>
    <t>11.722579577861859829291968443</t>
  </si>
  <si>
    <t>0.0379784945539409445727459969</t>
  </si>
  <si>
    <t>12.502378967599688630395194809</t>
  </si>
  <si>
    <t>0.0389216326400641539347106062</t>
  </si>
  <si>
    <t>12.999124554567873590869172070</t>
  </si>
  <si>
    <t>0.0401479625440797965212855119</t>
  </si>
  <si>
    <t>12.331800103705367519910328971</t>
  </si>
  <si>
    <t>0.0390882189557467773456163141</t>
  </si>
  <si>
    <t>13.119034167059471974083257544</t>
  </si>
  <si>
    <t>0.0411245688428179124820890990</t>
  </si>
  <si>
    <t>13.056119878718492578908382551</t>
  </si>
  <si>
    <t>0.0410441433368572082026617468</t>
  </si>
  <si>
    <t>13.387013295174002644802655913</t>
  </si>
  <si>
    <t>0.0408420466370823854911931680</t>
  </si>
  <si>
    <t>13.938682097361894242434496727</t>
  </si>
  <si>
    <t>0.0406667552600125706550456382</t>
  </si>
  <si>
    <t>13.764399208194135713228658169</t>
  </si>
  <si>
    <t>0.0410158785848104497773244474</t>
  </si>
  <si>
    <t>14.352550314554353224139894316</t>
  </si>
  <si>
    <t>0.0413115588193489577697619614</t>
  </si>
  <si>
    <t>14.688139714527638440034931404</t>
  </si>
  <si>
    <t>0.0410509959588037567650275378</t>
  </si>
  <si>
    <t>14.873366764071826889071777883</t>
  </si>
  <si>
    <t>0.0412642013253154564287115189</t>
  </si>
  <si>
    <t>15.018619969321355793337753728</t>
  </si>
  <si>
    <t>0.0418722542866921170162790965</t>
  </si>
  <si>
    <t>14.492956528780413427610943073</t>
  </si>
  <si>
    <t>0.0413502591328714947405126656</t>
  </si>
  <si>
    <t>14.216034059058124746459575149</t>
  </si>
  <si>
    <t>0.0414447027950672119902100541</t>
  </si>
  <si>
    <t>14.128170960528709427147785883</t>
  </si>
  <si>
    <t>0.0409561859000585406237980445</t>
  </si>
  <si>
    <t>14.750756902985666137314145724</t>
  </si>
  <si>
    <t>0.0410790961638244706798549186</t>
  </si>
  <si>
    <t>15.000410080843588408540648333</t>
  </si>
  <si>
    <t>0.0414096255604797535111041117</t>
  </si>
  <si>
    <t>14.253028302661477764205467151</t>
  </si>
  <si>
    <t>0.0413509811119491210895161703</t>
  </si>
  <si>
    <t>14.166827925689747644085890978</t>
  </si>
  <si>
    <t>0.0410427530697194085149413500</t>
  </si>
  <si>
    <t>13.802422229674323777509741792</t>
  </si>
  <si>
    <t>0.0410412811981848047546104558</t>
  </si>
  <si>
    <t>12.858002143796927791228347036</t>
  </si>
  <si>
    <t>0.0402970747163365622057692115</t>
  </si>
  <si>
    <t>12.438039234365984980390360186</t>
  </si>
  <si>
    <t>0.0401613982229172508861070939</t>
  </si>
  <si>
    <t>12.452774587753187957293409300</t>
  </si>
  <si>
    <t>0.0400017748739555003910654153</t>
  </si>
  <si>
    <t>11.724967626248659080167341794</t>
  </si>
  <si>
    <t>0.0394212168706622403765987949</t>
  </si>
  <si>
    <t>11.773129771641711271748847839</t>
  </si>
  <si>
    <t>0.0391503843053718376670692537</t>
  </si>
  <si>
    <t>11.598752137919230393701488906</t>
  </si>
  <si>
    <t>0.0388102463222648370228923096</t>
  </si>
  <si>
    <t>11.826969548182090736746751504</t>
  </si>
  <si>
    <t>0.0384914291499840120962348052</t>
  </si>
  <si>
    <t>12.301395131046713298480503280</t>
  </si>
  <si>
    <t>0.0395888754168856030184000200</t>
  </si>
  <si>
    <t>11.327556798180650099814834173</t>
  </si>
  <si>
    <t>0.0374614247978811445111819253</t>
  </si>
  <si>
    <t>12.003386298620185771357498016</t>
  </si>
  <si>
    <t>0.0376551166858431387901508195</t>
  </si>
  <si>
    <t>12.200391858234272420752320457</t>
  </si>
  <si>
    <t>0.0375565139976319887910543942</t>
  </si>
  <si>
    <t>12.123483900031824740296425937</t>
  </si>
  <si>
    <t>0.0376009673484427559003928022</t>
  </si>
  <si>
    <t>11.475645692690926026065938441</t>
  </si>
  <si>
    <t>0.0360095251301893664207790154</t>
  </si>
  <si>
    <t>11.344000375099005313566260087</t>
  </si>
  <si>
    <t>0.0358320834239718521453432853</t>
  </si>
  <si>
    <t>11.926592176002067188041419343</t>
  </si>
  <si>
    <t>0.0344622741003384071027973858</t>
  </si>
  <si>
    <t>11.273456656952414370084652775</t>
  </si>
  <si>
    <t>0.0340797323686230631917592817</t>
  </si>
  <si>
    <t>11.484271207244850752713874991</t>
  </si>
  <si>
    <t>0.0340178876843486671054980654</t>
  </si>
  <si>
    <t>11.637283931128203686739704954</t>
  </si>
  <si>
    <t>0.0337400650109358001194752222</t>
  </si>
  <si>
    <t>0.03313325899668639117</t>
  </si>
  <si>
    <t>0.3799051302788457049</t>
  </si>
  <si>
    <t>0.375848478390990345</t>
  </si>
  <si>
    <t>0.37610766573823299809</t>
  </si>
  <si>
    <t>92.02748645268048993896231194</t>
  </si>
  <si>
    <t>0.36096956221154660454</t>
  </si>
  <si>
    <t>92.75990270483475301059866119</t>
  </si>
  <si>
    <t>0.38966818655269875128</t>
  </si>
  <si>
    <t>91.82195898005744371972368102</t>
  </si>
  <si>
    <t>0.38775171837084490351</t>
  </si>
  <si>
    <t>88.04997805366168049214357753</t>
  </si>
  <si>
    <t>0.3817029825696668627</t>
  </si>
  <si>
    <t>81.03902270120335357243210264</t>
  </si>
  <si>
    <t>0.35237478577851001211</t>
  </si>
  <si>
    <t>91.74741464637692480309673675</t>
  </si>
  <si>
    <t>0.36987384780789456504</t>
  </si>
  <si>
    <t>100.13443230471824428655765918</t>
  </si>
  <si>
    <t>0.36857216596469006861</t>
  </si>
  <si>
    <t>106.71139481862495908741524395</t>
  </si>
  <si>
    <t>0.36683568329393601815</t>
  </si>
  <si>
    <t>119.19195199246594422951612613</t>
  </si>
  <si>
    <t>0.37665739883679365017</t>
  </si>
  <si>
    <t>110.75656411458684628504639584</t>
  </si>
  <si>
    <t>0.35156211868147282549</t>
  </si>
  <si>
    <t>106.73808237548188867146821464</t>
  </si>
  <si>
    <t>0.31702892257607705558</t>
  </si>
  <si>
    <t>108.67494259255458321655947595</t>
  </si>
  <si>
    <t>0.32150964915250503738</t>
  </si>
  <si>
    <t>115.45500953494216898993745885</t>
  </si>
  <si>
    <t>0.32236985554193777465</t>
  </si>
  <si>
    <t>119.31635442227100383175911668</t>
  </si>
  <si>
    <t>0.33628534317511557394</t>
  </si>
  <si>
    <t>112.40609303683525431131157823</t>
  </si>
  <si>
    <t>0.32217285276696988072</t>
  </si>
  <si>
    <t>112.93001864702695173807213333</t>
  </si>
  <si>
    <t>0.31077547153142395376</t>
  </si>
  <si>
    <t>107.69881558377517231395992104</t>
  </si>
  <si>
    <t>0.28381886581226756078</t>
  </si>
  <si>
    <t>103.95284478492187310531219055</t>
  </si>
  <si>
    <t>0.28429647789484523961</t>
  </si>
  <si>
    <t>99.91683204929073991471858145</t>
  </si>
  <si>
    <t>0.28144316182253779562</t>
  </si>
  <si>
    <t>95.01511798841965742989294231</t>
  </si>
  <si>
    <t>0.26664019194245122965</t>
  </si>
  <si>
    <t>112.32353369331365266960225196</t>
  </si>
  <si>
    <t>0.30007868980829534471</t>
  </si>
  <si>
    <t>107.39089370078997193364345990</t>
  </si>
  <si>
    <t>0.30220789308364109164</t>
  </si>
  <si>
    <t>98.12212950748551508846103896</t>
  </si>
  <si>
    <t>0.28658008497033827994</t>
  </si>
  <si>
    <t>107.99664095849223895201867649</t>
  </si>
  <si>
    <t>0.28751283916704717393</t>
  </si>
  <si>
    <t>102.09518814776217070898126484</t>
  </si>
  <si>
    <t>0.27338878820828347963</t>
  </si>
  <si>
    <t>98.71741850569766394713383721</t>
  </si>
  <si>
    <t>0.26844187361779626104</t>
  </si>
  <si>
    <t>106.55943875943544792605695228</t>
  </si>
  <si>
    <t>0.25259818799560216934</t>
  </si>
  <si>
    <t>110.87024188367351510332979769</t>
  </si>
  <si>
    <t>0.25832221546762083954</t>
  </si>
  <si>
    <t>126.19297040613756620069527353</t>
  </si>
  <si>
    <t>0.27170564117740152801</t>
  </si>
  <si>
    <t>119.25020615020219673229333865</t>
  </si>
  <si>
    <t>0.25997277456201792261</t>
  </si>
  <si>
    <t>110.03864629757782822578519498</t>
  </si>
  <si>
    <t>0.24029950367183236649</t>
  </si>
  <si>
    <t>108.73822725183815272654669720</t>
  </si>
  <si>
    <t>0.23460376330021878245</t>
  </si>
  <si>
    <t>105.04050444264507507779557032</t>
  </si>
  <si>
    <t>0.22991343973598806679</t>
  </si>
  <si>
    <t>105.77776009316042931112699004</t>
  </si>
  <si>
    <t>0.24318269510894706205</t>
  </si>
  <si>
    <t>98.98237958816027868259980306</t>
  </si>
  <si>
    <t>0.2302236118601883806</t>
  </si>
  <si>
    <t>90.40583874849272748241638741</t>
  </si>
  <si>
    <t>0.21348296355519926482</t>
  </si>
  <si>
    <t>86.49688304306299862741039543</t>
  </si>
  <si>
    <t>0.20648155443583354954</t>
  </si>
  <si>
    <t>95.20615689000717749286788372</t>
  </si>
  <si>
    <t>0.23198596944419726218</t>
  </si>
  <si>
    <t>96.47949755221213749419098186</t>
  </si>
  <si>
    <t>0.2322978047826348049</t>
  </si>
  <si>
    <t>104.61973710744224558082700390</t>
  </si>
  <si>
    <t>0.23183916139109920141</t>
  </si>
  <si>
    <t>103.86418294313020484322706648</t>
  </si>
  <si>
    <t>0.222665244576439366</t>
  </si>
  <si>
    <t>95.67888061966258071325829640</t>
  </si>
  <si>
    <t>0.23003069020588419729</t>
  </si>
  <si>
    <t>111.97040492817665076697009839</t>
  </si>
  <si>
    <t>0.25878577781300487556</t>
  </si>
  <si>
    <t>114.43153305970722395099985575</t>
  </si>
  <si>
    <t>0.26532830451733477772</t>
  </si>
  <si>
    <t>111.91619581885169142995545008</t>
  </si>
  <si>
    <t>0.25731890451895578334</t>
  </si>
  <si>
    <t>116.60328990371640089687241266</t>
  </si>
  <si>
    <t>0.2596940207397083384</t>
  </si>
  <si>
    <t>108.58047713299365339157373221</t>
  </si>
  <si>
    <t>0.24981316538273601407</t>
  </si>
  <si>
    <t>98.94515170309516195628320146</t>
  </si>
  <si>
    <t>0.236620653857600027</t>
  </si>
  <si>
    <t>91.25899688476170801809528569</t>
  </si>
  <si>
    <t>0.23976568919214231527</t>
  </si>
  <si>
    <t>102.70573644383477872242610553</t>
  </si>
  <si>
    <t>0.2389804886933850352</t>
  </si>
  <si>
    <t>92.31843669733111736545547246</t>
  </si>
  <si>
    <t>0.22249525046389567145</t>
  </si>
  <si>
    <t>88.92406275012103250884693135</t>
  </si>
  <si>
    <t>0.22051146457356370997</t>
  </si>
  <si>
    <t>88.23523335432078148373253459</t>
  </si>
  <si>
    <t>0.227513592747605898</t>
  </si>
  <si>
    <t>85.54381742558418912681430078</t>
  </si>
  <si>
    <t>0.22389272988049158356</t>
  </si>
  <si>
    <t>77.334863429772736200710635584</t>
  </si>
  <si>
    <t>0.21836583248786368632</t>
  </si>
  <si>
    <t>84.84111574279140071047011583</t>
  </si>
  <si>
    <t>0.23077586998323708087</t>
  </si>
  <si>
    <t>93.35609318060231970277968747</t>
  </si>
  <si>
    <t>0.24321618912825797479</t>
  </si>
  <si>
    <t>90.77172138438120350258575199</t>
  </si>
  <si>
    <t>0.23761305938902050224</t>
  </si>
  <si>
    <t>98.81271961464500796209556345</t>
  </si>
  <si>
    <t>0.23553800827693806559</t>
  </si>
  <si>
    <t>93.91413919227311656576263464</t>
  </si>
  <si>
    <t>0.22007402724796846017</t>
  </si>
  <si>
    <t>88.84129775941776108033438190</t>
  </si>
  <si>
    <t>0.21786923375007144218</t>
  </si>
  <si>
    <t>85.19242823496950762156341231</t>
  </si>
  <si>
    <t>0.21961112407610400762</t>
  </si>
  <si>
    <t>82.51463844025554398125664908</t>
  </si>
  <si>
    <t>0.22180376264954554339</t>
  </si>
  <si>
    <t>79.89745792582099090606138497</t>
  </si>
  <si>
    <t>0.2194616431101321441</t>
  </si>
  <si>
    <t>78.428654223869397030685202201</t>
  </si>
  <si>
    <t>0.21319299245998217096</t>
  </si>
  <si>
    <t>76.115465365537791177965672840</t>
  </si>
  <si>
    <t>0.20336994659440397694</t>
  </si>
  <si>
    <t>76.251265856907855355751834902</t>
  </si>
  <si>
    <t>0.21657405566789022701</t>
  </si>
  <si>
    <t>78.065533173512808803053385196</t>
  </si>
  <si>
    <t>0.21554146337544796116</t>
  </si>
  <si>
    <t>72.129859103776260246881456794</t>
  </si>
  <si>
    <t>0.20509249254818730909</t>
  </si>
  <si>
    <t>68.482292482297028262366125513</t>
  </si>
  <si>
    <t>0.20047021033900884891</t>
  </si>
  <si>
    <t>59.440380437212943464445063046</t>
  </si>
  <si>
    <t>0.19275111221237435217</t>
  </si>
  <si>
    <t>57.834654957575410496365351204</t>
  </si>
  <si>
    <t>0.19010361638615178318</t>
  </si>
  <si>
    <t>64.976663060463878587781777628</t>
  </si>
  <si>
    <t>0.18650233495189681674</t>
  </si>
  <si>
    <t>63.310179612748731048373889364</t>
  </si>
  <si>
    <t>0.18421185641454978255</t>
  </si>
  <si>
    <t>58.882611443270169317599410797</t>
  </si>
  <si>
    <t>0.1816428728946420618</t>
  </si>
  <si>
    <t>57.109153456029439215816536215</t>
  </si>
  <si>
    <t>0.17931283245419866991</t>
  </si>
  <si>
    <t>55.585987901028021177062757424</t>
  </si>
  <si>
    <t>0.17045779257513456406</t>
  </si>
  <si>
    <t>56.044873371870154213273554589</t>
  </si>
  <si>
    <t>0.169625194048341604</t>
  </si>
  <si>
    <t>59.224684210166285423570752052</t>
  </si>
  <si>
    <t>0.1710960622860706185</t>
  </si>
  <si>
    <t>56.208747424827712659846293830</t>
  </si>
  <si>
    <t>0.16776738821551940707</t>
  </si>
  <si>
    <t>50.907738268309153531561819387</t>
  </si>
  <si>
    <t>0.16040134536178746341</t>
  </si>
  <si>
    <t>53.123962061170769929755942605</t>
  </si>
  <si>
    <t>0.15864691598347218594</t>
  </si>
  <si>
    <t>53.556805104763194924218670464</t>
  </si>
  <si>
    <t>0.15854802495143057872</t>
  </si>
  <si>
    <t>51.157742262551328763083703977</t>
  </si>
  <si>
    <t>0.15712993581218496775</t>
  </si>
  <si>
    <t>47.856626312593046652720835596</t>
  </si>
  <si>
    <t>0.14861856953139047733</t>
  </si>
  <si>
    <t>47.829181939171807359719442191</t>
  </si>
  <si>
    <t>0.14664960581140503936</t>
  </si>
  <si>
    <t>45.925777015558958929238029713</t>
  </si>
  <si>
    <t>0.1431968148522633769495541254</t>
  </si>
  <si>
    <t>46.322809058609517432045545801</t>
  </si>
  <si>
    <t>0.1445312341975478577687746360</t>
  </si>
  <si>
    <t>50.042991576740408675336964358</t>
  </si>
  <si>
    <t>0.1431723745329677972429107207</t>
  </si>
  <si>
    <t>52.586217810848255226069598759</t>
  </si>
  <si>
    <t>0.1405442702622780446794009185</t>
  </si>
  <si>
    <t>54.630563035906481007104695157</t>
  </si>
  <si>
    <t>0.1389876209398326682674489103</t>
  </si>
  <si>
    <t>54.781158036227641538901011056</t>
  </si>
  <si>
    <t>0.1430504530667570220095215289</t>
  </si>
  <si>
    <t>56.226606113924088610719161467</t>
  </si>
  <si>
    <t>0.1440318231706784775396221876</t>
  </si>
  <si>
    <t>60.512605537459106815936832975</t>
  </si>
  <si>
    <t>0.1486333901625631227265183316</t>
  </si>
  <si>
    <t>73.114641254208575954693222095</t>
  </si>
  <si>
    <t>0.1684193325865242325346269953</t>
  </si>
  <si>
    <t>73.214270393103191071403125302</t>
  </si>
  <si>
    <t>0.1694500909459042515884362230</t>
  </si>
  <si>
    <t>74.101589400568176039863983174</t>
  </si>
  <si>
    <t>0.1739055971911350956387270872</t>
  </si>
  <si>
    <t>70.158908797875302762680547111</t>
  </si>
  <si>
    <t>0.1701025050466137277369659391</t>
  </si>
  <si>
    <t>69.563591722237652385146778057</t>
  </si>
  <si>
    <t>0.1677256249410966356325431208</t>
  </si>
  <si>
    <t>67.706273320304490011572912347</t>
  </si>
  <si>
    <t>0.1640558810282509605801689341</t>
  </si>
  <si>
    <t>70.494858303657748136843633052</t>
  </si>
  <si>
    <t>0.1575344306585293428449146111</t>
  </si>
  <si>
    <t>69.331624167832305567943351279</t>
  </si>
  <si>
    <t>0.1537580223023546986402879244</t>
  </si>
  <si>
    <t>64.082021225968383573874683814</t>
  </si>
  <si>
    <t>0.1501968526077151152253030500</t>
  </si>
  <si>
    <t>60.431641392193046508135210859</t>
  </si>
  <si>
    <t>0.1449389764191736449834871824</t>
  </si>
  <si>
    <t>61.260480882289005566288229041</t>
  </si>
  <si>
    <t>0.1438033321249635292221322292</t>
  </si>
  <si>
    <t>60.344406000940516646321977038</t>
  </si>
  <si>
    <t>0.1411731589800794362594911293</t>
  </si>
  <si>
    <t>58.053007831038436036507517374</t>
  </si>
  <si>
    <t>0.1353375458047131250777272931</t>
  </si>
  <si>
    <t>53.037071220313867404855305934</t>
  </si>
  <si>
    <t>0.1315301873779983882227635284</t>
  </si>
  <si>
    <t>49.880180731807633152604462160</t>
  </si>
  <si>
    <t>0.1301714558896285026504409574</t>
  </si>
  <si>
    <t>49.266275079951106173215649788</t>
  </si>
  <si>
    <t>0.1320620942666251789319987117</t>
  </si>
  <si>
    <t>45.236231493584139027497802689</t>
  </si>
  <si>
    <t>0.1282979607452439399100420530</t>
  </si>
  <si>
    <t>43.568863483714248333048649904</t>
  </si>
  <si>
    <t>0.1266691231045142548361495230</t>
  </si>
  <si>
    <t>42.277736456788648852090326365</t>
  </si>
  <si>
    <t>0.1267305842076266794560949691</t>
  </si>
  <si>
    <t>44.871079861371593915365387398</t>
  </si>
  <si>
    <t>0.1281489757746775554348939662</t>
  </si>
  <si>
    <t>45.850382617488827040651048121</t>
  </si>
  <si>
    <t>0.1280442812057068952220303999</t>
  </si>
  <si>
    <t>44.055177292321862950374973689</t>
  </si>
  <si>
    <t>0.1286783380109297159519237336</t>
  </si>
  <si>
    <t>44.745555921883726328054187475</t>
  </si>
  <si>
    <t>0.1289606507343295204254650185</t>
  </si>
  <si>
    <t>49.249183462958912657200299338</t>
  </si>
  <si>
    <t>0.1331351920654611669958339326</t>
  </si>
  <si>
    <t>49.792703336091081312955867450</t>
  </si>
  <si>
    <t>0.1331024595591249160753854416</t>
  </si>
  <si>
    <t>52.327280083853041170650943473</t>
  </si>
  <si>
    <t>0.1339589476618761833369645345</t>
  </si>
  <si>
    <t>50.378793566224933782678644253</t>
  </si>
  <si>
    <t>0.1299543417867729757220590448</t>
  </si>
  <si>
    <t>47.718397296398190851398016555</t>
  </si>
  <si>
    <t>0.1324624864574357780804158166</t>
  </si>
  <si>
    <t>51.706912802304060612774937095</t>
  </si>
  <si>
    <t>0.1319644350129024826772998609</t>
  </si>
  <si>
    <t>50.228206410006316350846207473</t>
  </si>
  <si>
    <t>0.1276960151325787810875325365</t>
  </si>
  <si>
    <t>46.143151870295205997895810220</t>
  </si>
  <si>
    <t>0.1258781918260000928579535059</t>
  </si>
  <si>
    <t>45.982803423689230323763325855</t>
  </si>
  <si>
    <t>0.1246397660716468384940886111</t>
  </si>
  <si>
    <t>45.343254858310019714837038003</t>
  </si>
  <si>
    <t>0.1214800748325894852790503676</t>
  </si>
  <si>
    <t>44.544946359516359780792963210</t>
  </si>
  <si>
    <t>0.1193740051134863054134823670</t>
  </si>
  <si>
    <t>42.021636007065402522304298783</t>
  </si>
  <si>
    <t>0.1185050380989235187214532759</t>
  </si>
  <si>
    <t>38.515860861826784090401335267</t>
  </si>
  <si>
    <t>0.1125703573731848212209812293</t>
  </si>
  <si>
    <t>39.029835300028942620276254586</t>
  </si>
  <si>
    <t>0.1102659794007698781133018018</t>
  </si>
  <si>
    <t>36.146107549816548804608688946</t>
  </si>
  <si>
    <t>0.1073905615944014329129224824</t>
  </si>
  <si>
    <t>39.325399605451441696384597131</t>
  </si>
  <si>
    <t>0.1060944309387752316170586193</t>
  </si>
  <si>
    <t>38.953313457490434159196354952</t>
  </si>
  <si>
    <t>0.1068795036862569782202702752</t>
  </si>
  <si>
    <t>38.130082429633577216990229440</t>
  </si>
  <si>
    <t>0.1050833233846741976923419860</t>
  </si>
  <si>
    <t>33.409982097928139929495514323</t>
  </si>
  <si>
    <t>0.1040073160062773778323281344</t>
  </si>
  <si>
    <t>34.290405078145911309831559226</t>
  </si>
  <si>
    <t>0.1024700230949285931753404330</t>
  </si>
  <si>
    <t>33.247925506393771166069008663</t>
  </si>
  <si>
    <t>0.1003794427463428664642897820</t>
  </si>
  <si>
    <t>32.812692566829660004231372920</t>
  </si>
  <si>
    <t>0.0976290441971496051483420043</t>
  </si>
  <si>
    <t>33.320647701795580151614872596</t>
  </si>
  <si>
    <t>0.1039428407791659726689249192</t>
  </si>
  <si>
    <t>33.335200651463931073451265735</t>
  </si>
  <si>
    <t>0.1032624149635456288318581958</t>
  </si>
  <si>
    <t>32.498657573846769897660590288</t>
  </si>
  <si>
    <t>0.1027629535240811522717342369</t>
  </si>
  <si>
    <t>33.373787813774880645549021564</t>
  </si>
  <si>
    <t>0.1081234902532445120230249704</t>
  </si>
  <si>
    <t>34.360840127978055216972976457</t>
  </si>
  <si>
    <t>0.1069700414721869721873914279</t>
  </si>
  <si>
    <t>35.332294352860791588841333853</t>
  </si>
  <si>
    <t>0.1091242432765667611936816184</t>
  </si>
  <si>
    <t>34.091932657671068020882541798</t>
  </si>
  <si>
    <t>0.1080615090368853160706205167</t>
  </si>
  <si>
    <t>34.660123860190890828456425106</t>
  </si>
  <si>
    <t>0.1086499685600334326012292294</t>
  </si>
  <si>
    <t>34.175949436275781701001894294</t>
  </si>
  <si>
    <t>0.1074379356474911593865450857</t>
  </si>
  <si>
    <t>34.958218934183438982300748837</t>
  </si>
  <si>
    <t>0.1066530059078946028164212010</t>
  </si>
  <si>
    <t>36.319145006855314680957854885</t>
  </si>
  <si>
    <t>0.1059627998493655101133703274</t>
  </si>
  <si>
    <t>35.354155313538549262944290265</t>
  </si>
  <si>
    <t>0.1053501660243459661834797163</t>
  </si>
  <si>
    <t>36.678533856798996033797032669</t>
  </si>
  <si>
    <t>0.1055733911830346611455511280</t>
  </si>
  <si>
    <t>37.715868020588836014473720245</t>
  </si>
  <si>
    <t>0.1054098051753015812110784365</t>
  </si>
  <si>
    <t>38.049837665209167087547001610</t>
  </si>
  <si>
    <t>0.1055642738270593574836762035</t>
  </si>
  <si>
    <t>38.520705492708505211094372892</t>
  </si>
  <si>
    <t>0.1073966036152622861581854320</t>
  </si>
  <si>
    <t>36.918830918552819754627927264</t>
  </si>
  <si>
    <t>0.1053341478209271467780353166</t>
  </si>
  <si>
    <t>35.843574944378722122889782474</t>
  </si>
  <si>
    <t>0.1044965357082801343103736089</t>
  </si>
  <si>
    <t>35.732643059447581818173662978</t>
  </si>
  <si>
    <t>0.1035854376289629160939578394</t>
  </si>
  <si>
    <t>37.132199781781723490234633624</t>
  </si>
  <si>
    <t>0.1034087413711908890123175812</t>
  </si>
  <si>
    <t>36.187262787612365869750262940</t>
  </si>
  <si>
    <t>0.0998973357406665384308457920</t>
  </si>
  <si>
    <t>33.824264526872357669493945913</t>
  </si>
  <si>
    <t>0.0981311826424350519335657246</t>
  </si>
  <si>
    <t>33.597419223653867455206568648</t>
  </si>
  <si>
    <t>0.0973351683389726025991763749</t>
  </si>
  <si>
    <t>32.577600728944279891527156245</t>
  </si>
  <si>
    <t>0.0968689734331030087285262738</t>
  </si>
  <si>
    <t>30.503886015132769912381479141</t>
  </si>
  <si>
    <t>0.0955994065130428690041227674</t>
  </si>
  <si>
    <t>29.533039996467049511871494697</t>
  </si>
  <si>
    <t>0.0953597393996253431740586616</t>
  </si>
  <si>
    <t>29.439009931040818373208422508</t>
  </si>
  <si>
    <t>0.0945662863705708277573417658</t>
  </si>
  <si>
    <t>27.391308730906201879495391637</t>
  </si>
  <si>
    <t>0.0920939619001569332498572631</t>
  </si>
  <si>
    <t>27.594175452376632146645576290</t>
  </si>
  <si>
    <t>0.0917617145572121462196477010</t>
  </si>
  <si>
    <t>27.275709276740739489928171723</t>
  </si>
  <si>
    <t>0.0912664554822271294108960488</t>
  </si>
  <si>
    <t>27.884679065044088007427736439</t>
  </si>
  <si>
    <t>0.0907520006904191141941962838</t>
  </si>
  <si>
    <t>27.517371888707814685561147006</t>
  </si>
  <si>
    <t>0.0885575819569230731392482725</t>
  </si>
  <si>
    <t>26.322622630105948086158276488</t>
  </si>
  <si>
    <t>0.0870516887012295394512581418</t>
  </si>
  <si>
    <t>27.600278721771344734842614023</t>
  </si>
  <si>
    <t>0.0865832099354798109363250773</t>
  </si>
  <si>
    <t>27.726810195415667356343280468</t>
  </si>
  <si>
    <t>0.0853515483202292350269901506</t>
  </si>
  <si>
    <t>27.076517663307796672894552895</t>
  </si>
  <si>
    <t>0.0839777794042269843991495304</t>
  </si>
  <si>
    <t>25.938638101473400253187537296</t>
  </si>
  <si>
    <t>0.0813930706446262782239850435</t>
  </si>
  <si>
    <t>25.636977425168381900180306166</t>
  </si>
  <si>
    <t>0.0809790447339525229752797927</t>
  </si>
  <si>
    <t>27.127330612508610281530702397</t>
  </si>
  <si>
    <t>0.0783852997891432772620905554</t>
  </si>
  <si>
    <t>25.869087560513901599115569964</t>
  </si>
  <si>
    <t>0.0782024189660670071330460226</t>
  </si>
  <si>
    <t>26.339094321876917646835048405</t>
  </si>
  <si>
    <t>0.0780197834220279487747684779</t>
  </si>
  <si>
    <t>26.759137959900944943329085374</t>
  </si>
  <si>
    <t>0.0775829703689397279189550782</t>
  </si>
  <si>
    <t>0.07718843635170665644</t>
  </si>
  <si>
    <t>Notes:</t>
  </si>
  <si>
    <t>Instructions:</t>
  </si>
  <si>
    <t>Transaction</t>
  </si>
  <si>
    <t>Definition</t>
  </si>
  <si>
    <t>Send</t>
  </si>
  <si>
    <t>You sent cryptocurrency to an external address that is not part of your own wallets. This may include personal payments, transfers to another person, or withdrawals to a wallet not added to CoinTracker.</t>
  </si>
  <si>
    <t>Receive</t>
  </si>
  <si>
    <t>You received cryptocurrency into your wallet from an external source. This may include incoming payments, gifts, or transfers from another person.</t>
  </si>
  <si>
    <t>Buy</t>
  </si>
  <si>
    <t>You acquired cryptocurrency using fiat currency (e.g., USD, EUR) through a centralized exchange, brokerage, or on-ramp service.</t>
  </si>
  <si>
    <t>Sell</t>
  </si>
  <si>
    <t>You disposed of cryptocurrency in exchange for fiat currency. This is typically logged when selling crypto on an exchange or converting it to cash.</t>
  </si>
  <si>
    <t>Transfer</t>
  </si>
  <si>
    <t>You moved crypto between wallets or exchanges you own. These are non-taxable by default and typically appear as paired send/receive transactions. </t>
  </si>
  <si>
    <t>Trade</t>
  </si>
  <si>
    <t>You exchanged one cryptocurrency for another (e.g., BTC → ETH). This category is commonly assigned to DEX trades and swaps. </t>
  </si>
  <si>
    <t>Interest</t>
  </si>
  <si>
    <t>Airdrop</t>
  </si>
  <si>
    <t>As we do not know your circumstances or the tax advice that you have received please modify it to suit your circumstances</t>
  </si>
  <si>
    <t>Check Row</t>
  </si>
  <si>
    <t>2024-12-31T23:59:48+00:00</t>
  </si>
  <si>
    <t>2025-01-01T23:59:48+00:00</t>
  </si>
  <si>
    <t>2025-01-02T23:59:48+00:00</t>
  </si>
  <si>
    <t>2025-01-03T23:59:48+00:00</t>
  </si>
  <si>
    <t>2025-01-04T23:59:48+00:00</t>
  </si>
  <si>
    <t>2025-01-05T23:59:48+00:00</t>
  </si>
  <si>
    <t>2025-01-06T23:59:48+00:00</t>
  </si>
  <si>
    <t>2025-01-07T23:59:48+00:00</t>
  </si>
  <si>
    <t>2025-01-08T23:59:48+00:00</t>
  </si>
  <si>
    <t>2025-01-09T23:59:48+00:00</t>
  </si>
  <si>
    <t>2025-01-10T23:59:48+00:00</t>
  </si>
  <si>
    <t>2025-01-11T23:59:48+00:00</t>
  </si>
  <si>
    <t>2025-01-12T23:59:48+00:00</t>
  </si>
  <si>
    <t>2025-01-13T23:59:48.001+00:00</t>
  </si>
  <si>
    <t>2025-01-14T23:59:48+00:00</t>
  </si>
  <si>
    <t>2025-01-15T23:59:48+00:00</t>
  </si>
  <si>
    <t>2025-01-16T23:59:48+00:00</t>
  </si>
  <si>
    <t>2025-01-17T23:59:48+00:00</t>
  </si>
  <si>
    <t>2025-01-18T23:59:48+00:00</t>
  </si>
  <si>
    <t>2025-01-19T23:59:48+00:00</t>
  </si>
  <si>
    <t>2025-01-20T23:59:48+00:00</t>
  </si>
  <si>
    <t>2025-01-21T23:59:48.001+00:00</t>
  </si>
  <si>
    <t>2025-01-22T23:59:48+00:00</t>
  </si>
  <si>
    <t>2025-01-23T23:59:48.001+00:00</t>
  </si>
  <si>
    <t>2025-01-24T23:59:48+00:00</t>
  </si>
  <si>
    <t>2025-01-25T23:59:48+00:00</t>
  </si>
  <si>
    <t>2025-01-26T23:59:48+00:00</t>
  </si>
  <si>
    <t>2025-01-27T23:59:48+00:00</t>
  </si>
  <si>
    <t>2025-01-28T23:59:48+00:00</t>
  </si>
  <si>
    <t>2025-01-29T23:59:48.001+00:00</t>
  </si>
  <si>
    <t>2025-01-30T23:59:48+00:00</t>
  </si>
  <si>
    <t>2025-01-31T23:59:48.001+00:00</t>
  </si>
  <si>
    <t>2025-02-01T23:59:48.001+00:00</t>
  </si>
  <si>
    <t>2025-02-02T23:59:48+00:00</t>
  </si>
  <si>
    <t>2025-02-03T23:59:48+00:00</t>
  </si>
  <si>
    <t>2025-02-04T23:59:48+00:00</t>
  </si>
  <si>
    <t>2025-02-05T23:59:48+00:00</t>
  </si>
  <si>
    <t>2025-02-06T23:59:48+00:00</t>
  </si>
  <si>
    <t>2025-02-07T23:59:48+00:00</t>
  </si>
  <si>
    <t>2025-02-08T23:59:48+00:00</t>
  </si>
  <si>
    <t>2025-02-09T23:59:48+00:00</t>
  </si>
  <si>
    <t>2025-02-10T23:59:48+00:00</t>
  </si>
  <si>
    <t>2025-02-11T23:59:48.001+00:00</t>
  </si>
  <si>
    <t>2025-02-12T23:59:48+00:00</t>
  </si>
  <si>
    <t>2025-02-13T23:59:48.001+00:00</t>
  </si>
  <si>
    <t>2025-02-14T23:59:48+00:00</t>
  </si>
  <si>
    <t>2025-02-15T23:59:48+00:00</t>
  </si>
  <si>
    <t>2025-02-16T23:59:48+00:00</t>
  </si>
  <si>
    <t>2025-02-17T23:59:48.001+00:00</t>
  </si>
  <si>
    <t>2025-02-18T23:59:48.001+00:00</t>
  </si>
  <si>
    <t>2025-02-19T23:59:48+00:00</t>
  </si>
  <si>
    <t>2025-02-20T23:59:48.001+00:00</t>
  </si>
  <si>
    <t>2025-02-21T23:59:48+00:00</t>
  </si>
  <si>
    <t>2025-02-22T23:59:48+00:00</t>
  </si>
  <si>
    <t>2025-02-23T23:59:48+00:00</t>
  </si>
  <si>
    <t>2025-02-24T23:59:48.001+00:00</t>
  </si>
  <si>
    <t>2025-02-25T23:59:48+00:00</t>
  </si>
  <si>
    <t>2025-02-26T14:09:12+00:00</t>
  </si>
  <si>
    <t>2025-02-26T14:32:12+00:00</t>
  </si>
  <si>
    <t>2025-02-26T18:27:24+00:00</t>
  </si>
  <si>
    <t>2025-02-26T18:28:36.001+00:00</t>
  </si>
  <si>
    <t>2025-02-26T18:30:36+00:00</t>
  </si>
  <si>
    <t>2025-02-26T18:31:36+00:00</t>
  </si>
  <si>
    <t>2025-02-26T18:34:48+00:00</t>
  </si>
  <si>
    <t>2025-02-26T18:35:24.001+00:00</t>
  </si>
  <si>
    <t>2025-02-26T23:59:48+00:00</t>
  </si>
  <si>
    <t>2025-02-27T23:59:48.001+00:00</t>
  </si>
  <si>
    <t>2025-02-28T23:59:48.001+00:00</t>
  </si>
  <si>
    <t>2025-03-01T23:59:48+00:00</t>
  </si>
  <si>
    <t>2025-03-02T23:59:48+00:00</t>
  </si>
  <si>
    <t>2025-03-03T23:59:48+00:00</t>
  </si>
  <si>
    <t>2025-03-04T16:46:36+00:00</t>
  </si>
  <si>
    <t>2025-03-04T16:47:36+00:00</t>
  </si>
  <si>
    <t>2025-03-04T16:57:12+00:00</t>
  </si>
  <si>
    <t>2025-03-04T23:59:48.001+00:00</t>
  </si>
  <si>
    <t>2025-03-05T23:59:48+00:00</t>
  </si>
  <si>
    <t>2025-03-06T23:59:48+00:00</t>
  </si>
  <si>
    <t>2025-03-07T23:59:48+00:00</t>
  </si>
  <si>
    <t>2025-03-08T23:59:48+00:00</t>
  </si>
  <si>
    <t>2025-03-09T23:59:48+00:00</t>
  </si>
  <si>
    <t>2025-03-10T23:59:48+00:00</t>
  </si>
  <si>
    <t>2025-03-11T23:59:48+00:00</t>
  </si>
  <si>
    <t>2025-03-12T23:59:48.001+00:00</t>
  </si>
  <si>
    <t>2025-03-13T23:59:48+00:00</t>
  </si>
  <si>
    <t>2025-03-14T23:59:48+00:00</t>
  </si>
  <si>
    <t>2025-03-15T23:59:48+00:00</t>
  </si>
  <si>
    <t>2025-03-16T23:59:48+00:00</t>
  </si>
  <si>
    <t>2025-03-17T23:59:48+00:00</t>
  </si>
  <si>
    <t>2025-03-18T23:59:48+00:00</t>
  </si>
  <si>
    <t>2025-03-19T23:59:48+00:00</t>
  </si>
  <si>
    <t>2025-03-20T23:59:48.001+00:00</t>
  </si>
  <si>
    <t>2025-03-21T23:59:48+00:00</t>
  </si>
  <si>
    <t>2025-03-22T23:59:48+00:00</t>
  </si>
  <si>
    <t>2025-03-23T23:59:48+00:00</t>
  </si>
  <si>
    <t>2025-03-24T23:59:48+00:00</t>
  </si>
  <si>
    <t>2025-03-25T23:59:48+00:00</t>
  </si>
  <si>
    <t>2025-03-26T23:59:48+00:00</t>
  </si>
  <si>
    <t>2025-03-27T23:59:48+00:00</t>
  </si>
  <si>
    <t>2025-03-28T23:59:48+00:00</t>
  </si>
  <si>
    <t>2025-03-29T23:59:48+00:00</t>
  </si>
  <si>
    <t>2025-03-30T23:59:48+00:00</t>
  </si>
  <si>
    <t>2025-03-31T23:59:48+00:00</t>
  </si>
  <si>
    <t>2025-04-01T23:59:48.001+00:00</t>
  </si>
  <si>
    <t>2025-04-02T23:59:48+00:00</t>
  </si>
  <si>
    <t>2025-04-03T23:59:48+00:00</t>
  </si>
  <si>
    <t>2025-04-04T23:59:48+00:00</t>
  </si>
  <si>
    <t>2025-04-05T23:59:48+00:00</t>
  </si>
  <si>
    <t>2025-04-06T23:59:48+00:00</t>
  </si>
  <si>
    <t>2025-04-07T23:59:48+00:00</t>
  </si>
  <si>
    <t>2025-04-08T23:59:48.001+00:00</t>
  </si>
  <si>
    <t>2025-04-09T23:59:48.001+00:00</t>
  </si>
  <si>
    <t>2025-04-10T23:59:48+00:00</t>
  </si>
  <si>
    <t>2025-04-12T19:48:12.001+00:00</t>
  </si>
  <si>
    <t>2025-04-22T21:38:00+00:00</t>
  </si>
  <si>
    <t>2025-04-22T21:39:12.001+00:00</t>
  </si>
  <si>
    <t>2025-07-31T20:50:36.001+00:00</t>
  </si>
  <si>
    <t>2025-07-31T20:51:24+00:00</t>
  </si>
  <si>
    <t>2025-07-31T21:28:48.001+00:00</t>
  </si>
  <si>
    <t>2025-07-31T21:29:48.001+00:00</t>
  </si>
  <si>
    <t>2025-08-10T17:26:24+00:00</t>
  </si>
  <si>
    <t>2025-08-10T17:28:12+00:00</t>
  </si>
  <si>
    <t>2025-10-10T21:47:12+00:00</t>
  </si>
  <si>
    <t>2025-10-10T22:17:36+00:00</t>
  </si>
  <si>
    <t>2025-10-10T22:21:36.001+00:00</t>
  </si>
  <si>
    <t>2025-10-10T23:59:48+00:00</t>
  </si>
  <si>
    <t>2025-10-11T23:59:48+00:00</t>
  </si>
  <si>
    <t>2025-10-12T23:59:48+00:00</t>
  </si>
  <si>
    <t>2025-10-13T23:59:48.001+00:00</t>
  </si>
  <si>
    <t>2025-10-14T23:59:48+00:00</t>
  </si>
  <si>
    <t>2025-10-15T23:59:48+00:00</t>
  </si>
  <si>
    <t>2025-10-16T23:59:48+00:00</t>
  </si>
  <si>
    <t>2025-10-17T23:59:48+00:00</t>
  </si>
  <si>
    <t>2025-10-18T23:59:48.001+00:00</t>
  </si>
  <si>
    <t>2025-10-19T23:59:48+00:00</t>
  </si>
  <si>
    <t>2025-10-20T23:59:48+00:00</t>
  </si>
  <si>
    <t>2025-10-21T23:59:48+00:00</t>
  </si>
  <si>
    <t>2025-10-22T23:59:48+00:00</t>
  </si>
  <si>
    <t>2025-10-23T23:59:48.001+00:00</t>
  </si>
  <si>
    <t>2025-10-24T23:59:48+00:00</t>
  </si>
  <si>
    <t>2025-10-25T23:59:48+00:00</t>
  </si>
  <si>
    <t>2025-10-26T23:59:48+00:00</t>
  </si>
  <si>
    <t>2025-10-27T23:59:48+00:00</t>
  </si>
  <si>
    <t>2025-10-28T23:59:48+00:00</t>
  </si>
  <si>
    <t>2025-10-29T23:59:48+00:00</t>
  </si>
  <si>
    <t>2025-10-30T23:59:48+00:00</t>
  </si>
  <si>
    <t>2025-10-31T23:59:48.001+00:00</t>
  </si>
  <si>
    <t>2025-11-01T23:59:48+00:00</t>
  </si>
  <si>
    <t>2025-11-02T23:59:48+00:00</t>
  </si>
  <si>
    <t>2025-11-03T23:59:48+00:00</t>
  </si>
  <si>
    <t>2025-11-04T23:59:48+00:00</t>
  </si>
  <si>
    <t>2025-11-05T23:59:48+00:00</t>
  </si>
  <si>
    <t>2025-11-06T23:59:48+00:00</t>
  </si>
  <si>
    <t>2025-11-07T23:59:48+00:00</t>
  </si>
  <si>
    <t>2025-11-08T23:59:48.001+00:00</t>
  </si>
  <si>
    <t>2025-11-09T23:59:48+00:00</t>
  </si>
  <si>
    <t>2025-11-10T23:59:48.001+00:00</t>
  </si>
  <si>
    <t>2025-11-11T23:59:48+00:00</t>
  </si>
  <si>
    <t>2025-11-12T23:59:48+00:00</t>
  </si>
  <si>
    <t>2025-11-13T23:59:48.001+00:00</t>
  </si>
  <si>
    <t>2025-11-14T23:59:48+00:00</t>
  </si>
  <si>
    <t>2025-11-15T23:59:48+00:00</t>
  </si>
  <si>
    <t>2025-11-16T23:59:48+00:00</t>
  </si>
  <si>
    <t>2025-11-17T23:59:48+00:00</t>
  </si>
  <si>
    <t>2025-11-18T23:59:48+00:00</t>
  </si>
  <si>
    <t>2025-11-19T23:59:48+00:00</t>
  </si>
  <si>
    <t>2025-11-20T23:59:48+00:00</t>
  </si>
  <si>
    <t>2025-11-21T23:59:48+00:00</t>
  </si>
  <si>
    <t>2025-11-22T23:59:48+00:00</t>
  </si>
  <si>
    <t>2025-11-23T23:59:48+00:00</t>
  </si>
  <si>
    <t>2025-11-24T23:59:48+00:00</t>
  </si>
  <si>
    <t>2025-11-25T23:59:48+00:00</t>
  </si>
  <si>
    <t>2025-11-26T23:59:48.001+00:00</t>
  </si>
  <si>
    <t>2025-11-27T23:59:48+00:00</t>
  </si>
  <si>
    <t>2025-11-28T23:59:48+00:00</t>
  </si>
  <si>
    <t>2025-11-29T23:59:48.001+00:00</t>
  </si>
  <si>
    <t>2025-11-30T23:59:48+00:00</t>
  </si>
  <si>
    <t>2025-12-01T23:59:48+00:00</t>
  </si>
  <si>
    <t>2025-12-02T23:59:48+00:00</t>
  </si>
  <si>
    <t>2025-12-03T23:59:48.001+00:00</t>
  </si>
  <si>
    <t>2025-12-04T23:59:48.001+00:00</t>
  </si>
  <si>
    <t>2025-12-05T23:59:48+00:00</t>
  </si>
  <si>
    <t>2025-12-06T23:59:48.001+00:00</t>
  </si>
  <si>
    <t>2025-12-07T23:59:48+00:00</t>
  </si>
  <si>
    <t>2025-12-08T23:59:48+00:00</t>
  </si>
  <si>
    <t>2025-12-09T23:59:48+00:00</t>
  </si>
  <si>
    <t>2025-12-10T23:59:48+00:00</t>
  </si>
  <si>
    <t>2025-12-11T23:59:48+00:00</t>
  </si>
  <si>
    <t>2025-12-12T23:59:48+00:00</t>
  </si>
  <si>
    <t>2025-12-13T23:59:48.001+00:00</t>
  </si>
  <si>
    <t>2025-12-14T23:59:48+00:00</t>
  </si>
  <si>
    <t>2025-12-15T23:59:48+00:00</t>
  </si>
  <si>
    <t>2025-12-16T23:59:48.001+00:00</t>
  </si>
  <si>
    <t>2025-12-17T23:59:48.001+00:00</t>
  </si>
  <si>
    <t>2025-12-18T23:59:48+00:00</t>
  </si>
  <si>
    <t>2025-12-19T23:59:48+00:00</t>
  </si>
  <si>
    <t>2025-12-20T23:59:48+00:00</t>
  </si>
  <si>
    <t>2025-12-21T23:59:48.001+00:00</t>
  </si>
  <si>
    <t>2025-12-22T23:59:48+00:00</t>
  </si>
  <si>
    <t>2025-12-23T23:59:48.001+00:00</t>
  </si>
  <si>
    <t>2025-12-24T23:59:48.001+00:00</t>
  </si>
  <si>
    <t>2025-12-25T23:59:48+00:00</t>
  </si>
  <si>
    <t>2025-12-26T23:59:48+00:00</t>
  </si>
  <si>
    <t>2025-12-27T23:59:48+00:00</t>
  </si>
  <si>
    <t>2025-12-28T23:59:48+00:00</t>
  </si>
  <si>
    <t>2025-12-29T23:59:48+00:00</t>
  </si>
  <si>
    <t>2025-12-30T23:59:48.001+00:00</t>
  </si>
  <si>
    <t>2025-12-31T23:59:48.001+00:00</t>
  </si>
  <si>
    <t>blank</t>
  </si>
  <si>
    <t>Import Row</t>
  </si>
  <si>
    <t>Sort Order</t>
  </si>
  <si>
    <t>Merge</t>
  </si>
  <si>
    <t>tx hash fee count</t>
  </si>
  <si>
    <t>tx Hash debit count</t>
  </si>
  <si>
    <t>tx Hash credit count</t>
  </si>
  <si>
    <t>Lookup Helper</t>
  </si>
  <si>
    <t>debit</t>
  </si>
  <si>
    <t>credit</t>
  </si>
  <si>
    <t>count of extrinsics</t>
  </si>
  <si>
    <t>fees</t>
  </si>
  <si>
    <t>Credit</t>
  </si>
  <si>
    <t>import checks - balances not changed</t>
  </si>
  <si>
    <t>CSV</t>
  </si>
  <si>
    <t>Import CSV</t>
  </si>
  <si>
    <t>Check</t>
  </si>
  <si>
    <t>income</t>
  </si>
  <si>
    <t>Method to import Batches</t>
  </si>
  <si>
    <t>error highlight</t>
  </si>
  <si>
    <r>
      <t xml:space="preserve">The </t>
    </r>
    <r>
      <rPr>
        <i/>
        <sz val="11"/>
        <color theme="1"/>
        <rFont val="Aptos Narrow"/>
        <family val="2"/>
        <scheme val="minor"/>
      </rPr>
      <t>Sort Order</t>
    </r>
    <r>
      <rPr>
        <sz val="11"/>
        <color theme="1"/>
        <rFont val="Aptos Narrow"/>
        <family val="2"/>
        <scheme val="minor"/>
      </rPr>
      <t xml:space="preserve"> is optional - It reorders to increasing block order</t>
    </r>
  </si>
  <si>
    <t>From Here Checks to make sure that the Amounts from taostats are not duplicated</t>
  </si>
  <si>
    <t>Text Row or blank row</t>
  </si>
  <si>
    <r>
      <t xml:space="preserve">Copy paste the contents of every csv into the </t>
    </r>
    <r>
      <rPr>
        <b/>
        <sz val="11"/>
        <color theme="1"/>
        <rFont val="Aptos Narrow"/>
        <family val="2"/>
        <scheme val="minor"/>
      </rPr>
      <t>Taostats_CSV</t>
    </r>
    <r>
      <rPr>
        <sz val="11"/>
        <color theme="1"/>
        <rFont val="Aptos Narrow"/>
        <family val="2"/>
        <scheme val="minor"/>
      </rPr>
      <t xml:space="preserve"> tab</t>
    </r>
  </si>
  <si>
    <r>
      <t xml:space="preserve">The </t>
    </r>
    <r>
      <rPr>
        <i/>
        <sz val="11"/>
        <color theme="1"/>
        <rFont val="Aptos Narrow"/>
        <family val="2"/>
        <scheme val="minor"/>
      </rPr>
      <t xml:space="preserve">Lookup Helper </t>
    </r>
    <r>
      <rPr>
        <sz val="11"/>
        <color theme="1"/>
        <rFont val="Aptos Narrow"/>
        <family val="2"/>
        <scheme val="minor"/>
      </rPr>
      <t xml:space="preserve">is not optional - it is necessary for the tab </t>
    </r>
    <r>
      <rPr>
        <b/>
        <sz val="11"/>
        <color theme="1"/>
        <rFont val="Aptos Narrow"/>
        <family val="2"/>
        <scheme val="minor"/>
      </rPr>
      <t>website_csv(pro)</t>
    </r>
    <r>
      <rPr>
        <sz val="11"/>
        <color theme="1"/>
        <rFont val="Aptos Narrow"/>
        <family val="2"/>
        <scheme val="minor"/>
      </rPr>
      <t xml:space="preserve"> to work</t>
    </r>
  </si>
  <si>
    <r>
      <t xml:space="preserve">Optional Sort </t>
    </r>
    <r>
      <rPr>
        <b/>
        <sz val="11"/>
        <color theme="1"/>
        <rFont val="Aptos Narrow"/>
        <family val="2"/>
        <scheme val="minor"/>
      </rPr>
      <t>Taostats_CSV</t>
    </r>
    <r>
      <rPr>
        <sz val="11"/>
        <color theme="1"/>
        <rFont val="Aptos Narrow"/>
        <family val="2"/>
        <scheme val="minor"/>
      </rPr>
      <t xml:space="preserve">  using the </t>
    </r>
    <r>
      <rPr>
        <i/>
        <sz val="11"/>
        <color theme="1"/>
        <rFont val="Aptos Narrow"/>
        <family val="2"/>
        <scheme val="minor"/>
      </rPr>
      <t>Sort Order</t>
    </r>
  </si>
  <si>
    <r>
      <t xml:space="preserve">On the </t>
    </r>
    <r>
      <rPr>
        <b/>
        <sz val="11"/>
        <color theme="1"/>
        <rFont val="Aptos Narrow"/>
        <family val="2"/>
        <scheme val="minor"/>
      </rPr>
      <t>website_csv(pro)</t>
    </r>
    <r>
      <rPr>
        <sz val="11"/>
        <color theme="1"/>
        <rFont val="Aptos Narrow"/>
        <family val="2"/>
        <scheme val="minor"/>
      </rPr>
      <t xml:space="preserve"> - Copy the 2nd row down on the  sheet for as many rows are you have in the Taostats_CSV</t>
    </r>
  </si>
  <si>
    <r>
      <t xml:space="preserve">Filter Rows using </t>
    </r>
    <r>
      <rPr>
        <i/>
        <sz val="11"/>
        <color theme="1"/>
        <rFont val="Aptos Narrow"/>
        <family val="2"/>
        <scheme val="minor"/>
      </rPr>
      <t>Import Row</t>
    </r>
    <r>
      <rPr>
        <sz val="11"/>
        <color theme="1"/>
        <rFont val="Aptos Narrow"/>
        <family val="2"/>
        <scheme val="minor"/>
      </rPr>
      <t xml:space="preserve"> = TRUE for the rows to be imported</t>
    </r>
  </si>
  <si>
    <r>
      <t xml:space="preserve">Filter the rows using </t>
    </r>
    <r>
      <rPr>
        <i/>
        <sz val="11"/>
        <color theme="1"/>
        <rFont val="Aptos Narrow"/>
        <family val="2"/>
        <scheme val="minor"/>
      </rPr>
      <t>Check Row</t>
    </r>
    <r>
      <rPr>
        <sz val="11"/>
        <color theme="1"/>
        <rFont val="Aptos Narrow"/>
        <family val="2"/>
        <scheme val="minor"/>
      </rPr>
      <t xml:space="preserve"> (column T) for any TRUE and correct the error in the </t>
    </r>
    <r>
      <rPr>
        <b/>
        <sz val="11"/>
        <color theme="1"/>
        <rFont val="Aptos Narrow"/>
        <family val="2"/>
        <scheme val="minor"/>
      </rPr>
      <t xml:space="preserve">Taostats_CSV </t>
    </r>
    <r>
      <rPr>
        <sz val="11"/>
        <color theme="1"/>
        <rFont val="Aptos Narrow"/>
        <family val="2"/>
        <scheme val="minor"/>
      </rPr>
      <t>tab</t>
    </r>
  </si>
  <si>
    <r>
      <t xml:space="preserve">on </t>
    </r>
    <r>
      <rPr>
        <b/>
        <sz val="11"/>
        <color theme="1"/>
        <rFont val="Aptos Narrow"/>
        <family val="2"/>
        <scheme val="minor"/>
      </rPr>
      <t>website_csv(pro)</t>
    </r>
    <r>
      <rPr>
        <sz val="11"/>
        <color theme="1"/>
        <rFont val="Aptos Narrow"/>
        <family val="2"/>
        <scheme val="minor"/>
      </rPr>
      <t xml:space="preserve"> Check the Column AG and AH for error highlight - must be zero or the maths is wrong somewhere</t>
    </r>
  </si>
  <si>
    <t>Count of extrinsic</t>
  </si>
  <si>
    <t>Batch</t>
  </si>
  <si>
    <r>
      <t xml:space="preserve">is converted to </t>
    </r>
    <r>
      <rPr>
        <b/>
        <sz val="11"/>
        <color theme="1"/>
        <rFont val="Aptos Narrow"/>
        <family val="2"/>
        <scheme val="minor"/>
      </rPr>
      <t xml:space="preserve">website_csv(pro) </t>
    </r>
  </si>
  <si>
    <t>Search for the extrinsic on Taostats</t>
  </si>
  <si>
    <r>
      <t xml:space="preserve">The </t>
    </r>
    <r>
      <rPr>
        <b/>
        <sz val="11"/>
        <color theme="1"/>
        <rFont val="Aptos Narrow"/>
        <family val="2"/>
        <scheme val="minor"/>
      </rPr>
      <t>website_csv(pro)</t>
    </r>
    <r>
      <rPr>
        <sz val="11"/>
        <color theme="1"/>
        <rFont val="Aptos Narrow"/>
        <family val="2"/>
        <scheme val="minor"/>
      </rPr>
      <t xml:space="preserve"> tab will merge the transactions together for you - see example below</t>
    </r>
  </si>
  <si>
    <r>
      <t xml:space="preserve">Each </t>
    </r>
    <r>
      <rPr>
        <b/>
        <sz val="11"/>
        <color theme="1"/>
        <rFont val="Aptos Narrow"/>
        <family val="2"/>
        <scheme val="minor"/>
      </rPr>
      <t xml:space="preserve">Taostats_CSV </t>
    </r>
    <r>
      <rPr>
        <sz val="11"/>
        <color theme="1"/>
        <rFont val="Aptos Narrow"/>
        <family val="2"/>
        <scheme val="minor"/>
      </rPr>
      <t>includes the opening balance - this is for verification purposes with accounting software balance - this row is usually not imported</t>
    </r>
  </si>
  <si>
    <t>Again a warning - batch transactions you have to work it out yourself</t>
  </si>
  <si>
    <r>
      <t xml:space="preserve">on </t>
    </r>
    <r>
      <rPr>
        <b/>
        <sz val="11"/>
        <color theme="1"/>
        <rFont val="Aptos Narrow"/>
        <family val="2"/>
        <scheme val="minor"/>
      </rPr>
      <t>website_csv(pro)</t>
    </r>
    <r>
      <rPr>
        <sz val="11"/>
        <color theme="1"/>
        <rFont val="Aptos Narrow"/>
        <family val="2"/>
        <scheme val="minor"/>
      </rPr>
      <t xml:space="preserve"> copy the values from column titles </t>
    </r>
    <r>
      <rPr>
        <i/>
        <sz val="11"/>
        <color theme="1"/>
        <rFont val="Aptos Narrow"/>
        <family val="2"/>
        <scheme val="minor"/>
      </rPr>
      <t>Date</t>
    </r>
    <r>
      <rPr>
        <sz val="11"/>
        <color theme="1"/>
        <rFont val="Aptos Narrow"/>
        <family val="2"/>
        <scheme val="minor"/>
      </rPr>
      <t xml:space="preserve"> through to </t>
    </r>
    <r>
      <rPr>
        <i/>
        <sz val="11"/>
        <color theme="1"/>
        <rFont val="Aptos Narrow"/>
        <family val="2"/>
        <scheme val="minor"/>
      </rPr>
      <t>Tag</t>
    </r>
    <r>
      <rPr>
        <sz val="11"/>
        <color theme="1"/>
        <rFont val="Aptos Narrow"/>
        <family val="2"/>
        <scheme val="minor"/>
      </rPr>
      <t xml:space="preserve"> to a csv file (the other columns can be copies - they will be ignored as the column title does not match)</t>
    </r>
  </si>
  <si>
    <r>
      <t xml:space="preserve">Filter the </t>
    </r>
    <r>
      <rPr>
        <b/>
        <sz val="11"/>
        <color theme="1"/>
        <rFont val="Aptos Narrow"/>
        <family val="2"/>
        <scheme val="minor"/>
      </rPr>
      <t>Taostats_CSV</t>
    </r>
    <r>
      <rPr>
        <sz val="11"/>
        <color theme="1"/>
        <rFont val="Aptos Narrow"/>
        <family val="2"/>
        <scheme val="minor"/>
      </rPr>
      <t xml:space="preserve"> sheet using Count of extrinsic &gt;3 (most batches)</t>
    </r>
  </si>
  <si>
    <t>Any extrinsic that has more than one credit, one debit and a "fee" must be manually changed (e.g. batch or portfolio rebalance)</t>
  </si>
  <si>
    <r>
      <t xml:space="preserve">Make sure that the  additional columns after </t>
    </r>
    <r>
      <rPr>
        <b/>
        <i/>
        <sz val="11"/>
        <color theme="1"/>
        <rFont val="Aptos Narrow"/>
        <family val="2"/>
        <scheme val="minor"/>
      </rPr>
      <t>blank</t>
    </r>
    <r>
      <rPr>
        <sz val="11"/>
        <color theme="1"/>
        <rFont val="Aptos Narrow"/>
        <family val="2"/>
        <scheme val="minor"/>
      </rPr>
      <t xml:space="preserve"> in the </t>
    </r>
    <r>
      <rPr>
        <b/>
        <sz val="11"/>
        <color theme="1"/>
        <rFont val="Aptos Narrow"/>
        <family val="2"/>
        <scheme val="minor"/>
      </rPr>
      <t>Taostats_CSV</t>
    </r>
    <r>
      <rPr>
        <sz val="11"/>
        <color theme="1"/>
        <rFont val="Aptos Narrow"/>
        <family val="2"/>
        <scheme val="minor"/>
      </rPr>
      <t xml:space="preserve"> column are copied down to match the number of rows imported</t>
    </r>
  </si>
  <si>
    <t>Manually join the two sides of the transaction together by appending to the Extrinsic-ID a letter or number e.g. 5013009-0009 -&gt; 5013009-0009-A</t>
  </si>
  <si>
    <r>
      <t xml:space="preserve">Using the </t>
    </r>
    <r>
      <rPr>
        <i/>
        <sz val="11"/>
        <color theme="1"/>
        <rFont val="Aptos Narrow"/>
        <family val="2"/>
        <scheme val="minor"/>
      </rPr>
      <t xml:space="preserve">StakeRemoved </t>
    </r>
    <r>
      <rPr>
        <sz val="11"/>
        <color theme="1"/>
        <rFont val="Aptos Narrow"/>
        <family val="2"/>
        <scheme val="minor"/>
      </rPr>
      <t>Event will point you towards the correct match - but be aware you might have to sum some of them</t>
    </r>
  </si>
  <si>
    <t>Type</t>
  </si>
  <si>
    <t>Description (Optional)</t>
  </si>
  <si>
    <t>TxHash (Optional)</t>
  </si>
  <si>
    <t>Fee Currency (Optional)</t>
  </si>
  <si>
    <t>Fee Amount (Optional)</t>
  </si>
  <si>
    <t>Platform (Optional)</t>
  </si>
  <si>
    <t>Asset Sent</t>
  </si>
  <si>
    <t>Amount Sent</t>
  </si>
  <si>
    <t>Asset Received</t>
  </si>
  <si>
    <t>Amount Received</t>
  </si>
  <si>
    <t>Date (UTC)</t>
  </si>
  <si>
    <t>CoinLedger CSV tag</t>
  </si>
  <si>
    <t>Trades</t>
  </si>
  <si>
    <t>Category</t>
  </si>
  <si>
    <t>Incoming Transactions</t>
  </si>
  <si>
    <t>Income/Other Income</t>
  </si>
  <si>
    <t xml:space="preserve"> Any transaction where you are earning cryptocurrency. When you earn cryptocurrency, you’ll recognize income based on the fair market value of your crypto at the time of receipt.</t>
  </si>
  <si>
    <t xml:space="preserve"> Interest income is income you receive from loaning your crypto. Many centralized exchanges or DeFi protocols offer interest rewards to customers who hold cryptocurrency on their platform. </t>
  </si>
  <si>
    <t>Mining</t>
  </si>
  <si>
    <t xml:space="preserve"> Mining transactions are income you earned from mining crypto. Cryptocurrency mining rewards are taxed as income upon receipt. When you dispose of your mining rewards, you’ll incur a capital gain or loss depending on how the price of your crypto has changed since you originally received it. </t>
  </si>
  <si>
    <t>Staking</t>
  </si>
  <si>
    <t xml:space="preserve"> Staking typically refers to either participating in a Proof of Stake blockchain’s governance process by locking up crypto as collateral, or to committing your cryptocurrency to a DeFi protocol. Usually participants are rewarded for staking their crypto on these chains or protocols. Staking rewards are considered income at the time of receipt. If you dispose of those staking rewards in the future, you’ll incur a capital gain or loss depending on how the price of your staking rewards changed since you originally received it. </t>
  </si>
  <si>
    <t>Royalty Income</t>
  </si>
  <si>
    <t xml:space="preserve"> Royalty income is any income earned from royalties on NFTs you have created. Royalties earned from NFTs are treated as ordinary income based on the value of your rewards at the time of receipt. </t>
  </si>
  <si>
    <t>Hard Fork</t>
  </si>
  <si>
    <t xml:space="preserve"> A cryptocurrency hard fork is a permanent divergence from the previous version of the blockchain. While soft forks maintain compatibility between the two chains, hard forks create chains that are incompatible with one another. If a certain cryptocurrency that you are holding goes through a hard fork, the new forked crypto that you receive is taxed as income. </t>
  </si>
  <si>
    <t xml:space="preserve"> In an airdrop, cryptocurrency projects freely distribute or "air drop" tokens to early users and investors' wallet addresses, usually in large quantities, for free. Airdropped cryptocurrency rewards are treated as ordinary income based on fair market value at the time of receipt. </t>
  </si>
  <si>
    <t>Incoming Gifts/Gifts Received</t>
  </si>
  <si>
    <t xml:space="preserve"> Incoming Gifts are considered non-taxable receipts of crypto.</t>
  </si>
  <si>
    <t>Deposits [non taxable]</t>
  </si>
  <si>
    <t xml:space="preserve"> Deposits are treated as a non-taxable self-transfers. </t>
  </si>
  <si>
    <t>Native Unstake</t>
  </si>
  <si>
    <t xml:space="preserve"> A Native Unstake transaction is any transaction where you unstaked your crypto and received it back into your wallet. This is a non taxable transaction. However, receiving staking rewards is taxable. Staking rewards are treated as crypto income.</t>
  </si>
  <si>
    <t>Outgoing Gifts/Gift Sent</t>
  </si>
  <si>
    <t xml:space="preserve"> Gifts are considered a non-taxable disposal of your crypto. </t>
  </si>
  <si>
    <t>Casualty Loss</t>
  </si>
  <si>
    <t xml:space="preserve"> Casualty Losses are treated as non-deductible losses of your crypto. Casualty losses include scenarios like losing access to your wallet or sending your crypto to the wrong wallet address. </t>
  </si>
  <si>
    <t>Theft</t>
  </si>
  <si>
    <t xml:space="preserve"> Theft losses are treated as non-deductible losses of your crypto. Theft losses include scenarios like stolen coins, hacked wallets, hacked crypto exchange accounts and more. </t>
  </si>
  <si>
    <t>Investment Loss</t>
  </si>
  <si>
    <t xml:space="preserve"> Investment Losses are treated as deductible capital losses. This is when you dispose of your cryptocurrency for a lower price than you originally received it. In some cases, you can claim an investment loss in scenarios like a rug pull or an exchange bankruptcy. Learn more here. </t>
  </si>
  <si>
    <t>Payments</t>
  </si>
  <si>
    <t xml:space="preserve"> Payments are considered a disposal of your crypto and trigger a capital gains tax event. Paying for a good or service with crypto is considered a taxable disposal.  </t>
  </si>
  <si>
    <t>Withdrawal [non taxable]</t>
  </si>
  <si>
    <t xml:space="preserve"> Withdrawals are treated as a non-taxable self-transfers.</t>
  </si>
  <si>
    <t>Native Stake</t>
  </si>
  <si>
    <t xml:space="preserve"> A Native Stake transaction is any transaction where you staked your crypto by withdrawing it from your wallet and locking it up with a validator. Your staked asset cannot be transacted with until it is unstaked. Many applications or exchanges will pay out staking rewards to your wallet while your crypto is staked. This is a non taxable transaction. However, receiving staking rewards is taxable. Staking rewards are treated as crypto income.</t>
  </si>
  <si>
    <t>Transfer [non taxable]</t>
  </si>
  <si>
    <t xml:space="preserve"> Transfer transactions are non-taxable self transfers from one wallet or exchange account you own to another wallet or exchange account you own.  </t>
  </si>
  <si>
    <t>Uncategorized</t>
  </si>
  <si>
    <t xml:space="preserve"> If your wallet transacted with a smart contract or decentralized app that we don’t have a native integration with yet, the transaction will be classified as Uncategorized. Uncategorized transactions are treated as a non-taxable events that are not factored into report calculations, unless or until you reclassify them.</t>
  </si>
  <si>
    <t>Failed (reverted)</t>
  </si>
  <si>
    <t xml:space="preserve"> Failed or reverted transactions occur when a blockchain transaction is unsuccessful, usually due to not having enough of an asset to pay appropriate gas fees, or cancelling the transaction. </t>
  </si>
  <si>
    <t>Bankruptcy Recovery</t>
  </si>
  <si>
    <t xml:space="preserve"> A Bankruptcy Recovery event is any transaction where the custodian of your assets (a crypto exchange) went bankrupt, and returned a smaller percentage of those assets held in your account to you. This is treated as a non-taxable swap by CoinLedger, meaning it does not trigger a taxable disposal event. Your cost basis in the original amount of the asset will carry forward to the new amount of asset held.</t>
  </si>
  <si>
    <t>Bankruptcy Liquidation</t>
  </si>
  <si>
    <t xml:space="preserve"> A Bankruptcy Liquidation event is any transaction in which a custodian of your assets (a crypto exchange) went bankrupt, liquidated the crypto in your accounts for some other asset (typically fiat currency), and returned this other asset to you. This is treated as a taxable disposal by CoinLedger. You will incur gain or loss depending on how your cost basis in the original amount of the asset differs from the liquidated value of the U.S. dollar you received.</t>
  </si>
  <si>
    <t>Leveraged Buy</t>
  </si>
  <si>
    <t xml:space="preserve"> A margin buy that creates a long position and/or closes a short position. </t>
  </si>
  <si>
    <t>Leveraged Sell</t>
  </si>
  <si>
    <t xml:space="preserve"> A margin sell that creates a short position and/or closes a long position.</t>
  </si>
  <si>
    <t>Margin Fee</t>
  </si>
  <si>
    <t xml:space="preserve"> A fee incurred as interest to maintain position on margin. Some platforms, such as Kraken, refer to these fees as "rollover fees".</t>
  </si>
  <si>
    <t>Margin Gain</t>
  </si>
  <si>
    <t xml:space="preserve"> A margin gain transaction is any gain or loss obtained when closing (or while holding) a margin position. We recommend entering margin gains into CoinLedger as part of Leveraged Buy or Sell transactions because this will allow your margin positions to be represented most accurately in our portfolio tracker. If you are unable to obtain detailed information on your leveraged buys/sells from the platform you're using, a standalone Margin Gain transaction can be entered into our app instead.</t>
  </si>
  <si>
    <t>Manual Position</t>
  </si>
  <si>
    <t xml:space="preserve"> Functioning similar to a Buy, a Manual Position is an entry you create to provide a cost basis for an asset that is flagged as missing its basis. For a Manual Position you'll need to specify details like the source, timestamp, fiat currency, cost, and amount of crypto purchased.</t>
  </si>
  <si>
    <t>Basis Reallocation</t>
  </si>
  <si>
    <t xml:space="preserve"> Basis Reallocation transactions are created automatically when you switch your account from Universal to Per-Wallet cost basis tracking.  A basis reallocation transaction shows how you how the cost basis reallocation process changed the cost basis balance of your assets in a given platform account. Learn more about these here.</t>
  </si>
  <si>
    <t>Outgoing Transactions</t>
  </si>
  <si>
    <t>Other Transaction Types</t>
  </si>
  <si>
    <t>Income</t>
  </si>
  <si>
    <t>Withdrawal</t>
  </si>
  <si>
    <t>Deposit</t>
  </si>
  <si>
    <t>Gift Received</t>
  </si>
  <si>
    <t>Gift Sent</t>
  </si>
  <si>
    <t>Theft Loss</t>
  </si>
  <si>
    <t>Interest Payment</t>
  </si>
  <si>
    <t>Merchant Payment</t>
  </si>
  <si>
    <t>Net Amount (for a pivot table)</t>
  </si>
  <si>
    <r>
      <t xml:space="preserve">This template is designed to get you </t>
    </r>
    <r>
      <rPr>
        <b/>
        <sz val="11"/>
        <color theme="1"/>
        <rFont val="Aptos Narrow"/>
        <family val="2"/>
        <scheme val="minor"/>
      </rPr>
      <t>started</t>
    </r>
    <r>
      <rPr>
        <sz val="11"/>
        <color theme="1"/>
        <rFont val="Aptos Narrow"/>
        <family val="2"/>
        <scheme val="minor"/>
      </rPr>
      <t xml:space="preserve"> in your import to coinledger</t>
    </r>
  </si>
  <si>
    <t>5338059-0011-A</t>
  </si>
  <si>
    <r>
      <t xml:space="preserve">all income is classified as </t>
    </r>
    <r>
      <rPr>
        <i/>
        <sz val="11"/>
        <color theme="1"/>
        <rFont val="Aptos Narrow"/>
        <family val="2"/>
        <scheme val="minor"/>
      </rPr>
      <t xml:space="preserve">Income </t>
    </r>
    <r>
      <rPr>
        <sz val="11"/>
        <color theme="1"/>
        <rFont val="Aptos Narrow"/>
        <family val="2"/>
        <scheme val="minor"/>
      </rPr>
      <t>(could be miner or staker dividends)</t>
    </r>
  </si>
  <si>
    <r>
      <t xml:space="preserve">The </t>
    </r>
    <r>
      <rPr>
        <b/>
        <sz val="11"/>
        <color theme="1"/>
        <rFont val="Aptos Narrow"/>
        <family val="2"/>
        <scheme val="minor"/>
      </rPr>
      <t>Taostats_CSV</t>
    </r>
    <r>
      <rPr>
        <sz val="11"/>
        <color theme="1"/>
        <rFont val="Aptos Narrow"/>
        <family val="2"/>
        <scheme val="minor"/>
      </rPr>
      <t xml:space="preserve"> transaction Type of </t>
    </r>
    <r>
      <rPr>
        <i/>
        <sz val="11"/>
        <color theme="1"/>
        <rFont val="Aptos Narrow"/>
        <family val="2"/>
        <scheme val="minor"/>
      </rPr>
      <t>Fee</t>
    </r>
    <r>
      <rPr>
        <sz val="11"/>
        <color theme="1"/>
        <rFont val="Aptos Narrow"/>
        <family val="2"/>
        <scheme val="minor"/>
      </rPr>
      <t xml:space="preserve"> will be imported as </t>
    </r>
    <r>
      <rPr>
        <i/>
        <sz val="11"/>
        <color theme="1"/>
        <rFont val="Aptos Narrow"/>
        <family val="2"/>
        <scheme val="minor"/>
      </rPr>
      <t>Merchant Payment</t>
    </r>
    <r>
      <rPr>
        <sz val="11"/>
        <color theme="1"/>
        <rFont val="Aptos Narrow"/>
        <family val="2"/>
        <scheme val="minor"/>
      </rPr>
      <t xml:space="preserve"> - once Imported it will need </t>
    </r>
  </si>
  <si>
    <t>Again a warning - After a CoinLedger import you must review the transactions and ensure that the cost basis is correct</t>
  </si>
  <si>
    <t>Permitted CSV tags</t>
  </si>
  <si>
    <t>valid tags for CoinLedger</t>
  </si>
  <si>
    <t>https://help.coinledger.io/en/articles/6028758-universal-manual-import-template-guide</t>
  </si>
  <si>
    <t>import instructions</t>
  </si>
  <si>
    <t>source for types</t>
  </si>
  <si>
    <t>https://help.coinledger.io/en/articles/8546372-what-transaction-types-does-coinledger-support</t>
  </si>
  <si>
    <t>You will also have to work with Coinledger to work out how to get the cost basis for income received in each subnet (as at 2026-03-08)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</si>
</sst>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0" borderId="0" xfId="0" quotePrefix="1"/>
    <xf numFmtId="14" fontId="0" fillId="0" borderId="0" xfId="0" applyNumberFormat="1"/>
    <xf numFmtId="0" fontId="2" fillId="0" borderId="0" xfId="1"/>
    <xf numFmtId="0" fontId="0" fillId="0" borderId="0" xfId="0" applyAlignment="1">
      <alignment wrapText="1"/>
    </xf>
    <xf numFmtId="0" fontId="1" fillId="0" borderId="0" xfId="0" applyFont="1"/>
    <xf numFmtId="0" fontId="1" fillId="0" borderId="0" xfId="0" applyFont="1" applyAlignment="1">
      <alignment wrapText="1"/>
    </xf>
    <xf numFmtId="11" fontId="0" fillId="0" borderId="0" xfId="0" applyNumberFormat="1"/>
    <xf numFmtId="11" fontId="0" fillId="0" borderId="0" xfId="0" quotePrefix="1" applyNumberFormat="1" applyAlignment="1">
      <alignment wrapText="1"/>
    </xf>
    <xf numFmtId="0" fontId="0" fillId="2" borderId="0" xfId="0" applyFill="1" applyAlignment="1">
      <alignment wrapText="1"/>
    </xf>
    <xf numFmtId="0" fontId="0" fillId="3" borderId="0" xfId="0" applyFill="1" applyAlignment="1">
      <alignment wrapText="1"/>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593272</xdr:colOff>
      <xdr:row>39</xdr:row>
      <xdr:rowOff>38100</xdr:rowOff>
    </xdr:from>
    <xdr:to>
      <xdr:col>5</xdr:col>
      <xdr:colOff>440721</xdr:colOff>
      <xdr:row>46</xdr:row>
      <xdr:rowOff>48985</xdr:rowOff>
    </xdr:to>
    <xdr:pic>
      <xdr:nvPicPr>
        <xdr:cNvPr id="2" name="Picture 1">
          <a:extLst>
            <a:ext uri="{FF2B5EF4-FFF2-40B4-BE49-F238E27FC236}">
              <a16:creationId xmlns:a16="http://schemas.microsoft.com/office/drawing/2014/main" id="{21B55ED8-8C03-C98E-35AB-72AD85DE158D}"/>
            </a:ext>
          </a:extLst>
        </xdr:cNvPr>
        <xdr:cNvPicPr>
          <a:picLocks noChangeAspect="1"/>
        </xdr:cNvPicPr>
      </xdr:nvPicPr>
      <xdr:blipFill>
        <a:blip xmlns:r="http://schemas.openxmlformats.org/officeDocument/2006/relationships" r:embed="rId1"/>
        <a:stretch>
          <a:fillRect/>
        </a:stretch>
      </xdr:blipFill>
      <xdr:spPr>
        <a:xfrm>
          <a:off x="593272" y="6449786"/>
          <a:ext cx="5295749" cy="1306285"/>
        </a:xfrm>
        <a:prstGeom prst="rect">
          <a:avLst/>
        </a:prstGeom>
      </xdr:spPr>
    </xdr:pic>
    <xdr:clientData/>
  </xdr:twoCellAnchor>
  <xdr:twoCellAnchor editAs="oneCell">
    <xdr:from>
      <xdr:col>0</xdr:col>
      <xdr:colOff>643909</xdr:colOff>
      <xdr:row>49</xdr:row>
      <xdr:rowOff>125184</xdr:rowOff>
    </xdr:from>
    <xdr:to>
      <xdr:col>8</xdr:col>
      <xdr:colOff>376997</xdr:colOff>
      <xdr:row>53</xdr:row>
      <xdr:rowOff>168728</xdr:rowOff>
    </xdr:to>
    <xdr:pic>
      <xdr:nvPicPr>
        <xdr:cNvPr id="3" name="Picture 2">
          <a:extLst>
            <a:ext uri="{FF2B5EF4-FFF2-40B4-BE49-F238E27FC236}">
              <a16:creationId xmlns:a16="http://schemas.microsoft.com/office/drawing/2014/main" id="{DBCBE1B4-5999-1CC5-F3D9-695B4B3DE239}"/>
            </a:ext>
          </a:extLst>
        </xdr:cNvPr>
        <xdr:cNvPicPr>
          <a:picLocks noChangeAspect="1"/>
        </xdr:cNvPicPr>
      </xdr:nvPicPr>
      <xdr:blipFill>
        <a:blip xmlns:r="http://schemas.openxmlformats.org/officeDocument/2006/relationships" r:embed="rId2"/>
        <a:stretch>
          <a:fillRect/>
        </a:stretch>
      </xdr:blipFill>
      <xdr:spPr>
        <a:xfrm>
          <a:off x="643909" y="9127670"/>
          <a:ext cx="7140817" cy="78377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help.coinledger.io/en/articles/8546372-what-transaction-types-does-coinledger-support" TargetMode="External"/><Relationship Id="rId1" Type="http://schemas.openxmlformats.org/officeDocument/2006/relationships/hyperlink" Target="https://help.coinledger.io/en/articles/6028758-universal-manual-import-template-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2F14F-F06F-4329-9A76-1B20EDB25042}">
  <dimension ref="A1:C49"/>
  <sheetViews>
    <sheetView tabSelected="1" workbookViewId="0">
      <selection activeCell="C17" sqref="C17"/>
    </sheetView>
    <sheetView workbookViewId="1">
      <selection activeCell="K15" sqref="K15"/>
    </sheetView>
  </sheetViews>
  <sheetFormatPr defaultRowHeight="14.6" x14ac:dyDescent="0.4"/>
  <cols>
    <col min="1" max="1" width="21.69140625" bestFit="1" customWidth="1"/>
    <col min="2" max="2" width="17.69140625" customWidth="1"/>
    <col min="3" max="3" width="19.15234375" customWidth="1"/>
  </cols>
  <sheetData>
    <row r="1" spans="1:3" ht="53.15" customHeight="1" x14ac:dyDescent="0.4">
      <c r="B1" t="s">
        <v>2430</v>
      </c>
    </row>
    <row r="2" spans="1:3" x14ac:dyDescent="0.4">
      <c r="B2" t="s">
        <v>2098</v>
      </c>
    </row>
    <row r="3" spans="1:3" x14ac:dyDescent="0.4">
      <c r="B3" s="1" t="s">
        <v>2432</v>
      </c>
    </row>
    <row r="4" spans="1:3" x14ac:dyDescent="0.4">
      <c r="B4" s="1" t="s">
        <v>2433</v>
      </c>
    </row>
    <row r="5" spans="1:3" x14ac:dyDescent="0.4">
      <c r="B5" s="1" t="s">
        <v>74</v>
      </c>
      <c r="C5" t="s">
        <v>2428</v>
      </c>
    </row>
    <row r="6" spans="1:3" x14ac:dyDescent="0.4">
      <c r="B6" s="1"/>
    </row>
    <row r="7" spans="1:3" x14ac:dyDescent="0.4">
      <c r="B7" s="1" t="s">
        <v>2346</v>
      </c>
    </row>
    <row r="8" spans="1:3" x14ac:dyDescent="0.4">
      <c r="B8" s="1" t="s">
        <v>2441</v>
      </c>
    </row>
    <row r="9" spans="1:3" x14ac:dyDescent="0.4">
      <c r="B9" s="1"/>
    </row>
    <row r="10" spans="1:3" x14ac:dyDescent="0.4">
      <c r="A10" t="s">
        <v>2081</v>
      </c>
    </row>
    <row r="11" spans="1:3" x14ac:dyDescent="0.4">
      <c r="A11">
        <v>1</v>
      </c>
      <c r="B11" t="s">
        <v>2330</v>
      </c>
    </row>
    <row r="12" spans="1:3" x14ac:dyDescent="0.4">
      <c r="A12">
        <v>2</v>
      </c>
      <c r="B12" t="s">
        <v>2347</v>
      </c>
    </row>
    <row r="13" spans="1:3" x14ac:dyDescent="0.4">
      <c r="C13" t="s">
        <v>2327</v>
      </c>
    </row>
    <row r="14" spans="1:3" x14ac:dyDescent="0.4">
      <c r="C14" t="s">
        <v>2331</v>
      </c>
    </row>
    <row r="15" spans="1:3" x14ac:dyDescent="0.4">
      <c r="A15">
        <v>3</v>
      </c>
      <c r="B15" t="s">
        <v>2332</v>
      </c>
    </row>
    <row r="16" spans="1:3" x14ac:dyDescent="0.4">
      <c r="A16">
        <v>4</v>
      </c>
      <c r="B16" t="s">
        <v>2333</v>
      </c>
    </row>
    <row r="17" spans="1:3" x14ac:dyDescent="0.4">
      <c r="A17">
        <v>5</v>
      </c>
      <c r="B17" t="s">
        <v>2335</v>
      </c>
    </row>
    <row r="18" spans="1:3" x14ac:dyDescent="0.4">
      <c r="A18">
        <v>6</v>
      </c>
      <c r="B18" t="s">
        <v>2334</v>
      </c>
    </row>
    <row r="19" spans="1:3" x14ac:dyDescent="0.4">
      <c r="A19">
        <v>7</v>
      </c>
      <c r="B19" t="s">
        <v>2336</v>
      </c>
    </row>
    <row r="20" spans="1:3" x14ac:dyDescent="0.4">
      <c r="A20">
        <v>8</v>
      </c>
      <c r="B20" t="s">
        <v>2344</v>
      </c>
    </row>
    <row r="22" spans="1:3" x14ac:dyDescent="0.4">
      <c r="A22" t="s">
        <v>2325</v>
      </c>
    </row>
    <row r="23" spans="1:3" x14ac:dyDescent="0.4">
      <c r="A23">
        <v>1</v>
      </c>
      <c r="B23" t="s">
        <v>2345</v>
      </c>
    </row>
    <row r="24" spans="1:3" x14ac:dyDescent="0.4">
      <c r="A24">
        <v>2</v>
      </c>
      <c r="B24" t="s">
        <v>2340</v>
      </c>
    </row>
    <row r="25" spans="1:3" x14ac:dyDescent="0.4">
      <c r="C25" t="s">
        <v>2349</v>
      </c>
    </row>
    <row r="26" spans="1:3" x14ac:dyDescent="0.4">
      <c r="A26">
        <v>3</v>
      </c>
      <c r="B26" t="s">
        <v>2348</v>
      </c>
    </row>
    <row r="27" spans="1:3" x14ac:dyDescent="0.4">
      <c r="A27">
        <v>4</v>
      </c>
      <c r="B27" t="s">
        <v>2341</v>
      </c>
    </row>
    <row r="29" spans="1:3" x14ac:dyDescent="0.4">
      <c r="A29" t="s">
        <v>2080</v>
      </c>
    </row>
    <row r="30" spans="1:3" x14ac:dyDescent="0.4">
      <c r="A30">
        <v>1</v>
      </c>
      <c r="B30" t="s">
        <v>2342</v>
      </c>
    </row>
    <row r="31" spans="1:3" x14ac:dyDescent="0.4">
      <c r="A31">
        <v>2</v>
      </c>
      <c r="B31" s="2" t="s">
        <v>2343</v>
      </c>
    </row>
    <row r="32" spans="1:3" x14ac:dyDescent="0.4">
      <c r="A32">
        <v>3</v>
      </c>
      <c r="B32" s="2" t="s">
        <v>2434</v>
      </c>
    </row>
    <row r="34" spans="1:2" x14ac:dyDescent="0.4">
      <c r="A34" t="s">
        <v>2436</v>
      </c>
    </row>
    <row r="35" spans="1:2" x14ac:dyDescent="0.4">
      <c r="A35" t="s">
        <v>2439</v>
      </c>
      <c r="B35" s="3" t="s">
        <v>2440</v>
      </c>
    </row>
    <row r="36" spans="1:2" x14ac:dyDescent="0.4">
      <c r="A36" s="4" t="s">
        <v>2438</v>
      </c>
      <c r="B36" s="3" t="s">
        <v>2437</v>
      </c>
    </row>
    <row r="37" spans="1:2" x14ac:dyDescent="0.4">
      <c r="B37" s="3"/>
    </row>
    <row r="39" spans="1:2" x14ac:dyDescent="0.4">
      <c r="B39" t="s">
        <v>2338</v>
      </c>
    </row>
    <row r="49" spans="2:2" x14ac:dyDescent="0.4">
      <c r="B49" t="s">
        <v>2339</v>
      </c>
    </row>
  </sheetData>
  <sortState xmlns:xlrd2="http://schemas.microsoft.com/office/spreadsheetml/2017/richdata2" ref="V5">
    <sortCondition ref="V5"/>
  </sortState>
  <hyperlinks>
    <hyperlink ref="B36" r:id="rId1" xr:uid="{293ED16E-8AC9-4C10-8093-C8EE88D514EF}"/>
    <hyperlink ref="B35" r:id="rId2" xr:uid="{3065D263-415E-4167-859A-84C8021DC4F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65658-003C-4319-92DF-43BA8C70BA1A}">
  <sheetPr filterMode="1"/>
  <dimension ref="A2:Y2134"/>
  <sheetViews>
    <sheetView workbookViewId="0">
      <pane xSplit="2" ySplit="3" topLeftCell="C60" activePane="bottomRight" state="frozen"/>
      <selection pane="topRight" activeCell="C1" sqref="C1"/>
      <selection pane="bottomLeft" activeCell="A3" sqref="A3"/>
      <selection pane="bottomRight" activeCell="A132" sqref="A2:Y2134"/>
    </sheetView>
    <sheetView workbookViewId="1">
      <selection activeCell="E79" sqref="E79"/>
    </sheetView>
  </sheetViews>
  <sheetFormatPr defaultRowHeight="14.6" x14ac:dyDescent="0.4"/>
  <cols>
    <col min="1" max="1" width="51" bestFit="1" customWidth="1"/>
    <col min="2" max="2" width="11.765625" bestFit="1" customWidth="1"/>
    <col min="3" max="3" width="27.3828125" bestFit="1" customWidth="1"/>
    <col min="4" max="4" width="7.61328125" bestFit="1" customWidth="1"/>
    <col min="5" max="5" width="5.61328125" bestFit="1" customWidth="1"/>
    <col min="6" max="6" width="14.15234375" bestFit="1" customWidth="1"/>
    <col min="7" max="7" width="11.84375" bestFit="1" customWidth="1"/>
    <col min="8" max="8" width="12.3046875" bestFit="1" customWidth="1"/>
    <col min="9" max="9" width="14.23046875" bestFit="1" customWidth="1"/>
    <col min="10" max="10" width="53.23046875" bestFit="1" customWidth="1"/>
    <col min="11" max="12" width="11.84375" bestFit="1" customWidth="1"/>
    <col min="13" max="13" width="13.3046875" bestFit="1" customWidth="1"/>
    <col min="14" max="14" width="13.4609375" bestFit="1" customWidth="1"/>
    <col min="15" max="15" width="15.15234375" bestFit="1" customWidth="1"/>
    <col min="16" max="16" width="18.53515625" bestFit="1" customWidth="1"/>
    <col min="17" max="17" width="15.53515625" bestFit="1" customWidth="1"/>
    <col min="18" max="18" width="11.84375" bestFit="1" customWidth="1"/>
    <col min="19" max="19" width="15.15234375" bestFit="1" customWidth="1"/>
    <col min="20" max="20" width="10.07421875" bestFit="1" customWidth="1"/>
    <col min="22" max="22" width="18.61328125" bestFit="1" customWidth="1"/>
    <col min="23" max="23" width="17.3046875" customWidth="1"/>
    <col min="24" max="24" width="15.23046875" customWidth="1"/>
    <col min="25" max="25" width="16.07421875" customWidth="1"/>
  </cols>
  <sheetData>
    <row r="2" spans="1:25" x14ac:dyDescent="0.4">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2307</v>
      </c>
      <c r="V2" t="s">
        <v>2309</v>
      </c>
      <c r="W2" t="s">
        <v>2337</v>
      </c>
      <c r="X2" t="s">
        <v>2314</v>
      </c>
      <c r="Y2" t="s">
        <v>2429</v>
      </c>
    </row>
    <row r="3" spans="1:25" hidden="1" x14ac:dyDescent="0.4">
      <c r="A3" t="s">
        <v>20</v>
      </c>
      <c r="B3">
        <v>4605427</v>
      </c>
      <c r="C3" t="s">
        <v>2100</v>
      </c>
      <c r="D3" t="s">
        <v>21</v>
      </c>
      <c r="E3" t="s">
        <v>22</v>
      </c>
      <c r="K3">
        <v>256.53008619299999</v>
      </c>
      <c r="L3">
        <v>2.690186486</v>
      </c>
      <c r="M3">
        <v>253.839899707</v>
      </c>
      <c r="N3">
        <v>0</v>
      </c>
      <c r="O3">
        <v>0</v>
      </c>
      <c r="P3" s="1" t="s">
        <v>23</v>
      </c>
      <c r="Q3">
        <v>1</v>
      </c>
      <c r="R3">
        <v>256.53008619299999</v>
      </c>
      <c r="V3" t="str">
        <f t="shared" ref="V3:V66" si="0">"S-"&amp;IF(LEN(I3)=0,B3,I3&amp;IF(F3="fee","-00",IF(LEN(G3)&gt;0,"-01","-02")))</f>
        <v>S-4605427</v>
      </c>
      <c r="W3">
        <f>COUNTIF(I:I,I3)</f>
        <v>0</v>
      </c>
      <c r="X3" t="str">
        <f t="shared" ref="X3:X66" si="1">IF(LEN(I3)&gt;0,I3&amp;IF(F3="fee","fee",IF(VALUE(G3)&gt;0,"debit",IF(VALUE(H3)&gt;0,"credit","error"))),"")</f>
        <v/>
      </c>
      <c r="Y3">
        <f t="shared" ref="Y3:Y66" si="2">ROUND(IF(ROW(U3) = 2,K3,0)+IF(H3&lt;&gt;"",H3,0) + IF(R3&lt;&gt;"",R3,0) - IF(G3&lt;&gt;"",G3,0),9)</f>
        <v>256.53008619299999</v>
      </c>
    </row>
    <row r="4" spans="1:25" hidden="1" x14ac:dyDescent="0.4">
      <c r="A4" t="s">
        <v>20</v>
      </c>
      <c r="B4">
        <v>4612627</v>
      </c>
      <c r="C4" t="s">
        <v>2101</v>
      </c>
      <c r="D4" t="s">
        <v>21</v>
      </c>
      <c r="E4" t="s">
        <v>22</v>
      </c>
      <c r="K4">
        <v>256.660971582</v>
      </c>
      <c r="L4">
        <v>2.690186486</v>
      </c>
      <c r="M4">
        <v>253.97078509599999</v>
      </c>
      <c r="N4">
        <v>0</v>
      </c>
      <c r="O4">
        <v>0</v>
      </c>
      <c r="P4" s="1" t="s">
        <v>24</v>
      </c>
      <c r="Q4">
        <v>1</v>
      </c>
      <c r="R4">
        <v>0.13088538899999999</v>
      </c>
      <c r="S4">
        <v>63.78</v>
      </c>
      <c r="T4" s="2">
        <v>45658</v>
      </c>
      <c r="V4" t="str">
        <f t="shared" si="0"/>
        <v>S-4612627</v>
      </c>
      <c r="W4">
        <f t="shared" ref="W4:W67" si="3">COUNTIF(I:I,I4)</f>
        <v>0</v>
      </c>
      <c r="X4" t="str">
        <f t="shared" si="1"/>
        <v/>
      </c>
      <c r="Y4">
        <f t="shared" si="2"/>
        <v>0.13088538899999999</v>
      </c>
    </row>
    <row r="5" spans="1:25" hidden="1" x14ac:dyDescent="0.4">
      <c r="A5" t="s">
        <v>20</v>
      </c>
      <c r="B5">
        <v>4619827</v>
      </c>
      <c r="C5" t="s">
        <v>2102</v>
      </c>
      <c r="D5" t="s">
        <v>21</v>
      </c>
      <c r="E5" t="s">
        <v>22</v>
      </c>
      <c r="K5">
        <v>256.77263285100003</v>
      </c>
      <c r="L5">
        <v>2.690186486</v>
      </c>
      <c r="M5">
        <v>254.08244636500001</v>
      </c>
      <c r="N5">
        <v>0</v>
      </c>
      <c r="O5">
        <v>0</v>
      </c>
      <c r="P5" s="1" t="s">
        <v>25</v>
      </c>
      <c r="Q5">
        <v>1</v>
      </c>
      <c r="R5">
        <v>0.11166126899999999</v>
      </c>
      <c r="S5">
        <v>58.29</v>
      </c>
      <c r="T5" s="2">
        <v>45659</v>
      </c>
      <c r="V5" t="str">
        <f t="shared" si="0"/>
        <v>S-4619827</v>
      </c>
      <c r="W5">
        <f t="shared" si="3"/>
        <v>0</v>
      </c>
      <c r="X5" t="str">
        <f t="shared" si="1"/>
        <v/>
      </c>
      <c r="Y5">
        <f t="shared" si="2"/>
        <v>0.11166126899999999</v>
      </c>
    </row>
    <row r="6" spans="1:25" hidden="1" x14ac:dyDescent="0.4">
      <c r="A6" t="s">
        <v>20</v>
      </c>
      <c r="B6">
        <v>4627027</v>
      </c>
      <c r="C6" t="s">
        <v>2103</v>
      </c>
      <c r="D6" t="s">
        <v>21</v>
      </c>
      <c r="E6" t="s">
        <v>22</v>
      </c>
      <c r="K6">
        <v>256.885242952</v>
      </c>
      <c r="L6">
        <v>2.690186486</v>
      </c>
      <c r="M6">
        <v>254.19505646600001</v>
      </c>
      <c r="N6">
        <v>0</v>
      </c>
      <c r="O6">
        <v>0</v>
      </c>
      <c r="P6" s="1" t="s">
        <v>26</v>
      </c>
      <c r="Q6">
        <v>1</v>
      </c>
      <c r="R6">
        <v>0.112610101</v>
      </c>
      <c r="S6">
        <v>62.08</v>
      </c>
      <c r="T6" s="2">
        <v>45660</v>
      </c>
      <c r="V6" t="str">
        <f t="shared" si="0"/>
        <v>S-4627027</v>
      </c>
      <c r="W6">
        <f t="shared" si="3"/>
        <v>0</v>
      </c>
      <c r="X6" t="str">
        <f t="shared" si="1"/>
        <v/>
      </c>
      <c r="Y6">
        <f t="shared" si="2"/>
        <v>0.112610101</v>
      </c>
    </row>
    <row r="7" spans="1:25" hidden="1" x14ac:dyDescent="0.4">
      <c r="A7" t="s">
        <v>20</v>
      </c>
      <c r="B7">
        <v>4634227</v>
      </c>
      <c r="C7" t="s">
        <v>2104</v>
      </c>
      <c r="D7" t="s">
        <v>21</v>
      </c>
      <c r="E7" t="s">
        <v>22</v>
      </c>
      <c r="K7">
        <v>256.99635785999999</v>
      </c>
      <c r="L7">
        <v>2.690186486</v>
      </c>
      <c r="M7">
        <v>254.306171374</v>
      </c>
      <c r="N7">
        <v>0</v>
      </c>
      <c r="O7">
        <v>0</v>
      </c>
      <c r="P7" s="1" t="s">
        <v>27</v>
      </c>
      <c r="Q7">
        <v>1</v>
      </c>
      <c r="R7">
        <v>0.111114908</v>
      </c>
      <c r="S7">
        <v>62.43</v>
      </c>
      <c r="T7" s="2">
        <v>45661</v>
      </c>
      <c r="V7" t="str">
        <f t="shared" si="0"/>
        <v>S-4634227</v>
      </c>
      <c r="W7">
        <f t="shared" si="3"/>
        <v>0</v>
      </c>
      <c r="X7" t="str">
        <f t="shared" si="1"/>
        <v/>
      </c>
      <c r="Y7">
        <f t="shared" si="2"/>
        <v>0.111114908</v>
      </c>
    </row>
    <row r="8" spans="1:25" hidden="1" x14ac:dyDescent="0.4">
      <c r="A8" t="s">
        <v>20</v>
      </c>
      <c r="B8">
        <v>4641427</v>
      </c>
      <c r="C8" t="s">
        <v>2105</v>
      </c>
      <c r="D8" t="s">
        <v>21</v>
      </c>
      <c r="E8" t="s">
        <v>22</v>
      </c>
      <c r="K8">
        <v>257.109000525</v>
      </c>
      <c r="L8">
        <v>2.690186486</v>
      </c>
      <c r="M8">
        <v>254.41881403900001</v>
      </c>
      <c r="N8">
        <v>0</v>
      </c>
      <c r="O8">
        <v>0</v>
      </c>
      <c r="P8">
        <v>566.19555422405097</v>
      </c>
      <c r="Q8">
        <v>1</v>
      </c>
      <c r="R8">
        <v>0.112642665</v>
      </c>
      <c r="S8">
        <v>63.77</v>
      </c>
      <c r="T8" s="2">
        <v>45662</v>
      </c>
      <c r="V8" t="str">
        <f t="shared" si="0"/>
        <v>S-4641427</v>
      </c>
      <c r="W8">
        <f t="shared" si="3"/>
        <v>0</v>
      </c>
      <c r="X8" t="str">
        <f t="shared" si="1"/>
        <v/>
      </c>
      <c r="Y8">
        <f t="shared" si="2"/>
        <v>0.112642665</v>
      </c>
    </row>
    <row r="9" spans="1:25" hidden="1" x14ac:dyDescent="0.4">
      <c r="A9" t="s">
        <v>20</v>
      </c>
      <c r="B9">
        <v>4648627</v>
      </c>
      <c r="C9" t="s">
        <v>2106</v>
      </c>
      <c r="D9" t="s">
        <v>21</v>
      </c>
      <c r="E9" t="s">
        <v>22</v>
      </c>
      <c r="K9">
        <v>257.225220396</v>
      </c>
      <c r="L9">
        <v>2.690186486</v>
      </c>
      <c r="M9">
        <v>254.53503391000001</v>
      </c>
      <c r="N9">
        <v>0</v>
      </c>
      <c r="O9">
        <v>0</v>
      </c>
      <c r="P9" s="1" t="s">
        <v>28</v>
      </c>
      <c r="Q9">
        <v>1</v>
      </c>
      <c r="R9">
        <v>0.116219871</v>
      </c>
      <c r="S9">
        <v>64.55</v>
      </c>
      <c r="T9" s="2">
        <v>45663</v>
      </c>
      <c r="V9" t="str">
        <f t="shared" si="0"/>
        <v>S-4648627</v>
      </c>
      <c r="W9">
        <f t="shared" si="3"/>
        <v>0</v>
      </c>
      <c r="X9" t="str">
        <f t="shared" si="1"/>
        <v/>
      </c>
      <c r="Y9">
        <f t="shared" si="2"/>
        <v>0.116219871</v>
      </c>
    </row>
    <row r="10" spans="1:25" hidden="1" x14ac:dyDescent="0.4">
      <c r="A10" t="s">
        <v>20</v>
      </c>
      <c r="B10">
        <v>4655827</v>
      </c>
      <c r="C10" t="s">
        <v>2107</v>
      </c>
      <c r="D10" t="s">
        <v>21</v>
      </c>
      <c r="E10" t="s">
        <v>22</v>
      </c>
      <c r="K10">
        <v>257.34255908699998</v>
      </c>
      <c r="L10">
        <v>2.690186486</v>
      </c>
      <c r="M10">
        <v>254.652372601</v>
      </c>
      <c r="N10">
        <v>0</v>
      </c>
      <c r="O10">
        <v>0</v>
      </c>
      <c r="P10" s="1" t="s">
        <v>29</v>
      </c>
      <c r="Q10">
        <v>1</v>
      </c>
      <c r="R10">
        <v>0.11733869099999999</v>
      </c>
      <c r="S10">
        <v>58.87</v>
      </c>
      <c r="T10" s="2">
        <v>45664</v>
      </c>
      <c r="V10" t="str">
        <f t="shared" si="0"/>
        <v>S-4655827</v>
      </c>
      <c r="W10">
        <f t="shared" si="3"/>
        <v>0</v>
      </c>
      <c r="X10" t="str">
        <f t="shared" si="1"/>
        <v/>
      </c>
      <c r="Y10">
        <f t="shared" si="2"/>
        <v>0.11733869099999999</v>
      </c>
    </row>
    <row r="11" spans="1:25" hidden="1" x14ac:dyDescent="0.4">
      <c r="A11" t="s">
        <v>20</v>
      </c>
      <c r="B11">
        <v>4663027</v>
      </c>
      <c r="C11" t="s">
        <v>2108</v>
      </c>
      <c r="D11" t="s">
        <v>21</v>
      </c>
      <c r="E11" t="s">
        <v>22</v>
      </c>
      <c r="K11">
        <v>257.45859210700002</v>
      </c>
      <c r="L11">
        <v>2.690186486</v>
      </c>
      <c r="M11">
        <v>254.768405621</v>
      </c>
      <c r="N11">
        <v>0</v>
      </c>
      <c r="O11">
        <v>0</v>
      </c>
      <c r="P11" s="1" t="s">
        <v>30</v>
      </c>
      <c r="Q11">
        <v>1</v>
      </c>
      <c r="R11">
        <v>0.11603302</v>
      </c>
      <c r="S11">
        <v>54.33</v>
      </c>
      <c r="T11" s="2">
        <v>45665</v>
      </c>
      <c r="V11" t="str">
        <f t="shared" si="0"/>
        <v>S-4663027</v>
      </c>
      <c r="W11">
        <f t="shared" si="3"/>
        <v>0</v>
      </c>
      <c r="X11" t="str">
        <f t="shared" si="1"/>
        <v/>
      </c>
      <c r="Y11">
        <f t="shared" si="2"/>
        <v>0.11603302</v>
      </c>
    </row>
    <row r="12" spans="1:25" hidden="1" x14ac:dyDescent="0.4">
      <c r="A12" t="s">
        <v>20</v>
      </c>
      <c r="B12">
        <v>4670227</v>
      </c>
      <c r="C12" t="s">
        <v>2109</v>
      </c>
      <c r="D12" t="s">
        <v>21</v>
      </c>
      <c r="E12" t="s">
        <v>22</v>
      </c>
      <c r="K12">
        <v>257.56864070199998</v>
      </c>
      <c r="L12">
        <v>2.690186486</v>
      </c>
      <c r="M12">
        <v>254.87845421599999</v>
      </c>
      <c r="N12">
        <v>0</v>
      </c>
      <c r="O12">
        <v>0</v>
      </c>
      <c r="P12" s="1" t="s">
        <v>31</v>
      </c>
      <c r="Q12">
        <v>1</v>
      </c>
      <c r="R12">
        <v>0.110048595</v>
      </c>
      <c r="S12">
        <v>47.46</v>
      </c>
      <c r="T12" s="2">
        <v>45666</v>
      </c>
      <c r="V12" t="str">
        <f t="shared" si="0"/>
        <v>S-4670227</v>
      </c>
      <c r="W12">
        <f t="shared" si="3"/>
        <v>0</v>
      </c>
      <c r="X12" t="str">
        <f t="shared" si="1"/>
        <v/>
      </c>
      <c r="Y12">
        <f t="shared" si="2"/>
        <v>0.110048595</v>
      </c>
    </row>
    <row r="13" spans="1:25" hidden="1" x14ac:dyDescent="0.4">
      <c r="A13" t="s">
        <v>20</v>
      </c>
      <c r="B13">
        <v>4677427</v>
      </c>
      <c r="C13" t="s">
        <v>2110</v>
      </c>
      <c r="D13" t="s">
        <v>21</v>
      </c>
      <c r="E13" t="s">
        <v>22</v>
      </c>
      <c r="K13">
        <v>257.678838509</v>
      </c>
      <c r="L13">
        <v>2.690186486</v>
      </c>
      <c r="M13">
        <v>254.98865202299999</v>
      </c>
      <c r="N13">
        <v>0</v>
      </c>
      <c r="O13">
        <v>0</v>
      </c>
      <c r="P13" s="1" t="s">
        <v>32</v>
      </c>
      <c r="Q13">
        <v>1</v>
      </c>
      <c r="R13">
        <v>0.11019780699999999</v>
      </c>
      <c r="S13">
        <v>48.55</v>
      </c>
      <c r="T13" s="2">
        <v>45667</v>
      </c>
      <c r="V13" t="str">
        <f t="shared" si="0"/>
        <v>S-4677427</v>
      </c>
      <c r="W13">
        <f t="shared" si="3"/>
        <v>0</v>
      </c>
      <c r="X13" t="str">
        <f t="shared" si="1"/>
        <v/>
      </c>
      <c r="Y13">
        <f t="shared" si="2"/>
        <v>0.11019780699999999</v>
      </c>
    </row>
    <row r="14" spans="1:25" hidden="1" x14ac:dyDescent="0.4">
      <c r="A14" t="s">
        <v>20</v>
      </c>
      <c r="B14">
        <v>4684626</v>
      </c>
      <c r="C14" t="s">
        <v>2111</v>
      </c>
      <c r="D14" t="s">
        <v>21</v>
      </c>
      <c r="E14" t="s">
        <v>22</v>
      </c>
      <c r="K14">
        <v>257.79090087200001</v>
      </c>
      <c r="L14">
        <v>2.690186486</v>
      </c>
      <c r="M14">
        <v>255.10071438599999</v>
      </c>
      <c r="N14">
        <v>0</v>
      </c>
      <c r="O14">
        <v>0</v>
      </c>
      <c r="P14" s="1" t="s">
        <v>33</v>
      </c>
      <c r="Q14">
        <v>1</v>
      </c>
      <c r="R14">
        <v>0.112062363</v>
      </c>
      <c r="S14">
        <v>50.16</v>
      </c>
      <c r="T14" s="2">
        <v>45668</v>
      </c>
      <c r="V14" t="str">
        <f t="shared" si="0"/>
        <v>S-4684626</v>
      </c>
      <c r="W14">
        <f t="shared" si="3"/>
        <v>0</v>
      </c>
      <c r="X14" t="str">
        <f t="shared" si="1"/>
        <v/>
      </c>
      <c r="Y14">
        <f t="shared" si="2"/>
        <v>0.112062363</v>
      </c>
    </row>
    <row r="15" spans="1:25" hidden="1" x14ac:dyDescent="0.4">
      <c r="A15" t="s">
        <v>20</v>
      </c>
      <c r="B15">
        <v>4691826</v>
      </c>
      <c r="C15" t="s">
        <v>2112</v>
      </c>
      <c r="D15" t="s">
        <v>21</v>
      </c>
      <c r="E15" t="s">
        <v>22</v>
      </c>
      <c r="K15">
        <v>257.90264158600002</v>
      </c>
      <c r="L15">
        <v>2.690186486</v>
      </c>
      <c r="M15">
        <v>255.2124551</v>
      </c>
      <c r="N15">
        <v>0</v>
      </c>
      <c r="O15">
        <v>0</v>
      </c>
      <c r="P15" s="1" t="s">
        <v>34</v>
      </c>
      <c r="Q15">
        <v>1</v>
      </c>
      <c r="R15">
        <v>0.111740714</v>
      </c>
      <c r="S15">
        <v>49.54</v>
      </c>
      <c r="T15" s="2">
        <v>45669</v>
      </c>
      <c r="V15" t="str">
        <f t="shared" si="0"/>
        <v>S-4691826</v>
      </c>
      <c r="W15">
        <f t="shared" si="3"/>
        <v>0</v>
      </c>
      <c r="X15" t="str">
        <f t="shared" si="1"/>
        <v/>
      </c>
      <c r="Y15">
        <f t="shared" si="2"/>
        <v>0.111740714</v>
      </c>
    </row>
    <row r="16" spans="1:25" hidden="1" x14ac:dyDescent="0.4">
      <c r="A16" t="s">
        <v>20</v>
      </c>
      <c r="B16">
        <v>4699026</v>
      </c>
      <c r="C16" t="s">
        <v>2113</v>
      </c>
      <c r="D16" t="s">
        <v>21</v>
      </c>
      <c r="E16" t="s">
        <v>22</v>
      </c>
      <c r="K16">
        <v>258.013033307</v>
      </c>
      <c r="L16">
        <v>2.690186486</v>
      </c>
      <c r="M16">
        <v>255.32284682100001</v>
      </c>
      <c r="N16">
        <v>0</v>
      </c>
      <c r="O16">
        <v>0</v>
      </c>
      <c r="P16" s="1" t="s">
        <v>35</v>
      </c>
      <c r="Q16">
        <v>1</v>
      </c>
      <c r="R16">
        <v>0.110391721</v>
      </c>
      <c r="S16">
        <v>46.42</v>
      </c>
      <c r="T16" s="2">
        <v>45670</v>
      </c>
      <c r="V16" t="str">
        <f t="shared" si="0"/>
        <v>S-4699026</v>
      </c>
      <c r="W16">
        <f t="shared" si="3"/>
        <v>0</v>
      </c>
      <c r="X16" t="str">
        <f t="shared" si="1"/>
        <v/>
      </c>
      <c r="Y16">
        <f t="shared" si="2"/>
        <v>0.110391721</v>
      </c>
    </row>
    <row r="17" spans="1:25" hidden="1" x14ac:dyDescent="0.4">
      <c r="A17" t="s">
        <v>20</v>
      </c>
      <c r="B17">
        <v>4706226</v>
      </c>
      <c r="C17" t="s">
        <v>2114</v>
      </c>
      <c r="D17" t="s">
        <v>21</v>
      </c>
      <c r="E17" t="s">
        <v>22</v>
      </c>
      <c r="K17">
        <v>258.122026103</v>
      </c>
      <c r="L17">
        <v>2.690186486</v>
      </c>
      <c r="M17">
        <v>255.43183961700001</v>
      </c>
      <c r="N17">
        <v>0</v>
      </c>
      <c r="O17">
        <v>0</v>
      </c>
      <c r="P17">
        <v>417.21126651056699</v>
      </c>
      <c r="Q17">
        <v>1</v>
      </c>
      <c r="R17">
        <v>0.108992796</v>
      </c>
      <c r="S17">
        <v>45.47</v>
      </c>
      <c r="T17" s="2">
        <v>45671</v>
      </c>
      <c r="V17" t="str">
        <f t="shared" si="0"/>
        <v>S-4706226</v>
      </c>
      <c r="W17">
        <f t="shared" si="3"/>
        <v>0</v>
      </c>
      <c r="X17" t="str">
        <f t="shared" si="1"/>
        <v/>
      </c>
      <c r="Y17">
        <f t="shared" si="2"/>
        <v>0.108992796</v>
      </c>
    </row>
    <row r="18" spans="1:25" hidden="1" x14ac:dyDescent="0.4">
      <c r="A18" t="s">
        <v>20</v>
      </c>
      <c r="B18">
        <v>4713426</v>
      </c>
      <c r="C18" t="s">
        <v>2115</v>
      </c>
      <c r="D18" t="s">
        <v>21</v>
      </c>
      <c r="E18" t="s">
        <v>22</v>
      </c>
      <c r="K18">
        <v>258.23075560199999</v>
      </c>
      <c r="L18">
        <v>2.690186486</v>
      </c>
      <c r="M18">
        <v>255.540569116</v>
      </c>
      <c r="N18">
        <v>0</v>
      </c>
      <c r="O18">
        <v>0</v>
      </c>
      <c r="P18" s="1" t="s">
        <v>36</v>
      </c>
      <c r="Q18">
        <v>1</v>
      </c>
      <c r="R18">
        <v>0.10872949899999999</v>
      </c>
      <c r="S18">
        <v>49.69</v>
      </c>
      <c r="T18" s="2">
        <v>45672</v>
      </c>
      <c r="V18" t="str">
        <f t="shared" si="0"/>
        <v>S-4713426</v>
      </c>
      <c r="W18">
        <f t="shared" si="3"/>
        <v>0</v>
      </c>
      <c r="X18" t="str">
        <f t="shared" si="1"/>
        <v/>
      </c>
      <c r="Y18">
        <f t="shared" si="2"/>
        <v>0.10872949899999999</v>
      </c>
    </row>
    <row r="19" spans="1:25" hidden="1" x14ac:dyDescent="0.4">
      <c r="A19" t="s">
        <v>20</v>
      </c>
      <c r="B19">
        <v>4720626</v>
      </c>
      <c r="C19" t="s">
        <v>2116</v>
      </c>
      <c r="D19" t="s">
        <v>21</v>
      </c>
      <c r="E19" t="s">
        <v>22</v>
      </c>
      <c r="K19">
        <v>258.339662659</v>
      </c>
      <c r="L19">
        <v>2.690186486</v>
      </c>
      <c r="M19">
        <v>255.64947617300001</v>
      </c>
      <c r="N19">
        <v>0</v>
      </c>
      <c r="O19">
        <v>0</v>
      </c>
      <c r="P19" s="1" t="s">
        <v>37</v>
      </c>
      <c r="Q19">
        <v>1</v>
      </c>
      <c r="R19">
        <v>0.108907057</v>
      </c>
      <c r="S19">
        <v>48.3</v>
      </c>
      <c r="T19" s="2">
        <v>45673</v>
      </c>
      <c r="V19" t="str">
        <f t="shared" si="0"/>
        <v>S-4720626</v>
      </c>
      <c r="W19">
        <f t="shared" si="3"/>
        <v>0</v>
      </c>
      <c r="X19" t="str">
        <f t="shared" si="1"/>
        <v/>
      </c>
      <c r="Y19">
        <f t="shared" si="2"/>
        <v>0.108907057</v>
      </c>
    </row>
    <row r="20" spans="1:25" hidden="1" x14ac:dyDescent="0.4">
      <c r="A20" t="s">
        <v>20</v>
      </c>
      <c r="B20">
        <v>4727826</v>
      </c>
      <c r="C20" t="s">
        <v>2117</v>
      </c>
      <c r="D20" t="s">
        <v>21</v>
      </c>
      <c r="E20" t="s">
        <v>22</v>
      </c>
      <c r="K20">
        <v>258.45136172899998</v>
      </c>
      <c r="L20">
        <v>2.690186486</v>
      </c>
      <c r="M20">
        <v>255.761175243</v>
      </c>
      <c r="N20">
        <v>0</v>
      </c>
      <c r="O20">
        <v>0</v>
      </c>
      <c r="P20" s="1" t="s">
        <v>38</v>
      </c>
      <c r="Q20">
        <v>1</v>
      </c>
      <c r="R20">
        <v>0.11169907</v>
      </c>
      <c r="S20">
        <v>54.39</v>
      </c>
      <c r="T20" s="2">
        <v>45674</v>
      </c>
      <c r="V20" t="str">
        <f t="shared" si="0"/>
        <v>S-4727826</v>
      </c>
      <c r="W20">
        <f t="shared" si="3"/>
        <v>0</v>
      </c>
      <c r="X20" t="str">
        <f t="shared" si="1"/>
        <v/>
      </c>
      <c r="Y20">
        <f t="shared" si="2"/>
        <v>0.11169907</v>
      </c>
    </row>
    <row r="21" spans="1:25" hidden="1" x14ac:dyDescent="0.4">
      <c r="A21" t="s">
        <v>20</v>
      </c>
      <c r="B21">
        <v>4735025</v>
      </c>
      <c r="C21" t="s">
        <v>2118</v>
      </c>
      <c r="D21" t="s">
        <v>21</v>
      </c>
      <c r="E21" t="s">
        <v>22</v>
      </c>
      <c r="K21">
        <v>258.56649603699998</v>
      </c>
      <c r="L21">
        <v>2.690186486</v>
      </c>
      <c r="M21">
        <v>255.87630955099999</v>
      </c>
      <c r="N21">
        <v>0</v>
      </c>
      <c r="O21">
        <v>0</v>
      </c>
      <c r="P21" s="1" t="s">
        <v>39</v>
      </c>
      <c r="Q21">
        <v>1</v>
      </c>
      <c r="R21">
        <v>0.115134308</v>
      </c>
      <c r="S21">
        <v>52.96</v>
      </c>
      <c r="T21" s="2">
        <v>45675</v>
      </c>
      <c r="V21" t="str">
        <f t="shared" si="0"/>
        <v>S-4735025</v>
      </c>
      <c r="W21">
        <f t="shared" si="3"/>
        <v>0</v>
      </c>
      <c r="X21" t="str">
        <f t="shared" si="1"/>
        <v/>
      </c>
      <c r="Y21">
        <f t="shared" si="2"/>
        <v>0.115134308</v>
      </c>
    </row>
    <row r="22" spans="1:25" hidden="1" x14ac:dyDescent="0.4">
      <c r="A22" t="s">
        <v>20</v>
      </c>
      <c r="B22">
        <v>4742224</v>
      </c>
      <c r="C22" t="s">
        <v>2119</v>
      </c>
      <c r="D22" t="s">
        <v>21</v>
      </c>
      <c r="E22" t="s">
        <v>22</v>
      </c>
      <c r="K22">
        <v>258.68096609600002</v>
      </c>
      <c r="L22">
        <v>2.690186486</v>
      </c>
      <c r="M22">
        <v>255.99077961</v>
      </c>
      <c r="N22">
        <v>0</v>
      </c>
      <c r="O22">
        <v>0</v>
      </c>
      <c r="P22" s="1" t="s">
        <v>40</v>
      </c>
      <c r="Q22">
        <v>1</v>
      </c>
      <c r="R22">
        <v>0.114470059</v>
      </c>
      <c r="S22">
        <v>48.59</v>
      </c>
      <c r="T22" s="2">
        <v>45676</v>
      </c>
      <c r="V22" t="str">
        <f t="shared" si="0"/>
        <v>S-4742224</v>
      </c>
      <c r="W22">
        <f t="shared" si="3"/>
        <v>0</v>
      </c>
      <c r="X22" t="str">
        <f t="shared" si="1"/>
        <v/>
      </c>
      <c r="Y22">
        <f t="shared" si="2"/>
        <v>0.114470059</v>
      </c>
    </row>
    <row r="23" spans="1:25" hidden="1" x14ac:dyDescent="0.4">
      <c r="A23" t="s">
        <v>20</v>
      </c>
      <c r="B23">
        <v>4749424</v>
      </c>
      <c r="C23" t="s">
        <v>2120</v>
      </c>
      <c r="D23" t="s">
        <v>21</v>
      </c>
      <c r="E23" t="s">
        <v>22</v>
      </c>
      <c r="K23">
        <v>258.79932593199999</v>
      </c>
      <c r="L23">
        <v>2.690186486</v>
      </c>
      <c r="M23">
        <v>256.10913944599997</v>
      </c>
      <c r="N23">
        <v>0</v>
      </c>
      <c r="O23">
        <v>0</v>
      </c>
      <c r="P23" s="1" t="s">
        <v>41</v>
      </c>
      <c r="Q23">
        <v>1</v>
      </c>
      <c r="R23">
        <v>0.118359836</v>
      </c>
      <c r="S23">
        <v>48.51</v>
      </c>
      <c r="T23" s="2">
        <v>45677</v>
      </c>
      <c r="V23" t="str">
        <f t="shared" si="0"/>
        <v>S-4749424</v>
      </c>
      <c r="W23">
        <f t="shared" si="3"/>
        <v>0</v>
      </c>
      <c r="X23" t="str">
        <f t="shared" si="1"/>
        <v/>
      </c>
      <c r="Y23">
        <f t="shared" si="2"/>
        <v>0.118359836</v>
      </c>
    </row>
    <row r="24" spans="1:25" hidden="1" x14ac:dyDescent="0.4">
      <c r="A24" t="s">
        <v>20</v>
      </c>
      <c r="B24">
        <v>4756623</v>
      </c>
      <c r="C24" t="s">
        <v>2121</v>
      </c>
      <c r="D24" t="s">
        <v>21</v>
      </c>
      <c r="E24" t="s">
        <v>22</v>
      </c>
      <c r="K24">
        <v>258.92651764200002</v>
      </c>
      <c r="L24">
        <v>2.690186486</v>
      </c>
      <c r="M24">
        <v>256.23633115600001</v>
      </c>
      <c r="N24">
        <v>0</v>
      </c>
      <c r="O24">
        <v>0</v>
      </c>
      <c r="P24" s="1" t="s">
        <v>42</v>
      </c>
      <c r="Q24">
        <v>1</v>
      </c>
      <c r="R24">
        <v>0.12719171000000001</v>
      </c>
      <c r="S24">
        <v>54.22</v>
      </c>
      <c r="T24" s="2">
        <v>45678</v>
      </c>
      <c r="V24" t="str">
        <f t="shared" si="0"/>
        <v>S-4756623</v>
      </c>
      <c r="W24">
        <f t="shared" si="3"/>
        <v>0</v>
      </c>
      <c r="X24" t="str">
        <f t="shared" si="1"/>
        <v/>
      </c>
      <c r="Y24">
        <f t="shared" si="2"/>
        <v>0.12719171000000001</v>
      </c>
    </row>
    <row r="25" spans="1:25" hidden="1" x14ac:dyDescent="0.4">
      <c r="A25" t="s">
        <v>20</v>
      </c>
      <c r="B25">
        <v>4763823</v>
      </c>
      <c r="C25" t="s">
        <v>2122</v>
      </c>
      <c r="D25" t="s">
        <v>21</v>
      </c>
      <c r="E25" t="s">
        <v>22</v>
      </c>
      <c r="K25">
        <v>259.042369753</v>
      </c>
      <c r="L25">
        <v>2.690186486</v>
      </c>
      <c r="M25">
        <v>256.35218326699999</v>
      </c>
      <c r="N25">
        <v>0</v>
      </c>
      <c r="O25">
        <v>0</v>
      </c>
      <c r="P25" s="1" t="s">
        <v>43</v>
      </c>
      <c r="Q25">
        <v>1</v>
      </c>
      <c r="R25">
        <v>0.11585211099999999</v>
      </c>
      <c r="S25">
        <v>46.47</v>
      </c>
      <c r="T25" s="2">
        <v>45679</v>
      </c>
      <c r="V25" t="str">
        <f t="shared" si="0"/>
        <v>S-4763823</v>
      </c>
      <c r="W25">
        <f t="shared" si="3"/>
        <v>0</v>
      </c>
      <c r="X25" t="str">
        <f t="shared" si="1"/>
        <v/>
      </c>
      <c r="Y25">
        <f t="shared" si="2"/>
        <v>0.11585211099999999</v>
      </c>
    </row>
    <row r="26" spans="1:25" hidden="1" x14ac:dyDescent="0.4">
      <c r="A26" t="s">
        <v>20</v>
      </c>
      <c r="B26">
        <v>4771023</v>
      </c>
      <c r="C26" t="s">
        <v>2123</v>
      </c>
      <c r="D26" t="s">
        <v>21</v>
      </c>
      <c r="E26" t="s">
        <v>22</v>
      </c>
      <c r="K26">
        <v>259.15633680299999</v>
      </c>
      <c r="L26">
        <v>2.690186486</v>
      </c>
      <c r="M26">
        <v>256.46615031699997</v>
      </c>
      <c r="N26">
        <v>0</v>
      </c>
      <c r="O26">
        <v>0</v>
      </c>
      <c r="P26" s="1" t="s">
        <v>44</v>
      </c>
      <c r="Q26">
        <v>1</v>
      </c>
      <c r="R26">
        <v>0.11396705</v>
      </c>
      <c r="S26">
        <v>43.4</v>
      </c>
      <c r="T26" s="2">
        <v>45680</v>
      </c>
      <c r="V26" t="str">
        <f t="shared" si="0"/>
        <v>S-4771023</v>
      </c>
      <c r="W26">
        <f t="shared" si="3"/>
        <v>0</v>
      </c>
      <c r="X26" t="str">
        <f t="shared" si="1"/>
        <v/>
      </c>
      <c r="Y26">
        <f t="shared" si="2"/>
        <v>0.11396705</v>
      </c>
    </row>
    <row r="27" spans="1:25" hidden="1" x14ac:dyDescent="0.4">
      <c r="A27" t="s">
        <v>20</v>
      </c>
      <c r="B27">
        <v>4778223</v>
      </c>
      <c r="C27" t="s">
        <v>2124</v>
      </c>
      <c r="D27" t="s">
        <v>21</v>
      </c>
      <c r="E27" t="s">
        <v>22</v>
      </c>
      <c r="K27">
        <v>259.27148099499999</v>
      </c>
      <c r="L27">
        <v>2.690186486</v>
      </c>
      <c r="M27">
        <v>256.58129450899997</v>
      </c>
      <c r="N27">
        <v>0</v>
      </c>
      <c r="O27">
        <v>0</v>
      </c>
      <c r="P27" s="1" t="s">
        <v>45</v>
      </c>
      <c r="Q27">
        <v>1</v>
      </c>
      <c r="R27">
        <v>0.11514419200000001</v>
      </c>
      <c r="S27">
        <v>42.67</v>
      </c>
      <c r="T27" s="2">
        <v>45681</v>
      </c>
      <c r="V27" t="str">
        <f t="shared" si="0"/>
        <v>S-4778223</v>
      </c>
      <c r="W27">
        <f t="shared" si="3"/>
        <v>0</v>
      </c>
      <c r="X27" t="str">
        <f t="shared" si="1"/>
        <v/>
      </c>
      <c r="Y27">
        <f t="shared" si="2"/>
        <v>0.11514419200000001</v>
      </c>
    </row>
    <row r="28" spans="1:25" hidden="1" x14ac:dyDescent="0.4">
      <c r="A28" t="s">
        <v>20</v>
      </c>
      <c r="B28">
        <v>4785423</v>
      </c>
      <c r="C28" t="s">
        <v>2125</v>
      </c>
      <c r="D28" t="s">
        <v>21</v>
      </c>
      <c r="E28" t="s">
        <v>22</v>
      </c>
      <c r="K28">
        <v>259.38861718499999</v>
      </c>
      <c r="L28">
        <v>2.690186486</v>
      </c>
      <c r="M28">
        <v>256.69843069900003</v>
      </c>
      <c r="N28">
        <v>0</v>
      </c>
      <c r="O28">
        <v>0</v>
      </c>
      <c r="P28" s="1" t="s">
        <v>46</v>
      </c>
      <c r="Q28">
        <v>1</v>
      </c>
      <c r="R28">
        <v>0.11713619</v>
      </c>
      <c r="S28">
        <v>48.39</v>
      </c>
      <c r="T28" s="2">
        <v>45682</v>
      </c>
      <c r="V28" t="str">
        <f t="shared" si="0"/>
        <v>S-4785423</v>
      </c>
      <c r="W28">
        <f t="shared" si="3"/>
        <v>0</v>
      </c>
      <c r="X28" t="str">
        <f t="shared" si="1"/>
        <v/>
      </c>
      <c r="Y28">
        <f t="shared" si="2"/>
        <v>0.11713619</v>
      </c>
    </row>
    <row r="29" spans="1:25" hidden="1" x14ac:dyDescent="0.4">
      <c r="A29" t="s">
        <v>20</v>
      </c>
      <c r="B29">
        <v>4792622</v>
      </c>
      <c r="C29" t="s">
        <v>2126</v>
      </c>
      <c r="D29" t="s">
        <v>21</v>
      </c>
      <c r="E29" t="s">
        <v>22</v>
      </c>
      <c r="K29">
        <v>259.50579985600001</v>
      </c>
      <c r="L29">
        <v>2.690186486</v>
      </c>
      <c r="M29">
        <v>256.81561336999999</v>
      </c>
      <c r="N29">
        <v>0</v>
      </c>
      <c r="O29">
        <v>0</v>
      </c>
      <c r="P29" s="1" t="s">
        <v>47</v>
      </c>
      <c r="Q29">
        <v>1</v>
      </c>
      <c r="R29">
        <v>0.117182671</v>
      </c>
      <c r="S29">
        <v>50.79</v>
      </c>
      <c r="T29" s="2">
        <v>45683</v>
      </c>
      <c r="V29" t="str">
        <f t="shared" si="0"/>
        <v>S-4792622</v>
      </c>
      <c r="W29">
        <f t="shared" si="3"/>
        <v>0</v>
      </c>
      <c r="X29" t="str">
        <f t="shared" si="1"/>
        <v/>
      </c>
      <c r="Y29">
        <f t="shared" si="2"/>
        <v>0.117182671</v>
      </c>
    </row>
    <row r="30" spans="1:25" hidden="1" x14ac:dyDescent="0.4">
      <c r="A30" t="s">
        <v>20</v>
      </c>
      <c r="B30">
        <v>4799822</v>
      </c>
      <c r="C30" t="s">
        <v>2127</v>
      </c>
      <c r="D30" t="s">
        <v>21</v>
      </c>
      <c r="E30" t="s">
        <v>22</v>
      </c>
      <c r="K30">
        <v>259.62521594100002</v>
      </c>
      <c r="L30">
        <v>2.690186486</v>
      </c>
      <c r="M30">
        <v>256.93502945500001</v>
      </c>
      <c r="N30">
        <v>0</v>
      </c>
      <c r="O30">
        <v>0</v>
      </c>
      <c r="P30" s="1" t="s">
        <v>48</v>
      </c>
      <c r="Q30">
        <v>1</v>
      </c>
      <c r="R30">
        <v>0.11941608500000001</v>
      </c>
      <c r="S30">
        <v>52.7</v>
      </c>
      <c r="T30" s="2">
        <v>45684</v>
      </c>
      <c r="V30" t="str">
        <f t="shared" si="0"/>
        <v>S-4799822</v>
      </c>
      <c r="W30">
        <f t="shared" si="3"/>
        <v>0</v>
      </c>
      <c r="X30" t="str">
        <f t="shared" si="1"/>
        <v/>
      </c>
      <c r="Y30">
        <f t="shared" si="2"/>
        <v>0.11941608500000001</v>
      </c>
    </row>
    <row r="31" spans="1:25" hidden="1" x14ac:dyDescent="0.4">
      <c r="A31" t="s">
        <v>20</v>
      </c>
      <c r="B31">
        <v>4807022</v>
      </c>
      <c r="C31" t="s">
        <v>2128</v>
      </c>
      <c r="D31" t="s">
        <v>21</v>
      </c>
      <c r="E31" t="s">
        <v>22</v>
      </c>
      <c r="K31">
        <v>259.74492124699998</v>
      </c>
      <c r="L31">
        <v>2.690186486</v>
      </c>
      <c r="M31">
        <v>257.05473476100002</v>
      </c>
      <c r="N31">
        <v>0</v>
      </c>
      <c r="O31">
        <v>0</v>
      </c>
      <c r="P31" s="1" t="s">
        <v>49</v>
      </c>
      <c r="Q31">
        <v>1</v>
      </c>
      <c r="R31">
        <v>0.119705306</v>
      </c>
      <c r="S31">
        <v>53.25</v>
      </c>
      <c r="T31" s="2">
        <v>45685</v>
      </c>
      <c r="V31" t="str">
        <f t="shared" si="0"/>
        <v>S-4807022</v>
      </c>
      <c r="W31">
        <f t="shared" si="3"/>
        <v>0</v>
      </c>
      <c r="X31" t="str">
        <f t="shared" si="1"/>
        <v/>
      </c>
      <c r="Y31">
        <f t="shared" si="2"/>
        <v>0.119705306</v>
      </c>
    </row>
    <row r="32" spans="1:25" hidden="1" x14ac:dyDescent="0.4">
      <c r="A32" t="s">
        <v>20</v>
      </c>
      <c r="B32">
        <v>4814222</v>
      </c>
      <c r="C32" t="s">
        <v>2129</v>
      </c>
      <c r="D32" t="s">
        <v>21</v>
      </c>
      <c r="E32" t="s">
        <v>22</v>
      </c>
      <c r="K32">
        <v>259.85818041099998</v>
      </c>
      <c r="L32">
        <v>2.690186486</v>
      </c>
      <c r="M32">
        <v>257.16799392500002</v>
      </c>
      <c r="N32">
        <v>0</v>
      </c>
      <c r="O32">
        <v>0</v>
      </c>
      <c r="P32">
        <v>450.68656835242302</v>
      </c>
      <c r="Q32">
        <v>1</v>
      </c>
      <c r="R32">
        <v>0.113259164</v>
      </c>
      <c r="S32">
        <v>51.04</v>
      </c>
      <c r="T32" s="2">
        <v>45686</v>
      </c>
      <c r="V32" t="str">
        <f t="shared" si="0"/>
        <v>S-4814222</v>
      </c>
      <c r="W32">
        <f t="shared" si="3"/>
        <v>0</v>
      </c>
      <c r="X32" t="str">
        <f t="shared" si="1"/>
        <v/>
      </c>
      <c r="Y32">
        <f t="shared" si="2"/>
        <v>0.113259164</v>
      </c>
    </row>
    <row r="33" spans="1:25" hidden="1" x14ac:dyDescent="0.4">
      <c r="A33" t="s">
        <v>20</v>
      </c>
      <c r="B33">
        <v>4821422</v>
      </c>
      <c r="C33" t="s">
        <v>2130</v>
      </c>
      <c r="D33" t="s">
        <v>21</v>
      </c>
      <c r="E33" t="s">
        <v>22</v>
      </c>
      <c r="K33">
        <v>259.97456845099998</v>
      </c>
      <c r="L33">
        <v>2.690186486</v>
      </c>
      <c r="M33">
        <v>257.28438196500002</v>
      </c>
      <c r="N33">
        <v>0</v>
      </c>
      <c r="O33">
        <v>0</v>
      </c>
      <c r="P33" s="1" t="s">
        <v>50</v>
      </c>
      <c r="Q33">
        <v>1</v>
      </c>
      <c r="R33">
        <v>0.11638804</v>
      </c>
      <c r="S33">
        <v>52.9</v>
      </c>
      <c r="T33" s="2">
        <v>45687</v>
      </c>
      <c r="V33" t="str">
        <f t="shared" si="0"/>
        <v>S-4821422</v>
      </c>
      <c r="W33">
        <f t="shared" si="3"/>
        <v>0</v>
      </c>
      <c r="X33" t="str">
        <f t="shared" si="1"/>
        <v/>
      </c>
      <c r="Y33">
        <f t="shared" si="2"/>
        <v>0.11638804</v>
      </c>
    </row>
    <row r="34" spans="1:25" hidden="1" x14ac:dyDescent="0.4">
      <c r="A34" t="s">
        <v>20</v>
      </c>
      <c r="B34">
        <v>4828622</v>
      </c>
      <c r="C34" t="s">
        <v>2131</v>
      </c>
      <c r="D34" t="s">
        <v>21</v>
      </c>
      <c r="E34" t="s">
        <v>22</v>
      </c>
      <c r="K34">
        <v>260.093908898</v>
      </c>
      <c r="L34">
        <v>2.690186486</v>
      </c>
      <c r="M34">
        <v>257.40372241199998</v>
      </c>
      <c r="N34">
        <v>0</v>
      </c>
      <c r="O34">
        <v>0</v>
      </c>
      <c r="P34" s="1" t="s">
        <v>51</v>
      </c>
      <c r="Q34">
        <v>1</v>
      </c>
      <c r="R34">
        <v>0.119340447</v>
      </c>
      <c r="S34">
        <v>53.55</v>
      </c>
      <c r="T34" s="2">
        <v>45688</v>
      </c>
      <c r="V34" t="str">
        <f t="shared" si="0"/>
        <v>S-4828622</v>
      </c>
      <c r="W34">
        <f t="shared" si="3"/>
        <v>0</v>
      </c>
      <c r="X34" t="str">
        <f t="shared" si="1"/>
        <v/>
      </c>
      <c r="Y34">
        <f t="shared" si="2"/>
        <v>0.119340447</v>
      </c>
    </row>
    <row r="35" spans="1:25" hidden="1" x14ac:dyDescent="0.4">
      <c r="A35" t="s">
        <v>20</v>
      </c>
      <c r="B35">
        <v>4835821</v>
      </c>
      <c r="C35" t="s">
        <v>2132</v>
      </c>
      <c r="D35" t="s">
        <v>21</v>
      </c>
      <c r="E35" t="s">
        <v>22</v>
      </c>
      <c r="K35">
        <v>260.21313743600001</v>
      </c>
      <c r="L35">
        <v>2.690186486</v>
      </c>
      <c r="M35">
        <v>257.52295094999999</v>
      </c>
      <c r="N35">
        <v>0</v>
      </c>
      <c r="O35">
        <v>0</v>
      </c>
      <c r="P35" s="1" t="s">
        <v>52</v>
      </c>
      <c r="Q35">
        <v>1</v>
      </c>
      <c r="R35">
        <v>0.119228538</v>
      </c>
      <c r="S35">
        <v>47.11</v>
      </c>
      <c r="T35" s="2">
        <v>45689</v>
      </c>
      <c r="V35" t="str">
        <f t="shared" si="0"/>
        <v>S-4835821</v>
      </c>
      <c r="W35">
        <f t="shared" si="3"/>
        <v>0</v>
      </c>
      <c r="X35" t="str">
        <f t="shared" si="1"/>
        <v/>
      </c>
      <c r="Y35">
        <f t="shared" si="2"/>
        <v>0.119228538</v>
      </c>
    </row>
    <row r="36" spans="1:25" hidden="1" x14ac:dyDescent="0.4">
      <c r="A36" t="s">
        <v>20</v>
      </c>
      <c r="B36">
        <v>4843021</v>
      </c>
      <c r="C36" t="s">
        <v>2133</v>
      </c>
      <c r="D36" t="s">
        <v>21</v>
      </c>
      <c r="E36" t="s">
        <v>22</v>
      </c>
      <c r="K36">
        <v>260.33092196500002</v>
      </c>
      <c r="L36">
        <v>2.690186486</v>
      </c>
      <c r="M36">
        <v>257.640735479</v>
      </c>
      <c r="N36">
        <v>0</v>
      </c>
      <c r="O36">
        <v>0</v>
      </c>
      <c r="P36" s="1" t="s">
        <v>53</v>
      </c>
      <c r="Q36">
        <v>1</v>
      </c>
      <c r="R36">
        <v>0.117784529</v>
      </c>
      <c r="S36">
        <v>40.93</v>
      </c>
      <c r="T36" s="2">
        <v>45690</v>
      </c>
      <c r="V36" t="str">
        <f t="shared" si="0"/>
        <v>S-4843021</v>
      </c>
      <c r="W36">
        <f t="shared" si="3"/>
        <v>0</v>
      </c>
      <c r="X36" t="str">
        <f t="shared" si="1"/>
        <v/>
      </c>
      <c r="Y36">
        <f t="shared" si="2"/>
        <v>0.117784529</v>
      </c>
    </row>
    <row r="37" spans="1:25" hidden="1" x14ac:dyDescent="0.4">
      <c r="A37" t="s">
        <v>20</v>
      </c>
      <c r="B37">
        <v>4850221</v>
      </c>
      <c r="C37" t="s">
        <v>2134</v>
      </c>
      <c r="D37" t="s">
        <v>21</v>
      </c>
      <c r="E37" t="s">
        <v>22</v>
      </c>
      <c r="K37">
        <v>260.45122022499999</v>
      </c>
      <c r="L37">
        <v>2.690186486</v>
      </c>
      <c r="M37">
        <v>257.76103373900003</v>
      </c>
      <c r="N37">
        <v>0</v>
      </c>
      <c r="O37">
        <v>0</v>
      </c>
      <c r="P37" s="1" t="s">
        <v>54</v>
      </c>
      <c r="Q37">
        <v>1</v>
      </c>
      <c r="R37">
        <v>0.12029826</v>
      </c>
      <c r="S37">
        <v>47.08</v>
      </c>
      <c r="T37" s="2">
        <v>45691</v>
      </c>
      <c r="V37" t="str">
        <f t="shared" si="0"/>
        <v>S-4850221</v>
      </c>
      <c r="W37">
        <f t="shared" si="3"/>
        <v>0</v>
      </c>
      <c r="X37" t="str">
        <f t="shared" si="1"/>
        <v/>
      </c>
      <c r="Y37">
        <f t="shared" si="2"/>
        <v>0.12029826</v>
      </c>
    </row>
    <row r="38" spans="1:25" hidden="1" x14ac:dyDescent="0.4">
      <c r="A38" t="s">
        <v>20</v>
      </c>
      <c r="B38">
        <v>4857421</v>
      </c>
      <c r="C38" t="s">
        <v>2135</v>
      </c>
      <c r="D38" t="s">
        <v>21</v>
      </c>
      <c r="E38" t="s">
        <v>22</v>
      </c>
      <c r="K38">
        <v>260.56886890800001</v>
      </c>
      <c r="L38">
        <v>2.690186486</v>
      </c>
      <c r="M38">
        <v>257.878682422</v>
      </c>
      <c r="N38">
        <v>0</v>
      </c>
      <c r="O38">
        <v>0</v>
      </c>
      <c r="P38" s="1" t="s">
        <v>55</v>
      </c>
      <c r="Q38">
        <v>1</v>
      </c>
      <c r="R38">
        <v>0.117648683</v>
      </c>
      <c r="S38">
        <v>42.06</v>
      </c>
      <c r="T38" s="2">
        <v>45692</v>
      </c>
      <c r="V38" t="str">
        <f t="shared" si="0"/>
        <v>S-4857421</v>
      </c>
      <c r="W38">
        <f t="shared" si="3"/>
        <v>0</v>
      </c>
      <c r="X38" t="str">
        <f t="shared" si="1"/>
        <v/>
      </c>
      <c r="Y38">
        <f t="shared" si="2"/>
        <v>0.117648683</v>
      </c>
    </row>
    <row r="39" spans="1:25" hidden="1" x14ac:dyDescent="0.4">
      <c r="A39" t="s">
        <v>20</v>
      </c>
      <c r="B39">
        <v>4864621</v>
      </c>
      <c r="C39" t="s">
        <v>2136</v>
      </c>
      <c r="D39" t="s">
        <v>21</v>
      </c>
      <c r="E39" t="s">
        <v>22</v>
      </c>
      <c r="K39">
        <v>260.68488597999999</v>
      </c>
      <c r="L39">
        <v>2.690186486</v>
      </c>
      <c r="M39">
        <v>257.99469949399997</v>
      </c>
      <c r="N39">
        <v>0</v>
      </c>
      <c r="O39">
        <v>0</v>
      </c>
      <c r="P39" s="1" t="s">
        <v>56</v>
      </c>
      <c r="Q39">
        <v>1</v>
      </c>
      <c r="R39">
        <v>0.116017072</v>
      </c>
      <c r="S39">
        <v>40.729999999999997</v>
      </c>
      <c r="T39" s="2">
        <v>45693</v>
      </c>
      <c r="V39" t="str">
        <f t="shared" si="0"/>
        <v>S-4864621</v>
      </c>
      <c r="W39">
        <f t="shared" si="3"/>
        <v>0</v>
      </c>
      <c r="X39" t="str">
        <f t="shared" si="1"/>
        <v/>
      </c>
      <c r="Y39">
        <f t="shared" si="2"/>
        <v>0.116017072</v>
      </c>
    </row>
    <row r="40" spans="1:25" hidden="1" x14ac:dyDescent="0.4">
      <c r="A40" t="s">
        <v>20</v>
      </c>
      <c r="B40">
        <v>4871820</v>
      </c>
      <c r="C40" t="s">
        <v>2137</v>
      </c>
      <c r="D40" t="s">
        <v>21</v>
      </c>
      <c r="E40" t="s">
        <v>22</v>
      </c>
      <c r="K40">
        <v>260.80759266400003</v>
      </c>
      <c r="L40">
        <v>2.690186486</v>
      </c>
      <c r="M40">
        <v>258.11740617800001</v>
      </c>
      <c r="N40">
        <v>0</v>
      </c>
      <c r="O40">
        <v>0</v>
      </c>
      <c r="P40">
        <v>325.04555956434098</v>
      </c>
      <c r="Q40">
        <v>1</v>
      </c>
      <c r="R40">
        <v>0.122706684</v>
      </c>
      <c r="S40">
        <v>39.880000000000003</v>
      </c>
      <c r="T40" s="2">
        <v>45694</v>
      </c>
      <c r="V40" t="str">
        <f t="shared" si="0"/>
        <v>S-4871820</v>
      </c>
      <c r="W40">
        <f t="shared" si="3"/>
        <v>0</v>
      </c>
      <c r="X40" t="str">
        <f t="shared" si="1"/>
        <v/>
      </c>
      <c r="Y40">
        <f t="shared" si="2"/>
        <v>0.122706684</v>
      </c>
    </row>
    <row r="41" spans="1:25" hidden="1" x14ac:dyDescent="0.4">
      <c r="A41" t="s">
        <v>20</v>
      </c>
      <c r="B41">
        <v>4878757</v>
      </c>
      <c r="C41" t="s">
        <v>2138</v>
      </c>
      <c r="D41" t="s">
        <v>21</v>
      </c>
      <c r="E41" t="s">
        <v>22</v>
      </c>
      <c r="K41">
        <v>260.93076384099999</v>
      </c>
      <c r="L41">
        <v>2.690186486</v>
      </c>
      <c r="M41">
        <v>258.24057735500003</v>
      </c>
      <c r="N41">
        <v>0</v>
      </c>
      <c r="O41">
        <v>0</v>
      </c>
      <c r="P41" s="1" t="s">
        <v>57</v>
      </c>
      <c r="Q41">
        <v>1</v>
      </c>
      <c r="R41">
        <v>0.12317117700000001</v>
      </c>
      <c r="S41">
        <v>39.39</v>
      </c>
      <c r="T41" s="2">
        <v>45695</v>
      </c>
      <c r="V41" t="str">
        <f t="shared" si="0"/>
        <v>S-4878757</v>
      </c>
      <c r="W41">
        <f t="shared" si="3"/>
        <v>0</v>
      </c>
      <c r="X41" t="str">
        <f t="shared" si="1"/>
        <v/>
      </c>
      <c r="Y41">
        <f t="shared" si="2"/>
        <v>0.12317117700000001</v>
      </c>
    </row>
    <row r="42" spans="1:25" hidden="1" x14ac:dyDescent="0.4">
      <c r="A42" t="s">
        <v>20</v>
      </c>
      <c r="B42">
        <v>4885596</v>
      </c>
      <c r="C42" t="s">
        <v>2139</v>
      </c>
      <c r="D42" t="s">
        <v>21</v>
      </c>
      <c r="E42" t="s">
        <v>22</v>
      </c>
      <c r="K42">
        <v>261.05677637999997</v>
      </c>
      <c r="L42">
        <v>2.690186486</v>
      </c>
      <c r="M42">
        <v>258.36658989400001</v>
      </c>
      <c r="N42">
        <v>0</v>
      </c>
      <c r="O42">
        <v>0</v>
      </c>
      <c r="P42" s="1" t="s">
        <v>58</v>
      </c>
      <c r="Q42">
        <v>1</v>
      </c>
      <c r="R42">
        <v>0.12601253900000001</v>
      </c>
      <c r="S42">
        <v>44.31</v>
      </c>
      <c r="T42" s="2">
        <v>45696</v>
      </c>
      <c r="V42" t="str">
        <f t="shared" si="0"/>
        <v>S-4885596</v>
      </c>
      <c r="W42">
        <f t="shared" si="3"/>
        <v>0</v>
      </c>
      <c r="X42" t="str">
        <f t="shared" si="1"/>
        <v/>
      </c>
      <c r="Y42">
        <f t="shared" si="2"/>
        <v>0.12601253900000001</v>
      </c>
    </row>
    <row r="43" spans="1:25" hidden="1" x14ac:dyDescent="0.4">
      <c r="A43" t="s">
        <v>20</v>
      </c>
      <c r="B43">
        <v>4892436</v>
      </c>
      <c r="C43" t="s">
        <v>2140</v>
      </c>
      <c r="D43" t="s">
        <v>21</v>
      </c>
      <c r="E43" t="s">
        <v>22</v>
      </c>
      <c r="K43">
        <v>261.18238925399999</v>
      </c>
      <c r="L43">
        <v>2.690186486</v>
      </c>
      <c r="M43">
        <v>258.49220276800003</v>
      </c>
      <c r="N43">
        <v>0</v>
      </c>
      <c r="O43">
        <v>0</v>
      </c>
      <c r="P43" s="1" t="s">
        <v>59</v>
      </c>
      <c r="Q43">
        <v>1</v>
      </c>
      <c r="R43">
        <v>0.12561287400000001</v>
      </c>
      <c r="S43">
        <v>46.04</v>
      </c>
      <c r="T43" s="2">
        <v>45697</v>
      </c>
      <c r="V43" t="str">
        <f t="shared" si="0"/>
        <v>S-4892436</v>
      </c>
      <c r="W43">
        <f t="shared" si="3"/>
        <v>0</v>
      </c>
      <c r="X43" t="str">
        <f t="shared" si="1"/>
        <v/>
      </c>
      <c r="Y43">
        <f t="shared" si="2"/>
        <v>0.12561287400000001</v>
      </c>
    </row>
    <row r="44" spans="1:25" hidden="1" x14ac:dyDescent="0.4">
      <c r="A44" t="s">
        <v>20</v>
      </c>
      <c r="B44">
        <v>4899446</v>
      </c>
      <c r="C44" t="s">
        <v>2141</v>
      </c>
      <c r="D44" t="s">
        <v>21</v>
      </c>
      <c r="E44" t="s">
        <v>22</v>
      </c>
      <c r="K44">
        <v>261.31091876599999</v>
      </c>
      <c r="L44">
        <v>2.690186486</v>
      </c>
      <c r="M44">
        <v>258.62073228000003</v>
      </c>
      <c r="N44">
        <v>0</v>
      </c>
      <c r="O44">
        <v>0</v>
      </c>
      <c r="P44" s="1" t="s">
        <v>60</v>
      </c>
      <c r="Q44">
        <v>1</v>
      </c>
      <c r="R44">
        <v>0.12852951200000001</v>
      </c>
      <c r="S44">
        <v>49.28</v>
      </c>
      <c r="T44" s="2">
        <v>45698</v>
      </c>
      <c r="V44" t="str">
        <f t="shared" si="0"/>
        <v>S-4899446</v>
      </c>
      <c r="W44">
        <f t="shared" si="3"/>
        <v>0</v>
      </c>
      <c r="X44" t="str">
        <f t="shared" si="1"/>
        <v/>
      </c>
      <c r="Y44">
        <f t="shared" si="2"/>
        <v>0.12852951200000001</v>
      </c>
    </row>
    <row r="45" spans="1:25" hidden="1" x14ac:dyDescent="0.4">
      <c r="A45" t="s">
        <v>20</v>
      </c>
      <c r="B45">
        <v>4906646</v>
      </c>
      <c r="C45" t="s">
        <v>2142</v>
      </c>
      <c r="D45" t="s">
        <v>21</v>
      </c>
      <c r="E45" t="s">
        <v>22</v>
      </c>
      <c r="K45">
        <v>261.436527689</v>
      </c>
      <c r="L45">
        <v>2.690186486</v>
      </c>
      <c r="M45">
        <v>258.74634120299999</v>
      </c>
      <c r="N45">
        <v>0</v>
      </c>
      <c r="O45">
        <v>0</v>
      </c>
      <c r="P45" s="1" t="s">
        <v>61</v>
      </c>
      <c r="Q45">
        <v>1</v>
      </c>
      <c r="R45">
        <v>0.12560892300000001</v>
      </c>
      <c r="S45">
        <v>51.71</v>
      </c>
      <c r="T45" s="2">
        <v>45699</v>
      </c>
      <c r="V45" t="str">
        <f t="shared" si="0"/>
        <v>S-4906646</v>
      </c>
      <c r="W45">
        <f t="shared" si="3"/>
        <v>0</v>
      </c>
      <c r="X45" t="str">
        <f t="shared" si="1"/>
        <v/>
      </c>
      <c r="Y45">
        <f t="shared" si="2"/>
        <v>0.12560892300000001</v>
      </c>
    </row>
    <row r="46" spans="1:25" hidden="1" x14ac:dyDescent="0.4">
      <c r="A46" t="s">
        <v>20</v>
      </c>
      <c r="B46">
        <v>4913846</v>
      </c>
      <c r="C46" t="s">
        <v>2143</v>
      </c>
      <c r="D46" t="s">
        <v>21</v>
      </c>
      <c r="E46" t="s">
        <v>22</v>
      </c>
      <c r="K46">
        <v>261.56557547400001</v>
      </c>
      <c r="L46">
        <v>2.690186486</v>
      </c>
      <c r="M46">
        <v>258.875388988</v>
      </c>
      <c r="N46">
        <v>0</v>
      </c>
      <c r="O46">
        <v>0</v>
      </c>
      <c r="P46" s="1" t="s">
        <v>62</v>
      </c>
      <c r="Q46">
        <v>1</v>
      </c>
      <c r="R46">
        <v>0.129047785</v>
      </c>
      <c r="S46">
        <v>51.82</v>
      </c>
      <c r="T46" s="2">
        <v>45700</v>
      </c>
      <c r="V46" t="str">
        <f t="shared" si="0"/>
        <v>S-4913846</v>
      </c>
      <c r="W46">
        <f t="shared" si="3"/>
        <v>0</v>
      </c>
      <c r="X46" t="str">
        <f t="shared" si="1"/>
        <v/>
      </c>
      <c r="Y46">
        <f t="shared" si="2"/>
        <v>0.129047785</v>
      </c>
    </row>
    <row r="47" spans="1:25" hidden="1" x14ac:dyDescent="0.4">
      <c r="A47" t="s">
        <v>20</v>
      </c>
      <c r="B47">
        <v>4921036</v>
      </c>
      <c r="C47" t="s">
        <v>2144</v>
      </c>
      <c r="D47" t="s">
        <v>21</v>
      </c>
      <c r="E47" t="s">
        <v>22</v>
      </c>
      <c r="K47">
        <v>261.67047566299999</v>
      </c>
      <c r="L47">
        <v>2.690186486</v>
      </c>
      <c r="M47">
        <v>258.98028917699997</v>
      </c>
      <c r="N47">
        <v>0</v>
      </c>
      <c r="O47">
        <v>0</v>
      </c>
      <c r="P47" s="1" t="s">
        <v>63</v>
      </c>
      <c r="Q47">
        <v>1</v>
      </c>
      <c r="R47">
        <v>0.104900189</v>
      </c>
      <c r="S47">
        <v>40.299999999999997</v>
      </c>
      <c r="T47" s="2">
        <v>45701</v>
      </c>
      <c r="V47" t="str">
        <f t="shared" si="0"/>
        <v>S-4921036</v>
      </c>
      <c r="W47">
        <f t="shared" si="3"/>
        <v>0</v>
      </c>
      <c r="X47" t="str">
        <f t="shared" si="1"/>
        <v/>
      </c>
      <c r="Y47">
        <f t="shared" si="2"/>
        <v>0.104900189</v>
      </c>
    </row>
    <row r="48" spans="1:25" hidden="1" x14ac:dyDescent="0.4">
      <c r="A48" t="s">
        <v>20</v>
      </c>
      <c r="B48">
        <v>4928236</v>
      </c>
      <c r="C48" t="s">
        <v>2145</v>
      </c>
      <c r="D48" t="s">
        <v>21</v>
      </c>
      <c r="E48" t="s">
        <v>22</v>
      </c>
      <c r="K48">
        <v>261.99114909600002</v>
      </c>
      <c r="L48">
        <v>2.690186486</v>
      </c>
      <c r="M48">
        <v>259.30096261</v>
      </c>
      <c r="N48">
        <v>0</v>
      </c>
      <c r="O48">
        <v>0</v>
      </c>
      <c r="P48" s="1" t="s">
        <v>64</v>
      </c>
      <c r="Q48">
        <v>1</v>
      </c>
      <c r="R48">
        <v>0.32067343300000001</v>
      </c>
      <c r="S48">
        <v>124.97</v>
      </c>
      <c r="T48" s="2">
        <v>45702</v>
      </c>
      <c r="V48" t="str">
        <f t="shared" si="0"/>
        <v>S-4928236</v>
      </c>
      <c r="W48">
        <f t="shared" si="3"/>
        <v>0</v>
      </c>
      <c r="X48" t="str">
        <f t="shared" si="1"/>
        <v/>
      </c>
      <c r="Y48">
        <f t="shared" si="2"/>
        <v>0.32067343300000001</v>
      </c>
    </row>
    <row r="49" spans="1:25" hidden="1" x14ac:dyDescent="0.4">
      <c r="A49" t="s">
        <v>20</v>
      </c>
      <c r="B49">
        <v>4935436</v>
      </c>
      <c r="C49" t="s">
        <v>2146</v>
      </c>
      <c r="D49" t="s">
        <v>21</v>
      </c>
      <c r="E49" t="s">
        <v>22</v>
      </c>
      <c r="K49">
        <v>262.172049577</v>
      </c>
      <c r="L49">
        <v>2.690186486</v>
      </c>
      <c r="M49">
        <v>259.48186309099998</v>
      </c>
      <c r="N49">
        <v>0</v>
      </c>
      <c r="O49">
        <v>0</v>
      </c>
      <c r="P49" s="1" t="s">
        <v>65</v>
      </c>
      <c r="Q49">
        <v>1</v>
      </c>
      <c r="R49">
        <v>0.180900481</v>
      </c>
      <c r="S49">
        <v>68.03</v>
      </c>
      <c r="T49" s="2">
        <v>45703</v>
      </c>
      <c r="V49" t="str">
        <f t="shared" si="0"/>
        <v>S-4935436</v>
      </c>
      <c r="W49">
        <f t="shared" si="3"/>
        <v>0</v>
      </c>
      <c r="X49" t="str">
        <f t="shared" si="1"/>
        <v/>
      </c>
      <c r="Y49">
        <f t="shared" si="2"/>
        <v>0.180900481</v>
      </c>
    </row>
    <row r="50" spans="1:25" hidden="1" x14ac:dyDescent="0.4">
      <c r="A50" t="s">
        <v>20</v>
      </c>
      <c r="B50">
        <v>4942636</v>
      </c>
      <c r="C50" t="s">
        <v>2147</v>
      </c>
      <c r="D50" t="s">
        <v>21</v>
      </c>
      <c r="E50" t="s">
        <v>22</v>
      </c>
      <c r="K50">
        <v>262.30384377299998</v>
      </c>
      <c r="L50">
        <v>2.690186486</v>
      </c>
      <c r="M50">
        <v>259.61365728700002</v>
      </c>
      <c r="N50">
        <v>0</v>
      </c>
      <c r="O50">
        <v>0</v>
      </c>
      <c r="P50">
        <v>361.412645603481</v>
      </c>
      <c r="Q50">
        <v>1</v>
      </c>
      <c r="R50">
        <v>0.131794196</v>
      </c>
      <c r="S50">
        <v>47.63</v>
      </c>
      <c r="T50" s="2">
        <v>45704</v>
      </c>
      <c r="V50" t="str">
        <f t="shared" si="0"/>
        <v>S-4942636</v>
      </c>
      <c r="W50">
        <f t="shared" si="3"/>
        <v>0</v>
      </c>
      <c r="X50" t="str">
        <f t="shared" si="1"/>
        <v/>
      </c>
      <c r="Y50">
        <f t="shared" si="2"/>
        <v>0.131794196</v>
      </c>
    </row>
    <row r="51" spans="1:25" hidden="1" x14ac:dyDescent="0.4">
      <c r="A51" t="s">
        <v>20</v>
      </c>
      <c r="B51">
        <v>4949836</v>
      </c>
      <c r="C51" t="s">
        <v>2148</v>
      </c>
      <c r="D51" t="s">
        <v>21</v>
      </c>
      <c r="E51" t="s">
        <v>22</v>
      </c>
      <c r="K51">
        <v>262.44098316399999</v>
      </c>
      <c r="L51">
        <v>2.690186486</v>
      </c>
      <c r="M51">
        <v>259.75079667799997</v>
      </c>
      <c r="N51">
        <v>0</v>
      </c>
      <c r="O51">
        <v>0</v>
      </c>
      <c r="P51" s="1" t="s">
        <v>66</v>
      </c>
      <c r="Q51">
        <v>1</v>
      </c>
      <c r="R51">
        <v>0.137139391</v>
      </c>
      <c r="S51">
        <v>49.38</v>
      </c>
      <c r="T51" s="2">
        <v>45705</v>
      </c>
      <c r="V51" t="str">
        <f t="shared" si="0"/>
        <v>S-4949836</v>
      </c>
      <c r="W51">
        <f t="shared" si="3"/>
        <v>0</v>
      </c>
      <c r="X51" t="str">
        <f t="shared" si="1"/>
        <v/>
      </c>
      <c r="Y51">
        <f t="shared" si="2"/>
        <v>0.137139391</v>
      </c>
    </row>
    <row r="52" spans="1:25" hidden="1" x14ac:dyDescent="0.4">
      <c r="A52" t="s">
        <v>20</v>
      </c>
      <c r="B52">
        <v>4957036</v>
      </c>
      <c r="C52" t="s">
        <v>2149</v>
      </c>
      <c r="D52" t="s">
        <v>21</v>
      </c>
      <c r="E52" t="s">
        <v>22</v>
      </c>
      <c r="K52">
        <v>262.61749411599999</v>
      </c>
      <c r="L52">
        <v>2.690186486</v>
      </c>
      <c r="M52">
        <v>259.92730762999997</v>
      </c>
      <c r="N52">
        <v>0</v>
      </c>
      <c r="O52">
        <v>0</v>
      </c>
      <c r="P52" s="1" t="s">
        <v>67</v>
      </c>
      <c r="Q52">
        <v>1</v>
      </c>
      <c r="R52">
        <v>0.176510952</v>
      </c>
      <c r="S52">
        <v>66.010000000000005</v>
      </c>
      <c r="T52" s="2">
        <v>45706</v>
      </c>
      <c r="V52" t="str">
        <f t="shared" si="0"/>
        <v>S-4957036</v>
      </c>
      <c r="W52">
        <f t="shared" si="3"/>
        <v>0</v>
      </c>
      <c r="X52" t="str">
        <f t="shared" si="1"/>
        <v/>
      </c>
      <c r="Y52">
        <f t="shared" si="2"/>
        <v>0.176510952</v>
      </c>
    </row>
    <row r="53" spans="1:25" hidden="1" x14ac:dyDescent="0.4">
      <c r="A53" t="s">
        <v>20</v>
      </c>
      <c r="B53">
        <v>4964236</v>
      </c>
      <c r="C53" t="s">
        <v>2150</v>
      </c>
      <c r="D53" t="s">
        <v>21</v>
      </c>
      <c r="E53" t="s">
        <v>22</v>
      </c>
      <c r="K53">
        <v>262.95385483199999</v>
      </c>
      <c r="L53">
        <v>2.690186486</v>
      </c>
      <c r="M53">
        <v>260.26366834599997</v>
      </c>
      <c r="N53">
        <v>0</v>
      </c>
      <c r="O53">
        <v>0</v>
      </c>
      <c r="P53" s="1" t="s">
        <v>68</v>
      </c>
      <c r="Q53">
        <v>1</v>
      </c>
      <c r="R53">
        <v>0.336360716</v>
      </c>
      <c r="S53">
        <v>140.38999999999999</v>
      </c>
      <c r="T53" s="2">
        <v>45707</v>
      </c>
      <c r="V53" t="str">
        <f t="shared" si="0"/>
        <v>S-4964236</v>
      </c>
      <c r="W53">
        <f t="shared" si="3"/>
        <v>0</v>
      </c>
      <c r="X53" t="str">
        <f t="shared" si="1"/>
        <v/>
      </c>
      <c r="Y53">
        <f t="shared" si="2"/>
        <v>0.336360716</v>
      </c>
    </row>
    <row r="54" spans="1:25" hidden="1" x14ac:dyDescent="0.4">
      <c r="A54" t="s">
        <v>20</v>
      </c>
      <c r="B54">
        <v>4971436</v>
      </c>
      <c r="C54" t="s">
        <v>2151</v>
      </c>
      <c r="D54" t="s">
        <v>21</v>
      </c>
      <c r="E54" t="s">
        <v>22</v>
      </c>
      <c r="K54">
        <v>263.17954084299998</v>
      </c>
      <c r="L54">
        <v>2.690186486</v>
      </c>
      <c r="M54">
        <v>260.48935435700002</v>
      </c>
      <c r="N54">
        <v>0</v>
      </c>
      <c r="O54">
        <v>0</v>
      </c>
      <c r="P54" s="1" t="s">
        <v>69</v>
      </c>
      <c r="Q54">
        <v>1</v>
      </c>
      <c r="R54">
        <v>0.22568601099999999</v>
      </c>
      <c r="S54">
        <v>104.67</v>
      </c>
      <c r="T54" s="2">
        <v>45708</v>
      </c>
      <c r="V54" t="str">
        <f t="shared" si="0"/>
        <v>S-4971436</v>
      </c>
      <c r="W54">
        <f t="shared" si="3"/>
        <v>0</v>
      </c>
      <c r="X54" t="str">
        <f t="shared" si="1"/>
        <v/>
      </c>
      <c r="Y54">
        <f t="shared" si="2"/>
        <v>0.22568601099999999</v>
      </c>
    </row>
    <row r="55" spans="1:25" hidden="1" x14ac:dyDescent="0.4">
      <c r="A55" t="s">
        <v>20</v>
      </c>
      <c r="B55">
        <v>4978636</v>
      </c>
      <c r="C55" t="s">
        <v>2152</v>
      </c>
      <c r="D55" t="s">
        <v>21</v>
      </c>
      <c r="E55" t="s">
        <v>22</v>
      </c>
      <c r="K55">
        <v>263.410161942</v>
      </c>
      <c r="L55">
        <v>2.690186486</v>
      </c>
      <c r="M55">
        <v>260.71997545599999</v>
      </c>
      <c r="N55">
        <v>0</v>
      </c>
      <c r="O55">
        <v>0</v>
      </c>
      <c r="P55" s="1" t="s">
        <v>70</v>
      </c>
      <c r="Q55">
        <v>1</v>
      </c>
      <c r="R55">
        <v>0.230621099</v>
      </c>
      <c r="S55">
        <v>101.87</v>
      </c>
      <c r="T55" s="2">
        <v>45709</v>
      </c>
      <c r="V55" t="str">
        <f t="shared" si="0"/>
        <v>S-4978636</v>
      </c>
      <c r="W55">
        <f t="shared" si="3"/>
        <v>0</v>
      </c>
      <c r="X55" t="str">
        <f t="shared" si="1"/>
        <v/>
      </c>
      <c r="Y55">
        <f t="shared" si="2"/>
        <v>0.230621099</v>
      </c>
    </row>
    <row r="56" spans="1:25" hidden="1" x14ac:dyDescent="0.4">
      <c r="A56" t="s">
        <v>20</v>
      </c>
      <c r="B56">
        <v>4985836</v>
      </c>
      <c r="C56" t="s">
        <v>2153</v>
      </c>
      <c r="D56" t="s">
        <v>21</v>
      </c>
      <c r="E56" t="s">
        <v>22</v>
      </c>
      <c r="K56">
        <v>263.63518932800002</v>
      </c>
      <c r="L56">
        <v>2.690186486</v>
      </c>
      <c r="M56">
        <v>260.94500284200001</v>
      </c>
      <c r="N56">
        <v>0</v>
      </c>
      <c r="O56">
        <v>0</v>
      </c>
      <c r="P56" s="1" t="s">
        <v>71</v>
      </c>
      <c r="Q56">
        <v>1</v>
      </c>
      <c r="R56">
        <v>0.225027386</v>
      </c>
      <c r="S56">
        <v>97.81</v>
      </c>
      <c r="T56" s="2">
        <v>45710</v>
      </c>
      <c r="V56" t="str">
        <f t="shared" si="0"/>
        <v>S-4985836</v>
      </c>
      <c r="W56">
        <f t="shared" si="3"/>
        <v>0</v>
      </c>
      <c r="X56" t="str">
        <f t="shared" si="1"/>
        <v/>
      </c>
      <c r="Y56">
        <f t="shared" si="2"/>
        <v>0.225027386</v>
      </c>
    </row>
    <row r="57" spans="1:25" hidden="1" x14ac:dyDescent="0.4">
      <c r="A57" t="s">
        <v>20</v>
      </c>
      <c r="B57">
        <v>4993036</v>
      </c>
      <c r="C57" t="s">
        <v>2154</v>
      </c>
      <c r="D57" t="s">
        <v>21</v>
      </c>
      <c r="E57" t="s">
        <v>22</v>
      </c>
      <c r="K57">
        <v>263.842088854</v>
      </c>
      <c r="L57">
        <v>2.690186486</v>
      </c>
      <c r="M57">
        <v>261.15190236799998</v>
      </c>
      <c r="N57">
        <v>0</v>
      </c>
      <c r="O57">
        <v>0</v>
      </c>
      <c r="P57">
        <v>431.70271625254998</v>
      </c>
      <c r="Q57">
        <v>1</v>
      </c>
      <c r="R57">
        <v>0.206899526</v>
      </c>
      <c r="S57">
        <v>89.31</v>
      </c>
      <c r="T57" s="2">
        <v>45711</v>
      </c>
      <c r="V57" t="str">
        <f t="shared" si="0"/>
        <v>S-4993036</v>
      </c>
      <c r="W57">
        <f t="shared" si="3"/>
        <v>0</v>
      </c>
      <c r="X57" t="str">
        <f t="shared" si="1"/>
        <v/>
      </c>
      <c r="Y57">
        <f t="shared" si="2"/>
        <v>0.206899526</v>
      </c>
    </row>
    <row r="58" spans="1:25" hidden="1" x14ac:dyDescent="0.4">
      <c r="A58" t="s">
        <v>20</v>
      </c>
      <c r="B58">
        <v>5000231</v>
      </c>
      <c r="C58" t="s">
        <v>2155</v>
      </c>
      <c r="D58" t="s">
        <v>21</v>
      </c>
      <c r="E58" t="s">
        <v>22</v>
      </c>
      <c r="K58">
        <v>264.01392279100003</v>
      </c>
      <c r="L58">
        <v>2.690186486</v>
      </c>
      <c r="M58">
        <v>261.32373630500001</v>
      </c>
      <c r="N58">
        <v>0</v>
      </c>
      <c r="O58">
        <v>0</v>
      </c>
      <c r="P58" s="1" t="s">
        <v>72</v>
      </c>
      <c r="Q58">
        <v>1</v>
      </c>
      <c r="R58">
        <v>0.17183393699999999</v>
      </c>
      <c r="S58">
        <v>69.459999999999994</v>
      </c>
      <c r="T58" s="2">
        <v>45712</v>
      </c>
      <c r="V58" t="str">
        <f t="shared" si="0"/>
        <v>S-5000231</v>
      </c>
      <c r="W58">
        <f t="shared" si="3"/>
        <v>0</v>
      </c>
      <c r="X58" t="str">
        <f t="shared" si="1"/>
        <v/>
      </c>
      <c r="Y58">
        <f t="shared" si="2"/>
        <v>0.17183393699999999</v>
      </c>
    </row>
    <row r="59" spans="1:25" hidden="1" x14ac:dyDescent="0.4">
      <c r="A59" t="s">
        <v>20</v>
      </c>
      <c r="B59">
        <v>5007431</v>
      </c>
      <c r="C59" t="s">
        <v>2156</v>
      </c>
      <c r="D59" t="s">
        <v>21</v>
      </c>
      <c r="E59" t="s">
        <v>22</v>
      </c>
      <c r="K59">
        <v>264.16594601100002</v>
      </c>
      <c r="L59">
        <v>2.690186486</v>
      </c>
      <c r="M59">
        <v>261.475759525</v>
      </c>
      <c r="N59">
        <v>0</v>
      </c>
      <c r="O59">
        <v>0</v>
      </c>
      <c r="P59" s="1" t="s">
        <v>73</v>
      </c>
      <c r="Q59">
        <v>1</v>
      </c>
      <c r="R59">
        <v>0.15202321999999999</v>
      </c>
      <c r="S59">
        <v>57.99</v>
      </c>
      <c r="T59" s="2">
        <v>45713</v>
      </c>
      <c r="V59" t="str">
        <f t="shared" si="0"/>
        <v>S-5007431</v>
      </c>
      <c r="W59">
        <f t="shared" si="3"/>
        <v>0</v>
      </c>
      <c r="X59" t="str">
        <f t="shared" si="1"/>
        <v/>
      </c>
      <c r="Y59">
        <f t="shared" si="2"/>
        <v>0.15202321999999999</v>
      </c>
    </row>
    <row r="60" spans="1:25" x14ac:dyDescent="0.4">
      <c r="A60" t="s">
        <v>20</v>
      </c>
      <c r="B60">
        <v>5011678</v>
      </c>
      <c r="C60" t="s">
        <v>2157</v>
      </c>
      <c r="D60" t="s">
        <v>21</v>
      </c>
      <c r="E60" t="s">
        <v>22</v>
      </c>
      <c r="F60" t="s">
        <v>74</v>
      </c>
      <c r="G60">
        <v>1.3526099999999999E-4</v>
      </c>
      <c r="I60" t="s">
        <v>75</v>
      </c>
      <c r="J60" t="s">
        <v>76</v>
      </c>
      <c r="Q60">
        <v>1</v>
      </c>
      <c r="V60" t="str">
        <f t="shared" si="0"/>
        <v>S-5011678-0003-00</v>
      </c>
      <c r="W60">
        <f t="shared" si="3"/>
        <v>2</v>
      </c>
      <c r="X60" t="str">
        <f t="shared" si="1"/>
        <v>5011678-0003fee</v>
      </c>
      <c r="Y60">
        <f t="shared" si="2"/>
        <v>-1.3526099999999999E-4</v>
      </c>
    </row>
    <row r="61" spans="1:25" x14ac:dyDescent="0.4">
      <c r="A61" t="s">
        <v>20</v>
      </c>
      <c r="B61">
        <v>5011678</v>
      </c>
      <c r="C61" t="s">
        <v>2157</v>
      </c>
      <c r="D61" t="s">
        <v>21</v>
      </c>
      <c r="E61" t="s">
        <v>22</v>
      </c>
      <c r="F61" t="s">
        <v>77</v>
      </c>
      <c r="G61">
        <v>1</v>
      </c>
      <c r="I61" t="s">
        <v>75</v>
      </c>
      <c r="J61" t="s">
        <v>78</v>
      </c>
      <c r="Q61">
        <v>1</v>
      </c>
      <c r="V61" t="str">
        <f t="shared" si="0"/>
        <v>S-5011678-0003-01</v>
      </c>
      <c r="W61">
        <f t="shared" si="3"/>
        <v>2</v>
      </c>
      <c r="X61" t="str">
        <f t="shared" si="1"/>
        <v>5011678-0003debit</v>
      </c>
      <c r="Y61">
        <f t="shared" si="2"/>
        <v>-1</v>
      </c>
    </row>
    <row r="62" spans="1:25" x14ac:dyDescent="0.4">
      <c r="A62" t="s">
        <v>20</v>
      </c>
      <c r="B62">
        <v>5011793</v>
      </c>
      <c r="C62" t="s">
        <v>2158</v>
      </c>
      <c r="D62" t="s">
        <v>21</v>
      </c>
      <c r="E62" t="s">
        <v>22</v>
      </c>
      <c r="F62" t="s">
        <v>74</v>
      </c>
      <c r="G62">
        <v>5.0000000000000002E-5</v>
      </c>
      <c r="I62" t="s">
        <v>79</v>
      </c>
      <c r="J62" t="s">
        <v>80</v>
      </c>
      <c r="Q62">
        <v>1</v>
      </c>
      <c r="V62" t="str">
        <f t="shared" si="0"/>
        <v>S-5011793-0005-00</v>
      </c>
      <c r="W62">
        <f t="shared" si="3"/>
        <v>1</v>
      </c>
      <c r="X62" t="str">
        <f t="shared" si="1"/>
        <v>5011793-0005fee</v>
      </c>
      <c r="Y62">
        <f t="shared" si="2"/>
        <v>-5.0000000000000002E-5</v>
      </c>
    </row>
    <row r="63" spans="1:25" x14ac:dyDescent="0.4">
      <c r="A63" t="s">
        <v>20</v>
      </c>
      <c r="B63">
        <v>5012969</v>
      </c>
      <c r="C63" t="s">
        <v>2159</v>
      </c>
      <c r="D63" t="s">
        <v>21</v>
      </c>
      <c r="E63" t="s">
        <v>22</v>
      </c>
      <c r="F63" t="s">
        <v>74</v>
      </c>
      <c r="G63">
        <v>5.0000000000000002E-5</v>
      </c>
      <c r="I63" t="s">
        <v>81</v>
      </c>
      <c r="J63" t="s">
        <v>80</v>
      </c>
      <c r="Q63">
        <v>1</v>
      </c>
      <c r="V63" t="str">
        <f t="shared" si="0"/>
        <v>S-5012969-0007-00</v>
      </c>
      <c r="W63">
        <f t="shared" si="3"/>
        <v>1</v>
      </c>
      <c r="X63" t="str">
        <f t="shared" si="1"/>
        <v>5012969-0007fee</v>
      </c>
      <c r="Y63">
        <f t="shared" si="2"/>
        <v>-5.0000000000000002E-5</v>
      </c>
    </row>
    <row r="64" spans="1:25" x14ac:dyDescent="0.4">
      <c r="A64" t="s">
        <v>20</v>
      </c>
      <c r="B64">
        <v>5012975</v>
      </c>
      <c r="C64" t="s">
        <v>2160</v>
      </c>
      <c r="D64" t="s">
        <v>21</v>
      </c>
      <c r="E64" t="s">
        <v>22</v>
      </c>
      <c r="F64" t="s">
        <v>74</v>
      </c>
      <c r="G64">
        <v>1.35263E-4</v>
      </c>
      <c r="I64" t="s">
        <v>82</v>
      </c>
      <c r="J64" t="s">
        <v>76</v>
      </c>
      <c r="Q64">
        <v>1</v>
      </c>
      <c r="V64" t="str">
        <f t="shared" si="0"/>
        <v>S-5012975-0006-00</v>
      </c>
      <c r="W64">
        <f t="shared" si="3"/>
        <v>2</v>
      </c>
      <c r="X64" t="str">
        <f t="shared" si="1"/>
        <v>5012975-0006fee</v>
      </c>
      <c r="Y64">
        <f t="shared" si="2"/>
        <v>-1.35263E-4</v>
      </c>
    </row>
    <row r="65" spans="1:25" x14ac:dyDescent="0.4">
      <c r="A65" t="s">
        <v>20</v>
      </c>
      <c r="B65">
        <v>5012975</v>
      </c>
      <c r="C65" t="s">
        <v>2160</v>
      </c>
      <c r="D65" t="s">
        <v>21</v>
      </c>
      <c r="E65" t="s">
        <v>22</v>
      </c>
      <c r="F65" t="s">
        <v>77</v>
      </c>
      <c r="G65">
        <v>10</v>
      </c>
      <c r="I65" t="s">
        <v>82</v>
      </c>
      <c r="J65" t="s">
        <v>78</v>
      </c>
      <c r="Q65">
        <v>1</v>
      </c>
      <c r="V65" t="str">
        <f t="shared" si="0"/>
        <v>S-5012975-0006-01</v>
      </c>
      <c r="W65">
        <f t="shared" si="3"/>
        <v>2</v>
      </c>
      <c r="X65" t="str">
        <f t="shared" si="1"/>
        <v>5012975-0006debit</v>
      </c>
      <c r="Y65">
        <f t="shared" si="2"/>
        <v>-10</v>
      </c>
    </row>
    <row r="66" spans="1:25" x14ac:dyDescent="0.4">
      <c r="A66" t="s">
        <v>20</v>
      </c>
      <c r="B66">
        <v>5012985</v>
      </c>
      <c r="C66" t="s">
        <v>2161</v>
      </c>
      <c r="D66" t="s">
        <v>21</v>
      </c>
      <c r="E66" t="s">
        <v>22</v>
      </c>
      <c r="F66" t="s">
        <v>74</v>
      </c>
      <c r="G66">
        <v>5.0000000000000002E-5</v>
      </c>
      <c r="I66" t="s">
        <v>83</v>
      </c>
      <c r="J66" t="s">
        <v>80</v>
      </c>
      <c r="Q66">
        <v>1</v>
      </c>
      <c r="V66" t="str">
        <f t="shared" si="0"/>
        <v>S-5012985-0004-00</v>
      </c>
      <c r="W66">
        <f t="shared" si="3"/>
        <v>1</v>
      </c>
      <c r="X66" t="str">
        <f t="shared" si="1"/>
        <v>5012985-0004fee</v>
      </c>
      <c r="Y66">
        <f t="shared" si="2"/>
        <v>-5.0000000000000002E-5</v>
      </c>
    </row>
    <row r="67" spans="1:25" x14ac:dyDescent="0.4">
      <c r="A67" t="s">
        <v>20</v>
      </c>
      <c r="B67">
        <v>5012990</v>
      </c>
      <c r="C67" t="s">
        <v>2162</v>
      </c>
      <c r="D67" t="s">
        <v>21</v>
      </c>
      <c r="E67" t="s">
        <v>22</v>
      </c>
      <c r="F67" t="s">
        <v>74</v>
      </c>
      <c r="G67">
        <v>1.35263E-4</v>
      </c>
      <c r="I67" t="s">
        <v>84</v>
      </c>
      <c r="J67" t="s">
        <v>76</v>
      </c>
      <c r="Q67">
        <v>1</v>
      </c>
      <c r="V67" t="str">
        <f t="shared" ref="V67:V130" si="4">"S-"&amp;IF(LEN(I67)=0,B67,I67&amp;IF(F67="fee","-00",IF(LEN(G67)&gt;0,"-01","-02")))</f>
        <v>S-5012990-0005-00</v>
      </c>
      <c r="W67">
        <f t="shared" si="3"/>
        <v>2</v>
      </c>
      <c r="X67" t="str">
        <f t="shared" ref="X67:X130" si="5">IF(LEN(I67)&gt;0,I67&amp;IF(F67="fee","fee",IF(VALUE(G67)&gt;0,"debit",IF(VALUE(H67)&gt;0,"credit","error"))),"")</f>
        <v>5012990-0005fee</v>
      </c>
      <c r="Y67">
        <f t="shared" ref="Y67:Y130" si="6">ROUND(IF(ROW(U67) = 2,K67,0)+IF(H67&lt;&gt;"",H67,0) + IF(R67&lt;&gt;"",R67,0) - IF(G67&lt;&gt;"",G67,0),9)</f>
        <v>-1.35263E-4</v>
      </c>
    </row>
    <row r="68" spans="1:25" x14ac:dyDescent="0.4">
      <c r="A68" t="s">
        <v>20</v>
      </c>
      <c r="B68">
        <v>5012990</v>
      </c>
      <c r="C68" t="s">
        <v>2162</v>
      </c>
      <c r="D68" t="s">
        <v>21</v>
      </c>
      <c r="E68" t="s">
        <v>22</v>
      </c>
      <c r="F68" t="s">
        <v>77</v>
      </c>
      <c r="G68">
        <v>30</v>
      </c>
      <c r="I68" t="s">
        <v>84</v>
      </c>
      <c r="J68" t="s">
        <v>78</v>
      </c>
      <c r="Q68">
        <v>1</v>
      </c>
      <c r="V68" t="str">
        <f t="shared" si="4"/>
        <v>S-5012990-0005-01</v>
      </c>
      <c r="W68">
        <f t="shared" ref="W68:W131" si="7">COUNTIF(I:I,I68)</f>
        <v>2</v>
      </c>
      <c r="X68" t="str">
        <f t="shared" si="5"/>
        <v>5012990-0005debit</v>
      </c>
      <c r="Y68">
        <f t="shared" si="6"/>
        <v>-30</v>
      </c>
    </row>
    <row r="69" spans="1:25" x14ac:dyDescent="0.4">
      <c r="A69" t="s">
        <v>20</v>
      </c>
      <c r="B69">
        <v>5013006</v>
      </c>
      <c r="C69" t="s">
        <v>2163</v>
      </c>
      <c r="D69" t="s">
        <v>21</v>
      </c>
      <c r="E69" t="s">
        <v>22</v>
      </c>
      <c r="F69" t="s">
        <v>74</v>
      </c>
      <c r="G69">
        <v>5.0000000000000002E-5</v>
      </c>
      <c r="I69" t="s">
        <v>85</v>
      </c>
      <c r="J69" t="s">
        <v>80</v>
      </c>
      <c r="Q69">
        <v>1</v>
      </c>
      <c r="V69" t="str">
        <f t="shared" si="4"/>
        <v>S-5013006-0007-00</v>
      </c>
      <c r="W69">
        <f t="shared" si="7"/>
        <v>1</v>
      </c>
      <c r="X69" t="str">
        <f t="shared" si="5"/>
        <v>5013006-0007fee</v>
      </c>
      <c r="Y69">
        <f t="shared" si="6"/>
        <v>-5.0000000000000002E-5</v>
      </c>
    </row>
    <row r="70" spans="1:25" x14ac:dyDescent="0.4">
      <c r="A70" t="s">
        <v>20</v>
      </c>
      <c r="B70">
        <v>5013009</v>
      </c>
      <c r="C70" t="s">
        <v>2164</v>
      </c>
      <c r="D70" t="s">
        <v>21</v>
      </c>
      <c r="E70" t="s">
        <v>22</v>
      </c>
      <c r="F70" t="s">
        <v>74</v>
      </c>
      <c r="G70">
        <v>1.35263E-4</v>
      </c>
      <c r="I70" t="s">
        <v>86</v>
      </c>
      <c r="J70" t="s">
        <v>76</v>
      </c>
      <c r="Q70">
        <v>1</v>
      </c>
      <c r="V70" t="str">
        <f t="shared" si="4"/>
        <v>S-5013009-0009-00</v>
      </c>
      <c r="W70">
        <f t="shared" si="7"/>
        <v>2</v>
      </c>
      <c r="X70" t="str">
        <f t="shared" si="5"/>
        <v>5013009-0009fee</v>
      </c>
      <c r="Y70">
        <f t="shared" si="6"/>
        <v>-1.35263E-4</v>
      </c>
    </row>
    <row r="71" spans="1:25" x14ac:dyDescent="0.4">
      <c r="A71" t="s">
        <v>20</v>
      </c>
      <c r="B71">
        <v>5013009</v>
      </c>
      <c r="C71" t="s">
        <v>2164</v>
      </c>
      <c r="D71" t="s">
        <v>21</v>
      </c>
      <c r="E71" t="s">
        <v>22</v>
      </c>
      <c r="F71" t="s">
        <v>77</v>
      </c>
      <c r="G71">
        <v>22.78</v>
      </c>
      <c r="I71" t="s">
        <v>86</v>
      </c>
      <c r="J71" t="s">
        <v>78</v>
      </c>
      <c r="Q71">
        <v>1</v>
      </c>
      <c r="V71" t="str">
        <f t="shared" si="4"/>
        <v>S-5013009-0009-01</v>
      </c>
      <c r="W71">
        <f t="shared" si="7"/>
        <v>2</v>
      </c>
      <c r="X71" t="str">
        <f t="shared" si="5"/>
        <v>5013009-0009debit</v>
      </c>
      <c r="Y71">
        <f t="shared" si="6"/>
        <v>-22.78</v>
      </c>
    </row>
    <row r="72" spans="1:25" hidden="1" x14ac:dyDescent="0.4">
      <c r="A72" t="s">
        <v>20</v>
      </c>
      <c r="B72">
        <v>5014631</v>
      </c>
      <c r="C72" t="s">
        <v>2165</v>
      </c>
      <c r="D72" t="s">
        <v>21</v>
      </c>
      <c r="E72" t="s">
        <v>22</v>
      </c>
      <c r="K72">
        <v>200.510215101</v>
      </c>
      <c r="L72">
        <v>9.4454359999999998E-3</v>
      </c>
      <c r="M72">
        <v>200.50076966500001</v>
      </c>
      <c r="N72">
        <v>0</v>
      </c>
      <c r="O72">
        <v>0</v>
      </c>
      <c r="P72" s="1" t="s">
        <v>87</v>
      </c>
      <c r="Q72">
        <v>1</v>
      </c>
      <c r="R72">
        <v>0.12501013999999999</v>
      </c>
      <c r="S72">
        <v>44.13</v>
      </c>
      <c r="T72" s="2">
        <v>45714</v>
      </c>
      <c r="V72" t="str">
        <f t="shared" si="4"/>
        <v>S-5014631</v>
      </c>
      <c r="W72">
        <f t="shared" si="7"/>
        <v>0</v>
      </c>
      <c r="X72" t="str">
        <f t="shared" si="5"/>
        <v/>
      </c>
      <c r="Y72">
        <f t="shared" si="6"/>
        <v>0.12501013999999999</v>
      </c>
    </row>
    <row r="73" spans="1:25" hidden="1" x14ac:dyDescent="0.4">
      <c r="A73" t="s">
        <v>20</v>
      </c>
      <c r="B73">
        <v>5021831</v>
      </c>
      <c r="C73" t="s">
        <v>2166</v>
      </c>
      <c r="D73" t="s">
        <v>21</v>
      </c>
      <c r="E73" t="s">
        <v>22</v>
      </c>
      <c r="K73">
        <v>200.60800918999999</v>
      </c>
      <c r="L73">
        <v>9.4454359999999998E-3</v>
      </c>
      <c r="M73">
        <v>200.598563754</v>
      </c>
      <c r="N73">
        <v>0</v>
      </c>
      <c r="O73">
        <v>0</v>
      </c>
      <c r="P73" s="1" t="s">
        <v>88</v>
      </c>
      <c r="Q73">
        <v>1</v>
      </c>
      <c r="R73">
        <v>9.7794089000000001E-2</v>
      </c>
      <c r="S73">
        <v>32.11</v>
      </c>
      <c r="T73" s="2">
        <v>45715</v>
      </c>
      <c r="V73" t="str">
        <f t="shared" si="4"/>
        <v>S-5021831</v>
      </c>
      <c r="W73">
        <f t="shared" si="7"/>
        <v>0</v>
      </c>
      <c r="X73" t="str">
        <f t="shared" si="5"/>
        <v/>
      </c>
      <c r="Y73">
        <f t="shared" si="6"/>
        <v>9.7794089000000001E-2</v>
      </c>
    </row>
    <row r="74" spans="1:25" hidden="1" x14ac:dyDescent="0.4">
      <c r="A74" t="s">
        <v>20</v>
      </c>
      <c r="B74">
        <v>5029031</v>
      </c>
      <c r="C74" t="s">
        <v>2167</v>
      </c>
      <c r="D74" t="s">
        <v>21</v>
      </c>
      <c r="E74" t="s">
        <v>22</v>
      </c>
      <c r="K74">
        <v>200.70231967999999</v>
      </c>
      <c r="L74">
        <v>9.4454359999999998E-3</v>
      </c>
      <c r="M74">
        <v>200.692874244</v>
      </c>
      <c r="N74">
        <v>0</v>
      </c>
      <c r="O74">
        <v>0</v>
      </c>
      <c r="P74" s="1" t="s">
        <v>89</v>
      </c>
      <c r="Q74">
        <v>1</v>
      </c>
      <c r="R74">
        <v>9.4310489999999997E-2</v>
      </c>
      <c r="S74">
        <v>30.95</v>
      </c>
      <c r="T74" s="2">
        <v>45716</v>
      </c>
      <c r="V74" t="str">
        <f t="shared" si="4"/>
        <v>S-5029031</v>
      </c>
      <c r="W74">
        <f t="shared" si="7"/>
        <v>0</v>
      </c>
      <c r="X74" t="str">
        <f t="shared" si="5"/>
        <v/>
      </c>
      <c r="Y74">
        <f t="shared" si="6"/>
        <v>9.4310489999999997E-2</v>
      </c>
    </row>
    <row r="75" spans="1:25" hidden="1" x14ac:dyDescent="0.4">
      <c r="A75" t="s">
        <v>20</v>
      </c>
      <c r="B75">
        <v>5036231</v>
      </c>
      <c r="C75" t="s">
        <v>2168</v>
      </c>
      <c r="D75" t="s">
        <v>21</v>
      </c>
      <c r="E75" t="s">
        <v>22</v>
      </c>
      <c r="K75">
        <v>200.80386551399999</v>
      </c>
      <c r="L75">
        <v>9.4454359999999998E-3</v>
      </c>
      <c r="M75">
        <v>200.794420078</v>
      </c>
      <c r="N75">
        <v>0</v>
      </c>
      <c r="O75">
        <v>0</v>
      </c>
      <c r="P75" s="1" t="s">
        <v>90</v>
      </c>
      <c r="Q75">
        <v>1</v>
      </c>
      <c r="R75">
        <v>0.101545834</v>
      </c>
      <c r="S75">
        <v>33.89</v>
      </c>
      <c r="T75" s="2">
        <v>45717</v>
      </c>
      <c r="V75" t="str">
        <f t="shared" si="4"/>
        <v>S-5036231</v>
      </c>
      <c r="W75">
        <f t="shared" si="7"/>
        <v>0</v>
      </c>
      <c r="X75" t="str">
        <f t="shared" si="5"/>
        <v/>
      </c>
      <c r="Y75">
        <f t="shared" si="6"/>
        <v>0.101545834</v>
      </c>
    </row>
    <row r="76" spans="1:25" hidden="1" x14ac:dyDescent="0.4">
      <c r="A76" t="s">
        <v>20</v>
      </c>
      <c r="B76">
        <v>5043431</v>
      </c>
      <c r="C76" t="s">
        <v>2169</v>
      </c>
      <c r="D76" t="s">
        <v>21</v>
      </c>
      <c r="E76" t="s">
        <v>22</v>
      </c>
      <c r="K76">
        <v>200.904063202</v>
      </c>
      <c r="L76">
        <v>9.4454359999999998E-3</v>
      </c>
      <c r="M76">
        <v>200.89461776600001</v>
      </c>
      <c r="N76">
        <v>0</v>
      </c>
      <c r="O76">
        <v>0</v>
      </c>
      <c r="P76" s="1" t="s">
        <v>91</v>
      </c>
      <c r="Q76">
        <v>1</v>
      </c>
      <c r="R76">
        <v>0.10019768799999999</v>
      </c>
      <c r="S76">
        <v>35.479999999999997</v>
      </c>
      <c r="T76" s="2">
        <v>45718</v>
      </c>
      <c r="V76" t="str">
        <f t="shared" si="4"/>
        <v>S-5043431</v>
      </c>
      <c r="W76">
        <f t="shared" si="7"/>
        <v>0</v>
      </c>
      <c r="X76" t="str">
        <f t="shared" si="5"/>
        <v/>
      </c>
      <c r="Y76">
        <f t="shared" si="6"/>
        <v>0.10019768799999999</v>
      </c>
    </row>
    <row r="77" spans="1:25" hidden="1" x14ac:dyDescent="0.4">
      <c r="A77" t="s">
        <v>20</v>
      </c>
      <c r="B77">
        <v>5050631</v>
      </c>
      <c r="C77" t="s">
        <v>2170</v>
      </c>
      <c r="D77" t="s">
        <v>21</v>
      </c>
      <c r="E77" t="s">
        <v>22</v>
      </c>
      <c r="K77">
        <v>201.01158154800001</v>
      </c>
      <c r="L77">
        <v>9.4454359999999998E-3</v>
      </c>
      <c r="M77">
        <v>201.00213611199999</v>
      </c>
      <c r="N77">
        <v>0</v>
      </c>
      <c r="O77">
        <v>0</v>
      </c>
      <c r="P77" s="1" t="s">
        <v>92</v>
      </c>
      <c r="Q77">
        <v>1</v>
      </c>
      <c r="R77">
        <v>0.107518346</v>
      </c>
      <c r="S77">
        <v>32.21</v>
      </c>
      <c r="T77" s="2">
        <v>45719</v>
      </c>
      <c r="V77" t="str">
        <f t="shared" si="4"/>
        <v>S-5050631</v>
      </c>
      <c r="W77">
        <f t="shared" si="7"/>
        <v>0</v>
      </c>
      <c r="X77" t="str">
        <f t="shared" si="5"/>
        <v/>
      </c>
      <c r="Y77">
        <f t="shared" si="6"/>
        <v>0.107518346</v>
      </c>
    </row>
    <row r="78" spans="1:25" x14ac:dyDescent="0.4">
      <c r="A78" t="s">
        <v>20</v>
      </c>
      <c r="B78">
        <v>5055665</v>
      </c>
      <c r="C78" t="s">
        <v>2171</v>
      </c>
      <c r="D78" t="s">
        <v>21</v>
      </c>
      <c r="E78" t="s">
        <v>22</v>
      </c>
      <c r="F78" t="s">
        <v>74</v>
      </c>
      <c r="G78">
        <v>5.0000000000000002E-5</v>
      </c>
      <c r="I78" t="s">
        <v>93</v>
      </c>
      <c r="J78" t="s">
        <v>80</v>
      </c>
      <c r="Q78">
        <v>1</v>
      </c>
      <c r="V78" t="str">
        <f t="shared" si="4"/>
        <v>S-5055665-0003-00</v>
      </c>
      <c r="W78">
        <f t="shared" si="7"/>
        <v>1</v>
      </c>
      <c r="X78" t="str">
        <f t="shared" si="5"/>
        <v>5055665-0003fee</v>
      </c>
      <c r="Y78">
        <f t="shared" si="6"/>
        <v>-5.0000000000000002E-5</v>
      </c>
    </row>
    <row r="79" spans="1:25" x14ac:dyDescent="0.4">
      <c r="A79" t="s">
        <v>20</v>
      </c>
      <c r="B79">
        <v>5055670</v>
      </c>
      <c r="C79" t="s">
        <v>2172</v>
      </c>
      <c r="D79" t="s">
        <v>21</v>
      </c>
      <c r="E79" t="s">
        <v>22</v>
      </c>
      <c r="F79" t="s">
        <v>74</v>
      </c>
      <c r="G79">
        <v>1.35263E-4</v>
      </c>
      <c r="I79" t="s">
        <v>94</v>
      </c>
      <c r="J79" t="s">
        <v>76</v>
      </c>
      <c r="Q79">
        <v>1</v>
      </c>
      <c r="V79" t="str">
        <f t="shared" si="4"/>
        <v>S-5055670-0007-00</v>
      </c>
      <c r="W79">
        <f t="shared" si="7"/>
        <v>2</v>
      </c>
      <c r="X79" t="str">
        <f t="shared" si="5"/>
        <v>5055670-0007fee</v>
      </c>
      <c r="Y79">
        <f t="shared" si="6"/>
        <v>-1.35263E-4</v>
      </c>
    </row>
    <row r="80" spans="1:25" x14ac:dyDescent="0.4">
      <c r="A80" t="s">
        <v>20</v>
      </c>
      <c r="B80">
        <v>5055670</v>
      </c>
      <c r="C80" t="s">
        <v>2172</v>
      </c>
      <c r="D80" t="s">
        <v>21</v>
      </c>
      <c r="E80" t="s">
        <v>22</v>
      </c>
      <c r="F80" t="s">
        <v>77</v>
      </c>
      <c r="G80">
        <v>50</v>
      </c>
      <c r="I80" t="s">
        <v>94</v>
      </c>
      <c r="J80" t="s">
        <v>78</v>
      </c>
      <c r="Q80">
        <v>1</v>
      </c>
      <c r="V80" t="str">
        <f t="shared" si="4"/>
        <v>S-5055670-0007-01</v>
      </c>
      <c r="W80">
        <f t="shared" si="7"/>
        <v>2</v>
      </c>
      <c r="X80" t="str">
        <f t="shared" si="5"/>
        <v>5055670-0007debit</v>
      </c>
      <c r="Y80">
        <f t="shared" si="6"/>
        <v>-50</v>
      </c>
    </row>
    <row r="81" spans="1:25" x14ac:dyDescent="0.4">
      <c r="A81" t="s">
        <v>20</v>
      </c>
      <c r="B81">
        <v>5055718</v>
      </c>
      <c r="C81" t="s">
        <v>2173</v>
      </c>
      <c r="D81" t="s">
        <v>21</v>
      </c>
      <c r="E81" t="s">
        <v>22</v>
      </c>
      <c r="F81" t="s">
        <v>74</v>
      </c>
      <c r="G81">
        <v>1.35263E-4</v>
      </c>
      <c r="I81" t="s">
        <v>95</v>
      </c>
      <c r="J81" t="s">
        <v>76</v>
      </c>
      <c r="Q81">
        <v>1</v>
      </c>
      <c r="V81" t="str">
        <f t="shared" si="4"/>
        <v>S-5055718-0007-00</v>
      </c>
      <c r="W81">
        <f t="shared" si="7"/>
        <v>2</v>
      </c>
      <c r="X81" t="str">
        <f t="shared" si="5"/>
        <v>5055718-0007fee</v>
      </c>
      <c r="Y81">
        <f t="shared" si="6"/>
        <v>-1.35263E-4</v>
      </c>
    </row>
    <row r="82" spans="1:25" x14ac:dyDescent="0.4">
      <c r="A82" t="s">
        <v>20</v>
      </c>
      <c r="B82">
        <v>5055718</v>
      </c>
      <c r="C82" t="s">
        <v>2173</v>
      </c>
      <c r="D82" t="s">
        <v>21</v>
      </c>
      <c r="E82" t="s">
        <v>22</v>
      </c>
      <c r="F82" t="s">
        <v>77</v>
      </c>
      <c r="G82">
        <v>50</v>
      </c>
      <c r="I82" t="s">
        <v>95</v>
      </c>
      <c r="J82" t="s">
        <v>78</v>
      </c>
      <c r="Q82">
        <v>1</v>
      </c>
      <c r="V82" t="str">
        <f t="shared" si="4"/>
        <v>S-5055718-0007-01</v>
      </c>
      <c r="W82">
        <f t="shared" si="7"/>
        <v>2</v>
      </c>
      <c r="X82" t="str">
        <f t="shared" si="5"/>
        <v>5055718-0007debit</v>
      </c>
      <c r="Y82">
        <f t="shared" si="6"/>
        <v>-50</v>
      </c>
    </row>
    <row r="83" spans="1:25" hidden="1" x14ac:dyDescent="0.4">
      <c r="A83" t="s">
        <v>20</v>
      </c>
      <c r="B83">
        <v>5057831</v>
      </c>
      <c r="C83" t="s">
        <v>2174</v>
      </c>
      <c r="D83" t="s">
        <v>21</v>
      </c>
      <c r="E83" t="s">
        <v>22</v>
      </c>
      <c r="K83">
        <v>101.11302446800001</v>
      </c>
      <c r="L83">
        <v>9.12491E-3</v>
      </c>
      <c r="M83">
        <v>101.10389955799999</v>
      </c>
      <c r="N83">
        <v>0</v>
      </c>
      <c r="O83">
        <v>0</v>
      </c>
      <c r="P83" s="1" t="s">
        <v>96</v>
      </c>
      <c r="Q83">
        <v>1</v>
      </c>
      <c r="R83">
        <v>0.10176344599999999</v>
      </c>
      <c r="S83">
        <v>29.24</v>
      </c>
      <c r="T83" s="2">
        <v>45720</v>
      </c>
      <c r="V83" t="str">
        <f t="shared" si="4"/>
        <v>S-5057831</v>
      </c>
      <c r="W83">
        <f t="shared" si="7"/>
        <v>0</v>
      </c>
      <c r="X83" t="str">
        <f t="shared" si="5"/>
        <v/>
      </c>
      <c r="Y83">
        <f t="shared" si="6"/>
        <v>0.10176344599999999</v>
      </c>
    </row>
    <row r="84" spans="1:25" hidden="1" x14ac:dyDescent="0.4">
      <c r="A84" t="s">
        <v>20</v>
      </c>
      <c r="B84">
        <v>5065031</v>
      </c>
      <c r="C84" t="s">
        <v>2175</v>
      </c>
      <c r="D84" t="s">
        <v>21</v>
      </c>
      <c r="E84" t="s">
        <v>22</v>
      </c>
      <c r="K84">
        <v>101.17686960899999</v>
      </c>
      <c r="L84">
        <v>9.12491E-3</v>
      </c>
      <c r="M84">
        <v>101.167744699</v>
      </c>
      <c r="N84">
        <v>0</v>
      </c>
      <c r="O84">
        <v>0</v>
      </c>
      <c r="P84" s="1" t="s">
        <v>97</v>
      </c>
      <c r="Q84">
        <v>1</v>
      </c>
      <c r="R84">
        <v>6.3845140999999994E-2</v>
      </c>
      <c r="S84">
        <v>19.239999999999998</v>
      </c>
      <c r="T84" s="2">
        <v>45721</v>
      </c>
      <c r="V84" t="str">
        <f t="shared" si="4"/>
        <v>S-5065031</v>
      </c>
      <c r="W84">
        <f t="shared" si="7"/>
        <v>0</v>
      </c>
      <c r="X84" t="str">
        <f t="shared" si="5"/>
        <v/>
      </c>
      <c r="Y84">
        <f t="shared" si="6"/>
        <v>6.3845140999999994E-2</v>
      </c>
    </row>
    <row r="85" spans="1:25" hidden="1" x14ac:dyDescent="0.4">
      <c r="A85" t="s">
        <v>20</v>
      </c>
      <c r="B85">
        <v>5072231</v>
      </c>
      <c r="C85" t="s">
        <v>2176</v>
      </c>
      <c r="D85" t="s">
        <v>21</v>
      </c>
      <c r="E85" t="s">
        <v>22</v>
      </c>
      <c r="K85">
        <v>101.239124754</v>
      </c>
      <c r="L85">
        <v>9.12491E-3</v>
      </c>
      <c r="M85">
        <v>101.22999984400001</v>
      </c>
      <c r="N85">
        <v>0</v>
      </c>
      <c r="O85">
        <v>0</v>
      </c>
      <c r="P85" s="1" t="s">
        <v>98</v>
      </c>
      <c r="Q85">
        <v>1</v>
      </c>
      <c r="R85">
        <v>6.2255144999999998E-2</v>
      </c>
      <c r="S85">
        <v>18.010000000000002</v>
      </c>
      <c r="T85" s="2">
        <v>45722</v>
      </c>
      <c r="V85" t="str">
        <f t="shared" si="4"/>
        <v>S-5072231</v>
      </c>
      <c r="W85">
        <f t="shared" si="7"/>
        <v>0</v>
      </c>
      <c r="X85" t="str">
        <f t="shared" si="5"/>
        <v/>
      </c>
      <c r="Y85">
        <f t="shared" si="6"/>
        <v>6.2255144999999998E-2</v>
      </c>
    </row>
    <row r="86" spans="1:25" hidden="1" x14ac:dyDescent="0.4">
      <c r="A86" t="s">
        <v>20</v>
      </c>
      <c r="B86">
        <v>5079431</v>
      </c>
      <c r="C86" t="s">
        <v>2177</v>
      </c>
      <c r="D86" t="s">
        <v>21</v>
      </c>
      <c r="E86" t="s">
        <v>22</v>
      </c>
      <c r="K86">
        <v>101.301098544</v>
      </c>
      <c r="L86">
        <v>9.12491E-3</v>
      </c>
      <c r="M86">
        <v>101.291973634</v>
      </c>
      <c r="N86">
        <v>0</v>
      </c>
      <c r="O86">
        <v>0</v>
      </c>
      <c r="P86" s="1" t="s">
        <v>99</v>
      </c>
      <c r="Q86">
        <v>1</v>
      </c>
      <c r="R86">
        <v>6.1973790000000001E-2</v>
      </c>
      <c r="S86">
        <v>16.96</v>
      </c>
      <c r="T86" s="2">
        <v>45723</v>
      </c>
      <c r="V86" t="str">
        <f t="shared" si="4"/>
        <v>S-5079431</v>
      </c>
      <c r="W86">
        <f t="shared" si="7"/>
        <v>0</v>
      </c>
      <c r="X86" t="str">
        <f t="shared" si="5"/>
        <v/>
      </c>
      <c r="Y86">
        <f t="shared" si="6"/>
        <v>6.1973790000000001E-2</v>
      </c>
    </row>
    <row r="87" spans="1:25" hidden="1" x14ac:dyDescent="0.4">
      <c r="A87" t="s">
        <v>20</v>
      </c>
      <c r="B87">
        <v>5086631</v>
      </c>
      <c r="C87" t="s">
        <v>2178</v>
      </c>
      <c r="D87" t="s">
        <v>21</v>
      </c>
      <c r="E87" t="s">
        <v>22</v>
      </c>
      <c r="K87">
        <v>101.36246640100001</v>
      </c>
      <c r="L87">
        <v>9.12491E-3</v>
      </c>
      <c r="M87">
        <v>101.35334149099999</v>
      </c>
      <c r="N87">
        <v>0</v>
      </c>
      <c r="O87">
        <v>0</v>
      </c>
      <c r="P87">
        <v>274.7584068868</v>
      </c>
      <c r="Q87">
        <v>1</v>
      </c>
      <c r="R87">
        <v>6.1367856999999998E-2</v>
      </c>
      <c r="S87">
        <v>16.86</v>
      </c>
      <c r="T87" s="2">
        <v>45724</v>
      </c>
      <c r="V87" t="str">
        <f t="shared" si="4"/>
        <v>S-5086631</v>
      </c>
      <c r="W87">
        <f t="shared" si="7"/>
        <v>0</v>
      </c>
      <c r="X87" t="str">
        <f t="shared" si="5"/>
        <v/>
      </c>
      <c r="Y87">
        <f t="shared" si="6"/>
        <v>6.1367856999999998E-2</v>
      </c>
    </row>
    <row r="88" spans="1:25" hidden="1" x14ac:dyDescent="0.4">
      <c r="A88" t="s">
        <v>20</v>
      </c>
      <c r="B88">
        <v>5093831</v>
      </c>
      <c r="C88" t="s">
        <v>2179</v>
      </c>
      <c r="D88" t="s">
        <v>21</v>
      </c>
      <c r="E88" t="s">
        <v>22</v>
      </c>
      <c r="K88">
        <v>101.42406024</v>
      </c>
      <c r="L88">
        <v>9.12491E-3</v>
      </c>
      <c r="M88">
        <v>101.41493533000001</v>
      </c>
      <c r="N88">
        <v>0</v>
      </c>
      <c r="O88">
        <v>0</v>
      </c>
      <c r="P88" s="1" t="s">
        <v>100</v>
      </c>
      <c r="Q88">
        <v>1</v>
      </c>
      <c r="R88">
        <v>6.1593838999999997E-2</v>
      </c>
      <c r="S88">
        <v>14.95</v>
      </c>
      <c r="T88" s="2">
        <v>45725</v>
      </c>
      <c r="V88" t="str">
        <f t="shared" si="4"/>
        <v>S-5093831</v>
      </c>
      <c r="W88">
        <f t="shared" si="7"/>
        <v>0</v>
      </c>
      <c r="X88" t="str">
        <f t="shared" si="5"/>
        <v/>
      </c>
      <c r="Y88">
        <f t="shared" si="6"/>
        <v>6.1593838999999997E-2</v>
      </c>
    </row>
    <row r="89" spans="1:25" hidden="1" x14ac:dyDescent="0.4">
      <c r="A89" t="s">
        <v>20</v>
      </c>
      <c r="B89">
        <v>5101031</v>
      </c>
      <c r="C89" t="s">
        <v>2180</v>
      </c>
      <c r="D89" t="s">
        <v>21</v>
      </c>
      <c r="E89" t="s">
        <v>22</v>
      </c>
      <c r="K89">
        <v>101.481920931</v>
      </c>
      <c r="L89">
        <v>9.12491E-3</v>
      </c>
      <c r="M89">
        <v>101.47279602099999</v>
      </c>
      <c r="N89">
        <v>0</v>
      </c>
      <c r="O89">
        <v>0</v>
      </c>
      <c r="P89" s="1" t="s">
        <v>101</v>
      </c>
      <c r="Q89">
        <v>1</v>
      </c>
      <c r="R89">
        <v>5.7860690999999999E-2</v>
      </c>
      <c r="S89">
        <v>13.26</v>
      </c>
      <c r="T89" s="2">
        <v>45726</v>
      </c>
      <c r="V89" t="str">
        <f t="shared" si="4"/>
        <v>S-5101031</v>
      </c>
      <c r="W89">
        <f t="shared" si="7"/>
        <v>0</v>
      </c>
      <c r="X89" t="str">
        <f t="shared" si="5"/>
        <v/>
      </c>
      <c r="Y89">
        <f t="shared" si="6"/>
        <v>5.7860690999999999E-2</v>
      </c>
    </row>
    <row r="90" spans="1:25" hidden="1" x14ac:dyDescent="0.4">
      <c r="A90" t="s">
        <v>20</v>
      </c>
      <c r="B90">
        <v>5108231</v>
      </c>
      <c r="C90" t="s">
        <v>2181</v>
      </c>
      <c r="D90" t="s">
        <v>21</v>
      </c>
      <c r="E90" t="s">
        <v>22</v>
      </c>
      <c r="K90">
        <v>101.53431790800001</v>
      </c>
      <c r="L90">
        <v>9.12491E-3</v>
      </c>
      <c r="M90">
        <v>101.52519299799999</v>
      </c>
      <c r="N90">
        <v>0</v>
      </c>
      <c r="O90">
        <v>0</v>
      </c>
      <c r="P90" s="1" t="s">
        <v>102</v>
      </c>
      <c r="Q90">
        <v>1</v>
      </c>
      <c r="R90">
        <v>5.2396976999999997E-2</v>
      </c>
      <c r="S90">
        <v>13.57</v>
      </c>
      <c r="T90" s="2">
        <v>45727</v>
      </c>
      <c r="V90" t="str">
        <f t="shared" si="4"/>
        <v>S-5108231</v>
      </c>
      <c r="W90">
        <f t="shared" si="7"/>
        <v>0</v>
      </c>
      <c r="X90" t="str">
        <f t="shared" si="5"/>
        <v/>
      </c>
      <c r="Y90">
        <f t="shared" si="6"/>
        <v>5.2396976999999997E-2</v>
      </c>
    </row>
    <row r="91" spans="1:25" hidden="1" x14ac:dyDescent="0.4">
      <c r="A91" t="s">
        <v>20</v>
      </c>
      <c r="B91">
        <v>5115431</v>
      </c>
      <c r="C91" t="s">
        <v>2182</v>
      </c>
      <c r="D91" t="s">
        <v>21</v>
      </c>
      <c r="E91" t="s">
        <v>22</v>
      </c>
      <c r="K91">
        <v>101.582607825</v>
      </c>
      <c r="L91">
        <v>9.12491E-3</v>
      </c>
      <c r="M91">
        <v>101.573482915</v>
      </c>
      <c r="N91">
        <v>0</v>
      </c>
      <c r="O91">
        <v>0</v>
      </c>
      <c r="P91" s="1" t="s">
        <v>103</v>
      </c>
      <c r="Q91">
        <v>1</v>
      </c>
      <c r="R91">
        <v>4.8289917000000002E-2</v>
      </c>
      <c r="S91">
        <v>12.48</v>
      </c>
      <c r="T91" s="2">
        <v>45728</v>
      </c>
      <c r="V91" t="str">
        <f t="shared" si="4"/>
        <v>S-5115431</v>
      </c>
      <c r="W91">
        <f t="shared" si="7"/>
        <v>0</v>
      </c>
      <c r="X91" t="str">
        <f t="shared" si="5"/>
        <v/>
      </c>
      <c r="Y91">
        <f t="shared" si="6"/>
        <v>4.8289917000000002E-2</v>
      </c>
    </row>
    <row r="92" spans="1:25" hidden="1" x14ac:dyDescent="0.4">
      <c r="A92" t="s">
        <v>20</v>
      </c>
      <c r="B92">
        <v>5122631</v>
      </c>
      <c r="C92" t="s">
        <v>2183</v>
      </c>
      <c r="D92" t="s">
        <v>21</v>
      </c>
      <c r="E92" t="s">
        <v>22</v>
      </c>
      <c r="K92">
        <v>101.62805535</v>
      </c>
      <c r="L92">
        <v>9.12491E-3</v>
      </c>
      <c r="M92">
        <v>101.61893044</v>
      </c>
      <c r="N92">
        <v>0</v>
      </c>
      <c r="O92">
        <v>0</v>
      </c>
      <c r="P92" s="1" t="s">
        <v>104</v>
      </c>
      <c r="Q92">
        <v>1</v>
      </c>
      <c r="R92">
        <v>4.5447525000000003E-2</v>
      </c>
      <c r="S92">
        <v>10.81</v>
      </c>
      <c r="T92" s="2">
        <v>45729</v>
      </c>
      <c r="V92" t="str">
        <f t="shared" si="4"/>
        <v>S-5122631</v>
      </c>
      <c r="W92">
        <f t="shared" si="7"/>
        <v>0</v>
      </c>
      <c r="X92" t="str">
        <f t="shared" si="5"/>
        <v/>
      </c>
      <c r="Y92">
        <f t="shared" si="6"/>
        <v>4.5447525000000003E-2</v>
      </c>
    </row>
    <row r="93" spans="1:25" hidden="1" x14ac:dyDescent="0.4">
      <c r="A93" t="s">
        <v>20</v>
      </c>
      <c r="B93">
        <v>5129831</v>
      </c>
      <c r="C93" t="s">
        <v>2184</v>
      </c>
      <c r="D93" t="s">
        <v>21</v>
      </c>
      <c r="E93" t="s">
        <v>22</v>
      </c>
      <c r="K93">
        <v>101.67180597700001</v>
      </c>
      <c r="L93">
        <v>9.12491E-3</v>
      </c>
      <c r="M93">
        <v>101.66268106699999</v>
      </c>
      <c r="N93">
        <v>0</v>
      </c>
      <c r="O93">
        <v>0</v>
      </c>
      <c r="P93" s="1" t="s">
        <v>105</v>
      </c>
      <c r="Q93">
        <v>1</v>
      </c>
      <c r="R93">
        <v>4.3750627E-2</v>
      </c>
      <c r="S93">
        <v>11.33</v>
      </c>
      <c r="T93" s="2">
        <v>45730</v>
      </c>
      <c r="V93" t="str">
        <f t="shared" si="4"/>
        <v>S-5129831</v>
      </c>
      <c r="W93">
        <f t="shared" si="7"/>
        <v>0</v>
      </c>
      <c r="X93" t="str">
        <f t="shared" si="5"/>
        <v/>
      </c>
      <c r="Y93">
        <f t="shared" si="6"/>
        <v>4.3750627E-2</v>
      </c>
    </row>
    <row r="94" spans="1:25" hidden="1" x14ac:dyDescent="0.4">
      <c r="A94" t="s">
        <v>20</v>
      </c>
      <c r="B94">
        <v>5137031</v>
      </c>
      <c r="C94" t="s">
        <v>2185</v>
      </c>
      <c r="D94" t="s">
        <v>21</v>
      </c>
      <c r="E94" t="s">
        <v>22</v>
      </c>
      <c r="K94">
        <v>101.71281119699999</v>
      </c>
      <c r="L94">
        <v>9.12491E-3</v>
      </c>
      <c r="M94">
        <v>101.703686287</v>
      </c>
      <c r="N94">
        <v>0</v>
      </c>
      <c r="O94">
        <v>0</v>
      </c>
      <c r="P94" s="1" t="s">
        <v>106</v>
      </c>
      <c r="Q94">
        <v>1</v>
      </c>
      <c r="R94">
        <v>4.1005220000000002E-2</v>
      </c>
      <c r="S94">
        <v>10.59</v>
      </c>
      <c r="T94" s="2">
        <v>45731</v>
      </c>
      <c r="V94" t="str">
        <f t="shared" si="4"/>
        <v>S-5137031</v>
      </c>
      <c r="W94">
        <f t="shared" si="7"/>
        <v>0</v>
      </c>
      <c r="X94" t="str">
        <f t="shared" si="5"/>
        <v/>
      </c>
      <c r="Y94">
        <f t="shared" si="6"/>
        <v>4.1005220000000002E-2</v>
      </c>
    </row>
    <row r="95" spans="1:25" hidden="1" x14ac:dyDescent="0.4">
      <c r="A95" t="s">
        <v>20</v>
      </c>
      <c r="B95">
        <v>5144231</v>
      </c>
      <c r="C95" t="s">
        <v>2186</v>
      </c>
      <c r="D95" t="s">
        <v>21</v>
      </c>
      <c r="E95" t="s">
        <v>22</v>
      </c>
      <c r="K95">
        <v>101.75376348499999</v>
      </c>
      <c r="L95">
        <v>9.12491E-3</v>
      </c>
      <c r="M95">
        <v>101.744638575</v>
      </c>
      <c r="N95">
        <v>0</v>
      </c>
      <c r="O95">
        <v>0</v>
      </c>
      <c r="P95" s="1" t="s">
        <v>107</v>
      </c>
      <c r="Q95">
        <v>1</v>
      </c>
      <c r="R95">
        <v>4.0952288000000003E-2</v>
      </c>
      <c r="S95">
        <v>9.89</v>
      </c>
      <c r="T95" s="2">
        <v>45732</v>
      </c>
      <c r="V95" t="str">
        <f t="shared" si="4"/>
        <v>S-5144231</v>
      </c>
      <c r="W95">
        <f t="shared" si="7"/>
        <v>0</v>
      </c>
      <c r="X95" t="str">
        <f t="shared" si="5"/>
        <v/>
      </c>
      <c r="Y95">
        <f t="shared" si="6"/>
        <v>4.0952288000000003E-2</v>
      </c>
    </row>
    <row r="96" spans="1:25" hidden="1" x14ac:dyDescent="0.4">
      <c r="A96" t="s">
        <v>20</v>
      </c>
      <c r="B96">
        <v>5151431</v>
      </c>
      <c r="C96" t="s">
        <v>2187</v>
      </c>
      <c r="D96" t="s">
        <v>21</v>
      </c>
      <c r="E96" t="s">
        <v>22</v>
      </c>
      <c r="K96">
        <v>101.79412596900001</v>
      </c>
      <c r="L96">
        <v>9.12491E-3</v>
      </c>
      <c r="M96">
        <v>101.785001059</v>
      </c>
      <c r="N96">
        <v>0</v>
      </c>
      <c r="O96">
        <v>0</v>
      </c>
      <c r="P96" s="1" t="s">
        <v>108</v>
      </c>
      <c r="Q96">
        <v>1</v>
      </c>
      <c r="R96">
        <v>4.0362483999999997E-2</v>
      </c>
      <c r="S96">
        <v>10.28</v>
      </c>
      <c r="T96" s="2">
        <v>45733</v>
      </c>
      <c r="V96" t="str">
        <f t="shared" si="4"/>
        <v>S-5151431</v>
      </c>
      <c r="W96">
        <f t="shared" si="7"/>
        <v>0</v>
      </c>
      <c r="X96" t="str">
        <f t="shared" si="5"/>
        <v/>
      </c>
      <c r="Y96">
        <f t="shared" si="6"/>
        <v>4.0362483999999997E-2</v>
      </c>
    </row>
    <row r="97" spans="1:25" hidden="1" x14ac:dyDescent="0.4">
      <c r="A97" t="s">
        <v>20</v>
      </c>
      <c r="B97">
        <v>5158631</v>
      </c>
      <c r="C97" t="s">
        <v>2188</v>
      </c>
      <c r="D97" t="s">
        <v>21</v>
      </c>
      <c r="E97" t="s">
        <v>22</v>
      </c>
      <c r="K97">
        <v>101.835137417</v>
      </c>
      <c r="L97">
        <v>9.12491E-3</v>
      </c>
      <c r="M97">
        <v>101.826012507</v>
      </c>
      <c r="N97">
        <v>0</v>
      </c>
      <c r="O97">
        <v>0</v>
      </c>
      <c r="P97" s="1" t="s">
        <v>109</v>
      </c>
      <c r="Q97">
        <v>1</v>
      </c>
      <c r="R97">
        <v>4.1011447999999999E-2</v>
      </c>
      <c r="S97">
        <v>10.15</v>
      </c>
      <c r="T97" s="2">
        <v>45734</v>
      </c>
      <c r="V97" t="str">
        <f t="shared" si="4"/>
        <v>S-5158631</v>
      </c>
      <c r="W97">
        <f t="shared" si="7"/>
        <v>0</v>
      </c>
      <c r="X97" t="str">
        <f t="shared" si="5"/>
        <v/>
      </c>
      <c r="Y97">
        <f t="shared" si="6"/>
        <v>4.1011447999999999E-2</v>
      </c>
    </row>
    <row r="98" spans="1:25" hidden="1" x14ac:dyDescent="0.4">
      <c r="A98" t="s">
        <v>20</v>
      </c>
      <c r="B98">
        <v>5165831</v>
      </c>
      <c r="C98" t="s">
        <v>2189</v>
      </c>
      <c r="D98" t="s">
        <v>21</v>
      </c>
      <c r="E98" t="s">
        <v>22</v>
      </c>
      <c r="K98">
        <v>101.87727959999999</v>
      </c>
      <c r="L98">
        <v>9.12491E-3</v>
      </c>
      <c r="M98">
        <v>101.86815469</v>
      </c>
      <c r="N98">
        <v>0</v>
      </c>
      <c r="O98">
        <v>0</v>
      </c>
      <c r="P98" s="1" t="s">
        <v>110</v>
      </c>
      <c r="Q98">
        <v>1</v>
      </c>
      <c r="R98">
        <v>4.2142183E-2</v>
      </c>
      <c r="S98">
        <v>11.07</v>
      </c>
      <c r="T98" s="2">
        <v>45735</v>
      </c>
      <c r="V98" t="str">
        <f t="shared" si="4"/>
        <v>S-5165831</v>
      </c>
      <c r="W98">
        <f t="shared" si="7"/>
        <v>0</v>
      </c>
      <c r="X98" t="str">
        <f t="shared" si="5"/>
        <v/>
      </c>
      <c r="Y98">
        <f t="shared" si="6"/>
        <v>4.2142183E-2</v>
      </c>
    </row>
    <row r="99" spans="1:25" hidden="1" x14ac:dyDescent="0.4">
      <c r="A99" t="s">
        <v>20</v>
      </c>
      <c r="B99">
        <v>5173031</v>
      </c>
      <c r="C99" t="s">
        <v>2190</v>
      </c>
      <c r="D99" t="s">
        <v>21</v>
      </c>
      <c r="E99" t="s">
        <v>22</v>
      </c>
      <c r="K99">
        <v>101.921503738</v>
      </c>
      <c r="L99">
        <v>9.12491E-3</v>
      </c>
      <c r="M99">
        <v>101.912378828</v>
      </c>
      <c r="N99">
        <v>0</v>
      </c>
      <c r="O99">
        <v>0</v>
      </c>
      <c r="P99" s="1" t="s">
        <v>111</v>
      </c>
      <c r="Q99">
        <v>1</v>
      </c>
      <c r="R99">
        <v>4.4224138000000003E-2</v>
      </c>
      <c r="S99">
        <v>11.1</v>
      </c>
      <c r="T99" s="2">
        <v>45736</v>
      </c>
      <c r="V99" t="str">
        <f t="shared" si="4"/>
        <v>S-5173031</v>
      </c>
      <c r="W99">
        <f t="shared" si="7"/>
        <v>0</v>
      </c>
      <c r="X99" t="str">
        <f t="shared" si="5"/>
        <v/>
      </c>
      <c r="Y99">
        <f t="shared" si="6"/>
        <v>4.4224138000000003E-2</v>
      </c>
    </row>
    <row r="100" spans="1:25" hidden="1" x14ac:dyDescent="0.4">
      <c r="A100" t="s">
        <v>20</v>
      </c>
      <c r="B100">
        <v>5180231</v>
      </c>
      <c r="C100" t="s">
        <v>2191</v>
      </c>
      <c r="D100" t="s">
        <v>21</v>
      </c>
      <c r="E100" t="s">
        <v>22</v>
      </c>
      <c r="K100">
        <v>101.960411333</v>
      </c>
      <c r="L100">
        <v>9.12491E-3</v>
      </c>
      <c r="M100">
        <v>101.951286423</v>
      </c>
      <c r="N100">
        <v>0</v>
      </c>
      <c r="O100">
        <v>0</v>
      </c>
      <c r="P100" s="1" t="s">
        <v>112</v>
      </c>
      <c r="Q100">
        <v>1</v>
      </c>
      <c r="R100">
        <v>3.8907595000000003E-2</v>
      </c>
      <c r="S100">
        <v>9.6</v>
      </c>
      <c r="T100" s="2">
        <v>45737</v>
      </c>
      <c r="V100" t="str">
        <f t="shared" si="4"/>
        <v>S-5180231</v>
      </c>
      <c r="W100">
        <f t="shared" si="7"/>
        <v>0</v>
      </c>
      <c r="X100" t="str">
        <f t="shared" si="5"/>
        <v/>
      </c>
      <c r="Y100">
        <f t="shared" si="6"/>
        <v>3.8907595000000003E-2</v>
      </c>
    </row>
    <row r="101" spans="1:25" hidden="1" x14ac:dyDescent="0.4">
      <c r="A101" t="s">
        <v>20</v>
      </c>
      <c r="B101">
        <v>5187431</v>
      </c>
      <c r="C101" t="s">
        <v>2192</v>
      </c>
      <c r="D101" t="s">
        <v>21</v>
      </c>
      <c r="E101" t="s">
        <v>22</v>
      </c>
      <c r="K101">
        <v>101.99969245</v>
      </c>
      <c r="L101">
        <v>9.12491E-3</v>
      </c>
      <c r="M101">
        <v>101.99056754</v>
      </c>
      <c r="N101">
        <v>0</v>
      </c>
      <c r="O101">
        <v>0</v>
      </c>
      <c r="P101" s="1" t="s">
        <v>113</v>
      </c>
      <c r="Q101">
        <v>1</v>
      </c>
      <c r="R101">
        <v>3.9281116999999997E-2</v>
      </c>
      <c r="S101">
        <v>9.7200000000000006</v>
      </c>
      <c r="T101" s="2">
        <v>45738</v>
      </c>
      <c r="V101" t="str">
        <f t="shared" si="4"/>
        <v>S-5187431</v>
      </c>
      <c r="W101">
        <f t="shared" si="7"/>
        <v>0</v>
      </c>
      <c r="X101" t="str">
        <f t="shared" si="5"/>
        <v/>
      </c>
      <c r="Y101">
        <f t="shared" si="6"/>
        <v>3.9281116999999997E-2</v>
      </c>
    </row>
    <row r="102" spans="1:25" hidden="1" x14ac:dyDescent="0.4">
      <c r="A102" t="s">
        <v>20</v>
      </c>
      <c r="B102">
        <v>5194631</v>
      </c>
      <c r="C102" t="s">
        <v>2193</v>
      </c>
      <c r="D102" t="s">
        <v>21</v>
      </c>
      <c r="E102" t="s">
        <v>22</v>
      </c>
      <c r="K102">
        <v>102.03733769500001</v>
      </c>
      <c r="L102">
        <v>9.12491E-3</v>
      </c>
      <c r="M102">
        <v>102.02821278499999</v>
      </c>
      <c r="N102">
        <v>0</v>
      </c>
      <c r="O102">
        <v>0</v>
      </c>
      <c r="P102" s="1" t="s">
        <v>114</v>
      </c>
      <c r="Q102">
        <v>1</v>
      </c>
      <c r="R102">
        <v>3.7645245000000001E-2</v>
      </c>
      <c r="S102">
        <v>9.65</v>
      </c>
      <c r="T102" s="2">
        <v>45739</v>
      </c>
      <c r="V102" t="str">
        <f t="shared" si="4"/>
        <v>S-5194631</v>
      </c>
      <c r="W102">
        <f t="shared" si="7"/>
        <v>0</v>
      </c>
      <c r="X102" t="str">
        <f t="shared" si="5"/>
        <v/>
      </c>
      <c r="Y102">
        <f t="shared" si="6"/>
        <v>3.7645245000000001E-2</v>
      </c>
    </row>
    <row r="103" spans="1:25" hidden="1" x14ac:dyDescent="0.4">
      <c r="A103" t="s">
        <v>20</v>
      </c>
      <c r="B103">
        <v>5201831</v>
      </c>
      <c r="C103" t="s">
        <v>2194</v>
      </c>
      <c r="D103" t="s">
        <v>21</v>
      </c>
      <c r="E103" t="s">
        <v>22</v>
      </c>
      <c r="K103">
        <v>102.07276306999999</v>
      </c>
      <c r="L103">
        <v>9.12491E-3</v>
      </c>
      <c r="M103">
        <v>102.06363816</v>
      </c>
      <c r="N103">
        <v>0</v>
      </c>
      <c r="O103">
        <v>0</v>
      </c>
      <c r="P103" s="1" t="s">
        <v>115</v>
      </c>
      <c r="Q103">
        <v>1</v>
      </c>
      <c r="R103">
        <v>3.5425375000000002E-2</v>
      </c>
      <c r="S103">
        <v>9.48</v>
      </c>
      <c r="T103" s="2">
        <v>45740</v>
      </c>
      <c r="V103" t="str">
        <f t="shared" si="4"/>
        <v>S-5201831</v>
      </c>
      <c r="W103">
        <f t="shared" si="7"/>
        <v>0</v>
      </c>
      <c r="X103" t="str">
        <f t="shared" si="5"/>
        <v/>
      </c>
      <c r="Y103">
        <f t="shared" si="6"/>
        <v>3.5425375000000002E-2</v>
      </c>
    </row>
    <row r="104" spans="1:25" hidden="1" x14ac:dyDescent="0.4">
      <c r="A104" t="s">
        <v>20</v>
      </c>
      <c r="B104">
        <v>5209031</v>
      </c>
      <c r="C104" t="s">
        <v>2195</v>
      </c>
      <c r="D104" t="s">
        <v>21</v>
      </c>
      <c r="E104" t="s">
        <v>22</v>
      </c>
      <c r="K104">
        <v>102.107534057</v>
      </c>
      <c r="L104">
        <v>9.12491E-3</v>
      </c>
      <c r="M104">
        <v>102.098409147</v>
      </c>
      <c r="N104">
        <v>0</v>
      </c>
      <c r="O104">
        <v>0</v>
      </c>
      <c r="P104" s="1" t="s">
        <v>116</v>
      </c>
      <c r="Q104">
        <v>1</v>
      </c>
      <c r="R104">
        <v>3.4770987000000003E-2</v>
      </c>
      <c r="S104">
        <v>9.3699999999999992</v>
      </c>
      <c r="T104" s="2">
        <v>45741</v>
      </c>
      <c r="V104" t="str">
        <f t="shared" si="4"/>
        <v>S-5209031</v>
      </c>
      <c r="W104">
        <f t="shared" si="7"/>
        <v>0</v>
      </c>
      <c r="X104" t="str">
        <f t="shared" si="5"/>
        <v/>
      </c>
      <c r="Y104">
        <f t="shared" si="6"/>
        <v>3.4770987000000003E-2</v>
      </c>
    </row>
    <row r="105" spans="1:25" hidden="1" x14ac:dyDescent="0.4">
      <c r="A105" t="s">
        <v>20</v>
      </c>
      <c r="B105">
        <v>5216231</v>
      </c>
      <c r="C105" t="s">
        <v>2196</v>
      </c>
      <c r="D105" t="s">
        <v>21</v>
      </c>
      <c r="E105" t="s">
        <v>22</v>
      </c>
      <c r="K105">
        <v>102.14341567300001</v>
      </c>
      <c r="L105">
        <v>9.12491E-3</v>
      </c>
      <c r="M105">
        <v>102.134290763</v>
      </c>
      <c r="N105">
        <v>0</v>
      </c>
      <c r="O105">
        <v>0</v>
      </c>
      <c r="P105" s="1" t="s">
        <v>117</v>
      </c>
      <c r="Q105">
        <v>1</v>
      </c>
      <c r="R105">
        <v>3.5881615999999998E-2</v>
      </c>
      <c r="S105">
        <v>9.36</v>
      </c>
      <c r="T105" s="2">
        <v>45742</v>
      </c>
      <c r="V105" t="str">
        <f t="shared" si="4"/>
        <v>S-5216231</v>
      </c>
      <c r="W105">
        <f t="shared" si="7"/>
        <v>0</v>
      </c>
      <c r="X105" t="str">
        <f t="shared" si="5"/>
        <v/>
      </c>
      <c r="Y105">
        <f t="shared" si="6"/>
        <v>3.5881615999999998E-2</v>
      </c>
    </row>
    <row r="106" spans="1:25" hidden="1" x14ac:dyDescent="0.4">
      <c r="A106" t="s">
        <v>20</v>
      </c>
      <c r="B106">
        <v>5223431</v>
      </c>
      <c r="C106" t="s">
        <v>2197</v>
      </c>
      <c r="D106" t="s">
        <v>21</v>
      </c>
      <c r="E106" t="s">
        <v>22</v>
      </c>
      <c r="K106">
        <v>102.17515880000001</v>
      </c>
      <c r="L106">
        <v>9.12491E-3</v>
      </c>
      <c r="M106">
        <v>102.16603388999999</v>
      </c>
      <c r="N106">
        <v>0</v>
      </c>
      <c r="O106">
        <v>0</v>
      </c>
      <c r="P106">
        <v>269.592619452598</v>
      </c>
      <c r="Q106">
        <v>1</v>
      </c>
      <c r="R106">
        <v>3.1743127000000003E-2</v>
      </c>
      <c r="S106">
        <v>8.5500000000000007</v>
      </c>
      <c r="T106" s="2">
        <v>45743</v>
      </c>
      <c r="V106" t="str">
        <f t="shared" si="4"/>
        <v>S-5223431</v>
      </c>
      <c r="W106">
        <f t="shared" si="7"/>
        <v>0</v>
      </c>
      <c r="X106" t="str">
        <f t="shared" si="5"/>
        <v/>
      </c>
      <c r="Y106">
        <f t="shared" si="6"/>
        <v>3.1743127000000003E-2</v>
      </c>
    </row>
    <row r="107" spans="1:25" hidden="1" x14ac:dyDescent="0.4">
      <c r="A107" t="s">
        <v>20</v>
      </c>
      <c r="B107">
        <v>5230631</v>
      </c>
      <c r="C107" t="s">
        <v>2198</v>
      </c>
      <c r="D107" t="s">
        <v>21</v>
      </c>
      <c r="E107" t="s">
        <v>22</v>
      </c>
      <c r="K107">
        <v>102.206915106</v>
      </c>
      <c r="L107">
        <v>9.12491E-3</v>
      </c>
      <c r="M107">
        <v>102.197790196</v>
      </c>
      <c r="N107">
        <v>0</v>
      </c>
      <c r="O107">
        <v>0</v>
      </c>
      <c r="P107">
        <v>244.87748449789601</v>
      </c>
      <c r="Q107">
        <v>1</v>
      </c>
      <c r="R107">
        <v>3.1756305999999998E-2</v>
      </c>
      <c r="S107">
        <v>7.77</v>
      </c>
      <c r="T107" s="2">
        <v>45744</v>
      </c>
      <c r="V107" t="str">
        <f t="shared" si="4"/>
        <v>S-5230631</v>
      </c>
      <c r="W107">
        <f t="shared" si="7"/>
        <v>0</v>
      </c>
      <c r="X107" t="str">
        <f t="shared" si="5"/>
        <v/>
      </c>
      <c r="Y107">
        <f t="shared" si="6"/>
        <v>3.1756305999999998E-2</v>
      </c>
    </row>
    <row r="108" spans="1:25" hidden="1" x14ac:dyDescent="0.4">
      <c r="A108" t="s">
        <v>20</v>
      </c>
      <c r="B108">
        <v>5237831</v>
      </c>
      <c r="C108" t="s">
        <v>2199</v>
      </c>
      <c r="D108" t="s">
        <v>21</v>
      </c>
      <c r="E108" t="s">
        <v>22</v>
      </c>
      <c r="K108">
        <v>102.249135533</v>
      </c>
      <c r="L108">
        <v>9.12491E-3</v>
      </c>
      <c r="M108">
        <v>102.240010623</v>
      </c>
      <c r="N108">
        <v>0</v>
      </c>
      <c r="O108">
        <v>0</v>
      </c>
      <c r="P108" s="1" t="s">
        <v>118</v>
      </c>
      <c r="Q108">
        <v>1</v>
      </c>
      <c r="R108">
        <v>4.2220426999999998E-2</v>
      </c>
      <c r="S108">
        <v>9.74</v>
      </c>
      <c r="T108" s="2">
        <v>45745</v>
      </c>
      <c r="V108" t="str">
        <f t="shared" si="4"/>
        <v>S-5237831</v>
      </c>
      <c r="W108">
        <f t="shared" si="7"/>
        <v>0</v>
      </c>
      <c r="X108" t="str">
        <f t="shared" si="5"/>
        <v/>
      </c>
      <c r="Y108">
        <f t="shared" si="6"/>
        <v>4.2220426999999998E-2</v>
      </c>
    </row>
    <row r="109" spans="1:25" hidden="1" x14ac:dyDescent="0.4">
      <c r="A109" t="s">
        <v>20</v>
      </c>
      <c r="B109">
        <v>5245031</v>
      </c>
      <c r="C109" t="s">
        <v>2200</v>
      </c>
      <c r="D109" t="s">
        <v>21</v>
      </c>
      <c r="E109" t="s">
        <v>22</v>
      </c>
      <c r="K109">
        <v>102.29304209999999</v>
      </c>
      <c r="L109">
        <v>9.12491E-3</v>
      </c>
      <c r="M109">
        <v>102.28391719</v>
      </c>
      <c r="N109">
        <v>0</v>
      </c>
      <c r="O109">
        <v>0</v>
      </c>
      <c r="P109" s="1" t="s">
        <v>119</v>
      </c>
      <c r="Q109">
        <v>1</v>
      </c>
      <c r="R109">
        <v>4.3906567000000001E-2</v>
      </c>
      <c r="S109">
        <v>9.9499999999999993</v>
      </c>
      <c r="T109" s="2">
        <v>45746</v>
      </c>
      <c r="V109" t="str">
        <f t="shared" si="4"/>
        <v>S-5245031</v>
      </c>
      <c r="W109">
        <f t="shared" si="7"/>
        <v>0</v>
      </c>
      <c r="X109" t="str">
        <f t="shared" si="5"/>
        <v/>
      </c>
      <c r="Y109">
        <f t="shared" si="6"/>
        <v>4.3906567000000001E-2</v>
      </c>
    </row>
    <row r="110" spans="1:25" hidden="1" x14ac:dyDescent="0.4">
      <c r="A110" t="s">
        <v>20</v>
      </c>
      <c r="B110">
        <v>5252231</v>
      </c>
      <c r="C110" t="s">
        <v>2201</v>
      </c>
      <c r="D110" t="s">
        <v>21</v>
      </c>
      <c r="E110" t="s">
        <v>22</v>
      </c>
      <c r="K110">
        <v>102.34067806900001</v>
      </c>
      <c r="L110">
        <v>9.12491E-3</v>
      </c>
      <c r="M110">
        <v>102.33155315899999</v>
      </c>
      <c r="N110">
        <v>0</v>
      </c>
      <c r="O110">
        <v>0</v>
      </c>
      <c r="P110" s="1" t="s">
        <v>120</v>
      </c>
      <c r="Q110">
        <v>1</v>
      </c>
      <c r="R110">
        <v>4.7635969E-2</v>
      </c>
      <c r="S110">
        <v>10.66</v>
      </c>
      <c r="T110" s="2">
        <v>45747</v>
      </c>
      <c r="V110" t="str">
        <f t="shared" si="4"/>
        <v>S-5252231</v>
      </c>
      <c r="W110">
        <f t="shared" si="7"/>
        <v>0</v>
      </c>
      <c r="X110" t="str">
        <f t="shared" si="5"/>
        <v/>
      </c>
      <c r="Y110">
        <f t="shared" si="6"/>
        <v>4.7635969E-2</v>
      </c>
    </row>
    <row r="111" spans="1:25" hidden="1" x14ac:dyDescent="0.4">
      <c r="A111" t="s">
        <v>20</v>
      </c>
      <c r="B111">
        <v>5259431</v>
      </c>
      <c r="C111" t="s">
        <v>2202</v>
      </c>
      <c r="D111" t="s">
        <v>21</v>
      </c>
      <c r="E111" t="s">
        <v>22</v>
      </c>
      <c r="K111">
        <v>102.394059377</v>
      </c>
      <c r="L111">
        <v>9.12491E-3</v>
      </c>
      <c r="M111">
        <v>102.38493446699999</v>
      </c>
      <c r="N111">
        <v>0</v>
      </c>
      <c r="O111">
        <v>0</v>
      </c>
      <c r="P111" s="1" t="s">
        <v>121</v>
      </c>
      <c r="Q111">
        <v>1</v>
      </c>
      <c r="R111">
        <v>5.3381308000000002E-2</v>
      </c>
      <c r="S111">
        <v>12.35</v>
      </c>
      <c r="T111" s="2">
        <v>45748</v>
      </c>
      <c r="V111" t="str">
        <f t="shared" si="4"/>
        <v>S-5259431</v>
      </c>
      <c r="W111">
        <f t="shared" si="7"/>
        <v>0</v>
      </c>
      <c r="X111" t="str">
        <f t="shared" si="5"/>
        <v/>
      </c>
      <c r="Y111">
        <f t="shared" si="6"/>
        <v>5.3381308000000002E-2</v>
      </c>
    </row>
    <row r="112" spans="1:25" hidden="1" x14ac:dyDescent="0.4">
      <c r="A112" t="s">
        <v>20</v>
      </c>
      <c r="B112">
        <v>5266631</v>
      </c>
      <c r="C112" t="s">
        <v>2203</v>
      </c>
      <c r="D112" t="s">
        <v>21</v>
      </c>
      <c r="E112" t="s">
        <v>22</v>
      </c>
      <c r="K112">
        <v>102.45108768</v>
      </c>
      <c r="L112">
        <v>9.12491E-3</v>
      </c>
      <c r="M112">
        <v>102.44196277</v>
      </c>
      <c r="N112">
        <v>0</v>
      </c>
      <c r="O112">
        <v>0</v>
      </c>
      <c r="P112" s="1" t="s">
        <v>122</v>
      </c>
      <c r="Q112">
        <v>1</v>
      </c>
      <c r="R112">
        <v>5.7028303000000002E-2</v>
      </c>
      <c r="S112">
        <v>12.19</v>
      </c>
      <c r="T112" s="2">
        <v>45749</v>
      </c>
      <c r="V112" t="str">
        <f t="shared" si="4"/>
        <v>S-5266631</v>
      </c>
      <c r="W112">
        <f t="shared" si="7"/>
        <v>0</v>
      </c>
      <c r="X112" t="str">
        <f t="shared" si="5"/>
        <v/>
      </c>
      <c r="Y112">
        <f t="shared" si="6"/>
        <v>5.7028303000000002E-2</v>
      </c>
    </row>
    <row r="113" spans="1:25" hidden="1" x14ac:dyDescent="0.4">
      <c r="A113" t="s">
        <v>20</v>
      </c>
      <c r="B113">
        <v>5273831</v>
      </c>
      <c r="C113" t="s">
        <v>2204</v>
      </c>
      <c r="D113" t="s">
        <v>21</v>
      </c>
      <c r="E113" t="s">
        <v>22</v>
      </c>
      <c r="K113">
        <v>102.50387557099999</v>
      </c>
      <c r="L113">
        <v>9.12491E-3</v>
      </c>
      <c r="M113">
        <v>102.494750661</v>
      </c>
      <c r="N113">
        <v>0</v>
      </c>
      <c r="O113">
        <v>0</v>
      </c>
      <c r="P113" s="1" t="s">
        <v>123</v>
      </c>
      <c r="Q113">
        <v>1</v>
      </c>
      <c r="R113">
        <v>5.2787891000000003E-2</v>
      </c>
      <c r="S113">
        <v>11.3</v>
      </c>
      <c r="T113" s="2">
        <v>45750</v>
      </c>
      <c r="V113" t="str">
        <f t="shared" si="4"/>
        <v>S-5273831</v>
      </c>
      <c r="W113">
        <f t="shared" si="7"/>
        <v>0</v>
      </c>
      <c r="X113" t="str">
        <f t="shared" si="5"/>
        <v/>
      </c>
      <c r="Y113">
        <f t="shared" si="6"/>
        <v>5.2787891000000003E-2</v>
      </c>
    </row>
    <row r="114" spans="1:25" hidden="1" x14ac:dyDescent="0.4">
      <c r="A114" t="s">
        <v>20</v>
      </c>
      <c r="B114">
        <v>5281031</v>
      </c>
      <c r="C114" t="s">
        <v>2205</v>
      </c>
      <c r="D114" t="s">
        <v>21</v>
      </c>
      <c r="E114" t="s">
        <v>22</v>
      </c>
      <c r="K114">
        <v>102.55700586099999</v>
      </c>
      <c r="L114">
        <v>9.12491E-3</v>
      </c>
      <c r="M114">
        <v>102.547880951</v>
      </c>
      <c r="N114">
        <v>0</v>
      </c>
      <c r="O114">
        <v>0</v>
      </c>
      <c r="P114" s="1" t="s">
        <v>124</v>
      </c>
      <c r="Q114">
        <v>1</v>
      </c>
      <c r="R114">
        <v>5.3130289999999997E-2</v>
      </c>
      <c r="S114">
        <v>11.69</v>
      </c>
      <c r="T114" s="2">
        <v>45751</v>
      </c>
      <c r="V114" t="str">
        <f t="shared" si="4"/>
        <v>S-5281031</v>
      </c>
      <c r="W114">
        <f t="shared" si="7"/>
        <v>0</v>
      </c>
      <c r="X114" t="str">
        <f t="shared" si="5"/>
        <v/>
      </c>
      <c r="Y114">
        <f t="shared" si="6"/>
        <v>5.3130289999999997E-2</v>
      </c>
    </row>
    <row r="115" spans="1:25" hidden="1" x14ac:dyDescent="0.4">
      <c r="A115" t="s">
        <v>20</v>
      </c>
      <c r="B115">
        <v>5288231</v>
      </c>
      <c r="C115" t="s">
        <v>2206</v>
      </c>
      <c r="D115" t="s">
        <v>21</v>
      </c>
      <c r="E115" t="s">
        <v>22</v>
      </c>
      <c r="K115">
        <v>102.607670201</v>
      </c>
      <c r="L115">
        <v>9.12491E-3</v>
      </c>
      <c r="M115">
        <v>102.59854529099999</v>
      </c>
      <c r="N115">
        <v>0</v>
      </c>
      <c r="O115">
        <v>0</v>
      </c>
      <c r="P115" s="1" t="s">
        <v>125</v>
      </c>
      <c r="Q115">
        <v>1</v>
      </c>
      <c r="R115">
        <v>5.0664340000000002E-2</v>
      </c>
      <c r="S115">
        <v>11.1</v>
      </c>
      <c r="T115" s="2">
        <v>45752</v>
      </c>
      <c r="V115" t="str">
        <f t="shared" si="4"/>
        <v>S-5288231</v>
      </c>
      <c r="W115">
        <f t="shared" si="7"/>
        <v>0</v>
      </c>
      <c r="X115" t="str">
        <f t="shared" si="5"/>
        <v/>
      </c>
      <c r="Y115">
        <f t="shared" si="6"/>
        <v>5.0664340000000002E-2</v>
      </c>
    </row>
    <row r="116" spans="1:25" hidden="1" x14ac:dyDescent="0.4">
      <c r="A116" t="s">
        <v>20</v>
      </c>
      <c r="B116">
        <v>5295431</v>
      </c>
      <c r="C116" t="s">
        <v>2207</v>
      </c>
      <c r="D116" t="s">
        <v>21</v>
      </c>
      <c r="E116" t="s">
        <v>22</v>
      </c>
      <c r="K116">
        <v>102.664384692</v>
      </c>
      <c r="L116">
        <v>9.12491E-3</v>
      </c>
      <c r="M116">
        <v>102.655259782</v>
      </c>
      <c r="N116">
        <v>0</v>
      </c>
      <c r="O116">
        <v>0</v>
      </c>
      <c r="P116" s="1" t="s">
        <v>126</v>
      </c>
      <c r="Q116">
        <v>1</v>
      </c>
      <c r="R116">
        <v>5.6714490999999999E-2</v>
      </c>
      <c r="S116">
        <v>10.41</v>
      </c>
      <c r="T116" s="2">
        <v>45753</v>
      </c>
      <c r="V116" t="str">
        <f t="shared" si="4"/>
        <v>S-5295431</v>
      </c>
      <c r="W116">
        <f t="shared" si="7"/>
        <v>0</v>
      </c>
      <c r="X116" t="str">
        <f t="shared" si="5"/>
        <v/>
      </c>
      <c r="Y116">
        <f t="shared" si="6"/>
        <v>5.6714490999999999E-2</v>
      </c>
    </row>
    <row r="117" spans="1:25" hidden="1" x14ac:dyDescent="0.4">
      <c r="A117" t="s">
        <v>20</v>
      </c>
      <c r="B117">
        <v>5302631</v>
      </c>
      <c r="C117" t="s">
        <v>2208</v>
      </c>
      <c r="D117" t="s">
        <v>21</v>
      </c>
      <c r="E117" t="s">
        <v>22</v>
      </c>
      <c r="K117">
        <v>102.720888311</v>
      </c>
      <c r="L117">
        <v>9.12491E-3</v>
      </c>
      <c r="M117">
        <v>102.711763401</v>
      </c>
      <c r="N117">
        <v>0</v>
      </c>
      <c r="O117">
        <v>0</v>
      </c>
      <c r="P117" s="1" t="s">
        <v>127</v>
      </c>
      <c r="Q117">
        <v>1</v>
      </c>
      <c r="R117">
        <v>5.6503618999999998E-2</v>
      </c>
      <c r="S117">
        <v>11.6</v>
      </c>
      <c r="T117" s="2">
        <v>45754</v>
      </c>
      <c r="V117" t="str">
        <f t="shared" si="4"/>
        <v>S-5302631</v>
      </c>
      <c r="W117">
        <f t="shared" si="7"/>
        <v>0</v>
      </c>
      <c r="X117" t="str">
        <f t="shared" si="5"/>
        <v/>
      </c>
      <c r="Y117">
        <f t="shared" si="6"/>
        <v>5.6503618999999998E-2</v>
      </c>
    </row>
    <row r="118" spans="1:25" hidden="1" x14ac:dyDescent="0.4">
      <c r="A118" t="s">
        <v>20</v>
      </c>
      <c r="B118">
        <v>5309831</v>
      </c>
      <c r="C118" t="s">
        <v>2209</v>
      </c>
      <c r="D118" t="s">
        <v>21</v>
      </c>
      <c r="E118" t="s">
        <v>22</v>
      </c>
      <c r="K118">
        <v>102.77753626099999</v>
      </c>
      <c r="L118">
        <v>9.12491E-3</v>
      </c>
      <c r="M118">
        <v>102.768411351</v>
      </c>
      <c r="N118">
        <v>0</v>
      </c>
      <c r="O118">
        <v>0</v>
      </c>
      <c r="P118" s="1" t="s">
        <v>128</v>
      </c>
      <c r="Q118">
        <v>1</v>
      </c>
      <c r="R118">
        <v>5.6647950000000002E-2</v>
      </c>
      <c r="S118">
        <v>11.04</v>
      </c>
      <c r="T118" s="2">
        <v>45755</v>
      </c>
      <c r="V118" t="str">
        <f t="shared" si="4"/>
        <v>S-5309831</v>
      </c>
      <c r="W118">
        <f t="shared" si="7"/>
        <v>0</v>
      </c>
      <c r="X118" t="str">
        <f t="shared" si="5"/>
        <v/>
      </c>
      <c r="Y118">
        <f t="shared" si="6"/>
        <v>5.6647950000000002E-2</v>
      </c>
    </row>
    <row r="119" spans="1:25" hidden="1" x14ac:dyDescent="0.4">
      <c r="A119" t="s">
        <v>20</v>
      </c>
      <c r="B119">
        <v>5317031</v>
      </c>
      <c r="C119" t="s">
        <v>2210</v>
      </c>
      <c r="D119" t="s">
        <v>21</v>
      </c>
      <c r="E119" t="s">
        <v>22</v>
      </c>
      <c r="K119">
        <v>102.832964262</v>
      </c>
      <c r="L119">
        <v>9.12491E-3</v>
      </c>
      <c r="M119">
        <v>102.82383935199999</v>
      </c>
      <c r="N119">
        <v>0</v>
      </c>
      <c r="O119">
        <v>0</v>
      </c>
      <c r="P119" s="1" t="s">
        <v>129</v>
      </c>
      <c r="Q119">
        <v>1</v>
      </c>
      <c r="R119">
        <v>5.5428000999999998E-2</v>
      </c>
      <c r="S119">
        <v>12.81</v>
      </c>
      <c r="T119" s="2">
        <v>45756</v>
      </c>
      <c r="V119" t="str">
        <f t="shared" si="4"/>
        <v>S-5317031</v>
      </c>
      <c r="W119">
        <f t="shared" si="7"/>
        <v>0</v>
      </c>
      <c r="X119" t="str">
        <f t="shared" si="5"/>
        <v/>
      </c>
      <c r="Y119">
        <f t="shared" si="6"/>
        <v>5.5428000999999998E-2</v>
      </c>
    </row>
    <row r="120" spans="1:25" hidden="1" x14ac:dyDescent="0.4">
      <c r="A120" t="s">
        <v>20</v>
      </c>
      <c r="B120">
        <v>5324231</v>
      </c>
      <c r="C120" t="s">
        <v>2211</v>
      </c>
      <c r="D120" t="s">
        <v>21</v>
      </c>
      <c r="E120" t="s">
        <v>22</v>
      </c>
      <c r="K120">
        <v>102.889291074</v>
      </c>
      <c r="L120">
        <v>9.12491E-3</v>
      </c>
      <c r="M120">
        <v>102.880166164</v>
      </c>
      <c r="N120">
        <v>0</v>
      </c>
      <c r="O120">
        <v>0</v>
      </c>
      <c r="P120" s="1" t="s">
        <v>130</v>
      </c>
      <c r="Q120">
        <v>1</v>
      </c>
      <c r="R120">
        <v>5.6326811999999997E-2</v>
      </c>
      <c r="S120">
        <v>12.96</v>
      </c>
      <c r="T120" s="2">
        <v>45757</v>
      </c>
      <c r="V120" t="str">
        <f t="shared" si="4"/>
        <v>S-5324231</v>
      </c>
      <c r="W120">
        <f t="shared" si="7"/>
        <v>0</v>
      </c>
      <c r="X120" t="str">
        <f t="shared" si="5"/>
        <v/>
      </c>
      <c r="Y120">
        <f t="shared" si="6"/>
        <v>5.6326811999999997E-2</v>
      </c>
    </row>
    <row r="121" spans="1:25" hidden="1" x14ac:dyDescent="0.4">
      <c r="A121" t="s">
        <v>20</v>
      </c>
      <c r="B121">
        <v>5331431</v>
      </c>
      <c r="C121" t="s">
        <v>131</v>
      </c>
      <c r="D121" t="s">
        <v>21</v>
      </c>
      <c r="E121" t="s">
        <v>137</v>
      </c>
      <c r="K121">
        <v>0</v>
      </c>
      <c r="M121">
        <v>0</v>
      </c>
      <c r="T121" s="2">
        <v>45758</v>
      </c>
      <c r="V121" t="str">
        <f t="shared" si="4"/>
        <v>S-5331431</v>
      </c>
      <c r="W121">
        <f t="shared" si="7"/>
        <v>0</v>
      </c>
      <c r="X121" t="str">
        <f t="shared" si="5"/>
        <v/>
      </c>
      <c r="Y121">
        <f t="shared" si="6"/>
        <v>0</v>
      </c>
    </row>
    <row r="122" spans="1:25" hidden="1" x14ac:dyDescent="0.4">
      <c r="A122" t="s">
        <v>20</v>
      </c>
      <c r="B122">
        <v>5331431</v>
      </c>
      <c r="C122" t="s">
        <v>131</v>
      </c>
      <c r="D122" t="s">
        <v>21</v>
      </c>
      <c r="E122" t="s">
        <v>156</v>
      </c>
      <c r="K122">
        <v>0</v>
      </c>
      <c r="M122">
        <v>0</v>
      </c>
      <c r="T122" s="2">
        <v>45758</v>
      </c>
      <c r="V122" t="str">
        <f t="shared" si="4"/>
        <v>S-5331431</v>
      </c>
      <c r="W122">
        <f t="shared" si="7"/>
        <v>0</v>
      </c>
      <c r="X122" t="str">
        <f t="shared" si="5"/>
        <v/>
      </c>
      <c r="Y122">
        <f t="shared" si="6"/>
        <v>0</v>
      </c>
    </row>
    <row r="123" spans="1:25" hidden="1" x14ac:dyDescent="0.4">
      <c r="A123" t="s">
        <v>20</v>
      </c>
      <c r="B123">
        <v>5331431</v>
      </c>
      <c r="C123" t="s">
        <v>131</v>
      </c>
      <c r="D123" t="s">
        <v>21</v>
      </c>
      <c r="E123" t="s">
        <v>140</v>
      </c>
      <c r="K123">
        <v>0</v>
      </c>
      <c r="M123">
        <v>0</v>
      </c>
      <c r="T123" s="2">
        <v>45758</v>
      </c>
      <c r="V123" t="str">
        <f t="shared" si="4"/>
        <v>S-5331431</v>
      </c>
      <c r="W123">
        <f t="shared" si="7"/>
        <v>0</v>
      </c>
      <c r="X123" t="str">
        <f t="shared" si="5"/>
        <v/>
      </c>
      <c r="Y123">
        <f t="shared" si="6"/>
        <v>0</v>
      </c>
    </row>
    <row r="124" spans="1:25" hidden="1" x14ac:dyDescent="0.4">
      <c r="A124" t="s">
        <v>20</v>
      </c>
      <c r="B124">
        <v>5331431</v>
      </c>
      <c r="C124" t="s">
        <v>131</v>
      </c>
      <c r="D124" t="s">
        <v>21</v>
      </c>
      <c r="E124" t="s">
        <v>147</v>
      </c>
      <c r="K124">
        <v>0</v>
      </c>
      <c r="M124">
        <v>0</v>
      </c>
      <c r="T124" s="2">
        <v>45758</v>
      </c>
      <c r="V124" t="str">
        <f t="shared" si="4"/>
        <v>S-5331431</v>
      </c>
      <c r="W124">
        <f t="shared" si="7"/>
        <v>0</v>
      </c>
      <c r="X124" t="str">
        <f t="shared" si="5"/>
        <v/>
      </c>
      <c r="Y124">
        <f t="shared" si="6"/>
        <v>0</v>
      </c>
    </row>
    <row r="125" spans="1:25" hidden="1" x14ac:dyDescent="0.4">
      <c r="A125" t="s">
        <v>20</v>
      </c>
      <c r="B125">
        <v>5331431</v>
      </c>
      <c r="C125" t="s">
        <v>131</v>
      </c>
      <c r="D125" t="s">
        <v>21</v>
      </c>
      <c r="E125" t="s">
        <v>22</v>
      </c>
      <c r="K125">
        <v>102.950574209</v>
      </c>
      <c r="L125">
        <v>9.12491E-3</v>
      </c>
      <c r="M125">
        <v>102.941449299</v>
      </c>
      <c r="N125">
        <v>0</v>
      </c>
      <c r="O125">
        <v>0</v>
      </c>
      <c r="P125" s="1" t="s">
        <v>132</v>
      </c>
      <c r="Q125">
        <v>1</v>
      </c>
      <c r="R125">
        <v>6.1283135000000002E-2</v>
      </c>
      <c r="S125">
        <v>15.33</v>
      </c>
      <c r="T125" s="2">
        <v>45758</v>
      </c>
      <c r="V125" t="str">
        <f t="shared" si="4"/>
        <v>S-5331431</v>
      </c>
      <c r="W125">
        <f t="shared" si="7"/>
        <v>0</v>
      </c>
      <c r="X125" t="str">
        <f t="shared" si="5"/>
        <v/>
      </c>
      <c r="Y125">
        <f t="shared" si="6"/>
        <v>6.1283135000000002E-2</v>
      </c>
    </row>
    <row r="126" spans="1:25" x14ac:dyDescent="0.4">
      <c r="A126" t="s">
        <v>20</v>
      </c>
      <c r="B126">
        <v>5337373</v>
      </c>
      <c r="C126" t="s">
        <v>2212</v>
      </c>
      <c r="D126" t="s">
        <v>21</v>
      </c>
      <c r="E126" t="s">
        <v>22</v>
      </c>
      <c r="F126" t="s">
        <v>74</v>
      </c>
      <c r="G126">
        <v>5.0000000000000002E-5</v>
      </c>
      <c r="I126" t="s">
        <v>133</v>
      </c>
      <c r="J126" t="s">
        <v>80</v>
      </c>
      <c r="Q126">
        <v>1</v>
      </c>
      <c r="V126" t="str">
        <f t="shared" si="4"/>
        <v>S-5337373-0006-00</v>
      </c>
      <c r="W126">
        <f t="shared" si="7"/>
        <v>1</v>
      </c>
      <c r="X126" t="str">
        <f t="shared" si="5"/>
        <v>5337373-0006fee</v>
      </c>
      <c r="Y126">
        <f t="shared" si="6"/>
        <v>-5.0000000000000002E-5</v>
      </c>
    </row>
    <row r="127" spans="1:25" x14ac:dyDescent="0.4">
      <c r="A127" t="s">
        <v>20</v>
      </c>
      <c r="B127">
        <v>5337404</v>
      </c>
      <c r="C127" t="s">
        <v>134</v>
      </c>
      <c r="D127" t="s">
        <v>21</v>
      </c>
      <c r="E127" t="s">
        <v>22</v>
      </c>
      <c r="F127" t="s">
        <v>135</v>
      </c>
      <c r="G127">
        <v>0.1</v>
      </c>
      <c r="I127" t="s">
        <v>136</v>
      </c>
      <c r="J127" t="s">
        <v>137</v>
      </c>
      <c r="Q127">
        <v>1</v>
      </c>
      <c r="V127" t="str">
        <f t="shared" si="4"/>
        <v>S-5337404-0014-01</v>
      </c>
      <c r="W127">
        <f t="shared" si="7"/>
        <v>2</v>
      </c>
      <c r="X127" t="str">
        <f t="shared" si="5"/>
        <v>5337404-0014debit</v>
      </c>
      <c r="Y127">
        <f t="shared" si="6"/>
        <v>-0.1</v>
      </c>
    </row>
    <row r="128" spans="1:25" x14ac:dyDescent="0.4">
      <c r="A128" t="s">
        <v>20</v>
      </c>
      <c r="B128">
        <v>5337404</v>
      </c>
      <c r="C128" t="s">
        <v>134</v>
      </c>
      <c r="D128" t="s">
        <v>21</v>
      </c>
      <c r="E128" t="s">
        <v>137</v>
      </c>
      <c r="F128" t="s">
        <v>135</v>
      </c>
      <c r="H128">
        <v>0.79703853999999996</v>
      </c>
      <c r="I128" t="s">
        <v>136</v>
      </c>
      <c r="J128" t="s">
        <v>22</v>
      </c>
      <c r="P128">
        <v>32.01</v>
      </c>
      <c r="Q128" s="1" t="s">
        <v>617</v>
      </c>
      <c r="V128" t="str">
        <f t="shared" si="4"/>
        <v>S-5337404-0014-02</v>
      </c>
      <c r="W128">
        <f t="shared" si="7"/>
        <v>2</v>
      </c>
      <c r="X128" t="str">
        <f t="shared" si="5"/>
        <v>5337404-0014credit</v>
      </c>
      <c r="Y128">
        <f t="shared" si="6"/>
        <v>0.79703853999999996</v>
      </c>
    </row>
    <row r="129" spans="1:25" x14ac:dyDescent="0.4">
      <c r="A129" t="s">
        <v>20</v>
      </c>
      <c r="B129">
        <v>5338027</v>
      </c>
      <c r="C129" t="s">
        <v>138</v>
      </c>
      <c r="D129" t="s">
        <v>21</v>
      </c>
      <c r="E129" t="s">
        <v>22</v>
      </c>
      <c r="F129" t="s">
        <v>135</v>
      </c>
      <c r="G129">
        <v>0.1</v>
      </c>
      <c r="I129" t="s">
        <v>139</v>
      </c>
      <c r="J129" t="s">
        <v>140</v>
      </c>
      <c r="Q129">
        <v>1</v>
      </c>
      <c r="V129" t="str">
        <f t="shared" si="4"/>
        <v>S-5338027-0012-01</v>
      </c>
      <c r="W129">
        <f t="shared" si="7"/>
        <v>2</v>
      </c>
      <c r="X129" t="str">
        <f t="shared" si="5"/>
        <v>5338027-0012debit</v>
      </c>
      <c r="Y129">
        <f t="shared" si="6"/>
        <v>-0.1</v>
      </c>
    </row>
    <row r="130" spans="1:25" x14ac:dyDescent="0.4">
      <c r="A130" t="s">
        <v>20</v>
      </c>
      <c r="B130">
        <v>5338027</v>
      </c>
      <c r="C130" t="s">
        <v>138</v>
      </c>
      <c r="D130" t="s">
        <v>21</v>
      </c>
      <c r="E130" t="s">
        <v>140</v>
      </c>
      <c r="F130" t="s">
        <v>135</v>
      </c>
      <c r="H130">
        <v>0.50347412000000002</v>
      </c>
      <c r="I130" t="s">
        <v>139</v>
      </c>
      <c r="J130" t="s">
        <v>22</v>
      </c>
      <c r="P130">
        <v>50.62</v>
      </c>
      <c r="Q130" s="1" t="s">
        <v>1347</v>
      </c>
      <c r="V130" t="str">
        <f t="shared" si="4"/>
        <v>S-5338027-0012-02</v>
      </c>
      <c r="W130">
        <f t="shared" si="7"/>
        <v>2</v>
      </c>
      <c r="X130" t="str">
        <f t="shared" si="5"/>
        <v>5338027-0012credit</v>
      </c>
      <c r="Y130">
        <f t="shared" si="6"/>
        <v>0.50347412000000002</v>
      </c>
    </row>
    <row r="131" spans="1:25" x14ac:dyDescent="0.4">
      <c r="A131" t="s">
        <v>20</v>
      </c>
      <c r="B131">
        <v>5338042</v>
      </c>
      <c r="C131" t="s">
        <v>141</v>
      </c>
      <c r="D131" t="s">
        <v>21</v>
      </c>
      <c r="E131" t="s">
        <v>22</v>
      </c>
      <c r="F131" t="s">
        <v>135</v>
      </c>
      <c r="G131">
        <v>0.8</v>
      </c>
      <c r="I131" t="s">
        <v>142</v>
      </c>
      <c r="J131" t="s">
        <v>140</v>
      </c>
      <c r="Q131">
        <v>1</v>
      </c>
      <c r="V131" t="str">
        <f t="shared" ref="V131:V194" si="8">"S-"&amp;IF(LEN(I131)=0,B131,I131&amp;IF(F131="fee","-00",IF(LEN(G131)&gt;0,"-01","-02")))</f>
        <v>S-5338042-0010-01</v>
      </c>
      <c r="W131">
        <f t="shared" si="7"/>
        <v>2</v>
      </c>
      <c r="X131" t="str">
        <f t="shared" ref="X131:X194" si="9">IF(LEN(I131)&gt;0,I131&amp;IF(F131="fee","fee",IF(VALUE(G131)&gt;0,"debit",IF(VALUE(H131)&gt;0,"credit","error"))),"")</f>
        <v>5338042-0010debit</v>
      </c>
      <c r="Y131">
        <f t="shared" ref="Y131:Y194" si="10">ROUND(IF(ROW(U131) = 2,K131,0)+IF(H131&lt;&gt;"",H131,0) + IF(R131&lt;&gt;"",R131,0) - IF(G131&lt;&gt;"",G131,0),9)</f>
        <v>-0.8</v>
      </c>
    </row>
    <row r="132" spans="1:25" x14ac:dyDescent="0.4">
      <c r="A132" t="s">
        <v>20</v>
      </c>
      <c r="B132">
        <v>5338042</v>
      </c>
      <c r="C132" t="s">
        <v>141</v>
      </c>
      <c r="D132" t="s">
        <v>21</v>
      </c>
      <c r="E132" t="s">
        <v>140</v>
      </c>
      <c r="F132" t="s">
        <v>135</v>
      </c>
      <c r="H132">
        <v>4.0260430109999996</v>
      </c>
      <c r="I132" t="s">
        <v>142</v>
      </c>
      <c r="J132" t="s">
        <v>22</v>
      </c>
      <c r="P132">
        <v>50.68</v>
      </c>
      <c r="Q132" s="1" t="s">
        <v>1348</v>
      </c>
      <c r="V132" t="str">
        <f t="shared" si="8"/>
        <v>S-5338042-0010-02</v>
      </c>
      <c r="W132">
        <f t="shared" ref="W132:W195" si="11">COUNTIF(I:I,I132)</f>
        <v>2</v>
      </c>
      <c r="X132" t="str">
        <f t="shared" si="9"/>
        <v>5338042-0010credit</v>
      </c>
      <c r="Y132">
        <f t="shared" si="10"/>
        <v>4.0260430109999996</v>
      </c>
    </row>
    <row r="133" spans="1:25" hidden="1" x14ac:dyDescent="0.4">
      <c r="A133" t="s">
        <v>20</v>
      </c>
      <c r="B133">
        <v>5338059</v>
      </c>
      <c r="C133" t="s">
        <v>143</v>
      </c>
      <c r="D133" t="s">
        <v>21</v>
      </c>
      <c r="E133" t="s">
        <v>137</v>
      </c>
      <c r="P133">
        <v>32.549999999999997</v>
      </c>
      <c r="Q133" s="1" t="s">
        <v>618</v>
      </c>
      <c r="R133">
        <v>8.6286999999999996E-5</v>
      </c>
      <c r="S133">
        <v>0</v>
      </c>
      <c r="T133" s="2">
        <v>45759</v>
      </c>
      <c r="V133" t="str">
        <f t="shared" si="8"/>
        <v>S-5338059</v>
      </c>
      <c r="W133">
        <f t="shared" si="11"/>
        <v>0</v>
      </c>
      <c r="X133" t="str">
        <f t="shared" si="9"/>
        <v/>
      </c>
      <c r="Y133">
        <f t="shared" si="10"/>
        <v>8.6286999999999996E-5</v>
      </c>
    </row>
    <row r="134" spans="1:25" hidden="1" x14ac:dyDescent="0.4">
      <c r="A134" t="s">
        <v>20</v>
      </c>
      <c r="B134">
        <v>5338059</v>
      </c>
      <c r="C134" t="s">
        <v>143</v>
      </c>
      <c r="D134" t="s">
        <v>21</v>
      </c>
      <c r="E134" t="s">
        <v>140</v>
      </c>
      <c r="P134">
        <v>50.66</v>
      </c>
      <c r="Q134" s="1" t="s">
        <v>1349</v>
      </c>
      <c r="R134">
        <v>4.87443E-4</v>
      </c>
      <c r="S134">
        <v>0.02</v>
      </c>
      <c r="T134" s="2">
        <v>45759</v>
      </c>
      <c r="V134" t="str">
        <f t="shared" si="8"/>
        <v>S-5338059</v>
      </c>
      <c r="W134">
        <f t="shared" si="11"/>
        <v>0</v>
      </c>
      <c r="X134" t="str">
        <f t="shared" si="9"/>
        <v/>
      </c>
      <c r="Y134">
        <f t="shared" si="10"/>
        <v>4.87443E-4</v>
      </c>
    </row>
    <row r="135" spans="1:25" x14ac:dyDescent="0.4">
      <c r="A135" t="s">
        <v>20</v>
      </c>
      <c r="B135">
        <v>5338059</v>
      </c>
      <c r="C135" t="s">
        <v>143</v>
      </c>
      <c r="D135" t="s">
        <v>21</v>
      </c>
      <c r="E135" t="s">
        <v>22</v>
      </c>
      <c r="F135" t="s">
        <v>74</v>
      </c>
      <c r="G135">
        <v>5.0000000000000002E-5</v>
      </c>
      <c r="I135" t="s">
        <v>144</v>
      </c>
      <c r="J135" t="s">
        <v>80</v>
      </c>
      <c r="Q135">
        <v>1</v>
      </c>
      <c r="V135" t="str">
        <f t="shared" si="8"/>
        <v>S-5338059-0011-00</v>
      </c>
      <c r="W135">
        <f t="shared" si="11"/>
        <v>3</v>
      </c>
      <c r="X135" t="str">
        <f t="shared" si="9"/>
        <v>5338059-0011fee</v>
      </c>
      <c r="Y135">
        <f t="shared" si="10"/>
        <v>-5.0000000000000002E-5</v>
      </c>
    </row>
    <row r="136" spans="1:25" x14ac:dyDescent="0.4">
      <c r="A136" t="s">
        <v>20</v>
      </c>
      <c r="B136">
        <v>5338059</v>
      </c>
      <c r="C136" t="s">
        <v>143</v>
      </c>
      <c r="D136" t="s">
        <v>21</v>
      </c>
      <c r="E136" t="s">
        <v>137</v>
      </c>
      <c r="F136" t="s">
        <v>135</v>
      </c>
      <c r="G136">
        <v>0.79712482699999998</v>
      </c>
      <c r="I136" t="s">
        <v>144</v>
      </c>
      <c r="J136" t="s">
        <v>22</v>
      </c>
      <c r="P136">
        <v>32.549999999999997</v>
      </c>
      <c r="Q136" s="1" t="s">
        <v>618</v>
      </c>
      <c r="V136" t="str">
        <f t="shared" si="8"/>
        <v>S-5338059-0011-01</v>
      </c>
      <c r="W136">
        <f t="shared" si="11"/>
        <v>3</v>
      </c>
      <c r="X136" t="str">
        <f t="shared" si="9"/>
        <v>5338059-0011debit</v>
      </c>
      <c r="Y136">
        <f t="shared" si="10"/>
        <v>-0.79712482699999998</v>
      </c>
    </row>
    <row r="137" spans="1:25" x14ac:dyDescent="0.4">
      <c r="A137" t="s">
        <v>20</v>
      </c>
      <c r="B137">
        <v>5338059</v>
      </c>
      <c r="C137" t="s">
        <v>143</v>
      </c>
      <c r="D137" t="s">
        <v>21</v>
      </c>
      <c r="E137" t="s">
        <v>140</v>
      </c>
      <c r="F137" t="s">
        <v>135</v>
      </c>
      <c r="G137">
        <v>4.5300045740000003</v>
      </c>
      <c r="I137" t="s">
        <v>2431</v>
      </c>
      <c r="J137" t="s">
        <v>22</v>
      </c>
      <c r="P137">
        <v>50.66</v>
      </c>
      <c r="Q137" s="1" t="s">
        <v>1349</v>
      </c>
      <c r="V137" t="str">
        <f t="shared" si="8"/>
        <v>S-5338059-0011-A-01</v>
      </c>
      <c r="W137">
        <f t="shared" si="11"/>
        <v>2</v>
      </c>
      <c r="X137" t="str">
        <f t="shared" si="9"/>
        <v>5338059-0011-Adebit</v>
      </c>
      <c r="Y137">
        <f t="shared" si="10"/>
        <v>-4.5300045740000003</v>
      </c>
    </row>
    <row r="138" spans="1:25" x14ac:dyDescent="0.4">
      <c r="A138" t="s">
        <v>20</v>
      </c>
      <c r="B138">
        <v>5338059</v>
      </c>
      <c r="C138" t="s">
        <v>143</v>
      </c>
      <c r="D138" t="s">
        <v>21</v>
      </c>
      <c r="E138" t="s">
        <v>22</v>
      </c>
      <c r="F138" t="s">
        <v>135</v>
      </c>
      <c r="H138">
        <v>0.101726872</v>
      </c>
      <c r="I138" t="s">
        <v>144</v>
      </c>
      <c r="J138" t="s">
        <v>137</v>
      </c>
      <c r="Q138">
        <v>1</v>
      </c>
      <c r="V138" t="str">
        <f t="shared" si="8"/>
        <v>S-5338059-0011-02</v>
      </c>
      <c r="W138">
        <f t="shared" si="11"/>
        <v>3</v>
      </c>
      <c r="X138" t="str">
        <f t="shared" si="9"/>
        <v>5338059-0011credit</v>
      </c>
      <c r="Y138">
        <f t="shared" si="10"/>
        <v>0.101726872</v>
      </c>
    </row>
    <row r="139" spans="1:25" x14ac:dyDescent="0.4">
      <c r="A139" t="s">
        <v>20</v>
      </c>
      <c r="B139">
        <v>5338059</v>
      </c>
      <c r="C139" t="s">
        <v>143</v>
      </c>
      <c r="D139" t="s">
        <v>21</v>
      </c>
      <c r="E139" t="s">
        <v>22</v>
      </c>
      <c r="F139" t="s">
        <v>135</v>
      </c>
      <c r="H139">
        <v>0.89969413600000003</v>
      </c>
      <c r="I139" t="s">
        <v>2431</v>
      </c>
      <c r="J139" t="s">
        <v>140</v>
      </c>
      <c r="Q139">
        <v>1</v>
      </c>
      <c r="V139" t="str">
        <f t="shared" si="8"/>
        <v>S-5338059-0011-A-02</v>
      </c>
      <c r="W139">
        <f t="shared" si="11"/>
        <v>2</v>
      </c>
      <c r="X139" t="str">
        <f t="shared" si="9"/>
        <v>5338059-0011-Acredit</v>
      </c>
      <c r="Y139">
        <f t="shared" si="10"/>
        <v>0.89969413600000003</v>
      </c>
    </row>
    <row r="140" spans="1:25" x14ac:dyDescent="0.4">
      <c r="A140" t="s">
        <v>20</v>
      </c>
      <c r="B140">
        <v>5338113</v>
      </c>
      <c r="C140" t="s">
        <v>145</v>
      </c>
      <c r="D140" t="s">
        <v>21</v>
      </c>
      <c r="E140" t="s">
        <v>22</v>
      </c>
      <c r="F140" t="s">
        <v>135</v>
      </c>
      <c r="G140">
        <v>5</v>
      </c>
      <c r="I140" t="s">
        <v>146</v>
      </c>
      <c r="J140" t="s">
        <v>147</v>
      </c>
      <c r="Q140">
        <v>1</v>
      </c>
      <c r="V140" t="str">
        <f t="shared" si="8"/>
        <v>S-5338113-0009-01</v>
      </c>
      <c r="W140">
        <f t="shared" si="11"/>
        <v>2</v>
      </c>
      <c r="X140" t="str">
        <f t="shared" si="9"/>
        <v>5338113-0009debit</v>
      </c>
      <c r="Y140">
        <f t="shared" si="10"/>
        <v>-5</v>
      </c>
    </row>
    <row r="141" spans="1:25" x14ac:dyDescent="0.4">
      <c r="A141" t="s">
        <v>20</v>
      </c>
      <c r="B141">
        <v>5338113</v>
      </c>
      <c r="C141" t="s">
        <v>145</v>
      </c>
      <c r="D141" t="s">
        <v>21</v>
      </c>
      <c r="E141" t="s">
        <v>147</v>
      </c>
      <c r="F141" t="s">
        <v>135</v>
      </c>
      <c r="H141">
        <v>13.161048908</v>
      </c>
      <c r="I141" t="s">
        <v>146</v>
      </c>
      <c r="J141" t="s">
        <v>22</v>
      </c>
      <c r="P141">
        <v>97.47</v>
      </c>
      <c r="Q141" s="1" t="s">
        <v>1714</v>
      </c>
      <c r="V141" t="str">
        <f t="shared" si="8"/>
        <v>S-5338113-0009-02</v>
      </c>
      <c r="W141">
        <f t="shared" si="11"/>
        <v>2</v>
      </c>
      <c r="X141" t="str">
        <f t="shared" si="9"/>
        <v>5338113-0009credit</v>
      </c>
      <c r="Y141">
        <f t="shared" si="10"/>
        <v>13.161048908</v>
      </c>
    </row>
    <row r="142" spans="1:25" x14ac:dyDescent="0.4">
      <c r="A142" t="s">
        <v>20</v>
      </c>
      <c r="B142">
        <v>5338149</v>
      </c>
      <c r="C142" t="s">
        <v>148</v>
      </c>
      <c r="D142" t="s">
        <v>21</v>
      </c>
      <c r="E142" t="s">
        <v>22</v>
      </c>
      <c r="F142" t="s">
        <v>135</v>
      </c>
      <c r="G142">
        <v>5</v>
      </c>
      <c r="I142" t="s">
        <v>149</v>
      </c>
      <c r="J142" t="s">
        <v>147</v>
      </c>
      <c r="Q142">
        <v>1</v>
      </c>
      <c r="V142" t="str">
        <f t="shared" si="8"/>
        <v>S-5338149-0015-01</v>
      </c>
      <c r="W142">
        <f t="shared" si="11"/>
        <v>2</v>
      </c>
      <c r="X142" t="str">
        <f t="shared" si="9"/>
        <v>5338149-0015debit</v>
      </c>
      <c r="Y142">
        <f t="shared" si="10"/>
        <v>-5</v>
      </c>
    </row>
    <row r="143" spans="1:25" x14ac:dyDescent="0.4">
      <c r="A143" t="s">
        <v>20</v>
      </c>
      <c r="B143">
        <v>5338149</v>
      </c>
      <c r="C143" t="s">
        <v>148</v>
      </c>
      <c r="D143" t="s">
        <v>21</v>
      </c>
      <c r="E143" t="s">
        <v>147</v>
      </c>
      <c r="F143" t="s">
        <v>135</v>
      </c>
      <c r="H143">
        <v>13.303100284999999</v>
      </c>
      <c r="I143" t="s">
        <v>149</v>
      </c>
      <c r="J143" t="s">
        <v>22</v>
      </c>
      <c r="P143">
        <v>96.43</v>
      </c>
      <c r="Q143" s="1" t="s">
        <v>1715</v>
      </c>
      <c r="V143" t="str">
        <f t="shared" si="8"/>
        <v>S-5338149-0015-02</v>
      </c>
      <c r="W143">
        <f t="shared" si="11"/>
        <v>2</v>
      </c>
      <c r="X143" t="str">
        <f t="shared" si="9"/>
        <v>5338149-0015credit</v>
      </c>
      <c r="Y143">
        <f t="shared" si="10"/>
        <v>13.303100284999999</v>
      </c>
    </row>
    <row r="144" spans="1:25" x14ac:dyDescent="0.4">
      <c r="A144" t="s">
        <v>20</v>
      </c>
      <c r="B144">
        <v>5338160</v>
      </c>
      <c r="C144" t="s">
        <v>150</v>
      </c>
      <c r="D144" t="s">
        <v>21</v>
      </c>
      <c r="E144" t="s">
        <v>22</v>
      </c>
      <c r="F144" t="s">
        <v>135</v>
      </c>
      <c r="G144">
        <v>15</v>
      </c>
      <c r="I144" t="s">
        <v>151</v>
      </c>
      <c r="J144" t="s">
        <v>147</v>
      </c>
      <c r="Q144">
        <v>1</v>
      </c>
      <c r="V144" t="str">
        <f t="shared" si="8"/>
        <v>S-5338160-0011-01</v>
      </c>
      <c r="W144">
        <f t="shared" si="11"/>
        <v>2</v>
      </c>
      <c r="X144" t="str">
        <f t="shared" si="9"/>
        <v>5338160-0011debit</v>
      </c>
      <c r="Y144">
        <f t="shared" si="10"/>
        <v>-15</v>
      </c>
    </row>
    <row r="145" spans="1:25" x14ac:dyDescent="0.4">
      <c r="A145" t="s">
        <v>20</v>
      </c>
      <c r="B145">
        <v>5338160</v>
      </c>
      <c r="C145" t="s">
        <v>150</v>
      </c>
      <c r="D145" t="s">
        <v>21</v>
      </c>
      <c r="E145" t="s">
        <v>147</v>
      </c>
      <c r="F145" t="s">
        <v>135</v>
      </c>
      <c r="H145">
        <v>39.882064010999997</v>
      </c>
      <c r="I145" t="s">
        <v>151</v>
      </c>
      <c r="J145" t="s">
        <v>22</v>
      </c>
      <c r="P145">
        <v>96.5</v>
      </c>
      <c r="Q145" s="1" t="s">
        <v>1716</v>
      </c>
      <c r="V145" t="str">
        <f t="shared" si="8"/>
        <v>S-5338160-0011-02</v>
      </c>
      <c r="W145">
        <f t="shared" si="11"/>
        <v>2</v>
      </c>
      <c r="X145" t="str">
        <f t="shared" si="9"/>
        <v>5338160-0011credit</v>
      </c>
      <c r="Y145">
        <f t="shared" si="10"/>
        <v>39.882064010999997</v>
      </c>
    </row>
    <row r="146" spans="1:25" x14ac:dyDescent="0.4">
      <c r="A146" t="s">
        <v>20</v>
      </c>
      <c r="B146">
        <v>5338217</v>
      </c>
      <c r="C146" t="s">
        <v>152</v>
      </c>
      <c r="D146" t="s">
        <v>21</v>
      </c>
      <c r="E146" t="s">
        <v>22</v>
      </c>
      <c r="F146" t="s">
        <v>135</v>
      </c>
      <c r="G146">
        <v>25</v>
      </c>
      <c r="I146" t="s">
        <v>153</v>
      </c>
      <c r="J146" t="s">
        <v>140</v>
      </c>
      <c r="Q146">
        <v>1</v>
      </c>
      <c r="V146" t="str">
        <f t="shared" si="8"/>
        <v>S-5338217-0011-01</v>
      </c>
      <c r="W146">
        <f t="shared" si="11"/>
        <v>2</v>
      </c>
      <c r="X146" t="str">
        <f t="shared" si="9"/>
        <v>5338217-0011debit</v>
      </c>
      <c r="Y146">
        <f t="shared" si="10"/>
        <v>-25</v>
      </c>
    </row>
    <row r="147" spans="1:25" x14ac:dyDescent="0.4">
      <c r="A147" t="s">
        <v>20</v>
      </c>
      <c r="B147">
        <v>5338217</v>
      </c>
      <c r="C147" t="s">
        <v>152</v>
      </c>
      <c r="D147" t="s">
        <v>21</v>
      </c>
      <c r="E147" t="s">
        <v>140</v>
      </c>
      <c r="F147" t="s">
        <v>135</v>
      </c>
      <c r="H147">
        <v>125.23180970200001</v>
      </c>
      <c r="I147" t="s">
        <v>153</v>
      </c>
      <c r="J147" t="s">
        <v>22</v>
      </c>
      <c r="P147">
        <v>51.14</v>
      </c>
      <c r="Q147" s="1" t="s">
        <v>1350</v>
      </c>
      <c r="V147" t="str">
        <f t="shared" si="8"/>
        <v>S-5338217-0011-02</v>
      </c>
      <c r="W147">
        <f t="shared" si="11"/>
        <v>2</v>
      </c>
      <c r="X147" t="str">
        <f t="shared" si="9"/>
        <v>5338217-0011credit</v>
      </c>
      <c r="Y147">
        <f t="shared" si="10"/>
        <v>125.23180970200001</v>
      </c>
    </row>
    <row r="148" spans="1:25" x14ac:dyDescent="0.4">
      <c r="A148" t="s">
        <v>20</v>
      </c>
      <c r="B148">
        <v>5338279</v>
      </c>
      <c r="C148" t="s">
        <v>154</v>
      </c>
      <c r="D148" t="s">
        <v>21</v>
      </c>
      <c r="E148" t="s">
        <v>22</v>
      </c>
      <c r="F148" t="s">
        <v>135</v>
      </c>
      <c r="G148">
        <v>25</v>
      </c>
      <c r="I148" t="s">
        <v>155</v>
      </c>
      <c r="J148" t="s">
        <v>156</v>
      </c>
      <c r="Q148">
        <v>1</v>
      </c>
      <c r="V148" t="str">
        <f t="shared" si="8"/>
        <v>S-5338279-0012-01</v>
      </c>
      <c r="W148">
        <f t="shared" si="11"/>
        <v>2</v>
      </c>
      <c r="X148" t="str">
        <f t="shared" si="9"/>
        <v>5338279-0012debit</v>
      </c>
      <c r="Y148">
        <f t="shared" si="10"/>
        <v>-25</v>
      </c>
    </row>
    <row r="149" spans="1:25" x14ac:dyDescent="0.4">
      <c r="A149" t="s">
        <v>20</v>
      </c>
      <c r="B149">
        <v>5338279</v>
      </c>
      <c r="C149" t="s">
        <v>154</v>
      </c>
      <c r="D149" t="s">
        <v>21</v>
      </c>
      <c r="E149" t="s">
        <v>156</v>
      </c>
      <c r="F149" t="s">
        <v>135</v>
      </c>
      <c r="H149">
        <v>125.352344309</v>
      </c>
      <c r="I149" t="s">
        <v>155</v>
      </c>
      <c r="J149" t="s">
        <v>22</v>
      </c>
      <c r="P149">
        <v>50.88</v>
      </c>
      <c r="Q149" s="1" t="s">
        <v>983</v>
      </c>
      <c r="V149" t="str">
        <f t="shared" si="8"/>
        <v>S-5338279-0012-02</v>
      </c>
      <c r="W149">
        <f t="shared" si="11"/>
        <v>2</v>
      </c>
      <c r="X149" t="str">
        <f t="shared" si="9"/>
        <v>5338279-0012credit</v>
      </c>
      <c r="Y149">
        <f t="shared" si="10"/>
        <v>125.352344309</v>
      </c>
    </row>
    <row r="150" spans="1:25" x14ac:dyDescent="0.4">
      <c r="A150" t="s">
        <v>20</v>
      </c>
      <c r="B150">
        <v>5338281</v>
      </c>
      <c r="C150" t="s">
        <v>157</v>
      </c>
      <c r="D150" t="s">
        <v>21</v>
      </c>
      <c r="E150" t="s">
        <v>22</v>
      </c>
      <c r="F150" t="s">
        <v>135</v>
      </c>
      <c r="G150">
        <v>25</v>
      </c>
      <c r="I150" t="s">
        <v>158</v>
      </c>
      <c r="J150" t="s">
        <v>137</v>
      </c>
      <c r="Q150">
        <v>1</v>
      </c>
      <c r="V150" t="str">
        <f t="shared" si="8"/>
        <v>S-5338281-0008-01</v>
      </c>
      <c r="W150">
        <f t="shared" si="11"/>
        <v>2</v>
      </c>
      <c r="X150" t="str">
        <f t="shared" si="9"/>
        <v>5338281-0008debit</v>
      </c>
      <c r="Y150">
        <f t="shared" si="10"/>
        <v>-25</v>
      </c>
    </row>
    <row r="151" spans="1:25" x14ac:dyDescent="0.4">
      <c r="A151" t="s">
        <v>20</v>
      </c>
      <c r="B151">
        <v>5338281</v>
      </c>
      <c r="C151" t="s">
        <v>157</v>
      </c>
      <c r="D151" t="s">
        <v>21</v>
      </c>
      <c r="E151" t="s">
        <v>137</v>
      </c>
      <c r="F151" t="s">
        <v>135</v>
      </c>
      <c r="H151">
        <v>201.09376810699999</v>
      </c>
      <c r="I151" t="s">
        <v>158</v>
      </c>
      <c r="J151" t="s">
        <v>22</v>
      </c>
      <c r="P151">
        <v>31.72</v>
      </c>
      <c r="Q151" s="1" t="s">
        <v>619</v>
      </c>
      <c r="V151" t="str">
        <f t="shared" si="8"/>
        <v>S-5338281-0008-02</v>
      </c>
      <c r="W151">
        <f t="shared" si="11"/>
        <v>2</v>
      </c>
      <c r="X151" t="str">
        <f t="shared" si="9"/>
        <v>5338281-0008credit</v>
      </c>
      <c r="Y151">
        <f t="shared" si="10"/>
        <v>201.09376810699999</v>
      </c>
    </row>
    <row r="152" spans="1:25" hidden="1" x14ac:dyDescent="0.4">
      <c r="A152" t="s">
        <v>20</v>
      </c>
      <c r="B152">
        <v>5338631</v>
      </c>
      <c r="C152" t="s">
        <v>159</v>
      </c>
      <c r="D152" t="s">
        <v>21</v>
      </c>
      <c r="E152" t="s">
        <v>137</v>
      </c>
      <c r="K152">
        <v>201.11626634199999</v>
      </c>
      <c r="M152">
        <v>201.11626634199999</v>
      </c>
      <c r="P152" s="1" t="s">
        <v>620</v>
      </c>
      <c r="Q152" s="1" t="s">
        <v>621</v>
      </c>
      <c r="R152">
        <v>2.2498234999999998E-2</v>
      </c>
      <c r="S152">
        <v>0.66</v>
      </c>
      <c r="T152" s="2">
        <v>45759</v>
      </c>
      <c r="V152" t="str">
        <f t="shared" si="8"/>
        <v>S-5338631</v>
      </c>
      <c r="W152">
        <f t="shared" si="11"/>
        <v>0</v>
      </c>
      <c r="X152" t="str">
        <f t="shared" si="9"/>
        <v/>
      </c>
      <c r="Y152">
        <f t="shared" si="10"/>
        <v>2.2498234999999998E-2</v>
      </c>
    </row>
    <row r="153" spans="1:25" hidden="1" x14ac:dyDescent="0.4">
      <c r="A153" t="s">
        <v>20</v>
      </c>
      <c r="B153">
        <v>5338631</v>
      </c>
      <c r="C153" t="s">
        <v>159</v>
      </c>
      <c r="D153" t="s">
        <v>21</v>
      </c>
      <c r="E153" t="s">
        <v>156</v>
      </c>
      <c r="K153">
        <v>125.369279991</v>
      </c>
      <c r="M153">
        <v>125.369279991</v>
      </c>
      <c r="P153" s="1" t="s">
        <v>984</v>
      </c>
      <c r="Q153" s="1" t="s">
        <v>985</v>
      </c>
      <c r="R153">
        <v>1.6935682000000001E-2</v>
      </c>
      <c r="S153">
        <v>0.83</v>
      </c>
      <c r="T153" s="2">
        <v>45759</v>
      </c>
      <c r="V153" t="str">
        <f t="shared" si="8"/>
        <v>S-5338631</v>
      </c>
      <c r="W153">
        <f t="shared" si="11"/>
        <v>0</v>
      </c>
      <c r="X153" t="str">
        <f t="shared" si="9"/>
        <v/>
      </c>
      <c r="Y153">
        <f t="shared" si="10"/>
        <v>1.6935682000000001E-2</v>
      </c>
    </row>
    <row r="154" spans="1:25" hidden="1" x14ac:dyDescent="0.4">
      <c r="A154" t="s">
        <v>20</v>
      </c>
      <c r="B154">
        <v>5338631</v>
      </c>
      <c r="C154" t="s">
        <v>159</v>
      </c>
      <c r="D154" t="s">
        <v>21</v>
      </c>
      <c r="E154" t="s">
        <v>140</v>
      </c>
      <c r="K154">
        <v>125.245460177</v>
      </c>
      <c r="M154">
        <v>125.245460177</v>
      </c>
      <c r="P154" s="1" t="s">
        <v>1351</v>
      </c>
      <c r="Q154" s="1" t="s">
        <v>1352</v>
      </c>
      <c r="R154">
        <v>1.3650475E-2</v>
      </c>
      <c r="S154">
        <v>0.59</v>
      </c>
      <c r="T154" s="2">
        <v>45759</v>
      </c>
      <c r="V154" t="str">
        <f t="shared" si="8"/>
        <v>S-5338631</v>
      </c>
      <c r="W154">
        <f t="shared" si="11"/>
        <v>0</v>
      </c>
      <c r="X154" t="str">
        <f t="shared" si="9"/>
        <v/>
      </c>
      <c r="Y154">
        <f t="shared" si="10"/>
        <v>1.3650475E-2</v>
      </c>
    </row>
    <row r="155" spans="1:25" hidden="1" x14ac:dyDescent="0.4">
      <c r="A155" t="s">
        <v>20</v>
      </c>
      <c r="B155">
        <v>5338631</v>
      </c>
      <c r="C155" t="s">
        <v>159</v>
      </c>
      <c r="D155" t="s">
        <v>21</v>
      </c>
      <c r="E155" t="s">
        <v>147</v>
      </c>
      <c r="K155">
        <v>66.353743488000006</v>
      </c>
      <c r="M155">
        <v>66.353743488000006</v>
      </c>
      <c r="P155" s="1" t="s">
        <v>1717</v>
      </c>
      <c r="Q155" s="1" t="s">
        <v>1718</v>
      </c>
      <c r="R155">
        <v>7.5302839999999999E-3</v>
      </c>
      <c r="S155">
        <v>0.69</v>
      </c>
      <c r="T155" s="2">
        <v>45759</v>
      </c>
      <c r="V155" t="str">
        <f t="shared" si="8"/>
        <v>S-5338631</v>
      </c>
      <c r="W155">
        <f t="shared" si="11"/>
        <v>0</v>
      </c>
      <c r="X155" t="str">
        <f t="shared" si="9"/>
        <v/>
      </c>
      <c r="Y155">
        <f t="shared" si="10"/>
        <v>7.5302839999999999E-3</v>
      </c>
    </row>
    <row r="156" spans="1:25" hidden="1" x14ac:dyDescent="0.4">
      <c r="A156" t="s">
        <v>20</v>
      </c>
      <c r="B156">
        <v>5338631</v>
      </c>
      <c r="C156" t="s">
        <v>159</v>
      </c>
      <c r="D156" t="s">
        <v>21</v>
      </c>
      <c r="E156" t="s">
        <v>22</v>
      </c>
      <c r="K156">
        <v>3.014979297</v>
      </c>
      <c r="L156">
        <v>3.014979297</v>
      </c>
      <c r="M156">
        <v>0</v>
      </c>
      <c r="N156">
        <v>0</v>
      </c>
      <c r="O156">
        <v>0</v>
      </c>
      <c r="P156" s="1" t="s">
        <v>160</v>
      </c>
      <c r="Q156">
        <v>1</v>
      </c>
      <c r="R156">
        <v>6.3084080000000001E-2</v>
      </c>
      <c r="S156">
        <v>16.079999999999998</v>
      </c>
      <c r="T156" s="2">
        <v>45759</v>
      </c>
      <c r="V156" t="str">
        <f t="shared" si="8"/>
        <v>S-5338631</v>
      </c>
      <c r="W156">
        <f t="shared" si="11"/>
        <v>0</v>
      </c>
      <c r="X156" t="str">
        <f t="shared" si="9"/>
        <v/>
      </c>
      <c r="Y156">
        <f t="shared" si="10"/>
        <v>6.3084080000000001E-2</v>
      </c>
    </row>
    <row r="157" spans="1:25" hidden="1" x14ac:dyDescent="0.4">
      <c r="A157" t="s">
        <v>20</v>
      </c>
      <c r="B157">
        <v>5345831</v>
      </c>
      <c r="C157" t="s">
        <v>161</v>
      </c>
      <c r="D157" t="s">
        <v>21</v>
      </c>
      <c r="E157" t="s">
        <v>137</v>
      </c>
      <c r="K157">
        <v>201.556868001</v>
      </c>
      <c r="M157">
        <v>201.556868001</v>
      </c>
      <c r="P157" s="1" t="s">
        <v>622</v>
      </c>
      <c r="Q157" s="1" t="s">
        <v>623</v>
      </c>
      <c r="R157">
        <v>0.44060165899999998</v>
      </c>
      <c r="S157">
        <v>14.4</v>
      </c>
      <c r="T157" s="2">
        <v>45760</v>
      </c>
      <c r="V157" t="str">
        <f t="shared" si="8"/>
        <v>S-5345831</v>
      </c>
      <c r="W157">
        <f t="shared" si="11"/>
        <v>0</v>
      </c>
      <c r="X157" t="str">
        <f t="shared" si="9"/>
        <v/>
      </c>
      <c r="Y157">
        <f t="shared" si="10"/>
        <v>0.44060165899999998</v>
      </c>
    </row>
    <row r="158" spans="1:25" hidden="1" x14ac:dyDescent="0.4">
      <c r="A158" t="s">
        <v>20</v>
      </c>
      <c r="B158">
        <v>5345831</v>
      </c>
      <c r="C158" t="s">
        <v>161</v>
      </c>
      <c r="D158" t="s">
        <v>21</v>
      </c>
      <c r="E158" t="s">
        <v>156</v>
      </c>
      <c r="K158">
        <v>125.722266381</v>
      </c>
      <c r="M158">
        <v>125.722266381</v>
      </c>
      <c r="P158" s="1" t="s">
        <v>986</v>
      </c>
      <c r="Q158" s="1" t="s">
        <v>987</v>
      </c>
      <c r="R158">
        <v>0.35298638999999998</v>
      </c>
      <c r="S158">
        <v>17.829999999999998</v>
      </c>
      <c r="T158" s="2">
        <v>45760</v>
      </c>
      <c r="V158" t="str">
        <f t="shared" si="8"/>
        <v>S-5345831</v>
      </c>
      <c r="W158">
        <f t="shared" si="11"/>
        <v>0</v>
      </c>
      <c r="X158" t="str">
        <f t="shared" si="9"/>
        <v/>
      </c>
      <c r="Y158">
        <f t="shared" si="10"/>
        <v>0.35298638999999998</v>
      </c>
    </row>
    <row r="159" spans="1:25" hidden="1" x14ac:dyDescent="0.4">
      <c r="A159" t="s">
        <v>20</v>
      </c>
      <c r="B159">
        <v>5345831</v>
      </c>
      <c r="C159" t="s">
        <v>161</v>
      </c>
      <c r="D159" t="s">
        <v>21</v>
      </c>
      <c r="E159" t="s">
        <v>140</v>
      </c>
      <c r="K159">
        <v>125.515579772</v>
      </c>
      <c r="M159">
        <v>125.515579772</v>
      </c>
      <c r="P159" s="1" t="s">
        <v>1353</v>
      </c>
      <c r="Q159" s="1" t="s">
        <v>1354</v>
      </c>
      <c r="R159">
        <v>0.27011959499999999</v>
      </c>
      <c r="S159">
        <v>14.22</v>
      </c>
      <c r="T159" s="2">
        <v>45760</v>
      </c>
      <c r="V159" t="str">
        <f t="shared" si="8"/>
        <v>S-5345831</v>
      </c>
      <c r="W159">
        <f t="shared" si="11"/>
        <v>0</v>
      </c>
      <c r="X159" t="str">
        <f t="shared" si="9"/>
        <v/>
      </c>
      <c r="Y159">
        <f t="shared" si="10"/>
        <v>0.27011959499999999</v>
      </c>
    </row>
    <row r="160" spans="1:25" hidden="1" x14ac:dyDescent="0.4">
      <c r="A160" t="s">
        <v>20</v>
      </c>
      <c r="B160">
        <v>5345831</v>
      </c>
      <c r="C160" t="s">
        <v>161</v>
      </c>
      <c r="D160" t="s">
        <v>21</v>
      </c>
      <c r="E160" t="s">
        <v>147</v>
      </c>
      <c r="K160">
        <v>66.500482912999999</v>
      </c>
      <c r="M160">
        <v>66.500482912999999</v>
      </c>
      <c r="P160" s="1" t="s">
        <v>1719</v>
      </c>
      <c r="Q160" s="1" t="s">
        <v>1720</v>
      </c>
      <c r="R160">
        <v>0.14673942500000001</v>
      </c>
      <c r="S160">
        <v>13.61</v>
      </c>
      <c r="T160" s="2">
        <v>45760</v>
      </c>
      <c r="V160" t="str">
        <f t="shared" si="8"/>
        <v>S-5345831</v>
      </c>
      <c r="W160">
        <f t="shared" si="11"/>
        <v>0</v>
      </c>
      <c r="X160" t="str">
        <f t="shared" si="9"/>
        <v/>
      </c>
      <c r="Y160">
        <f t="shared" si="10"/>
        <v>0.14673942500000001</v>
      </c>
    </row>
    <row r="161" spans="1:25" hidden="1" x14ac:dyDescent="0.4">
      <c r="A161" t="s">
        <v>20</v>
      </c>
      <c r="B161">
        <v>5345831</v>
      </c>
      <c r="C161" t="s">
        <v>161</v>
      </c>
      <c r="D161" t="s">
        <v>21</v>
      </c>
      <c r="E161" t="s">
        <v>22</v>
      </c>
      <c r="K161">
        <v>3.014979297</v>
      </c>
      <c r="L161">
        <v>3.014979297</v>
      </c>
      <c r="M161">
        <v>0</v>
      </c>
      <c r="N161">
        <v>0</v>
      </c>
      <c r="O161">
        <v>0</v>
      </c>
      <c r="P161" s="1" t="s">
        <v>162</v>
      </c>
      <c r="Q161">
        <v>1</v>
      </c>
      <c r="R161">
        <v>0</v>
      </c>
      <c r="S161">
        <v>0</v>
      </c>
      <c r="T161" s="2">
        <v>45760</v>
      </c>
      <c r="V161" t="str">
        <f t="shared" si="8"/>
        <v>S-5345831</v>
      </c>
      <c r="W161">
        <f t="shared" si="11"/>
        <v>0</v>
      </c>
      <c r="X161" t="str">
        <f t="shared" si="9"/>
        <v/>
      </c>
      <c r="Y161">
        <f t="shared" si="10"/>
        <v>0</v>
      </c>
    </row>
    <row r="162" spans="1:25" hidden="1" x14ac:dyDescent="0.4">
      <c r="A162" t="s">
        <v>20</v>
      </c>
      <c r="B162">
        <v>5353031</v>
      </c>
      <c r="C162" t="s">
        <v>163</v>
      </c>
      <c r="D162" t="s">
        <v>21</v>
      </c>
      <c r="E162" t="s">
        <v>137</v>
      </c>
      <c r="K162">
        <v>201.993073826</v>
      </c>
      <c r="M162">
        <v>201.993073826</v>
      </c>
      <c r="P162" s="1" t="s">
        <v>624</v>
      </c>
      <c r="Q162" s="1" t="s">
        <v>625</v>
      </c>
      <c r="R162">
        <v>0.43620582499999999</v>
      </c>
      <c r="S162">
        <v>12.52</v>
      </c>
      <c r="T162" s="2">
        <v>45761</v>
      </c>
      <c r="V162" t="str">
        <f t="shared" si="8"/>
        <v>S-5353031</v>
      </c>
      <c r="W162">
        <f t="shared" si="11"/>
        <v>0</v>
      </c>
      <c r="X162" t="str">
        <f t="shared" si="9"/>
        <v/>
      </c>
      <c r="Y162">
        <f t="shared" si="10"/>
        <v>0.43620582499999999</v>
      </c>
    </row>
    <row r="163" spans="1:25" hidden="1" x14ac:dyDescent="0.4">
      <c r="A163" t="s">
        <v>20</v>
      </c>
      <c r="B163">
        <v>5353031</v>
      </c>
      <c r="C163" t="s">
        <v>163</v>
      </c>
      <c r="D163" t="s">
        <v>21</v>
      </c>
      <c r="E163" t="s">
        <v>156</v>
      </c>
      <c r="K163">
        <v>126.06931726400001</v>
      </c>
      <c r="M163">
        <v>126.06931726400001</v>
      </c>
      <c r="P163" s="1" t="s">
        <v>988</v>
      </c>
      <c r="Q163" s="1" t="s">
        <v>989</v>
      </c>
      <c r="R163">
        <v>0.34705088299999998</v>
      </c>
      <c r="S163">
        <v>16.95</v>
      </c>
      <c r="T163" s="2">
        <v>45761</v>
      </c>
      <c r="V163" t="str">
        <f t="shared" si="8"/>
        <v>S-5353031</v>
      </c>
      <c r="W163">
        <f t="shared" si="11"/>
        <v>0</v>
      </c>
      <c r="X163" t="str">
        <f t="shared" si="9"/>
        <v/>
      </c>
      <c r="Y163">
        <f t="shared" si="10"/>
        <v>0.34705088299999998</v>
      </c>
    </row>
    <row r="164" spans="1:25" hidden="1" x14ac:dyDescent="0.4">
      <c r="A164" t="s">
        <v>20</v>
      </c>
      <c r="B164">
        <v>5353031</v>
      </c>
      <c r="C164" t="s">
        <v>163</v>
      </c>
      <c r="D164" t="s">
        <v>21</v>
      </c>
      <c r="E164" t="s">
        <v>140</v>
      </c>
      <c r="K164">
        <v>125.779413887</v>
      </c>
      <c r="M164">
        <v>125.779413887</v>
      </c>
      <c r="P164" s="1" t="s">
        <v>1355</v>
      </c>
      <c r="Q164" s="1" t="s">
        <v>1356</v>
      </c>
      <c r="R164">
        <v>0.26383411499999998</v>
      </c>
      <c r="S164">
        <v>13.21</v>
      </c>
      <c r="T164" s="2">
        <v>45761</v>
      </c>
      <c r="V164" t="str">
        <f t="shared" si="8"/>
        <v>S-5353031</v>
      </c>
      <c r="W164">
        <f t="shared" si="11"/>
        <v>0</v>
      </c>
      <c r="X164" t="str">
        <f t="shared" si="9"/>
        <v/>
      </c>
      <c r="Y164">
        <f t="shared" si="10"/>
        <v>0.26383411499999998</v>
      </c>
    </row>
    <row r="165" spans="1:25" hidden="1" x14ac:dyDescent="0.4">
      <c r="A165" t="s">
        <v>20</v>
      </c>
      <c r="B165">
        <v>5353031</v>
      </c>
      <c r="C165" t="s">
        <v>163</v>
      </c>
      <c r="D165" t="s">
        <v>21</v>
      </c>
      <c r="E165" t="s">
        <v>147</v>
      </c>
      <c r="K165">
        <v>66.646597329000002</v>
      </c>
      <c r="M165">
        <v>66.646597329000002</v>
      </c>
      <c r="P165" s="1" t="s">
        <v>1721</v>
      </c>
      <c r="Q165" s="1" t="s">
        <v>1722</v>
      </c>
      <c r="R165">
        <v>0.146114416</v>
      </c>
      <c r="S165">
        <v>13.41</v>
      </c>
      <c r="T165" s="2">
        <v>45761</v>
      </c>
      <c r="V165" t="str">
        <f t="shared" si="8"/>
        <v>S-5353031</v>
      </c>
      <c r="W165">
        <f t="shared" si="11"/>
        <v>0</v>
      </c>
      <c r="X165" t="str">
        <f t="shared" si="9"/>
        <v/>
      </c>
      <c r="Y165">
        <f t="shared" si="10"/>
        <v>0.146114416</v>
      </c>
    </row>
    <row r="166" spans="1:25" hidden="1" x14ac:dyDescent="0.4">
      <c r="A166" t="s">
        <v>20</v>
      </c>
      <c r="B166">
        <v>5353031</v>
      </c>
      <c r="C166" t="s">
        <v>163</v>
      </c>
      <c r="D166" t="s">
        <v>21</v>
      </c>
      <c r="E166" t="s">
        <v>22</v>
      </c>
      <c r="K166">
        <v>3.014979297</v>
      </c>
      <c r="L166">
        <v>3.014979297</v>
      </c>
      <c r="M166">
        <v>0</v>
      </c>
      <c r="N166">
        <v>0</v>
      </c>
      <c r="O166">
        <v>0</v>
      </c>
      <c r="P166" s="1" t="s">
        <v>164</v>
      </c>
      <c r="Q166">
        <v>1</v>
      </c>
      <c r="R166">
        <v>0</v>
      </c>
      <c r="S166">
        <v>0</v>
      </c>
      <c r="T166" s="2">
        <v>45761</v>
      </c>
      <c r="V166" t="str">
        <f t="shared" si="8"/>
        <v>S-5353031</v>
      </c>
      <c r="W166">
        <f t="shared" si="11"/>
        <v>0</v>
      </c>
      <c r="X166" t="str">
        <f t="shared" si="9"/>
        <v/>
      </c>
      <c r="Y166">
        <f t="shared" si="10"/>
        <v>0</v>
      </c>
    </row>
    <row r="167" spans="1:25" hidden="1" x14ac:dyDescent="0.4">
      <c r="A167" t="s">
        <v>20</v>
      </c>
      <c r="B167">
        <v>5360231</v>
      </c>
      <c r="C167" t="s">
        <v>165</v>
      </c>
      <c r="D167" t="s">
        <v>21</v>
      </c>
      <c r="E167" t="s">
        <v>137</v>
      </c>
      <c r="K167">
        <v>202.43170288600001</v>
      </c>
      <c r="M167">
        <v>202.43170288600001</v>
      </c>
      <c r="P167" s="1" t="s">
        <v>626</v>
      </c>
      <c r="Q167" s="1" t="s">
        <v>627</v>
      </c>
      <c r="R167">
        <v>0.43862906000000002</v>
      </c>
      <c r="S167">
        <v>13.33</v>
      </c>
      <c r="T167" s="2">
        <v>45762</v>
      </c>
      <c r="V167" t="str">
        <f t="shared" si="8"/>
        <v>S-5360231</v>
      </c>
      <c r="W167">
        <f t="shared" si="11"/>
        <v>0</v>
      </c>
      <c r="X167" t="str">
        <f t="shared" si="9"/>
        <v/>
      </c>
      <c r="Y167">
        <f t="shared" si="10"/>
        <v>0.43862906000000002</v>
      </c>
    </row>
    <row r="168" spans="1:25" hidden="1" x14ac:dyDescent="0.4">
      <c r="A168" t="s">
        <v>20</v>
      </c>
      <c r="B168">
        <v>5360231</v>
      </c>
      <c r="C168" t="s">
        <v>165</v>
      </c>
      <c r="D168" t="s">
        <v>21</v>
      </c>
      <c r="E168" t="s">
        <v>156</v>
      </c>
      <c r="K168">
        <v>126.408518172</v>
      </c>
      <c r="M168">
        <v>126.408518172</v>
      </c>
      <c r="P168" s="1" t="s">
        <v>990</v>
      </c>
      <c r="Q168" s="1" t="s">
        <v>991</v>
      </c>
      <c r="R168">
        <v>0.33920090800000002</v>
      </c>
      <c r="S168">
        <v>14.81</v>
      </c>
      <c r="T168" s="2">
        <v>45762</v>
      </c>
      <c r="V168" t="str">
        <f t="shared" si="8"/>
        <v>S-5360231</v>
      </c>
      <c r="W168">
        <f t="shared" si="11"/>
        <v>0</v>
      </c>
      <c r="X168" t="str">
        <f t="shared" si="9"/>
        <v/>
      </c>
      <c r="Y168">
        <f t="shared" si="10"/>
        <v>0.33920090800000002</v>
      </c>
    </row>
    <row r="169" spans="1:25" hidden="1" x14ac:dyDescent="0.4">
      <c r="A169" t="s">
        <v>20</v>
      </c>
      <c r="B169">
        <v>5360231</v>
      </c>
      <c r="C169" t="s">
        <v>165</v>
      </c>
      <c r="D169" t="s">
        <v>21</v>
      </c>
      <c r="E169" t="s">
        <v>140</v>
      </c>
      <c r="K169">
        <v>126.02928296100001</v>
      </c>
      <c r="M169">
        <v>126.02928296100001</v>
      </c>
      <c r="P169" s="1" t="s">
        <v>1357</v>
      </c>
      <c r="Q169" s="1" t="s">
        <v>1358</v>
      </c>
      <c r="R169">
        <v>0.249869074</v>
      </c>
      <c r="S169">
        <v>12.88</v>
      </c>
      <c r="T169" s="2">
        <v>45762</v>
      </c>
      <c r="V169" t="str">
        <f t="shared" si="8"/>
        <v>S-5360231</v>
      </c>
      <c r="W169">
        <f t="shared" si="11"/>
        <v>0</v>
      </c>
      <c r="X169" t="str">
        <f t="shared" si="9"/>
        <v/>
      </c>
      <c r="Y169">
        <f t="shared" si="10"/>
        <v>0.249869074</v>
      </c>
    </row>
    <row r="170" spans="1:25" hidden="1" x14ac:dyDescent="0.4">
      <c r="A170" t="s">
        <v>20</v>
      </c>
      <c r="B170">
        <v>5360231</v>
      </c>
      <c r="C170" t="s">
        <v>165</v>
      </c>
      <c r="D170" t="s">
        <v>21</v>
      </c>
      <c r="E170" t="s">
        <v>147</v>
      </c>
      <c r="K170">
        <v>66.790862872000005</v>
      </c>
      <c r="M170">
        <v>66.790862872000005</v>
      </c>
      <c r="P170" s="1" t="s">
        <v>1723</v>
      </c>
      <c r="Q170" s="1" t="s">
        <v>1724</v>
      </c>
      <c r="R170">
        <v>0.144265543</v>
      </c>
      <c r="S170">
        <v>12.7</v>
      </c>
      <c r="T170" s="2">
        <v>45762</v>
      </c>
      <c r="V170" t="str">
        <f t="shared" si="8"/>
        <v>S-5360231</v>
      </c>
      <c r="W170">
        <f t="shared" si="11"/>
        <v>0</v>
      </c>
      <c r="X170" t="str">
        <f t="shared" si="9"/>
        <v/>
      </c>
      <c r="Y170">
        <f t="shared" si="10"/>
        <v>0.144265543</v>
      </c>
    </row>
    <row r="171" spans="1:25" hidden="1" x14ac:dyDescent="0.4">
      <c r="A171" t="s">
        <v>20</v>
      </c>
      <c r="B171">
        <v>5360231</v>
      </c>
      <c r="C171" t="s">
        <v>165</v>
      </c>
      <c r="D171" t="s">
        <v>21</v>
      </c>
      <c r="E171" t="s">
        <v>22</v>
      </c>
      <c r="K171">
        <v>3.014979297</v>
      </c>
      <c r="L171">
        <v>3.014979297</v>
      </c>
      <c r="M171">
        <v>0</v>
      </c>
      <c r="N171">
        <v>0</v>
      </c>
      <c r="O171">
        <v>0</v>
      </c>
      <c r="P171" s="1" t="s">
        <v>166</v>
      </c>
      <c r="Q171">
        <v>1</v>
      </c>
      <c r="R171">
        <v>0</v>
      </c>
      <c r="S171">
        <v>0</v>
      </c>
      <c r="T171" s="2">
        <v>45762</v>
      </c>
      <c r="V171" t="str">
        <f t="shared" si="8"/>
        <v>S-5360231</v>
      </c>
      <c r="W171">
        <f t="shared" si="11"/>
        <v>0</v>
      </c>
      <c r="X171" t="str">
        <f t="shared" si="9"/>
        <v/>
      </c>
      <c r="Y171">
        <f t="shared" si="10"/>
        <v>0</v>
      </c>
    </row>
    <row r="172" spans="1:25" hidden="1" x14ac:dyDescent="0.4">
      <c r="A172" t="s">
        <v>20</v>
      </c>
      <c r="B172">
        <v>5367431</v>
      </c>
      <c r="C172" t="s">
        <v>167</v>
      </c>
      <c r="D172" t="s">
        <v>21</v>
      </c>
      <c r="E172" t="s">
        <v>137</v>
      </c>
      <c r="K172">
        <v>202.865529122</v>
      </c>
      <c r="M172">
        <v>202.865529122</v>
      </c>
      <c r="P172" s="1" t="s">
        <v>628</v>
      </c>
      <c r="Q172" s="1" t="s">
        <v>629</v>
      </c>
      <c r="R172">
        <v>0.43382623599999998</v>
      </c>
      <c r="S172">
        <v>11.07</v>
      </c>
      <c r="T172" s="2">
        <v>45763</v>
      </c>
      <c r="V172" t="str">
        <f t="shared" si="8"/>
        <v>S-5367431</v>
      </c>
      <c r="W172">
        <f t="shared" si="11"/>
        <v>0</v>
      </c>
      <c r="X172" t="str">
        <f t="shared" si="9"/>
        <v/>
      </c>
      <c r="Y172">
        <f t="shared" si="10"/>
        <v>0.43382623599999998</v>
      </c>
    </row>
    <row r="173" spans="1:25" hidden="1" x14ac:dyDescent="0.4">
      <c r="A173" t="s">
        <v>20</v>
      </c>
      <c r="B173">
        <v>5367431</v>
      </c>
      <c r="C173" t="s">
        <v>167</v>
      </c>
      <c r="D173" t="s">
        <v>21</v>
      </c>
      <c r="E173" t="s">
        <v>156</v>
      </c>
      <c r="K173">
        <v>126.750561432</v>
      </c>
      <c r="M173">
        <v>126.750561432</v>
      </c>
      <c r="P173" s="1" t="s">
        <v>992</v>
      </c>
      <c r="Q173" s="1" t="s">
        <v>993</v>
      </c>
      <c r="R173">
        <v>0.34204326000000002</v>
      </c>
      <c r="S173">
        <v>13.55</v>
      </c>
      <c r="T173" s="2">
        <v>45763</v>
      </c>
      <c r="V173" t="str">
        <f t="shared" si="8"/>
        <v>S-5367431</v>
      </c>
      <c r="W173">
        <f t="shared" si="11"/>
        <v>0</v>
      </c>
      <c r="X173" t="str">
        <f t="shared" si="9"/>
        <v/>
      </c>
      <c r="Y173">
        <f t="shared" si="10"/>
        <v>0.34204326000000002</v>
      </c>
    </row>
    <row r="174" spans="1:25" hidden="1" x14ac:dyDescent="0.4">
      <c r="A174" t="s">
        <v>20</v>
      </c>
      <c r="B174">
        <v>5367431</v>
      </c>
      <c r="C174" t="s">
        <v>167</v>
      </c>
      <c r="D174" t="s">
        <v>21</v>
      </c>
      <c r="E174" t="s">
        <v>140</v>
      </c>
      <c r="K174">
        <v>126.27179241899999</v>
      </c>
      <c r="M174">
        <v>126.27179241899999</v>
      </c>
      <c r="P174" s="1" t="s">
        <v>1359</v>
      </c>
      <c r="Q174" s="1" t="s">
        <v>1360</v>
      </c>
      <c r="R174">
        <v>0.24250945800000001</v>
      </c>
      <c r="S174">
        <v>10.23</v>
      </c>
      <c r="T174" s="2">
        <v>45763</v>
      </c>
      <c r="V174" t="str">
        <f t="shared" si="8"/>
        <v>S-5367431</v>
      </c>
      <c r="W174">
        <f t="shared" si="11"/>
        <v>0</v>
      </c>
      <c r="X174" t="str">
        <f t="shared" si="9"/>
        <v/>
      </c>
      <c r="Y174">
        <f t="shared" si="10"/>
        <v>0.24250945800000001</v>
      </c>
    </row>
    <row r="175" spans="1:25" hidden="1" x14ac:dyDescent="0.4">
      <c r="A175" t="s">
        <v>20</v>
      </c>
      <c r="B175">
        <v>5367431</v>
      </c>
      <c r="C175" t="s">
        <v>167</v>
      </c>
      <c r="D175" t="s">
        <v>21</v>
      </c>
      <c r="E175" t="s">
        <v>147</v>
      </c>
      <c r="K175">
        <v>66.936195690000005</v>
      </c>
      <c r="M175">
        <v>66.936195690000005</v>
      </c>
      <c r="P175" s="1" t="s">
        <v>1725</v>
      </c>
      <c r="Q175" s="1" t="s">
        <v>1726</v>
      </c>
      <c r="R175">
        <v>0.145332818</v>
      </c>
      <c r="S175">
        <v>11.77</v>
      </c>
      <c r="T175" s="2">
        <v>45763</v>
      </c>
      <c r="V175" t="str">
        <f t="shared" si="8"/>
        <v>S-5367431</v>
      </c>
      <c r="W175">
        <f t="shared" si="11"/>
        <v>0</v>
      </c>
      <c r="X175" t="str">
        <f t="shared" si="9"/>
        <v/>
      </c>
      <c r="Y175">
        <f t="shared" si="10"/>
        <v>0.145332818</v>
      </c>
    </row>
    <row r="176" spans="1:25" hidden="1" x14ac:dyDescent="0.4">
      <c r="A176" t="s">
        <v>20</v>
      </c>
      <c r="B176">
        <v>5367431</v>
      </c>
      <c r="C176" t="s">
        <v>167</v>
      </c>
      <c r="D176" t="s">
        <v>21</v>
      </c>
      <c r="E176" t="s">
        <v>22</v>
      </c>
      <c r="K176">
        <v>3.014979297</v>
      </c>
      <c r="L176">
        <v>3.014979297</v>
      </c>
      <c r="M176">
        <v>0</v>
      </c>
      <c r="N176">
        <v>0</v>
      </c>
      <c r="O176">
        <v>0</v>
      </c>
      <c r="P176" s="1" t="s">
        <v>168</v>
      </c>
      <c r="Q176">
        <v>1</v>
      </c>
      <c r="R176">
        <v>0</v>
      </c>
      <c r="S176">
        <v>0</v>
      </c>
      <c r="T176" s="2">
        <v>45763</v>
      </c>
      <c r="V176" t="str">
        <f t="shared" si="8"/>
        <v>S-5367431</v>
      </c>
      <c r="W176">
        <f t="shared" si="11"/>
        <v>0</v>
      </c>
      <c r="X176" t="str">
        <f t="shared" si="9"/>
        <v/>
      </c>
      <c r="Y176">
        <f t="shared" si="10"/>
        <v>0</v>
      </c>
    </row>
    <row r="177" spans="1:25" hidden="1" x14ac:dyDescent="0.4">
      <c r="A177" t="s">
        <v>20</v>
      </c>
      <c r="B177">
        <v>5374631</v>
      </c>
      <c r="C177" t="s">
        <v>169</v>
      </c>
      <c r="D177" t="s">
        <v>21</v>
      </c>
      <c r="E177" t="s">
        <v>137</v>
      </c>
      <c r="K177">
        <v>203.31667234299999</v>
      </c>
      <c r="M177">
        <v>203.31667234299999</v>
      </c>
      <c r="P177" s="1" t="s">
        <v>630</v>
      </c>
      <c r="Q177" s="1" t="s">
        <v>631</v>
      </c>
      <c r="R177">
        <v>0.45114322099999998</v>
      </c>
      <c r="S177">
        <v>13.03</v>
      </c>
      <c r="T177" s="2">
        <v>45764</v>
      </c>
      <c r="V177" t="str">
        <f t="shared" si="8"/>
        <v>S-5374631</v>
      </c>
      <c r="W177">
        <f t="shared" si="11"/>
        <v>0</v>
      </c>
      <c r="X177" t="str">
        <f t="shared" si="9"/>
        <v/>
      </c>
      <c r="Y177">
        <f t="shared" si="10"/>
        <v>0.45114322099999998</v>
      </c>
    </row>
    <row r="178" spans="1:25" hidden="1" x14ac:dyDescent="0.4">
      <c r="A178" t="s">
        <v>20</v>
      </c>
      <c r="B178">
        <v>5374631</v>
      </c>
      <c r="C178" t="s">
        <v>169</v>
      </c>
      <c r="D178" t="s">
        <v>21</v>
      </c>
      <c r="E178" t="s">
        <v>156</v>
      </c>
      <c r="K178">
        <v>127.10107839</v>
      </c>
      <c r="M178">
        <v>127.10107839</v>
      </c>
      <c r="P178" s="1" t="s">
        <v>994</v>
      </c>
      <c r="Q178" s="1" t="s">
        <v>995</v>
      </c>
      <c r="R178">
        <v>0.35051695799999999</v>
      </c>
      <c r="S178">
        <v>14.93</v>
      </c>
      <c r="T178" s="2">
        <v>45764</v>
      </c>
      <c r="V178" t="str">
        <f t="shared" si="8"/>
        <v>S-5374631</v>
      </c>
      <c r="W178">
        <f t="shared" si="11"/>
        <v>0</v>
      </c>
      <c r="X178" t="str">
        <f t="shared" si="9"/>
        <v/>
      </c>
      <c r="Y178">
        <f t="shared" si="10"/>
        <v>0.35051695799999999</v>
      </c>
    </row>
    <row r="179" spans="1:25" hidden="1" x14ac:dyDescent="0.4">
      <c r="A179" t="s">
        <v>20</v>
      </c>
      <c r="B179">
        <v>5374631</v>
      </c>
      <c r="C179" t="s">
        <v>169</v>
      </c>
      <c r="D179" t="s">
        <v>21</v>
      </c>
      <c r="E179" t="s">
        <v>140</v>
      </c>
      <c r="K179">
        <v>126.51251611799999</v>
      </c>
      <c r="M179">
        <v>126.51251611799999</v>
      </c>
      <c r="P179" s="1" t="s">
        <v>1361</v>
      </c>
      <c r="Q179" s="1" t="s">
        <v>1362</v>
      </c>
      <c r="R179">
        <v>0.24072369900000001</v>
      </c>
      <c r="S179">
        <v>11.36</v>
      </c>
      <c r="T179" s="2">
        <v>45764</v>
      </c>
      <c r="V179" t="str">
        <f t="shared" si="8"/>
        <v>S-5374631</v>
      </c>
      <c r="W179">
        <f t="shared" si="11"/>
        <v>0</v>
      </c>
      <c r="X179" t="str">
        <f t="shared" si="9"/>
        <v/>
      </c>
      <c r="Y179">
        <f t="shared" si="10"/>
        <v>0.24072369900000001</v>
      </c>
    </row>
    <row r="180" spans="1:25" hidden="1" x14ac:dyDescent="0.4">
      <c r="A180" t="s">
        <v>20</v>
      </c>
      <c r="B180">
        <v>5374631</v>
      </c>
      <c r="C180" t="s">
        <v>169</v>
      </c>
      <c r="D180" t="s">
        <v>21</v>
      </c>
      <c r="E180" t="s">
        <v>147</v>
      </c>
      <c r="K180">
        <v>67.081772747000002</v>
      </c>
      <c r="M180">
        <v>67.081772747000002</v>
      </c>
      <c r="P180" s="1" t="s">
        <v>1727</v>
      </c>
      <c r="Q180" s="1" t="s">
        <v>1728</v>
      </c>
      <c r="R180">
        <v>0.14557705700000001</v>
      </c>
      <c r="S180">
        <v>13.35</v>
      </c>
      <c r="T180" s="2">
        <v>45764</v>
      </c>
      <c r="V180" t="str">
        <f t="shared" si="8"/>
        <v>S-5374631</v>
      </c>
      <c r="W180">
        <f t="shared" si="11"/>
        <v>0</v>
      </c>
      <c r="X180" t="str">
        <f t="shared" si="9"/>
        <v/>
      </c>
      <c r="Y180">
        <f t="shared" si="10"/>
        <v>0.14557705700000001</v>
      </c>
    </row>
    <row r="181" spans="1:25" hidden="1" x14ac:dyDescent="0.4">
      <c r="A181" t="s">
        <v>20</v>
      </c>
      <c r="B181">
        <v>5374631</v>
      </c>
      <c r="C181" t="s">
        <v>169</v>
      </c>
      <c r="D181" t="s">
        <v>21</v>
      </c>
      <c r="E181" t="s">
        <v>22</v>
      </c>
      <c r="K181">
        <v>3.014979297</v>
      </c>
      <c r="L181">
        <v>3.014979297</v>
      </c>
      <c r="M181">
        <v>0</v>
      </c>
      <c r="N181">
        <v>0</v>
      </c>
      <c r="O181">
        <v>0</v>
      </c>
      <c r="P181" s="1" t="s">
        <v>170</v>
      </c>
      <c r="Q181">
        <v>1</v>
      </c>
      <c r="R181">
        <v>0</v>
      </c>
      <c r="S181">
        <v>0</v>
      </c>
      <c r="T181" s="2">
        <v>45764</v>
      </c>
      <c r="V181" t="str">
        <f t="shared" si="8"/>
        <v>S-5374631</v>
      </c>
      <c r="W181">
        <f t="shared" si="11"/>
        <v>0</v>
      </c>
      <c r="X181" t="str">
        <f t="shared" si="9"/>
        <v/>
      </c>
      <c r="Y181">
        <f t="shared" si="10"/>
        <v>0</v>
      </c>
    </row>
    <row r="182" spans="1:25" hidden="1" x14ac:dyDescent="0.4">
      <c r="A182" t="s">
        <v>20</v>
      </c>
      <c r="B182">
        <v>5381831</v>
      </c>
      <c r="C182" t="s">
        <v>171</v>
      </c>
      <c r="D182" t="s">
        <v>21</v>
      </c>
      <c r="E182" t="s">
        <v>137</v>
      </c>
      <c r="K182">
        <v>203.76350357800001</v>
      </c>
      <c r="M182">
        <v>203.76350357800001</v>
      </c>
      <c r="P182" s="1" t="s">
        <v>632</v>
      </c>
      <c r="Q182" s="1" t="s">
        <v>633</v>
      </c>
      <c r="R182">
        <v>0.44683123499999999</v>
      </c>
      <c r="S182">
        <v>13.57</v>
      </c>
      <c r="T182" s="2">
        <v>45765</v>
      </c>
      <c r="V182" t="str">
        <f t="shared" si="8"/>
        <v>S-5381831</v>
      </c>
      <c r="W182">
        <f t="shared" si="11"/>
        <v>0</v>
      </c>
      <c r="X182" t="str">
        <f t="shared" si="9"/>
        <v/>
      </c>
      <c r="Y182">
        <f t="shared" si="10"/>
        <v>0.44683123499999999</v>
      </c>
    </row>
    <row r="183" spans="1:25" hidden="1" x14ac:dyDescent="0.4">
      <c r="A183" t="s">
        <v>20</v>
      </c>
      <c r="B183">
        <v>5381831</v>
      </c>
      <c r="C183" t="s">
        <v>171</v>
      </c>
      <c r="D183" t="s">
        <v>21</v>
      </c>
      <c r="E183" t="s">
        <v>156</v>
      </c>
      <c r="K183">
        <v>127.45250255800001</v>
      </c>
      <c r="M183">
        <v>127.45250255800001</v>
      </c>
      <c r="P183" s="1" t="s">
        <v>996</v>
      </c>
      <c r="Q183" s="1" t="s">
        <v>997</v>
      </c>
      <c r="R183">
        <v>0.35142416799999998</v>
      </c>
      <c r="S183">
        <v>16.079999999999998</v>
      </c>
      <c r="T183" s="2">
        <v>45765</v>
      </c>
      <c r="V183" t="str">
        <f t="shared" si="8"/>
        <v>S-5381831</v>
      </c>
      <c r="W183">
        <f t="shared" si="11"/>
        <v>0</v>
      </c>
      <c r="X183" t="str">
        <f t="shared" si="9"/>
        <v/>
      </c>
      <c r="Y183">
        <f t="shared" si="10"/>
        <v>0.35142416799999998</v>
      </c>
    </row>
    <row r="184" spans="1:25" hidden="1" x14ac:dyDescent="0.4">
      <c r="A184" t="s">
        <v>20</v>
      </c>
      <c r="B184">
        <v>5381831</v>
      </c>
      <c r="C184" t="s">
        <v>171</v>
      </c>
      <c r="D184" t="s">
        <v>21</v>
      </c>
      <c r="E184" t="s">
        <v>140</v>
      </c>
      <c r="K184">
        <v>126.745067672</v>
      </c>
      <c r="M184">
        <v>126.745067672</v>
      </c>
      <c r="P184" s="1" t="s">
        <v>1363</v>
      </c>
      <c r="Q184" s="1" t="s">
        <v>1364</v>
      </c>
      <c r="R184">
        <v>0.23255155399999999</v>
      </c>
      <c r="S184">
        <v>10.98</v>
      </c>
      <c r="T184" s="2">
        <v>45765</v>
      </c>
      <c r="V184" t="str">
        <f t="shared" si="8"/>
        <v>S-5381831</v>
      </c>
      <c r="W184">
        <f t="shared" si="11"/>
        <v>0</v>
      </c>
      <c r="X184" t="str">
        <f t="shared" si="9"/>
        <v/>
      </c>
      <c r="Y184">
        <f t="shared" si="10"/>
        <v>0.23255155399999999</v>
      </c>
    </row>
    <row r="185" spans="1:25" hidden="1" x14ac:dyDescent="0.4">
      <c r="A185" t="s">
        <v>20</v>
      </c>
      <c r="B185">
        <v>5381831</v>
      </c>
      <c r="C185" t="s">
        <v>171</v>
      </c>
      <c r="D185" t="s">
        <v>21</v>
      </c>
      <c r="E185" t="s">
        <v>147</v>
      </c>
      <c r="K185">
        <v>67.226381969000002</v>
      </c>
      <c r="M185">
        <v>67.226381969000002</v>
      </c>
      <c r="P185" s="1" t="s">
        <v>1729</v>
      </c>
      <c r="Q185" s="1" t="s">
        <v>1730</v>
      </c>
      <c r="R185">
        <v>0.14460922200000001</v>
      </c>
      <c r="S185">
        <v>14.48</v>
      </c>
      <c r="T185" s="2">
        <v>45765</v>
      </c>
      <c r="V185" t="str">
        <f t="shared" si="8"/>
        <v>S-5381831</v>
      </c>
      <c r="W185">
        <f t="shared" si="11"/>
        <v>0</v>
      </c>
      <c r="X185" t="str">
        <f t="shared" si="9"/>
        <v/>
      </c>
      <c r="Y185">
        <f t="shared" si="10"/>
        <v>0.14460922200000001</v>
      </c>
    </row>
    <row r="186" spans="1:25" hidden="1" x14ac:dyDescent="0.4">
      <c r="A186" t="s">
        <v>20</v>
      </c>
      <c r="B186">
        <v>5381831</v>
      </c>
      <c r="C186" t="s">
        <v>171</v>
      </c>
      <c r="D186" t="s">
        <v>21</v>
      </c>
      <c r="E186" t="s">
        <v>22</v>
      </c>
      <c r="K186">
        <v>3.014979297</v>
      </c>
      <c r="L186">
        <v>3.014979297</v>
      </c>
      <c r="M186">
        <v>0</v>
      </c>
      <c r="N186">
        <v>0</v>
      </c>
      <c r="O186">
        <v>0</v>
      </c>
      <c r="P186" s="1" t="s">
        <v>172</v>
      </c>
      <c r="Q186">
        <v>1</v>
      </c>
      <c r="R186">
        <v>0</v>
      </c>
      <c r="S186">
        <v>0</v>
      </c>
      <c r="T186" s="2">
        <v>45765</v>
      </c>
      <c r="V186" t="str">
        <f t="shared" si="8"/>
        <v>S-5381831</v>
      </c>
      <c r="W186">
        <f t="shared" si="11"/>
        <v>0</v>
      </c>
      <c r="X186" t="str">
        <f t="shared" si="9"/>
        <v/>
      </c>
      <c r="Y186">
        <f t="shared" si="10"/>
        <v>0</v>
      </c>
    </row>
    <row r="187" spans="1:25" hidden="1" x14ac:dyDescent="0.4">
      <c r="A187" t="s">
        <v>20</v>
      </c>
      <c r="B187">
        <v>5389031</v>
      </c>
      <c r="C187" t="s">
        <v>173</v>
      </c>
      <c r="D187" t="s">
        <v>21</v>
      </c>
      <c r="E187" t="s">
        <v>137</v>
      </c>
      <c r="K187">
        <v>204.20068587399999</v>
      </c>
      <c r="M187">
        <v>204.20068587399999</v>
      </c>
      <c r="P187" s="1" t="s">
        <v>634</v>
      </c>
      <c r="Q187" s="1" t="s">
        <v>635</v>
      </c>
      <c r="R187">
        <v>0.43718229600000003</v>
      </c>
      <c r="S187">
        <v>13.75</v>
      </c>
      <c r="T187" s="2">
        <v>45766</v>
      </c>
      <c r="V187" t="str">
        <f t="shared" si="8"/>
        <v>S-5389031</v>
      </c>
      <c r="W187">
        <f t="shared" si="11"/>
        <v>0</v>
      </c>
      <c r="X187" t="str">
        <f t="shared" si="9"/>
        <v/>
      </c>
      <c r="Y187">
        <f t="shared" si="10"/>
        <v>0.43718229600000003</v>
      </c>
    </row>
    <row r="188" spans="1:25" hidden="1" x14ac:dyDescent="0.4">
      <c r="A188" t="s">
        <v>20</v>
      </c>
      <c r="B188">
        <v>5389031</v>
      </c>
      <c r="C188" t="s">
        <v>173</v>
      </c>
      <c r="D188" t="s">
        <v>21</v>
      </c>
      <c r="E188" t="s">
        <v>156</v>
      </c>
      <c r="K188">
        <v>127.80788047999999</v>
      </c>
      <c r="M188">
        <v>127.80788047999999</v>
      </c>
      <c r="P188" s="1" t="s">
        <v>998</v>
      </c>
      <c r="Q188" s="1" t="s">
        <v>999</v>
      </c>
      <c r="R188">
        <v>0.35537792200000001</v>
      </c>
      <c r="S188">
        <v>16.440000000000001</v>
      </c>
      <c r="T188" s="2">
        <v>45766</v>
      </c>
      <c r="V188" t="str">
        <f t="shared" si="8"/>
        <v>S-5389031</v>
      </c>
      <c r="W188">
        <f t="shared" si="11"/>
        <v>0</v>
      </c>
      <c r="X188" t="str">
        <f t="shared" si="9"/>
        <v/>
      </c>
      <c r="Y188">
        <f t="shared" si="10"/>
        <v>0.35537792200000001</v>
      </c>
    </row>
    <row r="189" spans="1:25" hidden="1" x14ac:dyDescent="0.4">
      <c r="A189" t="s">
        <v>20</v>
      </c>
      <c r="B189">
        <v>5389031</v>
      </c>
      <c r="C189" t="s">
        <v>173</v>
      </c>
      <c r="D189" t="s">
        <v>21</v>
      </c>
      <c r="E189" t="s">
        <v>140</v>
      </c>
      <c r="K189">
        <v>126.98441538199999</v>
      </c>
      <c r="M189">
        <v>126.98441538199999</v>
      </c>
      <c r="P189" s="1" t="s">
        <v>1365</v>
      </c>
      <c r="Q189" s="1" t="s">
        <v>1366</v>
      </c>
      <c r="R189">
        <v>0.23934770999999999</v>
      </c>
      <c r="S189">
        <v>12.2</v>
      </c>
      <c r="T189" s="2">
        <v>45766</v>
      </c>
      <c r="V189" t="str">
        <f t="shared" si="8"/>
        <v>S-5389031</v>
      </c>
      <c r="W189">
        <f t="shared" si="11"/>
        <v>0</v>
      </c>
      <c r="X189" t="str">
        <f t="shared" si="9"/>
        <v/>
      </c>
      <c r="Y189">
        <f t="shared" si="10"/>
        <v>0.23934770999999999</v>
      </c>
    </row>
    <row r="190" spans="1:25" hidden="1" x14ac:dyDescent="0.4">
      <c r="A190" t="s">
        <v>20</v>
      </c>
      <c r="B190">
        <v>5389031</v>
      </c>
      <c r="C190" t="s">
        <v>173</v>
      </c>
      <c r="D190" t="s">
        <v>21</v>
      </c>
      <c r="E190" t="s">
        <v>147</v>
      </c>
      <c r="K190">
        <v>67.372386500000005</v>
      </c>
      <c r="M190">
        <v>67.372386500000005</v>
      </c>
      <c r="P190" s="1" t="s">
        <v>1731</v>
      </c>
      <c r="Q190" s="1" t="s">
        <v>1732</v>
      </c>
      <c r="R190">
        <v>0.14600453099999999</v>
      </c>
      <c r="S190">
        <v>15.58</v>
      </c>
      <c r="T190" s="2">
        <v>45766</v>
      </c>
      <c r="V190" t="str">
        <f t="shared" si="8"/>
        <v>S-5389031</v>
      </c>
      <c r="W190">
        <f t="shared" si="11"/>
        <v>0</v>
      </c>
      <c r="X190" t="str">
        <f t="shared" si="9"/>
        <v/>
      </c>
      <c r="Y190">
        <f t="shared" si="10"/>
        <v>0.14600453099999999</v>
      </c>
    </row>
    <row r="191" spans="1:25" hidden="1" x14ac:dyDescent="0.4">
      <c r="A191" t="s">
        <v>20</v>
      </c>
      <c r="B191">
        <v>5389031</v>
      </c>
      <c r="C191" t="s">
        <v>173</v>
      </c>
      <c r="D191" t="s">
        <v>21</v>
      </c>
      <c r="E191" t="s">
        <v>22</v>
      </c>
      <c r="K191">
        <v>3.014979297</v>
      </c>
      <c r="L191">
        <v>3.014979297</v>
      </c>
      <c r="M191">
        <v>0</v>
      </c>
      <c r="N191">
        <v>0</v>
      </c>
      <c r="O191">
        <v>0</v>
      </c>
      <c r="P191" s="1" t="s">
        <v>174</v>
      </c>
      <c r="Q191">
        <v>1</v>
      </c>
      <c r="R191">
        <v>0</v>
      </c>
      <c r="S191">
        <v>0</v>
      </c>
      <c r="T191" s="2">
        <v>45766</v>
      </c>
      <c r="V191" t="str">
        <f t="shared" si="8"/>
        <v>S-5389031</v>
      </c>
      <c r="W191">
        <f t="shared" si="11"/>
        <v>0</v>
      </c>
      <c r="X191" t="str">
        <f t="shared" si="9"/>
        <v/>
      </c>
      <c r="Y191">
        <f t="shared" si="10"/>
        <v>0</v>
      </c>
    </row>
    <row r="192" spans="1:25" hidden="1" x14ac:dyDescent="0.4">
      <c r="A192" t="s">
        <v>20</v>
      </c>
      <c r="B192">
        <v>5396231</v>
      </c>
      <c r="C192" t="s">
        <v>175</v>
      </c>
      <c r="D192" t="s">
        <v>21</v>
      </c>
      <c r="E192" t="s">
        <v>137</v>
      </c>
      <c r="K192">
        <v>204.629690084</v>
      </c>
      <c r="M192">
        <v>204.629690084</v>
      </c>
      <c r="P192" s="1" t="s">
        <v>636</v>
      </c>
      <c r="Q192" s="1" t="s">
        <v>637</v>
      </c>
      <c r="R192">
        <v>0.42900421</v>
      </c>
      <c r="S192">
        <v>15.39</v>
      </c>
      <c r="T192" s="2">
        <v>45767</v>
      </c>
      <c r="V192" t="str">
        <f t="shared" si="8"/>
        <v>S-5396231</v>
      </c>
      <c r="W192">
        <f t="shared" si="11"/>
        <v>0</v>
      </c>
      <c r="X192" t="str">
        <f t="shared" si="9"/>
        <v/>
      </c>
      <c r="Y192">
        <f t="shared" si="10"/>
        <v>0.42900421</v>
      </c>
    </row>
    <row r="193" spans="1:25" hidden="1" x14ac:dyDescent="0.4">
      <c r="A193" t="s">
        <v>20</v>
      </c>
      <c r="B193">
        <v>5396231</v>
      </c>
      <c r="C193" t="s">
        <v>175</v>
      </c>
      <c r="D193" t="s">
        <v>21</v>
      </c>
      <c r="E193" t="s">
        <v>156</v>
      </c>
      <c r="K193">
        <v>128.16711768499999</v>
      </c>
      <c r="M193">
        <v>128.16711768499999</v>
      </c>
      <c r="P193" s="1" t="s">
        <v>1000</v>
      </c>
      <c r="Q193" s="1" t="s">
        <v>1001</v>
      </c>
      <c r="R193">
        <v>0.359237205</v>
      </c>
      <c r="S193">
        <v>18.809999999999999</v>
      </c>
      <c r="T193" s="2">
        <v>45767</v>
      </c>
      <c r="V193" t="str">
        <f t="shared" si="8"/>
        <v>S-5396231</v>
      </c>
      <c r="W193">
        <f t="shared" si="11"/>
        <v>0</v>
      </c>
      <c r="X193" t="str">
        <f t="shared" si="9"/>
        <v/>
      </c>
      <c r="Y193">
        <f t="shared" si="10"/>
        <v>0.359237205</v>
      </c>
    </row>
    <row r="194" spans="1:25" hidden="1" x14ac:dyDescent="0.4">
      <c r="A194" t="s">
        <v>20</v>
      </c>
      <c r="B194">
        <v>5396231</v>
      </c>
      <c r="C194" t="s">
        <v>175</v>
      </c>
      <c r="D194" t="s">
        <v>21</v>
      </c>
      <c r="E194" t="s">
        <v>140</v>
      </c>
      <c r="K194">
        <v>127.218403056</v>
      </c>
      <c r="M194">
        <v>127.218403056</v>
      </c>
      <c r="P194" s="1" t="s">
        <v>1367</v>
      </c>
      <c r="Q194" s="1" t="s">
        <v>1368</v>
      </c>
      <c r="R194">
        <v>0.23398767400000001</v>
      </c>
      <c r="S194">
        <v>13.19</v>
      </c>
      <c r="T194" s="2">
        <v>45767</v>
      </c>
      <c r="V194" t="str">
        <f t="shared" si="8"/>
        <v>S-5396231</v>
      </c>
      <c r="W194">
        <f t="shared" si="11"/>
        <v>0</v>
      </c>
      <c r="X194" t="str">
        <f t="shared" si="9"/>
        <v/>
      </c>
      <c r="Y194">
        <f t="shared" si="10"/>
        <v>0.23398767400000001</v>
      </c>
    </row>
    <row r="195" spans="1:25" hidden="1" x14ac:dyDescent="0.4">
      <c r="A195" t="s">
        <v>20</v>
      </c>
      <c r="B195">
        <v>5396231</v>
      </c>
      <c r="C195" t="s">
        <v>175</v>
      </c>
      <c r="D195" t="s">
        <v>21</v>
      </c>
      <c r="E195" t="s">
        <v>147</v>
      </c>
      <c r="K195">
        <v>67.51640313</v>
      </c>
      <c r="M195">
        <v>67.51640313</v>
      </c>
      <c r="P195" s="1" t="s">
        <v>1733</v>
      </c>
      <c r="Q195" s="1" t="s">
        <v>1734</v>
      </c>
      <c r="R195">
        <v>0.14401663000000001</v>
      </c>
      <c r="S195">
        <v>17.16</v>
      </c>
      <c r="T195" s="2">
        <v>45767</v>
      </c>
      <c r="V195" t="str">
        <f t="shared" ref="V195:V258" si="12">"S-"&amp;IF(LEN(I195)=0,B195,I195&amp;IF(F195="fee","-00",IF(LEN(G195)&gt;0,"-01","-02")))</f>
        <v>S-5396231</v>
      </c>
      <c r="W195">
        <f t="shared" si="11"/>
        <v>0</v>
      </c>
      <c r="X195" t="str">
        <f t="shared" ref="X195:X258" si="13">IF(LEN(I195)&gt;0,I195&amp;IF(F195="fee","fee",IF(VALUE(G195)&gt;0,"debit",IF(VALUE(H195)&gt;0,"credit","error"))),"")</f>
        <v/>
      </c>
      <c r="Y195">
        <f t="shared" ref="Y195:Y258" si="14">ROUND(IF(ROW(U195) = 2,K195,0)+IF(H195&lt;&gt;"",H195,0) + IF(R195&lt;&gt;"",R195,0) - IF(G195&lt;&gt;"",G195,0),9)</f>
        <v>0.14401663000000001</v>
      </c>
    </row>
    <row r="196" spans="1:25" hidden="1" x14ac:dyDescent="0.4">
      <c r="A196" t="s">
        <v>20</v>
      </c>
      <c r="B196">
        <v>5396231</v>
      </c>
      <c r="C196" t="s">
        <v>175</v>
      </c>
      <c r="D196" t="s">
        <v>21</v>
      </c>
      <c r="E196" t="s">
        <v>22</v>
      </c>
      <c r="K196">
        <v>3.014979297</v>
      </c>
      <c r="L196">
        <v>3.014979297</v>
      </c>
      <c r="M196">
        <v>0</v>
      </c>
      <c r="N196">
        <v>0</v>
      </c>
      <c r="O196">
        <v>0</v>
      </c>
      <c r="P196" s="1" t="s">
        <v>176</v>
      </c>
      <c r="Q196">
        <v>1</v>
      </c>
      <c r="R196">
        <v>0</v>
      </c>
      <c r="S196">
        <v>0</v>
      </c>
      <c r="T196" s="2">
        <v>45767</v>
      </c>
      <c r="V196" t="str">
        <f t="shared" si="12"/>
        <v>S-5396231</v>
      </c>
      <c r="W196">
        <f t="shared" ref="W196:W259" si="15">COUNTIF(I:I,I196)</f>
        <v>0</v>
      </c>
      <c r="X196" t="str">
        <f t="shared" si="13"/>
        <v/>
      </c>
      <c r="Y196">
        <f t="shared" si="14"/>
        <v>0</v>
      </c>
    </row>
    <row r="197" spans="1:25" hidden="1" x14ac:dyDescent="0.4">
      <c r="A197" t="s">
        <v>20</v>
      </c>
      <c r="B197">
        <v>5403431</v>
      </c>
      <c r="C197" t="s">
        <v>177</v>
      </c>
      <c r="D197" t="s">
        <v>21</v>
      </c>
      <c r="E197" t="s">
        <v>137</v>
      </c>
      <c r="K197">
        <v>205.04113334499999</v>
      </c>
      <c r="M197">
        <v>205.04113334499999</v>
      </c>
      <c r="P197" s="1" t="s">
        <v>638</v>
      </c>
      <c r="Q197" s="1" t="s">
        <v>639</v>
      </c>
      <c r="R197">
        <v>0.411443261</v>
      </c>
      <c r="S197">
        <v>13.55</v>
      </c>
      <c r="T197" s="2">
        <v>45768</v>
      </c>
      <c r="V197" t="str">
        <f t="shared" si="12"/>
        <v>S-5403431</v>
      </c>
      <c r="W197">
        <f t="shared" si="15"/>
        <v>0</v>
      </c>
      <c r="X197" t="str">
        <f t="shared" si="13"/>
        <v/>
      </c>
      <c r="Y197">
        <f t="shared" si="14"/>
        <v>0.411443261</v>
      </c>
    </row>
    <row r="198" spans="1:25" hidden="1" x14ac:dyDescent="0.4">
      <c r="A198" t="s">
        <v>20</v>
      </c>
      <c r="B198">
        <v>5403431</v>
      </c>
      <c r="C198" t="s">
        <v>177</v>
      </c>
      <c r="D198" t="s">
        <v>21</v>
      </c>
      <c r="E198" t="s">
        <v>156</v>
      </c>
      <c r="K198">
        <v>128.54167096899999</v>
      </c>
      <c r="M198">
        <v>128.54167096899999</v>
      </c>
      <c r="P198" s="1" t="s">
        <v>1002</v>
      </c>
      <c r="Q198" s="1" t="s">
        <v>1003</v>
      </c>
      <c r="R198">
        <v>0.37455328399999999</v>
      </c>
      <c r="S198">
        <v>18.66</v>
      </c>
      <c r="T198" s="2">
        <v>45768</v>
      </c>
      <c r="V198" t="str">
        <f t="shared" si="12"/>
        <v>S-5403431</v>
      </c>
      <c r="W198">
        <f t="shared" si="15"/>
        <v>0</v>
      </c>
      <c r="X198" t="str">
        <f t="shared" si="13"/>
        <v/>
      </c>
      <c r="Y198">
        <f t="shared" si="14"/>
        <v>0.37455328399999999</v>
      </c>
    </row>
    <row r="199" spans="1:25" hidden="1" x14ac:dyDescent="0.4">
      <c r="A199" t="s">
        <v>20</v>
      </c>
      <c r="B199">
        <v>5403431</v>
      </c>
      <c r="C199" t="s">
        <v>177</v>
      </c>
      <c r="D199" t="s">
        <v>21</v>
      </c>
      <c r="E199" t="s">
        <v>140</v>
      </c>
      <c r="K199">
        <v>127.454738222</v>
      </c>
      <c r="M199">
        <v>127.454738222</v>
      </c>
      <c r="P199" s="1" t="s">
        <v>1369</v>
      </c>
      <c r="Q199" s="1" t="s">
        <v>1370</v>
      </c>
      <c r="R199">
        <v>0.23633516600000001</v>
      </c>
      <c r="S199">
        <v>12.03</v>
      </c>
      <c r="T199" s="2">
        <v>45768</v>
      </c>
      <c r="V199" t="str">
        <f t="shared" si="12"/>
        <v>S-5403431</v>
      </c>
      <c r="W199">
        <f t="shared" si="15"/>
        <v>0</v>
      </c>
      <c r="X199" t="str">
        <f t="shared" si="13"/>
        <v/>
      </c>
      <c r="Y199">
        <f t="shared" si="14"/>
        <v>0.23633516600000001</v>
      </c>
    </row>
    <row r="200" spans="1:25" hidden="1" x14ac:dyDescent="0.4">
      <c r="A200" t="s">
        <v>20</v>
      </c>
      <c r="B200">
        <v>5403431</v>
      </c>
      <c r="C200" t="s">
        <v>177</v>
      </c>
      <c r="D200" t="s">
        <v>21</v>
      </c>
      <c r="E200" t="s">
        <v>147</v>
      </c>
      <c r="K200">
        <v>67.658642387</v>
      </c>
      <c r="M200">
        <v>67.658642387</v>
      </c>
      <c r="P200" s="1" t="s">
        <v>1735</v>
      </c>
      <c r="Q200" s="1" t="s">
        <v>1736</v>
      </c>
      <c r="R200">
        <v>0.14223925700000001</v>
      </c>
      <c r="S200">
        <v>15.75</v>
      </c>
      <c r="T200" s="2">
        <v>45768</v>
      </c>
      <c r="V200" t="str">
        <f t="shared" si="12"/>
        <v>S-5403431</v>
      </c>
      <c r="W200">
        <f t="shared" si="15"/>
        <v>0</v>
      </c>
      <c r="X200" t="str">
        <f t="shared" si="13"/>
        <v/>
      </c>
      <c r="Y200">
        <f t="shared" si="14"/>
        <v>0.14223925700000001</v>
      </c>
    </row>
    <row r="201" spans="1:25" hidden="1" x14ac:dyDescent="0.4">
      <c r="A201" t="s">
        <v>20</v>
      </c>
      <c r="B201">
        <v>5403431</v>
      </c>
      <c r="C201" t="s">
        <v>177</v>
      </c>
      <c r="D201" t="s">
        <v>21</v>
      </c>
      <c r="E201" t="s">
        <v>22</v>
      </c>
      <c r="K201">
        <v>3.014979297</v>
      </c>
      <c r="L201">
        <v>3.014979297</v>
      </c>
      <c r="M201">
        <v>0</v>
      </c>
      <c r="N201">
        <v>0</v>
      </c>
      <c r="O201">
        <v>0</v>
      </c>
      <c r="P201" s="1" t="s">
        <v>178</v>
      </c>
      <c r="Q201">
        <v>1</v>
      </c>
      <c r="R201">
        <v>0</v>
      </c>
      <c r="S201">
        <v>0</v>
      </c>
      <c r="T201" s="2">
        <v>45768</v>
      </c>
      <c r="V201" t="str">
        <f t="shared" si="12"/>
        <v>S-5403431</v>
      </c>
      <c r="W201">
        <f t="shared" si="15"/>
        <v>0</v>
      </c>
      <c r="X201" t="str">
        <f t="shared" si="13"/>
        <v/>
      </c>
      <c r="Y201">
        <f t="shared" si="14"/>
        <v>0</v>
      </c>
    </row>
    <row r="202" spans="1:25" x14ac:dyDescent="0.4">
      <c r="A202" t="s">
        <v>20</v>
      </c>
      <c r="B202">
        <v>5409922</v>
      </c>
      <c r="C202" t="s">
        <v>2213</v>
      </c>
      <c r="D202" t="s">
        <v>21</v>
      </c>
      <c r="E202" t="s">
        <v>22</v>
      </c>
      <c r="F202" t="s">
        <v>179</v>
      </c>
      <c r="H202">
        <v>1</v>
      </c>
      <c r="I202" t="s">
        <v>180</v>
      </c>
      <c r="J202" t="s">
        <v>181</v>
      </c>
      <c r="Q202">
        <v>1</v>
      </c>
      <c r="V202" t="str">
        <f t="shared" si="12"/>
        <v>S-5409922-0010-02</v>
      </c>
      <c r="W202">
        <f t="shared" si="15"/>
        <v>1</v>
      </c>
      <c r="X202" t="str">
        <f t="shared" si="13"/>
        <v>5409922-0010credit</v>
      </c>
      <c r="Y202">
        <f t="shared" si="14"/>
        <v>1</v>
      </c>
    </row>
    <row r="203" spans="1:25" x14ac:dyDescent="0.4">
      <c r="A203" t="s">
        <v>20</v>
      </c>
      <c r="B203">
        <v>5409928</v>
      </c>
      <c r="C203" t="s">
        <v>2214</v>
      </c>
      <c r="D203" t="s">
        <v>21</v>
      </c>
      <c r="E203" t="s">
        <v>22</v>
      </c>
      <c r="F203" t="s">
        <v>179</v>
      </c>
      <c r="H203">
        <v>155.26599558999999</v>
      </c>
      <c r="I203" t="s">
        <v>182</v>
      </c>
      <c r="J203" t="s">
        <v>181</v>
      </c>
      <c r="Q203">
        <v>1</v>
      </c>
      <c r="V203" t="str">
        <f t="shared" si="12"/>
        <v>S-5409928-0026-02</v>
      </c>
      <c r="W203">
        <f t="shared" si="15"/>
        <v>1</v>
      </c>
      <c r="X203" t="str">
        <f t="shared" si="13"/>
        <v>5409928-0026credit</v>
      </c>
      <c r="Y203">
        <f t="shared" si="14"/>
        <v>155.26599558999999</v>
      </c>
    </row>
    <row r="204" spans="1:25" hidden="1" x14ac:dyDescent="0.4">
      <c r="A204" t="s">
        <v>20</v>
      </c>
      <c r="B204">
        <v>5410631</v>
      </c>
      <c r="C204" t="s">
        <v>183</v>
      </c>
      <c r="D204" t="s">
        <v>21</v>
      </c>
      <c r="E204" t="s">
        <v>137</v>
      </c>
      <c r="K204">
        <v>205.476510222</v>
      </c>
      <c r="M204">
        <v>205.476510222</v>
      </c>
      <c r="P204" s="1" t="s">
        <v>640</v>
      </c>
      <c r="Q204" s="1" t="s">
        <v>641</v>
      </c>
      <c r="R204">
        <v>0.435376877</v>
      </c>
      <c r="S204">
        <v>14.38</v>
      </c>
      <c r="T204" s="2">
        <v>45769</v>
      </c>
      <c r="V204" t="str">
        <f t="shared" si="12"/>
        <v>S-5410631</v>
      </c>
      <c r="W204">
        <f t="shared" si="15"/>
        <v>0</v>
      </c>
      <c r="X204" t="str">
        <f t="shared" si="13"/>
        <v/>
      </c>
      <c r="Y204">
        <f t="shared" si="14"/>
        <v>0.435376877</v>
      </c>
    </row>
    <row r="205" spans="1:25" hidden="1" x14ac:dyDescent="0.4">
      <c r="A205" t="s">
        <v>20</v>
      </c>
      <c r="B205">
        <v>5410631</v>
      </c>
      <c r="C205" t="s">
        <v>183</v>
      </c>
      <c r="D205" t="s">
        <v>21</v>
      </c>
      <c r="E205" t="s">
        <v>156</v>
      </c>
      <c r="K205">
        <v>128.91058413299999</v>
      </c>
      <c r="M205">
        <v>128.91058413299999</v>
      </c>
      <c r="P205" s="1" t="s">
        <v>1004</v>
      </c>
      <c r="Q205" s="1" t="s">
        <v>1005</v>
      </c>
      <c r="R205">
        <v>0.36891316400000002</v>
      </c>
      <c r="S205">
        <v>18.899999999999999</v>
      </c>
      <c r="T205" s="2">
        <v>45769</v>
      </c>
      <c r="V205" t="str">
        <f t="shared" si="12"/>
        <v>S-5410631</v>
      </c>
      <c r="W205">
        <f t="shared" si="15"/>
        <v>0</v>
      </c>
      <c r="X205" t="str">
        <f t="shared" si="13"/>
        <v/>
      </c>
      <c r="Y205">
        <f t="shared" si="14"/>
        <v>0.36891316400000002</v>
      </c>
    </row>
    <row r="206" spans="1:25" hidden="1" x14ac:dyDescent="0.4">
      <c r="A206" t="s">
        <v>20</v>
      </c>
      <c r="B206">
        <v>5410631</v>
      </c>
      <c r="C206" t="s">
        <v>183</v>
      </c>
      <c r="D206" t="s">
        <v>21</v>
      </c>
      <c r="E206" t="s">
        <v>140</v>
      </c>
      <c r="K206">
        <v>127.695943316</v>
      </c>
      <c r="M206">
        <v>127.695943316</v>
      </c>
      <c r="P206" s="1" t="s">
        <v>1371</v>
      </c>
      <c r="Q206" s="1" t="s">
        <v>1372</v>
      </c>
      <c r="R206">
        <v>0.24120509400000001</v>
      </c>
      <c r="S206">
        <v>11.12</v>
      </c>
      <c r="T206" s="2">
        <v>45769</v>
      </c>
      <c r="V206" t="str">
        <f t="shared" si="12"/>
        <v>S-5410631</v>
      </c>
      <c r="W206">
        <f t="shared" si="15"/>
        <v>0</v>
      </c>
      <c r="X206" t="str">
        <f t="shared" si="13"/>
        <v/>
      </c>
      <c r="Y206">
        <f t="shared" si="14"/>
        <v>0.24120509400000001</v>
      </c>
    </row>
    <row r="207" spans="1:25" hidden="1" x14ac:dyDescent="0.4">
      <c r="A207" t="s">
        <v>20</v>
      </c>
      <c r="B207">
        <v>5410631</v>
      </c>
      <c r="C207" t="s">
        <v>183</v>
      </c>
      <c r="D207" t="s">
        <v>21</v>
      </c>
      <c r="E207" t="s">
        <v>147</v>
      </c>
      <c r="K207">
        <v>67.804896662000004</v>
      </c>
      <c r="M207">
        <v>67.804896662000004</v>
      </c>
      <c r="P207" s="1" t="s">
        <v>1737</v>
      </c>
      <c r="Q207" s="1" t="s">
        <v>1738</v>
      </c>
      <c r="R207">
        <v>0.14625427499999999</v>
      </c>
      <c r="S207">
        <v>15.61</v>
      </c>
      <c r="T207" s="2">
        <v>45769</v>
      </c>
      <c r="V207" t="str">
        <f t="shared" si="12"/>
        <v>S-5410631</v>
      </c>
      <c r="W207">
        <f t="shared" si="15"/>
        <v>0</v>
      </c>
      <c r="X207" t="str">
        <f t="shared" si="13"/>
        <v/>
      </c>
      <c r="Y207">
        <f t="shared" si="14"/>
        <v>0.14625427499999999</v>
      </c>
    </row>
    <row r="208" spans="1:25" hidden="1" x14ac:dyDescent="0.4">
      <c r="A208" t="s">
        <v>20</v>
      </c>
      <c r="B208">
        <v>5410631</v>
      </c>
      <c r="C208" t="s">
        <v>183</v>
      </c>
      <c r="D208" t="s">
        <v>21</v>
      </c>
      <c r="E208" t="s">
        <v>22</v>
      </c>
      <c r="K208">
        <v>159.28097488700001</v>
      </c>
      <c r="L208">
        <v>159.28097488700001</v>
      </c>
      <c r="M208">
        <v>0</v>
      </c>
      <c r="N208">
        <v>0</v>
      </c>
      <c r="O208">
        <v>0</v>
      </c>
      <c r="P208" s="1" t="s">
        <v>184</v>
      </c>
      <c r="Q208">
        <v>1</v>
      </c>
      <c r="R208">
        <v>0</v>
      </c>
      <c r="S208">
        <v>0</v>
      </c>
      <c r="T208" s="2">
        <v>45769</v>
      </c>
      <c r="V208" t="str">
        <f t="shared" si="12"/>
        <v>S-5410631</v>
      </c>
      <c r="W208">
        <f t="shared" si="15"/>
        <v>0</v>
      </c>
      <c r="X208" t="str">
        <f t="shared" si="13"/>
        <v/>
      </c>
      <c r="Y208">
        <f t="shared" si="14"/>
        <v>0</v>
      </c>
    </row>
    <row r="209" spans="1:25" hidden="1" x14ac:dyDescent="0.4">
      <c r="A209" t="s">
        <v>20</v>
      </c>
      <c r="B209">
        <v>5417831</v>
      </c>
      <c r="C209" t="s">
        <v>185</v>
      </c>
      <c r="D209" t="s">
        <v>21</v>
      </c>
      <c r="E209" t="s">
        <v>137</v>
      </c>
      <c r="K209">
        <v>205.91590019099999</v>
      </c>
      <c r="M209">
        <v>205.91590019099999</v>
      </c>
      <c r="P209" s="1" t="s">
        <v>642</v>
      </c>
      <c r="Q209" s="1" t="s">
        <v>643</v>
      </c>
      <c r="R209">
        <v>0.43938996899999999</v>
      </c>
      <c r="S209">
        <v>14.53</v>
      </c>
      <c r="T209" s="2">
        <v>45770</v>
      </c>
      <c r="V209" t="str">
        <f t="shared" si="12"/>
        <v>S-5417831</v>
      </c>
      <c r="W209">
        <f t="shared" si="15"/>
        <v>0</v>
      </c>
      <c r="X209" t="str">
        <f t="shared" si="13"/>
        <v/>
      </c>
      <c r="Y209">
        <f t="shared" si="14"/>
        <v>0.43938996899999999</v>
      </c>
    </row>
    <row r="210" spans="1:25" hidden="1" x14ac:dyDescent="0.4">
      <c r="A210" t="s">
        <v>20</v>
      </c>
      <c r="B210">
        <v>5417831</v>
      </c>
      <c r="C210" t="s">
        <v>185</v>
      </c>
      <c r="D210" t="s">
        <v>21</v>
      </c>
      <c r="E210" t="s">
        <v>156</v>
      </c>
      <c r="K210">
        <v>129.279820309</v>
      </c>
      <c r="M210">
        <v>129.279820309</v>
      </c>
      <c r="P210" s="1" t="s">
        <v>1006</v>
      </c>
      <c r="Q210" s="1" t="s">
        <v>1007</v>
      </c>
      <c r="R210">
        <v>0.36923617600000003</v>
      </c>
      <c r="S210">
        <v>19.079999999999998</v>
      </c>
      <c r="T210" s="2">
        <v>45770</v>
      </c>
      <c r="V210" t="str">
        <f t="shared" si="12"/>
        <v>S-5417831</v>
      </c>
      <c r="W210">
        <f t="shared" si="15"/>
        <v>0</v>
      </c>
      <c r="X210" t="str">
        <f t="shared" si="13"/>
        <v/>
      </c>
      <c r="Y210">
        <f t="shared" si="14"/>
        <v>0.36923617600000003</v>
      </c>
    </row>
    <row r="211" spans="1:25" hidden="1" x14ac:dyDescent="0.4">
      <c r="A211" t="s">
        <v>20</v>
      </c>
      <c r="B211">
        <v>5417831</v>
      </c>
      <c r="C211" t="s">
        <v>185</v>
      </c>
      <c r="D211" t="s">
        <v>21</v>
      </c>
      <c r="E211" t="s">
        <v>140</v>
      </c>
      <c r="K211">
        <v>127.937070823</v>
      </c>
      <c r="M211">
        <v>127.937070823</v>
      </c>
      <c r="P211" s="1" t="s">
        <v>1373</v>
      </c>
      <c r="Q211" s="1" t="s">
        <v>1374</v>
      </c>
      <c r="R211">
        <v>0.24112750699999999</v>
      </c>
      <c r="S211">
        <v>12.88</v>
      </c>
      <c r="T211" s="2">
        <v>45770</v>
      </c>
      <c r="V211" t="str">
        <f t="shared" si="12"/>
        <v>S-5417831</v>
      </c>
      <c r="W211">
        <f t="shared" si="15"/>
        <v>0</v>
      </c>
      <c r="X211" t="str">
        <f t="shared" si="13"/>
        <v/>
      </c>
      <c r="Y211">
        <f t="shared" si="14"/>
        <v>0.24112750699999999</v>
      </c>
    </row>
    <row r="212" spans="1:25" hidden="1" x14ac:dyDescent="0.4">
      <c r="A212" t="s">
        <v>20</v>
      </c>
      <c r="B212">
        <v>5417831</v>
      </c>
      <c r="C212" t="s">
        <v>185</v>
      </c>
      <c r="D212" t="s">
        <v>21</v>
      </c>
      <c r="E212" t="s">
        <v>147</v>
      </c>
      <c r="K212">
        <v>67.950960011000006</v>
      </c>
      <c r="M212">
        <v>67.950960011000006</v>
      </c>
      <c r="P212" s="1" t="s">
        <v>1739</v>
      </c>
      <c r="Q212" s="1" t="s">
        <v>1740</v>
      </c>
      <c r="R212">
        <v>0.14606334900000001</v>
      </c>
      <c r="S212">
        <v>15.87</v>
      </c>
      <c r="T212" s="2">
        <v>45770</v>
      </c>
      <c r="V212" t="str">
        <f t="shared" si="12"/>
        <v>S-5417831</v>
      </c>
      <c r="W212">
        <f t="shared" si="15"/>
        <v>0</v>
      </c>
      <c r="X212" t="str">
        <f t="shared" si="13"/>
        <v/>
      </c>
      <c r="Y212">
        <f t="shared" si="14"/>
        <v>0.14606334900000001</v>
      </c>
    </row>
    <row r="213" spans="1:25" hidden="1" x14ac:dyDescent="0.4">
      <c r="A213" t="s">
        <v>20</v>
      </c>
      <c r="B213">
        <v>5417831</v>
      </c>
      <c r="C213" t="s">
        <v>185</v>
      </c>
      <c r="D213" t="s">
        <v>21</v>
      </c>
      <c r="E213" t="s">
        <v>22</v>
      </c>
      <c r="K213">
        <v>159.28097488700001</v>
      </c>
      <c r="L213">
        <v>159.28097488700001</v>
      </c>
      <c r="M213">
        <v>0</v>
      </c>
      <c r="N213">
        <v>0</v>
      </c>
      <c r="O213">
        <v>0</v>
      </c>
      <c r="P213" s="1" t="s">
        <v>186</v>
      </c>
      <c r="Q213">
        <v>1</v>
      </c>
      <c r="R213">
        <v>0</v>
      </c>
      <c r="S213">
        <v>0</v>
      </c>
      <c r="T213" s="2">
        <v>45770</v>
      </c>
      <c r="V213" t="str">
        <f t="shared" si="12"/>
        <v>S-5417831</v>
      </c>
      <c r="W213">
        <f t="shared" si="15"/>
        <v>0</v>
      </c>
      <c r="X213" t="str">
        <f t="shared" si="13"/>
        <v/>
      </c>
      <c r="Y213">
        <f t="shared" si="14"/>
        <v>0</v>
      </c>
    </row>
    <row r="214" spans="1:25" hidden="1" x14ac:dyDescent="0.4">
      <c r="A214" t="s">
        <v>20</v>
      </c>
      <c r="B214">
        <v>5425031</v>
      </c>
      <c r="C214" t="s">
        <v>187</v>
      </c>
      <c r="D214" t="s">
        <v>21</v>
      </c>
      <c r="E214" t="s">
        <v>137</v>
      </c>
      <c r="K214">
        <v>206.36197528599999</v>
      </c>
      <c r="M214">
        <v>206.36197528599999</v>
      </c>
      <c r="P214" s="1" t="s">
        <v>644</v>
      </c>
      <c r="Q214" s="1" t="s">
        <v>645</v>
      </c>
      <c r="R214">
        <v>0.44607509499999998</v>
      </c>
      <c r="S214">
        <v>15.72</v>
      </c>
      <c r="T214" s="2">
        <v>45771</v>
      </c>
      <c r="V214" t="str">
        <f t="shared" si="12"/>
        <v>S-5425031</v>
      </c>
      <c r="W214">
        <f t="shared" si="15"/>
        <v>0</v>
      </c>
      <c r="X214" t="str">
        <f t="shared" si="13"/>
        <v/>
      </c>
      <c r="Y214">
        <f t="shared" si="14"/>
        <v>0.44607509499999998</v>
      </c>
    </row>
    <row r="215" spans="1:25" hidden="1" x14ac:dyDescent="0.4">
      <c r="A215" t="s">
        <v>20</v>
      </c>
      <c r="B215">
        <v>5425031</v>
      </c>
      <c r="C215" t="s">
        <v>187</v>
      </c>
      <c r="D215" t="s">
        <v>21</v>
      </c>
      <c r="E215" t="s">
        <v>156</v>
      </c>
      <c r="K215">
        <v>129.644160435</v>
      </c>
      <c r="M215">
        <v>129.644160435</v>
      </c>
      <c r="P215" s="1" t="s">
        <v>1008</v>
      </c>
      <c r="Q215" s="1" t="s">
        <v>1009</v>
      </c>
      <c r="R215">
        <v>0.36434012599999999</v>
      </c>
      <c r="S215">
        <v>19.66</v>
      </c>
      <c r="T215" s="2">
        <v>45771</v>
      </c>
      <c r="V215" t="str">
        <f t="shared" si="12"/>
        <v>S-5425031</v>
      </c>
      <c r="W215">
        <f t="shared" si="15"/>
        <v>0</v>
      </c>
      <c r="X215" t="str">
        <f t="shared" si="13"/>
        <v/>
      </c>
      <c r="Y215">
        <f t="shared" si="14"/>
        <v>0.36434012599999999</v>
      </c>
    </row>
    <row r="216" spans="1:25" hidden="1" x14ac:dyDescent="0.4">
      <c r="A216" t="s">
        <v>20</v>
      </c>
      <c r="B216">
        <v>5425031</v>
      </c>
      <c r="C216" t="s">
        <v>187</v>
      </c>
      <c r="D216" t="s">
        <v>21</v>
      </c>
      <c r="E216" t="s">
        <v>140</v>
      </c>
      <c r="K216">
        <v>128.16224061599999</v>
      </c>
      <c r="M216">
        <v>128.16224061599999</v>
      </c>
      <c r="P216" s="1" t="s">
        <v>1375</v>
      </c>
      <c r="Q216" s="1" t="s">
        <v>1376</v>
      </c>
      <c r="R216">
        <v>0.22516979300000001</v>
      </c>
      <c r="S216">
        <v>12.42</v>
      </c>
      <c r="T216" s="2">
        <v>45771</v>
      </c>
      <c r="V216" t="str">
        <f t="shared" si="12"/>
        <v>S-5425031</v>
      </c>
      <c r="W216">
        <f t="shared" si="15"/>
        <v>0</v>
      </c>
      <c r="X216" t="str">
        <f t="shared" si="13"/>
        <v/>
      </c>
      <c r="Y216">
        <f t="shared" si="14"/>
        <v>0.22516979300000001</v>
      </c>
    </row>
    <row r="217" spans="1:25" hidden="1" x14ac:dyDescent="0.4">
      <c r="A217" t="s">
        <v>20</v>
      </c>
      <c r="B217">
        <v>5425031</v>
      </c>
      <c r="C217" t="s">
        <v>187</v>
      </c>
      <c r="D217" t="s">
        <v>21</v>
      </c>
      <c r="E217" t="s">
        <v>147</v>
      </c>
      <c r="K217">
        <v>68.089026044999997</v>
      </c>
      <c r="M217">
        <v>68.089026044999997</v>
      </c>
      <c r="P217" s="1" t="s">
        <v>1741</v>
      </c>
      <c r="Q217" s="1" t="s">
        <v>1742</v>
      </c>
      <c r="R217">
        <v>0.138066034</v>
      </c>
      <c r="S217">
        <v>15.94</v>
      </c>
      <c r="T217" s="2">
        <v>45771</v>
      </c>
      <c r="V217" t="str">
        <f t="shared" si="12"/>
        <v>S-5425031</v>
      </c>
      <c r="W217">
        <f t="shared" si="15"/>
        <v>0</v>
      </c>
      <c r="X217" t="str">
        <f t="shared" si="13"/>
        <v/>
      </c>
      <c r="Y217">
        <f t="shared" si="14"/>
        <v>0.138066034</v>
      </c>
    </row>
    <row r="218" spans="1:25" hidden="1" x14ac:dyDescent="0.4">
      <c r="A218" t="s">
        <v>20</v>
      </c>
      <c r="B218">
        <v>5425031</v>
      </c>
      <c r="C218" t="s">
        <v>187</v>
      </c>
      <c r="D218" t="s">
        <v>21</v>
      </c>
      <c r="E218" t="s">
        <v>22</v>
      </c>
      <c r="K218">
        <v>159.28097488700001</v>
      </c>
      <c r="L218">
        <v>159.28097488700001</v>
      </c>
      <c r="M218">
        <v>0</v>
      </c>
      <c r="N218">
        <v>0</v>
      </c>
      <c r="O218">
        <v>0</v>
      </c>
      <c r="P218" s="1" t="s">
        <v>188</v>
      </c>
      <c r="Q218">
        <v>1</v>
      </c>
      <c r="R218">
        <v>0</v>
      </c>
      <c r="S218">
        <v>0</v>
      </c>
      <c r="T218" s="2">
        <v>45771</v>
      </c>
      <c r="V218" t="str">
        <f t="shared" si="12"/>
        <v>S-5425031</v>
      </c>
      <c r="W218">
        <f t="shared" si="15"/>
        <v>0</v>
      </c>
      <c r="X218" t="str">
        <f t="shared" si="13"/>
        <v/>
      </c>
      <c r="Y218">
        <f t="shared" si="14"/>
        <v>0</v>
      </c>
    </row>
    <row r="219" spans="1:25" hidden="1" x14ac:dyDescent="0.4">
      <c r="A219" t="s">
        <v>20</v>
      </c>
      <c r="B219">
        <v>5432231</v>
      </c>
      <c r="C219" t="s">
        <v>189</v>
      </c>
      <c r="D219" t="s">
        <v>21</v>
      </c>
      <c r="E219" t="s">
        <v>137</v>
      </c>
      <c r="K219">
        <v>206.80757901699999</v>
      </c>
      <c r="M219">
        <v>206.80757901699999</v>
      </c>
      <c r="P219" s="1" t="s">
        <v>646</v>
      </c>
      <c r="Q219" s="1" t="s">
        <v>647</v>
      </c>
      <c r="R219">
        <v>0.445603731</v>
      </c>
      <c r="S219">
        <v>16.96</v>
      </c>
      <c r="T219" s="2">
        <v>45772</v>
      </c>
      <c r="V219" t="str">
        <f t="shared" si="12"/>
        <v>S-5432231</v>
      </c>
      <c r="W219">
        <f t="shared" si="15"/>
        <v>0</v>
      </c>
      <c r="X219" t="str">
        <f t="shared" si="13"/>
        <v/>
      </c>
      <c r="Y219">
        <f t="shared" si="14"/>
        <v>0.445603731</v>
      </c>
    </row>
    <row r="220" spans="1:25" hidden="1" x14ac:dyDescent="0.4">
      <c r="A220" t="s">
        <v>20</v>
      </c>
      <c r="B220">
        <v>5432231</v>
      </c>
      <c r="C220" t="s">
        <v>189</v>
      </c>
      <c r="D220" t="s">
        <v>21</v>
      </c>
      <c r="E220" t="s">
        <v>156</v>
      </c>
      <c r="K220">
        <v>129.99737382999999</v>
      </c>
      <c r="M220">
        <v>129.99737382999999</v>
      </c>
      <c r="P220" s="1" t="s">
        <v>1010</v>
      </c>
      <c r="Q220" s="1" t="s">
        <v>1011</v>
      </c>
      <c r="R220">
        <v>0.35321339499999999</v>
      </c>
      <c r="S220">
        <v>18.77</v>
      </c>
      <c r="T220" s="2">
        <v>45772</v>
      </c>
      <c r="V220" t="str">
        <f t="shared" si="12"/>
        <v>S-5432231</v>
      </c>
      <c r="W220">
        <f t="shared" si="15"/>
        <v>0</v>
      </c>
      <c r="X220" t="str">
        <f t="shared" si="13"/>
        <v/>
      </c>
      <c r="Y220">
        <f t="shared" si="14"/>
        <v>0.35321339499999999</v>
      </c>
    </row>
    <row r="221" spans="1:25" hidden="1" x14ac:dyDescent="0.4">
      <c r="A221" t="s">
        <v>20</v>
      </c>
      <c r="B221">
        <v>5432231</v>
      </c>
      <c r="C221" t="s">
        <v>189</v>
      </c>
      <c r="D221" t="s">
        <v>21</v>
      </c>
      <c r="E221" t="s">
        <v>140</v>
      </c>
      <c r="K221">
        <v>128.40686488899999</v>
      </c>
      <c r="M221">
        <v>128.40686488899999</v>
      </c>
      <c r="P221" s="1" t="s">
        <v>1377</v>
      </c>
      <c r="Q221" s="1" t="s">
        <v>1378</v>
      </c>
      <c r="R221">
        <v>0.244624273</v>
      </c>
      <c r="S221">
        <v>14.13</v>
      </c>
      <c r="T221" s="2">
        <v>45772</v>
      </c>
      <c r="V221" t="str">
        <f t="shared" si="12"/>
        <v>S-5432231</v>
      </c>
      <c r="W221">
        <f t="shared" si="15"/>
        <v>0</v>
      </c>
      <c r="X221" t="str">
        <f t="shared" si="13"/>
        <v/>
      </c>
      <c r="Y221">
        <f t="shared" si="14"/>
        <v>0.244624273</v>
      </c>
    </row>
    <row r="222" spans="1:25" hidden="1" x14ac:dyDescent="0.4">
      <c r="A222" t="s">
        <v>20</v>
      </c>
      <c r="B222">
        <v>5432231</v>
      </c>
      <c r="C222" t="s">
        <v>189</v>
      </c>
      <c r="D222" t="s">
        <v>21</v>
      </c>
      <c r="E222" t="s">
        <v>147</v>
      </c>
      <c r="K222">
        <v>68.237285201999995</v>
      </c>
      <c r="M222">
        <v>68.237285201999995</v>
      </c>
      <c r="P222" s="1" t="s">
        <v>1743</v>
      </c>
      <c r="Q222" s="1" t="s">
        <v>1744</v>
      </c>
      <c r="R222">
        <v>0.148259157</v>
      </c>
      <c r="S222">
        <v>17.68</v>
      </c>
      <c r="T222" s="2">
        <v>45772</v>
      </c>
      <c r="V222" t="str">
        <f t="shared" si="12"/>
        <v>S-5432231</v>
      </c>
      <c r="W222">
        <f t="shared" si="15"/>
        <v>0</v>
      </c>
      <c r="X222" t="str">
        <f t="shared" si="13"/>
        <v/>
      </c>
      <c r="Y222">
        <f t="shared" si="14"/>
        <v>0.148259157</v>
      </c>
    </row>
    <row r="223" spans="1:25" hidden="1" x14ac:dyDescent="0.4">
      <c r="A223" t="s">
        <v>20</v>
      </c>
      <c r="B223">
        <v>5432231</v>
      </c>
      <c r="C223" t="s">
        <v>189</v>
      </c>
      <c r="D223" t="s">
        <v>21</v>
      </c>
      <c r="E223" t="s">
        <v>22</v>
      </c>
      <c r="K223">
        <v>159.28097488700001</v>
      </c>
      <c r="L223">
        <v>159.28097488700001</v>
      </c>
      <c r="M223">
        <v>0</v>
      </c>
      <c r="N223">
        <v>0</v>
      </c>
      <c r="O223">
        <v>0</v>
      </c>
      <c r="P223" s="1" t="s">
        <v>190</v>
      </c>
      <c r="Q223">
        <v>1</v>
      </c>
      <c r="R223">
        <v>0</v>
      </c>
      <c r="S223">
        <v>0</v>
      </c>
      <c r="T223" s="2">
        <v>45772</v>
      </c>
      <c r="V223" t="str">
        <f t="shared" si="12"/>
        <v>S-5432231</v>
      </c>
      <c r="W223">
        <f t="shared" si="15"/>
        <v>0</v>
      </c>
      <c r="X223" t="str">
        <f t="shared" si="13"/>
        <v/>
      </c>
      <c r="Y223">
        <f t="shared" si="14"/>
        <v>0</v>
      </c>
    </row>
    <row r="224" spans="1:25" hidden="1" x14ac:dyDescent="0.4">
      <c r="A224" t="s">
        <v>20</v>
      </c>
      <c r="B224">
        <v>5439431</v>
      </c>
      <c r="C224" t="s">
        <v>191</v>
      </c>
      <c r="D224" t="s">
        <v>21</v>
      </c>
      <c r="E224" t="s">
        <v>137</v>
      </c>
      <c r="K224">
        <v>207.24158703200001</v>
      </c>
      <c r="M224">
        <v>207.24158703200001</v>
      </c>
      <c r="P224" s="1" t="s">
        <v>648</v>
      </c>
      <c r="Q224" s="1" t="s">
        <v>649</v>
      </c>
      <c r="R224">
        <v>0.43400801500000002</v>
      </c>
      <c r="S224">
        <v>15.74</v>
      </c>
      <c r="T224" s="2">
        <v>45773</v>
      </c>
      <c r="V224" t="str">
        <f t="shared" si="12"/>
        <v>S-5439431</v>
      </c>
      <c r="W224">
        <f t="shared" si="15"/>
        <v>0</v>
      </c>
      <c r="X224" t="str">
        <f t="shared" si="13"/>
        <v/>
      </c>
      <c r="Y224">
        <f t="shared" si="14"/>
        <v>0.43400801500000002</v>
      </c>
    </row>
    <row r="225" spans="1:25" hidden="1" x14ac:dyDescent="0.4">
      <c r="A225" t="s">
        <v>20</v>
      </c>
      <c r="B225">
        <v>5439431</v>
      </c>
      <c r="C225" t="s">
        <v>191</v>
      </c>
      <c r="D225" t="s">
        <v>21</v>
      </c>
      <c r="E225" t="s">
        <v>156</v>
      </c>
      <c r="K225">
        <v>130.369381328</v>
      </c>
      <c r="M225">
        <v>130.369381328</v>
      </c>
      <c r="P225" s="1" t="s">
        <v>1012</v>
      </c>
      <c r="Q225" s="1" t="s">
        <v>1013</v>
      </c>
      <c r="R225">
        <v>0.37200749799999999</v>
      </c>
      <c r="S225">
        <v>19.21</v>
      </c>
      <c r="T225" s="2">
        <v>45773</v>
      </c>
      <c r="V225" t="str">
        <f t="shared" si="12"/>
        <v>S-5439431</v>
      </c>
      <c r="W225">
        <f t="shared" si="15"/>
        <v>0</v>
      </c>
      <c r="X225" t="str">
        <f t="shared" si="13"/>
        <v/>
      </c>
      <c r="Y225">
        <f t="shared" si="14"/>
        <v>0.37200749799999999</v>
      </c>
    </row>
    <row r="226" spans="1:25" hidden="1" x14ac:dyDescent="0.4">
      <c r="A226" t="s">
        <v>20</v>
      </c>
      <c r="B226">
        <v>5439431</v>
      </c>
      <c r="C226" t="s">
        <v>191</v>
      </c>
      <c r="D226" t="s">
        <v>21</v>
      </c>
      <c r="E226" t="s">
        <v>140</v>
      </c>
      <c r="K226">
        <v>128.65487922899999</v>
      </c>
      <c r="M226">
        <v>128.65487922899999</v>
      </c>
      <c r="P226" s="1" t="s">
        <v>1379</v>
      </c>
      <c r="Q226" s="1" t="s">
        <v>1380</v>
      </c>
      <c r="R226">
        <v>0.24801434</v>
      </c>
      <c r="S226">
        <v>13.17</v>
      </c>
      <c r="T226" s="2">
        <v>45773</v>
      </c>
      <c r="V226" t="str">
        <f t="shared" si="12"/>
        <v>S-5439431</v>
      </c>
      <c r="W226">
        <f t="shared" si="15"/>
        <v>0</v>
      </c>
      <c r="X226" t="str">
        <f t="shared" si="13"/>
        <v/>
      </c>
      <c r="Y226">
        <f t="shared" si="14"/>
        <v>0.24801434</v>
      </c>
    </row>
    <row r="227" spans="1:25" hidden="1" x14ac:dyDescent="0.4">
      <c r="A227" t="s">
        <v>20</v>
      </c>
      <c r="B227">
        <v>5439431</v>
      </c>
      <c r="C227" t="s">
        <v>191</v>
      </c>
      <c r="D227" t="s">
        <v>21</v>
      </c>
      <c r="E227" t="s">
        <v>147</v>
      </c>
      <c r="K227">
        <v>68.382213145999998</v>
      </c>
      <c r="M227">
        <v>68.382213145999998</v>
      </c>
      <c r="P227" s="1" t="s">
        <v>1745</v>
      </c>
      <c r="Q227" s="1" t="s">
        <v>1746</v>
      </c>
      <c r="R227">
        <v>0.144927944</v>
      </c>
      <c r="S227">
        <v>16.29</v>
      </c>
      <c r="T227" s="2">
        <v>45773</v>
      </c>
      <c r="V227" t="str">
        <f t="shared" si="12"/>
        <v>S-5439431</v>
      </c>
      <c r="W227">
        <f t="shared" si="15"/>
        <v>0</v>
      </c>
      <c r="X227" t="str">
        <f t="shared" si="13"/>
        <v/>
      </c>
      <c r="Y227">
        <f t="shared" si="14"/>
        <v>0.144927944</v>
      </c>
    </row>
    <row r="228" spans="1:25" hidden="1" x14ac:dyDescent="0.4">
      <c r="A228" t="s">
        <v>20</v>
      </c>
      <c r="B228">
        <v>5439431</v>
      </c>
      <c r="C228" t="s">
        <v>191</v>
      </c>
      <c r="D228" t="s">
        <v>21</v>
      </c>
      <c r="E228" t="s">
        <v>22</v>
      </c>
      <c r="K228">
        <v>159.28097488700001</v>
      </c>
      <c r="L228">
        <v>159.28097488700001</v>
      </c>
      <c r="M228">
        <v>0</v>
      </c>
      <c r="N228">
        <v>0</v>
      </c>
      <c r="O228">
        <v>0</v>
      </c>
      <c r="P228" s="1" t="s">
        <v>192</v>
      </c>
      <c r="Q228">
        <v>1</v>
      </c>
      <c r="R228">
        <v>0</v>
      </c>
      <c r="S228">
        <v>0</v>
      </c>
      <c r="T228" s="2">
        <v>45773</v>
      </c>
      <c r="V228" t="str">
        <f t="shared" si="12"/>
        <v>S-5439431</v>
      </c>
      <c r="W228">
        <f t="shared" si="15"/>
        <v>0</v>
      </c>
      <c r="X228" t="str">
        <f t="shared" si="13"/>
        <v/>
      </c>
      <c r="Y228">
        <f t="shared" si="14"/>
        <v>0</v>
      </c>
    </row>
    <row r="229" spans="1:25" hidden="1" x14ac:dyDescent="0.4">
      <c r="A229" t="s">
        <v>20</v>
      </c>
      <c r="B229">
        <v>5446631</v>
      </c>
      <c r="C229" t="s">
        <v>193</v>
      </c>
      <c r="D229" t="s">
        <v>21</v>
      </c>
      <c r="E229" t="s">
        <v>137</v>
      </c>
      <c r="K229">
        <v>207.66548794600001</v>
      </c>
      <c r="M229">
        <v>207.66548794600001</v>
      </c>
      <c r="P229" s="1" t="s">
        <v>650</v>
      </c>
      <c r="Q229" s="1" t="s">
        <v>651</v>
      </c>
      <c r="R229">
        <v>0.42390091400000002</v>
      </c>
      <c r="S229">
        <v>15.87</v>
      </c>
      <c r="T229" s="2">
        <v>45774</v>
      </c>
      <c r="V229" t="str">
        <f t="shared" si="12"/>
        <v>S-5446631</v>
      </c>
      <c r="W229">
        <f t="shared" si="15"/>
        <v>0</v>
      </c>
      <c r="X229" t="str">
        <f t="shared" si="13"/>
        <v/>
      </c>
      <c r="Y229">
        <f t="shared" si="14"/>
        <v>0.42390091400000002</v>
      </c>
    </row>
    <row r="230" spans="1:25" hidden="1" x14ac:dyDescent="0.4">
      <c r="A230" t="s">
        <v>20</v>
      </c>
      <c r="B230">
        <v>5446631</v>
      </c>
      <c r="C230" t="s">
        <v>193</v>
      </c>
      <c r="D230" t="s">
        <v>21</v>
      </c>
      <c r="E230" t="s">
        <v>156</v>
      </c>
      <c r="K230">
        <v>130.74459592400001</v>
      </c>
      <c r="M230">
        <v>130.74459592400001</v>
      </c>
      <c r="P230" s="1" t="s">
        <v>1014</v>
      </c>
      <c r="Q230" s="1" t="s">
        <v>1015</v>
      </c>
      <c r="R230">
        <v>0.37521459600000001</v>
      </c>
      <c r="S230">
        <v>20.059999999999999</v>
      </c>
      <c r="T230" s="2">
        <v>45774</v>
      </c>
      <c r="V230" t="str">
        <f t="shared" si="12"/>
        <v>S-5446631</v>
      </c>
      <c r="W230">
        <f t="shared" si="15"/>
        <v>0</v>
      </c>
      <c r="X230" t="str">
        <f t="shared" si="13"/>
        <v/>
      </c>
      <c r="Y230">
        <f t="shared" si="14"/>
        <v>0.37521459600000001</v>
      </c>
    </row>
    <row r="231" spans="1:25" hidden="1" x14ac:dyDescent="0.4">
      <c r="A231" t="s">
        <v>20</v>
      </c>
      <c r="B231">
        <v>5446631</v>
      </c>
      <c r="C231" t="s">
        <v>193</v>
      </c>
      <c r="D231" t="s">
        <v>21</v>
      </c>
      <c r="E231" t="s">
        <v>140</v>
      </c>
      <c r="K231">
        <v>128.901899977</v>
      </c>
      <c r="M231">
        <v>128.901899977</v>
      </c>
      <c r="P231" s="1" t="s">
        <v>1381</v>
      </c>
      <c r="Q231" s="1" t="s">
        <v>1382</v>
      </c>
      <c r="R231">
        <v>0.24702074800000001</v>
      </c>
      <c r="S231">
        <v>12.44</v>
      </c>
      <c r="T231" s="2">
        <v>45774</v>
      </c>
      <c r="V231" t="str">
        <f t="shared" si="12"/>
        <v>S-5446631</v>
      </c>
      <c r="W231">
        <f t="shared" si="15"/>
        <v>0</v>
      </c>
      <c r="X231" t="str">
        <f t="shared" si="13"/>
        <v/>
      </c>
      <c r="Y231">
        <f t="shared" si="14"/>
        <v>0.24702074800000001</v>
      </c>
    </row>
    <row r="232" spans="1:25" hidden="1" x14ac:dyDescent="0.4">
      <c r="A232" t="s">
        <v>20</v>
      </c>
      <c r="B232">
        <v>5446631</v>
      </c>
      <c r="C232" t="s">
        <v>193</v>
      </c>
      <c r="D232" t="s">
        <v>21</v>
      </c>
      <c r="E232" t="s">
        <v>147</v>
      </c>
      <c r="K232">
        <v>68.524709306999995</v>
      </c>
      <c r="M232">
        <v>68.524709306999995</v>
      </c>
      <c r="P232" s="1" t="s">
        <v>1747</v>
      </c>
      <c r="Q232" s="1" t="s">
        <v>1748</v>
      </c>
      <c r="R232">
        <v>0.14249616100000001</v>
      </c>
      <c r="S232">
        <v>16.09</v>
      </c>
      <c r="T232" s="2">
        <v>45774</v>
      </c>
      <c r="V232" t="str">
        <f t="shared" si="12"/>
        <v>S-5446631</v>
      </c>
      <c r="W232">
        <f t="shared" si="15"/>
        <v>0</v>
      </c>
      <c r="X232" t="str">
        <f t="shared" si="13"/>
        <v/>
      </c>
      <c r="Y232">
        <f t="shared" si="14"/>
        <v>0.14249616100000001</v>
      </c>
    </row>
    <row r="233" spans="1:25" hidden="1" x14ac:dyDescent="0.4">
      <c r="A233" t="s">
        <v>20</v>
      </c>
      <c r="B233">
        <v>5446631</v>
      </c>
      <c r="C233" t="s">
        <v>193</v>
      </c>
      <c r="D233" t="s">
        <v>21</v>
      </c>
      <c r="E233" t="s">
        <v>22</v>
      </c>
      <c r="K233">
        <v>159.28097488700001</v>
      </c>
      <c r="L233">
        <v>159.28097488700001</v>
      </c>
      <c r="M233">
        <v>0</v>
      </c>
      <c r="N233">
        <v>0</v>
      </c>
      <c r="O233">
        <v>0</v>
      </c>
      <c r="P233" s="1" t="s">
        <v>194</v>
      </c>
      <c r="Q233">
        <v>1</v>
      </c>
      <c r="R233">
        <v>0</v>
      </c>
      <c r="S233">
        <v>0</v>
      </c>
      <c r="T233" s="2">
        <v>45774</v>
      </c>
      <c r="V233" t="str">
        <f t="shared" si="12"/>
        <v>S-5446631</v>
      </c>
      <c r="W233">
        <f t="shared" si="15"/>
        <v>0</v>
      </c>
      <c r="X233" t="str">
        <f t="shared" si="13"/>
        <v/>
      </c>
      <c r="Y233">
        <f t="shared" si="14"/>
        <v>0</v>
      </c>
    </row>
    <row r="234" spans="1:25" hidden="1" x14ac:dyDescent="0.4">
      <c r="A234" t="s">
        <v>20</v>
      </c>
      <c r="B234">
        <v>5453831</v>
      </c>
      <c r="C234" t="s">
        <v>195</v>
      </c>
      <c r="D234" t="s">
        <v>21</v>
      </c>
      <c r="E234" t="s">
        <v>137</v>
      </c>
      <c r="K234">
        <v>208.095324076</v>
      </c>
      <c r="M234">
        <v>208.095324076</v>
      </c>
      <c r="P234" s="1" t="s">
        <v>652</v>
      </c>
      <c r="Q234" s="1" t="s">
        <v>653</v>
      </c>
      <c r="R234">
        <v>0.42983612999999998</v>
      </c>
      <c r="S234">
        <v>15.92</v>
      </c>
      <c r="T234" s="2">
        <v>45775</v>
      </c>
      <c r="V234" t="str">
        <f t="shared" si="12"/>
        <v>S-5453831</v>
      </c>
      <c r="W234">
        <f t="shared" si="15"/>
        <v>0</v>
      </c>
      <c r="X234" t="str">
        <f t="shared" si="13"/>
        <v/>
      </c>
      <c r="Y234">
        <f t="shared" si="14"/>
        <v>0.42983612999999998</v>
      </c>
    </row>
    <row r="235" spans="1:25" hidden="1" x14ac:dyDescent="0.4">
      <c r="A235" t="s">
        <v>20</v>
      </c>
      <c r="B235">
        <v>5453831</v>
      </c>
      <c r="C235" t="s">
        <v>195</v>
      </c>
      <c r="D235" t="s">
        <v>21</v>
      </c>
      <c r="E235" t="s">
        <v>156</v>
      </c>
      <c r="K235">
        <v>131.12163919700001</v>
      </c>
      <c r="M235">
        <v>131.12163919700001</v>
      </c>
      <c r="P235" s="1" t="s">
        <v>1016</v>
      </c>
      <c r="Q235" s="1" t="s">
        <v>1017</v>
      </c>
      <c r="R235">
        <v>0.37704327300000001</v>
      </c>
      <c r="S235">
        <v>19.940000000000001</v>
      </c>
      <c r="T235" s="2">
        <v>45775</v>
      </c>
      <c r="V235" t="str">
        <f t="shared" si="12"/>
        <v>S-5453831</v>
      </c>
      <c r="W235">
        <f t="shared" si="15"/>
        <v>0</v>
      </c>
      <c r="X235" t="str">
        <f t="shared" si="13"/>
        <v/>
      </c>
      <c r="Y235">
        <f t="shared" si="14"/>
        <v>0.37704327300000001</v>
      </c>
    </row>
    <row r="236" spans="1:25" hidden="1" x14ac:dyDescent="0.4">
      <c r="A236" t="s">
        <v>20</v>
      </c>
      <c r="B236">
        <v>5453831</v>
      </c>
      <c r="C236" t="s">
        <v>195</v>
      </c>
      <c r="D236" t="s">
        <v>21</v>
      </c>
      <c r="E236" t="s">
        <v>140</v>
      </c>
      <c r="K236">
        <v>129.15044616</v>
      </c>
      <c r="M236">
        <v>129.15044616</v>
      </c>
      <c r="P236" s="1" t="s">
        <v>1383</v>
      </c>
      <c r="Q236" s="1" t="s">
        <v>1384</v>
      </c>
      <c r="R236">
        <v>0.248546183</v>
      </c>
      <c r="S236">
        <v>11.93</v>
      </c>
      <c r="T236" s="2">
        <v>45775</v>
      </c>
      <c r="V236" t="str">
        <f t="shared" si="12"/>
        <v>S-5453831</v>
      </c>
      <c r="W236">
        <f t="shared" si="15"/>
        <v>0</v>
      </c>
      <c r="X236" t="str">
        <f t="shared" si="13"/>
        <v/>
      </c>
      <c r="Y236">
        <f t="shared" si="14"/>
        <v>0.248546183</v>
      </c>
    </row>
    <row r="237" spans="1:25" hidden="1" x14ac:dyDescent="0.4">
      <c r="A237" t="s">
        <v>20</v>
      </c>
      <c r="B237">
        <v>5453831</v>
      </c>
      <c r="C237" t="s">
        <v>195</v>
      </c>
      <c r="D237" t="s">
        <v>21</v>
      </c>
      <c r="E237" t="s">
        <v>147</v>
      </c>
      <c r="K237">
        <v>68.671069308</v>
      </c>
      <c r="M237">
        <v>68.671069308</v>
      </c>
      <c r="P237" s="1" t="s">
        <v>1749</v>
      </c>
      <c r="Q237" s="1" t="s">
        <v>1750</v>
      </c>
      <c r="R237">
        <v>0.14636000099999999</v>
      </c>
      <c r="S237">
        <v>15.76</v>
      </c>
      <c r="T237" s="2">
        <v>45775</v>
      </c>
      <c r="V237" t="str">
        <f t="shared" si="12"/>
        <v>S-5453831</v>
      </c>
      <c r="W237">
        <f t="shared" si="15"/>
        <v>0</v>
      </c>
      <c r="X237" t="str">
        <f t="shared" si="13"/>
        <v/>
      </c>
      <c r="Y237">
        <f t="shared" si="14"/>
        <v>0.14636000099999999</v>
      </c>
    </row>
    <row r="238" spans="1:25" hidden="1" x14ac:dyDescent="0.4">
      <c r="A238" t="s">
        <v>20</v>
      </c>
      <c r="B238">
        <v>5453831</v>
      </c>
      <c r="C238" t="s">
        <v>195</v>
      </c>
      <c r="D238" t="s">
        <v>21</v>
      </c>
      <c r="E238" t="s">
        <v>22</v>
      </c>
      <c r="K238">
        <v>159.28097488700001</v>
      </c>
      <c r="L238">
        <v>159.28097488700001</v>
      </c>
      <c r="M238">
        <v>0</v>
      </c>
      <c r="N238">
        <v>0</v>
      </c>
      <c r="O238">
        <v>0</v>
      </c>
      <c r="P238" s="1" t="s">
        <v>196</v>
      </c>
      <c r="Q238">
        <v>1</v>
      </c>
      <c r="R238">
        <v>0</v>
      </c>
      <c r="S238">
        <v>0</v>
      </c>
      <c r="T238" s="2">
        <v>45775</v>
      </c>
      <c r="V238" t="str">
        <f t="shared" si="12"/>
        <v>S-5453831</v>
      </c>
      <c r="W238">
        <f t="shared" si="15"/>
        <v>0</v>
      </c>
      <c r="X238" t="str">
        <f t="shared" si="13"/>
        <v/>
      </c>
      <c r="Y238">
        <f t="shared" si="14"/>
        <v>0</v>
      </c>
    </row>
    <row r="239" spans="1:25" hidden="1" x14ac:dyDescent="0.4">
      <c r="A239" t="s">
        <v>20</v>
      </c>
      <c r="B239">
        <v>5461031</v>
      </c>
      <c r="C239" t="s">
        <v>197</v>
      </c>
      <c r="D239" t="s">
        <v>21</v>
      </c>
      <c r="E239" t="s">
        <v>137</v>
      </c>
      <c r="K239">
        <v>208.538074314</v>
      </c>
      <c r="M239">
        <v>208.538074314</v>
      </c>
      <c r="P239" s="1" t="s">
        <v>654</v>
      </c>
      <c r="Q239" s="1" t="s">
        <v>655</v>
      </c>
      <c r="R239">
        <v>0.44275023800000002</v>
      </c>
      <c r="S239">
        <v>14.24</v>
      </c>
      <c r="T239" s="2">
        <v>45776</v>
      </c>
      <c r="V239" t="str">
        <f t="shared" si="12"/>
        <v>S-5461031</v>
      </c>
      <c r="W239">
        <f t="shared" si="15"/>
        <v>0</v>
      </c>
      <c r="X239" t="str">
        <f t="shared" si="13"/>
        <v/>
      </c>
      <c r="Y239">
        <f t="shared" si="14"/>
        <v>0.44275023800000002</v>
      </c>
    </row>
    <row r="240" spans="1:25" hidden="1" x14ac:dyDescent="0.4">
      <c r="A240" t="s">
        <v>20</v>
      </c>
      <c r="B240">
        <v>5461031</v>
      </c>
      <c r="C240" t="s">
        <v>197</v>
      </c>
      <c r="D240" t="s">
        <v>21</v>
      </c>
      <c r="E240" t="s">
        <v>156</v>
      </c>
      <c r="K240">
        <v>131.50611388300001</v>
      </c>
      <c r="M240">
        <v>131.50611388300001</v>
      </c>
      <c r="P240" s="1" t="s">
        <v>1018</v>
      </c>
      <c r="Q240" s="1" t="s">
        <v>1019</v>
      </c>
      <c r="R240">
        <v>0.38447468600000001</v>
      </c>
      <c r="S240">
        <v>18.79</v>
      </c>
      <c r="T240" s="2">
        <v>45776</v>
      </c>
      <c r="V240" t="str">
        <f t="shared" si="12"/>
        <v>S-5461031</v>
      </c>
      <c r="W240">
        <f t="shared" si="15"/>
        <v>0</v>
      </c>
      <c r="X240" t="str">
        <f t="shared" si="13"/>
        <v/>
      </c>
      <c r="Y240">
        <f t="shared" si="14"/>
        <v>0.38447468600000001</v>
      </c>
    </row>
    <row r="241" spans="1:25" hidden="1" x14ac:dyDescent="0.4">
      <c r="A241" t="s">
        <v>20</v>
      </c>
      <c r="B241">
        <v>5461031</v>
      </c>
      <c r="C241" t="s">
        <v>197</v>
      </c>
      <c r="D241" t="s">
        <v>21</v>
      </c>
      <c r="E241" t="s">
        <v>140</v>
      </c>
      <c r="K241">
        <v>129.403184772</v>
      </c>
      <c r="M241">
        <v>129.403184772</v>
      </c>
      <c r="P241" s="1" t="s">
        <v>1385</v>
      </c>
      <c r="Q241" s="1" t="s">
        <v>1386</v>
      </c>
      <c r="R241">
        <v>0.25273861199999997</v>
      </c>
      <c r="S241">
        <v>12.24</v>
      </c>
      <c r="T241" s="2">
        <v>45776</v>
      </c>
      <c r="V241" t="str">
        <f t="shared" si="12"/>
        <v>S-5461031</v>
      </c>
      <c r="W241">
        <f t="shared" si="15"/>
        <v>0</v>
      </c>
      <c r="X241" t="str">
        <f t="shared" si="13"/>
        <v/>
      </c>
      <c r="Y241">
        <f t="shared" si="14"/>
        <v>0.25273861199999997</v>
      </c>
    </row>
    <row r="242" spans="1:25" hidden="1" x14ac:dyDescent="0.4">
      <c r="A242" t="s">
        <v>20</v>
      </c>
      <c r="B242">
        <v>5461031</v>
      </c>
      <c r="C242" t="s">
        <v>197</v>
      </c>
      <c r="D242" t="s">
        <v>21</v>
      </c>
      <c r="E242" t="s">
        <v>147</v>
      </c>
      <c r="K242">
        <v>68.818693237999994</v>
      </c>
      <c r="M242">
        <v>68.818693237999994</v>
      </c>
      <c r="P242" s="1" t="s">
        <v>1751</v>
      </c>
      <c r="Q242" s="1" t="s">
        <v>1752</v>
      </c>
      <c r="R242">
        <v>0.14762392999999999</v>
      </c>
      <c r="S242">
        <v>15.34</v>
      </c>
      <c r="T242" s="2">
        <v>45776</v>
      </c>
      <c r="V242" t="str">
        <f t="shared" si="12"/>
        <v>S-5461031</v>
      </c>
      <c r="W242">
        <f t="shared" si="15"/>
        <v>0</v>
      </c>
      <c r="X242" t="str">
        <f t="shared" si="13"/>
        <v/>
      </c>
      <c r="Y242">
        <f t="shared" si="14"/>
        <v>0.14762392999999999</v>
      </c>
    </row>
    <row r="243" spans="1:25" hidden="1" x14ac:dyDescent="0.4">
      <c r="A243" t="s">
        <v>20</v>
      </c>
      <c r="B243">
        <v>5461031</v>
      </c>
      <c r="C243" t="s">
        <v>197</v>
      </c>
      <c r="D243" t="s">
        <v>21</v>
      </c>
      <c r="E243" t="s">
        <v>22</v>
      </c>
      <c r="K243">
        <v>159.28097488700001</v>
      </c>
      <c r="L243">
        <v>159.28097488700001</v>
      </c>
      <c r="M243">
        <v>0</v>
      </c>
      <c r="N243">
        <v>0</v>
      </c>
      <c r="O243">
        <v>0</v>
      </c>
      <c r="P243" s="1" t="s">
        <v>198</v>
      </c>
      <c r="Q243">
        <v>1</v>
      </c>
      <c r="R243">
        <v>0</v>
      </c>
      <c r="S243">
        <v>0</v>
      </c>
      <c r="T243" s="2">
        <v>45776</v>
      </c>
      <c r="V243" t="str">
        <f t="shared" si="12"/>
        <v>S-5461031</v>
      </c>
      <c r="W243">
        <f t="shared" si="15"/>
        <v>0</v>
      </c>
      <c r="X243" t="str">
        <f t="shared" si="13"/>
        <v/>
      </c>
      <c r="Y243">
        <f t="shared" si="14"/>
        <v>0</v>
      </c>
    </row>
    <row r="244" spans="1:25" hidden="1" x14ac:dyDescent="0.4">
      <c r="A244" t="s">
        <v>20</v>
      </c>
      <c r="B244">
        <v>5468231</v>
      </c>
      <c r="C244" t="s">
        <v>199</v>
      </c>
      <c r="D244" t="s">
        <v>21</v>
      </c>
      <c r="E244" t="s">
        <v>137</v>
      </c>
      <c r="K244">
        <v>208.96832190699999</v>
      </c>
      <c r="M244">
        <v>208.96832190699999</v>
      </c>
      <c r="P244" s="1" t="s">
        <v>656</v>
      </c>
      <c r="Q244" s="1" t="s">
        <v>657</v>
      </c>
      <c r="R244">
        <v>0.43024759299999998</v>
      </c>
      <c r="S244">
        <v>15.29</v>
      </c>
      <c r="T244" s="2">
        <v>45777</v>
      </c>
      <c r="V244" t="str">
        <f t="shared" si="12"/>
        <v>S-5468231</v>
      </c>
      <c r="W244">
        <f t="shared" si="15"/>
        <v>0</v>
      </c>
      <c r="X244" t="str">
        <f t="shared" si="13"/>
        <v/>
      </c>
      <c r="Y244">
        <f t="shared" si="14"/>
        <v>0.43024759299999998</v>
      </c>
    </row>
    <row r="245" spans="1:25" hidden="1" x14ac:dyDescent="0.4">
      <c r="A245" t="s">
        <v>20</v>
      </c>
      <c r="B245">
        <v>5468231</v>
      </c>
      <c r="C245" t="s">
        <v>199</v>
      </c>
      <c r="D245" t="s">
        <v>21</v>
      </c>
      <c r="E245" t="s">
        <v>156</v>
      </c>
      <c r="K245">
        <v>131.75686208900001</v>
      </c>
      <c r="M245">
        <v>131.75686208900001</v>
      </c>
      <c r="P245" s="1" t="s">
        <v>1020</v>
      </c>
      <c r="Q245" s="1" t="s">
        <v>1021</v>
      </c>
      <c r="R245">
        <v>0.25074820599999997</v>
      </c>
      <c r="S245">
        <v>12.39</v>
      </c>
      <c r="T245" s="2">
        <v>45777</v>
      </c>
      <c r="V245" t="str">
        <f t="shared" si="12"/>
        <v>S-5468231</v>
      </c>
      <c r="W245">
        <f t="shared" si="15"/>
        <v>0</v>
      </c>
      <c r="X245" t="str">
        <f t="shared" si="13"/>
        <v/>
      </c>
      <c r="Y245">
        <f t="shared" si="14"/>
        <v>0.25074820599999997</v>
      </c>
    </row>
    <row r="246" spans="1:25" hidden="1" x14ac:dyDescent="0.4">
      <c r="A246" t="s">
        <v>20</v>
      </c>
      <c r="B246">
        <v>5468231</v>
      </c>
      <c r="C246" t="s">
        <v>199</v>
      </c>
      <c r="D246" t="s">
        <v>21</v>
      </c>
      <c r="E246" t="s">
        <v>140</v>
      </c>
      <c r="K246">
        <v>129.652363006</v>
      </c>
      <c r="M246">
        <v>129.652363006</v>
      </c>
      <c r="P246" s="1" t="s">
        <v>1387</v>
      </c>
      <c r="Q246" s="1" t="s">
        <v>1388</v>
      </c>
      <c r="R246">
        <v>0.249178234</v>
      </c>
      <c r="S246">
        <v>11.65</v>
      </c>
      <c r="T246" s="2">
        <v>45777</v>
      </c>
      <c r="V246" t="str">
        <f t="shared" si="12"/>
        <v>S-5468231</v>
      </c>
      <c r="W246">
        <f t="shared" si="15"/>
        <v>0</v>
      </c>
      <c r="X246" t="str">
        <f t="shared" si="13"/>
        <v/>
      </c>
      <c r="Y246">
        <f t="shared" si="14"/>
        <v>0.249178234</v>
      </c>
    </row>
    <row r="247" spans="1:25" hidden="1" x14ac:dyDescent="0.4">
      <c r="A247" t="s">
        <v>20</v>
      </c>
      <c r="B247">
        <v>5468231</v>
      </c>
      <c r="C247" t="s">
        <v>199</v>
      </c>
      <c r="D247" t="s">
        <v>21</v>
      </c>
      <c r="E247" t="s">
        <v>147</v>
      </c>
      <c r="K247">
        <v>68.967924010000004</v>
      </c>
      <c r="M247">
        <v>68.967924010000004</v>
      </c>
      <c r="P247" s="1" t="s">
        <v>1753</v>
      </c>
      <c r="Q247" s="1" t="s">
        <v>1754</v>
      </c>
      <c r="R247">
        <v>0.14923077200000001</v>
      </c>
      <c r="S247">
        <v>14.91</v>
      </c>
      <c r="T247" s="2">
        <v>45777</v>
      </c>
      <c r="V247" t="str">
        <f t="shared" si="12"/>
        <v>S-5468231</v>
      </c>
      <c r="W247">
        <f t="shared" si="15"/>
        <v>0</v>
      </c>
      <c r="X247" t="str">
        <f t="shared" si="13"/>
        <v/>
      </c>
      <c r="Y247">
        <f t="shared" si="14"/>
        <v>0.14923077200000001</v>
      </c>
    </row>
    <row r="248" spans="1:25" hidden="1" x14ac:dyDescent="0.4">
      <c r="A248" t="s">
        <v>20</v>
      </c>
      <c r="B248">
        <v>5468231</v>
      </c>
      <c r="C248" t="s">
        <v>199</v>
      </c>
      <c r="D248" t="s">
        <v>21</v>
      </c>
      <c r="E248" t="s">
        <v>22</v>
      </c>
      <c r="K248">
        <v>159.28097488700001</v>
      </c>
      <c r="L248">
        <v>159.28097488700001</v>
      </c>
      <c r="M248">
        <v>0</v>
      </c>
      <c r="N248">
        <v>0</v>
      </c>
      <c r="O248">
        <v>0</v>
      </c>
      <c r="P248" s="1" t="s">
        <v>200</v>
      </c>
      <c r="Q248">
        <v>1</v>
      </c>
      <c r="R248">
        <v>0</v>
      </c>
      <c r="S248">
        <v>0</v>
      </c>
      <c r="T248" s="2">
        <v>45777</v>
      </c>
      <c r="V248" t="str">
        <f t="shared" si="12"/>
        <v>S-5468231</v>
      </c>
      <c r="W248">
        <f t="shared" si="15"/>
        <v>0</v>
      </c>
      <c r="X248" t="str">
        <f t="shared" si="13"/>
        <v/>
      </c>
      <c r="Y248">
        <f t="shared" si="14"/>
        <v>0</v>
      </c>
    </row>
    <row r="249" spans="1:25" hidden="1" x14ac:dyDescent="0.4">
      <c r="A249" t="s">
        <v>20</v>
      </c>
      <c r="B249">
        <v>5475431</v>
      </c>
      <c r="C249" t="s">
        <v>201</v>
      </c>
      <c r="D249" t="s">
        <v>21</v>
      </c>
      <c r="E249" t="s">
        <v>137</v>
      </c>
      <c r="K249">
        <v>209.37800470799999</v>
      </c>
      <c r="M249">
        <v>209.37800470799999</v>
      </c>
      <c r="P249" s="1" t="s">
        <v>658</v>
      </c>
      <c r="Q249" s="1" t="s">
        <v>659</v>
      </c>
      <c r="R249">
        <v>0.40968280099999999</v>
      </c>
      <c r="S249">
        <v>14.46</v>
      </c>
      <c r="T249" s="2">
        <v>45778</v>
      </c>
      <c r="V249" t="str">
        <f t="shared" si="12"/>
        <v>S-5475431</v>
      </c>
      <c r="W249">
        <f t="shared" si="15"/>
        <v>0</v>
      </c>
      <c r="X249" t="str">
        <f t="shared" si="13"/>
        <v/>
      </c>
      <c r="Y249">
        <f t="shared" si="14"/>
        <v>0.40968280099999999</v>
      </c>
    </row>
    <row r="250" spans="1:25" hidden="1" x14ac:dyDescent="0.4">
      <c r="A250" t="s">
        <v>20</v>
      </c>
      <c r="B250">
        <v>5475431</v>
      </c>
      <c r="C250" t="s">
        <v>201</v>
      </c>
      <c r="D250" t="s">
        <v>21</v>
      </c>
      <c r="E250" t="s">
        <v>156</v>
      </c>
      <c r="K250">
        <v>132.13724342099999</v>
      </c>
      <c r="M250">
        <v>132.13724342099999</v>
      </c>
      <c r="P250" s="1" t="s">
        <v>1022</v>
      </c>
      <c r="Q250" s="1" t="s">
        <v>1023</v>
      </c>
      <c r="R250">
        <v>0.38038133200000002</v>
      </c>
      <c r="S250">
        <v>18.79</v>
      </c>
      <c r="T250" s="2">
        <v>45778</v>
      </c>
      <c r="V250" t="str">
        <f t="shared" si="12"/>
        <v>S-5475431</v>
      </c>
      <c r="W250">
        <f t="shared" si="15"/>
        <v>0</v>
      </c>
      <c r="X250" t="str">
        <f t="shared" si="13"/>
        <v/>
      </c>
      <c r="Y250">
        <f t="shared" si="14"/>
        <v>0.38038133200000002</v>
      </c>
    </row>
    <row r="251" spans="1:25" hidden="1" x14ac:dyDescent="0.4">
      <c r="A251" t="s">
        <v>20</v>
      </c>
      <c r="B251">
        <v>5475431</v>
      </c>
      <c r="C251" t="s">
        <v>201</v>
      </c>
      <c r="D251" t="s">
        <v>21</v>
      </c>
      <c r="E251" t="s">
        <v>140</v>
      </c>
      <c r="K251">
        <v>129.89310717699999</v>
      </c>
      <c r="M251">
        <v>129.89310717699999</v>
      </c>
      <c r="P251" s="1" t="s">
        <v>1389</v>
      </c>
      <c r="Q251" s="1" t="s">
        <v>1390</v>
      </c>
      <c r="R251">
        <v>0.24074417100000001</v>
      </c>
      <c r="S251">
        <v>10.210000000000001</v>
      </c>
      <c r="T251" s="2">
        <v>45778</v>
      </c>
      <c r="V251" t="str">
        <f t="shared" si="12"/>
        <v>S-5475431</v>
      </c>
      <c r="W251">
        <f t="shared" si="15"/>
        <v>0</v>
      </c>
      <c r="X251" t="str">
        <f t="shared" si="13"/>
        <v/>
      </c>
      <c r="Y251">
        <f t="shared" si="14"/>
        <v>0.24074417100000001</v>
      </c>
    </row>
    <row r="252" spans="1:25" hidden="1" x14ac:dyDescent="0.4">
      <c r="A252" t="s">
        <v>20</v>
      </c>
      <c r="B252">
        <v>5475431</v>
      </c>
      <c r="C252" t="s">
        <v>201</v>
      </c>
      <c r="D252" t="s">
        <v>21</v>
      </c>
      <c r="E252" t="s">
        <v>147</v>
      </c>
      <c r="K252">
        <v>69.117418151999999</v>
      </c>
      <c r="M252">
        <v>69.117418151999999</v>
      </c>
      <c r="P252" s="1" t="s">
        <v>1755</v>
      </c>
      <c r="Q252" s="1" t="s">
        <v>1756</v>
      </c>
      <c r="R252">
        <v>0.149494142</v>
      </c>
      <c r="S252">
        <v>14.2</v>
      </c>
      <c r="T252" s="2">
        <v>45778</v>
      </c>
      <c r="V252" t="str">
        <f t="shared" si="12"/>
        <v>S-5475431</v>
      </c>
      <c r="W252">
        <f t="shared" si="15"/>
        <v>0</v>
      </c>
      <c r="X252" t="str">
        <f t="shared" si="13"/>
        <v/>
      </c>
      <c r="Y252">
        <f t="shared" si="14"/>
        <v>0.149494142</v>
      </c>
    </row>
    <row r="253" spans="1:25" hidden="1" x14ac:dyDescent="0.4">
      <c r="A253" t="s">
        <v>20</v>
      </c>
      <c r="B253">
        <v>5475431</v>
      </c>
      <c r="C253" t="s">
        <v>201</v>
      </c>
      <c r="D253" t="s">
        <v>21</v>
      </c>
      <c r="E253" t="s">
        <v>22</v>
      </c>
      <c r="K253">
        <v>159.28097488700001</v>
      </c>
      <c r="L253">
        <v>159.28097488700001</v>
      </c>
      <c r="M253">
        <v>0</v>
      </c>
      <c r="N253">
        <v>0</v>
      </c>
      <c r="O253">
        <v>0</v>
      </c>
      <c r="P253" s="1" t="s">
        <v>202</v>
      </c>
      <c r="Q253">
        <v>1</v>
      </c>
      <c r="R253">
        <v>0</v>
      </c>
      <c r="S253">
        <v>0</v>
      </c>
      <c r="T253" s="2">
        <v>45778</v>
      </c>
      <c r="V253" t="str">
        <f t="shared" si="12"/>
        <v>S-5475431</v>
      </c>
      <c r="W253">
        <f t="shared" si="15"/>
        <v>0</v>
      </c>
      <c r="X253" t="str">
        <f t="shared" si="13"/>
        <v/>
      </c>
      <c r="Y253">
        <f t="shared" si="14"/>
        <v>0</v>
      </c>
    </row>
    <row r="254" spans="1:25" hidden="1" x14ac:dyDescent="0.4">
      <c r="A254" t="s">
        <v>20</v>
      </c>
      <c r="B254">
        <v>5482631</v>
      </c>
      <c r="C254" t="s">
        <v>203</v>
      </c>
      <c r="D254" t="s">
        <v>21</v>
      </c>
      <c r="E254" t="s">
        <v>137</v>
      </c>
      <c r="K254">
        <v>209.78727607299999</v>
      </c>
      <c r="M254">
        <v>209.78727607299999</v>
      </c>
      <c r="P254" s="1" t="s">
        <v>660</v>
      </c>
      <c r="Q254" s="1" t="s">
        <v>661</v>
      </c>
      <c r="R254">
        <v>0.409271365</v>
      </c>
      <c r="S254">
        <v>17.010000000000002</v>
      </c>
      <c r="T254" s="2">
        <v>45779</v>
      </c>
      <c r="V254" t="str">
        <f t="shared" si="12"/>
        <v>S-5482631</v>
      </c>
      <c r="W254">
        <f t="shared" si="15"/>
        <v>0</v>
      </c>
      <c r="X254" t="str">
        <f t="shared" si="13"/>
        <v/>
      </c>
      <c r="Y254">
        <f t="shared" si="14"/>
        <v>0.409271365</v>
      </c>
    </row>
    <row r="255" spans="1:25" hidden="1" x14ac:dyDescent="0.4">
      <c r="A255" t="s">
        <v>20</v>
      </c>
      <c r="B255">
        <v>5482631</v>
      </c>
      <c r="C255" t="s">
        <v>203</v>
      </c>
      <c r="D255" t="s">
        <v>21</v>
      </c>
      <c r="E255" t="s">
        <v>156</v>
      </c>
      <c r="K255">
        <v>132.518337258</v>
      </c>
      <c r="M255">
        <v>132.518337258</v>
      </c>
      <c r="P255" s="1" t="s">
        <v>1024</v>
      </c>
      <c r="Q255" s="1" t="s">
        <v>1025</v>
      </c>
      <c r="R255">
        <v>0.38109383699999999</v>
      </c>
      <c r="S255">
        <v>20.58</v>
      </c>
      <c r="T255" s="2">
        <v>45779</v>
      </c>
      <c r="V255" t="str">
        <f t="shared" si="12"/>
        <v>S-5482631</v>
      </c>
      <c r="W255">
        <f t="shared" si="15"/>
        <v>0</v>
      </c>
      <c r="X255" t="str">
        <f t="shared" si="13"/>
        <v/>
      </c>
      <c r="Y255">
        <f t="shared" si="14"/>
        <v>0.38109383699999999</v>
      </c>
    </row>
    <row r="256" spans="1:25" hidden="1" x14ac:dyDescent="0.4">
      <c r="A256" t="s">
        <v>20</v>
      </c>
      <c r="B256">
        <v>5482631</v>
      </c>
      <c r="C256" t="s">
        <v>203</v>
      </c>
      <c r="D256" t="s">
        <v>21</v>
      </c>
      <c r="E256" t="s">
        <v>140</v>
      </c>
      <c r="K256">
        <v>130.13355981300001</v>
      </c>
      <c r="M256">
        <v>130.13355981300001</v>
      </c>
      <c r="P256" s="1" t="s">
        <v>1391</v>
      </c>
      <c r="Q256" s="1" t="s">
        <v>1392</v>
      </c>
      <c r="R256">
        <v>0.240452636</v>
      </c>
      <c r="S256">
        <v>12.34</v>
      </c>
      <c r="T256" s="2">
        <v>45779</v>
      </c>
      <c r="V256" t="str">
        <f t="shared" si="12"/>
        <v>S-5482631</v>
      </c>
      <c r="W256">
        <f t="shared" si="15"/>
        <v>0</v>
      </c>
      <c r="X256" t="str">
        <f t="shared" si="13"/>
        <v/>
      </c>
      <c r="Y256">
        <f t="shared" si="14"/>
        <v>0.240452636</v>
      </c>
    </row>
    <row r="257" spans="1:25" hidden="1" x14ac:dyDescent="0.4">
      <c r="A257" t="s">
        <v>20</v>
      </c>
      <c r="B257">
        <v>5482631</v>
      </c>
      <c r="C257" t="s">
        <v>203</v>
      </c>
      <c r="D257" t="s">
        <v>21</v>
      </c>
      <c r="E257" t="s">
        <v>147</v>
      </c>
      <c r="K257">
        <v>69.263501137000006</v>
      </c>
      <c r="M257">
        <v>69.263501137000006</v>
      </c>
      <c r="P257" s="1" t="s">
        <v>1757</v>
      </c>
      <c r="Q257" s="1" t="s">
        <v>1758</v>
      </c>
      <c r="R257">
        <v>0.146082985</v>
      </c>
      <c r="S257">
        <v>16.399999999999999</v>
      </c>
      <c r="T257" s="2">
        <v>45779</v>
      </c>
      <c r="V257" t="str">
        <f t="shared" si="12"/>
        <v>S-5482631</v>
      </c>
      <c r="W257">
        <f t="shared" si="15"/>
        <v>0</v>
      </c>
      <c r="X257" t="str">
        <f t="shared" si="13"/>
        <v/>
      </c>
      <c r="Y257">
        <f t="shared" si="14"/>
        <v>0.146082985</v>
      </c>
    </row>
    <row r="258" spans="1:25" hidden="1" x14ac:dyDescent="0.4">
      <c r="A258" t="s">
        <v>20</v>
      </c>
      <c r="B258">
        <v>5482631</v>
      </c>
      <c r="C258" t="s">
        <v>203</v>
      </c>
      <c r="D258" t="s">
        <v>21</v>
      </c>
      <c r="E258" t="s">
        <v>22</v>
      </c>
      <c r="K258">
        <v>159.28097488700001</v>
      </c>
      <c r="L258">
        <v>159.28097488700001</v>
      </c>
      <c r="M258">
        <v>0</v>
      </c>
      <c r="N258">
        <v>0</v>
      </c>
      <c r="O258">
        <v>0</v>
      </c>
      <c r="P258" s="1" t="s">
        <v>204</v>
      </c>
      <c r="Q258">
        <v>1</v>
      </c>
      <c r="R258">
        <v>0</v>
      </c>
      <c r="S258">
        <v>0</v>
      </c>
      <c r="T258" s="2">
        <v>45779</v>
      </c>
      <c r="V258" t="str">
        <f t="shared" si="12"/>
        <v>S-5482631</v>
      </c>
      <c r="W258">
        <f t="shared" si="15"/>
        <v>0</v>
      </c>
      <c r="X258" t="str">
        <f t="shared" si="13"/>
        <v/>
      </c>
      <c r="Y258">
        <f t="shared" si="14"/>
        <v>0</v>
      </c>
    </row>
    <row r="259" spans="1:25" hidden="1" x14ac:dyDescent="0.4">
      <c r="A259" t="s">
        <v>20</v>
      </c>
      <c r="B259">
        <v>5489831</v>
      </c>
      <c r="C259" t="s">
        <v>205</v>
      </c>
      <c r="D259" t="s">
        <v>21</v>
      </c>
      <c r="E259" t="s">
        <v>137</v>
      </c>
      <c r="K259">
        <v>210.18451113899999</v>
      </c>
      <c r="M259">
        <v>210.18451113899999</v>
      </c>
      <c r="P259" s="1" t="s">
        <v>662</v>
      </c>
      <c r="Q259" s="1" t="s">
        <v>663</v>
      </c>
      <c r="R259">
        <v>0.39723506600000003</v>
      </c>
      <c r="S259">
        <v>16.14</v>
      </c>
      <c r="T259" s="2">
        <v>45780</v>
      </c>
      <c r="V259" t="str">
        <f t="shared" ref="V259:V322" si="16">"S-"&amp;IF(LEN(I259)=0,B259,I259&amp;IF(F259="fee","-00",IF(LEN(G259)&gt;0,"-01","-02")))</f>
        <v>S-5489831</v>
      </c>
      <c r="W259">
        <f t="shared" si="15"/>
        <v>0</v>
      </c>
      <c r="X259" t="str">
        <f t="shared" ref="X259:X322" si="17">IF(LEN(I259)&gt;0,I259&amp;IF(F259="fee","fee",IF(VALUE(G259)&gt;0,"debit",IF(VALUE(H259)&gt;0,"credit","error"))),"")</f>
        <v/>
      </c>
      <c r="Y259">
        <f t="shared" ref="Y259:Y322" si="18">ROUND(IF(ROW(U259) = 2,K259,0)+IF(H259&lt;&gt;"",H259,0) + IF(R259&lt;&gt;"",R259,0) - IF(G259&lt;&gt;"",G259,0),9)</f>
        <v>0.39723506600000003</v>
      </c>
    </row>
    <row r="260" spans="1:25" hidden="1" x14ac:dyDescent="0.4">
      <c r="A260" t="s">
        <v>20</v>
      </c>
      <c r="B260">
        <v>5489831</v>
      </c>
      <c r="C260" t="s">
        <v>205</v>
      </c>
      <c r="D260" t="s">
        <v>21</v>
      </c>
      <c r="E260" t="s">
        <v>156</v>
      </c>
      <c r="K260">
        <v>132.89504969500001</v>
      </c>
      <c r="M260">
        <v>132.89504969500001</v>
      </c>
      <c r="P260" s="1" t="s">
        <v>1026</v>
      </c>
      <c r="Q260" s="1" t="s">
        <v>1027</v>
      </c>
      <c r="R260">
        <v>0.37671243700000001</v>
      </c>
      <c r="S260">
        <v>19.350000000000001</v>
      </c>
      <c r="T260" s="2">
        <v>45780</v>
      </c>
      <c r="V260" t="str">
        <f t="shared" si="16"/>
        <v>S-5489831</v>
      </c>
      <c r="W260">
        <f t="shared" ref="W260:W323" si="19">COUNTIF(I:I,I260)</f>
        <v>0</v>
      </c>
      <c r="X260" t="str">
        <f t="shared" si="17"/>
        <v/>
      </c>
      <c r="Y260">
        <f t="shared" si="18"/>
        <v>0.37671243700000001</v>
      </c>
    </row>
    <row r="261" spans="1:25" hidden="1" x14ac:dyDescent="0.4">
      <c r="A261" t="s">
        <v>20</v>
      </c>
      <c r="B261">
        <v>5489831</v>
      </c>
      <c r="C261" t="s">
        <v>205</v>
      </c>
      <c r="D261" t="s">
        <v>21</v>
      </c>
      <c r="E261" t="s">
        <v>140</v>
      </c>
      <c r="K261">
        <v>130.37380964299999</v>
      </c>
      <c r="M261">
        <v>130.37380964299999</v>
      </c>
      <c r="P261" s="1" t="s">
        <v>1393</v>
      </c>
      <c r="Q261" s="1" t="s">
        <v>1394</v>
      </c>
      <c r="R261">
        <v>0.24024983</v>
      </c>
      <c r="S261">
        <v>11.37</v>
      </c>
      <c r="T261" s="2">
        <v>45780</v>
      </c>
      <c r="V261" t="str">
        <f t="shared" si="16"/>
        <v>S-5489831</v>
      </c>
      <c r="W261">
        <f t="shared" si="19"/>
        <v>0</v>
      </c>
      <c r="X261" t="str">
        <f t="shared" si="17"/>
        <v/>
      </c>
      <c r="Y261">
        <f t="shared" si="18"/>
        <v>0.24024983</v>
      </c>
    </row>
    <row r="262" spans="1:25" hidden="1" x14ac:dyDescent="0.4">
      <c r="A262" t="s">
        <v>20</v>
      </c>
      <c r="B262">
        <v>5489831</v>
      </c>
      <c r="C262" t="s">
        <v>205</v>
      </c>
      <c r="D262" t="s">
        <v>21</v>
      </c>
      <c r="E262" t="s">
        <v>147</v>
      </c>
      <c r="K262">
        <v>69.404571837999995</v>
      </c>
      <c r="M262">
        <v>69.404571837999995</v>
      </c>
      <c r="P262" s="1" t="s">
        <v>1759</v>
      </c>
      <c r="Q262" s="1" t="s">
        <v>1760</v>
      </c>
      <c r="R262">
        <v>0.14107070099999999</v>
      </c>
      <c r="S262">
        <v>15.14</v>
      </c>
      <c r="T262" s="2">
        <v>45780</v>
      </c>
      <c r="V262" t="str">
        <f t="shared" si="16"/>
        <v>S-5489831</v>
      </c>
      <c r="W262">
        <f t="shared" si="19"/>
        <v>0</v>
      </c>
      <c r="X262" t="str">
        <f t="shared" si="17"/>
        <v/>
      </c>
      <c r="Y262">
        <f t="shared" si="18"/>
        <v>0.14107070099999999</v>
      </c>
    </row>
    <row r="263" spans="1:25" hidden="1" x14ac:dyDescent="0.4">
      <c r="A263" t="s">
        <v>20</v>
      </c>
      <c r="B263">
        <v>5489831</v>
      </c>
      <c r="C263" t="s">
        <v>205</v>
      </c>
      <c r="D263" t="s">
        <v>21</v>
      </c>
      <c r="E263" t="s">
        <v>22</v>
      </c>
      <c r="K263">
        <v>159.28097488700001</v>
      </c>
      <c r="L263">
        <v>159.28097488700001</v>
      </c>
      <c r="M263">
        <v>0</v>
      </c>
      <c r="N263">
        <v>0</v>
      </c>
      <c r="O263">
        <v>0</v>
      </c>
      <c r="P263" s="1" t="s">
        <v>206</v>
      </c>
      <c r="Q263">
        <v>1</v>
      </c>
      <c r="R263">
        <v>0</v>
      </c>
      <c r="S263">
        <v>0</v>
      </c>
      <c r="T263" s="2">
        <v>45780</v>
      </c>
      <c r="V263" t="str">
        <f t="shared" si="16"/>
        <v>S-5489831</v>
      </c>
      <c r="W263">
        <f t="shared" si="19"/>
        <v>0</v>
      </c>
      <c r="X263" t="str">
        <f t="shared" si="17"/>
        <v/>
      </c>
      <c r="Y263">
        <f t="shared" si="18"/>
        <v>0</v>
      </c>
    </row>
    <row r="264" spans="1:25" hidden="1" x14ac:dyDescent="0.4">
      <c r="A264" t="s">
        <v>20</v>
      </c>
      <c r="B264">
        <v>5497031</v>
      </c>
      <c r="C264" t="s">
        <v>207</v>
      </c>
      <c r="D264" t="s">
        <v>21</v>
      </c>
      <c r="E264" t="s">
        <v>137</v>
      </c>
      <c r="K264">
        <v>210.58693603899999</v>
      </c>
      <c r="M264">
        <v>210.58693603899999</v>
      </c>
      <c r="P264" s="1" t="s">
        <v>664</v>
      </c>
      <c r="Q264" s="1" t="s">
        <v>665</v>
      </c>
      <c r="R264">
        <v>0.40242489999999997</v>
      </c>
      <c r="S264">
        <v>14.36</v>
      </c>
      <c r="T264" s="2">
        <v>45781</v>
      </c>
      <c r="V264" t="str">
        <f t="shared" si="16"/>
        <v>S-5497031</v>
      </c>
      <c r="W264">
        <f t="shared" si="19"/>
        <v>0</v>
      </c>
      <c r="X264" t="str">
        <f t="shared" si="17"/>
        <v/>
      </c>
      <c r="Y264">
        <f t="shared" si="18"/>
        <v>0.40242489999999997</v>
      </c>
    </row>
    <row r="265" spans="1:25" hidden="1" x14ac:dyDescent="0.4">
      <c r="A265" t="s">
        <v>20</v>
      </c>
      <c r="B265">
        <v>5497031</v>
      </c>
      <c r="C265" t="s">
        <v>207</v>
      </c>
      <c r="D265" t="s">
        <v>21</v>
      </c>
      <c r="E265" t="s">
        <v>156</v>
      </c>
      <c r="K265">
        <v>133.269576809</v>
      </c>
      <c r="M265">
        <v>133.269576809</v>
      </c>
      <c r="P265" s="1" t="s">
        <v>1028</v>
      </c>
      <c r="Q265" s="1" t="s">
        <v>1029</v>
      </c>
      <c r="R265">
        <v>0.37452711399999999</v>
      </c>
      <c r="S265">
        <v>18.32</v>
      </c>
      <c r="T265" s="2">
        <v>45781</v>
      </c>
      <c r="V265" t="str">
        <f t="shared" si="16"/>
        <v>S-5497031</v>
      </c>
      <c r="W265">
        <f t="shared" si="19"/>
        <v>0</v>
      </c>
      <c r="X265" t="str">
        <f t="shared" si="17"/>
        <v/>
      </c>
      <c r="Y265">
        <f t="shared" si="18"/>
        <v>0.37452711399999999</v>
      </c>
    </row>
    <row r="266" spans="1:25" hidden="1" x14ac:dyDescent="0.4">
      <c r="A266" t="s">
        <v>20</v>
      </c>
      <c r="B266">
        <v>5497031</v>
      </c>
      <c r="C266" t="s">
        <v>207</v>
      </c>
      <c r="D266" t="s">
        <v>21</v>
      </c>
      <c r="E266" t="s">
        <v>140</v>
      </c>
      <c r="K266">
        <v>130.616861175</v>
      </c>
      <c r="M266">
        <v>130.616861175</v>
      </c>
      <c r="P266" s="1" t="s">
        <v>1395</v>
      </c>
      <c r="Q266" s="1" t="s">
        <v>1396</v>
      </c>
      <c r="R266">
        <v>0.24305153199999999</v>
      </c>
      <c r="S266">
        <v>10.119999999999999</v>
      </c>
      <c r="T266" s="2">
        <v>45781</v>
      </c>
      <c r="V266" t="str">
        <f t="shared" si="16"/>
        <v>S-5497031</v>
      </c>
      <c r="W266">
        <f t="shared" si="19"/>
        <v>0</v>
      </c>
      <c r="X266" t="str">
        <f t="shared" si="17"/>
        <v/>
      </c>
      <c r="Y266">
        <f t="shared" si="18"/>
        <v>0.24305153199999999</v>
      </c>
    </row>
    <row r="267" spans="1:25" hidden="1" x14ac:dyDescent="0.4">
      <c r="A267" t="s">
        <v>20</v>
      </c>
      <c r="B267">
        <v>5497031</v>
      </c>
      <c r="C267" t="s">
        <v>207</v>
      </c>
      <c r="D267" t="s">
        <v>21</v>
      </c>
      <c r="E267" t="s">
        <v>147</v>
      </c>
      <c r="K267">
        <v>69.547849337000002</v>
      </c>
      <c r="M267">
        <v>69.547849337000002</v>
      </c>
      <c r="P267" s="1" t="s">
        <v>1761</v>
      </c>
      <c r="Q267" s="1" t="s">
        <v>1762</v>
      </c>
      <c r="R267">
        <v>0.143277499</v>
      </c>
      <c r="S267">
        <v>14.05</v>
      </c>
      <c r="T267" s="2">
        <v>45781</v>
      </c>
      <c r="V267" t="str">
        <f t="shared" si="16"/>
        <v>S-5497031</v>
      </c>
      <c r="W267">
        <f t="shared" si="19"/>
        <v>0</v>
      </c>
      <c r="X267" t="str">
        <f t="shared" si="17"/>
        <v/>
      </c>
      <c r="Y267">
        <f t="shared" si="18"/>
        <v>0.143277499</v>
      </c>
    </row>
    <row r="268" spans="1:25" hidden="1" x14ac:dyDescent="0.4">
      <c r="A268" t="s">
        <v>20</v>
      </c>
      <c r="B268">
        <v>5497031</v>
      </c>
      <c r="C268" t="s">
        <v>207</v>
      </c>
      <c r="D268" t="s">
        <v>21</v>
      </c>
      <c r="E268" t="s">
        <v>22</v>
      </c>
      <c r="K268">
        <v>159.28097488700001</v>
      </c>
      <c r="L268">
        <v>159.28097488700001</v>
      </c>
      <c r="M268">
        <v>0</v>
      </c>
      <c r="N268">
        <v>0</v>
      </c>
      <c r="O268">
        <v>0</v>
      </c>
      <c r="P268" s="1" t="s">
        <v>208</v>
      </c>
      <c r="Q268">
        <v>1</v>
      </c>
      <c r="R268">
        <v>0</v>
      </c>
      <c r="S268">
        <v>0</v>
      </c>
      <c r="T268" s="2">
        <v>45781</v>
      </c>
      <c r="V268" t="str">
        <f t="shared" si="16"/>
        <v>S-5497031</v>
      </c>
      <c r="W268">
        <f t="shared" si="19"/>
        <v>0</v>
      </c>
      <c r="X268" t="str">
        <f t="shared" si="17"/>
        <v/>
      </c>
      <c r="Y268">
        <f t="shared" si="18"/>
        <v>0</v>
      </c>
    </row>
    <row r="269" spans="1:25" hidden="1" x14ac:dyDescent="0.4">
      <c r="A269" t="s">
        <v>20</v>
      </c>
      <c r="B269">
        <v>5504231</v>
      </c>
      <c r="C269" t="s">
        <v>209</v>
      </c>
      <c r="D269" t="s">
        <v>21</v>
      </c>
      <c r="E269" t="s">
        <v>137</v>
      </c>
      <c r="K269">
        <v>210.997879883</v>
      </c>
      <c r="M269">
        <v>210.997879883</v>
      </c>
      <c r="P269" s="1" t="s">
        <v>666</v>
      </c>
      <c r="Q269" s="1" t="s">
        <v>667</v>
      </c>
      <c r="R269">
        <v>0.410943844</v>
      </c>
      <c r="S269">
        <v>16.190000000000001</v>
      </c>
      <c r="T269" s="2">
        <v>45782</v>
      </c>
      <c r="V269" t="str">
        <f t="shared" si="16"/>
        <v>S-5504231</v>
      </c>
      <c r="W269">
        <f t="shared" si="19"/>
        <v>0</v>
      </c>
      <c r="X269" t="str">
        <f t="shared" si="17"/>
        <v/>
      </c>
      <c r="Y269">
        <f t="shared" si="18"/>
        <v>0.410943844</v>
      </c>
    </row>
    <row r="270" spans="1:25" hidden="1" x14ac:dyDescent="0.4">
      <c r="A270" t="s">
        <v>20</v>
      </c>
      <c r="B270">
        <v>5504231</v>
      </c>
      <c r="C270" t="s">
        <v>209</v>
      </c>
      <c r="D270" t="s">
        <v>21</v>
      </c>
      <c r="E270" t="s">
        <v>156</v>
      </c>
      <c r="K270">
        <v>133.640175994</v>
      </c>
      <c r="M270">
        <v>133.640175994</v>
      </c>
      <c r="P270" s="1" t="s">
        <v>1030</v>
      </c>
      <c r="Q270" s="1" t="s">
        <v>1031</v>
      </c>
      <c r="R270">
        <v>0.370599185</v>
      </c>
      <c r="S270">
        <v>20.02</v>
      </c>
      <c r="T270" s="2">
        <v>45782</v>
      </c>
      <c r="V270" t="str">
        <f t="shared" si="16"/>
        <v>S-5504231</v>
      </c>
      <c r="W270">
        <f t="shared" si="19"/>
        <v>0</v>
      </c>
      <c r="X270" t="str">
        <f t="shared" si="17"/>
        <v/>
      </c>
      <c r="Y270">
        <f t="shared" si="18"/>
        <v>0.370599185</v>
      </c>
    </row>
    <row r="271" spans="1:25" hidden="1" x14ac:dyDescent="0.4">
      <c r="A271" t="s">
        <v>20</v>
      </c>
      <c r="B271">
        <v>5504231</v>
      </c>
      <c r="C271" t="s">
        <v>209</v>
      </c>
      <c r="D271" t="s">
        <v>21</v>
      </c>
      <c r="E271" t="s">
        <v>140</v>
      </c>
      <c r="K271">
        <v>130.861641362</v>
      </c>
      <c r="M271">
        <v>130.861641362</v>
      </c>
      <c r="P271" s="1" t="s">
        <v>1397</v>
      </c>
      <c r="Q271" s="1" t="s">
        <v>1398</v>
      </c>
      <c r="R271">
        <v>0.24478018700000001</v>
      </c>
      <c r="S271">
        <v>11.45</v>
      </c>
      <c r="T271" s="2">
        <v>45782</v>
      </c>
      <c r="V271" t="str">
        <f t="shared" si="16"/>
        <v>S-5504231</v>
      </c>
      <c r="W271">
        <f t="shared" si="19"/>
        <v>0</v>
      </c>
      <c r="X271" t="str">
        <f t="shared" si="17"/>
        <v/>
      </c>
      <c r="Y271">
        <f t="shared" si="18"/>
        <v>0.24478018700000001</v>
      </c>
    </row>
    <row r="272" spans="1:25" hidden="1" x14ac:dyDescent="0.4">
      <c r="A272" t="s">
        <v>20</v>
      </c>
      <c r="B272">
        <v>5504231</v>
      </c>
      <c r="C272" t="s">
        <v>209</v>
      </c>
      <c r="D272" t="s">
        <v>21</v>
      </c>
      <c r="E272" t="s">
        <v>147</v>
      </c>
      <c r="K272">
        <v>69.691855196999995</v>
      </c>
      <c r="M272">
        <v>69.691855196999995</v>
      </c>
      <c r="P272" s="1" t="s">
        <v>1763</v>
      </c>
      <c r="Q272" s="1" t="s">
        <v>1764</v>
      </c>
      <c r="R272">
        <v>0.14400586000000001</v>
      </c>
      <c r="S272">
        <v>15.55</v>
      </c>
      <c r="T272" s="2">
        <v>45782</v>
      </c>
      <c r="V272" t="str">
        <f t="shared" si="16"/>
        <v>S-5504231</v>
      </c>
      <c r="W272">
        <f t="shared" si="19"/>
        <v>0</v>
      </c>
      <c r="X272" t="str">
        <f t="shared" si="17"/>
        <v/>
      </c>
      <c r="Y272">
        <f t="shared" si="18"/>
        <v>0.14400586000000001</v>
      </c>
    </row>
    <row r="273" spans="1:25" hidden="1" x14ac:dyDescent="0.4">
      <c r="A273" t="s">
        <v>20</v>
      </c>
      <c r="B273">
        <v>5504231</v>
      </c>
      <c r="C273" t="s">
        <v>209</v>
      </c>
      <c r="D273" t="s">
        <v>21</v>
      </c>
      <c r="E273" t="s">
        <v>22</v>
      </c>
      <c r="K273">
        <v>159.28097488700001</v>
      </c>
      <c r="L273">
        <v>159.28097488700001</v>
      </c>
      <c r="M273">
        <v>0</v>
      </c>
      <c r="N273">
        <v>0</v>
      </c>
      <c r="O273">
        <v>0</v>
      </c>
      <c r="P273" s="1" t="s">
        <v>210</v>
      </c>
      <c r="Q273">
        <v>1</v>
      </c>
      <c r="R273">
        <v>0</v>
      </c>
      <c r="S273">
        <v>0</v>
      </c>
      <c r="T273" s="2">
        <v>45782</v>
      </c>
      <c r="V273" t="str">
        <f t="shared" si="16"/>
        <v>S-5504231</v>
      </c>
      <c r="W273">
        <f t="shared" si="19"/>
        <v>0</v>
      </c>
      <c r="X273" t="str">
        <f t="shared" si="17"/>
        <v/>
      </c>
      <c r="Y273">
        <f t="shared" si="18"/>
        <v>0</v>
      </c>
    </row>
    <row r="274" spans="1:25" hidden="1" x14ac:dyDescent="0.4">
      <c r="A274" t="s">
        <v>20</v>
      </c>
      <c r="B274">
        <v>5511431</v>
      </c>
      <c r="C274" t="s">
        <v>211</v>
      </c>
      <c r="D274" t="s">
        <v>21</v>
      </c>
      <c r="E274" t="s">
        <v>137</v>
      </c>
      <c r="K274">
        <v>211.41220240999999</v>
      </c>
      <c r="M274">
        <v>211.41220240999999</v>
      </c>
      <c r="P274" s="1" t="s">
        <v>668</v>
      </c>
      <c r="Q274" s="1" t="s">
        <v>669</v>
      </c>
      <c r="R274">
        <v>0.414322527</v>
      </c>
      <c r="S274">
        <v>15.95</v>
      </c>
      <c r="T274" s="2">
        <v>45783</v>
      </c>
      <c r="V274" t="str">
        <f t="shared" si="16"/>
        <v>S-5511431</v>
      </c>
      <c r="W274">
        <f t="shared" si="19"/>
        <v>0</v>
      </c>
      <c r="X274" t="str">
        <f t="shared" si="17"/>
        <v/>
      </c>
      <c r="Y274">
        <f t="shared" si="18"/>
        <v>0.414322527</v>
      </c>
    </row>
    <row r="275" spans="1:25" hidden="1" x14ac:dyDescent="0.4">
      <c r="A275" t="s">
        <v>20</v>
      </c>
      <c r="B275">
        <v>5511431</v>
      </c>
      <c r="C275" t="s">
        <v>211</v>
      </c>
      <c r="D275" t="s">
        <v>21</v>
      </c>
      <c r="E275" t="s">
        <v>156</v>
      </c>
      <c r="K275">
        <v>134.01522574000001</v>
      </c>
      <c r="M275">
        <v>134.01522574000001</v>
      </c>
      <c r="P275" s="1" t="s">
        <v>1032</v>
      </c>
      <c r="Q275" s="1" t="s">
        <v>1033</v>
      </c>
      <c r="R275">
        <v>0.37504974600000002</v>
      </c>
      <c r="S275">
        <v>19.649999999999999</v>
      </c>
      <c r="T275" s="2">
        <v>45783</v>
      </c>
      <c r="V275" t="str">
        <f t="shared" si="16"/>
        <v>S-5511431</v>
      </c>
      <c r="W275">
        <f t="shared" si="19"/>
        <v>0</v>
      </c>
      <c r="X275" t="str">
        <f t="shared" si="17"/>
        <v/>
      </c>
      <c r="Y275">
        <f t="shared" si="18"/>
        <v>0.37504974600000002</v>
      </c>
    </row>
    <row r="276" spans="1:25" hidden="1" x14ac:dyDescent="0.4">
      <c r="A276" t="s">
        <v>20</v>
      </c>
      <c r="B276">
        <v>5511431</v>
      </c>
      <c r="C276" t="s">
        <v>211</v>
      </c>
      <c r="D276" t="s">
        <v>21</v>
      </c>
      <c r="E276" t="s">
        <v>140</v>
      </c>
      <c r="K276">
        <v>131.10608291599999</v>
      </c>
      <c r="M276">
        <v>131.10608291599999</v>
      </c>
      <c r="P276" s="1" t="s">
        <v>1399</v>
      </c>
      <c r="Q276" s="1" t="s">
        <v>1400</v>
      </c>
      <c r="R276">
        <v>0.24444155400000001</v>
      </c>
      <c r="S276">
        <v>10.28</v>
      </c>
      <c r="T276" s="2">
        <v>45783</v>
      </c>
      <c r="V276" t="str">
        <f t="shared" si="16"/>
        <v>S-5511431</v>
      </c>
      <c r="W276">
        <f t="shared" si="19"/>
        <v>0</v>
      </c>
      <c r="X276" t="str">
        <f t="shared" si="17"/>
        <v/>
      </c>
      <c r="Y276">
        <f t="shared" si="18"/>
        <v>0.24444155400000001</v>
      </c>
    </row>
    <row r="277" spans="1:25" hidden="1" x14ac:dyDescent="0.4">
      <c r="A277" t="s">
        <v>20</v>
      </c>
      <c r="B277">
        <v>5511431</v>
      </c>
      <c r="C277" t="s">
        <v>211</v>
      </c>
      <c r="D277" t="s">
        <v>21</v>
      </c>
      <c r="E277" t="s">
        <v>147</v>
      </c>
      <c r="K277">
        <v>69.836809634000005</v>
      </c>
      <c r="M277">
        <v>69.836809634000005</v>
      </c>
      <c r="P277" s="1" t="s">
        <v>1765</v>
      </c>
      <c r="Q277" s="1" t="s">
        <v>1766</v>
      </c>
      <c r="R277">
        <v>0.14495443699999999</v>
      </c>
      <c r="S277">
        <v>14.79</v>
      </c>
      <c r="T277" s="2">
        <v>45783</v>
      </c>
      <c r="V277" t="str">
        <f t="shared" si="16"/>
        <v>S-5511431</v>
      </c>
      <c r="W277">
        <f t="shared" si="19"/>
        <v>0</v>
      </c>
      <c r="X277" t="str">
        <f t="shared" si="17"/>
        <v/>
      </c>
      <c r="Y277">
        <f t="shared" si="18"/>
        <v>0.14495443699999999</v>
      </c>
    </row>
    <row r="278" spans="1:25" hidden="1" x14ac:dyDescent="0.4">
      <c r="A278" t="s">
        <v>20</v>
      </c>
      <c r="B278">
        <v>5511431</v>
      </c>
      <c r="C278" t="s">
        <v>211</v>
      </c>
      <c r="D278" t="s">
        <v>21</v>
      </c>
      <c r="E278" t="s">
        <v>22</v>
      </c>
      <c r="K278">
        <v>159.28097488700001</v>
      </c>
      <c r="L278">
        <v>159.28097488700001</v>
      </c>
      <c r="M278">
        <v>0</v>
      </c>
      <c r="N278">
        <v>0</v>
      </c>
      <c r="O278">
        <v>0</v>
      </c>
      <c r="P278" s="1" t="s">
        <v>212</v>
      </c>
      <c r="Q278">
        <v>1</v>
      </c>
      <c r="R278">
        <v>0</v>
      </c>
      <c r="S278">
        <v>0</v>
      </c>
      <c r="T278" s="2">
        <v>45783</v>
      </c>
      <c r="V278" t="str">
        <f t="shared" si="16"/>
        <v>S-5511431</v>
      </c>
      <c r="W278">
        <f t="shared" si="19"/>
        <v>0</v>
      </c>
      <c r="X278" t="str">
        <f t="shared" si="17"/>
        <v/>
      </c>
      <c r="Y278">
        <f t="shared" si="18"/>
        <v>0</v>
      </c>
    </row>
    <row r="279" spans="1:25" hidden="1" x14ac:dyDescent="0.4">
      <c r="A279" t="s">
        <v>20</v>
      </c>
      <c r="B279">
        <v>5518631</v>
      </c>
      <c r="C279" t="s">
        <v>213</v>
      </c>
      <c r="D279" t="s">
        <v>21</v>
      </c>
      <c r="E279" t="s">
        <v>137</v>
      </c>
      <c r="K279">
        <v>211.83210337599999</v>
      </c>
      <c r="M279">
        <v>211.83210337599999</v>
      </c>
      <c r="P279" s="1" t="s">
        <v>670</v>
      </c>
      <c r="Q279" s="1" t="s">
        <v>671</v>
      </c>
      <c r="R279">
        <v>0.41990096599999999</v>
      </c>
      <c r="S279">
        <v>16.75</v>
      </c>
      <c r="T279" s="2">
        <v>45784</v>
      </c>
      <c r="V279" t="str">
        <f t="shared" si="16"/>
        <v>S-5518631</v>
      </c>
      <c r="W279">
        <f t="shared" si="19"/>
        <v>0</v>
      </c>
      <c r="X279" t="str">
        <f t="shared" si="17"/>
        <v/>
      </c>
      <c r="Y279">
        <f t="shared" si="18"/>
        <v>0.41990096599999999</v>
      </c>
    </row>
    <row r="280" spans="1:25" hidden="1" x14ac:dyDescent="0.4">
      <c r="A280" t="s">
        <v>20</v>
      </c>
      <c r="B280">
        <v>5518631</v>
      </c>
      <c r="C280" t="s">
        <v>213</v>
      </c>
      <c r="D280" t="s">
        <v>21</v>
      </c>
      <c r="E280" t="s">
        <v>156</v>
      </c>
      <c r="K280">
        <v>134.39365348300001</v>
      </c>
      <c r="M280">
        <v>134.39365348300001</v>
      </c>
      <c r="P280" s="1" t="s">
        <v>1034</v>
      </c>
      <c r="Q280" s="1" t="s">
        <v>1035</v>
      </c>
      <c r="R280">
        <v>0.37842774299999998</v>
      </c>
      <c r="S280">
        <v>19.11</v>
      </c>
      <c r="T280" s="2">
        <v>45784</v>
      </c>
      <c r="V280" t="str">
        <f t="shared" si="16"/>
        <v>S-5518631</v>
      </c>
      <c r="W280">
        <f t="shared" si="19"/>
        <v>0</v>
      </c>
      <c r="X280" t="str">
        <f t="shared" si="17"/>
        <v/>
      </c>
      <c r="Y280">
        <f t="shared" si="18"/>
        <v>0.37842774299999998</v>
      </c>
    </row>
    <row r="281" spans="1:25" hidden="1" x14ac:dyDescent="0.4">
      <c r="A281" t="s">
        <v>20</v>
      </c>
      <c r="B281">
        <v>5518631</v>
      </c>
      <c r="C281" t="s">
        <v>213</v>
      </c>
      <c r="D281" t="s">
        <v>21</v>
      </c>
      <c r="E281" t="s">
        <v>140</v>
      </c>
      <c r="K281">
        <v>131.35456048699999</v>
      </c>
      <c r="M281">
        <v>131.35456048699999</v>
      </c>
      <c r="P281" s="1" t="s">
        <v>1401</v>
      </c>
      <c r="Q281" s="1" t="s">
        <v>1402</v>
      </c>
      <c r="R281">
        <v>0.24847757100000001</v>
      </c>
      <c r="S281">
        <v>9.36</v>
      </c>
      <c r="T281" s="2">
        <v>45784</v>
      </c>
      <c r="V281" t="str">
        <f t="shared" si="16"/>
        <v>S-5518631</v>
      </c>
      <c r="W281">
        <f t="shared" si="19"/>
        <v>0</v>
      </c>
      <c r="X281" t="str">
        <f t="shared" si="17"/>
        <v/>
      </c>
      <c r="Y281">
        <f t="shared" si="18"/>
        <v>0.24847757100000001</v>
      </c>
    </row>
    <row r="282" spans="1:25" hidden="1" x14ac:dyDescent="0.4">
      <c r="A282" t="s">
        <v>20</v>
      </c>
      <c r="B282">
        <v>5518631</v>
      </c>
      <c r="C282" t="s">
        <v>213</v>
      </c>
      <c r="D282" t="s">
        <v>21</v>
      </c>
      <c r="E282" t="s">
        <v>147</v>
      </c>
      <c r="K282">
        <v>69.983469564000004</v>
      </c>
      <c r="M282">
        <v>69.983469564000004</v>
      </c>
      <c r="P282" s="1" t="s">
        <v>1767</v>
      </c>
      <c r="Q282" s="1" t="s">
        <v>1768</v>
      </c>
      <c r="R282">
        <v>0.14665992999999999</v>
      </c>
      <c r="S282">
        <v>14.47</v>
      </c>
      <c r="T282" s="2">
        <v>45784</v>
      </c>
      <c r="V282" t="str">
        <f t="shared" si="16"/>
        <v>S-5518631</v>
      </c>
      <c r="W282">
        <f t="shared" si="19"/>
        <v>0</v>
      </c>
      <c r="X282" t="str">
        <f t="shared" si="17"/>
        <v/>
      </c>
      <c r="Y282">
        <f t="shared" si="18"/>
        <v>0.14665992999999999</v>
      </c>
    </row>
    <row r="283" spans="1:25" hidden="1" x14ac:dyDescent="0.4">
      <c r="A283" t="s">
        <v>20</v>
      </c>
      <c r="B283">
        <v>5518631</v>
      </c>
      <c r="C283" t="s">
        <v>213</v>
      </c>
      <c r="D283" t="s">
        <v>21</v>
      </c>
      <c r="E283" t="s">
        <v>22</v>
      </c>
      <c r="K283">
        <v>159.28097488700001</v>
      </c>
      <c r="L283">
        <v>159.28097488700001</v>
      </c>
      <c r="M283">
        <v>0</v>
      </c>
      <c r="N283">
        <v>0</v>
      </c>
      <c r="O283">
        <v>0</v>
      </c>
      <c r="P283" s="1" t="s">
        <v>214</v>
      </c>
      <c r="Q283">
        <v>1</v>
      </c>
      <c r="R283">
        <v>0</v>
      </c>
      <c r="S283">
        <v>0</v>
      </c>
      <c r="T283" s="2">
        <v>45784</v>
      </c>
      <c r="V283" t="str">
        <f t="shared" si="16"/>
        <v>S-5518631</v>
      </c>
      <c r="W283">
        <f t="shared" si="19"/>
        <v>0</v>
      </c>
      <c r="X283" t="str">
        <f t="shared" si="17"/>
        <v/>
      </c>
      <c r="Y283">
        <f t="shared" si="18"/>
        <v>0</v>
      </c>
    </row>
    <row r="284" spans="1:25" hidden="1" x14ac:dyDescent="0.4">
      <c r="A284" t="s">
        <v>20</v>
      </c>
      <c r="B284">
        <v>5525831</v>
      </c>
      <c r="C284" t="s">
        <v>215</v>
      </c>
      <c r="D284" t="s">
        <v>21</v>
      </c>
      <c r="E284" t="s">
        <v>137</v>
      </c>
      <c r="K284">
        <v>212.254298858</v>
      </c>
      <c r="M284">
        <v>212.254298858</v>
      </c>
      <c r="P284" s="1" t="s">
        <v>672</v>
      </c>
      <c r="Q284" s="1" t="s">
        <v>673</v>
      </c>
      <c r="R284">
        <v>0.42219548200000001</v>
      </c>
      <c r="S284">
        <v>18.34</v>
      </c>
      <c r="T284" s="2">
        <v>45785</v>
      </c>
      <c r="V284" t="str">
        <f t="shared" si="16"/>
        <v>S-5525831</v>
      </c>
      <c r="W284">
        <f t="shared" si="19"/>
        <v>0</v>
      </c>
      <c r="X284" t="str">
        <f t="shared" si="17"/>
        <v/>
      </c>
      <c r="Y284">
        <f t="shared" si="18"/>
        <v>0.42219548200000001</v>
      </c>
    </row>
    <row r="285" spans="1:25" hidden="1" x14ac:dyDescent="0.4">
      <c r="A285" t="s">
        <v>20</v>
      </c>
      <c r="B285">
        <v>5525831</v>
      </c>
      <c r="C285" t="s">
        <v>215</v>
      </c>
      <c r="D285" t="s">
        <v>21</v>
      </c>
      <c r="E285" t="s">
        <v>156</v>
      </c>
      <c r="K285">
        <v>134.775485215</v>
      </c>
      <c r="M285">
        <v>134.775485215</v>
      </c>
      <c r="P285" s="1" t="s">
        <v>1036</v>
      </c>
      <c r="Q285" s="1" t="s">
        <v>1037</v>
      </c>
      <c r="R285">
        <v>0.38183173199999998</v>
      </c>
      <c r="S285">
        <v>20.7</v>
      </c>
      <c r="T285" s="2">
        <v>45785</v>
      </c>
      <c r="V285" t="str">
        <f t="shared" si="16"/>
        <v>S-5525831</v>
      </c>
      <c r="W285">
        <f t="shared" si="19"/>
        <v>0</v>
      </c>
      <c r="X285" t="str">
        <f t="shared" si="17"/>
        <v/>
      </c>
      <c r="Y285">
        <f t="shared" si="18"/>
        <v>0.38183173199999998</v>
      </c>
    </row>
    <row r="286" spans="1:25" hidden="1" x14ac:dyDescent="0.4">
      <c r="A286" t="s">
        <v>20</v>
      </c>
      <c r="B286">
        <v>5525831</v>
      </c>
      <c r="C286" t="s">
        <v>215</v>
      </c>
      <c r="D286" t="s">
        <v>21</v>
      </c>
      <c r="E286" t="s">
        <v>140</v>
      </c>
      <c r="K286">
        <v>131.60697232000001</v>
      </c>
      <c r="M286">
        <v>131.60697232000001</v>
      </c>
      <c r="P286" s="1" t="s">
        <v>1403</v>
      </c>
      <c r="Q286" s="1" t="s">
        <v>1404</v>
      </c>
      <c r="R286">
        <v>0.25241183299999997</v>
      </c>
      <c r="S286">
        <v>10.34</v>
      </c>
      <c r="T286" s="2">
        <v>45785</v>
      </c>
      <c r="V286" t="str">
        <f t="shared" si="16"/>
        <v>S-5525831</v>
      </c>
      <c r="W286">
        <f t="shared" si="19"/>
        <v>0</v>
      </c>
      <c r="X286" t="str">
        <f t="shared" si="17"/>
        <v/>
      </c>
      <c r="Y286">
        <f t="shared" si="18"/>
        <v>0.25241183299999997</v>
      </c>
    </row>
    <row r="287" spans="1:25" hidden="1" x14ac:dyDescent="0.4">
      <c r="A287" t="s">
        <v>20</v>
      </c>
      <c r="B287">
        <v>5525831</v>
      </c>
      <c r="C287" t="s">
        <v>215</v>
      </c>
      <c r="D287" t="s">
        <v>21</v>
      </c>
      <c r="E287" t="s">
        <v>147</v>
      </c>
      <c r="K287">
        <v>70.130951742999997</v>
      </c>
      <c r="M287">
        <v>70.130951742999997</v>
      </c>
      <c r="P287" s="1" t="s">
        <v>1769</v>
      </c>
      <c r="Q287" s="1" t="s">
        <v>1770</v>
      </c>
      <c r="R287">
        <v>0.14748217899999999</v>
      </c>
      <c r="S287">
        <v>15.71</v>
      </c>
      <c r="T287" s="2">
        <v>45785</v>
      </c>
      <c r="V287" t="str">
        <f t="shared" si="16"/>
        <v>S-5525831</v>
      </c>
      <c r="W287">
        <f t="shared" si="19"/>
        <v>0</v>
      </c>
      <c r="X287" t="str">
        <f t="shared" si="17"/>
        <v/>
      </c>
      <c r="Y287">
        <f t="shared" si="18"/>
        <v>0.14748217899999999</v>
      </c>
    </row>
    <row r="288" spans="1:25" hidden="1" x14ac:dyDescent="0.4">
      <c r="A288" t="s">
        <v>20</v>
      </c>
      <c r="B288">
        <v>5525831</v>
      </c>
      <c r="C288" t="s">
        <v>215</v>
      </c>
      <c r="D288" t="s">
        <v>21</v>
      </c>
      <c r="E288" t="s">
        <v>22</v>
      </c>
      <c r="K288">
        <v>159.28097488700001</v>
      </c>
      <c r="L288">
        <v>159.28097488700001</v>
      </c>
      <c r="M288">
        <v>0</v>
      </c>
      <c r="N288">
        <v>0</v>
      </c>
      <c r="O288">
        <v>0</v>
      </c>
      <c r="P288" s="1" t="s">
        <v>216</v>
      </c>
      <c r="Q288">
        <v>1</v>
      </c>
      <c r="R288">
        <v>0</v>
      </c>
      <c r="S288">
        <v>0</v>
      </c>
      <c r="T288" s="2">
        <v>45785</v>
      </c>
      <c r="V288" t="str">
        <f t="shared" si="16"/>
        <v>S-5525831</v>
      </c>
      <c r="W288">
        <f t="shared" si="19"/>
        <v>0</v>
      </c>
      <c r="X288" t="str">
        <f t="shared" si="17"/>
        <v/>
      </c>
      <c r="Y288">
        <f t="shared" si="18"/>
        <v>0</v>
      </c>
    </row>
    <row r="289" spans="1:25" hidden="1" x14ac:dyDescent="0.4">
      <c r="A289" t="s">
        <v>20</v>
      </c>
      <c r="B289">
        <v>5533031</v>
      </c>
      <c r="C289" t="s">
        <v>217</v>
      </c>
      <c r="D289" t="s">
        <v>21</v>
      </c>
      <c r="E289" t="s">
        <v>137</v>
      </c>
      <c r="K289">
        <v>212.660056795</v>
      </c>
      <c r="M289">
        <v>212.660056795</v>
      </c>
      <c r="P289" s="1" t="s">
        <v>674</v>
      </c>
      <c r="Q289" s="1" t="s">
        <v>675</v>
      </c>
      <c r="R289">
        <v>0.40575793700000001</v>
      </c>
      <c r="S289">
        <v>15.39</v>
      </c>
      <c r="T289" s="2">
        <v>45786</v>
      </c>
      <c r="V289" t="str">
        <f t="shared" si="16"/>
        <v>S-5533031</v>
      </c>
      <c r="W289">
        <f t="shared" si="19"/>
        <v>0</v>
      </c>
      <c r="X289" t="str">
        <f t="shared" si="17"/>
        <v/>
      </c>
      <c r="Y289">
        <f t="shared" si="18"/>
        <v>0.40575793700000001</v>
      </c>
    </row>
    <row r="290" spans="1:25" hidden="1" x14ac:dyDescent="0.4">
      <c r="A290" t="s">
        <v>20</v>
      </c>
      <c r="B290">
        <v>5533031</v>
      </c>
      <c r="C290" t="s">
        <v>217</v>
      </c>
      <c r="D290" t="s">
        <v>21</v>
      </c>
      <c r="E290" t="s">
        <v>156</v>
      </c>
      <c r="K290">
        <v>135.152143123</v>
      </c>
      <c r="M290">
        <v>135.152143123</v>
      </c>
      <c r="P290" s="1" t="s">
        <v>1038</v>
      </c>
      <c r="Q290" s="1" t="s">
        <v>1039</v>
      </c>
      <c r="R290">
        <v>0.37665790799999999</v>
      </c>
      <c r="S290">
        <v>19.59</v>
      </c>
      <c r="T290" s="2">
        <v>45786</v>
      </c>
      <c r="V290" t="str">
        <f t="shared" si="16"/>
        <v>S-5533031</v>
      </c>
      <c r="W290">
        <f t="shared" si="19"/>
        <v>0</v>
      </c>
      <c r="X290" t="str">
        <f t="shared" si="17"/>
        <v/>
      </c>
      <c r="Y290">
        <f t="shared" si="18"/>
        <v>0.37665790799999999</v>
      </c>
    </row>
    <row r="291" spans="1:25" hidden="1" x14ac:dyDescent="0.4">
      <c r="A291" t="s">
        <v>20</v>
      </c>
      <c r="B291">
        <v>5533031</v>
      </c>
      <c r="C291" t="s">
        <v>217</v>
      </c>
      <c r="D291" t="s">
        <v>21</v>
      </c>
      <c r="E291" t="s">
        <v>140</v>
      </c>
      <c r="K291">
        <v>131.860625664</v>
      </c>
      <c r="M291">
        <v>131.860625664</v>
      </c>
      <c r="P291" s="1" t="s">
        <v>1405</v>
      </c>
      <c r="Q291" s="1" t="s">
        <v>1406</v>
      </c>
      <c r="R291">
        <v>0.253653344</v>
      </c>
      <c r="S291">
        <v>11.3</v>
      </c>
      <c r="T291" s="2">
        <v>45786</v>
      </c>
      <c r="V291" t="str">
        <f t="shared" si="16"/>
        <v>S-5533031</v>
      </c>
      <c r="W291">
        <f t="shared" si="19"/>
        <v>0</v>
      </c>
      <c r="X291" t="str">
        <f t="shared" si="17"/>
        <v/>
      </c>
      <c r="Y291">
        <f t="shared" si="18"/>
        <v>0.253653344</v>
      </c>
    </row>
    <row r="292" spans="1:25" hidden="1" x14ac:dyDescent="0.4">
      <c r="A292" t="s">
        <v>20</v>
      </c>
      <c r="B292">
        <v>5533031</v>
      </c>
      <c r="C292" t="s">
        <v>217</v>
      </c>
      <c r="D292" t="s">
        <v>21</v>
      </c>
      <c r="E292" t="s">
        <v>147</v>
      </c>
      <c r="K292">
        <v>70.278748397000001</v>
      </c>
      <c r="M292">
        <v>70.278748397000001</v>
      </c>
      <c r="P292" s="1" t="s">
        <v>1771</v>
      </c>
      <c r="Q292" s="1" t="s">
        <v>1772</v>
      </c>
      <c r="R292">
        <v>0.147796654</v>
      </c>
      <c r="S292">
        <v>16.38</v>
      </c>
      <c r="T292" s="2">
        <v>45786</v>
      </c>
      <c r="V292" t="str">
        <f t="shared" si="16"/>
        <v>S-5533031</v>
      </c>
      <c r="W292">
        <f t="shared" si="19"/>
        <v>0</v>
      </c>
      <c r="X292" t="str">
        <f t="shared" si="17"/>
        <v/>
      </c>
      <c r="Y292">
        <f t="shared" si="18"/>
        <v>0.147796654</v>
      </c>
    </row>
    <row r="293" spans="1:25" hidden="1" x14ac:dyDescent="0.4">
      <c r="A293" t="s">
        <v>20</v>
      </c>
      <c r="B293">
        <v>5533031</v>
      </c>
      <c r="C293" t="s">
        <v>217</v>
      </c>
      <c r="D293" t="s">
        <v>21</v>
      </c>
      <c r="E293" t="s">
        <v>22</v>
      </c>
      <c r="K293">
        <v>159.28097488700001</v>
      </c>
      <c r="L293">
        <v>159.28097488700001</v>
      </c>
      <c r="M293">
        <v>0</v>
      </c>
      <c r="N293">
        <v>0</v>
      </c>
      <c r="O293">
        <v>0</v>
      </c>
      <c r="P293" s="1" t="s">
        <v>218</v>
      </c>
      <c r="Q293">
        <v>1</v>
      </c>
      <c r="R293">
        <v>0</v>
      </c>
      <c r="S293">
        <v>0</v>
      </c>
      <c r="T293" s="2">
        <v>45786</v>
      </c>
      <c r="V293" t="str">
        <f t="shared" si="16"/>
        <v>S-5533031</v>
      </c>
      <c r="W293">
        <f t="shared" si="19"/>
        <v>0</v>
      </c>
      <c r="X293" t="str">
        <f t="shared" si="17"/>
        <v/>
      </c>
      <c r="Y293">
        <f t="shared" si="18"/>
        <v>0</v>
      </c>
    </row>
    <row r="294" spans="1:25" hidden="1" x14ac:dyDescent="0.4">
      <c r="A294" t="s">
        <v>20</v>
      </c>
      <c r="B294">
        <v>5540231</v>
      </c>
      <c r="C294" t="s">
        <v>219</v>
      </c>
      <c r="D294" t="s">
        <v>21</v>
      </c>
      <c r="E294" t="s">
        <v>137</v>
      </c>
      <c r="K294">
        <v>213.07748115800001</v>
      </c>
      <c r="M294">
        <v>213.07748115800001</v>
      </c>
      <c r="P294" s="1" t="s">
        <v>676</v>
      </c>
      <c r="Q294" s="1" t="s">
        <v>677</v>
      </c>
      <c r="R294">
        <v>0.41742436300000002</v>
      </c>
      <c r="S294">
        <v>19.14</v>
      </c>
      <c r="T294" s="2">
        <v>45787</v>
      </c>
      <c r="V294" t="str">
        <f t="shared" si="16"/>
        <v>S-5540231</v>
      </c>
      <c r="W294">
        <f t="shared" si="19"/>
        <v>0</v>
      </c>
      <c r="X294" t="str">
        <f t="shared" si="17"/>
        <v/>
      </c>
      <c r="Y294">
        <f t="shared" si="18"/>
        <v>0.41742436300000002</v>
      </c>
    </row>
    <row r="295" spans="1:25" hidden="1" x14ac:dyDescent="0.4">
      <c r="A295" t="s">
        <v>20</v>
      </c>
      <c r="B295">
        <v>5540231</v>
      </c>
      <c r="C295" t="s">
        <v>219</v>
      </c>
      <c r="D295" t="s">
        <v>21</v>
      </c>
      <c r="E295" t="s">
        <v>156</v>
      </c>
      <c r="K295">
        <v>135.54718764899999</v>
      </c>
      <c r="M295">
        <v>135.54718764899999</v>
      </c>
      <c r="P295" s="1" t="s">
        <v>1040</v>
      </c>
      <c r="Q295" s="1" t="s">
        <v>1041</v>
      </c>
      <c r="R295">
        <v>0.39504452600000001</v>
      </c>
      <c r="S295">
        <v>22.52</v>
      </c>
      <c r="T295" s="2">
        <v>45787</v>
      </c>
      <c r="V295" t="str">
        <f t="shared" si="16"/>
        <v>S-5540231</v>
      </c>
      <c r="W295">
        <f t="shared" si="19"/>
        <v>0</v>
      </c>
      <c r="X295" t="str">
        <f t="shared" si="17"/>
        <v/>
      </c>
      <c r="Y295">
        <f t="shared" si="18"/>
        <v>0.39504452600000001</v>
      </c>
    </row>
    <row r="296" spans="1:25" hidden="1" x14ac:dyDescent="0.4">
      <c r="A296" t="s">
        <v>20</v>
      </c>
      <c r="B296">
        <v>5540231</v>
      </c>
      <c r="C296" t="s">
        <v>219</v>
      </c>
      <c r="D296" t="s">
        <v>21</v>
      </c>
      <c r="E296" t="s">
        <v>140</v>
      </c>
      <c r="K296">
        <v>132.10249133100001</v>
      </c>
      <c r="M296">
        <v>132.10249133100001</v>
      </c>
      <c r="P296" s="1" t="s">
        <v>1407</v>
      </c>
      <c r="Q296" s="1" t="s">
        <v>1408</v>
      </c>
      <c r="R296">
        <v>0.24186566700000001</v>
      </c>
      <c r="S296">
        <v>13.42</v>
      </c>
      <c r="T296" s="2">
        <v>45787</v>
      </c>
      <c r="V296" t="str">
        <f t="shared" si="16"/>
        <v>S-5540231</v>
      </c>
      <c r="W296">
        <f t="shared" si="19"/>
        <v>0</v>
      </c>
      <c r="X296" t="str">
        <f t="shared" si="17"/>
        <v/>
      </c>
      <c r="Y296">
        <f t="shared" si="18"/>
        <v>0.24186566700000001</v>
      </c>
    </row>
    <row r="297" spans="1:25" hidden="1" x14ac:dyDescent="0.4">
      <c r="A297" t="s">
        <v>20</v>
      </c>
      <c r="B297">
        <v>5540231</v>
      </c>
      <c r="C297" t="s">
        <v>219</v>
      </c>
      <c r="D297" t="s">
        <v>21</v>
      </c>
      <c r="E297" t="s">
        <v>147</v>
      </c>
      <c r="K297">
        <v>70.423739183999999</v>
      </c>
      <c r="M297">
        <v>70.423739183999999</v>
      </c>
      <c r="P297" s="1" t="s">
        <v>1773</v>
      </c>
      <c r="Q297" s="1" t="s">
        <v>1774</v>
      </c>
      <c r="R297">
        <v>0.14499078700000001</v>
      </c>
      <c r="S297">
        <v>18.29</v>
      </c>
      <c r="T297" s="2">
        <v>45787</v>
      </c>
      <c r="V297" t="str">
        <f t="shared" si="16"/>
        <v>S-5540231</v>
      </c>
      <c r="W297">
        <f t="shared" si="19"/>
        <v>0</v>
      </c>
      <c r="X297" t="str">
        <f t="shared" si="17"/>
        <v/>
      </c>
      <c r="Y297">
        <f t="shared" si="18"/>
        <v>0.14499078700000001</v>
      </c>
    </row>
    <row r="298" spans="1:25" hidden="1" x14ac:dyDescent="0.4">
      <c r="A298" t="s">
        <v>20</v>
      </c>
      <c r="B298">
        <v>5540231</v>
      </c>
      <c r="C298" t="s">
        <v>219</v>
      </c>
      <c r="D298" t="s">
        <v>21</v>
      </c>
      <c r="E298" t="s">
        <v>22</v>
      </c>
      <c r="K298">
        <v>159.28097488700001</v>
      </c>
      <c r="L298">
        <v>159.28097488700001</v>
      </c>
      <c r="M298">
        <v>0</v>
      </c>
      <c r="N298">
        <v>0</v>
      </c>
      <c r="O298">
        <v>0</v>
      </c>
      <c r="P298" s="1" t="s">
        <v>220</v>
      </c>
      <c r="Q298">
        <v>1</v>
      </c>
      <c r="R298">
        <v>0</v>
      </c>
      <c r="S298">
        <v>0</v>
      </c>
      <c r="T298" s="2">
        <v>45787</v>
      </c>
      <c r="V298" t="str">
        <f t="shared" si="16"/>
        <v>S-5540231</v>
      </c>
      <c r="W298">
        <f t="shared" si="19"/>
        <v>0</v>
      </c>
      <c r="X298" t="str">
        <f t="shared" si="17"/>
        <v/>
      </c>
      <c r="Y298">
        <f t="shared" si="18"/>
        <v>0</v>
      </c>
    </row>
    <row r="299" spans="1:25" hidden="1" x14ac:dyDescent="0.4">
      <c r="A299" t="s">
        <v>20</v>
      </c>
      <c r="B299">
        <v>5547431</v>
      </c>
      <c r="C299" t="s">
        <v>221</v>
      </c>
      <c r="D299" t="s">
        <v>21</v>
      </c>
      <c r="E299" t="s">
        <v>137</v>
      </c>
      <c r="K299">
        <v>213.499228507</v>
      </c>
      <c r="M299">
        <v>213.499228507</v>
      </c>
      <c r="P299" s="1" t="s">
        <v>678</v>
      </c>
      <c r="Q299" s="1" t="s">
        <v>679</v>
      </c>
      <c r="R299">
        <v>0.42174734899999999</v>
      </c>
      <c r="S299">
        <v>17.25</v>
      </c>
      <c r="T299" s="2">
        <v>45788</v>
      </c>
      <c r="V299" t="str">
        <f t="shared" si="16"/>
        <v>S-5547431</v>
      </c>
      <c r="W299">
        <f t="shared" si="19"/>
        <v>0</v>
      </c>
      <c r="X299" t="str">
        <f t="shared" si="17"/>
        <v/>
      </c>
      <c r="Y299">
        <f t="shared" si="18"/>
        <v>0.42174734899999999</v>
      </c>
    </row>
    <row r="300" spans="1:25" hidden="1" x14ac:dyDescent="0.4">
      <c r="A300" t="s">
        <v>20</v>
      </c>
      <c r="B300">
        <v>5547431</v>
      </c>
      <c r="C300" t="s">
        <v>221</v>
      </c>
      <c r="D300" t="s">
        <v>21</v>
      </c>
      <c r="E300" t="s">
        <v>156</v>
      </c>
      <c r="K300">
        <v>135.95179738499999</v>
      </c>
      <c r="M300">
        <v>135.95179738499999</v>
      </c>
      <c r="P300" s="1" t="s">
        <v>1042</v>
      </c>
      <c r="Q300" s="1" t="s">
        <v>1043</v>
      </c>
      <c r="R300">
        <v>0.404609736</v>
      </c>
      <c r="S300">
        <v>22.35</v>
      </c>
      <c r="T300" s="2">
        <v>45788</v>
      </c>
      <c r="V300" t="str">
        <f t="shared" si="16"/>
        <v>S-5547431</v>
      </c>
      <c r="W300">
        <f t="shared" si="19"/>
        <v>0</v>
      </c>
      <c r="X300" t="str">
        <f t="shared" si="17"/>
        <v/>
      </c>
      <c r="Y300">
        <f t="shared" si="18"/>
        <v>0.404609736</v>
      </c>
    </row>
    <row r="301" spans="1:25" hidden="1" x14ac:dyDescent="0.4">
      <c r="A301" t="s">
        <v>20</v>
      </c>
      <c r="B301">
        <v>5547431</v>
      </c>
      <c r="C301" t="s">
        <v>221</v>
      </c>
      <c r="D301" t="s">
        <v>21</v>
      </c>
      <c r="E301" t="s">
        <v>140</v>
      </c>
      <c r="K301">
        <v>132.340986824</v>
      </c>
      <c r="M301">
        <v>132.340986824</v>
      </c>
      <c r="P301" s="1" t="s">
        <v>1409</v>
      </c>
      <c r="Q301" s="1" t="s">
        <v>1410</v>
      </c>
      <c r="R301">
        <v>0.238495493</v>
      </c>
      <c r="S301">
        <v>12.02</v>
      </c>
      <c r="T301" s="2">
        <v>45788</v>
      </c>
      <c r="V301" t="str">
        <f t="shared" si="16"/>
        <v>S-5547431</v>
      </c>
      <c r="W301">
        <f t="shared" si="19"/>
        <v>0</v>
      </c>
      <c r="X301" t="str">
        <f t="shared" si="17"/>
        <v/>
      </c>
      <c r="Y301">
        <f t="shared" si="18"/>
        <v>0.238495493</v>
      </c>
    </row>
    <row r="302" spans="1:25" hidden="1" x14ac:dyDescent="0.4">
      <c r="A302" t="s">
        <v>20</v>
      </c>
      <c r="B302">
        <v>5547431</v>
      </c>
      <c r="C302" t="s">
        <v>221</v>
      </c>
      <c r="D302" t="s">
        <v>21</v>
      </c>
      <c r="E302" t="s">
        <v>147</v>
      </c>
      <c r="K302">
        <v>70.568153795000001</v>
      </c>
      <c r="M302">
        <v>70.568153795000001</v>
      </c>
      <c r="P302" s="1" t="s">
        <v>1775</v>
      </c>
      <c r="Q302" s="1" t="s">
        <v>1776</v>
      </c>
      <c r="R302">
        <v>0.144414611</v>
      </c>
      <c r="S302">
        <v>17.22</v>
      </c>
      <c r="T302" s="2">
        <v>45788</v>
      </c>
      <c r="V302" t="str">
        <f t="shared" si="16"/>
        <v>S-5547431</v>
      </c>
      <c r="W302">
        <f t="shared" si="19"/>
        <v>0</v>
      </c>
      <c r="X302" t="str">
        <f t="shared" si="17"/>
        <v/>
      </c>
      <c r="Y302">
        <f t="shared" si="18"/>
        <v>0.144414611</v>
      </c>
    </row>
    <row r="303" spans="1:25" hidden="1" x14ac:dyDescent="0.4">
      <c r="A303" t="s">
        <v>20</v>
      </c>
      <c r="B303">
        <v>5547431</v>
      </c>
      <c r="C303" t="s">
        <v>221</v>
      </c>
      <c r="D303" t="s">
        <v>21</v>
      </c>
      <c r="E303" t="s">
        <v>22</v>
      </c>
      <c r="K303">
        <v>159.28097488700001</v>
      </c>
      <c r="L303">
        <v>159.28097488700001</v>
      </c>
      <c r="M303">
        <v>0</v>
      </c>
      <c r="N303">
        <v>0</v>
      </c>
      <c r="O303">
        <v>0</v>
      </c>
      <c r="P303" s="1" t="s">
        <v>222</v>
      </c>
      <c r="Q303">
        <v>1</v>
      </c>
      <c r="R303">
        <v>0</v>
      </c>
      <c r="S303">
        <v>0</v>
      </c>
      <c r="T303" s="2">
        <v>45788</v>
      </c>
      <c r="V303" t="str">
        <f t="shared" si="16"/>
        <v>S-5547431</v>
      </c>
      <c r="W303">
        <f t="shared" si="19"/>
        <v>0</v>
      </c>
      <c r="X303" t="str">
        <f t="shared" si="17"/>
        <v/>
      </c>
      <c r="Y303">
        <f t="shared" si="18"/>
        <v>0</v>
      </c>
    </row>
    <row r="304" spans="1:25" hidden="1" x14ac:dyDescent="0.4">
      <c r="A304" t="s">
        <v>20</v>
      </c>
      <c r="B304">
        <v>5554631</v>
      </c>
      <c r="C304" t="s">
        <v>223</v>
      </c>
      <c r="D304" t="s">
        <v>21</v>
      </c>
      <c r="E304" t="s">
        <v>137</v>
      </c>
      <c r="K304">
        <v>213.93409295999999</v>
      </c>
      <c r="M304">
        <v>213.93409295999999</v>
      </c>
      <c r="P304" s="1" t="s">
        <v>680</v>
      </c>
      <c r="Q304" s="1" t="s">
        <v>681</v>
      </c>
      <c r="R304">
        <v>0.43486445299999998</v>
      </c>
      <c r="S304">
        <v>17.96</v>
      </c>
      <c r="T304" s="2">
        <v>45789</v>
      </c>
      <c r="V304" t="str">
        <f t="shared" si="16"/>
        <v>S-5554631</v>
      </c>
      <c r="W304">
        <f t="shared" si="19"/>
        <v>0</v>
      </c>
      <c r="X304" t="str">
        <f t="shared" si="17"/>
        <v/>
      </c>
      <c r="Y304">
        <f t="shared" si="18"/>
        <v>0.43486445299999998</v>
      </c>
    </row>
    <row r="305" spans="1:25" hidden="1" x14ac:dyDescent="0.4">
      <c r="A305" t="s">
        <v>20</v>
      </c>
      <c r="B305">
        <v>5554631</v>
      </c>
      <c r="C305" t="s">
        <v>223</v>
      </c>
      <c r="D305" t="s">
        <v>21</v>
      </c>
      <c r="E305" t="s">
        <v>156</v>
      </c>
      <c r="K305">
        <v>136.354969557</v>
      </c>
      <c r="M305">
        <v>136.354969557</v>
      </c>
      <c r="P305" s="1" t="s">
        <v>1044</v>
      </c>
      <c r="Q305" s="1" t="s">
        <v>1045</v>
      </c>
      <c r="R305">
        <v>0.403172172</v>
      </c>
      <c r="S305">
        <v>21.71</v>
      </c>
      <c r="T305" s="2">
        <v>45789</v>
      </c>
      <c r="V305" t="str">
        <f t="shared" si="16"/>
        <v>S-5554631</v>
      </c>
      <c r="W305">
        <f t="shared" si="19"/>
        <v>0</v>
      </c>
      <c r="X305" t="str">
        <f t="shared" si="17"/>
        <v/>
      </c>
      <c r="Y305">
        <f t="shared" si="18"/>
        <v>0.403172172</v>
      </c>
    </row>
    <row r="306" spans="1:25" hidden="1" x14ac:dyDescent="0.4">
      <c r="A306" t="s">
        <v>20</v>
      </c>
      <c r="B306">
        <v>5554631</v>
      </c>
      <c r="C306" t="s">
        <v>223</v>
      </c>
      <c r="D306" t="s">
        <v>21</v>
      </c>
      <c r="E306" t="s">
        <v>140</v>
      </c>
      <c r="K306">
        <v>132.57793379099999</v>
      </c>
      <c r="M306">
        <v>132.57793379099999</v>
      </c>
      <c r="P306" s="1" t="s">
        <v>1411</v>
      </c>
      <c r="Q306" s="1" t="s">
        <v>1412</v>
      </c>
      <c r="R306">
        <v>0.23694696700000001</v>
      </c>
      <c r="S306">
        <v>10.6</v>
      </c>
      <c r="T306" s="2">
        <v>45789</v>
      </c>
      <c r="V306" t="str">
        <f t="shared" si="16"/>
        <v>S-5554631</v>
      </c>
      <c r="W306">
        <f t="shared" si="19"/>
        <v>0</v>
      </c>
      <c r="X306" t="str">
        <f t="shared" si="17"/>
        <v/>
      </c>
      <c r="Y306">
        <f t="shared" si="18"/>
        <v>0.23694696700000001</v>
      </c>
    </row>
    <row r="307" spans="1:25" hidden="1" x14ac:dyDescent="0.4">
      <c r="A307" t="s">
        <v>20</v>
      </c>
      <c r="B307">
        <v>5554631</v>
      </c>
      <c r="C307" t="s">
        <v>223</v>
      </c>
      <c r="D307" t="s">
        <v>21</v>
      </c>
      <c r="E307" t="s">
        <v>147</v>
      </c>
      <c r="K307">
        <v>70.709159095000004</v>
      </c>
      <c r="M307">
        <v>70.709159095000004</v>
      </c>
      <c r="P307" s="1" t="s">
        <v>1777</v>
      </c>
      <c r="Q307" s="1" t="s">
        <v>1778</v>
      </c>
      <c r="R307">
        <v>0.1410053</v>
      </c>
      <c r="S307">
        <v>15.51</v>
      </c>
      <c r="T307" s="2">
        <v>45789</v>
      </c>
      <c r="V307" t="str">
        <f t="shared" si="16"/>
        <v>S-5554631</v>
      </c>
      <c r="W307">
        <f t="shared" si="19"/>
        <v>0</v>
      </c>
      <c r="X307" t="str">
        <f t="shared" si="17"/>
        <v/>
      </c>
      <c r="Y307">
        <f t="shared" si="18"/>
        <v>0.1410053</v>
      </c>
    </row>
    <row r="308" spans="1:25" hidden="1" x14ac:dyDescent="0.4">
      <c r="A308" t="s">
        <v>20</v>
      </c>
      <c r="B308">
        <v>5554631</v>
      </c>
      <c r="C308" t="s">
        <v>223</v>
      </c>
      <c r="D308" t="s">
        <v>21</v>
      </c>
      <c r="E308" t="s">
        <v>22</v>
      </c>
      <c r="K308">
        <v>159.28097488700001</v>
      </c>
      <c r="L308">
        <v>159.28097488700001</v>
      </c>
      <c r="M308">
        <v>0</v>
      </c>
      <c r="N308">
        <v>0</v>
      </c>
      <c r="O308">
        <v>0</v>
      </c>
      <c r="P308" s="1" t="s">
        <v>224</v>
      </c>
      <c r="Q308">
        <v>1</v>
      </c>
      <c r="R308">
        <v>0</v>
      </c>
      <c r="S308">
        <v>0</v>
      </c>
      <c r="T308" s="2">
        <v>45789</v>
      </c>
      <c r="V308" t="str">
        <f t="shared" si="16"/>
        <v>S-5554631</v>
      </c>
      <c r="W308">
        <f t="shared" si="19"/>
        <v>0</v>
      </c>
      <c r="X308" t="str">
        <f t="shared" si="17"/>
        <v/>
      </c>
      <c r="Y308">
        <f t="shared" si="18"/>
        <v>0</v>
      </c>
    </row>
    <row r="309" spans="1:25" hidden="1" x14ac:dyDescent="0.4">
      <c r="A309" t="s">
        <v>20</v>
      </c>
      <c r="B309">
        <v>5561831</v>
      </c>
      <c r="C309" t="s">
        <v>225</v>
      </c>
      <c r="D309" t="s">
        <v>21</v>
      </c>
      <c r="E309" t="s">
        <v>137</v>
      </c>
      <c r="K309">
        <v>214.36486994699999</v>
      </c>
      <c r="M309">
        <v>214.36486994699999</v>
      </c>
      <c r="P309" s="1" t="s">
        <v>682</v>
      </c>
      <c r="Q309" s="1" t="s">
        <v>683</v>
      </c>
      <c r="R309">
        <v>0.430776987</v>
      </c>
      <c r="S309">
        <v>18.649999999999999</v>
      </c>
      <c r="T309" s="2">
        <v>45790</v>
      </c>
      <c r="V309" t="str">
        <f t="shared" si="16"/>
        <v>S-5561831</v>
      </c>
      <c r="W309">
        <f t="shared" si="19"/>
        <v>0</v>
      </c>
      <c r="X309" t="str">
        <f t="shared" si="17"/>
        <v/>
      </c>
      <c r="Y309">
        <f t="shared" si="18"/>
        <v>0.430776987</v>
      </c>
    </row>
    <row r="310" spans="1:25" hidden="1" x14ac:dyDescent="0.4">
      <c r="A310" t="s">
        <v>20</v>
      </c>
      <c r="B310">
        <v>5561831</v>
      </c>
      <c r="C310" t="s">
        <v>225</v>
      </c>
      <c r="D310" t="s">
        <v>21</v>
      </c>
      <c r="E310" t="s">
        <v>156</v>
      </c>
      <c r="K310">
        <v>136.75164523800001</v>
      </c>
      <c r="M310">
        <v>136.75164523800001</v>
      </c>
      <c r="P310" s="1" t="s">
        <v>1046</v>
      </c>
      <c r="Q310" s="1" t="s">
        <v>1047</v>
      </c>
      <c r="R310">
        <v>0.396675681</v>
      </c>
      <c r="S310">
        <v>21.33</v>
      </c>
      <c r="T310" s="2">
        <v>45790</v>
      </c>
      <c r="V310" t="str">
        <f t="shared" si="16"/>
        <v>S-5561831</v>
      </c>
      <c r="W310">
        <f t="shared" si="19"/>
        <v>0</v>
      </c>
      <c r="X310" t="str">
        <f t="shared" si="17"/>
        <v/>
      </c>
      <c r="Y310">
        <f t="shared" si="18"/>
        <v>0.396675681</v>
      </c>
    </row>
    <row r="311" spans="1:25" hidden="1" x14ac:dyDescent="0.4">
      <c r="A311" t="s">
        <v>20</v>
      </c>
      <c r="B311">
        <v>5561831</v>
      </c>
      <c r="C311" t="s">
        <v>225</v>
      </c>
      <c r="D311" t="s">
        <v>21</v>
      </c>
      <c r="E311" t="s">
        <v>140</v>
      </c>
      <c r="K311">
        <v>132.826298944</v>
      </c>
      <c r="M311">
        <v>132.826298944</v>
      </c>
      <c r="P311" s="1" t="s">
        <v>1413</v>
      </c>
      <c r="Q311" s="1" t="s">
        <v>1414</v>
      </c>
      <c r="R311">
        <v>0.24836515300000001</v>
      </c>
      <c r="S311">
        <v>12.15</v>
      </c>
      <c r="T311" s="2">
        <v>45790</v>
      </c>
      <c r="V311" t="str">
        <f t="shared" si="16"/>
        <v>S-5561831</v>
      </c>
      <c r="W311">
        <f t="shared" si="19"/>
        <v>0</v>
      </c>
      <c r="X311" t="str">
        <f t="shared" si="17"/>
        <v/>
      </c>
      <c r="Y311">
        <f t="shared" si="18"/>
        <v>0.24836515300000001</v>
      </c>
    </row>
    <row r="312" spans="1:25" hidden="1" x14ac:dyDescent="0.4">
      <c r="A312" t="s">
        <v>20</v>
      </c>
      <c r="B312">
        <v>5561831</v>
      </c>
      <c r="C312" t="s">
        <v>225</v>
      </c>
      <c r="D312" t="s">
        <v>21</v>
      </c>
      <c r="E312" t="s">
        <v>147</v>
      </c>
      <c r="K312">
        <v>70.857942045000001</v>
      </c>
      <c r="M312">
        <v>70.857942045000001</v>
      </c>
      <c r="P312" s="1" t="s">
        <v>1779</v>
      </c>
      <c r="Q312" s="1" t="s">
        <v>1780</v>
      </c>
      <c r="R312">
        <v>0.14878295</v>
      </c>
      <c r="S312">
        <v>16.170000000000002</v>
      </c>
      <c r="T312" s="2">
        <v>45790</v>
      </c>
      <c r="V312" t="str">
        <f t="shared" si="16"/>
        <v>S-5561831</v>
      </c>
      <c r="W312">
        <f t="shared" si="19"/>
        <v>0</v>
      </c>
      <c r="X312" t="str">
        <f t="shared" si="17"/>
        <v/>
      </c>
      <c r="Y312">
        <f t="shared" si="18"/>
        <v>0.14878295</v>
      </c>
    </row>
    <row r="313" spans="1:25" hidden="1" x14ac:dyDescent="0.4">
      <c r="A313" t="s">
        <v>20</v>
      </c>
      <c r="B313">
        <v>5561831</v>
      </c>
      <c r="C313" t="s">
        <v>225</v>
      </c>
      <c r="D313" t="s">
        <v>21</v>
      </c>
      <c r="E313" t="s">
        <v>22</v>
      </c>
      <c r="K313">
        <v>159.28097488700001</v>
      </c>
      <c r="L313">
        <v>159.28097488700001</v>
      </c>
      <c r="M313">
        <v>0</v>
      </c>
      <c r="N313">
        <v>0</v>
      </c>
      <c r="O313">
        <v>0</v>
      </c>
      <c r="P313" s="1" t="s">
        <v>226</v>
      </c>
      <c r="Q313">
        <v>1</v>
      </c>
      <c r="R313">
        <v>0</v>
      </c>
      <c r="S313">
        <v>0</v>
      </c>
      <c r="T313" s="2">
        <v>45790</v>
      </c>
      <c r="V313" t="str">
        <f t="shared" si="16"/>
        <v>S-5561831</v>
      </c>
      <c r="W313">
        <f t="shared" si="19"/>
        <v>0</v>
      </c>
      <c r="X313" t="str">
        <f t="shared" si="17"/>
        <v/>
      </c>
      <c r="Y313">
        <f t="shared" si="18"/>
        <v>0</v>
      </c>
    </row>
    <row r="314" spans="1:25" hidden="1" x14ac:dyDescent="0.4">
      <c r="A314" t="s">
        <v>20</v>
      </c>
      <c r="B314">
        <v>5569031</v>
      </c>
      <c r="C314" t="s">
        <v>227</v>
      </c>
      <c r="D314" t="s">
        <v>21</v>
      </c>
      <c r="E314" t="s">
        <v>137</v>
      </c>
      <c r="K314">
        <v>214.79005714300001</v>
      </c>
      <c r="M314">
        <v>214.79005714300001</v>
      </c>
      <c r="P314" s="1" t="s">
        <v>684</v>
      </c>
      <c r="Q314" s="1" t="s">
        <v>685</v>
      </c>
      <c r="R314">
        <v>0.42518719599999999</v>
      </c>
      <c r="S314">
        <v>15.7</v>
      </c>
      <c r="T314" s="2">
        <v>45791</v>
      </c>
      <c r="V314" t="str">
        <f t="shared" si="16"/>
        <v>S-5569031</v>
      </c>
      <c r="W314">
        <f t="shared" si="19"/>
        <v>0</v>
      </c>
      <c r="X314" t="str">
        <f t="shared" si="17"/>
        <v/>
      </c>
      <c r="Y314">
        <f t="shared" si="18"/>
        <v>0.42518719599999999</v>
      </c>
    </row>
    <row r="315" spans="1:25" hidden="1" x14ac:dyDescent="0.4">
      <c r="A315" t="s">
        <v>20</v>
      </c>
      <c r="B315">
        <v>5569031</v>
      </c>
      <c r="C315" t="s">
        <v>227</v>
      </c>
      <c r="D315" t="s">
        <v>21</v>
      </c>
      <c r="E315" t="s">
        <v>156</v>
      </c>
      <c r="K315">
        <v>137.14928446600001</v>
      </c>
      <c r="M315">
        <v>137.14928446600001</v>
      </c>
      <c r="P315" s="1" t="s">
        <v>1048</v>
      </c>
      <c r="Q315" s="1" t="s">
        <v>1049</v>
      </c>
      <c r="R315">
        <v>0.39763922800000001</v>
      </c>
      <c r="S315">
        <v>20.71</v>
      </c>
      <c r="T315" s="2">
        <v>45791</v>
      </c>
      <c r="V315" t="str">
        <f t="shared" si="16"/>
        <v>S-5569031</v>
      </c>
      <c r="W315">
        <f t="shared" si="19"/>
        <v>0</v>
      </c>
      <c r="X315" t="str">
        <f t="shared" si="17"/>
        <v/>
      </c>
      <c r="Y315">
        <f t="shared" si="18"/>
        <v>0.39763922800000001</v>
      </c>
    </row>
    <row r="316" spans="1:25" hidden="1" x14ac:dyDescent="0.4">
      <c r="A316" t="s">
        <v>20</v>
      </c>
      <c r="B316">
        <v>5569031</v>
      </c>
      <c r="C316" t="s">
        <v>227</v>
      </c>
      <c r="D316" t="s">
        <v>21</v>
      </c>
      <c r="E316" t="s">
        <v>140</v>
      </c>
      <c r="K316">
        <v>133.07298154</v>
      </c>
      <c r="M316">
        <v>133.07298154</v>
      </c>
      <c r="P316" s="1" t="s">
        <v>1415</v>
      </c>
      <c r="Q316" s="1" t="s">
        <v>1416</v>
      </c>
      <c r="R316">
        <v>0.246682596</v>
      </c>
      <c r="S316">
        <v>11.25</v>
      </c>
      <c r="T316" s="2">
        <v>45791</v>
      </c>
      <c r="V316" t="str">
        <f t="shared" si="16"/>
        <v>S-5569031</v>
      </c>
      <c r="W316">
        <f t="shared" si="19"/>
        <v>0</v>
      </c>
      <c r="X316" t="str">
        <f t="shared" si="17"/>
        <v/>
      </c>
      <c r="Y316">
        <f t="shared" si="18"/>
        <v>0.246682596</v>
      </c>
    </row>
    <row r="317" spans="1:25" hidden="1" x14ac:dyDescent="0.4">
      <c r="A317" t="s">
        <v>20</v>
      </c>
      <c r="B317">
        <v>5569031</v>
      </c>
      <c r="C317" t="s">
        <v>227</v>
      </c>
      <c r="D317" t="s">
        <v>21</v>
      </c>
      <c r="E317" t="s">
        <v>147</v>
      </c>
      <c r="K317">
        <v>71.006816369000006</v>
      </c>
      <c r="M317">
        <v>71.006816369000006</v>
      </c>
      <c r="P317" s="1" t="s">
        <v>1781</v>
      </c>
      <c r="Q317" s="1" t="s">
        <v>1782</v>
      </c>
      <c r="R317">
        <v>0.148874324</v>
      </c>
      <c r="S317">
        <v>15.63</v>
      </c>
      <c r="T317" s="2">
        <v>45791</v>
      </c>
      <c r="V317" t="str">
        <f t="shared" si="16"/>
        <v>S-5569031</v>
      </c>
      <c r="W317">
        <f t="shared" si="19"/>
        <v>0</v>
      </c>
      <c r="X317" t="str">
        <f t="shared" si="17"/>
        <v/>
      </c>
      <c r="Y317">
        <f t="shared" si="18"/>
        <v>0.148874324</v>
      </c>
    </row>
    <row r="318" spans="1:25" hidden="1" x14ac:dyDescent="0.4">
      <c r="A318" t="s">
        <v>20</v>
      </c>
      <c r="B318">
        <v>5569031</v>
      </c>
      <c r="C318" t="s">
        <v>227</v>
      </c>
      <c r="D318" t="s">
        <v>21</v>
      </c>
      <c r="E318" t="s">
        <v>22</v>
      </c>
      <c r="K318">
        <v>159.28097488700001</v>
      </c>
      <c r="L318">
        <v>159.28097488700001</v>
      </c>
      <c r="M318">
        <v>0</v>
      </c>
      <c r="N318">
        <v>0</v>
      </c>
      <c r="O318">
        <v>0</v>
      </c>
      <c r="P318" s="1" t="s">
        <v>228</v>
      </c>
      <c r="Q318">
        <v>1</v>
      </c>
      <c r="R318">
        <v>0</v>
      </c>
      <c r="S318">
        <v>0</v>
      </c>
      <c r="T318" s="2">
        <v>45791</v>
      </c>
      <c r="V318" t="str">
        <f t="shared" si="16"/>
        <v>S-5569031</v>
      </c>
      <c r="W318">
        <f t="shared" si="19"/>
        <v>0</v>
      </c>
      <c r="X318" t="str">
        <f t="shared" si="17"/>
        <v/>
      </c>
      <c r="Y318">
        <f t="shared" si="18"/>
        <v>0</v>
      </c>
    </row>
    <row r="319" spans="1:25" hidden="1" x14ac:dyDescent="0.4">
      <c r="A319" t="s">
        <v>20</v>
      </c>
      <c r="B319">
        <v>5576231</v>
      </c>
      <c r="C319" t="s">
        <v>229</v>
      </c>
      <c r="D319" t="s">
        <v>21</v>
      </c>
      <c r="E319" t="s">
        <v>137</v>
      </c>
      <c r="K319">
        <v>215.21729354999999</v>
      </c>
      <c r="M319">
        <v>215.21729354999999</v>
      </c>
      <c r="P319" s="1" t="s">
        <v>686</v>
      </c>
      <c r="Q319" s="1" t="s">
        <v>687</v>
      </c>
      <c r="R319">
        <v>0.42723640699999998</v>
      </c>
      <c r="S319">
        <v>17.57</v>
      </c>
      <c r="T319" s="2">
        <v>45792</v>
      </c>
      <c r="V319" t="str">
        <f t="shared" si="16"/>
        <v>S-5576231</v>
      </c>
      <c r="W319">
        <f t="shared" si="19"/>
        <v>0</v>
      </c>
      <c r="X319" t="str">
        <f t="shared" si="17"/>
        <v/>
      </c>
      <c r="Y319">
        <f t="shared" si="18"/>
        <v>0.42723640699999998</v>
      </c>
    </row>
    <row r="320" spans="1:25" hidden="1" x14ac:dyDescent="0.4">
      <c r="A320" t="s">
        <v>20</v>
      </c>
      <c r="B320">
        <v>5576231</v>
      </c>
      <c r="C320" t="s">
        <v>229</v>
      </c>
      <c r="D320" t="s">
        <v>21</v>
      </c>
      <c r="E320" t="s">
        <v>156</v>
      </c>
      <c r="K320">
        <v>137.54915144899999</v>
      </c>
      <c r="M320">
        <v>137.54915144899999</v>
      </c>
      <c r="P320" s="1" t="s">
        <v>1050</v>
      </c>
      <c r="Q320" s="1" t="s">
        <v>1051</v>
      </c>
      <c r="R320">
        <v>0.39986698300000001</v>
      </c>
      <c r="S320">
        <v>19.34</v>
      </c>
      <c r="T320" s="2">
        <v>45792</v>
      </c>
      <c r="V320" t="str">
        <f t="shared" si="16"/>
        <v>S-5576231</v>
      </c>
      <c r="W320">
        <f t="shared" si="19"/>
        <v>0</v>
      </c>
      <c r="X320" t="str">
        <f t="shared" si="17"/>
        <v/>
      </c>
      <c r="Y320">
        <f t="shared" si="18"/>
        <v>0.39986698300000001</v>
      </c>
    </row>
    <row r="321" spans="1:25" hidden="1" x14ac:dyDescent="0.4">
      <c r="A321" t="s">
        <v>20</v>
      </c>
      <c r="B321">
        <v>5576231</v>
      </c>
      <c r="C321" t="s">
        <v>229</v>
      </c>
      <c r="D321" t="s">
        <v>21</v>
      </c>
      <c r="E321" t="s">
        <v>140</v>
      </c>
      <c r="K321">
        <v>133.316785942</v>
      </c>
      <c r="M321">
        <v>133.316785942</v>
      </c>
      <c r="P321" s="1" t="s">
        <v>1417</v>
      </c>
      <c r="Q321" s="1" t="s">
        <v>1418</v>
      </c>
      <c r="R321">
        <v>0.243804402</v>
      </c>
      <c r="S321">
        <v>12.22</v>
      </c>
      <c r="T321" s="2">
        <v>45792</v>
      </c>
      <c r="V321" t="str">
        <f t="shared" si="16"/>
        <v>S-5576231</v>
      </c>
      <c r="W321">
        <f t="shared" si="19"/>
        <v>0</v>
      </c>
      <c r="X321" t="str">
        <f t="shared" si="17"/>
        <v/>
      </c>
      <c r="Y321">
        <f t="shared" si="18"/>
        <v>0.243804402</v>
      </c>
    </row>
    <row r="322" spans="1:25" hidden="1" x14ac:dyDescent="0.4">
      <c r="A322" t="s">
        <v>20</v>
      </c>
      <c r="B322">
        <v>5576231</v>
      </c>
      <c r="C322" t="s">
        <v>229</v>
      </c>
      <c r="D322" t="s">
        <v>21</v>
      </c>
      <c r="E322" t="s">
        <v>147</v>
      </c>
      <c r="K322">
        <v>71.157782112000007</v>
      </c>
      <c r="M322">
        <v>71.157782112000007</v>
      </c>
      <c r="P322" s="1" t="s">
        <v>1783</v>
      </c>
      <c r="Q322" s="1" t="s">
        <v>1784</v>
      </c>
      <c r="R322">
        <v>0.15096574300000001</v>
      </c>
      <c r="S322">
        <v>15.96</v>
      </c>
      <c r="T322" s="2">
        <v>45792</v>
      </c>
      <c r="V322" t="str">
        <f t="shared" si="16"/>
        <v>S-5576231</v>
      </c>
      <c r="W322">
        <f t="shared" si="19"/>
        <v>0</v>
      </c>
      <c r="X322" t="str">
        <f t="shared" si="17"/>
        <v/>
      </c>
      <c r="Y322">
        <f t="shared" si="18"/>
        <v>0.15096574300000001</v>
      </c>
    </row>
    <row r="323" spans="1:25" hidden="1" x14ac:dyDescent="0.4">
      <c r="A323" t="s">
        <v>20</v>
      </c>
      <c r="B323">
        <v>5576231</v>
      </c>
      <c r="C323" t="s">
        <v>229</v>
      </c>
      <c r="D323" t="s">
        <v>21</v>
      </c>
      <c r="E323" t="s">
        <v>22</v>
      </c>
      <c r="K323">
        <v>159.28097488700001</v>
      </c>
      <c r="L323">
        <v>159.28097488700001</v>
      </c>
      <c r="M323">
        <v>0</v>
      </c>
      <c r="N323">
        <v>0</v>
      </c>
      <c r="O323">
        <v>0</v>
      </c>
      <c r="P323" s="1" t="s">
        <v>230</v>
      </c>
      <c r="Q323">
        <v>1</v>
      </c>
      <c r="R323">
        <v>0</v>
      </c>
      <c r="S323">
        <v>0</v>
      </c>
      <c r="T323" s="2">
        <v>45792</v>
      </c>
      <c r="V323" t="str">
        <f t="shared" ref="V323:V386" si="20">"S-"&amp;IF(LEN(I323)=0,B323,I323&amp;IF(F323="fee","-00",IF(LEN(G323)&gt;0,"-01","-02")))</f>
        <v>S-5576231</v>
      </c>
      <c r="W323">
        <f t="shared" si="19"/>
        <v>0</v>
      </c>
      <c r="X323" t="str">
        <f t="shared" ref="X323:X386" si="21">IF(LEN(I323)&gt;0,I323&amp;IF(F323="fee","fee",IF(VALUE(G323)&gt;0,"debit",IF(VALUE(H323)&gt;0,"credit","error"))),"")</f>
        <v/>
      </c>
      <c r="Y323">
        <f t="shared" ref="Y323:Y386" si="22">ROUND(IF(ROW(U323) = 2,K323,0)+IF(H323&lt;&gt;"",H323,0) + IF(R323&lt;&gt;"",R323,0) - IF(G323&lt;&gt;"",G323,0),9)</f>
        <v>0</v>
      </c>
    </row>
    <row r="324" spans="1:25" hidden="1" x14ac:dyDescent="0.4">
      <c r="A324" t="s">
        <v>20</v>
      </c>
      <c r="B324">
        <v>5583431</v>
      </c>
      <c r="C324" t="s">
        <v>231</v>
      </c>
      <c r="D324" t="s">
        <v>21</v>
      </c>
      <c r="E324" t="s">
        <v>137</v>
      </c>
      <c r="K324">
        <v>215.65776138499999</v>
      </c>
      <c r="M324">
        <v>215.65776138499999</v>
      </c>
      <c r="P324" s="1" t="s">
        <v>688</v>
      </c>
      <c r="Q324" s="1" t="s">
        <v>689</v>
      </c>
      <c r="R324">
        <v>0.44046783499999997</v>
      </c>
      <c r="S324">
        <v>17.59</v>
      </c>
      <c r="T324" s="2">
        <v>45793</v>
      </c>
      <c r="V324" t="str">
        <f t="shared" si="20"/>
        <v>S-5583431</v>
      </c>
      <c r="W324">
        <f t="shared" ref="W324:W387" si="23">COUNTIF(I:I,I324)</f>
        <v>0</v>
      </c>
      <c r="X324" t="str">
        <f t="shared" si="21"/>
        <v/>
      </c>
      <c r="Y324">
        <f t="shared" si="22"/>
        <v>0.44046783499999997</v>
      </c>
    </row>
    <row r="325" spans="1:25" hidden="1" x14ac:dyDescent="0.4">
      <c r="A325" t="s">
        <v>20</v>
      </c>
      <c r="B325">
        <v>5583431</v>
      </c>
      <c r="C325" t="s">
        <v>231</v>
      </c>
      <c r="D325" t="s">
        <v>21</v>
      </c>
      <c r="E325" t="s">
        <v>156</v>
      </c>
      <c r="K325">
        <v>137.95914002200001</v>
      </c>
      <c r="M325">
        <v>137.95914002200001</v>
      </c>
      <c r="P325" s="1" t="s">
        <v>1052</v>
      </c>
      <c r="Q325" s="1" t="s">
        <v>1053</v>
      </c>
      <c r="R325">
        <v>0.40998857300000002</v>
      </c>
      <c r="S325">
        <v>19.28</v>
      </c>
      <c r="T325" s="2">
        <v>45793</v>
      </c>
      <c r="V325" t="str">
        <f t="shared" si="20"/>
        <v>S-5583431</v>
      </c>
      <c r="W325">
        <f t="shared" si="23"/>
        <v>0</v>
      </c>
      <c r="X325" t="str">
        <f t="shared" si="21"/>
        <v/>
      </c>
      <c r="Y325">
        <f t="shared" si="22"/>
        <v>0.40998857300000002</v>
      </c>
    </row>
    <row r="326" spans="1:25" hidden="1" x14ac:dyDescent="0.4">
      <c r="A326" t="s">
        <v>20</v>
      </c>
      <c r="B326">
        <v>5583431</v>
      </c>
      <c r="C326" t="s">
        <v>231</v>
      </c>
      <c r="D326" t="s">
        <v>21</v>
      </c>
      <c r="E326" t="s">
        <v>140</v>
      </c>
      <c r="K326">
        <v>133.55771247300001</v>
      </c>
      <c r="M326">
        <v>133.55771247300001</v>
      </c>
      <c r="P326" s="1" t="s">
        <v>1419</v>
      </c>
      <c r="Q326" s="1" t="s">
        <v>1420</v>
      </c>
      <c r="R326">
        <v>0.240926531</v>
      </c>
      <c r="S326">
        <v>11.25</v>
      </c>
      <c r="T326" s="2">
        <v>45793</v>
      </c>
      <c r="V326" t="str">
        <f t="shared" si="20"/>
        <v>S-5583431</v>
      </c>
      <c r="W326">
        <f t="shared" si="23"/>
        <v>0</v>
      </c>
      <c r="X326" t="str">
        <f t="shared" si="21"/>
        <v/>
      </c>
      <c r="Y326">
        <f t="shared" si="22"/>
        <v>0.240926531</v>
      </c>
    </row>
    <row r="327" spans="1:25" hidden="1" x14ac:dyDescent="0.4">
      <c r="A327" t="s">
        <v>20</v>
      </c>
      <c r="B327">
        <v>5583431</v>
      </c>
      <c r="C327" t="s">
        <v>231</v>
      </c>
      <c r="D327" t="s">
        <v>21</v>
      </c>
      <c r="E327" t="s">
        <v>147</v>
      </c>
      <c r="K327">
        <v>71.312120360999998</v>
      </c>
      <c r="M327">
        <v>71.312120360999998</v>
      </c>
      <c r="P327" s="1" t="s">
        <v>1785</v>
      </c>
      <c r="Q327" s="1" t="s">
        <v>1786</v>
      </c>
      <c r="R327">
        <v>0.15433824900000001</v>
      </c>
      <c r="S327">
        <v>15.27</v>
      </c>
      <c r="T327" s="2">
        <v>45793</v>
      </c>
      <c r="V327" t="str">
        <f t="shared" si="20"/>
        <v>S-5583431</v>
      </c>
      <c r="W327">
        <f t="shared" si="23"/>
        <v>0</v>
      </c>
      <c r="X327" t="str">
        <f t="shared" si="21"/>
        <v/>
      </c>
      <c r="Y327">
        <f t="shared" si="22"/>
        <v>0.15433824900000001</v>
      </c>
    </row>
    <row r="328" spans="1:25" hidden="1" x14ac:dyDescent="0.4">
      <c r="A328" t="s">
        <v>20</v>
      </c>
      <c r="B328">
        <v>5583431</v>
      </c>
      <c r="C328" t="s">
        <v>231</v>
      </c>
      <c r="D328" t="s">
        <v>21</v>
      </c>
      <c r="E328" t="s">
        <v>22</v>
      </c>
      <c r="K328">
        <v>159.28097488700001</v>
      </c>
      <c r="L328">
        <v>159.28097488700001</v>
      </c>
      <c r="M328">
        <v>0</v>
      </c>
      <c r="N328">
        <v>0</v>
      </c>
      <c r="O328">
        <v>0</v>
      </c>
      <c r="P328" s="1" t="s">
        <v>232</v>
      </c>
      <c r="Q328">
        <v>1</v>
      </c>
      <c r="R328">
        <v>0</v>
      </c>
      <c r="S328">
        <v>0</v>
      </c>
      <c r="T328" s="2">
        <v>45793</v>
      </c>
      <c r="V328" t="str">
        <f t="shared" si="20"/>
        <v>S-5583431</v>
      </c>
      <c r="W328">
        <f t="shared" si="23"/>
        <v>0</v>
      </c>
      <c r="X328" t="str">
        <f t="shared" si="21"/>
        <v/>
      </c>
      <c r="Y328">
        <f t="shared" si="22"/>
        <v>0</v>
      </c>
    </row>
    <row r="329" spans="1:25" hidden="1" x14ac:dyDescent="0.4">
      <c r="A329" t="s">
        <v>20</v>
      </c>
      <c r="B329">
        <v>5590631</v>
      </c>
      <c r="C329" t="s">
        <v>233</v>
      </c>
      <c r="D329" t="s">
        <v>21</v>
      </c>
      <c r="E329" t="s">
        <v>137</v>
      </c>
      <c r="K329">
        <v>216.13717122099999</v>
      </c>
      <c r="M329">
        <v>216.13717122099999</v>
      </c>
      <c r="P329" s="1" t="s">
        <v>690</v>
      </c>
      <c r="Q329" s="1" t="s">
        <v>691</v>
      </c>
      <c r="R329">
        <v>0.47940983599999998</v>
      </c>
      <c r="S329">
        <v>18.14</v>
      </c>
      <c r="T329" s="2">
        <v>45794</v>
      </c>
      <c r="V329" t="str">
        <f t="shared" si="20"/>
        <v>S-5590631</v>
      </c>
      <c r="W329">
        <f t="shared" si="23"/>
        <v>0</v>
      </c>
      <c r="X329" t="str">
        <f t="shared" si="21"/>
        <v/>
      </c>
      <c r="Y329">
        <f t="shared" si="22"/>
        <v>0.47940983599999998</v>
      </c>
    </row>
    <row r="330" spans="1:25" hidden="1" x14ac:dyDescent="0.4">
      <c r="A330" t="s">
        <v>20</v>
      </c>
      <c r="B330">
        <v>5590631</v>
      </c>
      <c r="C330" t="s">
        <v>233</v>
      </c>
      <c r="D330" t="s">
        <v>21</v>
      </c>
      <c r="E330" t="s">
        <v>156</v>
      </c>
      <c r="K330">
        <v>138.36547010800001</v>
      </c>
      <c r="M330">
        <v>138.36547010800001</v>
      </c>
      <c r="P330" s="1" t="s">
        <v>1054</v>
      </c>
      <c r="Q330" s="1" t="s">
        <v>1055</v>
      </c>
      <c r="R330">
        <v>0.40633008599999998</v>
      </c>
      <c r="S330">
        <v>18.7</v>
      </c>
      <c r="T330" s="2">
        <v>45794</v>
      </c>
      <c r="V330" t="str">
        <f t="shared" si="20"/>
        <v>S-5590631</v>
      </c>
      <c r="W330">
        <f t="shared" si="23"/>
        <v>0</v>
      </c>
      <c r="X330" t="str">
        <f t="shared" si="21"/>
        <v/>
      </c>
      <c r="Y330">
        <f t="shared" si="22"/>
        <v>0.40633008599999998</v>
      </c>
    </row>
    <row r="331" spans="1:25" hidden="1" x14ac:dyDescent="0.4">
      <c r="A331" t="s">
        <v>20</v>
      </c>
      <c r="B331">
        <v>5590631</v>
      </c>
      <c r="C331" t="s">
        <v>233</v>
      </c>
      <c r="D331" t="s">
        <v>21</v>
      </c>
      <c r="E331" t="s">
        <v>140</v>
      </c>
      <c r="K331">
        <v>133.80170515699999</v>
      </c>
      <c r="M331">
        <v>133.80170515699999</v>
      </c>
      <c r="P331" s="1" t="s">
        <v>1421</v>
      </c>
      <c r="Q331" s="1" t="s">
        <v>1422</v>
      </c>
      <c r="R331">
        <v>0.24399268399999999</v>
      </c>
      <c r="S331">
        <v>10.51</v>
      </c>
      <c r="T331" s="2">
        <v>45794</v>
      </c>
      <c r="V331" t="str">
        <f t="shared" si="20"/>
        <v>S-5590631</v>
      </c>
      <c r="W331">
        <f t="shared" si="23"/>
        <v>0</v>
      </c>
      <c r="X331" t="str">
        <f t="shared" si="21"/>
        <v/>
      </c>
      <c r="Y331">
        <f t="shared" si="22"/>
        <v>0.24399268399999999</v>
      </c>
    </row>
    <row r="332" spans="1:25" hidden="1" x14ac:dyDescent="0.4">
      <c r="A332" t="s">
        <v>20</v>
      </c>
      <c r="B332">
        <v>5590631</v>
      </c>
      <c r="C332" t="s">
        <v>233</v>
      </c>
      <c r="D332" t="s">
        <v>21</v>
      </c>
      <c r="E332" t="s">
        <v>147</v>
      </c>
      <c r="K332">
        <v>71.463688141999995</v>
      </c>
      <c r="M332">
        <v>71.463688141999995</v>
      </c>
      <c r="P332" s="1" t="s">
        <v>1787</v>
      </c>
      <c r="Q332" s="1" t="s">
        <v>1788</v>
      </c>
      <c r="R332">
        <v>0.15156778100000001</v>
      </c>
      <c r="S332">
        <v>13.7</v>
      </c>
      <c r="T332" s="2">
        <v>45794</v>
      </c>
      <c r="V332" t="str">
        <f t="shared" si="20"/>
        <v>S-5590631</v>
      </c>
      <c r="W332">
        <f t="shared" si="23"/>
        <v>0</v>
      </c>
      <c r="X332" t="str">
        <f t="shared" si="21"/>
        <v/>
      </c>
      <c r="Y332">
        <f t="shared" si="22"/>
        <v>0.15156778100000001</v>
      </c>
    </row>
    <row r="333" spans="1:25" hidden="1" x14ac:dyDescent="0.4">
      <c r="A333" t="s">
        <v>20</v>
      </c>
      <c r="B333">
        <v>5590631</v>
      </c>
      <c r="C333" t="s">
        <v>233</v>
      </c>
      <c r="D333" t="s">
        <v>21</v>
      </c>
      <c r="E333" t="s">
        <v>22</v>
      </c>
      <c r="K333">
        <v>159.28097488700001</v>
      </c>
      <c r="L333">
        <v>159.28097488700001</v>
      </c>
      <c r="M333">
        <v>0</v>
      </c>
      <c r="N333">
        <v>0</v>
      </c>
      <c r="O333">
        <v>0</v>
      </c>
      <c r="P333" s="1" t="s">
        <v>234</v>
      </c>
      <c r="Q333">
        <v>1</v>
      </c>
      <c r="R333">
        <v>0</v>
      </c>
      <c r="S333">
        <v>0</v>
      </c>
      <c r="T333" s="2">
        <v>45794</v>
      </c>
      <c r="V333" t="str">
        <f t="shared" si="20"/>
        <v>S-5590631</v>
      </c>
      <c r="W333">
        <f t="shared" si="23"/>
        <v>0</v>
      </c>
      <c r="X333" t="str">
        <f t="shared" si="21"/>
        <v/>
      </c>
      <c r="Y333">
        <f t="shared" si="22"/>
        <v>0</v>
      </c>
    </row>
    <row r="334" spans="1:25" hidden="1" x14ac:dyDescent="0.4">
      <c r="A334" t="s">
        <v>20</v>
      </c>
      <c r="B334">
        <v>5597831</v>
      </c>
      <c r="C334" t="s">
        <v>235</v>
      </c>
      <c r="D334" t="s">
        <v>21</v>
      </c>
      <c r="E334" t="s">
        <v>137</v>
      </c>
      <c r="K334">
        <v>216.614111681</v>
      </c>
      <c r="M334">
        <v>216.614111681</v>
      </c>
      <c r="P334" s="1" t="s">
        <v>692</v>
      </c>
      <c r="Q334" s="1" t="s">
        <v>693</v>
      </c>
      <c r="R334">
        <v>0.47694046000000001</v>
      </c>
      <c r="S334">
        <v>16.920000000000002</v>
      </c>
      <c r="T334" s="2">
        <v>45795</v>
      </c>
      <c r="V334" t="str">
        <f t="shared" si="20"/>
        <v>S-5597831</v>
      </c>
      <c r="W334">
        <f t="shared" si="23"/>
        <v>0</v>
      </c>
      <c r="X334" t="str">
        <f t="shared" si="21"/>
        <v/>
      </c>
      <c r="Y334">
        <f t="shared" si="22"/>
        <v>0.47694046000000001</v>
      </c>
    </row>
    <row r="335" spans="1:25" hidden="1" x14ac:dyDescent="0.4">
      <c r="A335" t="s">
        <v>20</v>
      </c>
      <c r="B335">
        <v>5597831</v>
      </c>
      <c r="C335" t="s">
        <v>235</v>
      </c>
      <c r="D335" t="s">
        <v>21</v>
      </c>
      <c r="E335" t="s">
        <v>156</v>
      </c>
      <c r="K335">
        <v>138.77245968899999</v>
      </c>
      <c r="M335">
        <v>138.77245968899999</v>
      </c>
      <c r="P335" s="1" t="s">
        <v>1056</v>
      </c>
      <c r="Q335" s="1" t="s">
        <v>1057</v>
      </c>
      <c r="R335">
        <v>0.40698958099999999</v>
      </c>
      <c r="S335">
        <v>18.41</v>
      </c>
      <c r="T335" s="2">
        <v>45795</v>
      </c>
      <c r="V335" t="str">
        <f t="shared" si="20"/>
        <v>S-5597831</v>
      </c>
      <c r="W335">
        <f t="shared" si="23"/>
        <v>0</v>
      </c>
      <c r="X335" t="str">
        <f t="shared" si="21"/>
        <v/>
      </c>
      <c r="Y335">
        <f t="shared" si="22"/>
        <v>0.40698958099999999</v>
      </c>
    </row>
    <row r="336" spans="1:25" hidden="1" x14ac:dyDescent="0.4">
      <c r="A336" t="s">
        <v>20</v>
      </c>
      <c r="B336">
        <v>5597831</v>
      </c>
      <c r="C336" t="s">
        <v>235</v>
      </c>
      <c r="D336" t="s">
        <v>21</v>
      </c>
      <c r="E336" t="s">
        <v>140</v>
      </c>
      <c r="K336">
        <v>134.04908383899999</v>
      </c>
      <c r="M336">
        <v>134.04908383899999</v>
      </c>
      <c r="P336" s="1" t="s">
        <v>1423</v>
      </c>
      <c r="Q336" s="1" t="s">
        <v>1424</v>
      </c>
      <c r="R336">
        <v>0.24737868199999999</v>
      </c>
      <c r="S336">
        <v>9.91</v>
      </c>
      <c r="T336" s="2">
        <v>45795</v>
      </c>
      <c r="V336" t="str">
        <f t="shared" si="20"/>
        <v>S-5597831</v>
      </c>
      <c r="W336">
        <f t="shared" si="23"/>
        <v>0</v>
      </c>
      <c r="X336" t="str">
        <f t="shared" si="21"/>
        <v/>
      </c>
      <c r="Y336">
        <f t="shared" si="22"/>
        <v>0.24737868199999999</v>
      </c>
    </row>
    <row r="337" spans="1:25" hidden="1" x14ac:dyDescent="0.4">
      <c r="A337" t="s">
        <v>20</v>
      </c>
      <c r="B337">
        <v>5597831</v>
      </c>
      <c r="C337" t="s">
        <v>235</v>
      </c>
      <c r="D337" t="s">
        <v>21</v>
      </c>
      <c r="E337" t="s">
        <v>147</v>
      </c>
      <c r="K337">
        <v>71.616959562999995</v>
      </c>
      <c r="M337">
        <v>71.616959562999995</v>
      </c>
      <c r="P337" s="1" t="s">
        <v>1789</v>
      </c>
      <c r="Q337" s="1" t="s">
        <v>1790</v>
      </c>
      <c r="R337">
        <v>0.15327142099999999</v>
      </c>
      <c r="S337">
        <v>13.25</v>
      </c>
      <c r="T337" s="2">
        <v>45795</v>
      </c>
      <c r="V337" t="str">
        <f t="shared" si="20"/>
        <v>S-5597831</v>
      </c>
      <c r="W337">
        <f t="shared" si="23"/>
        <v>0</v>
      </c>
      <c r="X337" t="str">
        <f t="shared" si="21"/>
        <v/>
      </c>
      <c r="Y337">
        <f t="shared" si="22"/>
        <v>0.15327142099999999</v>
      </c>
    </row>
    <row r="338" spans="1:25" hidden="1" x14ac:dyDescent="0.4">
      <c r="A338" t="s">
        <v>20</v>
      </c>
      <c r="B338">
        <v>5597831</v>
      </c>
      <c r="C338" t="s">
        <v>235</v>
      </c>
      <c r="D338" t="s">
        <v>21</v>
      </c>
      <c r="E338" t="s">
        <v>22</v>
      </c>
      <c r="K338">
        <v>159.28097488700001</v>
      </c>
      <c r="L338">
        <v>159.28097488700001</v>
      </c>
      <c r="M338">
        <v>0</v>
      </c>
      <c r="N338">
        <v>0</v>
      </c>
      <c r="O338">
        <v>0</v>
      </c>
      <c r="P338" s="1" t="s">
        <v>236</v>
      </c>
      <c r="Q338">
        <v>1</v>
      </c>
      <c r="R338">
        <v>0</v>
      </c>
      <c r="S338">
        <v>0</v>
      </c>
      <c r="T338" s="2">
        <v>45795</v>
      </c>
      <c r="V338" t="str">
        <f t="shared" si="20"/>
        <v>S-5597831</v>
      </c>
      <c r="W338">
        <f t="shared" si="23"/>
        <v>0</v>
      </c>
      <c r="X338" t="str">
        <f t="shared" si="21"/>
        <v/>
      </c>
      <c r="Y338">
        <f t="shared" si="22"/>
        <v>0</v>
      </c>
    </row>
    <row r="339" spans="1:25" hidden="1" x14ac:dyDescent="0.4">
      <c r="A339" t="s">
        <v>20</v>
      </c>
      <c r="B339">
        <v>5605031</v>
      </c>
      <c r="C339" t="s">
        <v>237</v>
      </c>
      <c r="D339" t="s">
        <v>21</v>
      </c>
      <c r="E339" t="s">
        <v>137</v>
      </c>
      <c r="K339">
        <v>217.07915970400001</v>
      </c>
      <c r="M339">
        <v>217.07915970400001</v>
      </c>
      <c r="P339" s="1" t="s">
        <v>694</v>
      </c>
      <c r="Q339" s="1" t="s">
        <v>695</v>
      </c>
      <c r="R339">
        <v>0.46504802299999998</v>
      </c>
      <c r="S339">
        <v>16.920000000000002</v>
      </c>
      <c r="T339" s="2">
        <v>45796</v>
      </c>
      <c r="V339" t="str">
        <f t="shared" si="20"/>
        <v>S-5605031</v>
      </c>
      <c r="W339">
        <f t="shared" si="23"/>
        <v>0</v>
      </c>
      <c r="X339" t="str">
        <f t="shared" si="21"/>
        <v/>
      </c>
      <c r="Y339">
        <f t="shared" si="22"/>
        <v>0.46504802299999998</v>
      </c>
    </row>
    <row r="340" spans="1:25" hidden="1" x14ac:dyDescent="0.4">
      <c r="A340" t="s">
        <v>20</v>
      </c>
      <c r="B340">
        <v>5605031</v>
      </c>
      <c r="C340" t="s">
        <v>237</v>
      </c>
      <c r="D340" t="s">
        <v>21</v>
      </c>
      <c r="E340" t="s">
        <v>156</v>
      </c>
      <c r="K340">
        <v>139.181523083</v>
      </c>
      <c r="M340">
        <v>139.181523083</v>
      </c>
      <c r="P340" s="1" t="s">
        <v>1058</v>
      </c>
      <c r="Q340" s="1" t="s">
        <v>1059</v>
      </c>
      <c r="R340">
        <v>0.40906339400000002</v>
      </c>
      <c r="S340">
        <v>17.87</v>
      </c>
      <c r="T340" s="2">
        <v>45796</v>
      </c>
      <c r="V340" t="str">
        <f t="shared" si="20"/>
        <v>S-5605031</v>
      </c>
      <c r="W340">
        <f t="shared" si="23"/>
        <v>0</v>
      </c>
      <c r="X340" t="str">
        <f t="shared" si="21"/>
        <v/>
      </c>
      <c r="Y340">
        <f t="shared" si="22"/>
        <v>0.40906339400000002</v>
      </c>
    </row>
    <row r="341" spans="1:25" hidden="1" x14ac:dyDescent="0.4">
      <c r="A341" t="s">
        <v>20</v>
      </c>
      <c r="B341">
        <v>5605031</v>
      </c>
      <c r="C341" t="s">
        <v>237</v>
      </c>
      <c r="D341" t="s">
        <v>21</v>
      </c>
      <c r="E341" t="s">
        <v>140</v>
      </c>
      <c r="K341">
        <v>134.297975218</v>
      </c>
      <c r="M341">
        <v>134.297975218</v>
      </c>
      <c r="P341" s="1" t="s">
        <v>1425</v>
      </c>
      <c r="Q341" s="1" t="s">
        <v>1426</v>
      </c>
      <c r="R341">
        <v>0.248891379</v>
      </c>
      <c r="S341">
        <v>10.6</v>
      </c>
      <c r="T341" s="2">
        <v>45796</v>
      </c>
      <c r="V341" t="str">
        <f t="shared" si="20"/>
        <v>S-5605031</v>
      </c>
      <c r="W341">
        <f t="shared" si="23"/>
        <v>0</v>
      </c>
      <c r="X341" t="str">
        <f t="shared" si="21"/>
        <v/>
      </c>
      <c r="Y341">
        <f t="shared" si="22"/>
        <v>0.248891379</v>
      </c>
    </row>
    <row r="342" spans="1:25" hidden="1" x14ac:dyDescent="0.4">
      <c r="A342" t="s">
        <v>20</v>
      </c>
      <c r="B342">
        <v>5605031</v>
      </c>
      <c r="C342" t="s">
        <v>237</v>
      </c>
      <c r="D342" t="s">
        <v>21</v>
      </c>
      <c r="E342" t="s">
        <v>147</v>
      </c>
      <c r="K342">
        <v>71.768405978999994</v>
      </c>
      <c r="M342">
        <v>71.768405978999994</v>
      </c>
      <c r="P342" s="1" t="s">
        <v>1791</v>
      </c>
      <c r="Q342" s="1" t="s">
        <v>1792</v>
      </c>
      <c r="R342">
        <v>0.151446416</v>
      </c>
      <c r="S342">
        <v>14.41</v>
      </c>
      <c r="T342" s="2">
        <v>45796</v>
      </c>
      <c r="V342" t="str">
        <f t="shared" si="20"/>
        <v>S-5605031</v>
      </c>
      <c r="W342">
        <f t="shared" si="23"/>
        <v>0</v>
      </c>
      <c r="X342" t="str">
        <f t="shared" si="21"/>
        <v/>
      </c>
      <c r="Y342">
        <f t="shared" si="22"/>
        <v>0.151446416</v>
      </c>
    </row>
    <row r="343" spans="1:25" hidden="1" x14ac:dyDescent="0.4">
      <c r="A343" t="s">
        <v>20</v>
      </c>
      <c r="B343">
        <v>5605031</v>
      </c>
      <c r="C343" t="s">
        <v>237</v>
      </c>
      <c r="D343" t="s">
        <v>21</v>
      </c>
      <c r="E343" t="s">
        <v>22</v>
      </c>
      <c r="K343">
        <v>159.28097488700001</v>
      </c>
      <c r="L343">
        <v>159.28097488700001</v>
      </c>
      <c r="M343">
        <v>0</v>
      </c>
      <c r="N343">
        <v>0</v>
      </c>
      <c r="O343">
        <v>0</v>
      </c>
      <c r="P343" s="1" t="s">
        <v>238</v>
      </c>
      <c r="Q343">
        <v>1</v>
      </c>
      <c r="R343">
        <v>0</v>
      </c>
      <c r="S343">
        <v>0</v>
      </c>
      <c r="T343" s="2">
        <v>45796</v>
      </c>
      <c r="V343" t="str">
        <f t="shared" si="20"/>
        <v>S-5605031</v>
      </c>
      <c r="W343">
        <f t="shared" si="23"/>
        <v>0</v>
      </c>
      <c r="X343" t="str">
        <f t="shared" si="21"/>
        <v/>
      </c>
      <c r="Y343">
        <f t="shared" si="22"/>
        <v>0</v>
      </c>
    </row>
    <row r="344" spans="1:25" hidden="1" x14ac:dyDescent="0.4">
      <c r="A344" t="s">
        <v>20</v>
      </c>
      <c r="B344">
        <v>5611658</v>
      </c>
      <c r="C344" t="s">
        <v>239</v>
      </c>
      <c r="D344" t="s">
        <v>21</v>
      </c>
      <c r="E344" t="s">
        <v>137</v>
      </c>
      <c r="K344">
        <v>217.49280414200001</v>
      </c>
      <c r="M344">
        <v>217.49280414200001</v>
      </c>
      <c r="P344" s="1" t="s">
        <v>696</v>
      </c>
      <c r="Q344" s="1" t="s">
        <v>697</v>
      </c>
      <c r="R344">
        <v>0.413644438</v>
      </c>
      <c r="S344">
        <v>15</v>
      </c>
      <c r="T344" s="2">
        <v>45797</v>
      </c>
      <c r="V344" t="str">
        <f t="shared" si="20"/>
        <v>S-5611658</v>
      </c>
      <c r="W344">
        <f t="shared" si="23"/>
        <v>0</v>
      </c>
      <c r="X344" t="str">
        <f t="shared" si="21"/>
        <v/>
      </c>
      <c r="Y344">
        <f t="shared" si="22"/>
        <v>0.413644438</v>
      </c>
    </row>
    <row r="345" spans="1:25" hidden="1" x14ac:dyDescent="0.4">
      <c r="A345" t="s">
        <v>20</v>
      </c>
      <c r="B345">
        <v>5611658</v>
      </c>
      <c r="C345" t="s">
        <v>239</v>
      </c>
      <c r="D345" t="s">
        <v>21</v>
      </c>
      <c r="E345" t="s">
        <v>156</v>
      </c>
      <c r="K345">
        <v>139.55063246099999</v>
      </c>
      <c r="M345">
        <v>139.55063246099999</v>
      </c>
      <c r="P345" s="1" t="s">
        <v>1060</v>
      </c>
      <c r="Q345" s="1" t="s">
        <v>1061</v>
      </c>
      <c r="R345">
        <v>0.36910937799999999</v>
      </c>
      <c r="S345">
        <v>16.190000000000001</v>
      </c>
      <c r="T345" s="2">
        <v>45797</v>
      </c>
      <c r="V345" t="str">
        <f t="shared" si="20"/>
        <v>S-5611658</v>
      </c>
      <c r="W345">
        <f t="shared" si="23"/>
        <v>0</v>
      </c>
      <c r="X345" t="str">
        <f t="shared" si="21"/>
        <v/>
      </c>
      <c r="Y345">
        <f t="shared" si="22"/>
        <v>0.36910937799999999</v>
      </c>
    </row>
    <row r="346" spans="1:25" hidden="1" x14ac:dyDescent="0.4">
      <c r="A346" t="s">
        <v>20</v>
      </c>
      <c r="B346">
        <v>5611658</v>
      </c>
      <c r="C346" t="s">
        <v>239</v>
      </c>
      <c r="D346" t="s">
        <v>21</v>
      </c>
      <c r="E346" t="s">
        <v>140</v>
      </c>
      <c r="K346">
        <v>134.51919803000001</v>
      </c>
      <c r="M346">
        <v>134.51919803000001</v>
      </c>
      <c r="P346" s="1" t="s">
        <v>1427</v>
      </c>
      <c r="Q346" s="1" t="s">
        <v>1428</v>
      </c>
      <c r="R346">
        <v>0.22122281199999999</v>
      </c>
      <c r="S346">
        <v>9.25</v>
      </c>
      <c r="T346" s="2">
        <v>45797</v>
      </c>
      <c r="V346" t="str">
        <f t="shared" si="20"/>
        <v>S-5611658</v>
      </c>
      <c r="W346">
        <f t="shared" si="23"/>
        <v>0</v>
      </c>
      <c r="X346" t="str">
        <f t="shared" si="21"/>
        <v/>
      </c>
      <c r="Y346">
        <f t="shared" si="22"/>
        <v>0.22122281199999999</v>
      </c>
    </row>
    <row r="347" spans="1:25" hidden="1" x14ac:dyDescent="0.4">
      <c r="A347" t="s">
        <v>20</v>
      </c>
      <c r="B347">
        <v>5611658</v>
      </c>
      <c r="C347" t="s">
        <v>239</v>
      </c>
      <c r="D347" t="s">
        <v>21</v>
      </c>
      <c r="E347" t="s">
        <v>147</v>
      </c>
      <c r="K347">
        <v>71.901814580000007</v>
      </c>
      <c r="M347">
        <v>71.901814580000007</v>
      </c>
      <c r="P347" s="1" t="s">
        <v>1793</v>
      </c>
      <c r="Q347" s="1" t="s">
        <v>1794</v>
      </c>
      <c r="R347">
        <v>0.13340860099999999</v>
      </c>
      <c r="S347">
        <v>12.87</v>
      </c>
      <c r="T347" s="2">
        <v>45797</v>
      </c>
      <c r="V347" t="str">
        <f t="shared" si="20"/>
        <v>S-5611658</v>
      </c>
      <c r="W347">
        <f t="shared" si="23"/>
        <v>0</v>
      </c>
      <c r="X347" t="str">
        <f t="shared" si="21"/>
        <v/>
      </c>
      <c r="Y347">
        <f t="shared" si="22"/>
        <v>0.13340860099999999</v>
      </c>
    </row>
    <row r="348" spans="1:25" hidden="1" x14ac:dyDescent="0.4">
      <c r="A348" t="s">
        <v>20</v>
      </c>
      <c r="B348">
        <v>5611658</v>
      </c>
      <c r="C348" t="s">
        <v>239</v>
      </c>
      <c r="D348" t="s">
        <v>21</v>
      </c>
      <c r="E348" t="s">
        <v>22</v>
      </c>
      <c r="K348">
        <v>159.28097488700001</v>
      </c>
      <c r="L348">
        <v>159.28097488700001</v>
      </c>
      <c r="M348">
        <v>0</v>
      </c>
      <c r="N348">
        <v>0</v>
      </c>
      <c r="O348">
        <v>0</v>
      </c>
      <c r="P348" s="1" t="s">
        <v>240</v>
      </c>
      <c r="Q348">
        <v>1</v>
      </c>
      <c r="R348">
        <v>0</v>
      </c>
      <c r="S348">
        <v>0</v>
      </c>
      <c r="T348" s="2">
        <v>45797</v>
      </c>
      <c r="V348" t="str">
        <f t="shared" si="20"/>
        <v>S-5611658</v>
      </c>
      <c r="W348">
        <f t="shared" si="23"/>
        <v>0</v>
      </c>
      <c r="X348" t="str">
        <f t="shared" si="21"/>
        <v/>
      </c>
      <c r="Y348">
        <f t="shared" si="22"/>
        <v>0</v>
      </c>
    </row>
    <row r="349" spans="1:25" hidden="1" x14ac:dyDescent="0.4">
      <c r="A349" t="s">
        <v>20</v>
      </c>
      <c r="B349">
        <v>5613848</v>
      </c>
      <c r="C349" t="s">
        <v>241</v>
      </c>
      <c r="D349" t="s">
        <v>21</v>
      </c>
      <c r="E349" t="s">
        <v>137</v>
      </c>
      <c r="K349">
        <v>217.63191329599999</v>
      </c>
      <c r="M349">
        <v>217.63191329599999</v>
      </c>
      <c r="P349" s="1" t="s">
        <v>698</v>
      </c>
      <c r="Q349" s="1" t="s">
        <v>699</v>
      </c>
      <c r="R349">
        <v>0.13910915400000001</v>
      </c>
      <c r="S349">
        <v>5.46</v>
      </c>
      <c r="T349" s="2">
        <v>45798</v>
      </c>
      <c r="V349" t="str">
        <f t="shared" si="20"/>
        <v>S-5613848</v>
      </c>
      <c r="W349">
        <f t="shared" si="23"/>
        <v>0</v>
      </c>
      <c r="X349" t="str">
        <f t="shared" si="21"/>
        <v/>
      </c>
      <c r="Y349">
        <f t="shared" si="22"/>
        <v>0.13910915400000001</v>
      </c>
    </row>
    <row r="350" spans="1:25" hidden="1" x14ac:dyDescent="0.4">
      <c r="A350" t="s">
        <v>20</v>
      </c>
      <c r="B350">
        <v>5613848</v>
      </c>
      <c r="C350" t="s">
        <v>241</v>
      </c>
      <c r="D350" t="s">
        <v>21</v>
      </c>
      <c r="E350" t="s">
        <v>156</v>
      </c>
      <c r="K350">
        <v>139.67394791300001</v>
      </c>
      <c r="M350">
        <v>139.67394791300001</v>
      </c>
      <c r="P350" s="1" t="s">
        <v>1062</v>
      </c>
      <c r="Q350" s="1" t="s">
        <v>1063</v>
      </c>
      <c r="R350">
        <v>0.12331545200000001</v>
      </c>
      <c r="S350">
        <v>5.87</v>
      </c>
      <c r="T350" s="2">
        <v>45798</v>
      </c>
      <c r="V350" t="str">
        <f t="shared" si="20"/>
        <v>S-5613848</v>
      </c>
      <c r="W350">
        <f t="shared" si="23"/>
        <v>0</v>
      </c>
      <c r="X350" t="str">
        <f t="shared" si="21"/>
        <v/>
      </c>
      <c r="Y350">
        <f t="shared" si="22"/>
        <v>0.12331545200000001</v>
      </c>
    </row>
    <row r="351" spans="1:25" hidden="1" x14ac:dyDescent="0.4">
      <c r="A351" t="s">
        <v>20</v>
      </c>
      <c r="B351">
        <v>5613848</v>
      </c>
      <c r="C351" t="s">
        <v>241</v>
      </c>
      <c r="D351" t="s">
        <v>21</v>
      </c>
      <c r="E351" t="s">
        <v>140</v>
      </c>
      <c r="K351">
        <v>134.59288440399999</v>
      </c>
      <c r="M351">
        <v>134.59288440399999</v>
      </c>
      <c r="P351" s="1" t="s">
        <v>1429</v>
      </c>
      <c r="Q351" s="1" t="s">
        <v>1430</v>
      </c>
      <c r="R351">
        <v>7.3686373999999999E-2</v>
      </c>
      <c r="S351">
        <v>3.34</v>
      </c>
      <c r="T351" s="2">
        <v>45798</v>
      </c>
      <c r="V351" t="str">
        <f t="shared" si="20"/>
        <v>S-5613848</v>
      </c>
      <c r="W351">
        <f t="shared" si="23"/>
        <v>0</v>
      </c>
      <c r="X351" t="str">
        <f t="shared" si="21"/>
        <v/>
      </c>
      <c r="Y351">
        <f t="shared" si="22"/>
        <v>7.3686373999999999E-2</v>
      </c>
    </row>
    <row r="352" spans="1:25" hidden="1" x14ac:dyDescent="0.4">
      <c r="A352" t="s">
        <v>20</v>
      </c>
      <c r="B352">
        <v>5613848</v>
      </c>
      <c r="C352" t="s">
        <v>241</v>
      </c>
      <c r="D352" t="s">
        <v>21</v>
      </c>
      <c r="E352" t="s">
        <v>147</v>
      </c>
      <c r="K352">
        <v>71.952271881000001</v>
      </c>
      <c r="M352">
        <v>71.952271881000001</v>
      </c>
      <c r="P352" s="1" t="s">
        <v>1795</v>
      </c>
      <c r="Q352" s="1" t="s">
        <v>1796</v>
      </c>
      <c r="R352">
        <v>5.0457301000000003E-2</v>
      </c>
      <c r="S352">
        <v>5.27</v>
      </c>
      <c r="T352" s="2">
        <v>45798</v>
      </c>
      <c r="V352" t="str">
        <f t="shared" si="20"/>
        <v>S-5613848</v>
      </c>
      <c r="W352">
        <f t="shared" si="23"/>
        <v>0</v>
      </c>
      <c r="X352" t="str">
        <f t="shared" si="21"/>
        <v/>
      </c>
      <c r="Y352">
        <f t="shared" si="22"/>
        <v>5.0457301000000003E-2</v>
      </c>
    </row>
    <row r="353" spans="1:25" hidden="1" x14ac:dyDescent="0.4">
      <c r="A353" t="s">
        <v>20</v>
      </c>
      <c r="B353">
        <v>5613848</v>
      </c>
      <c r="C353" t="s">
        <v>241</v>
      </c>
      <c r="D353" t="s">
        <v>21</v>
      </c>
      <c r="E353" t="s">
        <v>22</v>
      </c>
      <c r="K353">
        <v>159.28097488700001</v>
      </c>
      <c r="L353">
        <v>159.28097488700001</v>
      </c>
      <c r="M353">
        <v>0</v>
      </c>
      <c r="N353">
        <v>0</v>
      </c>
      <c r="O353">
        <v>0</v>
      </c>
      <c r="P353" s="1" t="s">
        <v>242</v>
      </c>
      <c r="Q353">
        <v>1</v>
      </c>
      <c r="R353">
        <v>0</v>
      </c>
      <c r="S353">
        <v>0</v>
      </c>
      <c r="T353" s="2">
        <v>45798</v>
      </c>
      <c r="V353" t="str">
        <f t="shared" si="20"/>
        <v>S-5613848</v>
      </c>
      <c r="W353">
        <f t="shared" si="23"/>
        <v>0</v>
      </c>
      <c r="X353" t="str">
        <f t="shared" si="21"/>
        <v/>
      </c>
      <c r="Y353">
        <f t="shared" si="22"/>
        <v>0</v>
      </c>
    </row>
    <row r="354" spans="1:25" hidden="1" x14ac:dyDescent="0.4">
      <c r="A354" t="s">
        <v>20</v>
      </c>
      <c r="B354">
        <v>5617099</v>
      </c>
      <c r="C354" t="s">
        <v>243</v>
      </c>
      <c r="D354" t="s">
        <v>21</v>
      </c>
      <c r="E354" t="s">
        <v>137</v>
      </c>
      <c r="K354">
        <v>217.84174027099999</v>
      </c>
      <c r="M354">
        <v>217.84174027099999</v>
      </c>
      <c r="P354" s="1" t="s">
        <v>700</v>
      </c>
      <c r="Q354" s="1" t="s">
        <v>701</v>
      </c>
      <c r="R354">
        <v>0.209826975</v>
      </c>
      <c r="S354">
        <v>8.4</v>
      </c>
      <c r="T354" s="2">
        <v>45799</v>
      </c>
      <c r="V354" t="str">
        <f t="shared" si="20"/>
        <v>S-5617099</v>
      </c>
      <c r="W354">
        <f t="shared" si="23"/>
        <v>0</v>
      </c>
      <c r="X354" t="str">
        <f t="shared" si="21"/>
        <v/>
      </c>
      <c r="Y354">
        <f t="shared" si="22"/>
        <v>0.209826975</v>
      </c>
    </row>
    <row r="355" spans="1:25" hidden="1" x14ac:dyDescent="0.4">
      <c r="A355" t="s">
        <v>20</v>
      </c>
      <c r="B355">
        <v>5617099</v>
      </c>
      <c r="C355" t="s">
        <v>243</v>
      </c>
      <c r="D355" t="s">
        <v>21</v>
      </c>
      <c r="E355" t="s">
        <v>156</v>
      </c>
      <c r="K355">
        <v>139.85988113600001</v>
      </c>
      <c r="M355">
        <v>139.85988113600001</v>
      </c>
      <c r="P355" s="1" t="s">
        <v>1064</v>
      </c>
      <c r="Q355" s="1" t="s">
        <v>1065</v>
      </c>
      <c r="R355">
        <v>0.18593322300000001</v>
      </c>
      <c r="S355">
        <v>9.06</v>
      </c>
      <c r="T355" s="2">
        <v>45799</v>
      </c>
      <c r="V355" t="str">
        <f t="shared" si="20"/>
        <v>S-5617099</v>
      </c>
      <c r="W355">
        <f t="shared" si="23"/>
        <v>0</v>
      </c>
      <c r="X355" t="str">
        <f t="shared" si="21"/>
        <v/>
      </c>
      <c r="Y355">
        <f t="shared" si="22"/>
        <v>0.18593322300000001</v>
      </c>
    </row>
    <row r="356" spans="1:25" hidden="1" x14ac:dyDescent="0.4">
      <c r="A356" t="s">
        <v>20</v>
      </c>
      <c r="B356">
        <v>5617099</v>
      </c>
      <c r="C356" t="s">
        <v>243</v>
      </c>
      <c r="D356" t="s">
        <v>21</v>
      </c>
      <c r="E356" t="s">
        <v>140</v>
      </c>
      <c r="K356">
        <v>134.703984953</v>
      </c>
      <c r="M356">
        <v>134.703984953</v>
      </c>
      <c r="P356" s="1" t="s">
        <v>1431</v>
      </c>
      <c r="Q356" s="1" t="s">
        <v>1432</v>
      </c>
      <c r="R356">
        <v>0.11110054900000001</v>
      </c>
      <c r="S356">
        <v>4.9400000000000004</v>
      </c>
      <c r="T356" s="2">
        <v>45799</v>
      </c>
      <c r="V356" t="str">
        <f t="shared" si="20"/>
        <v>S-5617099</v>
      </c>
      <c r="W356">
        <f t="shared" si="23"/>
        <v>0</v>
      </c>
      <c r="X356" t="str">
        <f t="shared" si="21"/>
        <v/>
      </c>
      <c r="Y356">
        <f t="shared" si="22"/>
        <v>0.11110054900000001</v>
      </c>
    </row>
    <row r="357" spans="1:25" hidden="1" x14ac:dyDescent="0.4">
      <c r="A357" t="s">
        <v>20</v>
      </c>
      <c r="B357">
        <v>5617099</v>
      </c>
      <c r="C357" t="s">
        <v>243</v>
      </c>
      <c r="D357" t="s">
        <v>21</v>
      </c>
      <c r="E357" t="s">
        <v>147</v>
      </c>
      <c r="K357">
        <v>72.019165443999995</v>
      </c>
      <c r="M357">
        <v>72.019165443999995</v>
      </c>
      <c r="P357" s="1" t="s">
        <v>1797</v>
      </c>
      <c r="Q357" s="1" t="s">
        <v>1798</v>
      </c>
      <c r="R357">
        <v>6.6893563000000003E-2</v>
      </c>
      <c r="S357">
        <v>6.94</v>
      </c>
      <c r="T357" s="2">
        <v>45799</v>
      </c>
      <c r="V357" t="str">
        <f t="shared" si="20"/>
        <v>S-5617099</v>
      </c>
      <c r="W357">
        <f t="shared" si="23"/>
        <v>0</v>
      </c>
      <c r="X357" t="str">
        <f t="shared" si="21"/>
        <v/>
      </c>
      <c r="Y357">
        <f t="shared" si="22"/>
        <v>6.6893563000000003E-2</v>
      </c>
    </row>
    <row r="358" spans="1:25" hidden="1" x14ac:dyDescent="0.4">
      <c r="A358" t="s">
        <v>20</v>
      </c>
      <c r="B358">
        <v>5617099</v>
      </c>
      <c r="C358" t="s">
        <v>243</v>
      </c>
      <c r="D358" t="s">
        <v>21</v>
      </c>
      <c r="E358" t="s">
        <v>22</v>
      </c>
      <c r="K358">
        <v>159.28097488700001</v>
      </c>
      <c r="L358">
        <v>159.28097488700001</v>
      </c>
      <c r="M358">
        <v>0</v>
      </c>
      <c r="N358">
        <v>0</v>
      </c>
      <c r="O358">
        <v>0</v>
      </c>
      <c r="P358" s="1" t="s">
        <v>244</v>
      </c>
      <c r="Q358">
        <v>1</v>
      </c>
      <c r="R358">
        <v>0</v>
      </c>
      <c r="S358">
        <v>0</v>
      </c>
      <c r="T358" s="2">
        <v>45799</v>
      </c>
      <c r="V358" t="str">
        <f t="shared" si="20"/>
        <v>S-5617099</v>
      </c>
      <c r="W358">
        <f t="shared" si="23"/>
        <v>0</v>
      </c>
      <c r="X358" t="str">
        <f t="shared" si="21"/>
        <v/>
      </c>
      <c r="Y358">
        <f t="shared" si="22"/>
        <v>0</v>
      </c>
    </row>
    <row r="359" spans="1:25" hidden="1" x14ac:dyDescent="0.4">
      <c r="A359" t="s">
        <v>20</v>
      </c>
      <c r="B359">
        <v>5624281</v>
      </c>
      <c r="C359" t="s">
        <v>245</v>
      </c>
      <c r="D359" t="s">
        <v>21</v>
      </c>
      <c r="E359" t="s">
        <v>137</v>
      </c>
      <c r="K359">
        <v>218.301426698</v>
      </c>
      <c r="M359">
        <v>218.301426698</v>
      </c>
      <c r="P359" s="1" t="s">
        <v>702</v>
      </c>
      <c r="Q359" s="1" t="s">
        <v>703</v>
      </c>
      <c r="R359">
        <v>0.45968642700000001</v>
      </c>
      <c r="S359">
        <v>16.61</v>
      </c>
      <c r="T359" s="2">
        <v>45800</v>
      </c>
      <c r="V359" t="str">
        <f t="shared" si="20"/>
        <v>S-5624281</v>
      </c>
      <c r="W359">
        <f t="shared" si="23"/>
        <v>0</v>
      </c>
      <c r="X359" t="str">
        <f t="shared" si="21"/>
        <v/>
      </c>
      <c r="Y359">
        <f t="shared" si="22"/>
        <v>0.45968642700000001</v>
      </c>
    </row>
    <row r="360" spans="1:25" hidden="1" x14ac:dyDescent="0.4">
      <c r="A360" t="s">
        <v>20</v>
      </c>
      <c r="B360">
        <v>5624281</v>
      </c>
      <c r="C360" t="s">
        <v>245</v>
      </c>
      <c r="D360" t="s">
        <v>21</v>
      </c>
      <c r="E360" t="s">
        <v>156</v>
      </c>
      <c r="K360">
        <v>140.27218169400001</v>
      </c>
      <c r="M360">
        <v>140.27218169400001</v>
      </c>
      <c r="P360" s="1" t="s">
        <v>1066</v>
      </c>
      <c r="Q360" s="1" t="s">
        <v>1067</v>
      </c>
      <c r="R360">
        <v>0.41230055799999998</v>
      </c>
      <c r="S360">
        <v>17.73</v>
      </c>
      <c r="T360" s="2">
        <v>45800</v>
      </c>
      <c r="V360" t="str">
        <f t="shared" si="20"/>
        <v>S-5624281</v>
      </c>
      <c r="W360">
        <f t="shared" si="23"/>
        <v>0</v>
      </c>
      <c r="X360" t="str">
        <f t="shared" si="21"/>
        <v/>
      </c>
      <c r="Y360">
        <f t="shared" si="22"/>
        <v>0.41230055799999998</v>
      </c>
    </row>
    <row r="361" spans="1:25" hidden="1" x14ac:dyDescent="0.4">
      <c r="A361" t="s">
        <v>20</v>
      </c>
      <c r="B361">
        <v>5624281</v>
      </c>
      <c r="C361" t="s">
        <v>245</v>
      </c>
      <c r="D361" t="s">
        <v>21</v>
      </c>
      <c r="E361" t="s">
        <v>140</v>
      </c>
      <c r="K361">
        <v>134.95032994499999</v>
      </c>
      <c r="M361">
        <v>134.95032994499999</v>
      </c>
      <c r="P361" s="1" t="s">
        <v>1433</v>
      </c>
      <c r="Q361" s="1" t="s">
        <v>1434</v>
      </c>
      <c r="R361">
        <v>0.24634499200000001</v>
      </c>
      <c r="S361">
        <v>10.16</v>
      </c>
      <c r="T361" s="2">
        <v>45800</v>
      </c>
      <c r="V361" t="str">
        <f t="shared" si="20"/>
        <v>S-5624281</v>
      </c>
      <c r="W361">
        <f t="shared" si="23"/>
        <v>0</v>
      </c>
      <c r="X361" t="str">
        <f t="shared" si="21"/>
        <v/>
      </c>
      <c r="Y361">
        <f t="shared" si="22"/>
        <v>0.24634499200000001</v>
      </c>
    </row>
    <row r="362" spans="1:25" hidden="1" x14ac:dyDescent="0.4">
      <c r="A362" t="s">
        <v>20</v>
      </c>
      <c r="B362">
        <v>5624281</v>
      </c>
      <c r="C362" t="s">
        <v>245</v>
      </c>
      <c r="D362" t="s">
        <v>21</v>
      </c>
      <c r="E362" t="s">
        <v>147</v>
      </c>
      <c r="K362">
        <v>72.166409995999999</v>
      </c>
      <c r="M362">
        <v>72.166409995999999</v>
      </c>
      <c r="P362" s="1" t="s">
        <v>1799</v>
      </c>
      <c r="Q362" s="1" t="s">
        <v>1800</v>
      </c>
      <c r="R362">
        <v>0.147244552</v>
      </c>
      <c r="S362">
        <v>14.08</v>
      </c>
      <c r="T362" s="2">
        <v>45800</v>
      </c>
      <c r="V362" t="str">
        <f t="shared" si="20"/>
        <v>S-5624281</v>
      </c>
      <c r="W362">
        <f t="shared" si="23"/>
        <v>0</v>
      </c>
      <c r="X362" t="str">
        <f t="shared" si="21"/>
        <v/>
      </c>
      <c r="Y362">
        <f t="shared" si="22"/>
        <v>0.147244552</v>
      </c>
    </row>
    <row r="363" spans="1:25" hidden="1" x14ac:dyDescent="0.4">
      <c r="A363" t="s">
        <v>20</v>
      </c>
      <c r="B363">
        <v>5624281</v>
      </c>
      <c r="C363" t="s">
        <v>245</v>
      </c>
      <c r="D363" t="s">
        <v>21</v>
      </c>
      <c r="E363" t="s">
        <v>22</v>
      </c>
      <c r="K363">
        <v>159.28097488700001</v>
      </c>
      <c r="L363">
        <v>159.28097488700001</v>
      </c>
      <c r="M363">
        <v>0</v>
      </c>
      <c r="N363">
        <v>0</v>
      </c>
      <c r="O363">
        <v>0</v>
      </c>
      <c r="P363" s="1" t="s">
        <v>246</v>
      </c>
      <c r="Q363">
        <v>1</v>
      </c>
      <c r="R363">
        <v>0</v>
      </c>
      <c r="S363">
        <v>0</v>
      </c>
      <c r="T363" s="2">
        <v>45800</v>
      </c>
      <c r="V363" t="str">
        <f t="shared" si="20"/>
        <v>S-5624281</v>
      </c>
      <c r="W363">
        <f t="shared" si="23"/>
        <v>0</v>
      </c>
      <c r="X363" t="str">
        <f t="shared" si="21"/>
        <v/>
      </c>
      <c r="Y363">
        <f t="shared" si="22"/>
        <v>0</v>
      </c>
    </row>
    <row r="364" spans="1:25" hidden="1" x14ac:dyDescent="0.4">
      <c r="A364" t="s">
        <v>20</v>
      </c>
      <c r="B364">
        <v>5631481</v>
      </c>
      <c r="C364" t="s">
        <v>247</v>
      </c>
      <c r="D364" t="s">
        <v>21</v>
      </c>
      <c r="E364" t="s">
        <v>137</v>
      </c>
      <c r="K364">
        <v>218.74932288299999</v>
      </c>
      <c r="M364">
        <v>218.74932288299999</v>
      </c>
      <c r="P364" s="1" t="s">
        <v>704</v>
      </c>
      <c r="Q364" s="1" t="s">
        <v>705</v>
      </c>
      <c r="R364">
        <v>0.447896185</v>
      </c>
      <c r="S364">
        <v>16.920000000000002</v>
      </c>
      <c r="T364" s="2">
        <v>45801</v>
      </c>
      <c r="V364" t="str">
        <f t="shared" si="20"/>
        <v>S-5631481</v>
      </c>
      <c r="W364">
        <f t="shared" si="23"/>
        <v>0</v>
      </c>
      <c r="X364" t="str">
        <f t="shared" si="21"/>
        <v/>
      </c>
      <c r="Y364">
        <f t="shared" si="22"/>
        <v>0.447896185</v>
      </c>
    </row>
    <row r="365" spans="1:25" hidden="1" x14ac:dyDescent="0.4">
      <c r="A365" t="s">
        <v>20</v>
      </c>
      <c r="B365">
        <v>5631481</v>
      </c>
      <c r="C365" t="s">
        <v>247</v>
      </c>
      <c r="D365" t="s">
        <v>21</v>
      </c>
      <c r="E365" t="s">
        <v>156</v>
      </c>
      <c r="K365">
        <v>140.68356759100001</v>
      </c>
      <c r="M365">
        <v>140.68356759100001</v>
      </c>
      <c r="P365" s="1" t="s">
        <v>1068</v>
      </c>
      <c r="Q365" s="1" t="s">
        <v>1069</v>
      </c>
      <c r="R365">
        <v>0.411385897</v>
      </c>
      <c r="S365">
        <v>18.440000000000001</v>
      </c>
      <c r="T365" s="2">
        <v>45801</v>
      </c>
      <c r="V365" t="str">
        <f t="shared" si="20"/>
        <v>S-5631481</v>
      </c>
      <c r="W365">
        <f t="shared" si="23"/>
        <v>0</v>
      </c>
      <c r="X365" t="str">
        <f t="shared" si="21"/>
        <v/>
      </c>
      <c r="Y365">
        <f t="shared" si="22"/>
        <v>0.411385897</v>
      </c>
    </row>
    <row r="366" spans="1:25" hidden="1" x14ac:dyDescent="0.4">
      <c r="A366" t="s">
        <v>20</v>
      </c>
      <c r="B366">
        <v>5631481</v>
      </c>
      <c r="C366" t="s">
        <v>247</v>
      </c>
      <c r="D366" t="s">
        <v>21</v>
      </c>
      <c r="E366" t="s">
        <v>140</v>
      </c>
      <c r="K366">
        <v>135.19396446499999</v>
      </c>
      <c r="M366">
        <v>135.19396446499999</v>
      </c>
      <c r="P366" s="1" t="s">
        <v>1435</v>
      </c>
      <c r="Q366" s="1" t="s">
        <v>1436</v>
      </c>
      <c r="R366">
        <v>0.24363451999999999</v>
      </c>
      <c r="S366">
        <v>11.91</v>
      </c>
      <c r="T366" s="2">
        <v>45801</v>
      </c>
      <c r="V366" t="str">
        <f t="shared" si="20"/>
        <v>S-5631481</v>
      </c>
      <c r="W366">
        <f t="shared" si="23"/>
        <v>0</v>
      </c>
      <c r="X366" t="str">
        <f t="shared" si="21"/>
        <v/>
      </c>
      <c r="Y366">
        <f t="shared" si="22"/>
        <v>0.24363451999999999</v>
      </c>
    </row>
    <row r="367" spans="1:25" hidden="1" x14ac:dyDescent="0.4">
      <c r="A367" t="s">
        <v>20</v>
      </c>
      <c r="B367">
        <v>5631481</v>
      </c>
      <c r="C367" t="s">
        <v>247</v>
      </c>
      <c r="D367" t="s">
        <v>21</v>
      </c>
      <c r="E367" t="s">
        <v>147</v>
      </c>
      <c r="K367">
        <v>72.317914040999995</v>
      </c>
      <c r="M367">
        <v>72.317914040999995</v>
      </c>
      <c r="P367" s="1" t="s">
        <v>1801</v>
      </c>
      <c r="Q367" s="1" t="s">
        <v>1802</v>
      </c>
      <c r="R367">
        <v>0.151504045</v>
      </c>
      <c r="S367">
        <v>16.96</v>
      </c>
      <c r="T367" s="2">
        <v>45801</v>
      </c>
      <c r="V367" t="str">
        <f t="shared" si="20"/>
        <v>S-5631481</v>
      </c>
      <c r="W367">
        <f t="shared" si="23"/>
        <v>0</v>
      </c>
      <c r="X367" t="str">
        <f t="shared" si="21"/>
        <v/>
      </c>
      <c r="Y367">
        <f t="shared" si="22"/>
        <v>0.151504045</v>
      </c>
    </row>
    <row r="368" spans="1:25" hidden="1" x14ac:dyDescent="0.4">
      <c r="A368" t="s">
        <v>20</v>
      </c>
      <c r="B368">
        <v>5631481</v>
      </c>
      <c r="C368" t="s">
        <v>247</v>
      </c>
      <c r="D368" t="s">
        <v>21</v>
      </c>
      <c r="E368" t="s">
        <v>22</v>
      </c>
      <c r="K368">
        <v>159.28097488700001</v>
      </c>
      <c r="L368">
        <v>159.28097488700001</v>
      </c>
      <c r="M368">
        <v>0</v>
      </c>
      <c r="N368">
        <v>0</v>
      </c>
      <c r="O368">
        <v>0</v>
      </c>
      <c r="P368" s="1" t="s">
        <v>248</v>
      </c>
      <c r="Q368">
        <v>1</v>
      </c>
      <c r="R368">
        <v>0</v>
      </c>
      <c r="S368">
        <v>0</v>
      </c>
      <c r="T368" s="2">
        <v>45801</v>
      </c>
      <c r="V368" t="str">
        <f t="shared" si="20"/>
        <v>S-5631481</v>
      </c>
      <c r="W368">
        <f t="shared" si="23"/>
        <v>0</v>
      </c>
      <c r="X368" t="str">
        <f t="shared" si="21"/>
        <v/>
      </c>
      <c r="Y368">
        <f t="shared" si="22"/>
        <v>0</v>
      </c>
    </row>
    <row r="369" spans="1:25" hidden="1" x14ac:dyDescent="0.4">
      <c r="A369" t="s">
        <v>20</v>
      </c>
      <c r="B369">
        <v>5638681</v>
      </c>
      <c r="C369" t="s">
        <v>249</v>
      </c>
      <c r="D369" t="s">
        <v>21</v>
      </c>
      <c r="E369" t="s">
        <v>137</v>
      </c>
      <c r="K369">
        <v>219.186039362</v>
      </c>
      <c r="M369">
        <v>219.186039362</v>
      </c>
      <c r="P369" s="1" t="s">
        <v>706</v>
      </c>
      <c r="Q369" s="1" t="s">
        <v>707</v>
      </c>
      <c r="R369">
        <v>0.43671647899999999</v>
      </c>
      <c r="S369">
        <v>16.190000000000001</v>
      </c>
      <c r="T369" s="2">
        <v>45802</v>
      </c>
      <c r="V369" t="str">
        <f t="shared" si="20"/>
        <v>S-5638681</v>
      </c>
      <c r="W369">
        <f t="shared" si="23"/>
        <v>0</v>
      </c>
      <c r="X369" t="str">
        <f t="shared" si="21"/>
        <v/>
      </c>
      <c r="Y369">
        <f t="shared" si="22"/>
        <v>0.43671647899999999</v>
      </c>
    </row>
    <row r="370" spans="1:25" hidden="1" x14ac:dyDescent="0.4">
      <c r="A370" t="s">
        <v>20</v>
      </c>
      <c r="B370">
        <v>5638681</v>
      </c>
      <c r="C370" t="s">
        <v>249</v>
      </c>
      <c r="D370" t="s">
        <v>21</v>
      </c>
      <c r="E370" t="s">
        <v>156</v>
      </c>
      <c r="K370">
        <v>141.09520663500001</v>
      </c>
      <c r="M370">
        <v>141.09520663500001</v>
      </c>
      <c r="P370" s="1" t="s">
        <v>1070</v>
      </c>
      <c r="Q370" s="1" t="s">
        <v>1071</v>
      </c>
      <c r="R370">
        <v>0.41163904400000001</v>
      </c>
      <c r="S370">
        <v>18.36</v>
      </c>
      <c r="T370" s="2">
        <v>45802</v>
      </c>
      <c r="V370" t="str">
        <f t="shared" si="20"/>
        <v>S-5638681</v>
      </c>
      <c r="W370">
        <f t="shared" si="23"/>
        <v>0</v>
      </c>
      <c r="X370" t="str">
        <f t="shared" si="21"/>
        <v/>
      </c>
      <c r="Y370">
        <f t="shared" si="22"/>
        <v>0.41163904400000001</v>
      </c>
    </row>
    <row r="371" spans="1:25" hidden="1" x14ac:dyDescent="0.4">
      <c r="A371" t="s">
        <v>20</v>
      </c>
      <c r="B371">
        <v>5638681</v>
      </c>
      <c r="C371" t="s">
        <v>249</v>
      </c>
      <c r="D371" t="s">
        <v>21</v>
      </c>
      <c r="E371" t="s">
        <v>140</v>
      </c>
      <c r="K371">
        <v>135.43368740700001</v>
      </c>
      <c r="M371">
        <v>135.43368740700001</v>
      </c>
      <c r="P371" s="1" t="s">
        <v>1437</v>
      </c>
      <c r="Q371" s="1" t="s">
        <v>1438</v>
      </c>
      <c r="R371">
        <v>0.23972294199999999</v>
      </c>
      <c r="S371">
        <v>11.55</v>
      </c>
      <c r="T371" s="2">
        <v>45802</v>
      </c>
      <c r="V371" t="str">
        <f t="shared" si="20"/>
        <v>S-5638681</v>
      </c>
      <c r="W371">
        <f t="shared" si="23"/>
        <v>0</v>
      </c>
      <c r="X371" t="str">
        <f t="shared" si="21"/>
        <v/>
      </c>
      <c r="Y371">
        <f t="shared" si="22"/>
        <v>0.23972294199999999</v>
      </c>
    </row>
    <row r="372" spans="1:25" hidden="1" x14ac:dyDescent="0.4">
      <c r="A372" t="s">
        <v>20</v>
      </c>
      <c r="B372">
        <v>5638681</v>
      </c>
      <c r="C372" t="s">
        <v>249</v>
      </c>
      <c r="D372" t="s">
        <v>21</v>
      </c>
      <c r="E372" t="s">
        <v>147</v>
      </c>
      <c r="K372">
        <v>72.462877656000003</v>
      </c>
      <c r="M372">
        <v>72.462877656000003</v>
      </c>
      <c r="P372" s="1" t="s">
        <v>1803</v>
      </c>
      <c r="Q372" s="1" t="s">
        <v>1804</v>
      </c>
      <c r="R372">
        <v>0.14496361499999999</v>
      </c>
      <c r="S372">
        <v>16.579999999999998</v>
      </c>
      <c r="T372" s="2">
        <v>45802</v>
      </c>
      <c r="V372" t="str">
        <f t="shared" si="20"/>
        <v>S-5638681</v>
      </c>
      <c r="W372">
        <f t="shared" si="23"/>
        <v>0</v>
      </c>
      <c r="X372" t="str">
        <f t="shared" si="21"/>
        <v/>
      </c>
      <c r="Y372">
        <f t="shared" si="22"/>
        <v>0.14496361499999999</v>
      </c>
    </row>
    <row r="373" spans="1:25" hidden="1" x14ac:dyDescent="0.4">
      <c r="A373" t="s">
        <v>20</v>
      </c>
      <c r="B373">
        <v>5638681</v>
      </c>
      <c r="C373" t="s">
        <v>249</v>
      </c>
      <c r="D373" t="s">
        <v>21</v>
      </c>
      <c r="E373" t="s">
        <v>22</v>
      </c>
      <c r="K373">
        <v>159.28097488700001</v>
      </c>
      <c r="L373">
        <v>159.28097488700001</v>
      </c>
      <c r="M373">
        <v>0</v>
      </c>
      <c r="N373">
        <v>0</v>
      </c>
      <c r="O373">
        <v>0</v>
      </c>
      <c r="P373" s="1" t="s">
        <v>250</v>
      </c>
      <c r="Q373">
        <v>1</v>
      </c>
      <c r="R373">
        <v>0</v>
      </c>
      <c r="S373">
        <v>0</v>
      </c>
      <c r="T373" s="2">
        <v>45802</v>
      </c>
      <c r="V373" t="str">
        <f t="shared" si="20"/>
        <v>S-5638681</v>
      </c>
      <c r="W373">
        <f t="shared" si="23"/>
        <v>0</v>
      </c>
      <c r="X373" t="str">
        <f t="shared" si="21"/>
        <v/>
      </c>
      <c r="Y373">
        <f t="shared" si="22"/>
        <v>0</v>
      </c>
    </row>
    <row r="374" spans="1:25" hidden="1" x14ac:dyDescent="0.4">
      <c r="A374" t="s">
        <v>20</v>
      </c>
      <c r="B374">
        <v>5645881</v>
      </c>
      <c r="C374" t="s">
        <v>251</v>
      </c>
      <c r="D374" t="s">
        <v>21</v>
      </c>
      <c r="E374" t="s">
        <v>137</v>
      </c>
      <c r="K374">
        <v>219.60098846299999</v>
      </c>
      <c r="M374">
        <v>219.60098846299999</v>
      </c>
      <c r="P374" s="1" t="s">
        <v>708</v>
      </c>
      <c r="Q374" s="1" t="s">
        <v>709</v>
      </c>
      <c r="R374">
        <v>0.41494910099999999</v>
      </c>
      <c r="S374">
        <v>21.07</v>
      </c>
      <c r="T374" s="2">
        <v>45803</v>
      </c>
      <c r="V374" t="str">
        <f t="shared" si="20"/>
        <v>S-5645881</v>
      </c>
      <c r="W374">
        <f t="shared" si="23"/>
        <v>0</v>
      </c>
      <c r="X374" t="str">
        <f t="shared" si="21"/>
        <v/>
      </c>
      <c r="Y374">
        <f t="shared" si="22"/>
        <v>0.41494910099999999</v>
      </c>
    </row>
    <row r="375" spans="1:25" hidden="1" x14ac:dyDescent="0.4">
      <c r="A375" t="s">
        <v>20</v>
      </c>
      <c r="B375">
        <v>5645881</v>
      </c>
      <c r="C375" t="s">
        <v>251</v>
      </c>
      <c r="D375" t="s">
        <v>21</v>
      </c>
      <c r="E375" t="s">
        <v>156</v>
      </c>
      <c r="K375">
        <v>141.50702786700001</v>
      </c>
      <c r="M375">
        <v>141.50702786700001</v>
      </c>
      <c r="P375" s="1" t="s">
        <v>1072</v>
      </c>
      <c r="Q375" s="1" t="s">
        <v>1073</v>
      </c>
      <c r="R375">
        <v>0.41182123199999998</v>
      </c>
      <c r="S375">
        <v>18.329999999999998</v>
      </c>
      <c r="T375" s="2">
        <v>45803</v>
      </c>
      <c r="V375" t="str">
        <f t="shared" si="20"/>
        <v>S-5645881</v>
      </c>
      <c r="W375">
        <f t="shared" si="23"/>
        <v>0</v>
      </c>
      <c r="X375" t="str">
        <f t="shared" si="21"/>
        <v/>
      </c>
      <c r="Y375">
        <f t="shared" si="22"/>
        <v>0.41182123199999998</v>
      </c>
    </row>
    <row r="376" spans="1:25" hidden="1" x14ac:dyDescent="0.4">
      <c r="A376" t="s">
        <v>20</v>
      </c>
      <c r="B376">
        <v>5645881</v>
      </c>
      <c r="C376" t="s">
        <v>251</v>
      </c>
      <c r="D376" t="s">
        <v>21</v>
      </c>
      <c r="E376" t="s">
        <v>140</v>
      </c>
      <c r="K376">
        <v>135.667909802</v>
      </c>
      <c r="M376">
        <v>135.667909802</v>
      </c>
      <c r="P376" s="1" t="s">
        <v>1439</v>
      </c>
      <c r="Q376" s="1" t="s">
        <v>1440</v>
      </c>
      <c r="R376">
        <v>0.234222395</v>
      </c>
      <c r="S376">
        <v>12.89</v>
      </c>
      <c r="T376" s="2">
        <v>45803</v>
      </c>
      <c r="V376" t="str">
        <f t="shared" si="20"/>
        <v>S-5645881</v>
      </c>
      <c r="W376">
        <f t="shared" si="23"/>
        <v>0</v>
      </c>
      <c r="X376" t="str">
        <f t="shared" si="21"/>
        <v/>
      </c>
      <c r="Y376">
        <f t="shared" si="22"/>
        <v>0.234222395</v>
      </c>
    </row>
    <row r="377" spans="1:25" hidden="1" x14ac:dyDescent="0.4">
      <c r="A377" t="s">
        <v>20</v>
      </c>
      <c r="B377">
        <v>5645881</v>
      </c>
      <c r="C377" t="s">
        <v>251</v>
      </c>
      <c r="D377" t="s">
        <v>21</v>
      </c>
      <c r="E377" t="s">
        <v>147</v>
      </c>
      <c r="K377">
        <v>72.604568178999997</v>
      </c>
      <c r="M377">
        <v>72.604568178999997</v>
      </c>
      <c r="P377" s="1" t="s">
        <v>1805</v>
      </c>
      <c r="Q377" s="1" t="s">
        <v>1806</v>
      </c>
      <c r="R377">
        <v>0.14169052300000001</v>
      </c>
      <c r="S377">
        <v>15.85</v>
      </c>
      <c r="T377" s="2">
        <v>45803</v>
      </c>
      <c r="V377" t="str">
        <f t="shared" si="20"/>
        <v>S-5645881</v>
      </c>
      <c r="W377">
        <f t="shared" si="23"/>
        <v>0</v>
      </c>
      <c r="X377" t="str">
        <f t="shared" si="21"/>
        <v/>
      </c>
      <c r="Y377">
        <f t="shared" si="22"/>
        <v>0.14169052300000001</v>
      </c>
    </row>
    <row r="378" spans="1:25" hidden="1" x14ac:dyDescent="0.4">
      <c r="A378" t="s">
        <v>20</v>
      </c>
      <c r="B378">
        <v>5645881</v>
      </c>
      <c r="C378" t="s">
        <v>251</v>
      </c>
      <c r="D378" t="s">
        <v>21</v>
      </c>
      <c r="E378" t="s">
        <v>22</v>
      </c>
      <c r="K378">
        <v>159.28097488700001</v>
      </c>
      <c r="L378">
        <v>159.28097488700001</v>
      </c>
      <c r="M378">
        <v>0</v>
      </c>
      <c r="N378">
        <v>0</v>
      </c>
      <c r="O378">
        <v>0</v>
      </c>
      <c r="P378" s="1" t="s">
        <v>252</v>
      </c>
      <c r="Q378">
        <v>1</v>
      </c>
      <c r="R378">
        <v>0</v>
      </c>
      <c r="S378">
        <v>0</v>
      </c>
      <c r="T378" s="2">
        <v>45803</v>
      </c>
      <c r="V378" t="str">
        <f t="shared" si="20"/>
        <v>S-5645881</v>
      </c>
      <c r="W378">
        <f t="shared" si="23"/>
        <v>0</v>
      </c>
      <c r="X378" t="str">
        <f t="shared" si="21"/>
        <v/>
      </c>
      <c r="Y378">
        <f t="shared" si="22"/>
        <v>0</v>
      </c>
    </row>
    <row r="379" spans="1:25" hidden="1" x14ac:dyDescent="0.4">
      <c r="A379" t="s">
        <v>20</v>
      </c>
      <c r="B379">
        <v>5653081</v>
      </c>
      <c r="C379" t="s">
        <v>253</v>
      </c>
      <c r="D379" t="s">
        <v>21</v>
      </c>
      <c r="E379" t="s">
        <v>137</v>
      </c>
      <c r="K379">
        <v>220.00138401000001</v>
      </c>
      <c r="M379">
        <v>220.00138401000001</v>
      </c>
      <c r="P379" s="1" t="s">
        <v>710</v>
      </c>
      <c r="Q379" s="1" t="s">
        <v>711</v>
      </c>
      <c r="R379">
        <v>0.40039554700000002</v>
      </c>
      <c r="S379">
        <v>21.33</v>
      </c>
      <c r="T379" s="2">
        <v>45804</v>
      </c>
      <c r="V379" t="str">
        <f t="shared" si="20"/>
        <v>S-5653081</v>
      </c>
      <c r="W379">
        <f t="shared" si="23"/>
        <v>0</v>
      </c>
      <c r="X379" t="str">
        <f t="shared" si="21"/>
        <v/>
      </c>
      <c r="Y379">
        <f t="shared" si="22"/>
        <v>0.40039554700000002</v>
      </c>
    </row>
    <row r="380" spans="1:25" hidden="1" x14ac:dyDescent="0.4">
      <c r="A380" t="s">
        <v>20</v>
      </c>
      <c r="B380">
        <v>5653081</v>
      </c>
      <c r="C380" t="s">
        <v>253</v>
      </c>
      <c r="D380" t="s">
        <v>21</v>
      </c>
      <c r="E380" t="s">
        <v>156</v>
      </c>
      <c r="K380">
        <v>141.920574714</v>
      </c>
      <c r="M380">
        <v>141.920574714</v>
      </c>
      <c r="P380" s="1" t="s">
        <v>1074</v>
      </c>
      <c r="Q380" s="1" t="s">
        <v>1075</v>
      </c>
      <c r="R380">
        <v>0.413546847</v>
      </c>
      <c r="S380">
        <v>18.86</v>
      </c>
      <c r="T380" s="2">
        <v>45804</v>
      </c>
      <c r="V380" t="str">
        <f t="shared" si="20"/>
        <v>S-5653081</v>
      </c>
      <c r="W380">
        <f t="shared" si="23"/>
        <v>0</v>
      </c>
      <c r="X380" t="str">
        <f t="shared" si="21"/>
        <v/>
      </c>
      <c r="Y380">
        <f t="shared" si="22"/>
        <v>0.413546847</v>
      </c>
    </row>
    <row r="381" spans="1:25" hidden="1" x14ac:dyDescent="0.4">
      <c r="A381" t="s">
        <v>20</v>
      </c>
      <c r="B381">
        <v>5653081</v>
      </c>
      <c r="C381" t="s">
        <v>253</v>
      </c>
      <c r="D381" t="s">
        <v>21</v>
      </c>
      <c r="E381" t="s">
        <v>140</v>
      </c>
      <c r="K381">
        <v>135.902192606</v>
      </c>
      <c r="M381">
        <v>135.902192606</v>
      </c>
      <c r="P381" s="1" t="s">
        <v>1441</v>
      </c>
      <c r="Q381" s="1" t="s">
        <v>1442</v>
      </c>
      <c r="R381">
        <v>0.23428280400000001</v>
      </c>
      <c r="S381">
        <v>12.05</v>
      </c>
      <c r="T381" s="2">
        <v>45804</v>
      </c>
      <c r="V381" t="str">
        <f t="shared" si="20"/>
        <v>S-5653081</v>
      </c>
      <c r="W381">
        <f t="shared" si="23"/>
        <v>0</v>
      </c>
      <c r="X381" t="str">
        <f t="shared" si="21"/>
        <v/>
      </c>
      <c r="Y381">
        <f t="shared" si="22"/>
        <v>0.23428280400000001</v>
      </c>
    </row>
    <row r="382" spans="1:25" hidden="1" x14ac:dyDescent="0.4">
      <c r="A382" t="s">
        <v>20</v>
      </c>
      <c r="B382">
        <v>5653081</v>
      </c>
      <c r="C382" t="s">
        <v>253</v>
      </c>
      <c r="D382" t="s">
        <v>21</v>
      </c>
      <c r="E382" t="s">
        <v>147</v>
      </c>
      <c r="K382">
        <v>72.746722611999999</v>
      </c>
      <c r="M382">
        <v>72.746722611999999</v>
      </c>
      <c r="P382" s="1" t="s">
        <v>1807</v>
      </c>
      <c r="Q382" s="1" t="s">
        <v>1808</v>
      </c>
      <c r="R382">
        <v>0.142154433</v>
      </c>
      <c r="S382">
        <v>16.57</v>
      </c>
      <c r="T382" s="2">
        <v>45804</v>
      </c>
      <c r="V382" t="str">
        <f t="shared" si="20"/>
        <v>S-5653081</v>
      </c>
      <c r="W382">
        <f t="shared" si="23"/>
        <v>0</v>
      </c>
      <c r="X382" t="str">
        <f t="shared" si="21"/>
        <v/>
      </c>
      <c r="Y382">
        <f t="shared" si="22"/>
        <v>0.142154433</v>
      </c>
    </row>
    <row r="383" spans="1:25" hidden="1" x14ac:dyDescent="0.4">
      <c r="A383" t="s">
        <v>20</v>
      </c>
      <c r="B383">
        <v>5653081</v>
      </c>
      <c r="C383" t="s">
        <v>253</v>
      </c>
      <c r="D383" t="s">
        <v>21</v>
      </c>
      <c r="E383" t="s">
        <v>22</v>
      </c>
      <c r="K383">
        <v>159.28097488700001</v>
      </c>
      <c r="L383">
        <v>159.28097488700001</v>
      </c>
      <c r="M383">
        <v>0</v>
      </c>
      <c r="N383">
        <v>0</v>
      </c>
      <c r="O383">
        <v>0</v>
      </c>
      <c r="P383" s="1" t="s">
        <v>254</v>
      </c>
      <c r="Q383">
        <v>1</v>
      </c>
      <c r="R383">
        <v>0</v>
      </c>
      <c r="S383">
        <v>0</v>
      </c>
      <c r="T383" s="2">
        <v>45804</v>
      </c>
      <c r="V383" t="str">
        <f t="shared" si="20"/>
        <v>S-5653081</v>
      </c>
      <c r="W383">
        <f t="shared" si="23"/>
        <v>0</v>
      </c>
      <c r="X383" t="str">
        <f t="shared" si="21"/>
        <v/>
      </c>
      <c r="Y383">
        <f t="shared" si="22"/>
        <v>0</v>
      </c>
    </row>
    <row r="384" spans="1:25" hidden="1" x14ac:dyDescent="0.4">
      <c r="A384" t="s">
        <v>20</v>
      </c>
      <c r="B384">
        <v>5660281</v>
      </c>
      <c r="C384" t="s">
        <v>255</v>
      </c>
      <c r="D384" t="s">
        <v>21</v>
      </c>
      <c r="E384" t="s">
        <v>137</v>
      </c>
      <c r="K384">
        <v>220.40149730900001</v>
      </c>
      <c r="M384">
        <v>220.40149730900001</v>
      </c>
      <c r="P384" s="1" t="s">
        <v>712</v>
      </c>
      <c r="Q384" s="1" t="s">
        <v>713</v>
      </c>
      <c r="R384">
        <v>0.40011329899999998</v>
      </c>
      <c r="S384">
        <v>18.38</v>
      </c>
      <c r="T384" s="2">
        <v>45805</v>
      </c>
      <c r="V384" t="str">
        <f t="shared" si="20"/>
        <v>S-5660281</v>
      </c>
      <c r="W384">
        <f t="shared" si="23"/>
        <v>0</v>
      </c>
      <c r="X384" t="str">
        <f t="shared" si="21"/>
        <v/>
      </c>
      <c r="Y384">
        <f t="shared" si="22"/>
        <v>0.40011329899999998</v>
      </c>
    </row>
    <row r="385" spans="1:25" hidden="1" x14ac:dyDescent="0.4">
      <c r="A385" t="s">
        <v>20</v>
      </c>
      <c r="B385">
        <v>5660281</v>
      </c>
      <c r="C385" t="s">
        <v>255</v>
      </c>
      <c r="D385" t="s">
        <v>21</v>
      </c>
      <c r="E385" t="s">
        <v>156</v>
      </c>
      <c r="K385">
        <v>142.355563491</v>
      </c>
      <c r="M385">
        <v>142.355563491</v>
      </c>
      <c r="P385" s="1" t="s">
        <v>1076</v>
      </c>
      <c r="Q385" s="1" t="s">
        <v>1077</v>
      </c>
      <c r="R385">
        <v>0.43498877699999999</v>
      </c>
      <c r="S385">
        <v>18.91</v>
      </c>
      <c r="T385" s="2">
        <v>45805</v>
      </c>
      <c r="V385" t="str">
        <f t="shared" si="20"/>
        <v>S-5660281</v>
      </c>
      <c r="W385">
        <f t="shared" si="23"/>
        <v>0</v>
      </c>
      <c r="X385" t="str">
        <f t="shared" si="21"/>
        <v/>
      </c>
      <c r="Y385">
        <f t="shared" si="22"/>
        <v>0.43498877699999999</v>
      </c>
    </row>
    <row r="386" spans="1:25" hidden="1" x14ac:dyDescent="0.4">
      <c r="A386" t="s">
        <v>20</v>
      </c>
      <c r="B386">
        <v>5660281</v>
      </c>
      <c r="C386" t="s">
        <v>255</v>
      </c>
      <c r="D386" t="s">
        <v>21</v>
      </c>
      <c r="E386" t="s">
        <v>140</v>
      </c>
      <c r="K386">
        <v>136.14054632200001</v>
      </c>
      <c r="M386">
        <v>136.14054632200001</v>
      </c>
      <c r="P386" s="1" t="s">
        <v>1443</v>
      </c>
      <c r="Q386" s="1" t="s">
        <v>1444</v>
      </c>
      <c r="R386">
        <v>0.23835371599999999</v>
      </c>
      <c r="S386">
        <v>11.49</v>
      </c>
      <c r="T386" s="2">
        <v>45805</v>
      </c>
      <c r="V386" t="str">
        <f t="shared" si="20"/>
        <v>S-5660281</v>
      </c>
      <c r="W386">
        <f t="shared" si="23"/>
        <v>0</v>
      </c>
      <c r="X386" t="str">
        <f t="shared" si="21"/>
        <v/>
      </c>
      <c r="Y386">
        <f t="shared" si="22"/>
        <v>0.23835371599999999</v>
      </c>
    </row>
    <row r="387" spans="1:25" hidden="1" x14ac:dyDescent="0.4">
      <c r="A387" t="s">
        <v>20</v>
      </c>
      <c r="B387">
        <v>5660281</v>
      </c>
      <c r="C387" t="s">
        <v>255</v>
      </c>
      <c r="D387" t="s">
        <v>21</v>
      </c>
      <c r="E387" t="s">
        <v>147</v>
      </c>
      <c r="K387">
        <v>72.892490362000004</v>
      </c>
      <c r="M387">
        <v>72.892490362000004</v>
      </c>
      <c r="P387" s="1" t="s">
        <v>1809</v>
      </c>
      <c r="Q387" s="1" t="s">
        <v>1810</v>
      </c>
      <c r="R387">
        <v>0.14576775</v>
      </c>
      <c r="S387">
        <v>15.82</v>
      </c>
      <c r="T387" s="2">
        <v>45805</v>
      </c>
      <c r="V387" t="str">
        <f t="shared" ref="V387:V450" si="24">"S-"&amp;IF(LEN(I387)=0,B387,I387&amp;IF(F387="fee","-00",IF(LEN(G387)&gt;0,"-01","-02")))</f>
        <v>S-5660281</v>
      </c>
      <c r="W387">
        <f t="shared" si="23"/>
        <v>0</v>
      </c>
      <c r="X387" t="str">
        <f t="shared" ref="X387:X450" si="25">IF(LEN(I387)&gt;0,I387&amp;IF(F387="fee","fee",IF(VALUE(G387)&gt;0,"debit",IF(VALUE(H387)&gt;0,"credit","error"))),"")</f>
        <v/>
      </c>
      <c r="Y387">
        <f t="shared" ref="Y387:Y450" si="26">ROUND(IF(ROW(U387) = 2,K387,0)+IF(H387&lt;&gt;"",H387,0) + IF(R387&lt;&gt;"",R387,0) - IF(G387&lt;&gt;"",G387,0),9)</f>
        <v>0.14576775</v>
      </c>
    </row>
    <row r="388" spans="1:25" hidden="1" x14ac:dyDescent="0.4">
      <c r="A388" t="s">
        <v>20</v>
      </c>
      <c r="B388">
        <v>5660281</v>
      </c>
      <c r="C388" t="s">
        <v>255</v>
      </c>
      <c r="D388" t="s">
        <v>21</v>
      </c>
      <c r="E388" t="s">
        <v>22</v>
      </c>
      <c r="K388">
        <v>159.28097488700001</v>
      </c>
      <c r="L388">
        <v>159.28097488700001</v>
      </c>
      <c r="M388">
        <v>0</v>
      </c>
      <c r="N388">
        <v>0</v>
      </c>
      <c r="O388">
        <v>0</v>
      </c>
      <c r="P388" s="1" t="s">
        <v>256</v>
      </c>
      <c r="Q388">
        <v>1</v>
      </c>
      <c r="R388">
        <v>0</v>
      </c>
      <c r="S388">
        <v>0</v>
      </c>
      <c r="T388" s="2">
        <v>45805</v>
      </c>
      <c r="V388" t="str">
        <f t="shared" si="24"/>
        <v>S-5660281</v>
      </c>
      <c r="W388">
        <f t="shared" ref="W388:W451" si="27">COUNTIF(I:I,I388)</f>
        <v>0</v>
      </c>
      <c r="X388" t="str">
        <f t="shared" si="25"/>
        <v/>
      </c>
      <c r="Y388">
        <f t="shared" si="26"/>
        <v>0</v>
      </c>
    </row>
    <row r="389" spans="1:25" hidden="1" x14ac:dyDescent="0.4">
      <c r="A389" t="s">
        <v>20</v>
      </c>
      <c r="B389">
        <v>5667465</v>
      </c>
      <c r="C389" t="s">
        <v>257</v>
      </c>
      <c r="D389" t="s">
        <v>21</v>
      </c>
      <c r="E389" t="s">
        <v>137</v>
      </c>
      <c r="K389">
        <v>220.80631075100001</v>
      </c>
      <c r="M389">
        <v>220.80631075100001</v>
      </c>
      <c r="P389" s="1" t="s">
        <v>714</v>
      </c>
      <c r="Q389" s="1" t="s">
        <v>715</v>
      </c>
      <c r="R389">
        <v>0.40481344200000002</v>
      </c>
      <c r="S389">
        <v>17.59</v>
      </c>
      <c r="T389" s="2">
        <v>45806</v>
      </c>
      <c r="V389" t="str">
        <f t="shared" si="24"/>
        <v>S-5667465</v>
      </c>
      <c r="W389">
        <f t="shared" si="27"/>
        <v>0</v>
      </c>
      <c r="X389" t="str">
        <f t="shared" si="25"/>
        <v/>
      </c>
      <c r="Y389">
        <f t="shared" si="26"/>
        <v>0.40481344200000002</v>
      </c>
    </row>
    <row r="390" spans="1:25" hidden="1" x14ac:dyDescent="0.4">
      <c r="A390" t="s">
        <v>20</v>
      </c>
      <c r="B390">
        <v>5667465</v>
      </c>
      <c r="C390" t="s">
        <v>257</v>
      </c>
      <c r="D390" t="s">
        <v>21</v>
      </c>
      <c r="E390" t="s">
        <v>156</v>
      </c>
      <c r="K390">
        <v>142.784073006</v>
      </c>
      <c r="M390">
        <v>142.784073006</v>
      </c>
      <c r="P390" s="1" t="s">
        <v>1078</v>
      </c>
      <c r="Q390" s="1" t="s">
        <v>1079</v>
      </c>
      <c r="R390">
        <v>0.42850951500000001</v>
      </c>
      <c r="S390">
        <v>17.53</v>
      </c>
      <c r="T390" s="2">
        <v>45806</v>
      </c>
      <c r="V390" t="str">
        <f t="shared" si="24"/>
        <v>S-5667465</v>
      </c>
      <c r="W390">
        <f t="shared" si="27"/>
        <v>0</v>
      </c>
      <c r="X390" t="str">
        <f t="shared" si="25"/>
        <v/>
      </c>
      <c r="Y390">
        <f t="shared" si="26"/>
        <v>0.42850951500000001</v>
      </c>
    </row>
    <row r="391" spans="1:25" hidden="1" x14ac:dyDescent="0.4">
      <c r="A391" t="s">
        <v>20</v>
      </c>
      <c r="B391">
        <v>5667465</v>
      </c>
      <c r="C391" t="s">
        <v>257</v>
      </c>
      <c r="D391" t="s">
        <v>21</v>
      </c>
      <c r="E391" t="s">
        <v>140</v>
      </c>
      <c r="K391">
        <v>136.38173011500001</v>
      </c>
      <c r="M391">
        <v>136.38173011500001</v>
      </c>
      <c r="P391" s="1" t="s">
        <v>1445</v>
      </c>
      <c r="Q391" s="1" t="s">
        <v>1446</v>
      </c>
      <c r="R391">
        <v>0.24118379300000001</v>
      </c>
      <c r="S391">
        <v>10.7</v>
      </c>
      <c r="T391" s="2">
        <v>45806</v>
      </c>
      <c r="V391" t="str">
        <f t="shared" si="24"/>
        <v>S-5667465</v>
      </c>
      <c r="W391">
        <f t="shared" si="27"/>
        <v>0</v>
      </c>
      <c r="X391" t="str">
        <f t="shared" si="25"/>
        <v/>
      </c>
      <c r="Y391">
        <f t="shared" si="26"/>
        <v>0.24118379300000001</v>
      </c>
    </row>
    <row r="392" spans="1:25" hidden="1" x14ac:dyDescent="0.4">
      <c r="A392" t="s">
        <v>20</v>
      </c>
      <c r="B392">
        <v>5667465</v>
      </c>
      <c r="C392" t="s">
        <v>257</v>
      </c>
      <c r="D392" t="s">
        <v>21</v>
      </c>
      <c r="E392" t="s">
        <v>147</v>
      </c>
      <c r="K392">
        <v>73.041987847000001</v>
      </c>
      <c r="M392">
        <v>73.041987847000001</v>
      </c>
      <c r="P392" s="1" t="s">
        <v>1811</v>
      </c>
      <c r="Q392" s="1" t="s">
        <v>1812</v>
      </c>
      <c r="R392">
        <v>0.14949748500000001</v>
      </c>
      <c r="S392">
        <v>14.79</v>
      </c>
      <c r="T392" s="2">
        <v>45806</v>
      </c>
      <c r="V392" t="str">
        <f t="shared" si="24"/>
        <v>S-5667465</v>
      </c>
      <c r="W392">
        <f t="shared" si="27"/>
        <v>0</v>
      </c>
      <c r="X392" t="str">
        <f t="shared" si="25"/>
        <v/>
      </c>
      <c r="Y392">
        <f t="shared" si="26"/>
        <v>0.14949748500000001</v>
      </c>
    </row>
    <row r="393" spans="1:25" hidden="1" x14ac:dyDescent="0.4">
      <c r="A393" t="s">
        <v>20</v>
      </c>
      <c r="B393">
        <v>5667465</v>
      </c>
      <c r="C393" t="s">
        <v>257</v>
      </c>
      <c r="D393" t="s">
        <v>21</v>
      </c>
      <c r="E393" t="s">
        <v>22</v>
      </c>
      <c r="K393">
        <v>159.28097488700001</v>
      </c>
      <c r="L393">
        <v>159.28097488700001</v>
      </c>
      <c r="M393">
        <v>0</v>
      </c>
      <c r="N393">
        <v>0</v>
      </c>
      <c r="O393">
        <v>0</v>
      </c>
      <c r="P393" s="1" t="s">
        <v>258</v>
      </c>
      <c r="Q393">
        <v>1</v>
      </c>
      <c r="R393">
        <v>0</v>
      </c>
      <c r="S393">
        <v>0</v>
      </c>
      <c r="T393" s="2">
        <v>45806</v>
      </c>
      <c r="V393" t="str">
        <f t="shared" si="24"/>
        <v>S-5667465</v>
      </c>
      <c r="W393">
        <f t="shared" si="27"/>
        <v>0</v>
      </c>
      <c r="X393" t="str">
        <f t="shared" si="25"/>
        <v/>
      </c>
      <c r="Y393">
        <f t="shared" si="26"/>
        <v>0</v>
      </c>
    </row>
    <row r="394" spans="1:25" hidden="1" x14ac:dyDescent="0.4">
      <c r="A394" t="s">
        <v>20</v>
      </c>
      <c r="B394">
        <v>5674624</v>
      </c>
      <c r="C394" t="s">
        <v>259</v>
      </c>
      <c r="D394" t="s">
        <v>21</v>
      </c>
      <c r="E394" t="s">
        <v>137</v>
      </c>
      <c r="K394">
        <v>221.218399409</v>
      </c>
      <c r="M394">
        <v>221.218399409</v>
      </c>
      <c r="P394" s="1" t="s">
        <v>716</v>
      </c>
      <c r="Q394" s="1" t="s">
        <v>717</v>
      </c>
      <c r="R394">
        <v>0.412088658</v>
      </c>
      <c r="S394">
        <v>15.84</v>
      </c>
      <c r="T394" s="2">
        <v>45807</v>
      </c>
      <c r="V394" t="str">
        <f t="shared" si="24"/>
        <v>S-5674624</v>
      </c>
      <c r="W394">
        <f t="shared" si="27"/>
        <v>0</v>
      </c>
      <c r="X394" t="str">
        <f t="shared" si="25"/>
        <v/>
      </c>
      <c r="Y394">
        <f t="shared" si="26"/>
        <v>0.412088658</v>
      </c>
    </row>
    <row r="395" spans="1:25" hidden="1" x14ac:dyDescent="0.4">
      <c r="A395" t="s">
        <v>20</v>
      </c>
      <c r="B395">
        <v>5674624</v>
      </c>
      <c r="C395" t="s">
        <v>259</v>
      </c>
      <c r="D395" t="s">
        <v>21</v>
      </c>
      <c r="E395" t="s">
        <v>156</v>
      </c>
      <c r="K395">
        <v>143.212199922</v>
      </c>
      <c r="M395">
        <v>143.212199922</v>
      </c>
      <c r="P395" s="1" t="s">
        <v>1080</v>
      </c>
      <c r="Q395" s="1" t="s">
        <v>1081</v>
      </c>
      <c r="R395">
        <v>0.42812691600000002</v>
      </c>
      <c r="S395">
        <v>15.85</v>
      </c>
      <c r="T395" s="2">
        <v>45807</v>
      </c>
      <c r="V395" t="str">
        <f t="shared" si="24"/>
        <v>S-5674624</v>
      </c>
      <c r="W395">
        <f t="shared" si="27"/>
        <v>0</v>
      </c>
      <c r="X395" t="str">
        <f t="shared" si="25"/>
        <v/>
      </c>
      <c r="Y395">
        <f t="shared" si="26"/>
        <v>0.42812691600000002</v>
      </c>
    </row>
    <row r="396" spans="1:25" hidden="1" x14ac:dyDescent="0.4">
      <c r="A396" t="s">
        <v>20</v>
      </c>
      <c r="B396">
        <v>5674624</v>
      </c>
      <c r="C396" t="s">
        <v>259</v>
      </c>
      <c r="D396" t="s">
        <v>21</v>
      </c>
      <c r="E396" t="s">
        <v>140</v>
      </c>
      <c r="K396">
        <v>136.622664972</v>
      </c>
      <c r="M396">
        <v>136.622664972</v>
      </c>
      <c r="P396" s="1" t="s">
        <v>1447</v>
      </c>
      <c r="Q396" s="1" t="s">
        <v>1448</v>
      </c>
      <c r="R396">
        <v>0.240934857</v>
      </c>
      <c r="S396">
        <v>9.43</v>
      </c>
      <c r="T396" s="2">
        <v>45807</v>
      </c>
      <c r="V396" t="str">
        <f t="shared" si="24"/>
        <v>S-5674624</v>
      </c>
      <c r="W396">
        <f t="shared" si="27"/>
        <v>0</v>
      </c>
      <c r="X396" t="str">
        <f t="shared" si="25"/>
        <v/>
      </c>
      <c r="Y396">
        <f t="shared" si="26"/>
        <v>0.240934857</v>
      </c>
    </row>
    <row r="397" spans="1:25" hidden="1" x14ac:dyDescent="0.4">
      <c r="A397" t="s">
        <v>20</v>
      </c>
      <c r="B397">
        <v>5674624</v>
      </c>
      <c r="C397" t="s">
        <v>259</v>
      </c>
      <c r="D397" t="s">
        <v>21</v>
      </c>
      <c r="E397" t="s">
        <v>147</v>
      </c>
      <c r="K397">
        <v>73.194661862999993</v>
      </c>
      <c r="M397">
        <v>73.194661862999993</v>
      </c>
      <c r="P397" s="1" t="s">
        <v>1813</v>
      </c>
      <c r="Q397" s="1" t="s">
        <v>1814</v>
      </c>
      <c r="R397">
        <v>0.152674016</v>
      </c>
      <c r="S397">
        <v>13.93</v>
      </c>
      <c r="T397" s="2">
        <v>45807</v>
      </c>
      <c r="V397" t="str">
        <f t="shared" si="24"/>
        <v>S-5674624</v>
      </c>
      <c r="W397">
        <f t="shared" si="27"/>
        <v>0</v>
      </c>
      <c r="X397" t="str">
        <f t="shared" si="25"/>
        <v/>
      </c>
      <c r="Y397">
        <f t="shared" si="26"/>
        <v>0.152674016</v>
      </c>
    </row>
    <row r="398" spans="1:25" hidden="1" x14ac:dyDescent="0.4">
      <c r="A398" t="s">
        <v>20</v>
      </c>
      <c r="B398">
        <v>5674624</v>
      </c>
      <c r="C398" t="s">
        <v>259</v>
      </c>
      <c r="D398" t="s">
        <v>21</v>
      </c>
      <c r="E398" t="s">
        <v>22</v>
      </c>
      <c r="K398">
        <v>159.28097488700001</v>
      </c>
      <c r="L398">
        <v>159.28097488700001</v>
      </c>
      <c r="M398">
        <v>0</v>
      </c>
      <c r="N398">
        <v>0</v>
      </c>
      <c r="O398">
        <v>0</v>
      </c>
      <c r="P398">
        <v>380.61741524505197</v>
      </c>
      <c r="Q398">
        <v>1</v>
      </c>
      <c r="R398">
        <v>0</v>
      </c>
      <c r="S398">
        <v>0</v>
      </c>
      <c r="T398" s="2">
        <v>45807</v>
      </c>
      <c r="V398" t="str">
        <f t="shared" si="24"/>
        <v>S-5674624</v>
      </c>
      <c r="W398">
        <f t="shared" si="27"/>
        <v>0</v>
      </c>
      <c r="X398" t="str">
        <f t="shared" si="25"/>
        <v/>
      </c>
      <c r="Y398">
        <f t="shared" si="26"/>
        <v>0</v>
      </c>
    </row>
    <row r="399" spans="1:25" hidden="1" x14ac:dyDescent="0.4">
      <c r="A399" t="s">
        <v>20</v>
      </c>
      <c r="B399">
        <v>5681824</v>
      </c>
      <c r="C399" t="s">
        <v>260</v>
      </c>
      <c r="D399" t="s">
        <v>21</v>
      </c>
      <c r="E399" t="s">
        <v>137</v>
      </c>
      <c r="K399">
        <v>221.627290722</v>
      </c>
      <c r="M399">
        <v>221.627290722</v>
      </c>
      <c r="P399" s="1" t="s">
        <v>718</v>
      </c>
      <c r="Q399" s="1" t="s">
        <v>719</v>
      </c>
      <c r="R399">
        <v>0.40889131299999998</v>
      </c>
      <c r="S399">
        <v>17.61</v>
      </c>
      <c r="T399" s="2">
        <v>45808</v>
      </c>
      <c r="V399" t="str">
        <f t="shared" si="24"/>
        <v>S-5681824</v>
      </c>
      <c r="W399">
        <f t="shared" si="27"/>
        <v>0</v>
      </c>
      <c r="X399" t="str">
        <f t="shared" si="25"/>
        <v/>
      </c>
      <c r="Y399">
        <f t="shared" si="26"/>
        <v>0.40889131299999998</v>
      </c>
    </row>
    <row r="400" spans="1:25" hidden="1" x14ac:dyDescent="0.4">
      <c r="A400" t="s">
        <v>20</v>
      </c>
      <c r="B400">
        <v>5681824</v>
      </c>
      <c r="C400" t="s">
        <v>260</v>
      </c>
      <c r="D400" t="s">
        <v>21</v>
      </c>
      <c r="E400" t="s">
        <v>156</v>
      </c>
      <c r="K400">
        <v>143.64030812300001</v>
      </c>
      <c r="M400">
        <v>143.64030812300001</v>
      </c>
      <c r="P400" s="1" t="s">
        <v>1082</v>
      </c>
      <c r="Q400" s="1" t="s">
        <v>1083</v>
      </c>
      <c r="R400">
        <v>0.42810820100000002</v>
      </c>
      <c r="S400">
        <v>17.78</v>
      </c>
      <c r="T400" s="2">
        <v>45808</v>
      </c>
      <c r="V400" t="str">
        <f t="shared" si="24"/>
        <v>S-5681824</v>
      </c>
      <c r="W400">
        <f t="shared" si="27"/>
        <v>0</v>
      </c>
      <c r="X400" t="str">
        <f t="shared" si="25"/>
        <v/>
      </c>
      <c r="Y400">
        <f t="shared" si="26"/>
        <v>0.42810820100000002</v>
      </c>
    </row>
    <row r="401" spans="1:25" hidden="1" x14ac:dyDescent="0.4">
      <c r="A401" t="s">
        <v>20</v>
      </c>
      <c r="B401">
        <v>5681824</v>
      </c>
      <c r="C401" t="s">
        <v>260</v>
      </c>
      <c r="D401" t="s">
        <v>21</v>
      </c>
      <c r="E401" t="s">
        <v>140</v>
      </c>
      <c r="K401">
        <v>136.86294788399999</v>
      </c>
      <c r="M401">
        <v>136.86294788399999</v>
      </c>
      <c r="P401" s="1" t="s">
        <v>1449</v>
      </c>
      <c r="Q401" s="1" t="s">
        <v>1450</v>
      </c>
      <c r="R401">
        <v>0.24028291199999999</v>
      </c>
      <c r="S401">
        <v>10.6</v>
      </c>
      <c r="T401" s="2">
        <v>45808</v>
      </c>
      <c r="V401" t="str">
        <f t="shared" si="24"/>
        <v>S-5681824</v>
      </c>
      <c r="W401">
        <f t="shared" si="27"/>
        <v>0</v>
      </c>
      <c r="X401" t="str">
        <f t="shared" si="25"/>
        <v/>
      </c>
      <c r="Y401">
        <f t="shared" si="26"/>
        <v>0.24028291199999999</v>
      </c>
    </row>
    <row r="402" spans="1:25" hidden="1" x14ac:dyDescent="0.4">
      <c r="A402" t="s">
        <v>20</v>
      </c>
      <c r="B402">
        <v>5681824</v>
      </c>
      <c r="C402" t="s">
        <v>260</v>
      </c>
      <c r="D402" t="s">
        <v>21</v>
      </c>
      <c r="E402" t="s">
        <v>147</v>
      </c>
      <c r="K402">
        <v>73.347587101000002</v>
      </c>
      <c r="M402">
        <v>73.347587101000002</v>
      </c>
      <c r="P402" s="1" t="s">
        <v>1815</v>
      </c>
      <c r="Q402" s="1" t="s">
        <v>1816</v>
      </c>
      <c r="R402">
        <v>0.15292523799999999</v>
      </c>
      <c r="S402">
        <v>15.7</v>
      </c>
      <c r="T402" s="2">
        <v>45808</v>
      </c>
      <c r="V402" t="str">
        <f t="shared" si="24"/>
        <v>S-5681824</v>
      </c>
      <c r="W402">
        <f t="shared" si="27"/>
        <v>0</v>
      </c>
      <c r="X402" t="str">
        <f t="shared" si="25"/>
        <v/>
      </c>
      <c r="Y402">
        <f t="shared" si="26"/>
        <v>0.15292523799999999</v>
      </c>
    </row>
    <row r="403" spans="1:25" hidden="1" x14ac:dyDescent="0.4">
      <c r="A403" t="s">
        <v>20</v>
      </c>
      <c r="B403">
        <v>5681824</v>
      </c>
      <c r="C403" t="s">
        <v>260</v>
      </c>
      <c r="D403" t="s">
        <v>21</v>
      </c>
      <c r="E403" t="s">
        <v>22</v>
      </c>
      <c r="K403">
        <v>159.28097488700001</v>
      </c>
      <c r="L403">
        <v>159.28097488700001</v>
      </c>
      <c r="M403">
        <v>0</v>
      </c>
      <c r="N403">
        <v>0</v>
      </c>
      <c r="O403">
        <v>0</v>
      </c>
      <c r="P403" s="1" t="s">
        <v>261</v>
      </c>
      <c r="Q403">
        <v>1</v>
      </c>
      <c r="R403">
        <v>0</v>
      </c>
      <c r="S403">
        <v>0</v>
      </c>
      <c r="T403" s="2">
        <v>45808</v>
      </c>
      <c r="V403" t="str">
        <f t="shared" si="24"/>
        <v>S-5681824</v>
      </c>
      <c r="W403">
        <f t="shared" si="27"/>
        <v>0</v>
      </c>
      <c r="X403" t="str">
        <f t="shared" si="25"/>
        <v/>
      </c>
      <c r="Y403">
        <f t="shared" si="26"/>
        <v>0</v>
      </c>
    </row>
    <row r="404" spans="1:25" hidden="1" x14ac:dyDescent="0.4">
      <c r="A404" t="s">
        <v>20</v>
      </c>
      <c r="B404">
        <v>5689024</v>
      </c>
      <c r="C404" t="s">
        <v>262</v>
      </c>
      <c r="D404" t="s">
        <v>21</v>
      </c>
      <c r="E404" t="s">
        <v>137</v>
      </c>
      <c r="K404">
        <v>222.04434113400001</v>
      </c>
      <c r="M404">
        <v>222.04434113400001</v>
      </c>
      <c r="P404" s="1" t="s">
        <v>720</v>
      </c>
      <c r="Q404" s="1" t="s">
        <v>721</v>
      </c>
      <c r="R404">
        <v>0.41705041199999998</v>
      </c>
      <c r="S404">
        <v>16.649999999999999</v>
      </c>
      <c r="T404" s="2">
        <v>45809</v>
      </c>
      <c r="V404" t="str">
        <f t="shared" si="24"/>
        <v>S-5689024</v>
      </c>
      <c r="W404">
        <f t="shared" si="27"/>
        <v>0</v>
      </c>
      <c r="X404" t="str">
        <f t="shared" si="25"/>
        <v/>
      </c>
      <c r="Y404">
        <f t="shared" si="26"/>
        <v>0.41705041199999998</v>
      </c>
    </row>
    <row r="405" spans="1:25" hidden="1" x14ac:dyDescent="0.4">
      <c r="A405" t="s">
        <v>20</v>
      </c>
      <c r="B405">
        <v>5689024</v>
      </c>
      <c r="C405" t="s">
        <v>262</v>
      </c>
      <c r="D405" t="s">
        <v>21</v>
      </c>
      <c r="E405" t="s">
        <v>156</v>
      </c>
      <c r="K405">
        <v>144.08277327900001</v>
      </c>
      <c r="M405">
        <v>144.08277327900001</v>
      </c>
      <c r="P405" s="1" t="s">
        <v>1084</v>
      </c>
      <c r="Q405" s="1" t="s">
        <v>1085</v>
      </c>
      <c r="R405">
        <v>0.44246515600000003</v>
      </c>
      <c r="S405">
        <v>17.59</v>
      </c>
      <c r="T405" s="2">
        <v>45809</v>
      </c>
      <c r="V405" t="str">
        <f t="shared" si="24"/>
        <v>S-5689024</v>
      </c>
      <c r="W405">
        <f t="shared" si="27"/>
        <v>0</v>
      </c>
      <c r="X405" t="str">
        <f t="shared" si="25"/>
        <v/>
      </c>
      <c r="Y405">
        <f t="shared" si="26"/>
        <v>0.44246515600000003</v>
      </c>
    </row>
    <row r="406" spans="1:25" hidden="1" x14ac:dyDescent="0.4">
      <c r="A406" t="s">
        <v>20</v>
      </c>
      <c r="B406">
        <v>5689024</v>
      </c>
      <c r="C406" t="s">
        <v>262</v>
      </c>
      <c r="D406" t="s">
        <v>21</v>
      </c>
      <c r="E406" t="s">
        <v>140</v>
      </c>
      <c r="K406">
        <v>137.09845701699999</v>
      </c>
      <c r="M406">
        <v>137.09845701699999</v>
      </c>
      <c r="P406" s="1" t="s">
        <v>1451</v>
      </c>
      <c r="Q406" s="1" t="s">
        <v>1452</v>
      </c>
      <c r="R406">
        <v>0.23550913300000001</v>
      </c>
      <c r="S406">
        <v>9.67</v>
      </c>
      <c r="T406" s="2">
        <v>45809</v>
      </c>
      <c r="V406" t="str">
        <f t="shared" si="24"/>
        <v>S-5689024</v>
      </c>
      <c r="W406">
        <f t="shared" si="27"/>
        <v>0</v>
      </c>
      <c r="X406" t="str">
        <f t="shared" si="25"/>
        <v/>
      </c>
      <c r="Y406">
        <f t="shared" si="26"/>
        <v>0.23550913300000001</v>
      </c>
    </row>
    <row r="407" spans="1:25" hidden="1" x14ac:dyDescent="0.4">
      <c r="A407" t="s">
        <v>20</v>
      </c>
      <c r="B407">
        <v>5689024</v>
      </c>
      <c r="C407" t="s">
        <v>262</v>
      </c>
      <c r="D407" t="s">
        <v>21</v>
      </c>
      <c r="E407" t="s">
        <v>147</v>
      </c>
      <c r="K407">
        <v>73.492468564999996</v>
      </c>
      <c r="M407">
        <v>73.492468564999996</v>
      </c>
      <c r="P407" s="1" t="s">
        <v>1817</v>
      </c>
      <c r="Q407" s="1" t="s">
        <v>1818</v>
      </c>
      <c r="R407">
        <v>0.14488146399999999</v>
      </c>
      <c r="S407">
        <v>13.37</v>
      </c>
      <c r="T407" s="2">
        <v>45809</v>
      </c>
      <c r="V407" t="str">
        <f t="shared" si="24"/>
        <v>S-5689024</v>
      </c>
      <c r="W407">
        <f t="shared" si="27"/>
        <v>0</v>
      </c>
      <c r="X407" t="str">
        <f t="shared" si="25"/>
        <v/>
      </c>
      <c r="Y407">
        <f t="shared" si="26"/>
        <v>0.14488146399999999</v>
      </c>
    </row>
    <row r="408" spans="1:25" hidden="1" x14ac:dyDescent="0.4">
      <c r="A408" t="s">
        <v>20</v>
      </c>
      <c r="B408">
        <v>5689024</v>
      </c>
      <c r="C408" t="s">
        <v>262</v>
      </c>
      <c r="D408" t="s">
        <v>21</v>
      </c>
      <c r="E408" t="s">
        <v>22</v>
      </c>
      <c r="K408">
        <v>159.28097488700001</v>
      </c>
      <c r="L408">
        <v>159.28097488700001</v>
      </c>
      <c r="M408">
        <v>0</v>
      </c>
      <c r="N408">
        <v>0</v>
      </c>
      <c r="O408">
        <v>0</v>
      </c>
      <c r="P408" s="1" t="s">
        <v>263</v>
      </c>
      <c r="Q408">
        <v>1</v>
      </c>
      <c r="R408">
        <v>0</v>
      </c>
      <c r="S408">
        <v>0</v>
      </c>
      <c r="T408" s="2">
        <v>45809</v>
      </c>
      <c r="V408" t="str">
        <f t="shared" si="24"/>
        <v>S-5689024</v>
      </c>
      <c r="W408">
        <f t="shared" si="27"/>
        <v>0</v>
      </c>
      <c r="X408" t="str">
        <f t="shared" si="25"/>
        <v/>
      </c>
      <c r="Y408">
        <f t="shared" si="26"/>
        <v>0</v>
      </c>
    </row>
    <row r="409" spans="1:25" hidden="1" x14ac:dyDescent="0.4">
      <c r="A409" t="s">
        <v>20</v>
      </c>
      <c r="B409">
        <v>5696224</v>
      </c>
      <c r="C409" t="s">
        <v>264</v>
      </c>
      <c r="D409" t="s">
        <v>21</v>
      </c>
      <c r="E409" t="s">
        <v>137</v>
      </c>
      <c r="K409">
        <v>222.468151769</v>
      </c>
      <c r="M409">
        <v>222.468151769</v>
      </c>
      <c r="P409" s="1" t="s">
        <v>722</v>
      </c>
      <c r="Q409" s="1" t="s">
        <v>723</v>
      </c>
      <c r="R409">
        <v>0.42381063499999999</v>
      </c>
      <c r="S409">
        <v>16.329999999999998</v>
      </c>
      <c r="T409" s="2">
        <v>45810</v>
      </c>
      <c r="V409" t="str">
        <f t="shared" si="24"/>
        <v>S-5696224</v>
      </c>
      <c r="W409">
        <f t="shared" si="27"/>
        <v>0</v>
      </c>
      <c r="X409" t="str">
        <f t="shared" si="25"/>
        <v/>
      </c>
      <c r="Y409">
        <f t="shared" si="26"/>
        <v>0.42381063499999999</v>
      </c>
    </row>
    <row r="410" spans="1:25" hidden="1" x14ac:dyDescent="0.4">
      <c r="A410" t="s">
        <v>20</v>
      </c>
      <c r="B410">
        <v>5696224</v>
      </c>
      <c r="C410" t="s">
        <v>264</v>
      </c>
      <c r="D410" t="s">
        <v>21</v>
      </c>
      <c r="E410" t="s">
        <v>156</v>
      </c>
      <c r="K410">
        <v>144.52949164200001</v>
      </c>
      <c r="M410">
        <v>144.52949164200001</v>
      </c>
      <c r="P410" s="1" t="s">
        <v>1086</v>
      </c>
      <c r="Q410" s="1" t="s">
        <v>1087</v>
      </c>
      <c r="R410">
        <v>0.44671836300000001</v>
      </c>
      <c r="S410">
        <v>17.079999999999998</v>
      </c>
      <c r="T410" s="2">
        <v>45810</v>
      </c>
      <c r="V410" t="str">
        <f t="shared" si="24"/>
        <v>S-5696224</v>
      </c>
      <c r="W410">
        <f t="shared" si="27"/>
        <v>0</v>
      </c>
      <c r="X410" t="str">
        <f t="shared" si="25"/>
        <v/>
      </c>
      <c r="Y410">
        <f t="shared" si="26"/>
        <v>0.44671836300000001</v>
      </c>
    </row>
    <row r="411" spans="1:25" hidden="1" x14ac:dyDescent="0.4">
      <c r="A411" t="s">
        <v>20</v>
      </c>
      <c r="B411">
        <v>5696224</v>
      </c>
      <c r="C411" t="s">
        <v>264</v>
      </c>
      <c r="D411" t="s">
        <v>21</v>
      </c>
      <c r="E411" t="s">
        <v>140</v>
      </c>
      <c r="K411">
        <v>137.33855652400001</v>
      </c>
      <c r="M411">
        <v>137.33855652400001</v>
      </c>
      <c r="P411" s="1" t="s">
        <v>1453</v>
      </c>
      <c r="Q411" s="1" t="s">
        <v>1454</v>
      </c>
      <c r="R411">
        <v>0.24009950699999999</v>
      </c>
      <c r="S411">
        <v>9.18</v>
      </c>
      <c r="T411" s="2">
        <v>45810</v>
      </c>
      <c r="V411" t="str">
        <f t="shared" si="24"/>
        <v>S-5696224</v>
      </c>
      <c r="W411">
        <f t="shared" si="27"/>
        <v>0</v>
      </c>
      <c r="X411" t="str">
        <f t="shared" si="25"/>
        <v/>
      </c>
      <c r="Y411">
        <f t="shared" si="26"/>
        <v>0.24009950699999999</v>
      </c>
    </row>
    <row r="412" spans="1:25" hidden="1" x14ac:dyDescent="0.4">
      <c r="A412" t="s">
        <v>20</v>
      </c>
      <c r="B412">
        <v>5696224</v>
      </c>
      <c r="C412" t="s">
        <v>264</v>
      </c>
      <c r="D412" t="s">
        <v>21</v>
      </c>
      <c r="E412" t="s">
        <v>147</v>
      </c>
      <c r="K412">
        <v>73.636951062999998</v>
      </c>
      <c r="M412">
        <v>73.636951062999998</v>
      </c>
      <c r="P412" s="1" t="s">
        <v>1819</v>
      </c>
      <c r="Q412" s="1" t="s">
        <v>1820</v>
      </c>
      <c r="R412">
        <v>0.14448249799999999</v>
      </c>
      <c r="S412">
        <v>12.84</v>
      </c>
      <c r="T412" s="2">
        <v>45810</v>
      </c>
      <c r="V412" t="str">
        <f t="shared" si="24"/>
        <v>S-5696224</v>
      </c>
      <c r="W412">
        <f t="shared" si="27"/>
        <v>0</v>
      </c>
      <c r="X412" t="str">
        <f t="shared" si="25"/>
        <v/>
      </c>
      <c r="Y412">
        <f t="shared" si="26"/>
        <v>0.14448249799999999</v>
      </c>
    </row>
    <row r="413" spans="1:25" hidden="1" x14ac:dyDescent="0.4">
      <c r="A413" t="s">
        <v>20</v>
      </c>
      <c r="B413">
        <v>5696224</v>
      </c>
      <c r="C413" t="s">
        <v>264</v>
      </c>
      <c r="D413" t="s">
        <v>21</v>
      </c>
      <c r="E413" t="s">
        <v>22</v>
      </c>
      <c r="K413">
        <v>159.28097488700001</v>
      </c>
      <c r="L413">
        <v>159.28097488700001</v>
      </c>
      <c r="M413">
        <v>0</v>
      </c>
      <c r="N413">
        <v>0</v>
      </c>
      <c r="O413">
        <v>0</v>
      </c>
      <c r="P413" s="1" t="s">
        <v>265</v>
      </c>
      <c r="Q413">
        <v>1</v>
      </c>
      <c r="R413">
        <v>0</v>
      </c>
      <c r="S413">
        <v>0</v>
      </c>
      <c r="T413" s="2">
        <v>45810</v>
      </c>
      <c r="V413" t="str">
        <f t="shared" si="24"/>
        <v>S-5696224</v>
      </c>
      <c r="W413">
        <f t="shared" si="27"/>
        <v>0</v>
      </c>
      <c r="X413" t="str">
        <f t="shared" si="25"/>
        <v/>
      </c>
      <c r="Y413">
        <f t="shared" si="26"/>
        <v>0</v>
      </c>
    </row>
    <row r="414" spans="1:25" hidden="1" x14ac:dyDescent="0.4">
      <c r="A414" t="s">
        <v>20</v>
      </c>
      <c r="B414">
        <v>5703424</v>
      </c>
      <c r="C414" t="s">
        <v>266</v>
      </c>
      <c r="D414" t="s">
        <v>21</v>
      </c>
      <c r="E414" t="s">
        <v>137</v>
      </c>
      <c r="K414">
        <v>222.873680847</v>
      </c>
      <c r="M414">
        <v>222.873680847</v>
      </c>
      <c r="P414" s="1" t="s">
        <v>724</v>
      </c>
      <c r="Q414" s="1" t="s">
        <v>725</v>
      </c>
      <c r="R414">
        <v>0.40552907799999999</v>
      </c>
      <c r="S414">
        <v>14.93</v>
      </c>
      <c r="T414" s="2">
        <v>45811</v>
      </c>
      <c r="V414" t="str">
        <f t="shared" si="24"/>
        <v>S-5703424</v>
      </c>
      <c r="W414">
        <f t="shared" si="27"/>
        <v>0</v>
      </c>
      <c r="X414" t="str">
        <f t="shared" si="25"/>
        <v/>
      </c>
      <c r="Y414">
        <f t="shared" si="26"/>
        <v>0.40552907799999999</v>
      </c>
    </row>
    <row r="415" spans="1:25" hidden="1" x14ac:dyDescent="0.4">
      <c r="A415" t="s">
        <v>20</v>
      </c>
      <c r="B415">
        <v>5703424</v>
      </c>
      <c r="C415" t="s">
        <v>266</v>
      </c>
      <c r="D415" t="s">
        <v>21</v>
      </c>
      <c r="E415" t="s">
        <v>156</v>
      </c>
      <c r="K415">
        <v>144.975432979</v>
      </c>
      <c r="M415">
        <v>144.975432979</v>
      </c>
      <c r="P415" s="1" t="s">
        <v>1088</v>
      </c>
      <c r="Q415" s="1" t="s">
        <v>1089</v>
      </c>
      <c r="R415">
        <v>0.44594133699999999</v>
      </c>
      <c r="S415">
        <v>16.11</v>
      </c>
      <c r="T415" s="2">
        <v>45811</v>
      </c>
      <c r="V415" t="str">
        <f t="shared" si="24"/>
        <v>S-5703424</v>
      </c>
      <c r="W415">
        <f t="shared" si="27"/>
        <v>0</v>
      </c>
      <c r="X415" t="str">
        <f t="shared" si="25"/>
        <v/>
      </c>
      <c r="Y415">
        <f t="shared" si="26"/>
        <v>0.44594133699999999</v>
      </c>
    </row>
    <row r="416" spans="1:25" hidden="1" x14ac:dyDescent="0.4">
      <c r="A416" t="s">
        <v>20</v>
      </c>
      <c r="B416">
        <v>5703424</v>
      </c>
      <c r="C416" t="s">
        <v>266</v>
      </c>
      <c r="D416" t="s">
        <v>21</v>
      </c>
      <c r="E416" t="s">
        <v>140</v>
      </c>
      <c r="K416">
        <v>137.58152996300001</v>
      </c>
      <c r="M416">
        <v>137.58152996300001</v>
      </c>
      <c r="P416" s="1" t="s">
        <v>1455</v>
      </c>
      <c r="Q416" s="1" t="s">
        <v>1456</v>
      </c>
      <c r="R416">
        <v>0.24297343900000001</v>
      </c>
      <c r="S416">
        <v>9.24</v>
      </c>
      <c r="T416" s="2">
        <v>45811</v>
      </c>
      <c r="V416" t="str">
        <f t="shared" si="24"/>
        <v>S-5703424</v>
      </c>
      <c r="W416">
        <f t="shared" si="27"/>
        <v>0</v>
      </c>
      <c r="X416" t="str">
        <f t="shared" si="25"/>
        <v/>
      </c>
      <c r="Y416">
        <f t="shared" si="26"/>
        <v>0.24297343900000001</v>
      </c>
    </row>
    <row r="417" spans="1:25" hidden="1" x14ac:dyDescent="0.4">
      <c r="A417" t="s">
        <v>20</v>
      </c>
      <c r="B417">
        <v>5703424</v>
      </c>
      <c r="C417" t="s">
        <v>266</v>
      </c>
      <c r="D417" t="s">
        <v>21</v>
      </c>
      <c r="E417" t="s">
        <v>147</v>
      </c>
      <c r="K417">
        <v>73.780743325000003</v>
      </c>
      <c r="M417">
        <v>73.780743325000003</v>
      </c>
      <c r="P417" s="1" t="s">
        <v>1821</v>
      </c>
      <c r="Q417" s="1" t="s">
        <v>1822</v>
      </c>
      <c r="R417">
        <v>0.143792262</v>
      </c>
      <c r="S417">
        <v>12.68</v>
      </c>
      <c r="T417" s="2">
        <v>45811</v>
      </c>
      <c r="V417" t="str">
        <f t="shared" si="24"/>
        <v>S-5703424</v>
      </c>
      <c r="W417">
        <f t="shared" si="27"/>
        <v>0</v>
      </c>
      <c r="X417" t="str">
        <f t="shared" si="25"/>
        <v/>
      </c>
      <c r="Y417">
        <f t="shared" si="26"/>
        <v>0.143792262</v>
      </c>
    </row>
    <row r="418" spans="1:25" hidden="1" x14ac:dyDescent="0.4">
      <c r="A418" t="s">
        <v>20</v>
      </c>
      <c r="B418">
        <v>5703424</v>
      </c>
      <c r="C418" t="s">
        <v>266</v>
      </c>
      <c r="D418" t="s">
        <v>21</v>
      </c>
      <c r="E418" t="s">
        <v>22</v>
      </c>
      <c r="K418">
        <v>159.28097488700001</v>
      </c>
      <c r="L418">
        <v>159.28097488700001</v>
      </c>
      <c r="M418">
        <v>0</v>
      </c>
      <c r="N418">
        <v>0</v>
      </c>
      <c r="O418">
        <v>0</v>
      </c>
      <c r="P418" s="1" t="s">
        <v>267</v>
      </c>
      <c r="Q418">
        <v>1</v>
      </c>
      <c r="R418">
        <v>0</v>
      </c>
      <c r="S418">
        <v>0</v>
      </c>
      <c r="T418" s="2">
        <v>45811</v>
      </c>
      <c r="V418" t="str">
        <f t="shared" si="24"/>
        <v>S-5703424</v>
      </c>
      <c r="W418">
        <f t="shared" si="27"/>
        <v>0</v>
      </c>
      <c r="X418" t="str">
        <f t="shared" si="25"/>
        <v/>
      </c>
      <c r="Y418">
        <f t="shared" si="26"/>
        <v>0</v>
      </c>
    </row>
    <row r="419" spans="1:25" hidden="1" x14ac:dyDescent="0.4">
      <c r="A419" t="s">
        <v>20</v>
      </c>
      <c r="B419">
        <v>5710616</v>
      </c>
      <c r="C419" t="s">
        <v>268</v>
      </c>
      <c r="D419" t="s">
        <v>21</v>
      </c>
      <c r="E419" t="s">
        <v>137</v>
      </c>
      <c r="K419">
        <v>223.30175068899999</v>
      </c>
      <c r="M419">
        <v>223.30175068899999</v>
      </c>
      <c r="P419" s="1" t="s">
        <v>726</v>
      </c>
      <c r="Q419" s="1" t="s">
        <v>727</v>
      </c>
      <c r="R419">
        <v>0.42806984199999998</v>
      </c>
      <c r="S419">
        <v>14.48</v>
      </c>
      <c r="T419" s="2">
        <v>45812</v>
      </c>
      <c r="V419" t="str">
        <f t="shared" si="24"/>
        <v>S-5710616</v>
      </c>
      <c r="W419">
        <f t="shared" si="27"/>
        <v>0</v>
      </c>
      <c r="X419" t="str">
        <f t="shared" si="25"/>
        <v/>
      </c>
      <c r="Y419">
        <f t="shared" si="26"/>
        <v>0.42806984199999998</v>
      </c>
    </row>
    <row r="420" spans="1:25" hidden="1" x14ac:dyDescent="0.4">
      <c r="A420" t="s">
        <v>20</v>
      </c>
      <c r="B420">
        <v>5710616</v>
      </c>
      <c r="C420" t="s">
        <v>268</v>
      </c>
      <c r="D420" t="s">
        <v>21</v>
      </c>
      <c r="E420" t="s">
        <v>156</v>
      </c>
      <c r="K420">
        <v>145.527362831</v>
      </c>
      <c r="M420">
        <v>145.527362831</v>
      </c>
      <c r="P420" s="1" t="s">
        <v>1090</v>
      </c>
      <c r="Q420" s="1" t="s">
        <v>1091</v>
      </c>
      <c r="R420">
        <v>0.551929852</v>
      </c>
      <c r="S420">
        <v>20.51</v>
      </c>
      <c r="T420" s="2">
        <v>45812</v>
      </c>
      <c r="V420" t="str">
        <f t="shared" si="24"/>
        <v>S-5710616</v>
      </c>
      <c r="W420">
        <f t="shared" si="27"/>
        <v>0</v>
      </c>
      <c r="X420" t="str">
        <f t="shared" si="25"/>
        <v/>
      </c>
      <c r="Y420">
        <f t="shared" si="26"/>
        <v>0.551929852</v>
      </c>
    </row>
    <row r="421" spans="1:25" hidden="1" x14ac:dyDescent="0.4">
      <c r="A421" t="s">
        <v>20</v>
      </c>
      <c r="B421">
        <v>5710616</v>
      </c>
      <c r="C421" t="s">
        <v>268</v>
      </c>
      <c r="D421" t="s">
        <v>21</v>
      </c>
      <c r="E421" t="s">
        <v>140</v>
      </c>
      <c r="K421">
        <v>137.82252915999999</v>
      </c>
      <c r="M421">
        <v>137.82252915999999</v>
      </c>
      <c r="P421" s="1" t="s">
        <v>1457</v>
      </c>
      <c r="Q421" s="1" t="s">
        <v>1458</v>
      </c>
      <c r="R421">
        <v>0.240999197</v>
      </c>
      <c r="S421">
        <v>8.36</v>
      </c>
      <c r="T421" s="2">
        <v>45812</v>
      </c>
      <c r="V421" t="str">
        <f t="shared" si="24"/>
        <v>S-5710616</v>
      </c>
      <c r="W421">
        <f t="shared" si="27"/>
        <v>0</v>
      </c>
      <c r="X421" t="str">
        <f t="shared" si="25"/>
        <v/>
      </c>
      <c r="Y421">
        <f t="shared" si="26"/>
        <v>0.240999197</v>
      </c>
    </row>
    <row r="422" spans="1:25" hidden="1" x14ac:dyDescent="0.4">
      <c r="A422" t="s">
        <v>20</v>
      </c>
      <c r="B422">
        <v>5710616</v>
      </c>
      <c r="C422" t="s">
        <v>268</v>
      </c>
      <c r="D422" t="s">
        <v>21</v>
      </c>
      <c r="E422" t="s">
        <v>147</v>
      </c>
      <c r="K422">
        <v>73.922810933999997</v>
      </c>
      <c r="M422">
        <v>73.922810933999997</v>
      </c>
      <c r="P422" s="1" t="s">
        <v>1823</v>
      </c>
      <c r="Q422" s="1" t="s">
        <v>1824</v>
      </c>
      <c r="R422">
        <v>0.14206760900000001</v>
      </c>
      <c r="S422">
        <v>12.15</v>
      </c>
      <c r="T422" s="2">
        <v>45812</v>
      </c>
      <c r="V422" t="str">
        <f t="shared" si="24"/>
        <v>S-5710616</v>
      </c>
      <c r="W422">
        <f t="shared" si="27"/>
        <v>0</v>
      </c>
      <c r="X422" t="str">
        <f t="shared" si="25"/>
        <v/>
      </c>
      <c r="Y422">
        <f t="shared" si="26"/>
        <v>0.14206760900000001</v>
      </c>
    </row>
    <row r="423" spans="1:25" hidden="1" x14ac:dyDescent="0.4">
      <c r="A423" t="s">
        <v>20</v>
      </c>
      <c r="B423">
        <v>5710616</v>
      </c>
      <c r="C423" t="s">
        <v>268</v>
      </c>
      <c r="D423" t="s">
        <v>21</v>
      </c>
      <c r="E423" t="s">
        <v>22</v>
      </c>
      <c r="K423">
        <v>159.28097488700001</v>
      </c>
      <c r="L423">
        <v>159.28097488700001</v>
      </c>
      <c r="M423">
        <v>0</v>
      </c>
      <c r="N423">
        <v>0</v>
      </c>
      <c r="O423">
        <v>0</v>
      </c>
      <c r="P423" s="1" t="s">
        <v>269</v>
      </c>
      <c r="Q423">
        <v>1</v>
      </c>
      <c r="R423">
        <v>0</v>
      </c>
      <c r="S423">
        <v>0</v>
      </c>
      <c r="T423" s="2">
        <v>45812</v>
      </c>
      <c r="V423" t="str">
        <f t="shared" si="24"/>
        <v>S-5710616</v>
      </c>
      <c r="W423">
        <f t="shared" si="27"/>
        <v>0</v>
      </c>
      <c r="X423" t="str">
        <f t="shared" si="25"/>
        <v/>
      </c>
      <c r="Y423">
        <f t="shared" si="26"/>
        <v>0</v>
      </c>
    </row>
    <row r="424" spans="1:25" hidden="1" x14ac:dyDescent="0.4">
      <c r="A424" t="s">
        <v>20</v>
      </c>
      <c r="B424">
        <v>5717815</v>
      </c>
      <c r="C424" t="s">
        <v>270</v>
      </c>
      <c r="D424" t="s">
        <v>21</v>
      </c>
      <c r="E424" t="s">
        <v>137</v>
      </c>
      <c r="K424">
        <v>223.734395839</v>
      </c>
      <c r="M424">
        <v>223.734395839</v>
      </c>
      <c r="P424" s="1" t="s">
        <v>728</v>
      </c>
      <c r="Q424" s="1" t="s">
        <v>729</v>
      </c>
      <c r="R424">
        <v>0.43264514999999998</v>
      </c>
      <c r="S424">
        <v>13.33</v>
      </c>
      <c r="T424" s="2">
        <v>45813</v>
      </c>
      <c r="V424" t="str">
        <f t="shared" si="24"/>
        <v>S-5717815</v>
      </c>
      <c r="W424">
        <f t="shared" si="27"/>
        <v>0</v>
      </c>
      <c r="X424" t="str">
        <f t="shared" si="25"/>
        <v/>
      </c>
      <c r="Y424">
        <f t="shared" si="26"/>
        <v>0.43264514999999998</v>
      </c>
    </row>
    <row r="425" spans="1:25" hidden="1" x14ac:dyDescent="0.4">
      <c r="A425" t="s">
        <v>20</v>
      </c>
      <c r="B425">
        <v>5717815</v>
      </c>
      <c r="C425" t="s">
        <v>270</v>
      </c>
      <c r="D425" t="s">
        <v>21</v>
      </c>
      <c r="E425" t="s">
        <v>156</v>
      </c>
      <c r="K425">
        <v>146.058472481</v>
      </c>
      <c r="M425">
        <v>146.058472481</v>
      </c>
      <c r="P425" s="1" t="s">
        <v>1092</v>
      </c>
      <c r="Q425" s="1" t="s">
        <v>1093</v>
      </c>
      <c r="R425">
        <v>0.53110964999999999</v>
      </c>
      <c r="S425">
        <v>17.649999999999999</v>
      </c>
      <c r="T425" s="2">
        <v>45813</v>
      </c>
      <c r="V425" t="str">
        <f t="shared" si="24"/>
        <v>S-5717815</v>
      </c>
      <c r="W425">
        <f t="shared" si="27"/>
        <v>0</v>
      </c>
      <c r="X425" t="str">
        <f t="shared" si="25"/>
        <v/>
      </c>
      <c r="Y425">
        <f t="shared" si="26"/>
        <v>0.53110964999999999</v>
      </c>
    </row>
    <row r="426" spans="1:25" hidden="1" x14ac:dyDescent="0.4">
      <c r="A426" t="s">
        <v>20</v>
      </c>
      <c r="B426">
        <v>5717815</v>
      </c>
      <c r="C426" t="s">
        <v>270</v>
      </c>
      <c r="D426" t="s">
        <v>21</v>
      </c>
      <c r="E426" t="s">
        <v>140</v>
      </c>
      <c r="K426">
        <v>138.055866654</v>
      </c>
      <c r="M426">
        <v>138.055866654</v>
      </c>
      <c r="P426" s="1" t="s">
        <v>1459</v>
      </c>
      <c r="Q426" s="1" t="s">
        <v>1460</v>
      </c>
      <c r="R426">
        <v>0.23333749400000001</v>
      </c>
      <c r="S426">
        <v>7.11</v>
      </c>
      <c r="T426" s="2">
        <v>45813</v>
      </c>
      <c r="V426" t="str">
        <f t="shared" si="24"/>
        <v>S-5717815</v>
      </c>
      <c r="W426">
        <f t="shared" si="27"/>
        <v>0</v>
      </c>
      <c r="X426" t="str">
        <f t="shared" si="25"/>
        <v/>
      </c>
      <c r="Y426">
        <f t="shared" si="26"/>
        <v>0.23333749400000001</v>
      </c>
    </row>
    <row r="427" spans="1:25" hidden="1" x14ac:dyDescent="0.4">
      <c r="A427" t="s">
        <v>20</v>
      </c>
      <c r="B427">
        <v>5717815</v>
      </c>
      <c r="C427" t="s">
        <v>270</v>
      </c>
      <c r="D427" t="s">
        <v>21</v>
      </c>
      <c r="E427" t="s">
        <v>147</v>
      </c>
      <c r="K427">
        <v>74.065418930999996</v>
      </c>
      <c r="M427">
        <v>74.065418930999996</v>
      </c>
      <c r="P427" s="1" t="s">
        <v>1825</v>
      </c>
      <c r="Q427" s="1" t="s">
        <v>1826</v>
      </c>
      <c r="R427">
        <v>0.14260799699999999</v>
      </c>
      <c r="S427">
        <v>11.02</v>
      </c>
      <c r="T427" s="2">
        <v>45813</v>
      </c>
      <c r="V427" t="str">
        <f t="shared" si="24"/>
        <v>S-5717815</v>
      </c>
      <c r="W427">
        <f t="shared" si="27"/>
        <v>0</v>
      </c>
      <c r="X427" t="str">
        <f t="shared" si="25"/>
        <v/>
      </c>
      <c r="Y427">
        <f t="shared" si="26"/>
        <v>0.14260799699999999</v>
      </c>
    </row>
    <row r="428" spans="1:25" hidden="1" x14ac:dyDescent="0.4">
      <c r="A428" t="s">
        <v>20</v>
      </c>
      <c r="B428">
        <v>5717815</v>
      </c>
      <c r="C428" t="s">
        <v>270</v>
      </c>
      <c r="D428" t="s">
        <v>21</v>
      </c>
      <c r="E428" t="s">
        <v>22</v>
      </c>
      <c r="K428">
        <v>159.28097488700001</v>
      </c>
      <c r="L428">
        <v>159.28097488700001</v>
      </c>
      <c r="M428">
        <v>0</v>
      </c>
      <c r="N428">
        <v>0</v>
      </c>
      <c r="O428">
        <v>0</v>
      </c>
      <c r="P428" s="1" t="s">
        <v>271</v>
      </c>
      <c r="Q428">
        <v>1</v>
      </c>
      <c r="R428">
        <v>0</v>
      </c>
      <c r="S428">
        <v>0</v>
      </c>
      <c r="T428" s="2">
        <v>45813</v>
      </c>
      <c r="V428" t="str">
        <f t="shared" si="24"/>
        <v>S-5717815</v>
      </c>
      <c r="W428">
        <f t="shared" si="27"/>
        <v>0</v>
      </c>
      <c r="X428" t="str">
        <f t="shared" si="25"/>
        <v/>
      </c>
      <c r="Y428">
        <f t="shared" si="26"/>
        <v>0</v>
      </c>
    </row>
    <row r="429" spans="1:25" hidden="1" x14ac:dyDescent="0.4">
      <c r="A429" t="s">
        <v>20</v>
      </c>
      <c r="B429">
        <v>5725015</v>
      </c>
      <c r="C429" t="s">
        <v>272</v>
      </c>
      <c r="D429" t="s">
        <v>21</v>
      </c>
      <c r="E429" t="s">
        <v>137</v>
      </c>
      <c r="K429">
        <v>224.162533637</v>
      </c>
      <c r="M429">
        <v>224.162533637</v>
      </c>
      <c r="P429" s="1" t="s">
        <v>730</v>
      </c>
      <c r="Q429" s="1" t="s">
        <v>731</v>
      </c>
      <c r="R429">
        <v>0.42813779800000001</v>
      </c>
      <c r="S429">
        <v>13.62</v>
      </c>
      <c r="T429" s="2">
        <v>45814</v>
      </c>
      <c r="V429" t="str">
        <f t="shared" si="24"/>
        <v>S-5725015</v>
      </c>
      <c r="W429">
        <f t="shared" si="27"/>
        <v>0</v>
      </c>
      <c r="X429" t="str">
        <f t="shared" si="25"/>
        <v/>
      </c>
      <c r="Y429">
        <f t="shared" si="26"/>
        <v>0.42813779800000001</v>
      </c>
    </row>
    <row r="430" spans="1:25" hidden="1" x14ac:dyDescent="0.4">
      <c r="A430" t="s">
        <v>20</v>
      </c>
      <c r="B430">
        <v>5725015</v>
      </c>
      <c r="C430" t="s">
        <v>272</v>
      </c>
      <c r="D430" t="s">
        <v>21</v>
      </c>
      <c r="E430" t="s">
        <v>156</v>
      </c>
      <c r="K430">
        <v>146.555059075</v>
      </c>
      <c r="M430">
        <v>146.555059075</v>
      </c>
      <c r="P430" s="1" t="s">
        <v>1094</v>
      </c>
      <c r="Q430" s="1" t="s">
        <v>1095</v>
      </c>
      <c r="R430">
        <v>0.49658659399999999</v>
      </c>
      <c r="S430">
        <v>17.03</v>
      </c>
      <c r="T430" s="2">
        <v>45814</v>
      </c>
      <c r="V430" t="str">
        <f t="shared" si="24"/>
        <v>S-5725015</v>
      </c>
      <c r="W430">
        <f t="shared" si="27"/>
        <v>0</v>
      </c>
      <c r="X430" t="str">
        <f t="shared" si="25"/>
        <v/>
      </c>
      <c r="Y430">
        <f t="shared" si="26"/>
        <v>0.49658659399999999</v>
      </c>
    </row>
    <row r="431" spans="1:25" hidden="1" x14ac:dyDescent="0.4">
      <c r="A431" t="s">
        <v>20</v>
      </c>
      <c r="B431">
        <v>5725015</v>
      </c>
      <c r="C431" t="s">
        <v>272</v>
      </c>
      <c r="D431" t="s">
        <v>21</v>
      </c>
      <c r="E431" t="s">
        <v>140</v>
      </c>
      <c r="K431">
        <v>138.30476317500001</v>
      </c>
      <c r="M431">
        <v>138.30476317500001</v>
      </c>
      <c r="P431" s="1" t="s">
        <v>1461</v>
      </c>
      <c r="Q431" s="1" t="s">
        <v>1462</v>
      </c>
      <c r="R431">
        <v>0.24889652100000001</v>
      </c>
      <c r="S431">
        <v>7.77</v>
      </c>
      <c r="T431" s="2">
        <v>45814</v>
      </c>
      <c r="V431" t="str">
        <f t="shared" si="24"/>
        <v>S-5725015</v>
      </c>
      <c r="W431">
        <f t="shared" si="27"/>
        <v>0</v>
      </c>
      <c r="X431" t="str">
        <f t="shared" si="25"/>
        <v/>
      </c>
      <c r="Y431">
        <f t="shared" si="26"/>
        <v>0.24889652100000001</v>
      </c>
    </row>
    <row r="432" spans="1:25" hidden="1" x14ac:dyDescent="0.4">
      <c r="A432" t="s">
        <v>20</v>
      </c>
      <c r="B432">
        <v>5725015</v>
      </c>
      <c r="C432" t="s">
        <v>272</v>
      </c>
      <c r="D432" t="s">
        <v>21</v>
      </c>
      <c r="E432" t="s">
        <v>147</v>
      </c>
      <c r="K432">
        <v>74.201149115000007</v>
      </c>
      <c r="M432">
        <v>74.201149115000007</v>
      </c>
      <c r="P432" s="1" t="s">
        <v>1827</v>
      </c>
      <c r="Q432" s="1" t="s">
        <v>1828</v>
      </c>
      <c r="R432">
        <v>0.135730184</v>
      </c>
      <c r="S432">
        <v>11.51</v>
      </c>
      <c r="T432" s="2">
        <v>45814</v>
      </c>
      <c r="V432" t="str">
        <f t="shared" si="24"/>
        <v>S-5725015</v>
      </c>
      <c r="W432">
        <f t="shared" si="27"/>
        <v>0</v>
      </c>
      <c r="X432" t="str">
        <f t="shared" si="25"/>
        <v/>
      </c>
      <c r="Y432">
        <f t="shared" si="26"/>
        <v>0.135730184</v>
      </c>
    </row>
    <row r="433" spans="1:25" hidden="1" x14ac:dyDescent="0.4">
      <c r="A433" t="s">
        <v>20</v>
      </c>
      <c r="B433">
        <v>5725015</v>
      </c>
      <c r="C433" t="s">
        <v>272</v>
      </c>
      <c r="D433" t="s">
        <v>21</v>
      </c>
      <c r="E433" t="s">
        <v>22</v>
      </c>
      <c r="K433">
        <v>159.28097488700001</v>
      </c>
      <c r="L433">
        <v>159.28097488700001</v>
      </c>
      <c r="M433">
        <v>0</v>
      </c>
      <c r="N433">
        <v>0</v>
      </c>
      <c r="O433">
        <v>0</v>
      </c>
      <c r="P433" s="1" t="s">
        <v>273</v>
      </c>
      <c r="Q433">
        <v>1</v>
      </c>
      <c r="R433">
        <v>0</v>
      </c>
      <c r="S433">
        <v>0</v>
      </c>
      <c r="T433" s="2">
        <v>45814</v>
      </c>
      <c r="V433" t="str">
        <f t="shared" si="24"/>
        <v>S-5725015</v>
      </c>
      <c r="W433">
        <f t="shared" si="27"/>
        <v>0</v>
      </c>
      <c r="X433" t="str">
        <f t="shared" si="25"/>
        <v/>
      </c>
      <c r="Y433">
        <f t="shared" si="26"/>
        <v>0</v>
      </c>
    </row>
    <row r="434" spans="1:25" hidden="1" x14ac:dyDescent="0.4">
      <c r="A434" t="s">
        <v>20</v>
      </c>
      <c r="B434">
        <v>5732215</v>
      </c>
      <c r="C434" t="s">
        <v>274</v>
      </c>
      <c r="D434" t="s">
        <v>21</v>
      </c>
      <c r="E434" t="s">
        <v>137</v>
      </c>
      <c r="K434">
        <v>224.57775000199999</v>
      </c>
      <c r="M434">
        <v>224.57775000199999</v>
      </c>
      <c r="P434" s="1" t="s">
        <v>732</v>
      </c>
      <c r="Q434" s="1" t="s">
        <v>733</v>
      </c>
      <c r="R434">
        <v>0.41521636499999998</v>
      </c>
      <c r="S434">
        <v>15.98</v>
      </c>
      <c r="T434" s="2">
        <v>45815</v>
      </c>
      <c r="V434" t="str">
        <f t="shared" si="24"/>
        <v>S-5732215</v>
      </c>
      <c r="W434">
        <f t="shared" si="27"/>
        <v>0</v>
      </c>
      <c r="X434" t="str">
        <f t="shared" si="25"/>
        <v/>
      </c>
      <c r="Y434">
        <f t="shared" si="26"/>
        <v>0.41521636499999998</v>
      </c>
    </row>
    <row r="435" spans="1:25" hidden="1" x14ac:dyDescent="0.4">
      <c r="A435" t="s">
        <v>20</v>
      </c>
      <c r="B435">
        <v>5732215</v>
      </c>
      <c r="C435" t="s">
        <v>274</v>
      </c>
      <c r="D435" t="s">
        <v>21</v>
      </c>
      <c r="E435" t="s">
        <v>156</v>
      </c>
      <c r="K435">
        <v>147.00604785600001</v>
      </c>
      <c r="M435">
        <v>147.00604785600001</v>
      </c>
      <c r="P435" s="1" t="s">
        <v>1096</v>
      </c>
      <c r="Q435" s="1" t="s">
        <v>1097</v>
      </c>
      <c r="R435">
        <v>0.45098878100000001</v>
      </c>
      <c r="S435">
        <v>16.16</v>
      </c>
      <c r="T435" s="2">
        <v>45815</v>
      </c>
      <c r="V435" t="str">
        <f t="shared" si="24"/>
        <v>S-5732215</v>
      </c>
      <c r="W435">
        <f t="shared" si="27"/>
        <v>0</v>
      </c>
      <c r="X435" t="str">
        <f t="shared" si="25"/>
        <v/>
      </c>
      <c r="Y435">
        <f t="shared" si="26"/>
        <v>0.45098878100000001</v>
      </c>
    </row>
    <row r="436" spans="1:25" hidden="1" x14ac:dyDescent="0.4">
      <c r="A436" t="s">
        <v>20</v>
      </c>
      <c r="B436">
        <v>5732215</v>
      </c>
      <c r="C436" t="s">
        <v>274</v>
      </c>
      <c r="D436" t="s">
        <v>21</v>
      </c>
      <c r="E436" t="s">
        <v>140</v>
      </c>
      <c r="K436">
        <v>138.545057953</v>
      </c>
      <c r="M436">
        <v>138.545057953</v>
      </c>
      <c r="P436" s="1" t="s">
        <v>1463</v>
      </c>
      <c r="Q436" s="1" t="s">
        <v>1464</v>
      </c>
      <c r="R436">
        <v>0.24029477799999999</v>
      </c>
      <c r="S436">
        <v>8.69</v>
      </c>
      <c r="T436" s="2">
        <v>45815</v>
      </c>
      <c r="V436" t="str">
        <f t="shared" si="24"/>
        <v>S-5732215</v>
      </c>
      <c r="W436">
        <f t="shared" si="27"/>
        <v>0</v>
      </c>
      <c r="X436" t="str">
        <f t="shared" si="25"/>
        <v/>
      </c>
      <c r="Y436">
        <f t="shared" si="26"/>
        <v>0.24029477799999999</v>
      </c>
    </row>
    <row r="437" spans="1:25" hidden="1" x14ac:dyDescent="0.4">
      <c r="A437" t="s">
        <v>20</v>
      </c>
      <c r="B437">
        <v>5732215</v>
      </c>
      <c r="C437" t="s">
        <v>274</v>
      </c>
      <c r="D437" t="s">
        <v>21</v>
      </c>
      <c r="E437" t="s">
        <v>147</v>
      </c>
      <c r="K437">
        <v>74.339842879000003</v>
      </c>
      <c r="M437">
        <v>74.339842879000003</v>
      </c>
      <c r="P437" s="1" t="s">
        <v>1829</v>
      </c>
      <c r="Q437" s="1" t="s">
        <v>1830</v>
      </c>
      <c r="R437">
        <v>0.138693764</v>
      </c>
      <c r="S437">
        <v>12.94</v>
      </c>
      <c r="T437" s="2">
        <v>45815</v>
      </c>
      <c r="V437" t="str">
        <f t="shared" si="24"/>
        <v>S-5732215</v>
      </c>
      <c r="W437">
        <f t="shared" si="27"/>
        <v>0</v>
      </c>
      <c r="X437" t="str">
        <f t="shared" si="25"/>
        <v/>
      </c>
      <c r="Y437">
        <f t="shared" si="26"/>
        <v>0.138693764</v>
      </c>
    </row>
    <row r="438" spans="1:25" hidden="1" x14ac:dyDescent="0.4">
      <c r="A438" t="s">
        <v>20</v>
      </c>
      <c r="B438">
        <v>5732215</v>
      </c>
      <c r="C438" t="s">
        <v>274</v>
      </c>
      <c r="D438" t="s">
        <v>21</v>
      </c>
      <c r="E438" t="s">
        <v>22</v>
      </c>
      <c r="K438">
        <v>159.28097488700001</v>
      </c>
      <c r="L438">
        <v>159.28097488700001</v>
      </c>
      <c r="M438">
        <v>0</v>
      </c>
      <c r="N438">
        <v>0</v>
      </c>
      <c r="O438">
        <v>0</v>
      </c>
      <c r="P438" s="1" t="s">
        <v>275</v>
      </c>
      <c r="Q438">
        <v>1</v>
      </c>
      <c r="R438">
        <v>0</v>
      </c>
      <c r="S438">
        <v>0</v>
      </c>
      <c r="T438" s="2">
        <v>45815</v>
      </c>
      <c r="V438" t="str">
        <f t="shared" si="24"/>
        <v>S-5732215</v>
      </c>
      <c r="W438">
        <f t="shared" si="27"/>
        <v>0</v>
      </c>
      <c r="X438" t="str">
        <f t="shared" si="25"/>
        <v/>
      </c>
      <c r="Y438">
        <f t="shared" si="26"/>
        <v>0</v>
      </c>
    </row>
    <row r="439" spans="1:25" hidden="1" x14ac:dyDescent="0.4">
      <c r="A439" t="s">
        <v>20</v>
      </c>
      <c r="B439">
        <v>5739415</v>
      </c>
      <c r="C439" t="s">
        <v>276</v>
      </c>
      <c r="D439" t="s">
        <v>21</v>
      </c>
      <c r="E439" t="s">
        <v>137</v>
      </c>
      <c r="K439">
        <v>224.98000395599999</v>
      </c>
      <c r="M439">
        <v>224.98000395599999</v>
      </c>
      <c r="P439" s="1" t="s">
        <v>734</v>
      </c>
      <c r="Q439" s="1" t="s">
        <v>735</v>
      </c>
      <c r="R439">
        <v>0.40225395400000002</v>
      </c>
      <c r="S439">
        <v>15.26</v>
      </c>
      <c r="T439" s="2">
        <v>45816</v>
      </c>
      <c r="V439" t="str">
        <f t="shared" si="24"/>
        <v>S-5739415</v>
      </c>
      <c r="W439">
        <f t="shared" si="27"/>
        <v>0</v>
      </c>
      <c r="X439" t="str">
        <f t="shared" si="25"/>
        <v/>
      </c>
      <c r="Y439">
        <f t="shared" si="26"/>
        <v>0.40225395400000002</v>
      </c>
    </row>
    <row r="440" spans="1:25" hidden="1" x14ac:dyDescent="0.4">
      <c r="A440" t="s">
        <v>20</v>
      </c>
      <c r="B440">
        <v>5739415</v>
      </c>
      <c r="C440" t="s">
        <v>276</v>
      </c>
      <c r="D440" t="s">
        <v>21</v>
      </c>
      <c r="E440" t="s">
        <v>156</v>
      </c>
      <c r="K440">
        <v>147.45924472600001</v>
      </c>
      <c r="M440">
        <v>147.45924472600001</v>
      </c>
      <c r="P440" s="1" t="s">
        <v>1098</v>
      </c>
      <c r="Q440" s="1" t="s">
        <v>1099</v>
      </c>
      <c r="R440">
        <v>0.45319686999999997</v>
      </c>
      <c r="S440">
        <v>15.63</v>
      </c>
      <c r="T440" s="2">
        <v>45816</v>
      </c>
      <c r="V440" t="str">
        <f t="shared" si="24"/>
        <v>S-5739415</v>
      </c>
      <c r="W440">
        <f t="shared" si="27"/>
        <v>0</v>
      </c>
      <c r="X440" t="str">
        <f t="shared" si="25"/>
        <v/>
      </c>
      <c r="Y440">
        <f t="shared" si="26"/>
        <v>0.45319686999999997</v>
      </c>
    </row>
    <row r="441" spans="1:25" hidden="1" x14ac:dyDescent="0.4">
      <c r="A441" t="s">
        <v>20</v>
      </c>
      <c r="B441">
        <v>5739415</v>
      </c>
      <c r="C441" t="s">
        <v>276</v>
      </c>
      <c r="D441" t="s">
        <v>21</v>
      </c>
      <c r="E441" t="s">
        <v>140</v>
      </c>
      <c r="K441">
        <v>138.78717572299999</v>
      </c>
      <c r="M441">
        <v>138.78717572299999</v>
      </c>
      <c r="P441" s="1" t="s">
        <v>1465</v>
      </c>
      <c r="Q441" s="1" t="s">
        <v>1466</v>
      </c>
      <c r="R441">
        <v>0.24211777000000001</v>
      </c>
      <c r="S441">
        <v>8.36</v>
      </c>
      <c r="T441" s="2">
        <v>45816</v>
      </c>
      <c r="V441" t="str">
        <f t="shared" si="24"/>
        <v>S-5739415</v>
      </c>
      <c r="W441">
        <f t="shared" si="27"/>
        <v>0</v>
      </c>
      <c r="X441" t="str">
        <f t="shared" si="25"/>
        <v/>
      </c>
      <c r="Y441">
        <f t="shared" si="26"/>
        <v>0.24211777000000001</v>
      </c>
    </row>
    <row r="442" spans="1:25" hidden="1" x14ac:dyDescent="0.4">
      <c r="A442" t="s">
        <v>20</v>
      </c>
      <c r="B442">
        <v>5739415</v>
      </c>
      <c r="C442" t="s">
        <v>276</v>
      </c>
      <c r="D442" t="s">
        <v>21</v>
      </c>
      <c r="E442" t="s">
        <v>147</v>
      </c>
      <c r="K442">
        <v>74.477908103000004</v>
      </c>
      <c r="M442">
        <v>74.477908103000004</v>
      </c>
      <c r="P442" s="1" t="s">
        <v>1831</v>
      </c>
      <c r="Q442" s="1" t="s">
        <v>1832</v>
      </c>
      <c r="R442">
        <v>0.13806522399999999</v>
      </c>
      <c r="S442">
        <v>12.53</v>
      </c>
      <c r="T442" s="2">
        <v>45816</v>
      </c>
      <c r="V442" t="str">
        <f t="shared" si="24"/>
        <v>S-5739415</v>
      </c>
      <c r="W442">
        <f t="shared" si="27"/>
        <v>0</v>
      </c>
      <c r="X442" t="str">
        <f t="shared" si="25"/>
        <v/>
      </c>
      <c r="Y442">
        <f t="shared" si="26"/>
        <v>0.13806522399999999</v>
      </c>
    </row>
    <row r="443" spans="1:25" hidden="1" x14ac:dyDescent="0.4">
      <c r="A443" t="s">
        <v>20</v>
      </c>
      <c r="B443">
        <v>5739415</v>
      </c>
      <c r="C443" t="s">
        <v>276</v>
      </c>
      <c r="D443" t="s">
        <v>21</v>
      </c>
      <c r="E443" t="s">
        <v>22</v>
      </c>
      <c r="K443">
        <v>159.28097488700001</v>
      </c>
      <c r="L443">
        <v>159.28097488700001</v>
      </c>
      <c r="M443">
        <v>0</v>
      </c>
      <c r="N443">
        <v>0</v>
      </c>
      <c r="O443">
        <v>0</v>
      </c>
      <c r="P443">
        <v>382.01486743945998</v>
      </c>
      <c r="Q443">
        <v>1</v>
      </c>
      <c r="R443">
        <v>0</v>
      </c>
      <c r="S443">
        <v>0</v>
      </c>
      <c r="T443" s="2">
        <v>45816</v>
      </c>
      <c r="V443" t="str">
        <f t="shared" si="24"/>
        <v>S-5739415</v>
      </c>
      <c r="W443">
        <f t="shared" si="27"/>
        <v>0</v>
      </c>
      <c r="X443" t="str">
        <f t="shared" si="25"/>
        <v/>
      </c>
      <c r="Y443">
        <f t="shared" si="26"/>
        <v>0</v>
      </c>
    </row>
    <row r="444" spans="1:25" hidden="1" x14ac:dyDescent="0.4">
      <c r="A444" t="s">
        <v>20</v>
      </c>
      <c r="B444">
        <v>5746615</v>
      </c>
      <c r="C444" t="s">
        <v>277</v>
      </c>
      <c r="D444" t="s">
        <v>21</v>
      </c>
      <c r="E444" t="s">
        <v>137</v>
      </c>
      <c r="K444">
        <v>225.38126780100001</v>
      </c>
      <c r="M444">
        <v>225.38126780100001</v>
      </c>
      <c r="P444" s="1" t="s">
        <v>736</v>
      </c>
      <c r="Q444" s="1" t="s">
        <v>737</v>
      </c>
      <c r="R444">
        <v>0.40126384500000001</v>
      </c>
      <c r="S444">
        <v>17.2</v>
      </c>
      <c r="T444" s="2">
        <v>45817</v>
      </c>
      <c r="V444" t="str">
        <f t="shared" si="24"/>
        <v>S-5746615</v>
      </c>
      <c r="W444">
        <f t="shared" si="27"/>
        <v>0</v>
      </c>
      <c r="X444" t="str">
        <f t="shared" si="25"/>
        <v/>
      </c>
      <c r="Y444">
        <f t="shared" si="26"/>
        <v>0.40126384500000001</v>
      </c>
    </row>
    <row r="445" spans="1:25" hidden="1" x14ac:dyDescent="0.4">
      <c r="A445" t="s">
        <v>20</v>
      </c>
      <c r="B445">
        <v>5746615</v>
      </c>
      <c r="C445" t="s">
        <v>277</v>
      </c>
      <c r="D445" t="s">
        <v>21</v>
      </c>
      <c r="E445" t="s">
        <v>156</v>
      </c>
      <c r="K445">
        <v>147.916218523</v>
      </c>
      <c r="M445">
        <v>147.916218523</v>
      </c>
      <c r="P445" s="1" t="s">
        <v>1100</v>
      </c>
      <c r="Q445" s="1" t="s">
        <v>1101</v>
      </c>
      <c r="R445">
        <v>0.45697379700000001</v>
      </c>
      <c r="S445">
        <v>17.16</v>
      </c>
      <c r="T445" s="2">
        <v>45817</v>
      </c>
      <c r="V445" t="str">
        <f t="shared" si="24"/>
        <v>S-5746615</v>
      </c>
      <c r="W445">
        <f t="shared" si="27"/>
        <v>0</v>
      </c>
      <c r="X445" t="str">
        <f t="shared" si="25"/>
        <v/>
      </c>
      <c r="Y445">
        <f t="shared" si="26"/>
        <v>0.45697379700000001</v>
      </c>
    </row>
    <row r="446" spans="1:25" hidden="1" x14ac:dyDescent="0.4">
      <c r="A446" t="s">
        <v>20</v>
      </c>
      <c r="B446">
        <v>5746615</v>
      </c>
      <c r="C446" t="s">
        <v>277</v>
      </c>
      <c r="D446" t="s">
        <v>21</v>
      </c>
      <c r="E446" t="s">
        <v>140</v>
      </c>
      <c r="K446">
        <v>139.031360576</v>
      </c>
      <c r="M446">
        <v>139.031360576</v>
      </c>
      <c r="P446" s="1" t="s">
        <v>1467</v>
      </c>
      <c r="Q446" s="1" t="s">
        <v>1468</v>
      </c>
      <c r="R446">
        <v>0.24418485300000001</v>
      </c>
      <c r="S446">
        <v>9.27</v>
      </c>
      <c r="T446" s="2">
        <v>45817</v>
      </c>
      <c r="V446" t="str">
        <f t="shared" si="24"/>
        <v>S-5746615</v>
      </c>
      <c r="W446">
        <f t="shared" si="27"/>
        <v>0</v>
      </c>
      <c r="X446" t="str">
        <f t="shared" si="25"/>
        <v/>
      </c>
      <c r="Y446">
        <f t="shared" si="26"/>
        <v>0.24418485300000001</v>
      </c>
    </row>
    <row r="447" spans="1:25" hidden="1" x14ac:dyDescent="0.4">
      <c r="A447" t="s">
        <v>20</v>
      </c>
      <c r="B447">
        <v>5746615</v>
      </c>
      <c r="C447" t="s">
        <v>277</v>
      </c>
      <c r="D447" t="s">
        <v>21</v>
      </c>
      <c r="E447" t="s">
        <v>147</v>
      </c>
      <c r="K447">
        <v>74.616336054000001</v>
      </c>
      <c r="M447">
        <v>74.616336054000001</v>
      </c>
      <c r="P447" s="1" t="s">
        <v>1833</v>
      </c>
      <c r="Q447" s="1" t="s">
        <v>1834</v>
      </c>
      <c r="R447">
        <v>0.13842795099999999</v>
      </c>
      <c r="S447">
        <v>13.67</v>
      </c>
      <c r="T447" s="2">
        <v>45817</v>
      </c>
      <c r="V447" t="str">
        <f t="shared" si="24"/>
        <v>S-5746615</v>
      </c>
      <c r="W447">
        <f t="shared" si="27"/>
        <v>0</v>
      </c>
      <c r="X447" t="str">
        <f t="shared" si="25"/>
        <v/>
      </c>
      <c r="Y447">
        <f t="shared" si="26"/>
        <v>0.13842795099999999</v>
      </c>
    </row>
    <row r="448" spans="1:25" hidden="1" x14ac:dyDescent="0.4">
      <c r="A448" t="s">
        <v>20</v>
      </c>
      <c r="B448">
        <v>5746615</v>
      </c>
      <c r="C448" t="s">
        <v>277</v>
      </c>
      <c r="D448" t="s">
        <v>21</v>
      </c>
      <c r="E448" t="s">
        <v>22</v>
      </c>
      <c r="K448">
        <v>159.28097488700001</v>
      </c>
      <c r="L448">
        <v>159.28097488700001</v>
      </c>
      <c r="M448">
        <v>0</v>
      </c>
      <c r="N448">
        <v>0</v>
      </c>
      <c r="O448">
        <v>0</v>
      </c>
      <c r="P448">
        <v>419.51921194164203</v>
      </c>
      <c r="Q448">
        <v>1</v>
      </c>
      <c r="R448">
        <v>0</v>
      </c>
      <c r="S448">
        <v>0</v>
      </c>
      <c r="T448" s="2">
        <v>45817</v>
      </c>
      <c r="V448" t="str">
        <f t="shared" si="24"/>
        <v>S-5746615</v>
      </c>
      <c r="W448">
        <f t="shared" si="27"/>
        <v>0</v>
      </c>
      <c r="X448" t="str">
        <f t="shared" si="25"/>
        <v/>
      </c>
      <c r="Y448">
        <f t="shared" si="26"/>
        <v>0</v>
      </c>
    </row>
    <row r="449" spans="1:25" hidden="1" x14ac:dyDescent="0.4">
      <c r="A449" t="s">
        <v>20</v>
      </c>
      <c r="B449">
        <v>5753815</v>
      </c>
      <c r="C449" t="s">
        <v>278</v>
      </c>
      <c r="D449" t="s">
        <v>21</v>
      </c>
      <c r="E449" t="s">
        <v>137</v>
      </c>
      <c r="K449">
        <v>225.781995072</v>
      </c>
      <c r="M449">
        <v>225.781995072</v>
      </c>
      <c r="P449" s="1" t="s">
        <v>738</v>
      </c>
      <c r="Q449" s="1" t="s">
        <v>739</v>
      </c>
      <c r="R449">
        <v>0.400727271</v>
      </c>
      <c r="S449">
        <v>15.82</v>
      </c>
      <c r="T449" s="2">
        <v>45818</v>
      </c>
      <c r="V449" t="str">
        <f t="shared" si="24"/>
        <v>S-5753815</v>
      </c>
      <c r="W449">
        <f t="shared" si="27"/>
        <v>0</v>
      </c>
      <c r="X449" t="str">
        <f t="shared" si="25"/>
        <v/>
      </c>
      <c r="Y449">
        <f t="shared" si="26"/>
        <v>0.400727271</v>
      </c>
    </row>
    <row r="450" spans="1:25" hidden="1" x14ac:dyDescent="0.4">
      <c r="A450" t="s">
        <v>20</v>
      </c>
      <c r="B450">
        <v>5753815</v>
      </c>
      <c r="C450" t="s">
        <v>278</v>
      </c>
      <c r="D450" t="s">
        <v>21</v>
      </c>
      <c r="E450" t="s">
        <v>156</v>
      </c>
      <c r="K450">
        <v>148.372618958</v>
      </c>
      <c r="M450">
        <v>148.372618958</v>
      </c>
      <c r="P450" s="1" t="s">
        <v>1102</v>
      </c>
      <c r="Q450" s="1" t="s">
        <v>1103</v>
      </c>
      <c r="R450">
        <v>0.45640043499999999</v>
      </c>
      <c r="S450">
        <v>17.13</v>
      </c>
      <c r="T450" s="2">
        <v>45818</v>
      </c>
      <c r="V450" t="str">
        <f t="shared" si="24"/>
        <v>S-5753815</v>
      </c>
      <c r="W450">
        <f t="shared" si="27"/>
        <v>0</v>
      </c>
      <c r="X450" t="str">
        <f t="shared" si="25"/>
        <v/>
      </c>
      <c r="Y450">
        <f t="shared" si="26"/>
        <v>0.45640043499999999</v>
      </c>
    </row>
    <row r="451" spans="1:25" hidden="1" x14ac:dyDescent="0.4">
      <c r="A451" t="s">
        <v>20</v>
      </c>
      <c r="B451">
        <v>5753815</v>
      </c>
      <c r="C451" t="s">
        <v>278</v>
      </c>
      <c r="D451" t="s">
        <v>21</v>
      </c>
      <c r="E451" t="s">
        <v>140</v>
      </c>
      <c r="K451">
        <v>139.276809214</v>
      </c>
      <c r="M451">
        <v>139.276809214</v>
      </c>
      <c r="P451" s="1" t="s">
        <v>1469</v>
      </c>
      <c r="Q451" s="1" t="s">
        <v>1470</v>
      </c>
      <c r="R451">
        <v>0.245448638</v>
      </c>
      <c r="S451">
        <v>8.76</v>
      </c>
      <c r="T451" s="2">
        <v>45818</v>
      </c>
      <c r="V451" t="str">
        <f t="shared" ref="V451:V514" si="28">"S-"&amp;IF(LEN(I451)=0,B451,I451&amp;IF(F451="fee","-00",IF(LEN(G451)&gt;0,"-01","-02")))</f>
        <v>S-5753815</v>
      </c>
      <c r="W451">
        <f t="shared" si="27"/>
        <v>0</v>
      </c>
      <c r="X451" t="str">
        <f t="shared" ref="X451:X514" si="29">IF(LEN(I451)&gt;0,I451&amp;IF(F451="fee","fee",IF(VALUE(G451)&gt;0,"debit",IF(VALUE(H451)&gt;0,"credit","error"))),"")</f>
        <v/>
      </c>
      <c r="Y451">
        <f t="shared" ref="Y451:Y514" si="30">ROUND(IF(ROW(U451) = 2,K451,0)+IF(H451&lt;&gt;"",H451,0) + IF(R451&lt;&gt;"",R451,0) - IF(G451&lt;&gt;"",G451,0),9)</f>
        <v>0.245448638</v>
      </c>
    </row>
    <row r="452" spans="1:25" hidden="1" x14ac:dyDescent="0.4">
      <c r="A452" t="s">
        <v>20</v>
      </c>
      <c r="B452">
        <v>5753815</v>
      </c>
      <c r="C452" t="s">
        <v>278</v>
      </c>
      <c r="D452" t="s">
        <v>21</v>
      </c>
      <c r="E452" t="s">
        <v>147</v>
      </c>
      <c r="K452">
        <v>74.754820946999999</v>
      </c>
      <c r="M452">
        <v>74.754820946999999</v>
      </c>
      <c r="P452" s="1" t="s">
        <v>1835</v>
      </c>
      <c r="Q452" s="1" t="s">
        <v>1836</v>
      </c>
      <c r="R452">
        <v>0.138484893</v>
      </c>
      <c r="S452">
        <v>13</v>
      </c>
      <c r="T452" s="2">
        <v>45818</v>
      </c>
      <c r="V452" t="str">
        <f t="shared" si="28"/>
        <v>S-5753815</v>
      </c>
      <c r="W452">
        <f t="shared" ref="W452:W515" si="31">COUNTIF(I:I,I452)</f>
        <v>0</v>
      </c>
      <c r="X452" t="str">
        <f t="shared" si="29"/>
        <v/>
      </c>
      <c r="Y452">
        <f t="shared" si="30"/>
        <v>0.138484893</v>
      </c>
    </row>
    <row r="453" spans="1:25" hidden="1" x14ac:dyDescent="0.4">
      <c r="A453" t="s">
        <v>20</v>
      </c>
      <c r="B453">
        <v>5753815</v>
      </c>
      <c r="C453" t="s">
        <v>278</v>
      </c>
      <c r="D453" t="s">
        <v>21</v>
      </c>
      <c r="E453" t="s">
        <v>22</v>
      </c>
      <c r="K453">
        <v>159.28097488700001</v>
      </c>
      <c r="L453">
        <v>159.28097488700001</v>
      </c>
      <c r="M453">
        <v>0</v>
      </c>
      <c r="N453">
        <v>0</v>
      </c>
      <c r="O453">
        <v>0</v>
      </c>
      <c r="P453" s="1" t="s">
        <v>279</v>
      </c>
      <c r="Q453">
        <v>1</v>
      </c>
      <c r="R453">
        <v>0</v>
      </c>
      <c r="S453">
        <v>0</v>
      </c>
      <c r="T453" s="2">
        <v>45818</v>
      </c>
      <c r="V453" t="str">
        <f t="shared" si="28"/>
        <v>S-5753815</v>
      </c>
      <c r="W453">
        <f t="shared" si="31"/>
        <v>0</v>
      </c>
      <c r="X453" t="str">
        <f t="shared" si="29"/>
        <v/>
      </c>
      <c r="Y453">
        <f t="shared" si="30"/>
        <v>0</v>
      </c>
    </row>
    <row r="454" spans="1:25" hidden="1" x14ac:dyDescent="0.4">
      <c r="A454" t="s">
        <v>20</v>
      </c>
      <c r="B454">
        <v>5761015</v>
      </c>
      <c r="C454" t="s">
        <v>280</v>
      </c>
      <c r="D454" t="s">
        <v>21</v>
      </c>
      <c r="E454" t="s">
        <v>137</v>
      </c>
      <c r="K454">
        <v>226.187517654</v>
      </c>
      <c r="M454">
        <v>226.187517654</v>
      </c>
      <c r="P454" s="1" t="s">
        <v>740</v>
      </c>
      <c r="Q454" s="1" t="s">
        <v>741</v>
      </c>
      <c r="R454">
        <v>0.40552258200000002</v>
      </c>
      <c r="S454">
        <v>15.14</v>
      </c>
      <c r="T454" s="2">
        <v>45819</v>
      </c>
      <c r="V454" t="str">
        <f t="shared" si="28"/>
        <v>S-5761015</v>
      </c>
      <c r="W454">
        <f t="shared" si="31"/>
        <v>0</v>
      </c>
      <c r="X454" t="str">
        <f t="shared" si="29"/>
        <v/>
      </c>
      <c r="Y454">
        <f t="shared" si="30"/>
        <v>0.40552258200000002</v>
      </c>
    </row>
    <row r="455" spans="1:25" hidden="1" x14ac:dyDescent="0.4">
      <c r="A455" t="s">
        <v>20</v>
      </c>
      <c r="B455">
        <v>5761015</v>
      </c>
      <c r="C455" t="s">
        <v>280</v>
      </c>
      <c r="D455" t="s">
        <v>21</v>
      </c>
      <c r="E455" t="s">
        <v>156</v>
      </c>
      <c r="K455">
        <v>148.829163548</v>
      </c>
      <c r="M455">
        <v>148.829163548</v>
      </c>
      <c r="P455" s="1" t="s">
        <v>1104</v>
      </c>
      <c r="Q455" s="1" t="s">
        <v>1105</v>
      </c>
      <c r="R455">
        <v>0.45654458999999997</v>
      </c>
      <c r="S455">
        <v>16.36</v>
      </c>
      <c r="T455" s="2">
        <v>45819</v>
      </c>
      <c r="V455" t="str">
        <f t="shared" si="28"/>
        <v>S-5761015</v>
      </c>
      <c r="W455">
        <f t="shared" si="31"/>
        <v>0</v>
      </c>
      <c r="X455" t="str">
        <f t="shared" si="29"/>
        <v/>
      </c>
      <c r="Y455">
        <f t="shared" si="30"/>
        <v>0.45654458999999997</v>
      </c>
    </row>
    <row r="456" spans="1:25" hidden="1" x14ac:dyDescent="0.4">
      <c r="A456" t="s">
        <v>20</v>
      </c>
      <c r="B456">
        <v>5761015</v>
      </c>
      <c r="C456" t="s">
        <v>280</v>
      </c>
      <c r="D456" t="s">
        <v>21</v>
      </c>
      <c r="E456" t="s">
        <v>140</v>
      </c>
      <c r="K456">
        <v>139.524047811</v>
      </c>
      <c r="M456">
        <v>139.524047811</v>
      </c>
      <c r="P456" s="1" t="s">
        <v>1471</v>
      </c>
      <c r="Q456" s="1" t="s">
        <v>1472</v>
      </c>
      <c r="R456">
        <v>0.247238597</v>
      </c>
      <c r="S456">
        <v>8.66</v>
      </c>
      <c r="T456" s="2">
        <v>45819</v>
      </c>
      <c r="V456" t="str">
        <f t="shared" si="28"/>
        <v>S-5761015</v>
      </c>
      <c r="W456">
        <f t="shared" si="31"/>
        <v>0</v>
      </c>
      <c r="X456" t="str">
        <f t="shared" si="29"/>
        <v/>
      </c>
      <c r="Y456">
        <f t="shared" si="30"/>
        <v>0.247238597</v>
      </c>
    </row>
    <row r="457" spans="1:25" hidden="1" x14ac:dyDescent="0.4">
      <c r="A457" t="s">
        <v>20</v>
      </c>
      <c r="B457">
        <v>5761015</v>
      </c>
      <c r="C457" t="s">
        <v>280</v>
      </c>
      <c r="D457" t="s">
        <v>21</v>
      </c>
      <c r="E457" t="s">
        <v>147</v>
      </c>
      <c r="K457">
        <v>74.895317141000007</v>
      </c>
      <c r="M457">
        <v>74.895317141000007</v>
      </c>
      <c r="P457" s="1" t="s">
        <v>1837</v>
      </c>
      <c r="Q457" s="1" t="s">
        <v>1838</v>
      </c>
      <c r="R457">
        <v>0.14049619399999999</v>
      </c>
      <c r="S457">
        <v>12.48</v>
      </c>
      <c r="T457" s="2">
        <v>45819</v>
      </c>
      <c r="V457" t="str">
        <f t="shared" si="28"/>
        <v>S-5761015</v>
      </c>
      <c r="W457">
        <f t="shared" si="31"/>
        <v>0</v>
      </c>
      <c r="X457" t="str">
        <f t="shared" si="29"/>
        <v/>
      </c>
      <c r="Y457">
        <f t="shared" si="30"/>
        <v>0.14049619399999999</v>
      </c>
    </row>
    <row r="458" spans="1:25" hidden="1" x14ac:dyDescent="0.4">
      <c r="A458" t="s">
        <v>20</v>
      </c>
      <c r="B458">
        <v>5761015</v>
      </c>
      <c r="C458" t="s">
        <v>280</v>
      </c>
      <c r="D458" t="s">
        <v>21</v>
      </c>
      <c r="E458" t="s">
        <v>22</v>
      </c>
      <c r="K458">
        <v>159.28097488700001</v>
      </c>
      <c r="L458">
        <v>159.28097488700001</v>
      </c>
      <c r="M458">
        <v>0</v>
      </c>
      <c r="N458">
        <v>0</v>
      </c>
      <c r="O458">
        <v>0</v>
      </c>
      <c r="P458" s="1" t="s">
        <v>281</v>
      </c>
      <c r="Q458">
        <v>1</v>
      </c>
      <c r="R458">
        <v>0</v>
      </c>
      <c r="S458">
        <v>0</v>
      </c>
      <c r="T458" s="2">
        <v>45819</v>
      </c>
      <c r="V458" t="str">
        <f t="shared" si="28"/>
        <v>S-5761015</v>
      </c>
      <c r="W458">
        <f t="shared" si="31"/>
        <v>0</v>
      </c>
      <c r="X458" t="str">
        <f t="shared" si="29"/>
        <v/>
      </c>
      <c r="Y458">
        <f t="shared" si="30"/>
        <v>0</v>
      </c>
    </row>
    <row r="459" spans="1:25" hidden="1" x14ac:dyDescent="0.4">
      <c r="A459" t="s">
        <v>20</v>
      </c>
      <c r="B459">
        <v>5768215</v>
      </c>
      <c r="C459" t="s">
        <v>282</v>
      </c>
      <c r="D459" t="s">
        <v>21</v>
      </c>
      <c r="E459" t="s">
        <v>137</v>
      </c>
      <c r="K459">
        <v>226.59441127400001</v>
      </c>
      <c r="M459">
        <v>226.59441127400001</v>
      </c>
      <c r="P459" s="1" t="s">
        <v>742</v>
      </c>
      <c r="Q459" s="1" t="s">
        <v>743</v>
      </c>
      <c r="R459">
        <v>0.40689362000000001</v>
      </c>
      <c r="S459">
        <v>14.31</v>
      </c>
      <c r="T459" s="2">
        <v>45820</v>
      </c>
      <c r="V459" t="str">
        <f t="shared" si="28"/>
        <v>S-5768215</v>
      </c>
      <c r="W459">
        <f t="shared" si="31"/>
        <v>0</v>
      </c>
      <c r="X459" t="str">
        <f t="shared" si="29"/>
        <v/>
      </c>
      <c r="Y459">
        <f t="shared" si="30"/>
        <v>0.40689362000000001</v>
      </c>
    </row>
    <row r="460" spans="1:25" hidden="1" x14ac:dyDescent="0.4">
      <c r="A460" t="s">
        <v>20</v>
      </c>
      <c r="B460">
        <v>5768215</v>
      </c>
      <c r="C460" t="s">
        <v>282</v>
      </c>
      <c r="D460" t="s">
        <v>21</v>
      </c>
      <c r="E460" t="s">
        <v>156</v>
      </c>
      <c r="K460">
        <v>149.28614030400001</v>
      </c>
      <c r="M460">
        <v>149.28614030400001</v>
      </c>
      <c r="P460" s="1" t="s">
        <v>1106</v>
      </c>
      <c r="Q460" s="1" t="s">
        <v>1107</v>
      </c>
      <c r="R460">
        <v>0.45697675599999998</v>
      </c>
      <c r="S460">
        <v>15.19</v>
      </c>
      <c r="T460" s="2">
        <v>45820</v>
      </c>
      <c r="V460" t="str">
        <f t="shared" si="28"/>
        <v>S-5768215</v>
      </c>
      <c r="W460">
        <f t="shared" si="31"/>
        <v>0</v>
      </c>
      <c r="X460" t="str">
        <f t="shared" si="29"/>
        <v/>
      </c>
      <c r="Y460">
        <f t="shared" si="30"/>
        <v>0.45697675599999998</v>
      </c>
    </row>
    <row r="461" spans="1:25" hidden="1" x14ac:dyDescent="0.4">
      <c r="A461" t="s">
        <v>20</v>
      </c>
      <c r="B461">
        <v>5768215</v>
      </c>
      <c r="C461" t="s">
        <v>282</v>
      </c>
      <c r="D461" t="s">
        <v>21</v>
      </c>
      <c r="E461" t="s">
        <v>140</v>
      </c>
      <c r="K461">
        <v>139.769869438</v>
      </c>
      <c r="M461">
        <v>139.769869438</v>
      </c>
      <c r="P461" s="1" t="s">
        <v>1473</v>
      </c>
      <c r="Q461" s="1" t="s">
        <v>1474</v>
      </c>
      <c r="R461">
        <v>0.24582162699999999</v>
      </c>
      <c r="S461">
        <v>8.3000000000000007</v>
      </c>
      <c r="T461" s="2">
        <v>45820</v>
      </c>
      <c r="V461" t="str">
        <f t="shared" si="28"/>
        <v>S-5768215</v>
      </c>
      <c r="W461">
        <f t="shared" si="31"/>
        <v>0</v>
      </c>
      <c r="X461" t="str">
        <f t="shared" si="29"/>
        <v/>
      </c>
      <c r="Y461">
        <f t="shared" si="30"/>
        <v>0.24582162699999999</v>
      </c>
    </row>
    <row r="462" spans="1:25" hidden="1" x14ac:dyDescent="0.4">
      <c r="A462" t="s">
        <v>20</v>
      </c>
      <c r="B462">
        <v>5768215</v>
      </c>
      <c r="C462" t="s">
        <v>282</v>
      </c>
      <c r="D462" t="s">
        <v>21</v>
      </c>
      <c r="E462" t="s">
        <v>147</v>
      </c>
      <c r="K462">
        <v>75.035456898000007</v>
      </c>
      <c r="M462">
        <v>75.035456898000007</v>
      </c>
      <c r="P462" s="1" t="s">
        <v>1839</v>
      </c>
      <c r="Q462" s="1" t="s">
        <v>1840</v>
      </c>
      <c r="R462">
        <v>0.140139757</v>
      </c>
      <c r="S462">
        <v>11.93</v>
      </c>
      <c r="T462" s="2">
        <v>45820</v>
      </c>
      <c r="V462" t="str">
        <f t="shared" si="28"/>
        <v>S-5768215</v>
      </c>
      <c r="W462">
        <f t="shared" si="31"/>
        <v>0</v>
      </c>
      <c r="X462" t="str">
        <f t="shared" si="29"/>
        <v/>
      </c>
      <c r="Y462">
        <f t="shared" si="30"/>
        <v>0.140139757</v>
      </c>
    </row>
    <row r="463" spans="1:25" hidden="1" x14ac:dyDescent="0.4">
      <c r="A463" t="s">
        <v>20</v>
      </c>
      <c r="B463">
        <v>5768215</v>
      </c>
      <c r="C463" t="s">
        <v>282</v>
      </c>
      <c r="D463" t="s">
        <v>21</v>
      </c>
      <c r="E463" t="s">
        <v>22</v>
      </c>
      <c r="K463">
        <v>159.28097488700001</v>
      </c>
      <c r="L463">
        <v>159.28097488700001</v>
      </c>
      <c r="M463">
        <v>0</v>
      </c>
      <c r="N463">
        <v>0</v>
      </c>
      <c r="O463">
        <v>0</v>
      </c>
      <c r="P463" s="1" t="s">
        <v>283</v>
      </c>
      <c r="Q463">
        <v>1</v>
      </c>
      <c r="R463">
        <v>0</v>
      </c>
      <c r="S463">
        <v>0</v>
      </c>
      <c r="T463" s="2">
        <v>45820</v>
      </c>
      <c r="V463" t="str">
        <f t="shared" si="28"/>
        <v>S-5768215</v>
      </c>
      <c r="W463">
        <f t="shared" si="31"/>
        <v>0</v>
      </c>
      <c r="X463" t="str">
        <f t="shared" si="29"/>
        <v/>
      </c>
      <c r="Y463">
        <f t="shared" si="30"/>
        <v>0</v>
      </c>
    </row>
    <row r="464" spans="1:25" hidden="1" x14ac:dyDescent="0.4">
      <c r="A464" t="s">
        <v>20</v>
      </c>
      <c r="B464">
        <v>5775415</v>
      </c>
      <c r="C464" t="s">
        <v>284</v>
      </c>
      <c r="D464" t="s">
        <v>21</v>
      </c>
      <c r="E464" t="s">
        <v>137</v>
      </c>
      <c r="K464">
        <v>226.99480966799999</v>
      </c>
      <c r="M464">
        <v>226.99480966799999</v>
      </c>
      <c r="P464" s="1" t="s">
        <v>744</v>
      </c>
      <c r="Q464" s="1" t="s">
        <v>745</v>
      </c>
      <c r="R464">
        <v>0.40039839399999999</v>
      </c>
      <c r="S464">
        <v>13.77</v>
      </c>
      <c r="T464" s="2">
        <v>45821</v>
      </c>
      <c r="V464" t="str">
        <f t="shared" si="28"/>
        <v>S-5775415</v>
      </c>
      <c r="W464">
        <f t="shared" si="31"/>
        <v>0</v>
      </c>
      <c r="X464" t="str">
        <f t="shared" si="29"/>
        <v/>
      </c>
      <c r="Y464">
        <f t="shared" si="30"/>
        <v>0.40039839399999999</v>
      </c>
    </row>
    <row r="465" spans="1:25" hidden="1" x14ac:dyDescent="0.4">
      <c r="A465" t="s">
        <v>20</v>
      </c>
      <c r="B465">
        <v>5775415</v>
      </c>
      <c r="C465" t="s">
        <v>284</v>
      </c>
      <c r="D465" t="s">
        <v>21</v>
      </c>
      <c r="E465" t="s">
        <v>156</v>
      </c>
      <c r="K465">
        <v>149.74491383899999</v>
      </c>
      <c r="M465">
        <v>149.74491383899999</v>
      </c>
      <c r="P465" s="1" t="s">
        <v>1108</v>
      </c>
      <c r="Q465" s="1" t="s">
        <v>1109</v>
      </c>
      <c r="R465">
        <v>0.45877353500000001</v>
      </c>
      <c r="S465">
        <v>14.28</v>
      </c>
      <c r="T465" s="2">
        <v>45821</v>
      </c>
      <c r="V465" t="str">
        <f t="shared" si="28"/>
        <v>S-5775415</v>
      </c>
      <c r="W465">
        <f t="shared" si="31"/>
        <v>0</v>
      </c>
      <c r="X465" t="str">
        <f t="shared" si="29"/>
        <v/>
      </c>
      <c r="Y465">
        <f t="shared" si="30"/>
        <v>0.45877353500000001</v>
      </c>
    </row>
    <row r="466" spans="1:25" hidden="1" x14ac:dyDescent="0.4">
      <c r="A466" t="s">
        <v>20</v>
      </c>
      <c r="B466">
        <v>5775415</v>
      </c>
      <c r="C466" t="s">
        <v>284</v>
      </c>
      <c r="D466" t="s">
        <v>21</v>
      </c>
      <c r="E466" t="s">
        <v>140</v>
      </c>
      <c r="K466">
        <v>140.02812160799999</v>
      </c>
      <c r="M466">
        <v>140.02812160799999</v>
      </c>
      <c r="P466" s="1" t="s">
        <v>1475</v>
      </c>
      <c r="Q466" s="1" t="s">
        <v>1476</v>
      </c>
      <c r="R466">
        <v>0.25825217</v>
      </c>
      <c r="S466">
        <v>8.3800000000000008</v>
      </c>
      <c r="T466" s="2">
        <v>45821</v>
      </c>
      <c r="V466" t="str">
        <f t="shared" si="28"/>
        <v>S-5775415</v>
      </c>
      <c r="W466">
        <f t="shared" si="31"/>
        <v>0</v>
      </c>
      <c r="X466" t="str">
        <f t="shared" si="29"/>
        <v/>
      </c>
      <c r="Y466">
        <f t="shared" si="30"/>
        <v>0.25825217</v>
      </c>
    </row>
    <row r="467" spans="1:25" hidden="1" x14ac:dyDescent="0.4">
      <c r="A467" t="s">
        <v>20</v>
      </c>
      <c r="B467">
        <v>5775415</v>
      </c>
      <c r="C467" t="s">
        <v>284</v>
      </c>
      <c r="D467" t="s">
        <v>21</v>
      </c>
      <c r="E467" t="s">
        <v>147</v>
      </c>
      <c r="K467">
        <v>75.174844223999997</v>
      </c>
      <c r="M467">
        <v>75.174844223999997</v>
      </c>
      <c r="P467" s="1" t="s">
        <v>1841</v>
      </c>
      <c r="Q467" s="1" t="s">
        <v>1842</v>
      </c>
      <c r="R467">
        <v>0.13938732600000001</v>
      </c>
      <c r="S467">
        <v>11.5</v>
      </c>
      <c r="T467" s="2">
        <v>45821</v>
      </c>
      <c r="V467" t="str">
        <f t="shared" si="28"/>
        <v>S-5775415</v>
      </c>
      <c r="W467">
        <f t="shared" si="31"/>
        <v>0</v>
      </c>
      <c r="X467" t="str">
        <f t="shared" si="29"/>
        <v/>
      </c>
      <c r="Y467">
        <f t="shared" si="30"/>
        <v>0.13938732600000001</v>
      </c>
    </row>
    <row r="468" spans="1:25" hidden="1" x14ac:dyDescent="0.4">
      <c r="A468" t="s">
        <v>20</v>
      </c>
      <c r="B468">
        <v>5775415</v>
      </c>
      <c r="C468" t="s">
        <v>284</v>
      </c>
      <c r="D468" t="s">
        <v>21</v>
      </c>
      <c r="E468" t="s">
        <v>22</v>
      </c>
      <c r="K468">
        <v>159.28097488700001</v>
      </c>
      <c r="L468">
        <v>159.28097488700001</v>
      </c>
      <c r="M468">
        <v>0</v>
      </c>
      <c r="N468">
        <v>0</v>
      </c>
      <c r="O468">
        <v>0</v>
      </c>
      <c r="P468" s="1" t="s">
        <v>285</v>
      </c>
      <c r="Q468">
        <v>1</v>
      </c>
      <c r="R468">
        <v>0</v>
      </c>
      <c r="S468">
        <v>0</v>
      </c>
      <c r="T468" s="2">
        <v>45821</v>
      </c>
      <c r="V468" t="str">
        <f t="shared" si="28"/>
        <v>S-5775415</v>
      </c>
      <c r="W468">
        <f t="shared" si="31"/>
        <v>0</v>
      </c>
      <c r="X468" t="str">
        <f t="shared" si="29"/>
        <v/>
      </c>
      <c r="Y468">
        <f t="shared" si="30"/>
        <v>0</v>
      </c>
    </row>
    <row r="469" spans="1:25" hidden="1" x14ac:dyDescent="0.4">
      <c r="A469" t="s">
        <v>20</v>
      </c>
      <c r="B469">
        <v>5782615</v>
      </c>
      <c r="C469" t="s">
        <v>286</v>
      </c>
      <c r="D469" t="s">
        <v>21</v>
      </c>
      <c r="E469" t="s">
        <v>137</v>
      </c>
      <c r="K469">
        <v>227.398453598</v>
      </c>
      <c r="M469">
        <v>227.398453598</v>
      </c>
      <c r="P469" s="1" t="s">
        <v>746</v>
      </c>
      <c r="Q469" s="1" t="s">
        <v>747</v>
      </c>
      <c r="R469">
        <v>0.40364392999999998</v>
      </c>
      <c r="S469">
        <v>13.56</v>
      </c>
      <c r="T469" s="2">
        <v>45822</v>
      </c>
      <c r="V469" t="str">
        <f t="shared" si="28"/>
        <v>S-5782615</v>
      </c>
      <c r="W469">
        <f t="shared" si="31"/>
        <v>0</v>
      </c>
      <c r="X469" t="str">
        <f t="shared" si="29"/>
        <v/>
      </c>
      <c r="Y469">
        <f t="shared" si="30"/>
        <v>0.40364392999999998</v>
      </c>
    </row>
    <row r="470" spans="1:25" hidden="1" x14ac:dyDescent="0.4">
      <c r="A470" t="s">
        <v>20</v>
      </c>
      <c r="B470">
        <v>5782615</v>
      </c>
      <c r="C470" t="s">
        <v>286</v>
      </c>
      <c r="D470" t="s">
        <v>21</v>
      </c>
      <c r="E470" t="s">
        <v>156</v>
      </c>
      <c r="K470">
        <v>150.22561253999999</v>
      </c>
      <c r="M470">
        <v>150.22561253999999</v>
      </c>
      <c r="P470" s="1" t="s">
        <v>1110</v>
      </c>
      <c r="Q470" s="1" t="s">
        <v>1111</v>
      </c>
      <c r="R470">
        <v>0.48069870100000001</v>
      </c>
      <c r="S470">
        <v>14.45</v>
      </c>
      <c r="T470" s="2">
        <v>45822</v>
      </c>
      <c r="V470" t="str">
        <f t="shared" si="28"/>
        <v>S-5782615</v>
      </c>
      <c r="W470">
        <f t="shared" si="31"/>
        <v>0</v>
      </c>
      <c r="X470" t="str">
        <f t="shared" si="29"/>
        <v/>
      </c>
      <c r="Y470">
        <f t="shared" si="30"/>
        <v>0.48069870100000001</v>
      </c>
    </row>
    <row r="471" spans="1:25" hidden="1" x14ac:dyDescent="0.4">
      <c r="A471" t="s">
        <v>20</v>
      </c>
      <c r="B471">
        <v>5782615</v>
      </c>
      <c r="C471" t="s">
        <v>286</v>
      </c>
      <c r="D471" t="s">
        <v>21</v>
      </c>
      <c r="E471" t="s">
        <v>140</v>
      </c>
      <c r="K471">
        <v>140.274847983</v>
      </c>
      <c r="M471">
        <v>140.274847983</v>
      </c>
      <c r="P471" s="1" t="s">
        <v>1477</v>
      </c>
      <c r="Q471" s="1" t="s">
        <v>1478</v>
      </c>
      <c r="R471">
        <v>0.246726375</v>
      </c>
      <c r="S471">
        <v>7.29</v>
      </c>
      <c r="T471" s="2">
        <v>45822</v>
      </c>
      <c r="V471" t="str">
        <f t="shared" si="28"/>
        <v>S-5782615</v>
      </c>
      <c r="W471">
        <f t="shared" si="31"/>
        <v>0</v>
      </c>
      <c r="X471" t="str">
        <f t="shared" si="29"/>
        <v/>
      </c>
      <c r="Y471">
        <f t="shared" si="30"/>
        <v>0.246726375</v>
      </c>
    </row>
    <row r="472" spans="1:25" hidden="1" x14ac:dyDescent="0.4">
      <c r="A472" t="s">
        <v>20</v>
      </c>
      <c r="B472">
        <v>5782615</v>
      </c>
      <c r="C472" t="s">
        <v>286</v>
      </c>
      <c r="D472" t="s">
        <v>21</v>
      </c>
      <c r="E472" t="s">
        <v>147</v>
      </c>
      <c r="K472">
        <v>75.314115021999996</v>
      </c>
      <c r="M472">
        <v>75.314115021999996</v>
      </c>
      <c r="P472" s="1" t="s">
        <v>1843</v>
      </c>
      <c r="Q472" s="1" t="s">
        <v>1844</v>
      </c>
      <c r="R472">
        <v>0.139270798</v>
      </c>
      <c r="S472">
        <v>11.12</v>
      </c>
      <c r="T472" s="2">
        <v>45822</v>
      </c>
      <c r="V472" t="str">
        <f t="shared" si="28"/>
        <v>S-5782615</v>
      </c>
      <c r="W472">
        <f t="shared" si="31"/>
        <v>0</v>
      </c>
      <c r="X472" t="str">
        <f t="shared" si="29"/>
        <v/>
      </c>
      <c r="Y472">
        <f t="shared" si="30"/>
        <v>0.139270798</v>
      </c>
    </row>
    <row r="473" spans="1:25" hidden="1" x14ac:dyDescent="0.4">
      <c r="A473" t="s">
        <v>20</v>
      </c>
      <c r="B473">
        <v>5782615</v>
      </c>
      <c r="C473" t="s">
        <v>286</v>
      </c>
      <c r="D473" t="s">
        <v>21</v>
      </c>
      <c r="E473" t="s">
        <v>22</v>
      </c>
      <c r="K473">
        <v>159.28097488700001</v>
      </c>
      <c r="L473">
        <v>159.28097488700001</v>
      </c>
      <c r="M473">
        <v>0</v>
      </c>
      <c r="N473">
        <v>0</v>
      </c>
      <c r="O473">
        <v>0</v>
      </c>
      <c r="P473" s="1" t="s">
        <v>287</v>
      </c>
      <c r="Q473">
        <v>1</v>
      </c>
      <c r="R473">
        <v>0</v>
      </c>
      <c r="S473">
        <v>0</v>
      </c>
      <c r="T473" s="2">
        <v>45822</v>
      </c>
      <c r="V473" t="str">
        <f t="shared" si="28"/>
        <v>S-5782615</v>
      </c>
      <c r="W473">
        <f t="shared" si="31"/>
        <v>0</v>
      </c>
      <c r="X473" t="str">
        <f t="shared" si="29"/>
        <v/>
      </c>
      <c r="Y473">
        <f t="shared" si="30"/>
        <v>0</v>
      </c>
    </row>
    <row r="474" spans="1:25" hidden="1" x14ac:dyDescent="0.4">
      <c r="A474" t="s">
        <v>20</v>
      </c>
      <c r="B474">
        <v>5789812</v>
      </c>
      <c r="C474" t="s">
        <v>288</v>
      </c>
      <c r="D474" t="s">
        <v>21</v>
      </c>
      <c r="E474" t="s">
        <v>137</v>
      </c>
      <c r="K474">
        <v>227.798629874</v>
      </c>
      <c r="M474">
        <v>227.798629874</v>
      </c>
      <c r="P474" s="1" t="s">
        <v>748</v>
      </c>
      <c r="Q474" s="1" t="s">
        <v>749</v>
      </c>
      <c r="R474">
        <v>0.400176276</v>
      </c>
      <c r="S474">
        <v>13.44</v>
      </c>
      <c r="T474" s="2">
        <v>45823</v>
      </c>
      <c r="V474" t="str">
        <f t="shared" si="28"/>
        <v>S-5789812</v>
      </c>
      <c r="W474">
        <f t="shared" si="31"/>
        <v>0</v>
      </c>
      <c r="X474" t="str">
        <f t="shared" si="29"/>
        <v/>
      </c>
      <c r="Y474">
        <f t="shared" si="30"/>
        <v>0.400176276</v>
      </c>
    </row>
    <row r="475" spans="1:25" hidden="1" x14ac:dyDescent="0.4">
      <c r="A475" t="s">
        <v>20</v>
      </c>
      <c r="B475">
        <v>5789812</v>
      </c>
      <c r="C475" t="s">
        <v>288</v>
      </c>
      <c r="D475" t="s">
        <v>21</v>
      </c>
      <c r="E475" t="s">
        <v>156</v>
      </c>
      <c r="K475">
        <v>150.81232103400001</v>
      </c>
      <c r="M475">
        <v>150.81232103400001</v>
      </c>
      <c r="P475" s="1" t="s">
        <v>1112</v>
      </c>
      <c r="Q475" s="1" t="s">
        <v>1113</v>
      </c>
      <c r="R475">
        <v>0.58670849400000002</v>
      </c>
      <c r="S475">
        <v>17.559999999999999</v>
      </c>
      <c r="T475" s="2">
        <v>45823</v>
      </c>
      <c r="V475" t="str">
        <f t="shared" si="28"/>
        <v>S-5789812</v>
      </c>
      <c r="W475">
        <f t="shared" si="31"/>
        <v>0</v>
      </c>
      <c r="X475" t="str">
        <f t="shared" si="29"/>
        <v/>
      </c>
      <c r="Y475">
        <f t="shared" si="30"/>
        <v>0.58670849400000002</v>
      </c>
    </row>
    <row r="476" spans="1:25" hidden="1" x14ac:dyDescent="0.4">
      <c r="A476" t="s">
        <v>20</v>
      </c>
      <c r="B476">
        <v>5789812</v>
      </c>
      <c r="C476" t="s">
        <v>288</v>
      </c>
      <c r="D476" t="s">
        <v>21</v>
      </c>
      <c r="E476" t="s">
        <v>140</v>
      </c>
      <c r="K476">
        <v>140.52573538499999</v>
      </c>
      <c r="M476">
        <v>140.52573538499999</v>
      </c>
      <c r="P476" s="1" t="s">
        <v>1479</v>
      </c>
      <c r="Q476" s="1" t="s">
        <v>1480</v>
      </c>
      <c r="R476">
        <v>0.25088740199999998</v>
      </c>
      <c r="S476">
        <v>7.27</v>
      </c>
      <c r="T476" s="2">
        <v>45823</v>
      </c>
      <c r="V476" t="str">
        <f t="shared" si="28"/>
        <v>S-5789812</v>
      </c>
      <c r="W476">
        <f t="shared" si="31"/>
        <v>0</v>
      </c>
      <c r="X476" t="str">
        <f t="shared" si="29"/>
        <v/>
      </c>
      <c r="Y476">
        <f t="shared" si="30"/>
        <v>0.25088740199999998</v>
      </c>
    </row>
    <row r="477" spans="1:25" hidden="1" x14ac:dyDescent="0.4">
      <c r="A477" t="s">
        <v>20</v>
      </c>
      <c r="B477">
        <v>5789812</v>
      </c>
      <c r="C477" t="s">
        <v>288</v>
      </c>
      <c r="D477" t="s">
        <v>21</v>
      </c>
      <c r="E477" t="s">
        <v>147</v>
      </c>
      <c r="K477">
        <v>75.454094818000002</v>
      </c>
      <c r="M477">
        <v>75.454094818000002</v>
      </c>
      <c r="P477" s="1" t="s">
        <v>1845</v>
      </c>
      <c r="Q477" s="1" t="s">
        <v>1846</v>
      </c>
      <c r="R477">
        <v>0.13997979599999999</v>
      </c>
      <c r="S477">
        <v>10.97</v>
      </c>
      <c r="T477" s="2">
        <v>45823</v>
      </c>
      <c r="V477" t="str">
        <f t="shared" si="28"/>
        <v>S-5789812</v>
      </c>
      <c r="W477">
        <f t="shared" si="31"/>
        <v>0</v>
      </c>
      <c r="X477" t="str">
        <f t="shared" si="29"/>
        <v/>
      </c>
      <c r="Y477">
        <f t="shared" si="30"/>
        <v>0.13997979599999999</v>
      </c>
    </row>
    <row r="478" spans="1:25" hidden="1" x14ac:dyDescent="0.4">
      <c r="A478" t="s">
        <v>20</v>
      </c>
      <c r="B478">
        <v>5789812</v>
      </c>
      <c r="C478" t="s">
        <v>288</v>
      </c>
      <c r="D478" t="s">
        <v>21</v>
      </c>
      <c r="E478" t="s">
        <v>22</v>
      </c>
      <c r="K478">
        <v>159.28097488700001</v>
      </c>
      <c r="L478">
        <v>159.28097488700001</v>
      </c>
      <c r="M478">
        <v>0</v>
      </c>
      <c r="N478">
        <v>0</v>
      </c>
      <c r="O478">
        <v>0</v>
      </c>
      <c r="P478" s="1" t="s">
        <v>289</v>
      </c>
      <c r="Q478">
        <v>1</v>
      </c>
      <c r="R478">
        <v>0</v>
      </c>
      <c r="S478">
        <v>0</v>
      </c>
      <c r="T478" s="2">
        <v>45823</v>
      </c>
      <c r="V478" t="str">
        <f t="shared" si="28"/>
        <v>S-5789812</v>
      </c>
      <c r="W478">
        <f t="shared" si="31"/>
        <v>0</v>
      </c>
      <c r="X478" t="str">
        <f t="shared" si="29"/>
        <v/>
      </c>
      <c r="Y478">
        <f t="shared" si="30"/>
        <v>0</v>
      </c>
    </row>
    <row r="479" spans="1:25" hidden="1" x14ac:dyDescent="0.4">
      <c r="A479" t="s">
        <v>20</v>
      </c>
      <c r="B479">
        <v>5797012</v>
      </c>
      <c r="C479" t="s">
        <v>290</v>
      </c>
      <c r="D479" t="s">
        <v>21</v>
      </c>
      <c r="E479" t="s">
        <v>137</v>
      </c>
      <c r="K479">
        <v>228.19954322999999</v>
      </c>
      <c r="M479">
        <v>228.19954322999999</v>
      </c>
      <c r="P479" s="1" t="s">
        <v>750</v>
      </c>
      <c r="Q479" s="1" t="s">
        <v>751</v>
      </c>
      <c r="R479">
        <v>0.400913356</v>
      </c>
      <c r="S479">
        <v>12.72</v>
      </c>
      <c r="T479" s="2">
        <v>45824</v>
      </c>
      <c r="V479" t="str">
        <f t="shared" si="28"/>
        <v>S-5797012</v>
      </c>
      <c r="W479">
        <f t="shared" si="31"/>
        <v>0</v>
      </c>
      <c r="X479" t="str">
        <f t="shared" si="29"/>
        <v/>
      </c>
      <c r="Y479">
        <f t="shared" si="30"/>
        <v>0.400913356</v>
      </c>
    </row>
    <row r="480" spans="1:25" hidden="1" x14ac:dyDescent="0.4">
      <c r="A480" t="s">
        <v>20</v>
      </c>
      <c r="B480">
        <v>5797012</v>
      </c>
      <c r="C480" t="s">
        <v>290</v>
      </c>
      <c r="D480" t="s">
        <v>21</v>
      </c>
      <c r="E480" t="s">
        <v>156</v>
      </c>
      <c r="K480">
        <v>151.30383258200001</v>
      </c>
      <c r="M480">
        <v>151.30383258200001</v>
      </c>
      <c r="P480" s="1" t="s">
        <v>1114</v>
      </c>
      <c r="Q480" s="1" t="s">
        <v>1115</v>
      </c>
      <c r="R480">
        <v>0.49151154800000002</v>
      </c>
      <c r="S480">
        <v>14.8</v>
      </c>
      <c r="T480" s="2">
        <v>45824</v>
      </c>
      <c r="V480" t="str">
        <f t="shared" si="28"/>
        <v>S-5797012</v>
      </c>
      <c r="W480">
        <f t="shared" si="31"/>
        <v>0</v>
      </c>
      <c r="X480" t="str">
        <f t="shared" si="29"/>
        <v/>
      </c>
      <c r="Y480">
        <f t="shared" si="30"/>
        <v>0.49151154800000002</v>
      </c>
    </row>
    <row r="481" spans="1:25" hidden="1" x14ac:dyDescent="0.4">
      <c r="A481" t="s">
        <v>20</v>
      </c>
      <c r="B481">
        <v>5797012</v>
      </c>
      <c r="C481" t="s">
        <v>290</v>
      </c>
      <c r="D481" t="s">
        <v>21</v>
      </c>
      <c r="E481" t="s">
        <v>140</v>
      </c>
      <c r="K481">
        <v>140.783587576</v>
      </c>
      <c r="M481">
        <v>140.783587576</v>
      </c>
      <c r="P481" s="1" t="s">
        <v>1481</v>
      </c>
      <c r="Q481" s="1" t="s">
        <v>1482</v>
      </c>
      <c r="R481">
        <v>0.25785219100000001</v>
      </c>
      <c r="S481">
        <v>7.13</v>
      </c>
      <c r="T481" s="2">
        <v>45824</v>
      </c>
      <c r="V481" t="str">
        <f t="shared" si="28"/>
        <v>S-5797012</v>
      </c>
      <c r="W481">
        <f t="shared" si="31"/>
        <v>0</v>
      </c>
      <c r="X481" t="str">
        <f t="shared" si="29"/>
        <v/>
      </c>
      <c r="Y481">
        <f t="shared" si="30"/>
        <v>0.25785219100000001</v>
      </c>
    </row>
    <row r="482" spans="1:25" hidden="1" x14ac:dyDescent="0.4">
      <c r="A482" t="s">
        <v>20</v>
      </c>
      <c r="B482">
        <v>5797012</v>
      </c>
      <c r="C482" t="s">
        <v>290</v>
      </c>
      <c r="D482" t="s">
        <v>21</v>
      </c>
      <c r="E482" t="s">
        <v>147</v>
      </c>
      <c r="K482">
        <v>75.595658460999999</v>
      </c>
      <c r="M482">
        <v>75.595658460999999</v>
      </c>
      <c r="P482" s="1" t="s">
        <v>1847</v>
      </c>
      <c r="Q482" s="1" t="s">
        <v>1848</v>
      </c>
      <c r="R482">
        <v>0.14156364299999999</v>
      </c>
      <c r="S482">
        <v>10.77</v>
      </c>
      <c r="T482" s="2">
        <v>45824</v>
      </c>
      <c r="V482" t="str">
        <f t="shared" si="28"/>
        <v>S-5797012</v>
      </c>
      <c r="W482">
        <f t="shared" si="31"/>
        <v>0</v>
      </c>
      <c r="X482" t="str">
        <f t="shared" si="29"/>
        <v/>
      </c>
      <c r="Y482">
        <f t="shared" si="30"/>
        <v>0.14156364299999999</v>
      </c>
    </row>
    <row r="483" spans="1:25" hidden="1" x14ac:dyDescent="0.4">
      <c r="A483" t="s">
        <v>20</v>
      </c>
      <c r="B483">
        <v>5797012</v>
      </c>
      <c r="C483" t="s">
        <v>290</v>
      </c>
      <c r="D483" t="s">
        <v>21</v>
      </c>
      <c r="E483" t="s">
        <v>22</v>
      </c>
      <c r="K483">
        <v>159.28097488700001</v>
      </c>
      <c r="L483">
        <v>159.28097488700001</v>
      </c>
      <c r="M483">
        <v>0</v>
      </c>
      <c r="N483">
        <v>0</v>
      </c>
      <c r="O483">
        <v>0</v>
      </c>
      <c r="P483">
        <v>374.270961074404</v>
      </c>
      <c r="Q483">
        <v>1</v>
      </c>
      <c r="R483">
        <v>0</v>
      </c>
      <c r="S483">
        <v>0</v>
      </c>
      <c r="T483" s="2">
        <v>45824</v>
      </c>
      <c r="V483" t="str">
        <f t="shared" si="28"/>
        <v>S-5797012</v>
      </c>
      <c r="W483">
        <f t="shared" si="31"/>
        <v>0</v>
      </c>
      <c r="X483" t="str">
        <f t="shared" si="29"/>
        <v/>
      </c>
      <c r="Y483">
        <f t="shared" si="30"/>
        <v>0</v>
      </c>
    </row>
    <row r="484" spans="1:25" hidden="1" x14ac:dyDescent="0.4">
      <c r="A484" t="s">
        <v>20</v>
      </c>
      <c r="B484">
        <v>5804212</v>
      </c>
      <c r="C484" t="s">
        <v>291</v>
      </c>
      <c r="D484" t="s">
        <v>21</v>
      </c>
      <c r="E484" t="s">
        <v>137</v>
      </c>
      <c r="K484">
        <v>228.59972274699999</v>
      </c>
      <c r="M484">
        <v>228.59972274699999</v>
      </c>
      <c r="P484" s="1" t="s">
        <v>752</v>
      </c>
      <c r="Q484" s="1" t="s">
        <v>753</v>
      </c>
      <c r="R484">
        <v>0.40017951699999998</v>
      </c>
      <c r="S484">
        <v>12.8</v>
      </c>
      <c r="T484" s="2">
        <v>45825</v>
      </c>
      <c r="V484" t="str">
        <f t="shared" si="28"/>
        <v>S-5804212</v>
      </c>
      <c r="W484">
        <f t="shared" si="31"/>
        <v>0</v>
      </c>
      <c r="X484" t="str">
        <f t="shared" si="29"/>
        <v/>
      </c>
      <c r="Y484">
        <f t="shared" si="30"/>
        <v>0.40017951699999998</v>
      </c>
    </row>
    <row r="485" spans="1:25" hidden="1" x14ac:dyDescent="0.4">
      <c r="A485" t="s">
        <v>20</v>
      </c>
      <c r="B485">
        <v>5804212</v>
      </c>
      <c r="C485" t="s">
        <v>291</v>
      </c>
      <c r="D485" t="s">
        <v>21</v>
      </c>
      <c r="E485" t="s">
        <v>156</v>
      </c>
      <c r="K485">
        <v>151.875225253</v>
      </c>
      <c r="M485">
        <v>151.875225253</v>
      </c>
      <c r="P485" s="1" t="s">
        <v>1116</v>
      </c>
      <c r="Q485" s="1" t="s">
        <v>1117</v>
      </c>
      <c r="R485">
        <v>0.57139267100000002</v>
      </c>
      <c r="S485">
        <v>16.23</v>
      </c>
      <c r="T485" s="2">
        <v>45825</v>
      </c>
      <c r="V485" t="str">
        <f t="shared" si="28"/>
        <v>S-5804212</v>
      </c>
      <c r="W485">
        <f t="shared" si="31"/>
        <v>0</v>
      </c>
      <c r="X485" t="str">
        <f t="shared" si="29"/>
        <v/>
      </c>
      <c r="Y485">
        <f t="shared" si="30"/>
        <v>0.57139267100000002</v>
      </c>
    </row>
    <row r="486" spans="1:25" hidden="1" x14ac:dyDescent="0.4">
      <c r="A486" t="s">
        <v>20</v>
      </c>
      <c r="B486">
        <v>5804212</v>
      </c>
      <c r="C486" t="s">
        <v>291</v>
      </c>
      <c r="D486" t="s">
        <v>21</v>
      </c>
      <c r="E486" t="s">
        <v>140</v>
      </c>
      <c r="K486">
        <v>141.04312744500001</v>
      </c>
      <c r="M486">
        <v>141.04312744500001</v>
      </c>
      <c r="P486" s="1" t="s">
        <v>1483</v>
      </c>
      <c r="Q486" s="1" t="s">
        <v>1484</v>
      </c>
      <c r="R486">
        <v>0.25953986899999998</v>
      </c>
      <c r="S486">
        <v>7.75</v>
      </c>
      <c r="T486" s="2">
        <v>45825</v>
      </c>
      <c r="V486" t="str">
        <f t="shared" si="28"/>
        <v>S-5804212</v>
      </c>
      <c r="W486">
        <f t="shared" si="31"/>
        <v>0</v>
      </c>
      <c r="X486" t="str">
        <f t="shared" si="29"/>
        <v/>
      </c>
      <c r="Y486">
        <f t="shared" si="30"/>
        <v>0.25953986899999998</v>
      </c>
    </row>
    <row r="487" spans="1:25" hidden="1" x14ac:dyDescent="0.4">
      <c r="A487" t="s">
        <v>20</v>
      </c>
      <c r="B487">
        <v>5804212</v>
      </c>
      <c r="C487" t="s">
        <v>291</v>
      </c>
      <c r="D487" t="s">
        <v>21</v>
      </c>
      <c r="E487" t="s">
        <v>147</v>
      </c>
      <c r="K487">
        <v>75.736959816999999</v>
      </c>
      <c r="M487">
        <v>75.736959816999999</v>
      </c>
      <c r="P487" s="1" t="s">
        <v>1849</v>
      </c>
      <c r="Q487" s="1" t="s">
        <v>1850</v>
      </c>
      <c r="R487">
        <v>0.14130135599999999</v>
      </c>
      <c r="S487">
        <v>10.77</v>
      </c>
      <c r="T487" s="2">
        <v>45825</v>
      </c>
      <c r="V487" t="str">
        <f t="shared" si="28"/>
        <v>S-5804212</v>
      </c>
      <c r="W487">
        <f t="shared" si="31"/>
        <v>0</v>
      </c>
      <c r="X487" t="str">
        <f t="shared" si="29"/>
        <v/>
      </c>
      <c r="Y487">
        <f t="shared" si="30"/>
        <v>0.14130135599999999</v>
      </c>
    </row>
    <row r="488" spans="1:25" hidden="1" x14ac:dyDescent="0.4">
      <c r="A488" t="s">
        <v>20</v>
      </c>
      <c r="B488">
        <v>5804212</v>
      </c>
      <c r="C488" t="s">
        <v>291</v>
      </c>
      <c r="D488" t="s">
        <v>21</v>
      </c>
      <c r="E488" t="s">
        <v>22</v>
      </c>
      <c r="K488">
        <v>159.28097488700001</v>
      </c>
      <c r="L488">
        <v>159.28097488700001</v>
      </c>
      <c r="M488">
        <v>0</v>
      </c>
      <c r="N488">
        <v>0</v>
      </c>
      <c r="O488">
        <v>0</v>
      </c>
      <c r="P488">
        <v>352.07941053584398</v>
      </c>
      <c r="Q488">
        <v>1</v>
      </c>
      <c r="R488">
        <v>0</v>
      </c>
      <c r="S488">
        <v>0</v>
      </c>
      <c r="T488" s="2">
        <v>45825</v>
      </c>
      <c r="V488" t="str">
        <f t="shared" si="28"/>
        <v>S-5804212</v>
      </c>
      <c r="W488">
        <f t="shared" si="31"/>
        <v>0</v>
      </c>
      <c r="X488" t="str">
        <f t="shared" si="29"/>
        <v/>
      </c>
      <c r="Y488">
        <f t="shared" si="30"/>
        <v>0</v>
      </c>
    </row>
    <row r="489" spans="1:25" hidden="1" x14ac:dyDescent="0.4">
      <c r="A489" t="s">
        <v>20</v>
      </c>
      <c r="B489">
        <v>5811412</v>
      </c>
      <c r="C489" t="s">
        <v>292</v>
      </c>
      <c r="D489" t="s">
        <v>21</v>
      </c>
      <c r="E489" t="s">
        <v>137</v>
      </c>
      <c r="K489">
        <v>228.99506631</v>
      </c>
      <c r="M489">
        <v>228.99506631</v>
      </c>
      <c r="P489" s="1" t="s">
        <v>754</v>
      </c>
      <c r="Q489" s="1" t="s">
        <v>755</v>
      </c>
      <c r="R489">
        <v>0.39534356300000001</v>
      </c>
      <c r="S489">
        <v>12.99</v>
      </c>
      <c r="T489" s="2">
        <v>45826</v>
      </c>
      <c r="V489" t="str">
        <f t="shared" si="28"/>
        <v>S-5811412</v>
      </c>
      <c r="W489">
        <f t="shared" si="31"/>
        <v>0</v>
      </c>
      <c r="X489" t="str">
        <f t="shared" si="29"/>
        <v/>
      </c>
      <c r="Y489">
        <f t="shared" si="30"/>
        <v>0.39534356300000001</v>
      </c>
    </row>
    <row r="490" spans="1:25" hidden="1" x14ac:dyDescent="0.4">
      <c r="A490" t="s">
        <v>20</v>
      </c>
      <c r="B490">
        <v>5811412</v>
      </c>
      <c r="C490" t="s">
        <v>292</v>
      </c>
      <c r="D490" t="s">
        <v>21</v>
      </c>
      <c r="E490" t="s">
        <v>156</v>
      </c>
      <c r="K490">
        <v>152.505262991</v>
      </c>
      <c r="M490">
        <v>152.505262991</v>
      </c>
      <c r="P490" s="1" t="s">
        <v>1118</v>
      </c>
      <c r="Q490" s="1" t="s">
        <v>1119</v>
      </c>
      <c r="R490">
        <v>0.63003773799999996</v>
      </c>
      <c r="S490">
        <v>18.22</v>
      </c>
      <c r="T490" s="2">
        <v>45826</v>
      </c>
      <c r="V490" t="str">
        <f t="shared" si="28"/>
        <v>S-5811412</v>
      </c>
      <c r="W490">
        <f t="shared" si="31"/>
        <v>0</v>
      </c>
      <c r="X490" t="str">
        <f t="shared" si="29"/>
        <v/>
      </c>
      <c r="Y490">
        <f t="shared" si="30"/>
        <v>0.63003773799999996</v>
      </c>
    </row>
    <row r="491" spans="1:25" hidden="1" x14ac:dyDescent="0.4">
      <c r="A491" t="s">
        <v>20</v>
      </c>
      <c r="B491">
        <v>5811412</v>
      </c>
      <c r="C491" t="s">
        <v>292</v>
      </c>
      <c r="D491" t="s">
        <v>21</v>
      </c>
      <c r="E491" t="s">
        <v>140</v>
      </c>
      <c r="K491">
        <v>141.30587229299999</v>
      </c>
      <c r="M491">
        <v>141.30587229299999</v>
      </c>
      <c r="P491" s="1" t="s">
        <v>1485</v>
      </c>
      <c r="Q491" s="1" t="s">
        <v>1486</v>
      </c>
      <c r="R491">
        <v>0.26274484799999998</v>
      </c>
      <c r="S491">
        <v>8</v>
      </c>
      <c r="T491" s="2">
        <v>45826</v>
      </c>
      <c r="V491" t="str">
        <f t="shared" si="28"/>
        <v>S-5811412</v>
      </c>
      <c r="W491">
        <f t="shared" si="31"/>
        <v>0</v>
      </c>
      <c r="X491" t="str">
        <f t="shared" si="29"/>
        <v/>
      </c>
      <c r="Y491">
        <f t="shared" si="30"/>
        <v>0.26274484799999998</v>
      </c>
    </row>
    <row r="492" spans="1:25" hidden="1" x14ac:dyDescent="0.4">
      <c r="A492" t="s">
        <v>20</v>
      </c>
      <c r="B492">
        <v>5811412</v>
      </c>
      <c r="C492" t="s">
        <v>292</v>
      </c>
      <c r="D492" t="s">
        <v>21</v>
      </c>
      <c r="E492" t="s">
        <v>147</v>
      </c>
      <c r="K492">
        <v>75.877746693999995</v>
      </c>
      <c r="M492">
        <v>75.877746693999995</v>
      </c>
      <c r="P492" s="1" t="s">
        <v>1851</v>
      </c>
      <c r="Q492" s="1" t="s">
        <v>1852</v>
      </c>
      <c r="R492">
        <v>0.140786877</v>
      </c>
      <c r="S492">
        <v>10.99</v>
      </c>
      <c r="T492" s="2">
        <v>45826</v>
      </c>
      <c r="V492" t="str">
        <f t="shared" si="28"/>
        <v>S-5811412</v>
      </c>
      <c r="W492">
        <f t="shared" si="31"/>
        <v>0</v>
      </c>
      <c r="X492" t="str">
        <f t="shared" si="29"/>
        <v/>
      </c>
      <c r="Y492">
        <f t="shared" si="30"/>
        <v>0.140786877</v>
      </c>
    </row>
    <row r="493" spans="1:25" hidden="1" x14ac:dyDescent="0.4">
      <c r="A493" t="s">
        <v>20</v>
      </c>
      <c r="B493">
        <v>5811412</v>
      </c>
      <c r="C493" t="s">
        <v>292</v>
      </c>
      <c r="D493" t="s">
        <v>21</v>
      </c>
      <c r="E493" t="s">
        <v>22</v>
      </c>
      <c r="K493">
        <v>159.28097488700001</v>
      </c>
      <c r="L493">
        <v>159.28097488700001</v>
      </c>
      <c r="M493">
        <v>0</v>
      </c>
      <c r="N493">
        <v>0</v>
      </c>
      <c r="O493">
        <v>0</v>
      </c>
      <c r="P493" s="1" t="s">
        <v>293</v>
      </c>
      <c r="Q493">
        <v>1</v>
      </c>
      <c r="R493">
        <v>0</v>
      </c>
      <c r="S493">
        <v>0</v>
      </c>
      <c r="T493" s="2">
        <v>45826</v>
      </c>
      <c r="V493" t="str">
        <f t="shared" si="28"/>
        <v>S-5811412</v>
      </c>
      <c r="W493">
        <f t="shared" si="31"/>
        <v>0</v>
      </c>
      <c r="X493" t="str">
        <f t="shared" si="29"/>
        <v/>
      </c>
      <c r="Y493">
        <f t="shared" si="30"/>
        <v>0</v>
      </c>
    </row>
    <row r="494" spans="1:25" hidden="1" x14ac:dyDescent="0.4">
      <c r="A494" t="s">
        <v>20</v>
      </c>
      <c r="B494">
        <v>5818612</v>
      </c>
      <c r="C494" t="s">
        <v>294</v>
      </c>
      <c r="D494" t="s">
        <v>21</v>
      </c>
      <c r="E494" t="s">
        <v>137</v>
      </c>
      <c r="K494">
        <v>229.39233832100001</v>
      </c>
      <c r="M494">
        <v>229.39233832100001</v>
      </c>
      <c r="P494" s="1" t="s">
        <v>756</v>
      </c>
      <c r="Q494" s="1" t="s">
        <v>757</v>
      </c>
      <c r="R494">
        <v>0.39727201099999998</v>
      </c>
      <c r="S494">
        <v>12.28</v>
      </c>
      <c r="T494" s="2">
        <v>45827</v>
      </c>
      <c r="V494" t="str">
        <f t="shared" si="28"/>
        <v>S-5818612</v>
      </c>
      <c r="W494">
        <f t="shared" si="31"/>
        <v>0</v>
      </c>
      <c r="X494" t="str">
        <f t="shared" si="29"/>
        <v/>
      </c>
      <c r="Y494">
        <f t="shared" si="30"/>
        <v>0.39727201099999998</v>
      </c>
    </row>
    <row r="495" spans="1:25" hidden="1" x14ac:dyDescent="0.4">
      <c r="A495" t="s">
        <v>20</v>
      </c>
      <c r="B495">
        <v>5818612</v>
      </c>
      <c r="C495" t="s">
        <v>294</v>
      </c>
      <c r="D495" t="s">
        <v>21</v>
      </c>
      <c r="E495" t="s">
        <v>156</v>
      </c>
      <c r="K495">
        <v>153.02759070100001</v>
      </c>
      <c r="M495">
        <v>153.02759070100001</v>
      </c>
      <c r="P495" s="1" t="s">
        <v>1120</v>
      </c>
      <c r="Q495" s="1" t="s">
        <v>1121</v>
      </c>
      <c r="R495">
        <v>0.52232771</v>
      </c>
      <c r="S495">
        <v>14.51</v>
      </c>
      <c r="T495" s="2">
        <v>45827</v>
      </c>
      <c r="V495" t="str">
        <f t="shared" si="28"/>
        <v>S-5818612</v>
      </c>
      <c r="W495">
        <f t="shared" si="31"/>
        <v>0</v>
      </c>
      <c r="X495" t="str">
        <f t="shared" si="29"/>
        <v/>
      </c>
      <c r="Y495">
        <f t="shared" si="30"/>
        <v>0.52232771</v>
      </c>
    </row>
    <row r="496" spans="1:25" hidden="1" x14ac:dyDescent="0.4">
      <c r="A496" t="s">
        <v>20</v>
      </c>
      <c r="B496">
        <v>5818612</v>
      </c>
      <c r="C496" t="s">
        <v>294</v>
      </c>
      <c r="D496" t="s">
        <v>21</v>
      </c>
      <c r="E496" t="s">
        <v>140</v>
      </c>
      <c r="K496">
        <v>141.558666152</v>
      </c>
      <c r="M496">
        <v>141.558666152</v>
      </c>
      <c r="P496" s="1" t="s">
        <v>1487</v>
      </c>
      <c r="Q496" s="1" t="s">
        <v>1488</v>
      </c>
      <c r="R496">
        <v>0.25279385900000001</v>
      </c>
      <c r="S496">
        <v>7</v>
      </c>
      <c r="T496" s="2">
        <v>45827</v>
      </c>
      <c r="V496" t="str">
        <f t="shared" si="28"/>
        <v>S-5818612</v>
      </c>
      <c r="W496">
        <f t="shared" si="31"/>
        <v>0</v>
      </c>
      <c r="X496" t="str">
        <f t="shared" si="29"/>
        <v/>
      </c>
      <c r="Y496">
        <f t="shared" si="30"/>
        <v>0.25279385900000001</v>
      </c>
    </row>
    <row r="497" spans="1:25" hidden="1" x14ac:dyDescent="0.4">
      <c r="A497" t="s">
        <v>20</v>
      </c>
      <c r="B497">
        <v>5818612</v>
      </c>
      <c r="C497" t="s">
        <v>294</v>
      </c>
      <c r="D497" t="s">
        <v>21</v>
      </c>
      <c r="E497" t="s">
        <v>147</v>
      </c>
      <c r="K497">
        <v>76.019477018000003</v>
      </c>
      <c r="M497">
        <v>76.019477018000003</v>
      </c>
      <c r="P497" s="1" t="s">
        <v>1853</v>
      </c>
      <c r="Q497" s="1" t="s">
        <v>1854</v>
      </c>
      <c r="R497">
        <v>0.14173032399999999</v>
      </c>
      <c r="S497">
        <v>10.220000000000001</v>
      </c>
      <c r="T497" s="2">
        <v>45827</v>
      </c>
      <c r="V497" t="str">
        <f t="shared" si="28"/>
        <v>S-5818612</v>
      </c>
      <c r="W497">
        <f t="shared" si="31"/>
        <v>0</v>
      </c>
      <c r="X497" t="str">
        <f t="shared" si="29"/>
        <v/>
      </c>
      <c r="Y497">
        <f t="shared" si="30"/>
        <v>0.14173032399999999</v>
      </c>
    </row>
    <row r="498" spans="1:25" hidden="1" x14ac:dyDescent="0.4">
      <c r="A498" t="s">
        <v>20</v>
      </c>
      <c r="B498">
        <v>5818612</v>
      </c>
      <c r="C498" t="s">
        <v>294</v>
      </c>
      <c r="D498" t="s">
        <v>21</v>
      </c>
      <c r="E498" t="s">
        <v>22</v>
      </c>
      <c r="K498">
        <v>159.28097488700001</v>
      </c>
      <c r="L498">
        <v>159.28097488700001</v>
      </c>
      <c r="M498">
        <v>0</v>
      </c>
      <c r="N498">
        <v>0</v>
      </c>
      <c r="O498">
        <v>0</v>
      </c>
      <c r="P498" s="1" t="s">
        <v>295</v>
      </c>
      <c r="Q498">
        <v>1</v>
      </c>
      <c r="R498">
        <v>0</v>
      </c>
      <c r="S498">
        <v>0</v>
      </c>
      <c r="T498" s="2">
        <v>45827</v>
      </c>
      <c r="V498" t="str">
        <f t="shared" si="28"/>
        <v>S-5818612</v>
      </c>
      <c r="W498">
        <f t="shared" si="31"/>
        <v>0</v>
      </c>
      <c r="X498" t="str">
        <f t="shared" si="29"/>
        <v/>
      </c>
      <c r="Y498">
        <f t="shared" si="30"/>
        <v>0</v>
      </c>
    </row>
    <row r="499" spans="1:25" hidden="1" x14ac:dyDescent="0.4">
      <c r="A499" t="s">
        <v>20</v>
      </c>
      <c r="B499">
        <v>5825812</v>
      </c>
      <c r="C499" t="s">
        <v>296</v>
      </c>
      <c r="D499" t="s">
        <v>21</v>
      </c>
      <c r="E499" t="s">
        <v>137</v>
      </c>
      <c r="K499">
        <v>229.76981505500001</v>
      </c>
      <c r="M499">
        <v>229.76981505500001</v>
      </c>
      <c r="P499" s="1" t="s">
        <v>758</v>
      </c>
      <c r="Q499" s="1" t="s">
        <v>759</v>
      </c>
      <c r="R499">
        <v>0.37747673399999998</v>
      </c>
      <c r="S499">
        <v>11.2</v>
      </c>
      <c r="T499" s="2">
        <v>45828</v>
      </c>
      <c r="V499" t="str">
        <f t="shared" si="28"/>
        <v>S-5825812</v>
      </c>
      <c r="W499">
        <f t="shared" si="31"/>
        <v>0</v>
      </c>
      <c r="X499" t="str">
        <f t="shared" si="29"/>
        <v/>
      </c>
      <c r="Y499">
        <f t="shared" si="30"/>
        <v>0.37747673399999998</v>
      </c>
    </row>
    <row r="500" spans="1:25" hidden="1" x14ac:dyDescent="0.4">
      <c r="A500" t="s">
        <v>20</v>
      </c>
      <c r="B500">
        <v>5825812</v>
      </c>
      <c r="C500" t="s">
        <v>296</v>
      </c>
      <c r="D500" t="s">
        <v>21</v>
      </c>
      <c r="E500" t="s">
        <v>156</v>
      </c>
      <c r="K500">
        <v>153.51033931800001</v>
      </c>
      <c r="M500">
        <v>153.51033931800001</v>
      </c>
      <c r="P500" s="1" t="s">
        <v>1122</v>
      </c>
      <c r="Q500" s="1" t="s">
        <v>1123</v>
      </c>
      <c r="R500">
        <v>0.48274861699999999</v>
      </c>
      <c r="S500">
        <v>12.88</v>
      </c>
      <c r="T500" s="2">
        <v>45828</v>
      </c>
      <c r="V500" t="str">
        <f t="shared" si="28"/>
        <v>S-5825812</v>
      </c>
      <c r="W500">
        <f t="shared" si="31"/>
        <v>0</v>
      </c>
      <c r="X500" t="str">
        <f t="shared" si="29"/>
        <v/>
      </c>
      <c r="Y500">
        <f t="shared" si="30"/>
        <v>0.48274861699999999</v>
      </c>
    </row>
    <row r="501" spans="1:25" hidden="1" x14ac:dyDescent="0.4">
      <c r="A501" t="s">
        <v>20</v>
      </c>
      <c r="B501">
        <v>5825812</v>
      </c>
      <c r="C501" t="s">
        <v>296</v>
      </c>
      <c r="D501" t="s">
        <v>21</v>
      </c>
      <c r="E501" t="s">
        <v>140</v>
      </c>
      <c r="K501">
        <v>141.81459298499999</v>
      </c>
      <c r="M501">
        <v>141.81459298499999</v>
      </c>
      <c r="P501" s="1" t="s">
        <v>1489</v>
      </c>
      <c r="Q501" s="1" t="s">
        <v>1490</v>
      </c>
      <c r="R501">
        <v>0.25592683300000002</v>
      </c>
      <c r="S501">
        <v>6.96</v>
      </c>
      <c r="T501" s="2">
        <v>45828</v>
      </c>
      <c r="V501" t="str">
        <f t="shared" si="28"/>
        <v>S-5825812</v>
      </c>
      <c r="W501">
        <f t="shared" si="31"/>
        <v>0</v>
      </c>
      <c r="X501" t="str">
        <f t="shared" si="29"/>
        <v/>
      </c>
      <c r="Y501">
        <f t="shared" si="30"/>
        <v>0.25592683300000002</v>
      </c>
    </row>
    <row r="502" spans="1:25" hidden="1" x14ac:dyDescent="0.4">
      <c r="A502" t="s">
        <v>20</v>
      </c>
      <c r="B502">
        <v>5825812</v>
      </c>
      <c r="C502" t="s">
        <v>296</v>
      </c>
      <c r="D502" t="s">
        <v>21</v>
      </c>
      <c r="E502" t="s">
        <v>147</v>
      </c>
      <c r="K502">
        <v>76.161215924000004</v>
      </c>
      <c r="M502">
        <v>76.161215924000004</v>
      </c>
      <c r="P502" s="1" t="s">
        <v>1855</v>
      </c>
      <c r="Q502" s="1" t="s">
        <v>1856</v>
      </c>
      <c r="R502">
        <v>0.141738906</v>
      </c>
      <c r="S502">
        <v>9.6999999999999993</v>
      </c>
      <c r="T502" s="2">
        <v>45828</v>
      </c>
      <c r="V502" t="str">
        <f t="shared" si="28"/>
        <v>S-5825812</v>
      </c>
      <c r="W502">
        <f t="shared" si="31"/>
        <v>0</v>
      </c>
      <c r="X502" t="str">
        <f t="shared" si="29"/>
        <v/>
      </c>
      <c r="Y502">
        <f t="shared" si="30"/>
        <v>0.141738906</v>
      </c>
    </row>
    <row r="503" spans="1:25" hidden="1" x14ac:dyDescent="0.4">
      <c r="A503" t="s">
        <v>20</v>
      </c>
      <c r="B503">
        <v>5825812</v>
      </c>
      <c r="C503" t="s">
        <v>296</v>
      </c>
      <c r="D503" t="s">
        <v>21</v>
      </c>
      <c r="E503" t="s">
        <v>22</v>
      </c>
      <c r="K503">
        <v>159.28097488700001</v>
      </c>
      <c r="L503">
        <v>159.28097488700001</v>
      </c>
      <c r="M503">
        <v>0</v>
      </c>
      <c r="N503">
        <v>0</v>
      </c>
      <c r="O503">
        <v>0</v>
      </c>
      <c r="P503" s="1" t="s">
        <v>297</v>
      </c>
      <c r="Q503">
        <v>1</v>
      </c>
      <c r="R503">
        <v>0</v>
      </c>
      <c r="S503">
        <v>0</v>
      </c>
      <c r="T503" s="2">
        <v>45828</v>
      </c>
      <c r="V503" t="str">
        <f t="shared" si="28"/>
        <v>S-5825812</v>
      </c>
      <c r="W503">
        <f t="shared" si="31"/>
        <v>0</v>
      </c>
      <c r="X503" t="str">
        <f t="shared" si="29"/>
        <v/>
      </c>
      <c r="Y503">
        <f t="shared" si="30"/>
        <v>0</v>
      </c>
    </row>
    <row r="504" spans="1:25" hidden="1" x14ac:dyDescent="0.4">
      <c r="A504" t="s">
        <v>20</v>
      </c>
      <c r="B504">
        <v>5833012</v>
      </c>
      <c r="C504" t="s">
        <v>298</v>
      </c>
      <c r="D504" t="s">
        <v>21</v>
      </c>
      <c r="E504" t="s">
        <v>137</v>
      </c>
      <c r="K504">
        <v>230.17639303000001</v>
      </c>
      <c r="M504">
        <v>230.17639303000001</v>
      </c>
      <c r="P504" s="1" t="s">
        <v>760</v>
      </c>
      <c r="Q504" s="1" t="s">
        <v>761</v>
      </c>
      <c r="R504">
        <v>0.40657797499999998</v>
      </c>
      <c r="S504">
        <v>10.6</v>
      </c>
      <c r="T504" s="2">
        <v>45829</v>
      </c>
      <c r="V504" t="str">
        <f t="shared" si="28"/>
        <v>S-5833012</v>
      </c>
      <c r="W504">
        <f t="shared" si="31"/>
        <v>0</v>
      </c>
      <c r="X504" t="str">
        <f t="shared" si="29"/>
        <v/>
      </c>
      <c r="Y504">
        <f t="shared" si="30"/>
        <v>0.40657797499999998</v>
      </c>
    </row>
    <row r="505" spans="1:25" hidden="1" x14ac:dyDescent="0.4">
      <c r="A505" t="s">
        <v>20</v>
      </c>
      <c r="B505">
        <v>5833012</v>
      </c>
      <c r="C505" t="s">
        <v>298</v>
      </c>
      <c r="D505" t="s">
        <v>21</v>
      </c>
      <c r="E505" t="s">
        <v>156</v>
      </c>
      <c r="K505">
        <v>153.96463610000001</v>
      </c>
      <c r="M505">
        <v>153.96463610000001</v>
      </c>
      <c r="P505" s="1" t="s">
        <v>1124</v>
      </c>
      <c r="Q505" s="1" t="s">
        <v>1125</v>
      </c>
      <c r="R505">
        <v>0.45429678200000001</v>
      </c>
      <c r="S505">
        <v>10.83</v>
      </c>
      <c r="T505" s="2">
        <v>45829</v>
      </c>
      <c r="V505" t="str">
        <f t="shared" si="28"/>
        <v>S-5833012</v>
      </c>
      <c r="W505">
        <f t="shared" si="31"/>
        <v>0</v>
      </c>
      <c r="X505" t="str">
        <f t="shared" si="29"/>
        <v/>
      </c>
      <c r="Y505">
        <f t="shared" si="30"/>
        <v>0.45429678200000001</v>
      </c>
    </row>
    <row r="506" spans="1:25" hidden="1" x14ac:dyDescent="0.4">
      <c r="A506" t="s">
        <v>20</v>
      </c>
      <c r="B506">
        <v>5833012</v>
      </c>
      <c r="C506" t="s">
        <v>298</v>
      </c>
      <c r="D506" t="s">
        <v>21</v>
      </c>
      <c r="E506" t="s">
        <v>140</v>
      </c>
      <c r="K506">
        <v>142.06437579300001</v>
      </c>
      <c r="M506">
        <v>142.06437579300001</v>
      </c>
      <c r="P506" s="1" t="s">
        <v>1491</v>
      </c>
      <c r="Q506" s="1" t="s">
        <v>1492</v>
      </c>
      <c r="R506">
        <v>0.249782808</v>
      </c>
      <c r="S506">
        <v>5.8</v>
      </c>
      <c r="T506" s="2">
        <v>45829</v>
      </c>
      <c r="V506" t="str">
        <f t="shared" si="28"/>
        <v>S-5833012</v>
      </c>
      <c r="W506">
        <f t="shared" si="31"/>
        <v>0</v>
      </c>
      <c r="X506" t="str">
        <f t="shared" si="29"/>
        <v/>
      </c>
      <c r="Y506">
        <f t="shared" si="30"/>
        <v>0.249782808</v>
      </c>
    </row>
    <row r="507" spans="1:25" hidden="1" x14ac:dyDescent="0.4">
      <c r="A507" t="s">
        <v>20</v>
      </c>
      <c r="B507">
        <v>5833012</v>
      </c>
      <c r="C507" t="s">
        <v>298</v>
      </c>
      <c r="D507" t="s">
        <v>21</v>
      </c>
      <c r="E507" t="s">
        <v>147</v>
      </c>
      <c r="K507">
        <v>76.303043267000007</v>
      </c>
      <c r="M507">
        <v>76.303043267000007</v>
      </c>
      <c r="P507" s="1" t="s">
        <v>1857</v>
      </c>
      <c r="Q507" s="1" t="s">
        <v>1858</v>
      </c>
      <c r="R507">
        <v>0.14182734299999999</v>
      </c>
      <c r="S507">
        <v>8.43</v>
      </c>
      <c r="T507" s="2">
        <v>45829</v>
      </c>
      <c r="V507" t="str">
        <f t="shared" si="28"/>
        <v>S-5833012</v>
      </c>
      <c r="W507">
        <f t="shared" si="31"/>
        <v>0</v>
      </c>
      <c r="X507" t="str">
        <f t="shared" si="29"/>
        <v/>
      </c>
      <c r="Y507">
        <f t="shared" si="30"/>
        <v>0.14182734299999999</v>
      </c>
    </row>
    <row r="508" spans="1:25" hidden="1" x14ac:dyDescent="0.4">
      <c r="A508" t="s">
        <v>20</v>
      </c>
      <c r="B508">
        <v>5833012</v>
      </c>
      <c r="C508" t="s">
        <v>298</v>
      </c>
      <c r="D508" t="s">
        <v>21</v>
      </c>
      <c r="E508" t="s">
        <v>22</v>
      </c>
      <c r="K508">
        <v>159.28097488700001</v>
      </c>
      <c r="L508">
        <v>159.28097488700001</v>
      </c>
      <c r="M508">
        <v>0</v>
      </c>
      <c r="N508">
        <v>0</v>
      </c>
      <c r="O508">
        <v>0</v>
      </c>
      <c r="P508" s="1" t="s">
        <v>299</v>
      </c>
      <c r="Q508">
        <v>1</v>
      </c>
      <c r="R508">
        <v>0</v>
      </c>
      <c r="S508">
        <v>0</v>
      </c>
      <c r="T508" s="2">
        <v>45829</v>
      </c>
      <c r="V508" t="str">
        <f t="shared" si="28"/>
        <v>S-5833012</v>
      </c>
      <c r="W508">
        <f t="shared" si="31"/>
        <v>0</v>
      </c>
      <c r="X508" t="str">
        <f t="shared" si="29"/>
        <v/>
      </c>
      <c r="Y508">
        <f t="shared" si="30"/>
        <v>0</v>
      </c>
    </row>
    <row r="509" spans="1:25" hidden="1" x14ac:dyDescent="0.4">
      <c r="A509" t="s">
        <v>20</v>
      </c>
      <c r="B509">
        <v>5840212</v>
      </c>
      <c r="C509" t="s">
        <v>300</v>
      </c>
      <c r="D509" t="s">
        <v>21</v>
      </c>
      <c r="E509" t="s">
        <v>137</v>
      </c>
      <c r="K509">
        <v>230.58036178</v>
      </c>
      <c r="M509">
        <v>230.58036178</v>
      </c>
      <c r="P509" s="1" t="s">
        <v>762</v>
      </c>
      <c r="Q509" s="1" t="s">
        <v>763</v>
      </c>
      <c r="R509">
        <v>0.40396874999999999</v>
      </c>
      <c r="S509">
        <v>10.29</v>
      </c>
      <c r="T509" s="2">
        <v>45830</v>
      </c>
      <c r="V509" t="str">
        <f t="shared" si="28"/>
        <v>S-5840212</v>
      </c>
      <c r="W509">
        <f t="shared" si="31"/>
        <v>0</v>
      </c>
      <c r="X509" t="str">
        <f t="shared" si="29"/>
        <v/>
      </c>
      <c r="Y509">
        <f t="shared" si="30"/>
        <v>0.40396874999999999</v>
      </c>
    </row>
    <row r="510" spans="1:25" hidden="1" x14ac:dyDescent="0.4">
      <c r="A510" t="s">
        <v>20</v>
      </c>
      <c r="B510">
        <v>5840212</v>
      </c>
      <c r="C510" t="s">
        <v>300</v>
      </c>
      <c r="D510" t="s">
        <v>21</v>
      </c>
      <c r="E510" t="s">
        <v>156</v>
      </c>
      <c r="K510">
        <v>154.44196774</v>
      </c>
      <c r="M510">
        <v>154.44196774</v>
      </c>
      <c r="P510" s="1" t="s">
        <v>1126</v>
      </c>
      <c r="Q510" s="1" t="s">
        <v>1127</v>
      </c>
      <c r="R510">
        <v>0.47733164</v>
      </c>
      <c r="S510">
        <v>11.1</v>
      </c>
      <c r="T510" s="2">
        <v>45830</v>
      </c>
      <c r="V510" t="str">
        <f t="shared" si="28"/>
        <v>S-5840212</v>
      </c>
      <c r="W510">
        <f t="shared" si="31"/>
        <v>0</v>
      </c>
      <c r="X510" t="str">
        <f t="shared" si="29"/>
        <v/>
      </c>
      <c r="Y510">
        <f t="shared" si="30"/>
        <v>0.47733164</v>
      </c>
    </row>
    <row r="511" spans="1:25" hidden="1" x14ac:dyDescent="0.4">
      <c r="A511" t="s">
        <v>20</v>
      </c>
      <c r="B511">
        <v>5840212</v>
      </c>
      <c r="C511" t="s">
        <v>300</v>
      </c>
      <c r="D511" t="s">
        <v>21</v>
      </c>
      <c r="E511" t="s">
        <v>140</v>
      </c>
      <c r="K511">
        <v>142.313884129</v>
      </c>
      <c r="M511">
        <v>142.313884129</v>
      </c>
      <c r="P511" s="1" t="s">
        <v>1493</v>
      </c>
      <c r="Q511" s="1" t="s">
        <v>1494</v>
      </c>
      <c r="R511">
        <v>0.249508336</v>
      </c>
      <c r="S511">
        <v>5.63</v>
      </c>
      <c r="T511" s="2">
        <v>45830</v>
      </c>
      <c r="V511" t="str">
        <f t="shared" si="28"/>
        <v>S-5840212</v>
      </c>
      <c r="W511">
        <f t="shared" si="31"/>
        <v>0</v>
      </c>
      <c r="X511" t="str">
        <f t="shared" si="29"/>
        <v/>
      </c>
      <c r="Y511">
        <f t="shared" si="30"/>
        <v>0.249508336</v>
      </c>
    </row>
    <row r="512" spans="1:25" hidden="1" x14ac:dyDescent="0.4">
      <c r="A512" t="s">
        <v>20</v>
      </c>
      <c r="B512">
        <v>5840212</v>
      </c>
      <c r="C512" t="s">
        <v>300</v>
      </c>
      <c r="D512" t="s">
        <v>21</v>
      </c>
      <c r="E512" t="s">
        <v>147</v>
      </c>
      <c r="K512">
        <v>76.445805570000005</v>
      </c>
      <c r="M512">
        <v>76.445805570000005</v>
      </c>
      <c r="P512" s="1" t="s">
        <v>1859</v>
      </c>
      <c r="Q512" s="1" t="s">
        <v>1860</v>
      </c>
      <c r="R512">
        <v>0.14276230300000001</v>
      </c>
      <c r="S512">
        <v>8.25</v>
      </c>
      <c r="T512" s="2">
        <v>45830</v>
      </c>
      <c r="V512" t="str">
        <f t="shared" si="28"/>
        <v>S-5840212</v>
      </c>
      <c r="W512">
        <f t="shared" si="31"/>
        <v>0</v>
      </c>
      <c r="X512" t="str">
        <f t="shared" si="29"/>
        <v/>
      </c>
      <c r="Y512">
        <f t="shared" si="30"/>
        <v>0.14276230300000001</v>
      </c>
    </row>
    <row r="513" spans="1:25" hidden="1" x14ac:dyDescent="0.4">
      <c r="A513" t="s">
        <v>20</v>
      </c>
      <c r="B513">
        <v>5840212</v>
      </c>
      <c r="C513" t="s">
        <v>300</v>
      </c>
      <c r="D513" t="s">
        <v>21</v>
      </c>
      <c r="E513" t="s">
        <v>22</v>
      </c>
      <c r="K513">
        <v>159.28097488700001</v>
      </c>
      <c r="L513">
        <v>159.28097488700001</v>
      </c>
      <c r="M513">
        <v>0</v>
      </c>
      <c r="N513">
        <v>0</v>
      </c>
      <c r="O513">
        <v>0</v>
      </c>
      <c r="P513" s="1" t="s">
        <v>301</v>
      </c>
      <c r="Q513">
        <v>1</v>
      </c>
      <c r="R513">
        <v>0</v>
      </c>
      <c r="S513">
        <v>0</v>
      </c>
      <c r="T513" s="2">
        <v>45830</v>
      </c>
      <c r="V513" t="str">
        <f t="shared" si="28"/>
        <v>S-5840212</v>
      </c>
      <c r="W513">
        <f t="shared" si="31"/>
        <v>0</v>
      </c>
      <c r="X513" t="str">
        <f t="shared" si="29"/>
        <v/>
      </c>
      <c r="Y513">
        <f t="shared" si="30"/>
        <v>0</v>
      </c>
    </row>
    <row r="514" spans="1:25" hidden="1" x14ac:dyDescent="0.4">
      <c r="A514" t="s">
        <v>20</v>
      </c>
      <c r="B514">
        <v>5847412</v>
      </c>
      <c r="C514" t="s">
        <v>302</v>
      </c>
      <c r="D514" t="s">
        <v>21</v>
      </c>
      <c r="E514" t="s">
        <v>137</v>
      </c>
      <c r="K514">
        <v>230.98232718599999</v>
      </c>
      <c r="M514">
        <v>230.98232718599999</v>
      </c>
      <c r="P514" s="1" t="s">
        <v>764</v>
      </c>
      <c r="Q514" s="1" t="s">
        <v>765</v>
      </c>
      <c r="R514">
        <v>0.40196540600000003</v>
      </c>
      <c r="S514">
        <v>11.71</v>
      </c>
      <c r="T514" s="2">
        <v>45831</v>
      </c>
      <c r="V514" t="str">
        <f t="shared" si="28"/>
        <v>S-5847412</v>
      </c>
      <c r="W514">
        <f t="shared" si="31"/>
        <v>0</v>
      </c>
      <c r="X514" t="str">
        <f t="shared" si="29"/>
        <v/>
      </c>
      <c r="Y514">
        <f t="shared" si="30"/>
        <v>0.40196540600000003</v>
      </c>
    </row>
    <row r="515" spans="1:25" hidden="1" x14ac:dyDescent="0.4">
      <c r="A515" t="s">
        <v>20</v>
      </c>
      <c r="B515">
        <v>5847412</v>
      </c>
      <c r="C515" t="s">
        <v>302</v>
      </c>
      <c r="D515" t="s">
        <v>21</v>
      </c>
      <c r="E515" t="s">
        <v>156</v>
      </c>
      <c r="K515">
        <v>154.92136568199999</v>
      </c>
      <c r="M515">
        <v>154.92136568199999</v>
      </c>
      <c r="P515" s="1" t="s">
        <v>1128</v>
      </c>
      <c r="Q515" s="1" t="s">
        <v>1129</v>
      </c>
      <c r="R515">
        <v>0.47939794200000002</v>
      </c>
      <c r="S515">
        <v>12.62</v>
      </c>
      <c r="T515" s="2">
        <v>45831</v>
      </c>
      <c r="V515" t="str">
        <f t="shared" ref="V515:V578" si="32">"S-"&amp;IF(LEN(I515)=0,B515,I515&amp;IF(F515="fee","-00",IF(LEN(G515)&gt;0,"-01","-02")))</f>
        <v>S-5847412</v>
      </c>
      <c r="W515">
        <f t="shared" si="31"/>
        <v>0</v>
      </c>
      <c r="X515" t="str">
        <f t="shared" ref="X515:X578" si="33">IF(LEN(I515)&gt;0,I515&amp;IF(F515="fee","fee",IF(VALUE(G515)&gt;0,"debit",IF(VALUE(H515)&gt;0,"credit","error"))),"")</f>
        <v/>
      </c>
      <c r="Y515">
        <f t="shared" ref="Y515:Y578" si="34">ROUND(IF(ROW(U515) = 2,K515,0)+IF(H515&lt;&gt;"",H515,0) + IF(R515&lt;&gt;"",R515,0) - IF(G515&lt;&gt;"",G515,0),9)</f>
        <v>0.47939794200000002</v>
      </c>
    </row>
    <row r="516" spans="1:25" hidden="1" x14ac:dyDescent="0.4">
      <c r="A516" t="s">
        <v>20</v>
      </c>
      <c r="B516">
        <v>5847412</v>
      </c>
      <c r="C516" t="s">
        <v>302</v>
      </c>
      <c r="D516" t="s">
        <v>21</v>
      </c>
      <c r="E516" t="s">
        <v>140</v>
      </c>
      <c r="K516">
        <v>142.547837894</v>
      </c>
      <c r="M516">
        <v>142.547837894</v>
      </c>
      <c r="P516" s="1" t="s">
        <v>1495</v>
      </c>
      <c r="Q516" s="1" t="s">
        <v>1496</v>
      </c>
      <c r="R516">
        <v>0.23395376500000001</v>
      </c>
      <c r="S516">
        <v>6.02</v>
      </c>
      <c r="T516" s="2">
        <v>45831</v>
      </c>
      <c r="V516" t="str">
        <f t="shared" si="32"/>
        <v>S-5847412</v>
      </c>
      <c r="W516">
        <f t="shared" ref="W516:W579" si="35">COUNTIF(I:I,I516)</f>
        <v>0</v>
      </c>
      <c r="X516" t="str">
        <f t="shared" si="33"/>
        <v/>
      </c>
      <c r="Y516">
        <f t="shared" si="34"/>
        <v>0.23395376500000001</v>
      </c>
    </row>
    <row r="517" spans="1:25" hidden="1" x14ac:dyDescent="0.4">
      <c r="A517" t="s">
        <v>20</v>
      </c>
      <c r="B517">
        <v>5847412</v>
      </c>
      <c r="C517" t="s">
        <v>302</v>
      </c>
      <c r="D517" t="s">
        <v>21</v>
      </c>
      <c r="E517" t="s">
        <v>147</v>
      </c>
      <c r="K517">
        <v>76.588197761000004</v>
      </c>
      <c r="M517">
        <v>76.588197761000004</v>
      </c>
      <c r="P517" s="1" t="s">
        <v>1861</v>
      </c>
      <c r="Q517" s="1" t="s">
        <v>1862</v>
      </c>
      <c r="R517">
        <v>0.142392191</v>
      </c>
      <c r="S517">
        <v>9.25</v>
      </c>
      <c r="T517" s="2">
        <v>45831</v>
      </c>
      <c r="V517" t="str">
        <f t="shared" si="32"/>
        <v>S-5847412</v>
      </c>
      <c r="W517">
        <f t="shared" si="35"/>
        <v>0</v>
      </c>
      <c r="X517" t="str">
        <f t="shared" si="33"/>
        <v/>
      </c>
      <c r="Y517">
        <f t="shared" si="34"/>
        <v>0.142392191</v>
      </c>
    </row>
    <row r="518" spans="1:25" hidden="1" x14ac:dyDescent="0.4">
      <c r="A518" t="s">
        <v>20</v>
      </c>
      <c r="B518">
        <v>5847412</v>
      </c>
      <c r="C518" t="s">
        <v>302</v>
      </c>
      <c r="D518" t="s">
        <v>21</v>
      </c>
      <c r="E518" t="s">
        <v>22</v>
      </c>
      <c r="K518">
        <v>159.28097488700001</v>
      </c>
      <c r="L518">
        <v>159.28097488700001</v>
      </c>
      <c r="M518">
        <v>0</v>
      </c>
      <c r="N518">
        <v>0</v>
      </c>
      <c r="O518">
        <v>0</v>
      </c>
      <c r="P518" s="1" t="s">
        <v>303</v>
      </c>
      <c r="Q518">
        <v>1</v>
      </c>
      <c r="R518">
        <v>0</v>
      </c>
      <c r="S518">
        <v>0</v>
      </c>
      <c r="T518" s="2">
        <v>45831</v>
      </c>
      <c r="V518" t="str">
        <f t="shared" si="32"/>
        <v>S-5847412</v>
      </c>
      <c r="W518">
        <f t="shared" si="35"/>
        <v>0</v>
      </c>
      <c r="X518" t="str">
        <f t="shared" si="33"/>
        <v/>
      </c>
      <c r="Y518">
        <f t="shared" si="34"/>
        <v>0</v>
      </c>
    </row>
    <row r="519" spans="1:25" hidden="1" x14ac:dyDescent="0.4">
      <c r="A519" t="s">
        <v>20</v>
      </c>
      <c r="B519">
        <v>5854612</v>
      </c>
      <c r="C519" t="s">
        <v>304</v>
      </c>
      <c r="D519" t="s">
        <v>21</v>
      </c>
      <c r="E519" t="s">
        <v>137</v>
      </c>
      <c r="K519">
        <v>231.386894313</v>
      </c>
      <c r="M519">
        <v>231.386894313</v>
      </c>
      <c r="P519" s="1" t="s">
        <v>766</v>
      </c>
      <c r="Q519" s="1" t="s">
        <v>767</v>
      </c>
      <c r="R519">
        <v>0.40456712700000003</v>
      </c>
      <c r="S519">
        <v>11.59</v>
      </c>
      <c r="T519" s="2">
        <v>45832</v>
      </c>
      <c r="V519" t="str">
        <f t="shared" si="32"/>
        <v>S-5854612</v>
      </c>
      <c r="W519">
        <f t="shared" si="35"/>
        <v>0</v>
      </c>
      <c r="X519" t="str">
        <f t="shared" si="33"/>
        <v/>
      </c>
      <c r="Y519">
        <f t="shared" si="34"/>
        <v>0.40456712700000003</v>
      </c>
    </row>
    <row r="520" spans="1:25" hidden="1" x14ac:dyDescent="0.4">
      <c r="A520" t="s">
        <v>20</v>
      </c>
      <c r="B520">
        <v>5854612</v>
      </c>
      <c r="C520" t="s">
        <v>304</v>
      </c>
      <c r="D520" t="s">
        <v>21</v>
      </c>
      <c r="E520" t="s">
        <v>156</v>
      </c>
      <c r="K520">
        <v>155.395958818</v>
      </c>
      <c r="M520">
        <v>155.395958818</v>
      </c>
      <c r="P520" s="1" t="s">
        <v>1130</v>
      </c>
      <c r="Q520" s="1" t="s">
        <v>1131</v>
      </c>
      <c r="R520">
        <v>0.47459313600000003</v>
      </c>
      <c r="S520">
        <v>12.17</v>
      </c>
      <c r="T520" s="2">
        <v>45832</v>
      </c>
      <c r="V520" t="str">
        <f t="shared" si="32"/>
        <v>S-5854612</v>
      </c>
      <c r="W520">
        <f t="shared" si="35"/>
        <v>0</v>
      </c>
      <c r="X520" t="str">
        <f t="shared" si="33"/>
        <v/>
      </c>
      <c r="Y520">
        <f t="shared" si="34"/>
        <v>0.47459313600000003</v>
      </c>
    </row>
    <row r="521" spans="1:25" hidden="1" x14ac:dyDescent="0.4">
      <c r="A521" t="s">
        <v>20</v>
      </c>
      <c r="B521">
        <v>5854612</v>
      </c>
      <c r="C521" t="s">
        <v>304</v>
      </c>
      <c r="D521" t="s">
        <v>21</v>
      </c>
      <c r="E521" t="s">
        <v>140</v>
      </c>
      <c r="K521">
        <v>142.79569901599999</v>
      </c>
      <c r="M521">
        <v>142.79569901599999</v>
      </c>
      <c r="P521" s="1" t="s">
        <v>1497</v>
      </c>
      <c r="Q521" s="1" t="s">
        <v>1498</v>
      </c>
      <c r="R521">
        <v>0.24786112199999999</v>
      </c>
      <c r="S521">
        <v>6.27</v>
      </c>
      <c r="T521" s="2">
        <v>45832</v>
      </c>
      <c r="V521" t="str">
        <f t="shared" si="32"/>
        <v>S-5854612</v>
      </c>
      <c r="W521">
        <f t="shared" si="35"/>
        <v>0</v>
      </c>
      <c r="X521" t="str">
        <f t="shared" si="33"/>
        <v/>
      </c>
      <c r="Y521">
        <f t="shared" si="34"/>
        <v>0.24786112199999999</v>
      </c>
    </row>
    <row r="522" spans="1:25" hidden="1" x14ac:dyDescent="0.4">
      <c r="A522" t="s">
        <v>20</v>
      </c>
      <c r="B522">
        <v>5854612</v>
      </c>
      <c r="C522" t="s">
        <v>304</v>
      </c>
      <c r="D522" t="s">
        <v>21</v>
      </c>
      <c r="E522" t="s">
        <v>147</v>
      </c>
      <c r="K522">
        <v>76.723759291999997</v>
      </c>
      <c r="M522">
        <v>76.723759291999997</v>
      </c>
      <c r="P522" s="1" t="s">
        <v>1863</v>
      </c>
      <c r="Q522" s="1" t="s">
        <v>1864</v>
      </c>
      <c r="R522">
        <v>0.13556153100000001</v>
      </c>
      <c r="S522">
        <v>8.58</v>
      </c>
      <c r="T522" s="2">
        <v>45832</v>
      </c>
      <c r="V522" t="str">
        <f t="shared" si="32"/>
        <v>S-5854612</v>
      </c>
      <c r="W522">
        <f t="shared" si="35"/>
        <v>0</v>
      </c>
      <c r="X522" t="str">
        <f t="shared" si="33"/>
        <v/>
      </c>
      <c r="Y522">
        <f t="shared" si="34"/>
        <v>0.13556153100000001</v>
      </c>
    </row>
    <row r="523" spans="1:25" hidden="1" x14ac:dyDescent="0.4">
      <c r="A523" t="s">
        <v>20</v>
      </c>
      <c r="B523">
        <v>5854612</v>
      </c>
      <c r="C523" t="s">
        <v>304</v>
      </c>
      <c r="D523" t="s">
        <v>21</v>
      </c>
      <c r="E523" t="s">
        <v>22</v>
      </c>
      <c r="K523">
        <v>159.28097488700001</v>
      </c>
      <c r="L523">
        <v>159.28097488700001</v>
      </c>
      <c r="M523">
        <v>0</v>
      </c>
      <c r="N523">
        <v>0</v>
      </c>
      <c r="O523">
        <v>0</v>
      </c>
      <c r="P523" s="1" t="s">
        <v>305</v>
      </c>
      <c r="Q523">
        <v>1</v>
      </c>
      <c r="R523">
        <v>0</v>
      </c>
      <c r="S523">
        <v>0</v>
      </c>
      <c r="T523" s="2">
        <v>45832</v>
      </c>
      <c r="V523" t="str">
        <f t="shared" si="32"/>
        <v>S-5854612</v>
      </c>
      <c r="W523">
        <f t="shared" si="35"/>
        <v>0</v>
      </c>
      <c r="X523" t="str">
        <f t="shared" si="33"/>
        <v/>
      </c>
      <c r="Y523">
        <f t="shared" si="34"/>
        <v>0</v>
      </c>
    </row>
    <row r="524" spans="1:25" hidden="1" x14ac:dyDescent="0.4">
      <c r="A524" t="s">
        <v>20</v>
      </c>
      <c r="B524">
        <v>5861812</v>
      </c>
      <c r="C524" t="s">
        <v>306</v>
      </c>
      <c r="D524" t="s">
        <v>21</v>
      </c>
      <c r="E524" t="s">
        <v>137</v>
      </c>
      <c r="K524">
        <v>231.788945141</v>
      </c>
      <c r="M524">
        <v>231.788945141</v>
      </c>
      <c r="P524" s="1" t="s">
        <v>768</v>
      </c>
      <c r="Q524" s="1" t="s">
        <v>769</v>
      </c>
      <c r="R524">
        <v>0.40205082800000003</v>
      </c>
      <c r="S524">
        <v>10.58</v>
      </c>
      <c r="T524" s="2">
        <v>45833</v>
      </c>
      <c r="V524" t="str">
        <f t="shared" si="32"/>
        <v>S-5861812</v>
      </c>
      <c r="W524">
        <f t="shared" si="35"/>
        <v>0</v>
      </c>
      <c r="X524" t="str">
        <f t="shared" si="33"/>
        <v/>
      </c>
      <c r="Y524">
        <f t="shared" si="34"/>
        <v>0.40205082800000003</v>
      </c>
    </row>
    <row r="525" spans="1:25" hidden="1" x14ac:dyDescent="0.4">
      <c r="A525" t="s">
        <v>20</v>
      </c>
      <c r="B525">
        <v>5861812</v>
      </c>
      <c r="C525" t="s">
        <v>306</v>
      </c>
      <c r="D525" t="s">
        <v>21</v>
      </c>
      <c r="E525" t="s">
        <v>156</v>
      </c>
      <c r="K525">
        <v>155.85728612</v>
      </c>
      <c r="M525">
        <v>155.85728612</v>
      </c>
      <c r="P525" s="1" t="s">
        <v>1132</v>
      </c>
      <c r="Q525" s="1" t="s">
        <v>1133</v>
      </c>
      <c r="R525">
        <v>0.46132730199999999</v>
      </c>
      <c r="S525">
        <v>10.97</v>
      </c>
      <c r="T525" s="2">
        <v>45833</v>
      </c>
      <c r="V525" t="str">
        <f t="shared" si="32"/>
        <v>S-5861812</v>
      </c>
      <c r="W525">
        <f t="shared" si="35"/>
        <v>0</v>
      </c>
      <c r="X525" t="str">
        <f t="shared" si="33"/>
        <v/>
      </c>
      <c r="Y525">
        <f t="shared" si="34"/>
        <v>0.46132730199999999</v>
      </c>
    </row>
    <row r="526" spans="1:25" hidden="1" x14ac:dyDescent="0.4">
      <c r="A526" t="s">
        <v>20</v>
      </c>
      <c r="B526">
        <v>5861812</v>
      </c>
      <c r="C526" t="s">
        <v>306</v>
      </c>
      <c r="D526" t="s">
        <v>21</v>
      </c>
      <c r="E526" t="s">
        <v>140</v>
      </c>
      <c r="K526">
        <v>143.04382083100001</v>
      </c>
      <c r="M526">
        <v>143.04382083100001</v>
      </c>
      <c r="P526" s="1" t="s">
        <v>1499</v>
      </c>
      <c r="Q526" s="1" t="s">
        <v>1500</v>
      </c>
      <c r="R526">
        <v>0.248121815</v>
      </c>
      <c r="S526">
        <v>5.56</v>
      </c>
      <c r="T526" s="2">
        <v>45833</v>
      </c>
      <c r="V526" t="str">
        <f t="shared" si="32"/>
        <v>S-5861812</v>
      </c>
      <c r="W526">
        <f t="shared" si="35"/>
        <v>0</v>
      </c>
      <c r="X526" t="str">
        <f t="shared" si="33"/>
        <v/>
      </c>
      <c r="Y526">
        <f t="shared" si="34"/>
        <v>0.248121815</v>
      </c>
    </row>
    <row r="527" spans="1:25" hidden="1" x14ac:dyDescent="0.4">
      <c r="A527" t="s">
        <v>20</v>
      </c>
      <c r="B527">
        <v>5861812</v>
      </c>
      <c r="C527" t="s">
        <v>306</v>
      </c>
      <c r="D527" t="s">
        <v>21</v>
      </c>
      <c r="E527" t="s">
        <v>147</v>
      </c>
      <c r="K527">
        <v>76.867079915000005</v>
      </c>
      <c r="M527">
        <v>76.867079915000005</v>
      </c>
      <c r="P527" s="1" t="s">
        <v>1865</v>
      </c>
      <c r="Q527" s="1" t="s">
        <v>1866</v>
      </c>
      <c r="R527">
        <v>0.14332062300000001</v>
      </c>
      <c r="S527">
        <v>8.43</v>
      </c>
      <c r="T527" s="2">
        <v>45833</v>
      </c>
      <c r="V527" t="str">
        <f t="shared" si="32"/>
        <v>S-5861812</v>
      </c>
      <c r="W527">
        <f t="shared" si="35"/>
        <v>0</v>
      </c>
      <c r="X527" t="str">
        <f t="shared" si="33"/>
        <v/>
      </c>
      <c r="Y527">
        <f t="shared" si="34"/>
        <v>0.14332062300000001</v>
      </c>
    </row>
    <row r="528" spans="1:25" hidden="1" x14ac:dyDescent="0.4">
      <c r="A528" t="s">
        <v>20</v>
      </c>
      <c r="B528">
        <v>5861812</v>
      </c>
      <c r="C528" t="s">
        <v>306</v>
      </c>
      <c r="D528" t="s">
        <v>21</v>
      </c>
      <c r="E528" t="s">
        <v>22</v>
      </c>
      <c r="K528">
        <v>159.28097488700001</v>
      </c>
      <c r="L528">
        <v>159.28097488700001</v>
      </c>
      <c r="M528">
        <v>0</v>
      </c>
      <c r="N528">
        <v>0</v>
      </c>
      <c r="O528">
        <v>0</v>
      </c>
      <c r="P528" s="1" t="s">
        <v>307</v>
      </c>
      <c r="Q528">
        <v>1</v>
      </c>
      <c r="R528">
        <v>0</v>
      </c>
      <c r="S528">
        <v>0</v>
      </c>
      <c r="T528" s="2">
        <v>45833</v>
      </c>
      <c r="V528" t="str">
        <f t="shared" si="32"/>
        <v>S-5861812</v>
      </c>
      <c r="W528">
        <f t="shared" si="35"/>
        <v>0</v>
      </c>
      <c r="X528" t="str">
        <f t="shared" si="33"/>
        <v/>
      </c>
      <c r="Y528">
        <f t="shared" si="34"/>
        <v>0</v>
      </c>
    </row>
    <row r="529" spans="1:25" hidden="1" x14ac:dyDescent="0.4">
      <c r="A529" t="s">
        <v>20</v>
      </c>
      <c r="B529">
        <v>5869012</v>
      </c>
      <c r="C529" t="s">
        <v>308</v>
      </c>
      <c r="D529" t="s">
        <v>21</v>
      </c>
      <c r="E529" t="s">
        <v>137</v>
      </c>
      <c r="K529">
        <v>232.192331373</v>
      </c>
      <c r="M529">
        <v>232.192331373</v>
      </c>
      <c r="P529" s="1" t="s">
        <v>770</v>
      </c>
      <c r="Q529" s="1" t="s">
        <v>771</v>
      </c>
      <c r="R529">
        <v>0.40338623200000001</v>
      </c>
      <c r="S529">
        <v>10.28</v>
      </c>
      <c r="T529" s="2">
        <v>45834</v>
      </c>
      <c r="V529" t="str">
        <f t="shared" si="32"/>
        <v>S-5869012</v>
      </c>
      <c r="W529">
        <f t="shared" si="35"/>
        <v>0</v>
      </c>
      <c r="X529" t="str">
        <f t="shared" si="33"/>
        <v/>
      </c>
      <c r="Y529">
        <f t="shared" si="34"/>
        <v>0.40338623200000001</v>
      </c>
    </row>
    <row r="530" spans="1:25" hidden="1" x14ac:dyDescent="0.4">
      <c r="A530" t="s">
        <v>20</v>
      </c>
      <c r="B530">
        <v>5869012</v>
      </c>
      <c r="C530" t="s">
        <v>308</v>
      </c>
      <c r="D530" t="s">
        <v>21</v>
      </c>
      <c r="E530" t="s">
        <v>156</v>
      </c>
      <c r="K530">
        <v>156.31952208300001</v>
      </c>
      <c r="M530">
        <v>156.31952208300001</v>
      </c>
      <c r="P530" s="1" t="s">
        <v>1134</v>
      </c>
      <c r="Q530" s="1" t="s">
        <v>1135</v>
      </c>
      <c r="R530">
        <v>0.46223596300000003</v>
      </c>
      <c r="S530">
        <v>10.7</v>
      </c>
      <c r="T530" s="2">
        <v>45834</v>
      </c>
      <c r="V530" t="str">
        <f t="shared" si="32"/>
        <v>S-5869012</v>
      </c>
      <c r="W530">
        <f t="shared" si="35"/>
        <v>0</v>
      </c>
      <c r="X530" t="str">
        <f t="shared" si="33"/>
        <v/>
      </c>
      <c r="Y530">
        <f t="shared" si="34"/>
        <v>0.46223596300000003</v>
      </c>
    </row>
    <row r="531" spans="1:25" hidden="1" x14ac:dyDescent="0.4">
      <c r="A531" t="s">
        <v>20</v>
      </c>
      <c r="B531">
        <v>5869012</v>
      </c>
      <c r="C531" t="s">
        <v>308</v>
      </c>
      <c r="D531" t="s">
        <v>21</v>
      </c>
      <c r="E531" t="s">
        <v>140</v>
      </c>
      <c r="K531">
        <v>143.29439412599999</v>
      </c>
      <c r="M531">
        <v>143.29439412599999</v>
      </c>
      <c r="P531" s="1" t="s">
        <v>1501</v>
      </c>
      <c r="Q531" s="1" t="s">
        <v>1502</v>
      </c>
      <c r="R531">
        <v>0.25057329499999997</v>
      </c>
      <c r="S531">
        <v>5.35</v>
      </c>
      <c r="T531" s="2">
        <v>45834</v>
      </c>
      <c r="V531" t="str">
        <f t="shared" si="32"/>
        <v>S-5869012</v>
      </c>
      <c r="W531">
        <f t="shared" si="35"/>
        <v>0</v>
      </c>
      <c r="X531" t="str">
        <f t="shared" si="33"/>
        <v/>
      </c>
      <c r="Y531">
        <f t="shared" si="34"/>
        <v>0.25057329499999997</v>
      </c>
    </row>
    <row r="532" spans="1:25" hidden="1" x14ac:dyDescent="0.4">
      <c r="A532" t="s">
        <v>20</v>
      </c>
      <c r="B532">
        <v>5869012</v>
      </c>
      <c r="C532" t="s">
        <v>308</v>
      </c>
      <c r="D532" t="s">
        <v>21</v>
      </c>
      <c r="E532" t="s">
        <v>147</v>
      </c>
      <c r="K532">
        <v>77.010080290000005</v>
      </c>
      <c r="M532">
        <v>77.010080290000005</v>
      </c>
      <c r="P532" s="1" t="s">
        <v>1867</v>
      </c>
      <c r="Q532" s="1" t="s">
        <v>1868</v>
      </c>
      <c r="R532">
        <v>0.14300037500000001</v>
      </c>
      <c r="S532">
        <v>8.16</v>
      </c>
      <c r="T532" s="2">
        <v>45834</v>
      </c>
      <c r="V532" t="str">
        <f t="shared" si="32"/>
        <v>S-5869012</v>
      </c>
      <c r="W532">
        <f t="shared" si="35"/>
        <v>0</v>
      </c>
      <c r="X532" t="str">
        <f t="shared" si="33"/>
        <v/>
      </c>
      <c r="Y532">
        <f t="shared" si="34"/>
        <v>0.14300037500000001</v>
      </c>
    </row>
    <row r="533" spans="1:25" hidden="1" x14ac:dyDescent="0.4">
      <c r="A533" t="s">
        <v>20</v>
      </c>
      <c r="B533">
        <v>5869012</v>
      </c>
      <c r="C533" t="s">
        <v>308</v>
      </c>
      <c r="D533" t="s">
        <v>21</v>
      </c>
      <c r="E533" t="s">
        <v>22</v>
      </c>
      <c r="K533">
        <v>159.28097488700001</v>
      </c>
      <c r="L533">
        <v>159.28097488700001</v>
      </c>
      <c r="M533">
        <v>0</v>
      </c>
      <c r="N533">
        <v>0</v>
      </c>
      <c r="O533">
        <v>0</v>
      </c>
      <c r="P533" s="1" t="s">
        <v>309</v>
      </c>
      <c r="Q533">
        <v>1</v>
      </c>
      <c r="R533">
        <v>0</v>
      </c>
      <c r="S533">
        <v>0</v>
      </c>
      <c r="T533" s="2">
        <v>45834</v>
      </c>
      <c r="V533" t="str">
        <f t="shared" si="32"/>
        <v>S-5869012</v>
      </c>
      <c r="W533">
        <f t="shared" si="35"/>
        <v>0</v>
      </c>
      <c r="X533" t="str">
        <f t="shared" si="33"/>
        <v/>
      </c>
      <c r="Y533">
        <f t="shared" si="34"/>
        <v>0</v>
      </c>
    </row>
    <row r="534" spans="1:25" hidden="1" x14ac:dyDescent="0.4">
      <c r="A534" t="s">
        <v>20</v>
      </c>
      <c r="B534">
        <v>5876212</v>
      </c>
      <c r="C534" t="s">
        <v>310</v>
      </c>
      <c r="D534" t="s">
        <v>21</v>
      </c>
      <c r="E534" t="s">
        <v>137</v>
      </c>
      <c r="K534">
        <v>232.60896903700001</v>
      </c>
      <c r="M534">
        <v>232.60896903700001</v>
      </c>
      <c r="P534" s="1" t="s">
        <v>772</v>
      </c>
      <c r="Q534" s="1" t="s">
        <v>773</v>
      </c>
      <c r="R534">
        <v>0.41663766400000002</v>
      </c>
      <c r="S534">
        <v>8.7200000000000006</v>
      </c>
      <c r="T534" s="2">
        <v>45835</v>
      </c>
      <c r="V534" t="str">
        <f t="shared" si="32"/>
        <v>S-5876212</v>
      </c>
      <c r="W534">
        <f t="shared" si="35"/>
        <v>0</v>
      </c>
      <c r="X534" t="str">
        <f t="shared" si="33"/>
        <v/>
      </c>
      <c r="Y534">
        <f t="shared" si="34"/>
        <v>0.41663766400000002</v>
      </c>
    </row>
    <row r="535" spans="1:25" hidden="1" x14ac:dyDescent="0.4">
      <c r="A535" t="s">
        <v>20</v>
      </c>
      <c r="B535">
        <v>5876212</v>
      </c>
      <c r="C535" t="s">
        <v>310</v>
      </c>
      <c r="D535" t="s">
        <v>21</v>
      </c>
      <c r="E535" t="s">
        <v>156</v>
      </c>
      <c r="K535">
        <v>156.793537563</v>
      </c>
      <c r="M535">
        <v>156.793537563</v>
      </c>
      <c r="P535" s="1" t="s">
        <v>1136</v>
      </c>
      <c r="Q535" s="1" t="s">
        <v>1137</v>
      </c>
      <c r="R535">
        <v>0.47401547999999999</v>
      </c>
      <c r="S535">
        <v>11.05</v>
      </c>
      <c r="T535" s="2">
        <v>45835</v>
      </c>
      <c r="V535" t="str">
        <f t="shared" si="32"/>
        <v>S-5876212</v>
      </c>
      <c r="W535">
        <f t="shared" si="35"/>
        <v>0</v>
      </c>
      <c r="X535" t="str">
        <f t="shared" si="33"/>
        <v/>
      </c>
      <c r="Y535">
        <f t="shared" si="34"/>
        <v>0.47401547999999999</v>
      </c>
    </row>
    <row r="536" spans="1:25" hidden="1" x14ac:dyDescent="0.4">
      <c r="A536" t="s">
        <v>20</v>
      </c>
      <c r="B536">
        <v>5876212</v>
      </c>
      <c r="C536" t="s">
        <v>310</v>
      </c>
      <c r="D536" t="s">
        <v>21</v>
      </c>
      <c r="E536" t="s">
        <v>140</v>
      </c>
      <c r="K536">
        <v>143.55417085299999</v>
      </c>
      <c r="M536">
        <v>143.55417085299999</v>
      </c>
      <c r="P536" s="1" t="s">
        <v>1503</v>
      </c>
      <c r="Q536" s="1" t="s">
        <v>1504</v>
      </c>
      <c r="R536">
        <v>0.25977672699999999</v>
      </c>
      <c r="S536">
        <v>5.26</v>
      </c>
      <c r="T536" s="2">
        <v>45835</v>
      </c>
      <c r="V536" t="str">
        <f t="shared" si="32"/>
        <v>S-5876212</v>
      </c>
      <c r="W536">
        <f t="shared" si="35"/>
        <v>0</v>
      </c>
      <c r="X536" t="str">
        <f t="shared" si="33"/>
        <v/>
      </c>
      <c r="Y536">
        <f t="shared" si="34"/>
        <v>0.25977672699999999</v>
      </c>
    </row>
    <row r="537" spans="1:25" hidden="1" x14ac:dyDescent="0.4">
      <c r="A537" t="s">
        <v>20</v>
      </c>
      <c r="B537">
        <v>5876212</v>
      </c>
      <c r="C537" t="s">
        <v>310</v>
      </c>
      <c r="D537" t="s">
        <v>21</v>
      </c>
      <c r="E537" t="s">
        <v>147</v>
      </c>
      <c r="K537">
        <v>77.154650504000003</v>
      </c>
      <c r="M537">
        <v>77.154650504000003</v>
      </c>
      <c r="P537" s="1" t="s">
        <v>1869</v>
      </c>
      <c r="Q537" s="1" t="s">
        <v>1870</v>
      </c>
      <c r="R537">
        <v>0.144570214</v>
      </c>
      <c r="S537">
        <v>8.0299999999999994</v>
      </c>
      <c r="T537" s="2">
        <v>45835</v>
      </c>
      <c r="V537" t="str">
        <f t="shared" si="32"/>
        <v>S-5876212</v>
      </c>
      <c r="W537">
        <f t="shared" si="35"/>
        <v>0</v>
      </c>
      <c r="X537" t="str">
        <f t="shared" si="33"/>
        <v/>
      </c>
      <c r="Y537">
        <f t="shared" si="34"/>
        <v>0.144570214</v>
      </c>
    </row>
    <row r="538" spans="1:25" hidden="1" x14ac:dyDescent="0.4">
      <c r="A538" t="s">
        <v>20</v>
      </c>
      <c r="B538">
        <v>5876212</v>
      </c>
      <c r="C538" t="s">
        <v>310</v>
      </c>
      <c r="D538" t="s">
        <v>21</v>
      </c>
      <c r="E538" t="s">
        <v>22</v>
      </c>
      <c r="K538">
        <v>159.28097488700001</v>
      </c>
      <c r="L538">
        <v>159.28097488700001</v>
      </c>
      <c r="M538">
        <v>0</v>
      </c>
      <c r="N538">
        <v>0</v>
      </c>
      <c r="O538">
        <v>0</v>
      </c>
      <c r="P538" s="1" t="s">
        <v>311</v>
      </c>
      <c r="Q538">
        <v>1</v>
      </c>
      <c r="R538">
        <v>0</v>
      </c>
      <c r="S538">
        <v>0</v>
      </c>
      <c r="T538" s="2">
        <v>45835</v>
      </c>
      <c r="V538" t="str">
        <f t="shared" si="32"/>
        <v>S-5876212</v>
      </c>
      <c r="W538">
        <f t="shared" si="35"/>
        <v>0</v>
      </c>
      <c r="X538" t="str">
        <f t="shared" si="33"/>
        <v/>
      </c>
      <c r="Y538">
        <f t="shared" si="34"/>
        <v>0</v>
      </c>
    </row>
    <row r="539" spans="1:25" hidden="1" x14ac:dyDescent="0.4">
      <c r="A539" t="s">
        <v>20</v>
      </c>
      <c r="B539">
        <v>5883412</v>
      </c>
      <c r="C539" t="s">
        <v>312</v>
      </c>
      <c r="D539" t="s">
        <v>21</v>
      </c>
      <c r="E539" t="s">
        <v>137</v>
      </c>
      <c r="K539">
        <v>233.03900435200001</v>
      </c>
      <c r="M539">
        <v>233.03900435200001</v>
      </c>
      <c r="P539" s="1" t="s">
        <v>774</v>
      </c>
      <c r="Q539" s="1" t="s">
        <v>775</v>
      </c>
      <c r="R539">
        <v>0.43003531499999997</v>
      </c>
      <c r="S539">
        <v>9.41</v>
      </c>
      <c r="T539" s="2">
        <v>45836</v>
      </c>
      <c r="V539" t="str">
        <f t="shared" si="32"/>
        <v>S-5883412</v>
      </c>
      <c r="W539">
        <f t="shared" si="35"/>
        <v>0</v>
      </c>
      <c r="X539" t="str">
        <f t="shared" si="33"/>
        <v/>
      </c>
      <c r="Y539">
        <f t="shared" si="34"/>
        <v>0.43003531499999997</v>
      </c>
    </row>
    <row r="540" spans="1:25" hidden="1" x14ac:dyDescent="0.4">
      <c r="A540" t="s">
        <v>20</v>
      </c>
      <c r="B540">
        <v>5883412</v>
      </c>
      <c r="C540" t="s">
        <v>312</v>
      </c>
      <c r="D540" t="s">
        <v>21</v>
      </c>
      <c r="E540" t="s">
        <v>156</v>
      </c>
      <c r="K540">
        <v>157.28570892499999</v>
      </c>
      <c r="M540">
        <v>157.28570892499999</v>
      </c>
      <c r="P540" s="1" t="s">
        <v>1138</v>
      </c>
      <c r="Q540" s="1" t="s">
        <v>1139</v>
      </c>
      <c r="R540">
        <v>0.492171362</v>
      </c>
      <c r="S540">
        <v>11.46</v>
      </c>
      <c r="T540" s="2">
        <v>45836</v>
      </c>
      <c r="V540" t="str">
        <f t="shared" si="32"/>
        <v>S-5883412</v>
      </c>
      <c r="W540">
        <f t="shared" si="35"/>
        <v>0</v>
      </c>
      <c r="X540" t="str">
        <f t="shared" si="33"/>
        <v/>
      </c>
      <c r="Y540">
        <f t="shared" si="34"/>
        <v>0.492171362</v>
      </c>
    </row>
    <row r="541" spans="1:25" hidden="1" x14ac:dyDescent="0.4">
      <c r="A541" t="s">
        <v>20</v>
      </c>
      <c r="B541">
        <v>5883412</v>
      </c>
      <c r="C541" t="s">
        <v>312</v>
      </c>
      <c r="D541" t="s">
        <v>21</v>
      </c>
      <c r="E541" t="s">
        <v>140</v>
      </c>
      <c r="K541">
        <v>143.81796503000001</v>
      </c>
      <c r="M541">
        <v>143.81796503000001</v>
      </c>
      <c r="P541" s="1" t="s">
        <v>1505</v>
      </c>
      <c r="Q541" s="1" t="s">
        <v>1506</v>
      </c>
      <c r="R541">
        <v>0.26379417700000002</v>
      </c>
      <c r="S541">
        <v>5.22</v>
      </c>
      <c r="T541" s="2">
        <v>45836</v>
      </c>
      <c r="V541" t="str">
        <f t="shared" si="32"/>
        <v>S-5883412</v>
      </c>
      <c r="W541">
        <f t="shared" si="35"/>
        <v>0</v>
      </c>
      <c r="X541" t="str">
        <f t="shared" si="33"/>
        <v/>
      </c>
      <c r="Y541">
        <f t="shared" si="34"/>
        <v>0.26379417700000002</v>
      </c>
    </row>
    <row r="542" spans="1:25" hidden="1" x14ac:dyDescent="0.4">
      <c r="A542" t="s">
        <v>20</v>
      </c>
      <c r="B542">
        <v>5883412</v>
      </c>
      <c r="C542" t="s">
        <v>312</v>
      </c>
      <c r="D542" t="s">
        <v>21</v>
      </c>
      <c r="E542" t="s">
        <v>147</v>
      </c>
      <c r="K542">
        <v>77.306114989999998</v>
      </c>
      <c r="M542">
        <v>77.306114989999998</v>
      </c>
      <c r="P542" s="1" t="s">
        <v>1871</v>
      </c>
      <c r="Q542" s="1" t="s">
        <v>1872</v>
      </c>
      <c r="R542">
        <v>0.15146448600000001</v>
      </c>
      <c r="S542">
        <v>8.48</v>
      </c>
      <c r="T542" s="2">
        <v>45836</v>
      </c>
      <c r="V542" t="str">
        <f t="shared" si="32"/>
        <v>S-5883412</v>
      </c>
      <c r="W542">
        <f t="shared" si="35"/>
        <v>0</v>
      </c>
      <c r="X542" t="str">
        <f t="shared" si="33"/>
        <v/>
      </c>
      <c r="Y542">
        <f t="shared" si="34"/>
        <v>0.15146448600000001</v>
      </c>
    </row>
    <row r="543" spans="1:25" hidden="1" x14ac:dyDescent="0.4">
      <c r="A543" t="s">
        <v>20</v>
      </c>
      <c r="B543">
        <v>5883412</v>
      </c>
      <c r="C543" t="s">
        <v>312</v>
      </c>
      <c r="D543" t="s">
        <v>21</v>
      </c>
      <c r="E543" t="s">
        <v>22</v>
      </c>
      <c r="K543">
        <v>159.28097488700001</v>
      </c>
      <c r="L543">
        <v>159.28097488700001</v>
      </c>
      <c r="M543">
        <v>0</v>
      </c>
      <c r="N543">
        <v>0</v>
      </c>
      <c r="O543">
        <v>0</v>
      </c>
      <c r="P543" s="1" t="s">
        <v>313</v>
      </c>
      <c r="Q543">
        <v>1</v>
      </c>
      <c r="R543">
        <v>0</v>
      </c>
      <c r="S543">
        <v>0</v>
      </c>
      <c r="T543" s="2">
        <v>45836</v>
      </c>
      <c r="V543" t="str">
        <f t="shared" si="32"/>
        <v>S-5883412</v>
      </c>
      <c r="W543">
        <f t="shared" si="35"/>
        <v>0</v>
      </c>
      <c r="X543" t="str">
        <f t="shared" si="33"/>
        <v/>
      </c>
      <c r="Y543">
        <f t="shared" si="34"/>
        <v>0</v>
      </c>
    </row>
    <row r="544" spans="1:25" hidden="1" x14ac:dyDescent="0.4">
      <c r="A544" t="s">
        <v>20</v>
      </c>
      <c r="B544">
        <v>5890612</v>
      </c>
      <c r="C544" t="s">
        <v>314</v>
      </c>
      <c r="D544" t="s">
        <v>21</v>
      </c>
      <c r="E544" t="s">
        <v>137</v>
      </c>
      <c r="K544">
        <v>233.46818101599999</v>
      </c>
      <c r="M544">
        <v>233.46818101599999</v>
      </c>
      <c r="P544" s="1" t="s">
        <v>776</v>
      </c>
      <c r="Q544" s="1" t="s">
        <v>777</v>
      </c>
      <c r="R544">
        <v>0.42917666399999999</v>
      </c>
      <c r="S544">
        <v>9.8000000000000007</v>
      </c>
      <c r="T544" s="2">
        <v>45837</v>
      </c>
      <c r="V544" t="str">
        <f t="shared" si="32"/>
        <v>S-5890612</v>
      </c>
      <c r="W544">
        <f t="shared" si="35"/>
        <v>0</v>
      </c>
      <c r="X544" t="str">
        <f t="shared" si="33"/>
        <v/>
      </c>
      <c r="Y544">
        <f t="shared" si="34"/>
        <v>0.42917666399999999</v>
      </c>
    </row>
    <row r="545" spans="1:25" hidden="1" x14ac:dyDescent="0.4">
      <c r="A545" t="s">
        <v>20</v>
      </c>
      <c r="B545">
        <v>5890612</v>
      </c>
      <c r="C545" t="s">
        <v>314</v>
      </c>
      <c r="D545" t="s">
        <v>21</v>
      </c>
      <c r="E545" t="s">
        <v>156</v>
      </c>
      <c r="K545">
        <v>157.78029074</v>
      </c>
      <c r="M545">
        <v>157.78029074</v>
      </c>
      <c r="P545" s="1" t="s">
        <v>1140</v>
      </c>
      <c r="Q545" s="1" t="s">
        <v>1141</v>
      </c>
      <c r="R545">
        <v>0.49458181499999998</v>
      </c>
      <c r="S545">
        <v>11.87</v>
      </c>
      <c r="T545" s="2">
        <v>45837</v>
      </c>
      <c r="V545" t="str">
        <f t="shared" si="32"/>
        <v>S-5890612</v>
      </c>
      <c r="W545">
        <f t="shared" si="35"/>
        <v>0</v>
      </c>
      <c r="X545" t="str">
        <f t="shared" si="33"/>
        <v/>
      </c>
      <c r="Y545">
        <f t="shared" si="34"/>
        <v>0.49458181499999998</v>
      </c>
    </row>
    <row r="546" spans="1:25" hidden="1" x14ac:dyDescent="0.4">
      <c r="A546" t="s">
        <v>20</v>
      </c>
      <c r="B546">
        <v>5890612</v>
      </c>
      <c r="C546" t="s">
        <v>314</v>
      </c>
      <c r="D546" t="s">
        <v>21</v>
      </c>
      <c r="E546" t="s">
        <v>140</v>
      </c>
      <c r="K546">
        <v>144.08109003300001</v>
      </c>
      <c r="M546">
        <v>144.08109003300001</v>
      </c>
      <c r="P546" s="1" t="s">
        <v>1507</v>
      </c>
      <c r="Q546" s="1" t="s">
        <v>1508</v>
      </c>
      <c r="R546">
        <v>0.26312500300000002</v>
      </c>
      <c r="S546">
        <v>5.38</v>
      </c>
      <c r="T546" s="2">
        <v>45837</v>
      </c>
      <c r="V546" t="str">
        <f t="shared" si="32"/>
        <v>S-5890612</v>
      </c>
      <c r="W546">
        <f t="shared" si="35"/>
        <v>0</v>
      </c>
      <c r="X546" t="str">
        <f t="shared" si="33"/>
        <v/>
      </c>
      <c r="Y546">
        <f t="shared" si="34"/>
        <v>0.26312500300000002</v>
      </c>
    </row>
    <row r="547" spans="1:25" hidden="1" x14ac:dyDescent="0.4">
      <c r="A547" t="s">
        <v>20</v>
      </c>
      <c r="B547">
        <v>5890612</v>
      </c>
      <c r="C547" t="s">
        <v>314</v>
      </c>
      <c r="D547" t="s">
        <v>21</v>
      </c>
      <c r="E547" t="s">
        <v>147</v>
      </c>
      <c r="K547">
        <v>77.462506212999998</v>
      </c>
      <c r="M547">
        <v>77.462506212999998</v>
      </c>
      <c r="P547" s="1" t="s">
        <v>1873</v>
      </c>
      <c r="Q547" s="1" t="s">
        <v>1874</v>
      </c>
      <c r="R547">
        <v>0.156391223</v>
      </c>
      <c r="S547">
        <v>9.26</v>
      </c>
      <c r="T547" s="2">
        <v>45837</v>
      </c>
      <c r="V547" t="str">
        <f t="shared" si="32"/>
        <v>S-5890612</v>
      </c>
      <c r="W547">
        <f t="shared" si="35"/>
        <v>0</v>
      </c>
      <c r="X547" t="str">
        <f t="shared" si="33"/>
        <v/>
      </c>
      <c r="Y547">
        <f t="shared" si="34"/>
        <v>0.156391223</v>
      </c>
    </row>
    <row r="548" spans="1:25" hidden="1" x14ac:dyDescent="0.4">
      <c r="A548" t="s">
        <v>20</v>
      </c>
      <c r="B548">
        <v>5890612</v>
      </c>
      <c r="C548" t="s">
        <v>314</v>
      </c>
      <c r="D548" t="s">
        <v>21</v>
      </c>
      <c r="E548" t="s">
        <v>22</v>
      </c>
      <c r="K548">
        <v>159.28097488700001</v>
      </c>
      <c r="L548">
        <v>159.28097488700001</v>
      </c>
      <c r="M548">
        <v>0</v>
      </c>
      <c r="N548">
        <v>0</v>
      </c>
      <c r="O548">
        <v>0</v>
      </c>
      <c r="P548">
        <v>346.14872732221801</v>
      </c>
      <c r="Q548">
        <v>1</v>
      </c>
      <c r="R548">
        <v>0</v>
      </c>
      <c r="S548">
        <v>0</v>
      </c>
      <c r="T548" s="2">
        <v>45837</v>
      </c>
      <c r="V548" t="str">
        <f t="shared" si="32"/>
        <v>S-5890612</v>
      </c>
      <c r="W548">
        <f t="shared" si="35"/>
        <v>0</v>
      </c>
      <c r="X548" t="str">
        <f t="shared" si="33"/>
        <v/>
      </c>
      <c r="Y548">
        <f t="shared" si="34"/>
        <v>0</v>
      </c>
    </row>
    <row r="549" spans="1:25" hidden="1" x14ac:dyDescent="0.4">
      <c r="A549" t="s">
        <v>20</v>
      </c>
      <c r="B549">
        <v>5897812</v>
      </c>
      <c r="C549" t="s">
        <v>315</v>
      </c>
      <c r="D549" t="s">
        <v>21</v>
      </c>
      <c r="E549" t="s">
        <v>137</v>
      </c>
      <c r="K549">
        <v>233.896540808</v>
      </c>
      <c r="M549">
        <v>233.896540808</v>
      </c>
      <c r="P549" s="1" t="s">
        <v>778</v>
      </c>
      <c r="Q549" s="1" t="s">
        <v>779</v>
      </c>
      <c r="R549">
        <v>0.42835979200000002</v>
      </c>
      <c r="S549">
        <v>9.3699999999999992</v>
      </c>
      <c r="T549" s="2">
        <v>45838</v>
      </c>
      <c r="V549" t="str">
        <f t="shared" si="32"/>
        <v>S-5897812</v>
      </c>
      <c r="W549">
        <f t="shared" si="35"/>
        <v>0</v>
      </c>
      <c r="X549" t="str">
        <f t="shared" si="33"/>
        <v/>
      </c>
      <c r="Y549">
        <f t="shared" si="34"/>
        <v>0.42835979200000002</v>
      </c>
    </row>
    <row r="550" spans="1:25" hidden="1" x14ac:dyDescent="0.4">
      <c r="A550" t="s">
        <v>20</v>
      </c>
      <c r="B550">
        <v>5897812</v>
      </c>
      <c r="C550" t="s">
        <v>315</v>
      </c>
      <c r="D550" t="s">
        <v>21</v>
      </c>
      <c r="E550" t="s">
        <v>156</v>
      </c>
      <c r="K550">
        <v>158.27670750799999</v>
      </c>
      <c r="M550">
        <v>158.27670750799999</v>
      </c>
      <c r="P550" s="1" t="s">
        <v>1142</v>
      </c>
      <c r="Q550" s="1" t="s">
        <v>1143</v>
      </c>
      <c r="R550">
        <v>0.49641676800000001</v>
      </c>
      <c r="S550">
        <v>11.35</v>
      </c>
      <c r="T550" s="2">
        <v>45838</v>
      </c>
      <c r="V550" t="str">
        <f t="shared" si="32"/>
        <v>S-5897812</v>
      </c>
      <c r="W550">
        <f t="shared" si="35"/>
        <v>0</v>
      </c>
      <c r="X550" t="str">
        <f t="shared" si="33"/>
        <v/>
      </c>
      <c r="Y550">
        <f t="shared" si="34"/>
        <v>0.49641676800000001</v>
      </c>
    </row>
    <row r="551" spans="1:25" hidden="1" x14ac:dyDescent="0.4">
      <c r="A551" t="s">
        <v>20</v>
      </c>
      <c r="B551">
        <v>5897812</v>
      </c>
      <c r="C551" t="s">
        <v>315</v>
      </c>
      <c r="D551" t="s">
        <v>21</v>
      </c>
      <c r="E551" t="s">
        <v>140</v>
      </c>
      <c r="K551">
        <v>144.34157627499999</v>
      </c>
      <c r="M551">
        <v>144.34157627499999</v>
      </c>
      <c r="P551" s="1" t="s">
        <v>1509</v>
      </c>
      <c r="Q551" s="1" t="s">
        <v>1510</v>
      </c>
      <c r="R551">
        <v>0.26048624199999998</v>
      </c>
      <c r="S551">
        <v>5.0599999999999996</v>
      </c>
      <c r="T551" s="2">
        <v>45838</v>
      </c>
      <c r="V551" t="str">
        <f t="shared" si="32"/>
        <v>S-5897812</v>
      </c>
      <c r="W551">
        <f t="shared" si="35"/>
        <v>0</v>
      </c>
      <c r="X551" t="str">
        <f t="shared" si="33"/>
        <v/>
      </c>
      <c r="Y551">
        <f t="shared" si="34"/>
        <v>0.26048624199999998</v>
      </c>
    </row>
    <row r="552" spans="1:25" hidden="1" x14ac:dyDescent="0.4">
      <c r="A552" t="s">
        <v>20</v>
      </c>
      <c r="B552">
        <v>5897812</v>
      </c>
      <c r="C552" t="s">
        <v>315</v>
      </c>
      <c r="D552" t="s">
        <v>21</v>
      </c>
      <c r="E552" t="s">
        <v>147</v>
      </c>
      <c r="K552">
        <v>77.618169410999997</v>
      </c>
      <c r="M552">
        <v>77.618169410999997</v>
      </c>
      <c r="P552" s="1" t="s">
        <v>1875</v>
      </c>
      <c r="Q552" s="1" t="s">
        <v>1876</v>
      </c>
      <c r="R552">
        <v>0.155663198</v>
      </c>
      <c r="S552">
        <v>8.74</v>
      </c>
      <c r="T552" s="2">
        <v>45838</v>
      </c>
      <c r="V552" t="str">
        <f t="shared" si="32"/>
        <v>S-5897812</v>
      </c>
      <c r="W552">
        <f t="shared" si="35"/>
        <v>0</v>
      </c>
      <c r="X552" t="str">
        <f t="shared" si="33"/>
        <v/>
      </c>
      <c r="Y552">
        <f t="shared" si="34"/>
        <v>0.155663198</v>
      </c>
    </row>
    <row r="553" spans="1:25" hidden="1" x14ac:dyDescent="0.4">
      <c r="A553" t="s">
        <v>20</v>
      </c>
      <c r="B553">
        <v>5897812</v>
      </c>
      <c r="C553" t="s">
        <v>315</v>
      </c>
      <c r="D553" t="s">
        <v>21</v>
      </c>
      <c r="E553" t="s">
        <v>22</v>
      </c>
      <c r="K553">
        <v>159.28097488700001</v>
      </c>
      <c r="L553">
        <v>159.28097488700001</v>
      </c>
      <c r="M553">
        <v>0</v>
      </c>
      <c r="N553">
        <v>0</v>
      </c>
      <c r="O553">
        <v>0</v>
      </c>
      <c r="P553" s="1" t="s">
        <v>316</v>
      </c>
      <c r="Q553">
        <v>1</v>
      </c>
      <c r="R553">
        <v>0</v>
      </c>
      <c r="S553">
        <v>0</v>
      </c>
      <c r="T553" s="2">
        <v>45838</v>
      </c>
      <c r="V553" t="str">
        <f t="shared" si="32"/>
        <v>S-5897812</v>
      </c>
      <c r="W553">
        <f t="shared" si="35"/>
        <v>0</v>
      </c>
      <c r="X553" t="str">
        <f t="shared" si="33"/>
        <v/>
      </c>
      <c r="Y553">
        <f t="shared" si="34"/>
        <v>0</v>
      </c>
    </row>
    <row r="554" spans="1:25" hidden="1" x14ac:dyDescent="0.4">
      <c r="A554" t="s">
        <v>20</v>
      </c>
      <c r="B554">
        <v>5905012</v>
      </c>
      <c r="C554" t="s">
        <v>317</v>
      </c>
      <c r="D554" t="s">
        <v>21</v>
      </c>
      <c r="E554" t="s">
        <v>137</v>
      </c>
      <c r="K554">
        <v>234.32297775399999</v>
      </c>
      <c r="M554">
        <v>234.32297775399999</v>
      </c>
      <c r="P554" s="1" t="s">
        <v>780</v>
      </c>
      <c r="Q554" s="1" t="s">
        <v>781</v>
      </c>
      <c r="R554">
        <v>0.42643694599999998</v>
      </c>
      <c r="S554">
        <v>8.61</v>
      </c>
      <c r="T554" s="2">
        <v>45839</v>
      </c>
      <c r="V554" t="str">
        <f t="shared" si="32"/>
        <v>S-5905012</v>
      </c>
      <c r="W554">
        <f t="shared" si="35"/>
        <v>0</v>
      </c>
      <c r="X554" t="str">
        <f t="shared" si="33"/>
        <v/>
      </c>
      <c r="Y554">
        <f t="shared" si="34"/>
        <v>0.42643694599999998</v>
      </c>
    </row>
    <row r="555" spans="1:25" hidden="1" x14ac:dyDescent="0.4">
      <c r="A555" t="s">
        <v>20</v>
      </c>
      <c r="B555">
        <v>5905012</v>
      </c>
      <c r="C555" t="s">
        <v>317</v>
      </c>
      <c r="D555" t="s">
        <v>21</v>
      </c>
      <c r="E555" t="s">
        <v>156</v>
      </c>
      <c r="K555">
        <v>158.77405402799999</v>
      </c>
      <c r="M555">
        <v>158.77405402799999</v>
      </c>
      <c r="P555" s="1" t="s">
        <v>1144</v>
      </c>
      <c r="Q555" s="1" t="s">
        <v>1145</v>
      </c>
      <c r="R555">
        <v>0.49734652000000001</v>
      </c>
      <c r="S555">
        <v>10.63</v>
      </c>
      <c r="T555" s="2">
        <v>45839</v>
      </c>
      <c r="V555" t="str">
        <f t="shared" si="32"/>
        <v>S-5905012</v>
      </c>
      <c r="W555">
        <f t="shared" si="35"/>
        <v>0</v>
      </c>
      <c r="X555" t="str">
        <f t="shared" si="33"/>
        <v/>
      </c>
      <c r="Y555">
        <f t="shared" si="34"/>
        <v>0.49734652000000001</v>
      </c>
    </row>
    <row r="556" spans="1:25" hidden="1" x14ac:dyDescent="0.4">
      <c r="A556" t="s">
        <v>20</v>
      </c>
      <c r="B556">
        <v>5905012</v>
      </c>
      <c r="C556" t="s">
        <v>317</v>
      </c>
      <c r="D556" t="s">
        <v>21</v>
      </c>
      <c r="E556" t="s">
        <v>140</v>
      </c>
      <c r="K556">
        <v>144.60398592799999</v>
      </c>
      <c r="M556">
        <v>144.60398592799999</v>
      </c>
      <c r="P556" s="1" t="s">
        <v>1511</v>
      </c>
      <c r="Q556" s="1" t="s">
        <v>1512</v>
      </c>
      <c r="R556">
        <v>0.26240965300000002</v>
      </c>
      <c r="S556">
        <v>4.7</v>
      </c>
      <c r="T556" s="2">
        <v>45839</v>
      </c>
      <c r="V556" t="str">
        <f t="shared" si="32"/>
        <v>S-5905012</v>
      </c>
      <c r="W556">
        <f t="shared" si="35"/>
        <v>0</v>
      </c>
      <c r="X556" t="str">
        <f t="shared" si="33"/>
        <v/>
      </c>
      <c r="Y556">
        <f t="shared" si="34"/>
        <v>0.26240965300000002</v>
      </c>
    </row>
    <row r="557" spans="1:25" hidden="1" x14ac:dyDescent="0.4">
      <c r="A557" t="s">
        <v>20</v>
      </c>
      <c r="B557">
        <v>5905012</v>
      </c>
      <c r="C557" t="s">
        <v>317</v>
      </c>
      <c r="D557" t="s">
        <v>21</v>
      </c>
      <c r="E557" t="s">
        <v>147</v>
      </c>
      <c r="K557">
        <v>77.764504423999995</v>
      </c>
      <c r="M557">
        <v>77.764504423999995</v>
      </c>
      <c r="P557" s="1" t="s">
        <v>1877</v>
      </c>
      <c r="Q557" s="1" t="s">
        <v>1878</v>
      </c>
      <c r="R557">
        <v>0.14633501300000001</v>
      </c>
      <c r="S557">
        <v>7.44</v>
      </c>
      <c r="T557" s="2">
        <v>45839</v>
      </c>
      <c r="V557" t="str">
        <f t="shared" si="32"/>
        <v>S-5905012</v>
      </c>
      <c r="W557">
        <f t="shared" si="35"/>
        <v>0</v>
      </c>
      <c r="X557" t="str">
        <f t="shared" si="33"/>
        <v/>
      </c>
      <c r="Y557">
        <f t="shared" si="34"/>
        <v>0.14633501300000001</v>
      </c>
    </row>
    <row r="558" spans="1:25" hidden="1" x14ac:dyDescent="0.4">
      <c r="A558" t="s">
        <v>20</v>
      </c>
      <c r="B558">
        <v>5905012</v>
      </c>
      <c r="C558" t="s">
        <v>317</v>
      </c>
      <c r="D558" t="s">
        <v>21</v>
      </c>
      <c r="E558" t="s">
        <v>22</v>
      </c>
      <c r="K558">
        <v>159.28097488700001</v>
      </c>
      <c r="L558">
        <v>159.28097488700001</v>
      </c>
      <c r="M558">
        <v>0</v>
      </c>
      <c r="N558">
        <v>0</v>
      </c>
      <c r="O558">
        <v>0</v>
      </c>
      <c r="P558" s="1" t="s">
        <v>318</v>
      </c>
      <c r="Q558">
        <v>1</v>
      </c>
      <c r="R558">
        <v>0</v>
      </c>
      <c r="S558">
        <v>0</v>
      </c>
      <c r="T558" s="2">
        <v>45839</v>
      </c>
      <c r="V558" t="str">
        <f t="shared" si="32"/>
        <v>S-5905012</v>
      </c>
      <c r="W558">
        <f t="shared" si="35"/>
        <v>0</v>
      </c>
      <c r="X558" t="str">
        <f t="shared" si="33"/>
        <v/>
      </c>
      <c r="Y558">
        <f t="shared" si="34"/>
        <v>0</v>
      </c>
    </row>
    <row r="559" spans="1:25" hidden="1" x14ac:dyDescent="0.4">
      <c r="A559" t="s">
        <v>20</v>
      </c>
      <c r="B559">
        <v>5912212</v>
      </c>
      <c r="C559" t="s">
        <v>319</v>
      </c>
      <c r="D559" t="s">
        <v>21</v>
      </c>
      <c r="E559" t="s">
        <v>137</v>
      </c>
      <c r="K559">
        <v>234.75509331699999</v>
      </c>
      <c r="M559">
        <v>234.75509331699999</v>
      </c>
      <c r="P559" s="1" t="s">
        <v>782</v>
      </c>
      <c r="Q559" s="1" t="s">
        <v>783</v>
      </c>
      <c r="R559">
        <v>0.43211556299999998</v>
      </c>
      <c r="S559">
        <v>9.06</v>
      </c>
      <c r="T559" s="2">
        <v>45840</v>
      </c>
      <c r="V559" t="str">
        <f t="shared" si="32"/>
        <v>S-5912212</v>
      </c>
      <c r="W559">
        <f t="shared" si="35"/>
        <v>0</v>
      </c>
      <c r="X559" t="str">
        <f t="shared" si="33"/>
        <v/>
      </c>
      <c r="Y559">
        <f t="shared" si="34"/>
        <v>0.43211556299999998</v>
      </c>
    </row>
    <row r="560" spans="1:25" hidden="1" x14ac:dyDescent="0.4">
      <c r="A560" t="s">
        <v>20</v>
      </c>
      <c r="B560">
        <v>5912212</v>
      </c>
      <c r="C560" t="s">
        <v>319</v>
      </c>
      <c r="D560" t="s">
        <v>21</v>
      </c>
      <c r="E560" t="s">
        <v>156</v>
      </c>
      <c r="K560">
        <v>159.26553207699999</v>
      </c>
      <c r="M560">
        <v>159.26553207699999</v>
      </c>
      <c r="P560" s="1" t="s">
        <v>1146</v>
      </c>
      <c r="Q560" s="1" t="s">
        <v>1147</v>
      </c>
      <c r="R560">
        <v>0.49147804899999997</v>
      </c>
      <c r="S560">
        <v>10.97</v>
      </c>
      <c r="T560" s="2">
        <v>45840</v>
      </c>
      <c r="V560" t="str">
        <f t="shared" si="32"/>
        <v>S-5912212</v>
      </c>
      <c r="W560">
        <f t="shared" si="35"/>
        <v>0</v>
      </c>
      <c r="X560" t="str">
        <f t="shared" si="33"/>
        <v/>
      </c>
      <c r="Y560">
        <f t="shared" si="34"/>
        <v>0.49147804899999997</v>
      </c>
    </row>
    <row r="561" spans="1:25" hidden="1" x14ac:dyDescent="0.4">
      <c r="A561" t="s">
        <v>20</v>
      </c>
      <c r="B561">
        <v>5912212</v>
      </c>
      <c r="C561" t="s">
        <v>319</v>
      </c>
      <c r="D561" t="s">
        <v>21</v>
      </c>
      <c r="E561" t="s">
        <v>140</v>
      </c>
      <c r="K561">
        <v>144.866691871</v>
      </c>
      <c r="M561">
        <v>144.866691871</v>
      </c>
      <c r="P561" s="1" t="s">
        <v>1513</v>
      </c>
      <c r="Q561" s="1" t="s">
        <v>1514</v>
      </c>
      <c r="R561">
        <v>0.262705943</v>
      </c>
      <c r="S561">
        <v>4.88</v>
      </c>
      <c r="T561" s="2">
        <v>45840</v>
      </c>
      <c r="V561" t="str">
        <f t="shared" si="32"/>
        <v>S-5912212</v>
      </c>
      <c r="W561">
        <f t="shared" si="35"/>
        <v>0</v>
      </c>
      <c r="X561" t="str">
        <f t="shared" si="33"/>
        <v/>
      </c>
      <c r="Y561">
        <f t="shared" si="34"/>
        <v>0.262705943</v>
      </c>
    </row>
    <row r="562" spans="1:25" hidden="1" x14ac:dyDescent="0.4">
      <c r="A562" t="s">
        <v>20</v>
      </c>
      <c r="B562">
        <v>5912212</v>
      </c>
      <c r="C562" t="s">
        <v>319</v>
      </c>
      <c r="D562" t="s">
        <v>21</v>
      </c>
      <c r="E562" t="s">
        <v>147</v>
      </c>
      <c r="K562">
        <v>77.911017865000005</v>
      </c>
      <c r="M562">
        <v>77.911017865000005</v>
      </c>
      <c r="P562" s="1" t="s">
        <v>1879</v>
      </c>
      <c r="Q562" s="1" t="s">
        <v>1880</v>
      </c>
      <c r="R562">
        <v>0.14651344099999999</v>
      </c>
      <c r="S562">
        <v>7.78</v>
      </c>
      <c r="T562" s="2">
        <v>45840</v>
      </c>
      <c r="V562" t="str">
        <f t="shared" si="32"/>
        <v>S-5912212</v>
      </c>
      <c r="W562">
        <f t="shared" si="35"/>
        <v>0</v>
      </c>
      <c r="X562" t="str">
        <f t="shared" si="33"/>
        <v/>
      </c>
      <c r="Y562">
        <f t="shared" si="34"/>
        <v>0.14651344099999999</v>
      </c>
    </row>
    <row r="563" spans="1:25" hidden="1" x14ac:dyDescent="0.4">
      <c r="A563" t="s">
        <v>20</v>
      </c>
      <c r="B563">
        <v>5912212</v>
      </c>
      <c r="C563" t="s">
        <v>319</v>
      </c>
      <c r="D563" t="s">
        <v>21</v>
      </c>
      <c r="E563" t="s">
        <v>22</v>
      </c>
      <c r="K563">
        <v>159.28097488700001</v>
      </c>
      <c r="L563">
        <v>159.28097488700001</v>
      </c>
      <c r="M563">
        <v>0</v>
      </c>
      <c r="N563">
        <v>0</v>
      </c>
      <c r="O563">
        <v>0</v>
      </c>
      <c r="P563" s="1" t="s">
        <v>320</v>
      </c>
      <c r="Q563">
        <v>1</v>
      </c>
      <c r="R563">
        <v>0</v>
      </c>
      <c r="S563">
        <v>0</v>
      </c>
      <c r="T563" s="2">
        <v>45840</v>
      </c>
      <c r="V563" t="str">
        <f t="shared" si="32"/>
        <v>S-5912212</v>
      </c>
      <c r="W563">
        <f t="shared" si="35"/>
        <v>0</v>
      </c>
      <c r="X563" t="str">
        <f t="shared" si="33"/>
        <v/>
      </c>
      <c r="Y563">
        <f t="shared" si="34"/>
        <v>0</v>
      </c>
    </row>
    <row r="564" spans="1:25" hidden="1" x14ac:dyDescent="0.4">
      <c r="A564" t="s">
        <v>20</v>
      </c>
      <c r="B564">
        <v>5919406</v>
      </c>
      <c r="C564" t="s">
        <v>321</v>
      </c>
      <c r="D564" t="s">
        <v>21</v>
      </c>
      <c r="E564" t="s">
        <v>137</v>
      </c>
      <c r="K564">
        <v>235.186437566</v>
      </c>
      <c r="M564">
        <v>235.186437566</v>
      </c>
      <c r="P564" s="1" t="s">
        <v>784</v>
      </c>
      <c r="Q564" s="1" t="s">
        <v>785</v>
      </c>
      <c r="R564">
        <v>0.43134424900000001</v>
      </c>
      <c r="S564">
        <v>9.07</v>
      </c>
      <c r="T564" s="2">
        <v>45841</v>
      </c>
      <c r="V564" t="str">
        <f t="shared" si="32"/>
        <v>S-5919406</v>
      </c>
      <c r="W564">
        <f t="shared" si="35"/>
        <v>0</v>
      </c>
      <c r="X564" t="str">
        <f t="shared" si="33"/>
        <v/>
      </c>
      <c r="Y564">
        <f t="shared" si="34"/>
        <v>0.43134424900000001</v>
      </c>
    </row>
    <row r="565" spans="1:25" hidden="1" x14ac:dyDescent="0.4">
      <c r="A565" t="s">
        <v>20</v>
      </c>
      <c r="B565">
        <v>5919406</v>
      </c>
      <c r="C565" t="s">
        <v>321</v>
      </c>
      <c r="D565" t="s">
        <v>21</v>
      </c>
      <c r="E565" t="s">
        <v>156</v>
      </c>
      <c r="K565">
        <v>159.74254394299999</v>
      </c>
      <c r="M565">
        <v>159.74254394299999</v>
      </c>
      <c r="P565" s="1" t="s">
        <v>1148</v>
      </c>
      <c r="Q565" s="1" t="s">
        <v>1149</v>
      </c>
      <c r="R565">
        <v>0.47701186600000001</v>
      </c>
      <c r="S565">
        <v>10.64</v>
      </c>
      <c r="T565" s="2">
        <v>45841</v>
      </c>
      <c r="V565" t="str">
        <f t="shared" si="32"/>
        <v>S-5919406</v>
      </c>
      <c r="W565">
        <f t="shared" si="35"/>
        <v>0</v>
      </c>
      <c r="X565" t="str">
        <f t="shared" si="33"/>
        <v/>
      </c>
      <c r="Y565">
        <f t="shared" si="34"/>
        <v>0.47701186600000001</v>
      </c>
    </row>
    <row r="566" spans="1:25" hidden="1" x14ac:dyDescent="0.4">
      <c r="A566" t="s">
        <v>20</v>
      </c>
      <c r="B566">
        <v>5919406</v>
      </c>
      <c r="C566" t="s">
        <v>321</v>
      </c>
      <c r="D566" t="s">
        <v>21</v>
      </c>
      <c r="E566" t="s">
        <v>140</v>
      </c>
      <c r="K566">
        <v>145.13143723600001</v>
      </c>
      <c r="M566">
        <v>145.13143723600001</v>
      </c>
      <c r="P566" s="1" t="s">
        <v>1515</v>
      </c>
      <c r="Q566" s="1" t="s">
        <v>1516</v>
      </c>
      <c r="R566">
        <v>0.26474536500000001</v>
      </c>
      <c r="S566">
        <v>4.9000000000000004</v>
      </c>
      <c r="T566" s="2">
        <v>45841</v>
      </c>
      <c r="V566" t="str">
        <f t="shared" si="32"/>
        <v>S-5919406</v>
      </c>
      <c r="W566">
        <f t="shared" si="35"/>
        <v>0</v>
      </c>
      <c r="X566" t="str">
        <f t="shared" si="33"/>
        <v/>
      </c>
      <c r="Y566">
        <f t="shared" si="34"/>
        <v>0.26474536500000001</v>
      </c>
    </row>
    <row r="567" spans="1:25" hidden="1" x14ac:dyDescent="0.4">
      <c r="A567" t="s">
        <v>20</v>
      </c>
      <c r="B567">
        <v>5919406</v>
      </c>
      <c r="C567" t="s">
        <v>321</v>
      </c>
      <c r="D567" t="s">
        <v>21</v>
      </c>
      <c r="E567" t="s">
        <v>147</v>
      </c>
      <c r="K567">
        <v>78.057428103999996</v>
      </c>
      <c r="M567">
        <v>78.057428103999996</v>
      </c>
      <c r="P567" s="1" t="s">
        <v>1881</v>
      </c>
      <c r="Q567" s="1" t="s">
        <v>1882</v>
      </c>
      <c r="R567">
        <v>0.146410239</v>
      </c>
      <c r="S567">
        <v>7.84</v>
      </c>
      <c r="T567" s="2">
        <v>45841</v>
      </c>
      <c r="V567" t="str">
        <f t="shared" si="32"/>
        <v>S-5919406</v>
      </c>
      <c r="W567">
        <f t="shared" si="35"/>
        <v>0</v>
      </c>
      <c r="X567" t="str">
        <f t="shared" si="33"/>
        <v/>
      </c>
      <c r="Y567">
        <f t="shared" si="34"/>
        <v>0.146410239</v>
      </c>
    </row>
    <row r="568" spans="1:25" hidden="1" x14ac:dyDescent="0.4">
      <c r="A568" t="s">
        <v>20</v>
      </c>
      <c r="B568">
        <v>5919406</v>
      </c>
      <c r="C568" t="s">
        <v>321</v>
      </c>
      <c r="D568" t="s">
        <v>21</v>
      </c>
      <c r="E568" t="s">
        <v>22</v>
      </c>
      <c r="K568">
        <v>159.28097488700001</v>
      </c>
      <c r="L568">
        <v>159.28097488700001</v>
      </c>
      <c r="M568">
        <v>0</v>
      </c>
      <c r="N568">
        <v>0</v>
      </c>
      <c r="O568">
        <v>0</v>
      </c>
      <c r="P568" s="1" t="s">
        <v>322</v>
      </c>
      <c r="Q568">
        <v>1</v>
      </c>
      <c r="R568">
        <v>0</v>
      </c>
      <c r="S568">
        <v>0</v>
      </c>
      <c r="T568" s="2">
        <v>45841</v>
      </c>
      <c r="V568" t="str">
        <f t="shared" si="32"/>
        <v>S-5919406</v>
      </c>
      <c r="W568">
        <f t="shared" si="35"/>
        <v>0</v>
      </c>
      <c r="X568" t="str">
        <f t="shared" si="33"/>
        <v/>
      </c>
      <c r="Y568">
        <f t="shared" si="34"/>
        <v>0</v>
      </c>
    </row>
    <row r="569" spans="1:25" hidden="1" x14ac:dyDescent="0.4">
      <c r="A569" t="s">
        <v>20</v>
      </c>
      <c r="B569">
        <v>5926606</v>
      </c>
      <c r="C569" t="s">
        <v>323</v>
      </c>
      <c r="D569" t="s">
        <v>21</v>
      </c>
      <c r="E569" t="s">
        <v>137</v>
      </c>
      <c r="K569">
        <v>235.61839272399999</v>
      </c>
      <c r="M569">
        <v>235.61839272399999</v>
      </c>
      <c r="P569" s="1" t="s">
        <v>786</v>
      </c>
      <c r="Q569" s="1" t="s">
        <v>787</v>
      </c>
      <c r="R569">
        <v>0.43195515800000001</v>
      </c>
      <c r="S569">
        <v>8.51</v>
      </c>
      <c r="T569" s="2">
        <v>45842</v>
      </c>
      <c r="V569" t="str">
        <f t="shared" si="32"/>
        <v>S-5926606</v>
      </c>
      <c r="W569">
        <f t="shared" si="35"/>
        <v>0</v>
      </c>
      <c r="X569" t="str">
        <f t="shared" si="33"/>
        <v/>
      </c>
      <c r="Y569">
        <f t="shared" si="34"/>
        <v>0.43195515800000001</v>
      </c>
    </row>
    <row r="570" spans="1:25" hidden="1" x14ac:dyDescent="0.4">
      <c r="A570" t="s">
        <v>20</v>
      </c>
      <c r="B570">
        <v>5926606</v>
      </c>
      <c r="C570" t="s">
        <v>323</v>
      </c>
      <c r="D570" t="s">
        <v>21</v>
      </c>
      <c r="E570" t="s">
        <v>156</v>
      </c>
      <c r="K570">
        <v>160.23910974200001</v>
      </c>
      <c r="M570">
        <v>160.23910974200001</v>
      </c>
      <c r="P570" s="1" t="s">
        <v>1150</v>
      </c>
      <c r="Q570" s="1" t="s">
        <v>1151</v>
      </c>
      <c r="R570">
        <v>0.49656579899999997</v>
      </c>
      <c r="S570">
        <v>10.3</v>
      </c>
      <c r="T570" s="2">
        <v>45842</v>
      </c>
      <c r="V570" t="str">
        <f t="shared" si="32"/>
        <v>S-5926606</v>
      </c>
      <c r="W570">
        <f t="shared" si="35"/>
        <v>0</v>
      </c>
      <c r="X570" t="str">
        <f t="shared" si="33"/>
        <v/>
      </c>
      <c r="Y570">
        <f t="shared" si="34"/>
        <v>0.49656579899999997</v>
      </c>
    </row>
    <row r="571" spans="1:25" hidden="1" x14ac:dyDescent="0.4">
      <c r="A571" t="s">
        <v>20</v>
      </c>
      <c r="B571">
        <v>5926606</v>
      </c>
      <c r="C571" t="s">
        <v>323</v>
      </c>
      <c r="D571" t="s">
        <v>21</v>
      </c>
      <c r="E571" t="s">
        <v>140</v>
      </c>
      <c r="K571">
        <v>145.395352371</v>
      </c>
      <c r="M571">
        <v>145.395352371</v>
      </c>
      <c r="P571" s="1" t="s">
        <v>1517</v>
      </c>
      <c r="Q571" s="1" t="s">
        <v>1518</v>
      </c>
      <c r="R571">
        <v>0.26391513500000002</v>
      </c>
      <c r="S571">
        <v>4.63</v>
      </c>
      <c r="T571" s="2">
        <v>45842</v>
      </c>
      <c r="V571" t="str">
        <f t="shared" si="32"/>
        <v>S-5926606</v>
      </c>
      <c r="W571">
        <f t="shared" si="35"/>
        <v>0</v>
      </c>
      <c r="X571" t="str">
        <f t="shared" si="33"/>
        <v/>
      </c>
      <c r="Y571">
        <f t="shared" si="34"/>
        <v>0.26391513500000002</v>
      </c>
    </row>
    <row r="572" spans="1:25" hidden="1" x14ac:dyDescent="0.4">
      <c r="A572" t="s">
        <v>20</v>
      </c>
      <c r="B572">
        <v>5926606</v>
      </c>
      <c r="C572" t="s">
        <v>323</v>
      </c>
      <c r="D572" t="s">
        <v>21</v>
      </c>
      <c r="E572" t="s">
        <v>147</v>
      </c>
      <c r="K572">
        <v>78.203671314000005</v>
      </c>
      <c r="M572">
        <v>78.203671314000005</v>
      </c>
      <c r="P572" s="1" t="s">
        <v>1883</v>
      </c>
      <c r="Q572" s="1" t="s">
        <v>1884</v>
      </c>
      <c r="R572">
        <v>0.14624321000000001</v>
      </c>
      <c r="S572">
        <v>7.48</v>
      </c>
      <c r="T572" s="2">
        <v>45842</v>
      </c>
      <c r="V572" t="str">
        <f t="shared" si="32"/>
        <v>S-5926606</v>
      </c>
      <c r="W572">
        <f t="shared" si="35"/>
        <v>0</v>
      </c>
      <c r="X572" t="str">
        <f t="shared" si="33"/>
        <v/>
      </c>
      <c r="Y572">
        <f t="shared" si="34"/>
        <v>0.14624321000000001</v>
      </c>
    </row>
    <row r="573" spans="1:25" hidden="1" x14ac:dyDescent="0.4">
      <c r="A573" t="s">
        <v>20</v>
      </c>
      <c r="B573">
        <v>5926606</v>
      </c>
      <c r="C573" t="s">
        <v>323</v>
      </c>
      <c r="D573" t="s">
        <v>21</v>
      </c>
      <c r="E573" t="s">
        <v>22</v>
      </c>
      <c r="K573">
        <v>159.28097488700001</v>
      </c>
      <c r="L573">
        <v>159.28097488700001</v>
      </c>
      <c r="M573">
        <v>0</v>
      </c>
      <c r="N573">
        <v>0</v>
      </c>
      <c r="O573">
        <v>0</v>
      </c>
      <c r="P573" s="1" t="s">
        <v>324</v>
      </c>
      <c r="Q573">
        <v>1</v>
      </c>
      <c r="R573">
        <v>0</v>
      </c>
      <c r="S573">
        <v>0</v>
      </c>
      <c r="T573" s="2">
        <v>45842</v>
      </c>
      <c r="V573" t="str">
        <f t="shared" si="32"/>
        <v>S-5926606</v>
      </c>
      <c r="W573">
        <f t="shared" si="35"/>
        <v>0</v>
      </c>
      <c r="X573" t="str">
        <f t="shared" si="33"/>
        <v/>
      </c>
      <c r="Y573">
        <f t="shared" si="34"/>
        <v>0</v>
      </c>
    </row>
    <row r="574" spans="1:25" hidden="1" x14ac:dyDescent="0.4">
      <c r="A574" t="s">
        <v>20</v>
      </c>
      <c r="B574">
        <v>5933806</v>
      </c>
      <c r="C574" t="s">
        <v>325</v>
      </c>
      <c r="D574" t="s">
        <v>21</v>
      </c>
      <c r="E574" t="s">
        <v>137</v>
      </c>
      <c r="K574">
        <v>236.05588076699999</v>
      </c>
      <c r="M574">
        <v>236.05588076699999</v>
      </c>
      <c r="P574" s="1" t="s">
        <v>788</v>
      </c>
      <c r="Q574" s="1" t="s">
        <v>789</v>
      </c>
      <c r="R574">
        <v>0.43748804299999999</v>
      </c>
      <c r="S574">
        <v>8.4600000000000009</v>
      </c>
      <c r="T574" s="2">
        <v>45843</v>
      </c>
      <c r="V574" t="str">
        <f t="shared" si="32"/>
        <v>S-5933806</v>
      </c>
      <c r="W574">
        <f t="shared" si="35"/>
        <v>0</v>
      </c>
      <c r="X574" t="str">
        <f t="shared" si="33"/>
        <v/>
      </c>
      <c r="Y574">
        <f t="shared" si="34"/>
        <v>0.43748804299999999</v>
      </c>
    </row>
    <row r="575" spans="1:25" hidden="1" x14ac:dyDescent="0.4">
      <c r="A575" t="s">
        <v>20</v>
      </c>
      <c r="B575">
        <v>5933806</v>
      </c>
      <c r="C575" t="s">
        <v>325</v>
      </c>
      <c r="D575" t="s">
        <v>21</v>
      </c>
      <c r="E575" t="s">
        <v>156</v>
      </c>
      <c r="K575">
        <v>160.725349494</v>
      </c>
      <c r="M575">
        <v>160.725349494</v>
      </c>
      <c r="P575" s="1" t="s">
        <v>1152</v>
      </c>
      <c r="Q575" s="1" t="s">
        <v>1153</v>
      </c>
      <c r="R575">
        <v>0.48623975200000003</v>
      </c>
      <c r="S575">
        <v>9.4700000000000006</v>
      </c>
      <c r="T575" s="2">
        <v>45843</v>
      </c>
      <c r="V575" t="str">
        <f t="shared" si="32"/>
        <v>S-5933806</v>
      </c>
      <c r="W575">
        <f t="shared" si="35"/>
        <v>0</v>
      </c>
      <c r="X575" t="str">
        <f t="shared" si="33"/>
        <v/>
      </c>
      <c r="Y575">
        <f t="shared" si="34"/>
        <v>0.48623975200000003</v>
      </c>
    </row>
    <row r="576" spans="1:25" hidden="1" x14ac:dyDescent="0.4">
      <c r="A576" t="s">
        <v>20</v>
      </c>
      <c r="B576">
        <v>5933806</v>
      </c>
      <c r="C576" t="s">
        <v>325</v>
      </c>
      <c r="D576" t="s">
        <v>21</v>
      </c>
      <c r="E576" t="s">
        <v>140</v>
      </c>
      <c r="K576">
        <v>145.66181053099999</v>
      </c>
      <c r="M576">
        <v>145.66181053099999</v>
      </c>
      <c r="P576" s="1" t="s">
        <v>1519</v>
      </c>
      <c r="Q576" s="1" t="s">
        <v>1520</v>
      </c>
      <c r="R576">
        <v>0.26645816</v>
      </c>
      <c r="S576">
        <v>4.4000000000000004</v>
      </c>
      <c r="T576" s="2">
        <v>45843</v>
      </c>
      <c r="V576" t="str">
        <f t="shared" si="32"/>
        <v>S-5933806</v>
      </c>
      <c r="W576">
        <f t="shared" si="35"/>
        <v>0</v>
      </c>
      <c r="X576" t="str">
        <f t="shared" si="33"/>
        <v/>
      </c>
      <c r="Y576">
        <f t="shared" si="34"/>
        <v>0.26645816</v>
      </c>
    </row>
    <row r="577" spans="1:25" hidden="1" x14ac:dyDescent="0.4">
      <c r="A577" t="s">
        <v>20</v>
      </c>
      <c r="B577">
        <v>5933806</v>
      </c>
      <c r="C577" t="s">
        <v>325</v>
      </c>
      <c r="D577" t="s">
        <v>21</v>
      </c>
      <c r="E577" t="s">
        <v>147</v>
      </c>
      <c r="K577">
        <v>78.351163622000001</v>
      </c>
      <c r="M577">
        <v>78.351163622000001</v>
      </c>
      <c r="P577" s="1" t="s">
        <v>1885</v>
      </c>
      <c r="Q577" s="1" t="s">
        <v>1886</v>
      </c>
      <c r="R577">
        <v>0.14749230799999999</v>
      </c>
      <c r="S577">
        <v>7.05</v>
      </c>
      <c r="T577" s="2">
        <v>45843</v>
      </c>
      <c r="V577" t="str">
        <f t="shared" si="32"/>
        <v>S-5933806</v>
      </c>
      <c r="W577">
        <f t="shared" si="35"/>
        <v>0</v>
      </c>
      <c r="X577" t="str">
        <f t="shared" si="33"/>
        <v/>
      </c>
      <c r="Y577">
        <f t="shared" si="34"/>
        <v>0.14749230799999999</v>
      </c>
    </row>
    <row r="578" spans="1:25" hidden="1" x14ac:dyDescent="0.4">
      <c r="A578" t="s">
        <v>20</v>
      </c>
      <c r="B578">
        <v>5933806</v>
      </c>
      <c r="C578" t="s">
        <v>325</v>
      </c>
      <c r="D578" t="s">
        <v>21</v>
      </c>
      <c r="E578" t="s">
        <v>22</v>
      </c>
      <c r="K578">
        <v>159.28097488700001</v>
      </c>
      <c r="L578">
        <v>159.28097488700001</v>
      </c>
      <c r="M578">
        <v>0</v>
      </c>
      <c r="N578">
        <v>0</v>
      </c>
      <c r="O578">
        <v>0</v>
      </c>
      <c r="P578" s="1" t="s">
        <v>326</v>
      </c>
      <c r="Q578">
        <v>1</v>
      </c>
      <c r="R578">
        <v>0</v>
      </c>
      <c r="S578">
        <v>0</v>
      </c>
      <c r="T578" s="2">
        <v>45843</v>
      </c>
      <c r="V578" t="str">
        <f t="shared" si="32"/>
        <v>S-5933806</v>
      </c>
      <c r="W578">
        <f t="shared" si="35"/>
        <v>0</v>
      </c>
      <c r="X578" t="str">
        <f t="shared" si="33"/>
        <v/>
      </c>
      <c r="Y578">
        <f t="shared" si="34"/>
        <v>0</v>
      </c>
    </row>
    <row r="579" spans="1:25" hidden="1" x14ac:dyDescent="0.4">
      <c r="A579" t="s">
        <v>20</v>
      </c>
      <c r="B579">
        <v>5941006</v>
      </c>
      <c r="C579" t="s">
        <v>327</v>
      </c>
      <c r="D579" t="s">
        <v>21</v>
      </c>
      <c r="E579" t="s">
        <v>137</v>
      </c>
      <c r="K579">
        <v>236.49553291199999</v>
      </c>
      <c r="M579">
        <v>236.49553291199999</v>
      </c>
      <c r="P579" s="1" t="s">
        <v>790</v>
      </c>
      <c r="Q579" s="1" t="s">
        <v>791</v>
      </c>
      <c r="R579">
        <v>0.43965214499999999</v>
      </c>
      <c r="S579">
        <v>8.5399999999999991</v>
      </c>
      <c r="T579" s="2">
        <v>45844</v>
      </c>
      <c r="V579" t="str">
        <f t="shared" ref="V579:V642" si="36">"S-"&amp;IF(LEN(I579)=0,B579,I579&amp;IF(F579="fee","-00",IF(LEN(G579)&gt;0,"-01","-02")))</f>
        <v>S-5941006</v>
      </c>
      <c r="W579">
        <f t="shared" si="35"/>
        <v>0</v>
      </c>
      <c r="X579" t="str">
        <f t="shared" ref="X579:X642" si="37">IF(LEN(I579)&gt;0,I579&amp;IF(F579="fee","fee",IF(VALUE(G579)&gt;0,"debit",IF(VALUE(H579)&gt;0,"credit","error"))),"")</f>
        <v/>
      </c>
      <c r="Y579">
        <f t="shared" ref="Y579:Y642" si="38">ROUND(IF(ROW(U579) = 2,K579,0)+IF(H579&lt;&gt;"",H579,0) + IF(R579&lt;&gt;"",R579,0) - IF(G579&lt;&gt;"",G579,0),9)</f>
        <v>0.43965214499999999</v>
      </c>
    </row>
    <row r="580" spans="1:25" hidden="1" x14ac:dyDescent="0.4">
      <c r="A580" t="s">
        <v>20</v>
      </c>
      <c r="B580">
        <v>5941006</v>
      </c>
      <c r="C580" t="s">
        <v>327</v>
      </c>
      <c r="D580" t="s">
        <v>21</v>
      </c>
      <c r="E580" t="s">
        <v>156</v>
      </c>
      <c r="K580">
        <v>161.217428915</v>
      </c>
      <c r="M580">
        <v>161.217428915</v>
      </c>
      <c r="P580" s="1" t="s">
        <v>1154</v>
      </c>
      <c r="Q580" s="1" t="s">
        <v>1155</v>
      </c>
      <c r="R580">
        <v>0.49207942100000002</v>
      </c>
      <c r="S580">
        <v>9.68</v>
      </c>
      <c r="T580" s="2">
        <v>45844</v>
      </c>
      <c r="V580" t="str">
        <f t="shared" si="36"/>
        <v>S-5941006</v>
      </c>
      <c r="W580">
        <f t="shared" ref="W580:W643" si="39">COUNTIF(I:I,I580)</f>
        <v>0</v>
      </c>
      <c r="X580" t="str">
        <f t="shared" si="37"/>
        <v/>
      </c>
      <c r="Y580">
        <f t="shared" si="38"/>
        <v>0.49207942100000002</v>
      </c>
    </row>
    <row r="581" spans="1:25" hidden="1" x14ac:dyDescent="0.4">
      <c r="A581" t="s">
        <v>20</v>
      </c>
      <c r="B581">
        <v>5941006</v>
      </c>
      <c r="C581" t="s">
        <v>327</v>
      </c>
      <c r="D581" t="s">
        <v>21</v>
      </c>
      <c r="E581" t="s">
        <v>140</v>
      </c>
      <c r="K581">
        <v>145.930666161</v>
      </c>
      <c r="M581">
        <v>145.930666161</v>
      </c>
      <c r="P581" s="1" t="s">
        <v>1521</v>
      </c>
      <c r="Q581" s="1" t="s">
        <v>1522</v>
      </c>
      <c r="R581">
        <v>0.26885563000000001</v>
      </c>
      <c r="S581">
        <v>4.42</v>
      </c>
      <c r="T581" s="2">
        <v>45844</v>
      </c>
      <c r="V581" t="str">
        <f t="shared" si="36"/>
        <v>S-5941006</v>
      </c>
      <c r="W581">
        <f t="shared" si="39"/>
        <v>0</v>
      </c>
      <c r="X581" t="str">
        <f t="shared" si="37"/>
        <v/>
      </c>
      <c r="Y581">
        <f t="shared" si="38"/>
        <v>0.26885563000000001</v>
      </c>
    </row>
    <row r="582" spans="1:25" hidden="1" x14ac:dyDescent="0.4">
      <c r="A582" t="s">
        <v>20</v>
      </c>
      <c r="B582">
        <v>5941006</v>
      </c>
      <c r="C582" t="s">
        <v>327</v>
      </c>
      <c r="D582" t="s">
        <v>21</v>
      </c>
      <c r="E582" t="s">
        <v>147</v>
      </c>
      <c r="K582">
        <v>78.500721279000004</v>
      </c>
      <c r="M582">
        <v>78.500721279000004</v>
      </c>
      <c r="P582" s="1" t="s">
        <v>1887</v>
      </c>
      <c r="Q582" s="1" t="s">
        <v>1888</v>
      </c>
      <c r="R582">
        <v>0.14955765700000001</v>
      </c>
      <c r="S582">
        <v>7.15</v>
      </c>
      <c r="T582" s="2">
        <v>45844</v>
      </c>
      <c r="V582" t="str">
        <f t="shared" si="36"/>
        <v>S-5941006</v>
      </c>
      <c r="W582">
        <f t="shared" si="39"/>
        <v>0</v>
      </c>
      <c r="X582" t="str">
        <f t="shared" si="37"/>
        <v/>
      </c>
      <c r="Y582">
        <f t="shared" si="38"/>
        <v>0.14955765700000001</v>
      </c>
    </row>
    <row r="583" spans="1:25" hidden="1" x14ac:dyDescent="0.4">
      <c r="A583" t="s">
        <v>20</v>
      </c>
      <c r="B583">
        <v>5941006</v>
      </c>
      <c r="C583" t="s">
        <v>327</v>
      </c>
      <c r="D583" t="s">
        <v>21</v>
      </c>
      <c r="E583" t="s">
        <v>22</v>
      </c>
      <c r="K583">
        <v>159.28097488700001</v>
      </c>
      <c r="L583">
        <v>159.28097488700001</v>
      </c>
      <c r="M583">
        <v>0</v>
      </c>
      <c r="N583">
        <v>0</v>
      </c>
      <c r="O583">
        <v>0</v>
      </c>
      <c r="P583" s="1" t="s">
        <v>328</v>
      </c>
      <c r="Q583">
        <v>1</v>
      </c>
      <c r="R583">
        <v>0</v>
      </c>
      <c r="S583">
        <v>0</v>
      </c>
      <c r="T583" s="2">
        <v>45844</v>
      </c>
      <c r="V583" t="str">
        <f t="shared" si="36"/>
        <v>S-5941006</v>
      </c>
      <c r="W583">
        <f t="shared" si="39"/>
        <v>0</v>
      </c>
      <c r="X583" t="str">
        <f t="shared" si="37"/>
        <v/>
      </c>
      <c r="Y583">
        <f t="shared" si="38"/>
        <v>0</v>
      </c>
    </row>
    <row r="584" spans="1:25" hidden="1" x14ac:dyDescent="0.4">
      <c r="A584" t="s">
        <v>20</v>
      </c>
      <c r="B584">
        <v>5948203</v>
      </c>
      <c r="C584" t="s">
        <v>329</v>
      </c>
      <c r="D584" t="s">
        <v>21</v>
      </c>
      <c r="E584" t="s">
        <v>137</v>
      </c>
      <c r="K584">
        <v>236.93665030899999</v>
      </c>
      <c r="M584">
        <v>236.93665030899999</v>
      </c>
      <c r="P584" s="1" t="s">
        <v>792</v>
      </c>
      <c r="Q584" s="1" t="s">
        <v>793</v>
      </c>
      <c r="R584">
        <v>0.44111739700000002</v>
      </c>
      <c r="S584">
        <v>8.25</v>
      </c>
      <c r="T584" s="2">
        <v>45845</v>
      </c>
      <c r="V584" t="str">
        <f t="shared" si="36"/>
        <v>S-5948203</v>
      </c>
      <c r="W584">
        <f t="shared" si="39"/>
        <v>0</v>
      </c>
      <c r="X584" t="str">
        <f t="shared" si="37"/>
        <v/>
      </c>
      <c r="Y584">
        <f t="shared" si="38"/>
        <v>0.44111739700000002</v>
      </c>
    </row>
    <row r="585" spans="1:25" hidden="1" x14ac:dyDescent="0.4">
      <c r="A585" t="s">
        <v>20</v>
      </c>
      <c r="B585">
        <v>5948203</v>
      </c>
      <c r="C585" t="s">
        <v>329</v>
      </c>
      <c r="D585" t="s">
        <v>21</v>
      </c>
      <c r="E585" t="s">
        <v>156</v>
      </c>
      <c r="K585">
        <v>161.695099855</v>
      </c>
      <c r="M585">
        <v>161.695099855</v>
      </c>
      <c r="P585" s="1" t="s">
        <v>1156</v>
      </c>
      <c r="Q585" s="1" t="s">
        <v>1157</v>
      </c>
      <c r="R585">
        <v>0.47767093999999999</v>
      </c>
      <c r="S585">
        <v>9.94</v>
      </c>
      <c r="T585" s="2">
        <v>45845</v>
      </c>
      <c r="V585" t="str">
        <f t="shared" si="36"/>
        <v>S-5948203</v>
      </c>
      <c r="W585">
        <f t="shared" si="39"/>
        <v>0</v>
      </c>
      <c r="X585" t="str">
        <f t="shared" si="37"/>
        <v/>
      </c>
      <c r="Y585">
        <f t="shared" si="38"/>
        <v>0.47767093999999999</v>
      </c>
    </row>
    <row r="586" spans="1:25" hidden="1" x14ac:dyDescent="0.4">
      <c r="A586" t="s">
        <v>20</v>
      </c>
      <c r="B586">
        <v>5948203</v>
      </c>
      <c r="C586" t="s">
        <v>329</v>
      </c>
      <c r="D586" t="s">
        <v>21</v>
      </c>
      <c r="E586" t="s">
        <v>140</v>
      </c>
      <c r="K586">
        <v>146.21163416100001</v>
      </c>
      <c r="M586">
        <v>146.21163416100001</v>
      </c>
      <c r="P586" s="1" t="s">
        <v>1523</v>
      </c>
      <c r="Q586" s="1" t="s">
        <v>1524</v>
      </c>
      <c r="R586">
        <v>0.280968</v>
      </c>
      <c r="S586">
        <v>4.2699999999999996</v>
      </c>
      <c r="T586" s="2">
        <v>45845</v>
      </c>
      <c r="V586" t="str">
        <f t="shared" si="36"/>
        <v>S-5948203</v>
      </c>
      <c r="W586">
        <f t="shared" si="39"/>
        <v>0</v>
      </c>
      <c r="X586" t="str">
        <f t="shared" si="37"/>
        <v/>
      </c>
      <c r="Y586">
        <f t="shared" si="38"/>
        <v>0.280968</v>
      </c>
    </row>
    <row r="587" spans="1:25" hidden="1" x14ac:dyDescent="0.4">
      <c r="A587" t="s">
        <v>20</v>
      </c>
      <c r="B587">
        <v>5948203</v>
      </c>
      <c r="C587" t="s">
        <v>329</v>
      </c>
      <c r="D587" t="s">
        <v>21</v>
      </c>
      <c r="E587" t="s">
        <v>147</v>
      </c>
      <c r="K587">
        <v>78.650557186</v>
      </c>
      <c r="M587">
        <v>78.650557186</v>
      </c>
      <c r="P587" s="1" t="s">
        <v>1889</v>
      </c>
      <c r="Q587" s="1" t="s">
        <v>1890</v>
      </c>
      <c r="R587">
        <v>0.14983590699999999</v>
      </c>
      <c r="S587">
        <v>6.88</v>
      </c>
      <c r="T587" s="2">
        <v>45845</v>
      </c>
      <c r="V587" t="str">
        <f t="shared" si="36"/>
        <v>S-5948203</v>
      </c>
      <c r="W587">
        <f t="shared" si="39"/>
        <v>0</v>
      </c>
      <c r="X587" t="str">
        <f t="shared" si="37"/>
        <v/>
      </c>
      <c r="Y587">
        <f t="shared" si="38"/>
        <v>0.14983590699999999</v>
      </c>
    </row>
    <row r="588" spans="1:25" hidden="1" x14ac:dyDescent="0.4">
      <c r="A588" t="s">
        <v>20</v>
      </c>
      <c r="B588">
        <v>5948203</v>
      </c>
      <c r="C588" t="s">
        <v>329</v>
      </c>
      <c r="D588" t="s">
        <v>21</v>
      </c>
      <c r="E588" t="s">
        <v>22</v>
      </c>
      <c r="K588">
        <v>159.28097488700001</v>
      </c>
      <c r="L588">
        <v>159.28097488700001</v>
      </c>
      <c r="M588">
        <v>0</v>
      </c>
      <c r="N588">
        <v>0</v>
      </c>
      <c r="O588">
        <v>0</v>
      </c>
      <c r="P588" s="1" t="s">
        <v>330</v>
      </c>
      <c r="Q588">
        <v>1</v>
      </c>
      <c r="R588">
        <v>0</v>
      </c>
      <c r="S588">
        <v>0</v>
      </c>
      <c r="T588" s="2">
        <v>45845</v>
      </c>
      <c r="V588" t="str">
        <f t="shared" si="36"/>
        <v>S-5948203</v>
      </c>
      <c r="W588">
        <f t="shared" si="39"/>
        <v>0</v>
      </c>
      <c r="X588" t="str">
        <f t="shared" si="37"/>
        <v/>
      </c>
      <c r="Y588">
        <f t="shared" si="38"/>
        <v>0</v>
      </c>
    </row>
    <row r="589" spans="1:25" hidden="1" x14ac:dyDescent="0.4">
      <c r="A589" t="s">
        <v>20</v>
      </c>
      <c r="B589">
        <v>5955403</v>
      </c>
      <c r="C589" t="s">
        <v>331</v>
      </c>
      <c r="D589" t="s">
        <v>21</v>
      </c>
      <c r="E589" t="s">
        <v>137</v>
      </c>
      <c r="K589">
        <v>237.346454717</v>
      </c>
      <c r="M589">
        <v>237.346454717</v>
      </c>
      <c r="P589" s="1" t="s">
        <v>794</v>
      </c>
      <c r="Q589" s="1" t="s">
        <v>795</v>
      </c>
      <c r="R589">
        <v>0.40980440800000001</v>
      </c>
      <c r="S589">
        <v>7.89</v>
      </c>
      <c r="T589" s="2">
        <v>45846</v>
      </c>
      <c r="V589" t="str">
        <f t="shared" si="36"/>
        <v>S-5955403</v>
      </c>
      <c r="W589">
        <f t="shared" si="39"/>
        <v>0</v>
      </c>
      <c r="X589" t="str">
        <f t="shared" si="37"/>
        <v/>
      </c>
      <c r="Y589">
        <f t="shared" si="38"/>
        <v>0.40980440800000001</v>
      </c>
    </row>
    <row r="590" spans="1:25" hidden="1" x14ac:dyDescent="0.4">
      <c r="A590" t="s">
        <v>20</v>
      </c>
      <c r="B590">
        <v>5955403</v>
      </c>
      <c r="C590" t="s">
        <v>331</v>
      </c>
      <c r="D590" t="s">
        <v>21</v>
      </c>
      <c r="E590" t="s">
        <v>156</v>
      </c>
      <c r="K590">
        <v>162.20951589500001</v>
      </c>
      <c r="M590">
        <v>162.20951589500001</v>
      </c>
      <c r="P590" s="1" t="s">
        <v>1158</v>
      </c>
      <c r="Q590" s="1" t="s">
        <v>1159</v>
      </c>
      <c r="R590">
        <v>0.51441603999999996</v>
      </c>
      <c r="S590">
        <v>10.59</v>
      </c>
      <c r="T590" s="2">
        <v>45846</v>
      </c>
      <c r="V590" t="str">
        <f t="shared" si="36"/>
        <v>S-5955403</v>
      </c>
      <c r="W590">
        <f t="shared" si="39"/>
        <v>0</v>
      </c>
      <c r="X590" t="str">
        <f t="shared" si="37"/>
        <v/>
      </c>
      <c r="Y590">
        <f t="shared" si="38"/>
        <v>0.51441603999999996</v>
      </c>
    </row>
    <row r="591" spans="1:25" hidden="1" x14ac:dyDescent="0.4">
      <c r="A591" t="s">
        <v>20</v>
      </c>
      <c r="B591">
        <v>5955403</v>
      </c>
      <c r="C591" t="s">
        <v>331</v>
      </c>
      <c r="D591" t="s">
        <v>21</v>
      </c>
      <c r="E591" t="s">
        <v>140</v>
      </c>
      <c r="K591">
        <v>146.478506982</v>
      </c>
      <c r="M591">
        <v>146.478506982</v>
      </c>
      <c r="P591" s="1" t="s">
        <v>1525</v>
      </c>
      <c r="Q591" s="1" t="s">
        <v>1526</v>
      </c>
      <c r="R591">
        <v>0.26687282099999998</v>
      </c>
      <c r="S591">
        <v>4.57</v>
      </c>
      <c r="T591" s="2">
        <v>45846</v>
      </c>
      <c r="V591" t="str">
        <f t="shared" si="36"/>
        <v>S-5955403</v>
      </c>
      <c r="W591">
        <f t="shared" si="39"/>
        <v>0</v>
      </c>
      <c r="X591" t="str">
        <f t="shared" si="37"/>
        <v/>
      </c>
      <c r="Y591">
        <f t="shared" si="38"/>
        <v>0.26687282099999998</v>
      </c>
    </row>
    <row r="592" spans="1:25" hidden="1" x14ac:dyDescent="0.4">
      <c r="A592" t="s">
        <v>20</v>
      </c>
      <c r="B592">
        <v>5955403</v>
      </c>
      <c r="C592" t="s">
        <v>331</v>
      </c>
      <c r="D592" t="s">
        <v>21</v>
      </c>
      <c r="E592" t="s">
        <v>147</v>
      </c>
      <c r="K592">
        <v>78.797047046000003</v>
      </c>
      <c r="M592">
        <v>78.797047046000003</v>
      </c>
      <c r="P592" s="1" t="s">
        <v>1891</v>
      </c>
      <c r="Q592" s="1" t="s">
        <v>1892</v>
      </c>
      <c r="R592">
        <v>0.14648986</v>
      </c>
      <c r="S592">
        <v>6.78</v>
      </c>
      <c r="T592" s="2">
        <v>45846</v>
      </c>
      <c r="V592" t="str">
        <f t="shared" si="36"/>
        <v>S-5955403</v>
      </c>
      <c r="W592">
        <f t="shared" si="39"/>
        <v>0</v>
      </c>
      <c r="X592" t="str">
        <f t="shared" si="37"/>
        <v/>
      </c>
      <c r="Y592">
        <f t="shared" si="38"/>
        <v>0.14648986</v>
      </c>
    </row>
    <row r="593" spans="1:25" hidden="1" x14ac:dyDescent="0.4">
      <c r="A593" t="s">
        <v>20</v>
      </c>
      <c r="B593">
        <v>5955403</v>
      </c>
      <c r="C593" t="s">
        <v>331</v>
      </c>
      <c r="D593" t="s">
        <v>21</v>
      </c>
      <c r="E593" t="s">
        <v>22</v>
      </c>
      <c r="K593">
        <v>159.28097488700001</v>
      </c>
      <c r="L593">
        <v>159.28097488700001</v>
      </c>
      <c r="M593">
        <v>0</v>
      </c>
      <c r="N593">
        <v>0</v>
      </c>
      <c r="O593">
        <v>0</v>
      </c>
      <c r="P593" s="1" t="s">
        <v>332</v>
      </c>
      <c r="Q593">
        <v>1</v>
      </c>
      <c r="R593">
        <v>0</v>
      </c>
      <c r="S593">
        <v>0</v>
      </c>
      <c r="T593" s="2">
        <v>45846</v>
      </c>
      <c r="V593" t="str">
        <f t="shared" si="36"/>
        <v>S-5955403</v>
      </c>
      <c r="W593">
        <f t="shared" si="39"/>
        <v>0</v>
      </c>
      <c r="X593" t="str">
        <f t="shared" si="37"/>
        <v/>
      </c>
      <c r="Y593">
        <f t="shared" si="38"/>
        <v>0</v>
      </c>
    </row>
    <row r="594" spans="1:25" hidden="1" x14ac:dyDescent="0.4">
      <c r="A594" t="s">
        <v>20</v>
      </c>
      <c r="B594">
        <v>5962603</v>
      </c>
      <c r="C594" t="s">
        <v>333</v>
      </c>
      <c r="D594" t="s">
        <v>21</v>
      </c>
      <c r="E594" t="s">
        <v>137</v>
      </c>
      <c r="K594">
        <v>237.78035399000001</v>
      </c>
      <c r="M594">
        <v>237.78035399000001</v>
      </c>
      <c r="P594" s="1" t="s">
        <v>796</v>
      </c>
      <c r="Q594" s="1" t="s">
        <v>797</v>
      </c>
      <c r="R594">
        <v>0.43389927299999997</v>
      </c>
      <c r="S594">
        <v>8.9700000000000006</v>
      </c>
      <c r="T594" s="2">
        <v>45847</v>
      </c>
      <c r="V594" t="str">
        <f t="shared" si="36"/>
        <v>S-5962603</v>
      </c>
      <c r="W594">
        <f t="shared" si="39"/>
        <v>0</v>
      </c>
      <c r="X594" t="str">
        <f t="shared" si="37"/>
        <v/>
      </c>
      <c r="Y594">
        <f t="shared" si="38"/>
        <v>0.43389927299999997</v>
      </c>
    </row>
    <row r="595" spans="1:25" hidden="1" x14ac:dyDescent="0.4">
      <c r="A595" t="s">
        <v>20</v>
      </c>
      <c r="B595">
        <v>5962603</v>
      </c>
      <c r="C595" t="s">
        <v>333</v>
      </c>
      <c r="D595" t="s">
        <v>21</v>
      </c>
      <c r="E595" t="s">
        <v>156</v>
      </c>
      <c r="K595">
        <v>162.73079323100001</v>
      </c>
      <c r="M595">
        <v>162.73079323100001</v>
      </c>
      <c r="P595" s="1" t="s">
        <v>1160</v>
      </c>
      <c r="Q595" s="1" t="s">
        <v>1161</v>
      </c>
      <c r="R595">
        <v>0.52127733600000004</v>
      </c>
      <c r="S595">
        <v>11.61</v>
      </c>
      <c r="T595" s="2">
        <v>45847</v>
      </c>
      <c r="V595" t="str">
        <f t="shared" si="36"/>
        <v>S-5962603</v>
      </c>
      <c r="W595">
        <f t="shared" si="39"/>
        <v>0</v>
      </c>
      <c r="X595" t="str">
        <f t="shared" si="37"/>
        <v/>
      </c>
      <c r="Y595">
        <f t="shared" si="38"/>
        <v>0.52127733600000004</v>
      </c>
    </row>
    <row r="596" spans="1:25" hidden="1" x14ac:dyDescent="0.4">
      <c r="A596" t="s">
        <v>20</v>
      </c>
      <c r="B596">
        <v>5962603</v>
      </c>
      <c r="C596" t="s">
        <v>333</v>
      </c>
      <c r="D596" t="s">
        <v>21</v>
      </c>
      <c r="E596" t="s">
        <v>140</v>
      </c>
      <c r="K596">
        <v>146.73755427500001</v>
      </c>
      <c r="M596">
        <v>146.73755427500001</v>
      </c>
      <c r="P596" s="1" t="s">
        <v>1527</v>
      </c>
      <c r="Q596" s="1" t="s">
        <v>1528</v>
      </c>
      <c r="R596">
        <v>0.25904729300000001</v>
      </c>
      <c r="S596">
        <v>4.49</v>
      </c>
      <c r="T596" s="2">
        <v>45847</v>
      </c>
      <c r="V596" t="str">
        <f t="shared" si="36"/>
        <v>S-5962603</v>
      </c>
      <c r="W596">
        <f t="shared" si="39"/>
        <v>0</v>
      </c>
      <c r="X596" t="str">
        <f t="shared" si="37"/>
        <v/>
      </c>
      <c r="Y596">
        <f t="shared" si="38"/>
        <v>0.25904729300000001</v>
      </c>
    </row>
    <row r="597" spans="1:25" hidden="1" x14ac:dyDescent="0.4">
      <c r="A597" t="s">
        <v>20</v>
      </c>
      <c r="B597">
        <v>5962603</v>
      </c>
      <c r="C597" t="s">
        <v>333</v>
      </c>
      <c r="D597" t="s">
        <v>21</v>
      </c>
      <c r="E597" t="s">
        <v>147</v>
      </c>
      <c r="K597">
        <v>78.943778524999999</v>
      </c>
      <c r="M597">
        <v>78.943778524999999</v>
      </c>
      <c r="P597" s="1" t="s">
        <v>1893</v>
      </c>
      <c r="Q597" s="1" t="s">
        <v>1894</v>
      </c>
      <c r="R597">
        <v>0.146731479</v>
      </c>
      <c r="S597">
        <v>7.34</v>
      </c>
      <c r="T597" s="2">
        <v>45847</v>
      </c>
      <c r="V597" t="str">
        <f t="shared" si="36"/>
        <v>S-5962603</v>
      </c>
      <c r="W597">
        <f t="shared" si="39"/>
        <v>0</v>
      </c>
      <c r="X597" t="str">
        <f t="shared" si="37"/>
        <v/>
      </c>
      <c r="Y597">
        <f t="shared" si="38"/>
        <v>0.146731479</v>
      </c>
    </row>
    <row r="598" spans="1:25" hidden="1" x14ac:dyDescent="0.4">
      <c r="A598" t="s">
        <v>20</v>
      </c>
      <c r="B598">
        <v>5962603</v>
      </c>
      <c r="C598" t="s">
        <v>333</v>
      </c>
      <c r="D598" t="s">
        <v>21</v>
      </c>
      <c r="E598" t="s">
        <v>22</v>
      </c>
      <c r="K598">
        <v>159.28097488700001</v>
      </c>
      <c r="L598">
        <v>159.28097488700001</v>
      </c>
      <c r="M598">
        <v>0</v>
      </c>
      <c r="N598">
        <v>0</v>
      </c>
      <c r="O598">
        <v>0</v>
      </c>
      <c r="P598" s="1" t="s">
        <v>334</v>
      </c>
      <c r="Q598">
        <v>1</v>
      </c>
      <c r="R598">
        <v>0</v>
      </c>
      <c r="S598">
        <v>0</v>
      </c>
      <c r="T598" s="2">
        <v>45847</v>
      </c>
      <c r="V598" t="str">
        <f t="shared" si="36"/>
        <v>S-5962603</v>
      </c>
      <c r="W598">
        <f t="shared" si="39"/>
        <v>0</v>
      </c>
      <c r="X598" t="str">
        <f t="shared" si="37"/>
        <v/>
      </c>
      <c r="Y598">
        <f t="shared" si="38"/>
        <v>0</v>
      </c>
    </row>
    <row r="599" spans="1:25" hidden="1" x14ac:dyDescent="0.4">
      <c r="A599" t="s">
        <v>20</v>
      </c>
      <c r="B599">
        <v>5969803</v>
      </c>
      <c r="C599" t="s">
        <v>335</v>
      </c>
      <c r="D599" t="s">
        <v>21</v>
      </c>
      <c r="E599" t="s">
        <v>137</v>
      </c>
      <c r="K599">
        <v>238.21312613699999</v>
      </c>
      <c r="M599">
        <v>238.21312613699999</v>
      </c>
      <c r="P599" s="1" t="s">
        <v>798</v>
      </c>
      <c r="Q599" s="1" t="s">
        <v>799</v>
      </c>
      <c r="R599">
        <v>0.432772147</v>
      </c>
      <c r="S599">
        <v>9.4700000000000006</v>
      </c>
      <c r="T599" s="2">
        <v>45848</v>
      </c>
      <c r="V599" t="str">
        <f t="shared" si="36"/>
        <v>S-5969803</v>
      </c>
      <c r="W599">
        <f t="shared" si="39"/>
        <v>0</v>
      </c>
      <c r="X599" t="str">
        <f t="shared" si="37"/>
        <v/>
      </c>
      <c r="Y599">
        <f t="shared" si="38"/>
        <v>0.432772147</v>
      </c>
    </row>
    <row r="600" spans="1:25" hidden="1" x14ac:dyDescent="0.4">
      <c r="A600" t="s">
        <v>20</v>
      </c>
      <c r="B600">
        <v>5969803</v>
      </c>
      <c r="C600" t="s">
        <v>335</v>
      </c>
      <c r="D600" t="s">
        <v>21</v>
      </c>
      <c r="E600" t="s">
        <v>156</v>
      </c>
      <c r="K600">
        <v>163.187951287</v>
      </c>
      <c r="M600">
        <v>163.187951287</v>
      </c>
      <c r="P600" s="1" t="s">
        <v>1162</v>
      </c>
      <c r="Q600" s="1" t="s">
        <v>1163</v>
      </c>
      <c r="R600">
        <v>0.45715805599999998</v>
      </c>
      <c r="S600">
        <v>10.74</v>
      </c>
      <c r="T600" s="2">
        <v>45848</v>
      </c>
      <c r="V600" t="str">
        <f t="shared" si="36"/>
        <v>S-5969803</v>
      </c>
      <c r="W600">
        <f t="shared" si="39"/>
        <v>0</v>
      </c>
      <c r="X600" t="str">
        <f t="shared" si="37"/>
        <v/>
      </c>
      <c r="Y600">
        <f t="shared" si="38"/>
        <v>0.45715805599999998</v>
      </c>
    </row>
    <row r="601" spans="1:25" hidden="1" x14ac:dyDescent="0.4">
      <c r="A601" t="s">
        <v>20</v>
      </c>
      <c r="B601">
        <v>5969803</v>
      </c>
      <c r="C601" t="s">
        <v>335</v>
      </c>
      <c r="D601" t="s">
        <v>21</v>
      </c>
      <c r="E601" t="s">
        <v>140</v>
      </c>
      <c r="K601">
        <v>146.99045934399999</v>
      </c>
      <c r="M601">
        <v>146.99045934399999</v>
      </c>
      <c r="P601" s="1" t="s">
        <v>1529</v>
      </c>
      <c r="Q601" s="1" t="s">
        <v>1530</v>
      </c>
      <c r="R601">
        <v>0.25290506899999998</v>
      </c>
      <c r="S601">
        <v>5.43</v>
      </c>
      <c r="T601" s="2">
        <v>45848</v>
      </c>
      <c r="V601" t="str">
        <f t="shared" si="36"/>
        <v>S-5969803</v>
      </c>
      <c r="W601">
        <f t="shared" si="39"/>
        <v>0</v>
      </c>
      <c r="X601" t="str">
        <f t="shared" si="37"/>
        <v/>
      </c>
      <c r="Y601">
        <f t="shared" si="38"/>
        <v>0.25290506899999998</v>
      </c>
    </row>
    <row r="602" spans="1:25" hidden="1" x14ac:dyDescent="0.4">
      <c r="A602" t="s">
        <v>20</v>
      </c>
      <c r="B602">
        <v>5969803</v>
      </c>
      <c r="C602" t="s">
        <v>335</v>
      </c>
      <c r="D602" t="s">
        <v>21</v>
      </c>
      <c r="E602" t="s">
        <v>147</v>
      </c>
      <c r="K602">
        <v>79.090812392000004</v>
      </c>
      <c r="M602">
        <v>79.090812392000004</v>
      </c>
      <c r="P602" s="1" t="s">
        <v>1895</v>
      </c>
      <c r="Q602" s="1" t="s">
        <v>1896</v>
      </c>
      <c r="R602">
        <v>0.14703386700000001</v>
      </c>
      <c r="S602">
        <v>7.73</v>
      </c>
      <c r="T602" s="2">
        <v>45848</v>
      </c>
      <c r="V602" t="str">
        <f t="shared" si="36"/>
        <v>S-5969803</v>
      </c>
      <c r="W602">
        <f t="shared" si="39"/>
        <v>0</v>
      </c>
      <c r="X602" t="str">
        <f t="shared" si="37"/>
        <v/>
      </c>
      <c r="Y602">
        <f t="shared" si="38"/>
        <v>0.14703386700000001</v>
      </c>
    </row>
    <row r="603" spans="1:25" hidden="1" x14ac:dyDescent="0.4">
      <c r="A603" t="s">
        <v>20</v>
      </c>
      <c r="B603">
        <v>5969803</v>
      </c>
      <c r="C603" t="s">
        <v>335</v>
      </c>
      <c r="D603" t="s">
        <v>21</v>
      </c>
      <c r="E603" t="s">
        <v>22</v>
      </c>
      <c r="K603">
        <v>159.28097488700001</v>
      </c>
      <c r="L603">
        <v>159.28097488700001</v>
      </c>
      <c r="M603">
        <v>0</v>
      </c>
      <c r="N603">
        <v>0</v>
      </c>
      <c r="O603">
        <v>0</v>
      </c>
      <c r="P603">
        <v>374.16123555029299</v>
      </c>
      <c r="Q603">
        <v>1</v>
      </c>
      <c r="R603">
        <v>0</v>
      </c>
      <c r="S603">
        <v>0</v>
      </c>
      <c r="T603" s="2">
        <v>45848</v>
      </c>
      <c r="V603" t="str">
        <f t="shared" si="36"/>
        <v>S-5969803</v>
      </c>
      <c r="W603">
        <f t="shared" si="39"/>
        <v>0</v>
      </c>
      <c r="X603" t="str">
        <f t="shared" si="37"/>
        <v/>
      </c>
      <c r="Y603">
        <f t="shared" si="38"/>
        <v>0</v>
      </c>
    </row>
    <row r="604" spans="1:25" hidden="1" x14ac:dyDescent="0.4">
      <c r="A604" t="s">
        <v>20</v>
      </c>
      <c r="B604">
        <v>5977003</v>
      </c>
      <c r="C604" t="s">
        <v>336</v>
      </c>
      <c r="D604" t="s">
        <v>21</v>
      </c>
      <c r="E604" t="s">
        <v>137</v>
      </c>
      <c r="K604">
        <v>238.64947590599999</v>
      </c>
      <c r="M604">
        <v>238.64947590599999</v>
      </c>
      <c r="P604" s="1" t="s">
        <v>800</v>
      </c>
      <c r="Q604" s="1" t="s">
        <v>801</v>
      </c>
      <c r="R604">
        <v>0.436349769</v>
      </c>
      <c r="S604">
        <v>9.81</v>
      </c>
      <c r="T604" s="2">
        <v>45849</v>
      </c>
      <c r="V604" t="str">
        <f t="shared" si="36"/>
        <v>S-5977003</v>
      </c>
      <c r="W604">
        <f t="shared" si="39"/>
        <v>0</v>
      </c>
      <c r="X604" t="str">
        <f t="shared" si="37"/>
        <v/>
      </c>
      <c r="Y604">
        <f t="shared" si="38"/>
        <v>0.436349769</v>
      </c>
    </row>
    <row r="605" spans="1:25" hidden="1" x14ac:dyDescent="0.4">
      <c r="A605" t="s">
        <v>20</v>
      </c>
      <c r="B605">
        <v>5977003</v>
      </c>
      <c r="C605" t="s">
        <v>336</v>
      </c>
      <c r="D605" t="s">
        <v>21</v>
      </c>
      <c r="E605" t="s">
        <v>156</v>
      </c>
      <c r="K605">
        <v>163.649529691</v>
      </c>
      <c r="M605">
        <v>163.649529691</v>
      </c>
      <c r="P605" s="1" t="s">
        <v>1164</v>
      </c>
      <c r="Q605" s="1" t="s">
        <v>1165</v>
      </c>
      <c r="R605">
        <v>0.461578404</v>
      </c>
      <c r="S605">
        <v>11.33</v>
      </c>
      <c r="T605" s="2">
        <v>45849</v>
      </c>
      <c r="V605" t="str">
        <f t="shared" si="36"/>
        <v>S-5977003</v>
      </c>
      <c r="W605">
        <f t="shared" si="39"/>
        <v>0</v>
      </c>
      <c r="X605" t="str">
        <f t="shared" si="37"/>
        <v/>
      </c>
      <c r="Y605">
        <f t="shared" si="38"/>
        <v>0.461578404</v>
      </c>
    </row>
    <row r="606" spans="1:25" hidden="1" x14ac:dyDescent="0.4">
      <c r="A606" t="s">
        <v>20</v>
      </c>
      <c r="B606">
        <v>5977003</v>
      </c>
      <c r="C606" t="s">
        <v>336</v>
      </c>
      <c r="D606" t="s">
        <v>21</v>
      </c>
      <c r="E606" t="s">
        <v>140</v>
      </c>
      <c r="K606">
        <v>147.23065031100001</v>
      </c>
      <c r="M606">
        <v>147.23065031100001</v>
      </c>
      <c r="P606" s="1" t="s">
        <v>1531</v>
      </c>
      <c r="Q606" s="1" t="s">
        <v>1532</v>
      </c>
      <c r="R606">
        <v>0.24019096700000001</v>
      </c>
      <c r="S606">
        <v>4.91</v>
      </c>
      <c r="T606" s="2">
        <v>45849</v>
      </c>
      <c r="V606" t="str">
        <f t="shared" si="36"/>
        <v>S-5977003</v>
      </c>
      <c r="W606">
        <f t="shared" si="39"/>
        <v>0</v>
      </c>
      <c r="X606" t="str">
        <f t="shared" si="37"/>
        <v/>
      </c>
      <c r="Y606">
        <f t="shared" si="38"/>
        <v>0.24019096700000001</v>
      </c>
    </row>
    <row r="607" spans="1:25" hidden="1" x14ac:dyDescent="0.4">
      <c r="A607" t="s">
        <v>20</v>
      </c>
      <c r="B607">
        <v>5977003</v>
      </c>
      <c r="C607" t="s">
        <v>336</v>
      </c>
      <c r="D607" t="s">
        <v>21</v>
      </c>
      <c r="E607" t="s">
        <v>147</v>
      </c>
      <c r="K607">
        <v>79.231239982999995</v>
      </c>
      <c r="M607">
        <v>79.231239982999995</v>
      </c>
      <c r="P607" s="1" t="s">
        <v>1897</v>
      </c>
      <c r="Q607" s="1" t="s">
        <v>1898</v>
      </c>
      <c r="R607">
        <v>0.14042759099999999</v>
      </c>
      <c r="S607">
        <v>7.67</v>
      </c>
      <c r="T607" s="2">
        <v>45849</v>
      </c>
      <c r="V607" t="str">
        <f t="shared" si="36"/>
        <v>S-5977003</v>
      </c>
      <c r="W607">
        <f t="shared" si="39"/>
        <v>0</v>
      </c>
      <c r="X607" t="str">
        <f t="shared" si="37"/>
        <v/>
      </c>
      <c r="Y607">
        <f t="shared" si="38"/>
        <v>0.14042759099999999</v>
      </c>
    </row>
    <row r="608" spans="1:25" hidden="1" x14ac:dyDescent="0.4">
      <c r="A608" t="s">
        <v>20</v>
      </c>
      <c r="B608">
        <v>5977003</v>
      </c>
      <c r="C608" t="s">
        <v>336</v>
      </c>
      <c r="D608" t="s">
        <v>21</v>
      </c>
      <c r="E608" t="s">
        <v>22</v>
      </c>
      <c r="K608">
        <v>159.28097488700001</v>
      </c>
      <c r="L608">
        <v>159.28097488700001</v>
      </c>
      <c r="M608">
        <v>0</v>
      </c>
      <c r="N608">
        <v>0</v>
      </c>
      <c r="O608">
        <v>0</v>
      </c>
      <c r="P608">
        <v>393.06063854101001</v>
      </c>
      <c r="Q608">
        <v>1</v>
      </c>
      <c r="R608">
        <v>0</v>
      </c>
      <c r="S608">
        <v>0</v>
      </c>
      <c r="T608" s="2">
        <v>45849</v>
      </c>
      <c r="V608" t="str">
        <f t="shared" si="36"/>
        <v>S-5977003</v>
      </c>
      <c r="W608">
        <f t="shared" si="39"/>
        <v>0</v>
      </c>
      <c r="X608" t="str">
        <f t="shared" si="37"/>
        <v/>
      </c>
      <c r="Y608">
        <f t="shared" si="38"/>
        <v>0</v>
      </c>
    </row>
    <row r="609" spans="1:25" hidden="1" x14ac:dyDescent="0.4">
      <c r="A609" t="s">
        <v>20</v>
      </c>
      <c r="B609">
        <v>5984203</v>
      </c>
      <c r="C609" t="s">
        <v>337</v>
      </c>
      <c r="D609" t="s">
        <v>21</v>
      </c>
      <c r="E609" t="s">
        <v>137</v>
      </c>
      <c r="K609">
        <v>238.988469493</v>
      </c>
      <c r="M609">
        <v>238.988469493</v>
      </c>
      <c r="P609" s="1" t="s">
        <v>802</v>
      </c>
      <c r="Q609" s="1" t="s">
        <v>803</v>
      </c>
      <c r="R609">
        <v>0.33899358699999999</v>
      </c>
      <c r="S609">
        <v>7.35</v>
      </c>
      <c r="T609" s="2">
        <v>45850</v>
      </c>
      <c r="V609" t="str">
        <f t="shared" si="36"/>
        <v>S-5984203</v>
      </c>
      <c r="W609">
        <f t="shared" si="39"/>
        <v>0</v>
      </c>
      <c r="X609" t="str">
        <f t="shared" si="37"/>
        <v/>
      </c>
      <c r="Y609">
        <f t="shared" si="38"/>
        <v>0.33899358699999999</v>
      </c>
    </row>
    <row r="610" spans="1:25" hidden="1" x14ac:dyDescent="0.4">
      <c r="A610" t="s">
        <v>20</v>
      </c>
      <c r="B610">
        <v>5984203</v>
      </c>
      <c r="C610" t="s">
        <v>337</v>
      </c>
      <c r="D610" t="s">
        <v>21</v>
      </c>
      <c r="E610" t="s">
        <v>156</v>
      </c>
      <c r="K610">
        <v>164.12986739600001</v>
      </c>
      <c r="M610">
        <v>164.12986739600001</v>
      </c>
      <c r="P610" s="1" t="s">
        <v>1166</v>
      </c>
      <c r="Q610" s="1" t="s">
        <v>1167</v>
      </c>
      <c r="R610">
        <v>0.480337705</v>
      </c>
      <c r="S610">
        <v>11.45</v>
      </c>
      <c r="T610" s="2">
        <v>45850</v>
      </c>
      <c r="V610" t="str">
        <f t="shared" si="36"/>
        <v>S-5984203</v>
      </c>
      <c r="W610">
        <f t="shared" si="39"/>
        <v>0</v>
      </c>
      <c r="X610" t="str">
        <f t="shared" si="37"/>
        <v/>
      </c>
      <c r="Y610">
        <f t="shared" si="38"/>
        <v>0.480337705</v>
      </c>
    </row>
    <row r="611" spans="1:25" hidden="1" x14ac:dyDescent="0.4">
      <c r="A611" t="s">
        <v>20</v>
      </c>
      <c r="B611">
        <v>5984203</v>
      </c>
      <c r="C611" t="s">
        <v>337</v>
      </c>
      <c r="D611" t="s">
        <v>21</v>
      </c>
      <c r="E611" t="s">
        <v>140</v>
      </c>
      <c r="K611">
        <v>147.48277889900001</v>
      </c>
      <c r="M611">
        <v>147.48277889900001</v>
      </c>
      <c r="P611" s="1" t="s">
        <v>1533</v>
      </c>
      <c r="Q611" s="1" t="s">
        <v>1534</v>
      </c>
      <c r="R611">
        <v>0.25212858799999999</v>
      </c>
      <c r="S611">
        <v>5.47</v>
      </c>
      <c r="T611" s="2">
        <v>45850</v>
      </c>
      <c r="V611" t="str">
        <f t="shared" si="36"/>
        <v>S-5984203</v>
      </c>
      <c r="W611">
        <f t="shared" si="39"/>
        <v>0</v>
      </c>
      <c r="X611" t="str">
        <f t="shared" si="37"/>
        <v/>
      </c>
      <c r="Y611">
        <f t="shared" si="38"/>
        <v>0.25212858799999999</v>
      </c>
    </row>
    <row r="612" spans="1:25" hidden="1" x14ac:dyDescent="0.4">
      <c r="A612" t="s">
        <v>20</v>
      </c>
      <c r="B612">
        <v>5984203</v>
      </c>
      <c r="C612" t="s">
        <v>337</v>
      </c>
      <c r="D612" t="s">
        <v>21</v>
      </c>
      <c r="E612" t="s">
        <v>147</v>
      </c>
      <c r="K612">
        <v>79.377871416000005</v>
      </c>
      <c r="M612">
        <v>79.377871416000005</v>
      </c>
      <c r="P612" s="1" t="s">
        <v>1899</v>
      </c>
      <c r="Q612" s="1" t="s">
        <v>1900</v>
      </c>
      <c r="R612">
        <v>0.14663143300000001</v>
      </c>
      <c r="S612">
        <v>8.0299999999999994</v>
      </c>
      <c r="T612" s="2">
        <v>45850</v>
      </c>
      <c r="V612" t="str">
        <f t="shared" si="36"/>
        <v>S-5984203</v>
      </c>
      <c r="W612">
        <f t="shared" si="39"/>
        <v>0</v>
      </c>
      <c r="X612" t="str">
        <f t="shared" si="37"/>
        <v/>
      </c>
      <c r="Y612">
        <f t="shared" si="38"/>
        <v>0.14663143300000001</v>
      </c>
    </row>
    <row r="613" spans="1:25" hidden="1" x14ac:dyDescent="0.4">
      <c r="A613" t="s">
        <v>20</v>
      </c>
      <c r="B613">
        <v>5984203</v>
      </c>
      <c r="C613" t="s">
        <v>337</v>
      </c>
      <c r="D613" t="s">
        <v>21</v>
      </c>
      <c r="E613" t="s">
        <v>22</v>
      </c>
      <c r="K613">
        <v>159.28097488700001</v>
      </c>
      <c r="L613">
        <v>159.28097488700001</v>
      </c>
      <c r="M613">
        <v>0</v>
      </c>
      <c r="N613">
        <v>0</v>
      </c>
      <c r="O613">
        <v>0</v>
      </c>
      <c r="P613" s="1" t="s">
        <v>338</v>
      </c>
      <c r="Q613">
        <v>1</v>
      </c>
      <c r="R613">
        <v>0</v>
      </c>
      <c r="S613">
        <v>0</v>
      </c>
      <c r="T613" s="2">
        <v>45850</v>
      </c>
      <c r="V613" t="str">
        <f t="shared" si="36"/>
        <v>S-5984203</v>
      </c>
      <c r="W613">
        <f t="shared" si="39"/>
        <v>0</v>
      </c>
      <c r="X613" t="str">
        <f t="shared" si="37"/>
        <v/>
      </c>
      <c r="Y613">
        <f t="shared" si="38"/>
        <v>0</v>
      </c>
    </row>
    <row r="614" spans="1:25" hidden="1" x14ac:dyDescent="0.4">
      <c r="A614" t="s">
        <v>20</v>
      </c>
      <c r="B614">
        <v>5991403</v>
      </c>
      <c r="C614" t="s">
        <v>339</v>
      </c>
      <c r="D614" t="s">
        <v>21</v>
      </c>
      <c r="E614" t="s">
        <v>137</v>
      </c>
      <c r="K614">
        <v>239.40055917800001</v>
      </c>
      <c r="M614">
        <v>239.40055917800001</v>
      </c>
      <c r="P614" s="1" t="s">
        <v>804</v>
      </c>
      <c r="Q614" s="1" t="s">
        <v>805</v>
      </c>
      <c r="R614">
        <v>0.41208968499999998</v>
      </c>
      <c r="S614">
        <v>9.24</v>
      </c>
      <c r="T614" s="2">
        <v>45851</v>
      </c>
      <c r="V614" t="str">
        <f t="shared" si="36"/>
        <v>S-5991403</v>
      </c>
      <c r="W614">
        <f t="shared" si="39"/>
        <v>0</v>
      </c>
      <c r="X614" t="str">
        <f t="shared" si="37"/>
        <v/>
      </c>
      <c r="Y614">
        <f t="shared" si="38"/>
        <v>0.41208968499999998</v>
      </c>
    </row>
    <row r="615" spans="1:25" hidden="1" x14ac:dyDescent="0.4">
      <c r="A615" t="s">
        <v>20</v>
      </c>
      <c r="B615">
        <v>5991403</v>
      </c>
      <c r="C615" t="s">
        <v>339</v>
      </c>
      <c r="D615" t="s">
        <v>21</v>
      </c>
      <c r="E615" t="s">
        <v>156</v>
      </c>
      <c r="K615">
        <v>164.59114361900001</v>
      </c>
      <c r="M615">
        <v>164.59114361900001</v>
      </c>
      <c r="P615" s="1" t="s">
        <v>1168</v>
      </c>
      <c r="Q615" s="1" t="s">
        <v>1169</v>
      </c>
      <c r="R615">
        <v>0.46127622299999999</v>
      </c>
      <c r="S615">
        <v>11.14</v>
      </c>
      <c r="T615" s="2">
        <v>45851</v>
      </c>
      <c r="V615" t="str">
        <f t="shared" si="36"/>
        <v>S-5991403</v>
      </c>
      <c r="W615">
        <f t="shared" si="39"/>
        <v>0</v>
      </c>
      <c r="X615" t="str">
        <f t="shared" si="37"/>
        <v/>
      </c>
      <c r="Y615">
        <f t="shared" si="38"/>
        <v>0.46127622299999999</v>
      </c>
    </row>
    <row r="616" spans="1:25" hidden="1" x14ac:dyDescent="0.4">
      <c r="A616" t="s">
        <v>20</v>
      </c>
      <c r="B616">
        <v>5991403</v>
      </c>
      <c r="C616" t="s">
        <v>339</v>
      </c>
      <c r="D616" t="s">
        <v>21</v>
      </c>
      <c r="E616" t="s">
        <v>140</v>
      </c>
      <c r="K616">
        <v>147.732378692</v>
      </c>
      <c r="M616">
        <v>147.732378692</v>
      </c>
      <c r="P616" s="1" t="s">
        <v>1535</v>
      </c>
      <c r="Q616" s="1" t="s">
        <v>1536</v>
      </c>
      <c r="R616">
        <v>0.24959979299999999</v>
      </c>
      <c r="S616">
        <v>5.4</v>
      </c>
      <c r="T616" s="2">
        <v>45851</v>
      </c>
      <c r="V616" t="str">
        <f t="shared" si="36"/>
        <v>S-5991403</v>
      </c>
      <c r="W616">
        <f t="shared" si="39"/>
        <v>0</v>
      </c>
      <c r="X616" t="str">
        <f t="shared" si="37"/>
        <v/>
      </c>
      <c r="Y616">
        <f t="shared" si="38"/>
        <v>0.24959979299999999</v>
      </c>
    </row>
    <row r="617" spans="1:25" hidden="1" x14ac:dyDescent="0.4">
      <c r="A617" t="s">
        <v>20</v>
      </c>
      <c r="B617">
        <v>5991403</v>
      </c>
      <c r="C617" t="s">
        <v>339</v>
      </c>
      <c r="D617" t="s">
        <v>21</v>
      </c>
      <c r="E617" t="s">
        <v>147</v>
      </c>
      <c r="K617">
        <v>79.522776539000006</v>
      </c>
      <c r="M617">
        <v>79.522776539000006</v>
      </c>
      <c r="P617" s="1" t="s">
        <v>1901</v>
      </c>
      <c r="Q617" s="1" t="s">
        <v>1902</v>
      </c>
      <c r="R617">
        <v>0.144905123</v>
      </c>
      <c r="S617">
        <v>8.14</v>
      </c>
      <c r="T617" s="2">
        <v>45851</v>
      </c>
      <c r="V617" t="str">
        <f t="shared" si="36"/>
        <v>S-5991403</v>
      </c>
      <c r="W617">
        <f t="shared" si="39"/>
        <v>0</v>
      </c>
      <c r="X617" t="str">
        <f t="shared" si="37"/>
        <v/>
      </c>
      <c r="Y617">
        <f t="shared" si="38"/>
        <v>0.144905123</v>
      </c>
    </row>
    <row r="618" spans="1:25" hidden="1" x14ac:dyDescent="0.4">
      <c r="A618" t="s">
        <v>20</v>
      </c>
      <c r="B618">
        <v>5991403</v>
      </c>
      <c r="C618" t="s">
        <v>339</v>
      </c>
      <c r="D618" t="s">
        <v>21</v>
      </c>
      <c r="E618" t="s">
        <v>22</v>
      </c>
      <c r="K618">
        <v>159.28097488700001</v>
      </c>
      <c r="L618">
        <v>159.28097488700001</v>
      </c>
      <c r="M618">
        <v>0</v>
      </c>
      <c r="N618">
        <v>0</v>
      </c>
      <c r="O618">
        <v>0</v>
      </c>
      <c r="P618" s="1" t="s">
        <v>340</v>
      </c>
      <c r="Q618">
        <v>1</v>
      </c>
      <c r="R618">
        <v>0</v>
      </c>
      <c r="S618">
        <v>0</v>
      </c>
      <c r="T618" s="2">
        <v>45851</v>
      </c>
      <c r="V618" t="str">
        <f t="shared" si="36"/>
        <v>S-5991403</v>
      </c>
      <c r="W618">
        <f t="shared" si="39"/>
        <v>0</v>
      </c>
      <c r="X618" t="str">
        <f t="shared" si="37"/>
        <v/>
      </c>
      <c r="Y618">
        <f t="shared" si="38"/>
        <v>0</v>
      </c>
    </row>
    <row r="619" spans="1:25" hidden="1" x14ac:dyDescent="0.4">
      <c r="A619" t="s">
        <v>20</v>
      </c>
      <c r="B619">
        <v>5998603</v>
      </c>
      <c r="C619" t="s">
        <v>341</v>
      </c>
      <c r="D619" t="s">
        <v>21</v>
      </c>
      <c r="E619" t="s">
        <v>137</v>
      </c>
      <c r="K619">
        <v>239.80490752200001</v>
      </c>
      <c r="M619">
        <v>239.80490752200001</v>
      </c>
      <c r="P619" s="1" t="s">
        <v>806</v>
      </c>
      <c r="Q619" s="1" t="s">
        <v>807</v>
      </c>
      <c r="R619">
        <v>0.40434834400000003</v>
      </c>
      <c r="S619">
        <v>10.3</v>
      </c>
      <c r="T619" s="2">
        <v>45852</v>
      </c>
      <c r="V619" t="str">
        <f t="shared" si="36"/>
        <v>S-5998603</v>
      </c>
      <c r="W619">
        <f t="shared" si="39"/>
        <v>0</v>
      </c>
      <c r="X619" t="str">
        <f t="shared" si="37"/>
        <v/>
      </c>
      <c r="Y619">
        <f t="shared" si="38"/>
        <v>0.40434834400000003</v>
      </c>
    </row>
    <row r="620" spans="1:25" hidden="1" x14ac:dyDescent="0.4">
      <c r="A620" t="s">
        <v>20</v>
      </c>
      <c r="B620">
        <v>5998603</v>
      </c>
      <c r="C620" t="s">
        <v>341</v>
      </c>
      <c r="D620" t="s">
        <v>21</v>
      </c>
      <c r="E620" t="s">
        <v>156</v>
      </c>
      <c r="K620">
        <v>165.07552436899999</v>
      </c>
      <c r="M620">
        <v>165.07552436899999</v>
      </c>
      <c r="P620" s="1" t="s">
        <v>1170</v>
      </c>
      <c r="Q620" s="1" t="s">
        <v>1171</v>
      </c>
      <c r="R620">
        <v>0.48438075000000003</v>
      </c>
      <c r="S620">
        <v>12.16</v>
      </c>
      <c r="T620" s="2">
        <v>45852</v>
      </c>
      <c r="V620" t="str">
        <f t="shared" si="36"/>
        <v>S-5998603</v>
      </c>
      <c r="W620">
        <f t="shared" si="39"/>
        <v>0</v>
      </c>
      <c r="X620" t="str">
        <f t="shared" si="37"/>
        <v/>
      </c>
      <c r="Y620">
        <f t="shared" si="38"/>
        <v>0.48438075000000003</v>
      </c>
    </row>
    <row r="621" spans="1:25" hidden="1" x14ac:dyDescent="0.4">
      <c r="A621" t="s">
        <v>20</v>
      </c>
      <c r="B621">
        <v>5998603</v>
      </c>
      <c r="C621" t="s">
        <v>341</v>
      </c>
      <c r="D621" t="s">
        <v>21</v>
      </c>
      <c r="E621" t="s">
        <v>140</v>
      </c>
      <c r="K621">
        <v>147.977430164</v>
      </c>
      <c r="M621">
        <v>147.977430164</v>
      </c>
      <c r="P621" s="1" t="s">
        <v>1537</v>
      </c>
      <c r="Q621" s="1" t="s">
        <v>1538</v>
      </c>
      <c r="R621">
        <v>0.24505147199999999</v>
      </c>
      <c r="S621">
        <v>6.05</v>
      </c>
      <c r="T621" s="2">
        <v>45852</v>
      </c>
      <c r="V621" t="str">
        <f t="shared" si="36"/>
        <v>S-5998603</v>
      </c>
      <c r="W621">
        <f t="shared" si="39"/>
        <v>0</v>
      </c>
      <c r="X621" t="str">
        <f t="shared" si="37"/>
        <v/>
      </c>
      <c r="Y621">
        <f t="shared" si="38"/>
        <v>0.24505147199999999</v>
      </c>
    </row>
    <row r="622" spans="1:25" hidden="1" x14ac:dyDescent="0.4">
      <c r="A622" t="s">
        <v>20</v>
      </c>
      <c r="B622">
        <v>5998603</v>
      </c>
      <c r="C622" t="s">
        <v>341</v>
      </c>
      <c r="D622" t="s">
        <v>21</v>
      </c>
      <c r="E622" t="s">
        <v>147</v>
      </c>
      <c r="K622">
        <v>79.665421996999996</v>
      </c>
      <c r="M622">
        <v>79.665421996999996</v>
      </c>
      <c r="P622" s="1" t="s">
        <v>1903</v>
      </c>
      <c r="Q622" s="1" t="s">
        <v>1904</v>
      </c>
      <c r="R622">
        <v>0.142645458</v>
      </c>
      <c r="S622">
        <v>8.6300000000000008</v>
      </c>
      <c r="T622" s="2">
        <v>45852</v>
      </c>
      <c r="V622" t="str">
        <f t="shared" si="36"/>
        <v>S-5998603</v>
      </c>
      <c r="W622">
        <f t="shared" si="39"/>
        <v>0</v>
      </c>
      <c r="X622" t="str">
        <f t="shared" si="37"/>
        <v/>
      </c>
      <c r="Y622">
        <f t="shared" si="38"/>
        <v>0.142645458</v>
      </c>
    </row>
    <row r="623" spans="1:25" hidden="1" x14ac:dyDescent="0.4">
      <c r="A623" t="s">
        <v>20</v>
      </c>
      <c r="B623">
        <v>5998603</v>
      </c>
      <c r="C623" t="s">
        <v>341</v>
      </c>
      <c r="D623" t="s">
        <v>21</v>
      </c>
      <c r="E623" t="s">
        <v>22</v>
      </c>
      <c r="K623">
        <v>159.28097488700001</v>
      </c>
      <c r="L623">
        <v>159.28097488700001</v>
      </c>
      <c r="M623">
        <v>0</v>
      </c>
      <c r="N623">
        <v>0</v>
      </c>
      <c r="O623">
        <v>0</v>
      </c>
      <c r="P623" s="1" t="s">
        <v>342</v>
      </c>
      <c r="Q623">
        <v>1</v>
      </c>
      <c r="R623">
        <v>0</v>
      </c>
      <c r="S623">
        <v>0</v>
      </c>
      <c r="T623" s="2">
        <v>45852</v>
      </c>
      <c r="V623" t="str">
        <f t="shared" si="36"/>
        <v>S-5998603</v>
      </c>
      <c r="W623">
        <f t="shared" si="39"/>
        <v>0</v>
      </c>
      <c r="X623" t="str">
        <f t="shared" si="37"/>
        <v/>
      </c>
      <c r="Y623">
        <f t="shared" si="38"/>
        <v>0</v>
      </c>
    </row>
    <row r="624" spans="1:25" hidden="1" x14ac:dyDescent="0.4">
      <c r="A624" t="s">
        <v>20</v>
      </c>
      <c r="B624">
        <v>6005798</v>
      </c>
      <c r="C624" t="s">
        <v>343</v>
      </c>
      <c r="D624" t="s">
        <v>21</v>
      </c>
      <c r="E624" t="s">
        <v>137</v>
      </c>
      <c r="K624">
        <v>240.190204403</v>
      </c>
      <c r="M624">
        <v>240.190204403</v>
      </c>
      <c r="P624" s="1" t="s">
        <v>808</v>
      </c>
      <c r="Q624" s="1" t="s">
        <v>809</v>
      </c>
      <c r="R624">
        <v>0.38529688099999998</v>
      </c>
      <c r="S624">
        <v>11.71</v>
      </c>
      <c r="T624" s="2">
        <v>45853</v>
      </c>
      <c r="V624" t="str">
        <f t="shared" si="36"/>
        <v>S-6005798</v>
      </c>
      <c r="W624">
        <f t="shared" si="39"/>
        <v>0</v>
      </c>
      <c r="X624" t="str">
        <f t="shared" si="37"/>
        <v/>
      </c>
      <c r="Y624">
        <f t="shared" si="38"/>
        <v>0.38529688099999998</v>
      </c>
    </row>
    <row r="625" spans="1:25" hidden="1" x14ac:dyDescent="0.4">
      <c r="A625" t="s">
        <v>20</v>
      </c>
      <c r="B625">
        <v>6005798</v>
      </c>
      <c r="C625" t="s">
        <v>343</v>
      </c>
      <c r="D625" t="s">
        <v>21</v>
      </c>
      <c r="E625" t="s">
        <v>156</v>
      </c>
      <c r="K625">
        <v>165.51949514899999</v>
      </c>
      <c r="M625">
        <v>165.51949514899999</v>
      </c>
      <c r="P625" s="1" t="s">
        <v>1172</v>
      </c>
      <c r="Q625" s="1" t="s">
        <v>1173</v>
      </c>
      <c r="R625">
        <v>0.44397078000000001</v>
      </c>
      <c r="S625">
        <v>12.34</v>
      </c>
      <c r="T625" s="2">
        <v>45853</v>
      </c>
      <c r="V625" t="str">
        <f t="shared" si="36"/>
        <v>S-6005798</v>
      </c>
      <c r="W625">
        <f t="shared" si="39"/>
        <v>0</v>
      </c>
      <c r="X625" t="str">
        <f t="shared" si="37"/>
        <v/>
      </c>
      <c r="Y625">
        <f t="shared" si="38"/>
        <v>0.44397078000000001</v>
      </c>
    </row>
    <row r="626" spans="1:25" hidden="1" x14ac:dyDescent="0.4">
      <c r="A626" t="s">
        <v>20</v>
      </c>
      <c r="B626">
        <v>6005798</v>
      </c>
      <c r="C626" t="s">
        <v>343</v>
      </c>
      <c r="D626" t="s">
        <v>21</v>
      </c>
      <c r="E626" t="s">
        <v>140</v>
      </c>
      <c r="K626">
        <v>148.21545600600001</v>
      </c>
      <c r="M626">
        <v>148.21545600600001</v>
      </c>
      <c r="P626" s="1" t="s">
        <v>1539</v>
      </c>
      <c r="Q626" s="1" t="s">
        <v>1540</v>
      </c>
      <c r="R626">
        <v>0.23802584199999999</v>
      </c>
      <c r="S626">
        <v>7.07</v>
      </c>
      <c r="T626" s="2">
        <v>45853</v>
      </c>
      <c r="V626" t="str">
        <f t="shared" si="36"/>
        <v>S-6005798</v>
      </c>
      <c r="W626">
        <f t="shared" si="39"/>
        <v>0</v>
      </c>
      <c r="X626" t="str">
        <f t="shared" si="37"/>
        <v/>
      </c>
      <c r="Y626">
        <f t="shared" si="38"/>
        <v>0.23802584199999999</v>
      </c>
    </row>
    <row r="627" spans="1:25" hidden="1" x14ac:dyDescent="0.4">
      <c r="A627" t="s">
        <v>20</v>
      </c>
      <c r="B627">
        <v>6005798</v>
      </c>
      <c r="C627" t="s">
        <v>343</v>
      </c>
      <c r="D627" t="s">
        <v>21</v>
      </c>
      <c r="E627" t="s">
        <v>147</v>
      </c>
      <c r="K627">
        <v>79.803254645999999</v>
      </c>
      <c r="M627">
        <v>79.803254645999999</v>
      </c>
      <c r="P627" s="1" t="s">
        <v>1905</v>
      </c>
      <c r="Q627" s="1" t="s">
        <v>1906</v>
      </c>
      <c r="R627">
        <v>0.137832649</v>
      </c>
      <c r="S627">
        <v>10.07</v>
      </c>
      <c r="T627" s="2">
        <v>45853</v>
      </c>
      <c r="V627" t="str">
        <f t="shared" si="36"/>
        <v>S-6005798</v>
      </c>
      <c r="W627">
        <f t="shared" si="39"/>
        <v>0</v>
      </c>
      <c r="X627" t="str">
        <f t="shared" si="37"/>
        <v/>
      </c>
      <c r="Y627">
        <f t="shared" si="38"/>
        <v>0.137832649</v>
      </c>
    </row>
    <row r="628" spans="1:25" hidden="1" x14ac:dyDescent="0.4">
      <c r="A628" t="s">
        <v>20</v>
      </c>
      <c r="B628">
        <v>6005798</v>
      </c>
      <c r="C628" t="s">
        <v>343</v>
      </c>
      <c r="D628" t="s">
        <v>21</v>
      </c>
      <c r="E628" t="s">
        <v>22</v>
      </c>
      <c r="K628">
        <v>159.28097488700001</v>
      </c>
      <c r="L628">
        <v>159.28097488700001</v>
      </c>
      <c r="M628">
        <v>0</v>
      </c>
      <c r="N628">
        <v>0</v>
      </c>
      <c r="O628">
        <v>0</v>
      </c>
      <c r="P628" s="1" t="s">
        <v>344</v>
      </c>
      <c r="Q628">
        <v>1</v>
      </c>
      <c r="R628">
        <v>0</v>
      </c>
      <c r="S628">
        <v>0</v>
      </c>
      <c r="T628" s="2">
        <v>45853</v>
      </c>
      <c r="V628" t="str">
        <f t="shared" si="36"/>
        <v>S-6005798</v>
      </c>
      <c r="W628">
        <f t="shared" si="39"/>
        <v>0</v>
      </c>
      <c r="X628" t="str">
        <f t="shared" si="37"/>
        <v/>
      </c>
      <c r="Y628">
        <f t="shared" si="38"/>
        <v>0</v>
      </c>
    </row>
    <row r="629" spans="1:25" hidden="1" x14ac:dyDescent="0.4">
      <c r="A629" t="s">
        <v>20</v>
      </c>
      <c r="B629">
        <v>6012995</v>
      </c>
      <c r="C629" t="s">
        <v>345</v>
      </c>
      <c r="D629" t="s">
        <v>21</v>
      </c>
      <c r="E629" t="s">
        <v>137</v>
      </c>
      <c r="K629">
        <v>240.567489123</v>
      </c>
      <c r="M629">
        <v>240.567489123</v>
      </c>
      <c r="P629" s="1" t="s">
        <v>810</v>
      </c>
      <c r="Q629" s="1" t="s">
        <v>811</v>
      </c>
      <c r="R629">
        <v>0.37728472000000002</v>
      </c>
      <c r="S629">
        <v>11.34</v>
      </c>
      <c r="T629" s="2">
        <v>45854</v>
      </c>
      <c r="V629" t="str">
        <f t="shared" si="36"/>
        <v>S-6012995</v>
      </c>
      <c r="W629">
        <f t="shared" si="39"/>
        <v>0</v>
      </c>
      <c r="X629" t="str">
        <f t="shared" si="37"/>
        <v/>
      </c>
      <c r="Y629">
        <f t="shared" si="38"/>
        <v>0.37728472000000002</v>
      </c>
    </row>
    <row r="630" spans="1:25" hidden="1" x14ac:dyDescent="0.4">
      <c r="A630" t="s">
        <v>20</v>
      </c>
      <c r="B630">
        <v>6012995</v>
      </c>
      <c r="C630" t="s">
        <v>345</v>
      </c>
      <c r="D630" t="s">
        <v>21</v>
      </c>
      <c r="E630" t="s">
        <v>156</v>
      </c>
      <c r="K630">
        <v>165.951979814</v>
      </c>
      <c r="M630">
        <v>165.951979814</v>
      </c>
      <c r="P630" s="1" t="s">
        <v>1174</v>
      </c>
      <c r="Q630" s="1" t="s">
        <v>1175</v>
      </c>
      <c r="R630">
        <v>0.43248466499999999</v>
      </c>
      <c r="S630">
        <v>12.02</v>
      </c>
      <c r="T630" s="2">
        <v>45854</v>
      </c>
      <c r="V630" t="str">
        <f t="shared" si="36"/>
        <v>S-6012995</v>
      </c>
      <c r="W630">
        <f t="shared" si="39"/>
        <v>0</v>
      </c>
      <c r="X630" t="str">
        <f t="shared" si="37"/>
        <v/>
      </c>
      <c r="Y630">
        <f t="shared" si="38"/>
        <v>0.43248466499999999</v>
      </c>
    </row>
    <row r="631" spans="1:25" hidden="1" x14ac:dyDescent="0.4">
      <c r="A631" t="s">
        <v>20</v>
      </c>
      <c r="B631">
        <v>6012995</v>
      </c>
      <c r="C631" t="s">
        <v>345</v>
      </c>
      <c r="D631" t="s">
        <v>21</v>
      </c>
      <c r="E631" t="s">
        <v>140</v>
      </c>
      <c r="K631">
        <v>148.45331605999999</v>
      </c>
      <c r="M631">
        <v>148.45331605999999</v>
      </c>
      <c r="P631" s="1" t="s">
        <v>1541</v>
      </c>
      <c r="Q631" s="1" t="s">
        <v>1542</v>
      </c>
      <c r="R631">
        <v>0.23786005399999999</v>
      </c>
      <c r="S631">
        <v>6.97</v>
      </c>
      <c r="T631" s="2">
        <v>45854</v>
      </c>
      <c r="V631" t="str">
        <f t="shared" si="36"/>
        <v>S-6012995</v>
      </c>
      <c r="W631">
        <f t="shared" si="39"/>
        <v>0</v>
      </c>
      <c r="X631" t="str">
        <f t="shared" si="37"/>
        <v/>
      </c>
      <c r="Y631">
        <f t="shared" si="38"/>
        <v>0.23786005399999999</v>
      </c>
    </row>
    <row r="632" spans="1:25" hidden="1" x14ac:dyDescent="0.4">
      <c r="A632" t="s">
        <v>20</v>
      </c>
      <c r="B632">
        <v>6012995</v>
      </c>
      <c r="C632" t="s">
        <v>345</v>
      </c>
      <c r="D632" t="s">
        <v>21</v>
      </c>
      <c r="E632" t="s">
        <v>147</v>
      </c>
      <c r="K632">
        <v>79.936167957999999</v>
      </c>
      <c r="M632">
        <v>79.936167957999999</v>
      </c>
      <c r="P632" s="1" t="s">
        <v>1907</v>
      </c>
      <c r="Q632" s="1" t="s">
        <v>1908</v>
      </c>
      <c r="R632">
        <v>0.13291331200000001</v>
      </c>
      <c r="S632">
        <v>9.73</v>
      </c>
      <c r="T632" s="2">
        <v>45854</v>
      </c>
      <c r="V632" t="str">
        <f t="shared" si="36"/>
        <v>S-6012995</v>
      </c>
      <c r="W632">
        <f t="shared" si="39"/>
        <v>0</v>
      </c>
      <c r="X632" t="str">
        <f t="shared" si="37"/>
        <v/>
      </c>
      <c r="Y632">
        <f t="shared" si="38"/>
        <v>0.13291331200000001</v>
      </c>
    </row>
    <row r="633" spans="1:25" hidden="1" x14ac:dyDescent="0.4">
      <c r="A633" t="s">
        <v>20</v>
      </c>
      <c r="B633">
        <v>6012995</v>
      </c>
      <c r="C633" t="s">
        <v>345</v>
      </c>
      <c r="D633" t="s">
        <v>21</v>
      </c>
      <c r="E633" t="s">
        <v>22</v>
      </c>
      <c r="K633">
        <v>159.28097488700001</v>
      </c>
      <c r="L633">
        <v>159.28097488700001</v>
      </c>
      <c r="M633">
        <v>0</v>
      </c>
      <c r="N633">
        <v>0</v>
      </c>
      <c r="O633">
        <v>0</v>
      </c>
      <c r="P633">
        <v>432.06982058496698</v>
      </c>
      <c r="Q633">
        <v>1</v>
      </c>
      <c r="R633">
        <v>0</v>
      </c>
      <c r="S633">
        <v>0</v>
      </c>
      <c r="T633" s="2">
        <v>45854</v>
      </c>
      <c r="V633" t="str">
        <f t="shared" si="36"/>
        <v>S-6012995</v>
      </c>
      <c r="W633">
        <f t="shared" si="39"/>
        <v>0</v>
      </c>
      <c r="X633" t="str">
        <f t="shared" si="37"/>
        <v/>
      </c>
      <c r="Y633">
        <f t="shared" si="38"/>
        <v>0</v>
      </c>
    </row>
    <row r="634" spans="1:25" hidden="1" x14ac:dyDescent="0.4">
      <c r="A634" t="s">
        <v>20</v>
      </c>
      <c r="B634">
        <v>6020195</v>
      </c>
      <c r="C634" t="s">
        <v>346</v>
      </c>
      <c r="D634" t="s">
        <v>21</v>
      </c>
      <c r="E634" t="s">
        <v>137</v>
      </c>
      <c r="K634">
        <v>240.94174064000001</v>
      </c>
      <c r="M634">
        <v>240.94174064000001</v>
      </c>
      <c r="P634" s="1" t="s">
        <v>812</v>
      </c>
      <c r="Q634" s="1" t="s">
        <v>813</v>
      </c>
      <c r="R634">
        <v>0.37425151699999998</v>
      </c>
      <c r="S634">
        <v>11.68</v>
      </c>
      <c r="T634" s="2">
        <v>45855</v>
      </c>
      <c r="V634" t="str">
        <f t="shared" si="36"/>
        <v>S-6020195</v>
      </c>
      <c r="W634">
        <f t="shared" si="39"/>
        <v>0</v>
      </c>
      <c r="X634" t="str">
        <f t="shared" si="37"/>
        <v/>
      </c>
      <c r="Y634">
        <f t="shared" si="38"/>
        <v>0.37425151699999998</v>
      </c>
    </row>
    <row r="635" spans="1:25" hidden="1" x14ac:dyDescent="0.4">
      <c r="A635" t="s">
        <v>20</v>
      </c>
      <c r="B635">
        <v>6020195</v>
      </c>
      <c r="C635" t="s">
        <v>346</v>
      </c>
      <c r="D635" t="s">
        <v>21</v>
      </c>
      <c r="E635" t="s">
        <v>156</v>
      </c>
      <c r="K635">
        <v>166.389518831</v>
      </c>
      <c r="M635">
        <v>166.389518831</v>
      </c>
      <c r="P635" s="1" t="s">
        <v>1176</v>
      </c>
      <c r="Q635" s="1" t="s">
        <v>1177</v>
      </c>
      <c r="R635">
        <v>0.43753901699999997</v>
      </c>
      <c r="S635">
        <v>12.28</v>
      </c>
      <c r="T635" s="2">
        <v>45855</v>
      </c>
      <c r="V635" t="str">
        <f t="shared" si="36"/>
        <v>S-6020195</v>
      </c>
      <c r="W635">
        <f t="shared" si="39"/>
        <v>0</v>
      </c>
      <c r="X635" t="str">
        <f t="shared" si="37"/>
        <v/>
      </c>
      <c r="Y635">
        <f t="shared" si="38"/>
        <v>0.43753901699999997</v>
      </c>
    </row>
    <row r="636" spans="1:25" hidden="1" x14ac:dyDescent="0.4">
      <c r="A636" t="s">
        <v>20</v>
      </c>
      <c r="B636">
        <v>6020195</v>
      </c>
      <c r="C636" t="s">
        <v>346</v>
      </c>
      <c r="D636" t="s">
        <v>21</v>
      </c>
      <c r="E636" t="s">
        <v>140</v>
      </c>
      <c r="K636">
        <v>148.689087016</v>
      </c>
      <c r="M636">
        <v>148.689087016</v>
      </c>
      <c r="P636" s="1" t="s">
        <v>1543</v>
      </c>
      <c r="Q636" s="1" t="s">
        <v>1544</v>
      </c>
      <c r="R636">
        <v>0.235770956</v>
      </c>
      <c r="S636">
        <v>7.62</v>
      </c>
      <c r="T636" s="2">
        <v>45855</v>
      </c>
      <c r="V636" t="str">
        <f t="shared" si="36"/>
        <v>S-6020195</v>
      </c>
      <c r="W636">
        <f t="shared" si="39"/>
        <v>0</v>
      </c>
      <c r="X636" t="str">
        <f t="shared" si="37"/>
        <v/>
      </c>
      <c r="Y636">
        <f t="shared" si="38"/>
        <v>0.235770956</v>
      </c>
    </row>
    <row r="637" spans="1:25" hidden="1" x14ac:dyDescent="0.4">
      <c r="A637" t="s">
        <v>20</v>
      </c>
      <c r="B637">
        <v>6020195</v>
      </c>
      <c r="C637" t="s">
        <v>346</v>
      </c>
      <c r="D637" t="s">
        <v>21</v>
      </c>
      <c r="E637" t="s">
        <v>147</v>
      </c>
      <c r="K637">
        <v>80.067819439000004</v>
      </c>
      <c r="M637">
        <v>80.067819439000004</v>
      </c>
      <c r="P637" s="1" t="s">
        <v>1909</v>
      </c>
      <c r="Q637" s="1" t="s">
        <v>1910</v>
      </c>
      <c r="R637">
        <v>0.13165148099999999</v>
      </c>
      <c r="S637">
        <v>9.75</v>
      </c>
      <c r="T637" s="2">
        <v>45855</v>
      </c>
      <c r="V637" t="str">
        <f t="shared" si="36"/>
        <v>S-6020195</v>
      </c>
      <c r="W637">
        <f t="shared" si="39"/>
        <v>0</v>
      </c>
      <c r="X637" t="str">
        <f t="shared" si="37"/>
        <v/>
      </c>
      <c r="Y637">
        <f t="shared" si="38"/>
        <v>0.13165148099999999</v>
      </c>
    </row>
    <row r="638" spans="1:25" hidden="1" x14ac:dyDescent="0.4">
      <c r="A638" t="s">
        <v>20</v>
      </c>
      <c r="B638">
        <v>6020195</v>
      </c>
      <c r="C638" t="s">
        <v>346</v>
      </c>
      <c r="D638" t="s">
        <v>21</v>
      </c>
      <c r="E638" t="s">
        <v>22</v>
      </c>
      <c r="K638">
        <v>159.28097488700001</v>
      </c>
      <c r="L638">
        <v>159.28097488700001</v>
      </c>
      <c r="M638">
        <v>0</v>
      </c>
      <c r="N638">
        <v>0</v>
      </c>
      <c r="O638">
        <v>0</v>
      </c>
      <c r="P638" s="1" t="s">
        <v>347</v>
      </c>
      <c r="Q638">
        <v>1</v>
      </c>
      <c r="R638">
        <v>0</v>
      </c>
      <c r="S638">
        <v>0</v>
      </c>
      <c r="T638" s="2">
        <v>45855</v>
      </c>
      <c r="V638" t="str">
        <f t="shared" si="36"/>
        <v>S-6020195</v>
      </c>
      <c r="W638">
        <f t="shared" si="39"/>
        <v>0</v>
      </c>
      <c r="X638" t="str">
        <f t="shared" si="37"/>
        <v/>
      </c>
      <c r="Y638">
        <f t="shared" si="38"/>
        <v>0</v>
      </c>
    </row>
    <row r="639" spans="1:25" hidden="1" x14ac:dyDescent="0.4">
      <c r="A639" t="s">
        <v>20</v>
      </c>
      <c r="B639">
        <v>6027395</v>
      </c>
      <c r="C639" t="s">
        <v>348</v>
      </c>
      <c r="D639" t="s">
        <v>21</v>
      </c>
      <c r="E639" t="s">
        <v>137</v>
      </c>
      <c r="K639">
        <v>241.31783143300001</v>
      </c>
      <c r="M639">
        <v>241.31783143300001</v>
      </c>
      <c r="P639" s="1" t="s">
        <v>814</v>
      </c>
      <c r="Q639" s="1" t="s">
        <v>815</v>
      </c>
      <c r="R639">
        <v>0.37609079299999998</v>
      </c>
      <c r="S639">
        <v>11.13</v>
      </c>
      <c r="T639" s="2">
        <v>45856</v>
      </c>
      <c r="V639" t="str">
        <f t="shared" si="36"/>
        <v>S-6027395</v>
      </c>
      <c r="W639">
        <f t="shared" si="39"/>
        <v>0</v>
      </c>
      <c r="X639" t="str">
        <f t="shared" si="37"/>
        <v/>
      </c>
      <c r="Y639">
        <f t="shared" si="38"/>
        <v>0.37609079299999998</v>
      </c>
    </row>
    <row r="640" spans="1:25" hidden="1" x14ac:dyDescent="0.4">
      <c r="A640" t="s">
        <v>20</v>
      </c>
      <c r="B640">
        <v>6027395</v>
      </c>
      <c r="C640" t="s">
        <v>348</v>
      </c>
      <c r="D640" t="s">
        <v>21</v>
      </c>
      <c r="E640" t="s">
        <v>156</v>
      </c>
      <c r="K640">
        <v>166.80613386300001</v>
      </c>
      <c r="M640">
        <v>166.80613386300001</v>
      </c>
      <c r="P640" s="1" t="s">
        <v>1178</v>
      </c>
      <c r="Q640" s="1" t="s">
        <v>1179</v>
      </c>
      <c r="R640">
        <v>0.416615032</v>
      </c>
      <c r="S640">
        <v>11.24</v>
      </c>
      <c r="T640" s="2">
        <v>45856</v>
      </c>
      <c r="V640" t="str">
        <f t="shared" si="36"/>
        <v>S-6027395</v>
      </c>
      <c r="W640">
        <f t="shared" si="39"/>
        <v>0</v>
      </c>
      <c r="X640" t="str">
        <f t="shared" si="37"/>
        <v/>
      </c>
      <c r="Y640">
        <f t="shared" si="38"/>
        <v>0.416615032</v>
      </c>
    </row>
    <row r="641" spans="1:25" hidden="1" x14ac:dyDescent="0.4">
      <c r="A641" t="s">
        <v>20</v>
      </c>
      <c r="B641">
        <v>6027395</v>
      </c>
      <c r="C641" t="s">
        <v>348</v>
      </c>
      <c r="D641" t="s">
        <v>21</v>
      </c>
      <c r="E641" t="s">
        <v>140</v>
      </c>
      <c r="K641">
        <v>148.92345106400001</v>
      </c>
      <c r="M641">
        <v>148.92345106400001</v>
      </c>
      <c r="P641" s="1" t="s">
        <v>1545</v>
      </c>
      <c r="Q641" s="1" t="s">
        <v>1546</v>
      </c>
      <c r="R641">
        <v>0.23436404799999999</v>
      </c>
      <c r="S641">
        <v>7.36</v>
      </c>
      <c r="T641" s="2">
        <v>45856</v>
      </c>
      <c r="V641" t="str">
        <f t="shared" si="36"/>
        <v>S-6027395</v>
      </c>
      <c r="W641">
        <f t="shared" si="39"/>
        <v>0</v>
      </c>
      <c r="X641" t="str">
        <f t="shared" si="37"/>
        <v/>
      </c>
      <c r="Y641">
        <f t="shared" si="38"/>
        <v>0.23436404799999999</v>
      </c>
    </row>
    <row r="642" spans="1:25" hidden="1" x14ac:dyDescent="0.4">
      <c r="A642" t="s">
        <v>20</v>
      </c>
      <c r="B642">
        <v>6027395</v>
      </c>
      <c r="C642" t="s">
        <v>348</v>
      </c>
      <c r="D642" t="s">
        <v>21</v>
      </c>
      <c r="E642" t="s">
        <v>147</v>
      </c>
      <c r="K642">
        <v>80.199598698000003</v>
      </c>
      <c r="M642">
        <v>80.199598698000003</v>
      </c>
      <c r="P642" s="1" t="s">
        <v>1911</v>
      </c>
      <c r="Q642" s="1" t="s">
        <v>1912</v>
      </c>
      <c r="R642">
        <v>0.13177925900000001</v>
      </c>
      <c r="S642">
        <v>9.24</v>
      </c>
      <c r="T642" s="2">
        <v>45856</v>
      </c>
      <c r="V642" t="str">
        <f t="shared" si="36"/>
        <v>S-6027395</v>
      </c>
      <c r="W642">
        <f t="shared" si="39"/>
        <v>0</v>
      </c>
      <c r="X642" t="str">
        <f t="shared" si="37"/>
        <v/>
      </c>
      <c r="Y642">
        <f t="shared" si="38"/>
        <v>0.13177925900000001</v>
      </c>
    </row>
    <row r="643" spans="1:25" hidden="1" x14ac:dyDescent="0.4">
      <c r="A643" t="s">
        <v>20</v>
      </c>
      <c r="B643">
        <v>6027395</v>
      </c>
      <c r="C643" t="s">
        <v>348</v>
      </c>
      <c r="D643" t="s">
        <v>21</v>
      </c>
      <c r="E643" t="s">
        <v>22</v>
      </c>
      <c r="K643">
        <v>159.28097488700001</v>
      </c>
      <c r="L643">
        <v>159.28097488700001</v>
      </c>
      <c r="M643">
        <v>0</v>
      </c>
      <c r="N643">
        <v>0</v>
      </c>
      <c r="O643">
        <v>0</v>
      </c>
      <c r="P643" s="1" t="s">
        <v>349</v>
      </c>
      <c r="Q643">
        <v>1</v>
      </c>
      <c r="R643">
        <v>0</v>
      </c>
      <c r="S643">
        <v>0</v>
      </c>
      <c r="T643" s="2">
        <v>45856</v>
      </c>
      <c r="V643" t="str">
        <f t="shared" ref="V643:V706" si="40">"S-"&amp;IF(LEN(I643)=0,B643,I643&amp;IF(F643="fee","-00",IF(LEN(G643)&gt;0,"-01","-02")))</f>
        <v>S-6027395</v>
      </c>
      <c r="W643">
        <f t="shared" si="39"/>
        <v>0</v>
      </c>
      <c r="X643" t="str">
        <f t="shared" ref="X643:X706" si="41">IF(LEN(I643)&gt;0,I643&amp;IF(F643="fee","fee",IF(VALUE(G643)&gt;0,"debit",IF(VALUE(H643)&gt;0,"credit","error"))),"")</f>
        <v/>
      </c>
      <c r="Y643">
        <f t="shared" ref="Y643:Y706" si="42">ROUND(IF(ROW(U643) = 2,K643,0)+IF(H643&lt;&gt;"",H643,0) + IF(R643&lt;&gt;"",R643,0) - IF(G643&lt;&gt;"",G643,0),9)</f>
        <v>0</v>
      </c>
    </row>
    <row r="644" spans="1:25" hidden="1" x14ac:dyDescent="0.4">
      <c r="A644" t="s">
        <v>20</v>
      </c>
      <c r="B644">
        <v>6034595</v>
      </c>
      <c r="C644" t="s">
        <v>350</v>
      </c>
      <c r="D644" t="s">
        <v>21</v>
      </c>
      <c r="E644" t="s">
        <v>137</v>
      </c>
      <c r="K644">
        <v>241.694729534</v>
      </c>
      <c r="M644">
        <v>241.694729534</v>
      </c>
      <c r="P644" s="1" t="s">
        <v>816</v>
      </c>
      <c r="Q644" s="1" t="s">
        <v>817</v>
      </c>
      <c r="R644">
        <v>0.37689810099999999</v>
      </c>
      <c r="S644">
        <v>11.51</v>
      </c>
      <c r="T644" s="2">
        <v>45857</v>
      </c>
      <c r="V644" t="str">
        <f t="shared" si="40"/>
        <v>S-6034595</v>
      </c>
      <c r="W644">
        <f t="shared" ref="W644:W707" si="43">COUNTIF(I:I,I644)</f>
        <v>0</v>
      </c>
      <c r="X644" t="str">
        <f t="shared" si="41"/>
        <v/>
      </c>
      <c r="Y644">
        <f t="shared" si="42"/>
        <v>0.37689810099999999</v>
      </c>
    </row>
    <row r="645" spans="1:25" hidden="1" x14ac:dyDescent="0.4">
      <c r="A645" t="s">
        <v>20</v>
      </c>
      <c r="B645">
        <v>6034595</v>
      </c>
      <c r="C645" t="s">
        <v>350</v>
      </c>
      <c r="D645" t="s">
        <v>21</v>
      </c>
      <c r="E645" t="s">
        <v>156</v>
      </c>
      <c r="K645">
        <v>167.254797</v>
      </c>
      <c r="M645">
        <v>167.254797</v>
      </c>
      <c r="P645" s="1" t="s">
        <v>1180</v>
      </c>
      <c r="Q645" s="1" t="s">
        <v>1181</v>
      </c>
      <c r="R645">
        <v>0.44866313699999999</v>
      </c>
      <c r="S645">
        <v>12.03</v>
      </c>
      <c r="T645" s="2">
        <v>45857</v>
      </c>
      <c r="V645" t="str">
        <f t="shared" si="40"/>
        <v>S-6034595</v>
      </c>
      <c r="W645">
        <f t="shared" si="43"/>
        <v>0</v>
      </c>
      <c r="X645" t="str">
        <f t="shared" si="41"/>
        <v/>
      </c>
      <c r="Y645">
        <f t="shared" si="42"/>
        <v>0.44866313699999999</v>
      </c>
    </row>
    <row r="646" spans="1:25" hidden="1" x14ac:dyDescent="0.4">
      <c r="A646" t="s">
        <v>20</v>
      </c>
      <c r="B646">
        <v>6034595</v>
      </c>
      <c r="C646" t="s">
        <v>350</v>
      </c>
      <c r="D646" t="s">
        <v>21</v>
      </c>
      <c r="E646" t="s">
        <v>140</v>
      </c>
      <c r="K646">
        <v>149.15503811299999</v>
      </c>
      <c r="M646">
        <v>149.15503811299999</v>
      </c>
      <c r="P646" s="1" t="s">
        <v>1547</v>
      </c>
      <c r="Q646" s="1" t="s">
        <v>1548</v>
      </c>
      <c r="R646">
        <v>0.23158704899999999</v>
      </c>
      <c r="S646">
        <v>7.83</v>
      </c>
      <c r="T646" s="2">
        <v>45857</v>
      </c>
      <c r="V646" t="str">
        <f t="shared" si="40"/>
        <v>S-6034595</v>
      </c>
      <c r="W646">
        <f t="shared" si="43"/>
        <v>0</v>
      </c>
      <c r="X646" t="str">
        <f t="shared" si="41"/>
        <v/>
      </c>
      <c r="Y646">
        <f t="shared" si="42"/>
        <v>0.23158704899999999</v>
      </c>
    </row>
    <row r="647" spans="1:25" hidden="1" x14ac:dyDescent="0.4">
      <c r="A647" t="s">
        <v>20</v>
      </c>
      <c r="B647">
        <v>6034595</v>
      </c>
      <c r="C647" t="s">
        <v>350</v>
      </c>
      <c r="D647" t="s">
        <v>21</v>
      </c>
      <c r="E647" t="s">
        <v>147</v>
      </c>
      <c r="K647">
        <v>80.331537372</v>
      </c>
      <c r="M647">
        <v>80.331537372</v>
      </c>
      <c r="P647" s="1" t="s">
        <v>1913</v>
      </c>
      <c r="Q647" s="1" t="s">
        <v>1914</v>
      </c>
      <c r="R647">
        <v>0.13193867400000001</v>
      </c>
      <c r="S647">
        <v>9.17</v>
      </c>
      <c r="T647" s="2">
        <v>45857</v>
      </c>
      <c r="V647" t="str">
        <f t="shared" si="40"/>
        <v>S-6034595</v>
      </c>
      <c r="W647">
        <f t="shared" si="43"/>
        <v>0</v>
      </c>
      <c r="X647" t="str">
        <f t="shared" si="41"/>
        <v/>
      </c>
      <c r="Y647">
        <f t="shared" si="42"/>
        <v>0.13193867400000001</v>
      </c>
    </row>
    <row r="648" spans="1:25" hidden="1" x14ac:dyDescent="0.4">
      <c r="A648" t="s">
        <v>20</v>
      </c>
      <c r="B648">
        <v>6034595</v>
      </c>
      <c r="C648" t="s">
        <v>350</v>
      </c>
      <c r="D648" t="s">
        <v>21</v>
      </c>
      <c r="E648" t="s">
        <v>22</v>
      </c>
      <c r="K648">
        <v>159.28097488700001</v>
      </c>
      <c r="L648">
        <v>159.28097488700001</v>
      </c>
      <c r="M648">
        <v>0</v>
      </c>
      <c r="N648">
        <v>0</v>
      </c>
      <c r="O648">
        <v>0</v>
      </c>
      <c r="P648" s="1" t="s">
        <v>351</v>
      </c>
      <c r="Q648">
        <v>1</v>
      </c>
      <c r="R648">
        <v>0</v>
      </c>
      <c r="S648">
        <v>0</v>
      </c>
      <c r="T648" s="2">
        <v>45857</v>
      </c>
      <c r="V648" t="str">
        <f t="shared" si="40"/>
        <v>S-6034595</v>
      </c>
      <c r="W648">
        <f t="shared" si="43"/>
        <v>0</v>
      </c>
      <c r="X648" t="str">
        <f t="shared" si="41"/>
        <v/>
      </c>
      <c r="Y648">
        <f t="shared" si="42"/>
        <v>0</v>
      </c>
    </row>
    <row r="649" spans="1:25" hidden="1" x14ac:dyDescent="0.4">
      <c r="A649" t="s">
        <v>20</v>
      </c>
      <c r="B649">
        <v>6041795</v>
      </c>
      <c r="C649" t="s">
        <v>352</v>
      </c>
      <c r="D649" t="s">
        <v>21</v>
      </c>
      <c r="E649" t="s">
        <v>137</v>
      </c>
      <c r="K649">
        <v>242.06543591299999</v>
      </c>
      <c r="M649">
        <v>242.06543591299999</v>
      </c>
      <c r="P649" s="1" t="s">
        <v>818</v>
      </c>
      <c r="Q649" s="1" t="s">
        <v>819</v>
      </c>
      <c r="R649">
        <v>0.37070637899999997</v>
      </c>
      <c r="S649">
        <v>11.48</v>
      </c>
      <c r="T649" s="2">
        <v>45858</v>
      </c>
      <c r="V649" t="str">
        <f t="shared" si="40"/>
        <v>S-6041795</v>
      </c>
      <c r="W649">
        <f t="shared" si="43"/>
        <v>0</v>
      </c>
      <c r="X649" t="str">
        <f t="shared" si="41"/>
        <v/>
      </c>
      <c r="Y649">
        <f t="shared" si="42"/>
        <v>0.37070637899999997</v>
      </c>
    </row>
    <row r="650" spans="1:25" hidden="1" x14ac:dyDescent="0.4">
      <c r="A650" t="s">
        <v>20</v>
      </c>
      <c r="B650">
        <v>6041795</v>
      </c>
      <c r="C650" t="s">
        <v>352</v>
      </c>
      <c r="D650" t="s">
        <v>21</v>
      </c>
      <c r="E650" t="s">
        <v>156</v>
      </c>
      <c r="K650">
        <v>167.70458646</v>
      </c>
      <c r="M650">
        <v>167.70458646</v>
      </c>
      <c r="P650" s="1" t="s">
        <v>1182</v>
      </c>
      <c r="Q650" s="1" t="s">
        <v>1183</v>
      </c>
      <c r="R650">
        <v>0.44978945999999997</v>
      </c>
      <c r="S650">
        <v>11.95</v>
      </c>
      <c r="T650" s="2">
        <v>45858</v>
      </c>
      <c r="V650" t="str">
        <f t="shared" si="40"/>
        <v>S-6041795</v>
      </c>
      <c r="W650">
        <f t="shared" si="43"/>
        <v>0</v>
      </c>
      <c r="X650" t="str">
        <f t="shared" si="41"/>
        <v/>
      </c>
      <c r="Y650">
        <f t="shared" si="42"/>
        <v>0.44978945999999997</v>
      </c>
    </row>
    <row r="651" spans="1:25" hidden="1" x14ac:dyDescent="0.4">
      <c r="A651" t="s">
        <v>20</v>
      </c>
      <c r="B651">
        <v>6041795</v>
      </c>
      <c r="C651" t="s">
        <v>352</v>
      </c>
      <c r="D651" t="s">
        <v>21</v>
      </c>
      <c r="E651" t="s">
        <v>140</v>
      </c>
      <c r="K651">
        <v>149.384581279</v>
      </c>
      <c r="M651">
        <v>149.384581279</v>
      </c>
      <c r="P651" s="1" t="s">
        <v>1549</v>
      </c>
      <c r="Q651" s="1" t="s">
        <v>1550</v>
      </c>
      <c r="R651">
        <v>0.22954316599999999</v>
      </c>
      <c r="S651">
        <v>7.69</v>
      </c>
      <c r="T651" s="2">
        <v>45858</v>
      </c>
      <c r="V651" t="str">
        <f t="shared" si="40"/>
        <v>S-6041795</v>
      </c>
      <c r="W651">
        <f t="shared" si="43"/>
        <v>0</v>
      </c>
      <c r="X651" t="str">
        <f t="shared" si="41"/>
        <v/>
      </c>
      <c r="Y651">
        <f t="shared" si="42"/>
        <v>0.22954316599999999</v>
      </c>
    </row>
    <row r="652" spans="1:25" hidden="1" x14ac:dyDescent="0.4">
      <c r="A652" t="s">
        <v>20</v>
      </c>
      <c r="B652">
        <v>6041795</v>
      </c>
      <c r="C652" t="s">
        <v>352</v>
      </c>
      <c r="D652" t="s">
        <v>21</v>
      </c>
      <c r="E652" t="s">
        <v>147</v>
      </c>
      <c r="K652">
        <v>80.464024848999998</v>
      </c>
      <c r="M652">
        <v>80.464024848999998</v>
      </c>
      <c r="P652" s="1" t="s">
        <v>1915</v>
      </c>
      <c r="Q652" s="1" t="s">
        <v>1916</v>
      </c>
      <c r="R652">
        <v>0.13248747699999999</v>
      </c>
      <c r="S652">
        <v>8.9700000000000006</v>
      </c>
      <c r="T652" s="2">
        <v>45858</v>
      </c>
      <c r="V652" t="str">
        <f t="shared" si="40"/>
        <v>S-6041795</v>
      </c>
      <c r="W652">
        <f t="shared" si="43"/>
        <v>0</v>
      </c>
      <c r="X652" t="str">
        <f t="shared" si="41"/>
        <v/>
      </c>
      <c r="Y652">
        <f t="shared" si="42"/>
        <v>0.13248747699999999</v>
      </c>
    </row>
    <row r="653" spans="1:25" hidden="1" x14ac:dyDescent="0.4">
      <c r="A653" t="s">
        <v>20</v>
      </c>
      <c r="B653">
        <v>6041795</v>
      </c>
      <c r="C653" t="s">
        <v>352</v>
      </c>
      <c r="D653" t="s">
        <v>21</v>
      </c>
      <c r="E653" t="s">
        <v>22</v>
      </c>
      <c r="K653">
        <v>159.28097488700001</v>
      </c>
      <c r="L653">
        <v>159.28097488700001</v>
      </c>
      <c r="M653">
        <v>0</v>
      </c>
      <c r="N653">
        <v>0</v>
      </c>
      <c r="O653">
        <v>0</v>
      </c>
      <c r="P653" s="1" t="s">
        <v>353</v>
      </c>
      <c r="Q653">
        <v>1</v>
      </c>
      <c r="R653">
        <v>0</v>
      </c>
      <c r="S653">
        <v>0</v>
      </c>
      <c r="T653" s="2">
        <v>45858</v>
      </c>
      <c r="V653" t="str">
        <f t="shared" si="40"/>
        <v>S-6041795</v>
      </c>
      <c r="W653">
        <f t="shared" si="43"/>
        <v>0</v>
      </c>
      <c r="X653" t="str">
        <f t="shared" si="41"/>
        <v/>
      </c>
      <c r="Y653">
        <f t="shared" si="42"/>
        <v>0</v>
      </c>
    </row>
    <row r="654" spans="1:25" hidden="1" x14ac:dyDescent="0.4">
      <c r="A654" t="s">
        <v>20</v>
      </c>
      <c r="B654">
        <v>6048995</v>
      </c>
      <c r="C654" t="s">
        <v>354</v>
      </c>
      <c r="D654" t="s">
        <v>21</v>
      </c>
      <c r="E654" t="s">
        <v>137</v>
      </c>
      <c r="K654">
        <v>242.435574344</v>
      </c>
      <c r="M654">
        <v>242.435574344</v>
      </c>
      <c r="P654" s="1" t="s">
        <v>820</v>
      </c>
      <c r="Q654" s="1" t="s">
        <v>821</v>
      </c>
      <c r="R654">
        <v>0.37013843099999999</v>
      </c>
      <c r="S654">
        <v>12.4</v>
      </c>
      <c r="T654" s="2">
        <v>45859</v>
      </c>
      <c r="V654" t="str">
        <f t="shared" si="40"/>
        <v>S-6048995</v>
      </c>
      <c r="W654">
        <f t="shared" si="43"/>
        <v>0</v>
      </c>
      <c r="X654" t="str">
        <f t="shared" si="41"/>
        <v/>
      </c>
      <c r="Y654">
        <f t="shared" si="42"/>
        <v>0.37013843099999999</v>
      </c>
    </row>
    <row r="655" spans="1:25" hidden="1" x14ac:dyDescent="0.4">
      <c r="A655" t="s">
        <v>20</v>
      </c>
      <c r="B655">
        <v>6048995</v>
      </c>
      <c r="C655" t="s">
        <v>354</v>
      </c>
      <c r="D655" t="s">
        <v>21</v>
      </c>
      <c r="E655" t="s">
        <v>156</v>
      </c>
      <c r="K655">
        <v>168.14398788700001</v>
      </c>
      <c r="M655">
        <v>168.14398788700001</v>
      </c>
      <c r="P655" s="1" t="s">
        <v>1184</v>
      </c>
      <c r="Q655" s="1" t="s">
        <v>1185</v>
      </c>
      <c r="R655">
        <v>0.43940142700000001</v>
      </c>
      <c r="S655">
        <v>12.79</v>
      </c>
      <c r="T655" s="2">
        <v>45859</v>
      </c>
      <c r="V655" t="str">
        <f t="shared" si="40"/>
        <v>S-6048995</v>
      </c>
      <c r="W655">
        <f t="shared" si="43"/>
        <v>0</v>
      </c>
      <c r="X655" t="str">
        <f t="shared" si="41"/>
        <v/>
      </c>
      <c r="Y655">
        <f t="shared" si="42"/>
        <v>0.43940142700000001</v>
      </c>
    </row>
    <row r="656" spans="1:25" hidden="1" x14ac:dyDescent="0.4">
      <c r="A656" t="s">
        <v>20</v>
      </c>
      <c r="B656">
        <v>6048995</v>
      </c>
      <c r="C656" t="s">
        <v>354</v>
      </c>
      <c r="D656" t="s">
        <v>21</v>
      </c>
      <c r="E656" t="s">
        <v>140</v>
      </c>
      <c r="K656">
        <v>149.62419490299999</v>
      </c>
      <c r="M656">
        <v>149.62419490299999</v>
      </c>
      <c r="P656" s="1" t="s">
        <v>1551</v>
      </c>
      <c r="Q656" s="1" t="s">
        <v>1552</v>
      </c>
      <c r="R656">
        <v>0.239613624</v>
      </c>
      <c r="S656">
        <v>8.33</v>
      </c>
      <c r="T656" s="2">
        <v>45859</v>
      </c>
      <c r="V656" t="str">
        <f t="shared" si="40"/>
        <v>S-6048995</v>
      </c>
      <c r="W656">
        <f t="shared" si="43"/>
        <v>0</v>
      </c>
      <c r="X656" t="str">
        <f t="shared" si="41"/>
        <v/>
      </c>
      <c r="Y656">
        <f t="shared" si="42"/>
        <v>0.239613624</v>
      </c>
    </row>
    <row r="657" spans="1:25" hidden="1" x14ac:dyDescent="0.4">
      <c r="A657" t="s">
        <v>20</v>
      </c>
      <c r="B657">
        <v>6048995</v>
      </c>
      <c r="C657" t="s">
        <v>354</v>
      </c>
      <c r="D657" t="s">
        <v>21</v>
      </c>
      <c r="E657" t="s">
        <v>147</v>
      </c>
      <c r="K657">
        <v>80.598435351000006</v>
      </c>
      <c r="M657">
        <v>80.598435351000006</v>
      </c>
      <c r="P657" s="1" t="s">
        <v>1917</v>
      </c>
      <c r="Q657" s="1" t="s">
        <v>1918</v>
      </c>
      <c r="R657">
        <v>0.13441050199999999</v>
      </c>
      <c r="S657">
        <v>9.4700000000000006</v>
      </c>
      <c r="T657" s="2">
        <v>45859</v>
      </c>
      <c r="V657" t="str">
        <f t="shared" si="40"/>
        <v>S-6048995</v>
      </c>
      <c r="W657">
        <f t="shared" si="43"/>
        <v>0</v>
      </c>
      <c r="X657" t="str">
        <f t="shared" si="41"/>
        <v/>
      </c>
      <c r="Y657">
        <f t="shared" si="42"/>
        <v>0.13441050199999999</v>
      </c>
    </row>
    <row r="658" spans="1:25" hidden="1" x14ac:dyDescent="0.4">
      <c r="A658" t="s">
        <v>20</v>
      </c>
      <c r="B658">
        <v>6048995</v>
      </c>
      <c r="C658" t="s">
        <v>354</v>
      </c>
      <c r="D658" t="s">
        <v>21</v>
      </c>
      <c r="E658" t="s">
        <v>22</v>
      </c>
      <c r="K658">
        <v>159.28097488700001</v>
      </c>
      <c r="L658">
        <v>159.28097488700001</v>
      </c>
      <c r="M658">
        <v>0</v>
      </c>
      <c r="N658">
        <v>0</v>
      </c>
      <c r="O658">
        <v>0</v>
      </c>
      <c r="P658" s="1" t="s">
        <v>355</v>
      </c>
      <c r="Q658">
        <v>1</v>
      </c>
      <c r="R658">
        <v>0</v>
      </c>
      <c r="S658">
        <v>0</v>
      </c>
      <c r="T658" s="2">
        <v>45859</v>
      </c>
      <c r="V658" t="str">
        <f t="shared" si="40"/>
        <v>S-6048995</v>
      </c>
      <c r="W658">
        <f t="shared" si="43"/>
        <v>0</v>
      </c>
      <c r="X658" t="str">
        <f t="shared" si="41"/>
        <v/>
      </c>
      <c r="Y658">
        <f t="shared" si="42"/>
        <v>0</v>
      </c>
    </row>
    <row r="659" spans="1:25" hidden="1" x14ac:dyDescent="0.4">
      <c r="A659" t="s">
        <v>20</v>
      </c>
      <c r="B659">
        <v>6056195</v>
      </c>
      <c r="C659" t="s">
        <v>356</v>
      </c>
      <c r="D659" t="s">
        <v>21</v>
      </c>
      <c r="E659" t="s">
        <v>137</v>
      </c>
      <c r="K659">
        <v>242.80651125899999</v>
      </c>
      <c r="M659">
        <v>242.80651125899999</v>
      </c>
      <c r="P659" s="1" t="s">
        <v>822</v>
      </c>
      <c r="Q659" s="1" t="s">
        <v>823</v>
      </c>
      <c r="R659">
        <v>0.37093691499999998</v>
      </c>
      <c r="S659">
        <v>12.17</v>
      </c>
      <c r="T659" s="2">
        <v>45860</v>
      </c>
      <c r="V659" t="str">
        <f t="shared" si="40"/>
        <v>S-6056195</v>
      </c>
      <c r="W659">
        <f t="shared" si="43"/>
        <v>0</v>
      </c>
      <c r="X659" t="str">
        <f t="shared" si="41"/>
        <v/>
      </c>
      <c r="Y659">
        <f t="shared" si="42"/>
        <v>0.37093691499999998</v>
      </c>
    </row>
    <row r="660" spans="1:25" hidden="1" x14ac:dyDescent="0.4">
      <c r="A660" t="s">
        <v>20</v>
      </c>
      <c r="B660">
        <v>6056195</v>
      </c>
      <c r="C660" t="s">
        <v>356</v>
      </c>
      <c r="D660" t="s">
        <v>21</v>
      </c>
      <c r="E660" t="s">
        <v>156</v>
      </c>
      <c r="K660">
        <v>168.58495562499999</v>
      </c>
      <c r="M660">
        <v>168.58495562499999</v>
      </c>
      <c r="P660" s="1" t="s">
        <v>1186</v>
      </c>
      <c r="Q660" s="1" t="s">
        <v>1187</v>
      </c>
      <c r="R660">
        <v>0.440967738</v>
      </c>
      <c r="S660">
        <v>12.84</v>
      </c>
      <c r="T660" s="2">
        <v>45860</v>
      </c>
      <c r="V660" t="str">
        <f t="shared" si="40"/>
        <v>S-6056195</v>
      </c>
      <c r="W660">
        <f t="shared" si="43"/>
        <v>0</v>
      </c>
      <c r="X660" t="str">
        <f t="shared" si="41"/>
        <v/>
      </c>
      <c r="Y660">
        <f t="shared" si="42"/>
        <v>0.440967738</v>
      </c>
    </row>
    <row r="661" spans="1:25" hidden="1" x14ac:dyDescent="0.4">
      <c r="A661" t="s">
        <v>20</v>
      </c>
      <c r="B661">
        <v>6056195</v>
      </c>
      <c r="C661" t="s">
        <v>356</v>
      </c>
      <c r="D661" t="s">
        <v>21</v>
      </c>
      <c r="E661" t="s">
        <v>140</v>
      </c>
      <c r="K661">
        <v>149.855555882</v>
      </c>
      <c r="M661">
        <v>149.855555882</v>
      </c>
      <c r="P661" s="1" t="s">
        <v>1553</v>
      </c>
      <c r="Q661" s="1" t="s">
        <v>1554</v>
      </c>
      <c r="R661">
        <v>0.23136097899999999</v>
      </c>
      <c r="S661">
        <v>7.59</v>
      </c>
      <c r="T661" s="2">
        <v>45860</v>
      </c>
      <c r="V661" t="str">
        <f t="shared" si="40"/>
        <v>S-6056195</v>
      </c>
      <c r="W661">
        <f t="shared" si="43"/>
        <v>0</v>
      </c>
      <c r="X661" t="str">
        <f t="shared" si="41"/>
        <v/>
      </c>
      <c r="Y661">
        <f t="shared" si="42"/>
        <v>0.23136097899999999</v>
      </c>
    </row>
    <row r="662" spans="1:25" hidden="1" x14ac:dyDescent="0.4">
      <c r="A662" t="s">
        <v>20</v>
      </c>
      <c r="B662">
        <v>6056195</v>
      </c>
      <c r="C662" t="s">
        <v>356</v>
      </c>
      <c r="D662" t="s">
        <v>21</v>
      </c>
      <c r="E662" t="s">
        <v>147</v>
      </c>
      <c r="K662">
        <v>80.734432001000002</v>
      </c>
      <c r="M662">
        <v>80.734432001000002</v>
      </c>
      <c r="P662" s="1" t="s">
        <v>1919</v>
      </c>
      <c r="Q662" s="1" t="s">
        <v>1920</v>
      </c>
      <c r="R662">
        <v>0.13599665</v>
      </c>
      <c r="S662">
        <v>9.42</v>
      </c>
      <c r="T662" s="2">
        <v>45860</v>
      </c>
      <c r="V662" t="str">
        <f t="shared" si="40"/>
        <v>S-6056195</v>
      </c>
      <c r="W662">
        <f t="shared" si="43"/>
        <v>0</v>
      </c>
      <c r="X662" t="str">
        <f t="shared" si="41"/>
        <v/>
      </c>
      <c r="Y662">
        <f t="shared" si="42"/>
        <v>0.13599665</v>
      </c>
    </row>
    <row r="663" spans="1:25" hidden="1" x14ac:dyDescent="0.4">
      <c r="A663" t="s">
        <v>20</v>
      </c>
      <c r="B663">
        <v>6056195</v>
      </c>
      <c r="C663" t="s">
        <v>356</v>
      </c>
      <c r="D663" t="s">
        <v>21</v>
      </c>
      <c r="E663" t="s">
        <v>22</v>
      </c>
      <c r="K663">
        <v>159.28097488700001</v>
      </c>
      <c r="L663">
        <v>159.28097488700001</v>
      </c>
      <c r="M663">
        <v>0</v>
      </c>
      <c r="N663">
        <v>0</v>
      </c>
      <c r="O663">
        <v>0</v>
      </c>
      <c r="P663" s="1" t="s">
        <v>357</v>
      </c>
      <c r="Q663">
        <v>1</v>
      </c>
      <c r="R663">
        <v>0</v>
      </c>
      <c r="S663">
        <v>0</v>
      </c>
      <c r="T663" s="2">
        <v>45860</v>
      </c>
      <c r="V663" t="str">
        <f t="shared" si="40"/>
        <v>S-6056195</v>
      </c>
      <c r="W663">
        <f t="shared" si="43"/>
        <v>0</v>
      </c>
      <c r="X663" t="str">
        <f t="shared" si="41"/>
        <v/>
      </c>
      <c r="Y663">
        <f t="shared" si="42"/>
        <v>0</v>
      </c>
    </row>
    <row r="664" spans="1:25" hidden="1" x14ac:dyDescent="0.4">
      <c r="A664" t="s">
        <v>20</v>
      </c>
      <c r="B664">
        <v>6063395</v>
      </c>
      <c r="C664" t="s">
        <v>358</v>
      </c>
      <c r="D664" t="s">
        <v>21</v>
      </c>
      <c r="E664" t="s">
        <v>137</v>
      </c>
      <c r="K664">
        <v>243.180516866</v>
      </c>
      <c r="M664">
        <v>243.180516866</v>
      </c>
      <c r="P664" s="1" t="s">
        <v>824</v>
      </c>
      <c r="Q664" s="1" t="s">
        <v>825</v>
      </c>
      <c r="R664">
        <v>0.37400560700000002</v>
      </c>
      <c r="S664">
        <v>11.19</v>
      </c>
      <c r="T664" s="2">
        <v>45861</v>
      </c>
      <c r="V664" t="str">
        <f t="shared" si="40"/>
        <v>S-6063395</v>
      </c>
      <c r="W664">
        <f t="shared" si="43"/>
        <v>0</v>
      </c>
      <c r="X664" t="str">
        <f t="shared" si="41"/>
        <v/>
      </c>
      <c r="Y664">
        <f t="shared" si="42"/>
        <v>0.37400560700000002</v>
      </c>
    </row>
    <row r="665" spans="1:25" hidden="1" x14ac:dyDescent="0.4">
      <c r="A665" t="s">
        <v>20</v>
      </c>
      <c r="B665">
        <v>6063395</v>
      </c>
      <c r="C665" t="s">
        <v>358</v>
      </c>
      <c r="D665" t="s">
        <v>21</v>
      </c>
      <c r="E665" t="s">
        <v>156</v>
      </c>
      <c r="K665">
        <v>168.98788372000001</v>
      </c>
      <c r="M665">
        <v>168.98788372000001</v>
      </c>
      <c r="P665" s="1" t="s">
        <v>1188</v>
      </c>
      <c r="Q665" s="1" t="s">
        <v>1189</v>
      </c>
      <c r="R665">
        <v>0.40292809499999999</v>
      </c>
      <c r="S665">
        <v>11.08</v>
      </c>
      <c r="T665" s="2">
        <v>45861</v>
      </c>
      <c r="V665" t="str">
        <f t="shared" si="40"/>
        <v>S-6063395</v>
      </c>
      <c r="W665">
        <f t="shared" si="43"/>
        <v>0</v>
      </c>
      <c r="X665" t="str">
        <f t="shared" si="41"/>
        <v/>
      </c>
      <c r="Y665">
        <f t="shared" si="42"/>
        <v>0.40292809499999999</v>
      </c>
    </row>
    <row r="666" spans="1:25" hidden="1" x14ac:dyDescent="0.4">
      <c r="A666" t="s">
        <v>20</v>
      </c>
      <c r="B666">
        <v>6063395</v>
      </c>
      <c r="C666" t="s">
        <v>358</v>
      </c>
      <c r="D666" t="s">
        <v>21</v>
      </c>
      <c r="E666" t="s">
        <v>140</v>
      </c>
      <c r="K666">
        <v>150.08830717500001</v>
      </c>
      <c r="M666">
        <v>150.08830717500001</v>
      </c>
      <c r="P666" s="1" t="s">
        <v>1555</v>
      </c>
      <c r="Q666" s="1" t="s">
        <v>1556</v>
      </c>
      <c r="R666">
        <v>0.232751293</v>
      </c>
      <c r="S666">
        <v>7.29</v>
      </c>
      <c r="T666" s="2">
        <v>45861</v>
      </c>
      <c r="V666" t="str">
        <f t="shared" si="40"/>
        <v>S-6063395</v>
      </c>
      <c r="W666">
        <f t="shared" si="43"/>
        <v>0</v>
      </c>
      <c r="X666" t="str">
        <f t="shared" si="41"/>
        <v/>
      </c>
      <c r="Y666">
        <f t="shared" si="42"/>
        <v>0.232751293</v>
      </c>
    </row>
    <row r="667" spans="1:25" hidden="1" x14ac:dyDescent="0.4">
      <c r="A667" t="s">
        <v>20</v>
      </c>
      <c r="B667">
        <v>6063395</v>
      </c>
      <c r="C667" t="s">
        <v>358</v>
      </c>
      <c r="D667" t="s">
        <v>21</v>
      </c>
      <c r="E667" t="s">
        <v>147</v>
      </c>
      <c r="K667">
        <v>80.871450460999995</v>
      </c>
      <c r="M667">
        <v>80.871450460999995</v>
      </c>
      <c r="P667" s="1" t="s">
        <v>1921</v>
      </c>
      <c r="Q667" s="1" t="s">
        <v>1922</v>
      </c>
      <c r="R667">
        <v>0.13701846000000001</v>
      </c>
      <c r="S667">
        <v>8.7799999999999994</v>
      </c>
      <c r="T667" s="2">
        <v>45861</v>
      </c>
      <c r="V667" t="str">
        <f t="shared" si="40"/>
        <v>S-6063395</v>
      </c>
      <c r="W667">
        <f t="shared" si="43"/>
        <v>0</v>
      </c>
      <c r="X667" t="str">
        <f t="shared" si="41"/>
        <v/>
      </c>
      <c r="Y667">
        <f t="shared" si="42"/>
        <v>0.13701846000000001</v>
      </c>
    </row>
    <row r="668" spans="1:25" hidden="1" x14ac:dyDescent="0.4">
      <c r="A668" t="s">
        <v>20</v>
      </c>
      <c r="B668">
        <v>6063395</v>
      </c>
      <c r="C668" t="s">
        <v>358</v>
      </c>
      <c r="D668" t="s">
        <v>21</v>
      </c>
      <c r="E668" t="s">
        <v>22</v>
      </c>
      <c r="K668">
        <v>159.28097488700001</v>
      </c>
      <c r="L668">
        <v>159.28097488700001</v>
      </c>
      <c r="M668">
        <v>0</v>
      </c>
      <c r="N668">
        <v>0</v>
      </c>
      <c r="O668">
        <v>0</v>
      </c>
      <c r="P668" s="1" t="s">
        <v>359</v>
      </c>
      <c r="Q668">
        <v>1</v>
      </c>
      <c r="R668">
        <v>0</v>
      </c>
      <c r="S668">
        <v>0</v>
      </c>
      <c r="T668" s="2">
        <v>45861</v>
      </c>
      <c r="V668" t="str">
        <f t="shared" si="40"/>
        <v>S-6063395</v>
      </c>
      <c r="W668">
        <f t="shared" si="43"/>
        <v>0</v>
      </c>
      <c r="X668" t="str">
        <f t="shared" si="41"/>
        <v/>
      </c>
      <c r="Y668">
        <f t="shared" si="42"/>
        <v>0</v>
      </c>
    </row>
    <row r="669" spans="1:25" hidden="1" x14ac:dyDescent="0.4">
      <c r="A669" t="s">
        <v>20</v>
      </c>
      <c r="B669">
        <v>6070595</v>
      </c>
      <c r="C669" t="s">
        <v>360</v>
      </c>
      <c r="D669" t="s">
        <v>21</v>
      </c>
      <c r="E669" t="s">
        <v>137</v>
      </c>
      <c r="K669">
        <v>243.55731628199999</v>
      </c>
      <c r="M669">
        <v>243.55731628199999</v>
      </c>
      <c r="P669" s="1" t="s">
        <v>826</v>
      </c>
      <c r="Q669" s="1" t="s">
        <v>827</v>
      </c>
      <c r="R669">
        <v>0.376799416</v>
      </c>
      <c r="S669">
        <v>10.92</v>
      </c>
      <c r="T669" s="2">
        <v>45862</v>
      </c>
      <c r="V669" t="str">
        <f t="shared" si="40"/>
        <v>S-6070595</v>
      </c>
      <c r="W669">
        <f t="shared" si="43"/>
        <v>0</v>
      </c>
      <c r="X669" t="str">
        <f t="shared" si="41"/>
        <v/>
      </c>
      <c r="Y669">
        <f t="shared" si="42"/>
        <v>0.376799416</v>
      </c>
    </row>
    <row r="670" spans="1:25" hidden="1" x14ac:dyDescent="0.4">
      <c r="A670" t="s">
        <v>20</v>
      </c>
      <c r="B670">
        <v>6070595</v>
      </c>
      <c r="C670" t="s">
        <v>360</v>
      </c>
      <c r="D670" t="s">
        <v>21</v>
      </c>
      <c r="E670" t="s">
        <v>156</v>
      </c>
      <c r="K670">
        <v>169.391487372</v>
      </c>
      <c r="M670">
        <v>169.391487372</v>
      </c>
      <c r="P670" s="1" t="s">
        <v>1190</v>
      </c>
      <c r="Q670" s="1" t="s">
        <v>1191</v>
      </c>
      <c r="R670">
        <v>0.40360365199999998</v>
      </c>
      <c r="S670">
        <v>10.82</v>
      </c>
      <c r="T670" s="2">
        <v>45862</v>
      </c>
      <c r="V670" t="str">
        <f t="shared" si="40"/>
        <v>S-6070595</v>
      </c>
      <c r="W670">
        <f t="shared" si="43"/>
        <v>0</v>
      </c>
      <c r="X670" t="str">
        <f t="shared" si="41"/>
        <v/>
      </c>
      <c r="Y670">
        <f t="shared" si="42"/>
        <v>0.40360365199999998</v>
      </c>
    </row>
    <row r="671" spans="1:25" hidden="1" x14ac:dyDescent="0.4">
      <c r="A671" t="s">
        <v>20</v>
      </c>
      <c r="B671">
        <v>6070595</v>
      </c>
      <c r="C671" t="s">
        <v>360</v>
      </c>
      <c r="D671" t="s">
        <v>21</v>
      </c>
      <c r="E671" t="s">
        <v>140</v>
      </c>
      <c r="K671">
        <v>150.31509978899999</v>
      </c>
      <c r="M671">
        <v>150.31509978899999</v>
      </c>
      <c r="P671" s="1" t="s">
        <v>1557</v>
      </c>
      <c r="Q671" s="1" t="s">
        <v>1558</v>
      </c>
      <c r="R671">
        <v>0.226792614</v>
      </c>
      <c r="S671">
        <v>6.82</v>
      </c>
      <c r="T671" s="2">
        <v>45862</v>
      </c>
      <c r="V671" t="str">
        <f t="shared" si="40"/>
        <v>S-6070595</v>
      </c>
      <c r="W671">
        <f t="shared" si="43"/>
        <v>0</v>
      </c>
      <c r="X671" t="str">
        <f t="shared" si="41"/>
        <v/>
      </c>
      <c r="Y671">
        <f t="shared" si="42"/>
        <v>0.226792614</v>
      </c>
    </row>
    <row r="672" spans="1:25" hidden="1" x14ac:dyDescent="0.4">
      <c r="A672" t="s">
        <v>20</v>
      </c>
      <c r="B672">
        <v>6070595</v>
      </c>
      <c r="C672" t="s">
        <v>360</v>
      </c>
      <c r="D672" t="s">
        <v>21</v>
      </c>
      <c r="E672" t="s">
        <v>147</v>
      </c>
      <c r="K672">
        <v>81.011052633000006</v>
      </c>
      <c r="M672">
        <v>81.011052633000006</v>
      </c>
      <c r="P672" s="1" t="s">
        <v>1923</v>
      </c>
      <c r="Q672" s="1" t="s">
        <v>1924</v>
      </c>
      <c r="R672">
        <v>0.139602172</v>
      </c>
      <c r="S672">
        <v>8.43</v>
      </c>
      <c r="T672" s="2">
        <v>45862</v>
      </c>
      <c r="V672" t="str">
        <f t="shared" si="40"/>
        <v>S-6070595</v>
      </c>
      <c r="W672">
        <f t="shared" si="43"/>
        <v>0</v>
      </c>
      <c r="X672" t="str">
        <f t="shared" si="41"/>
        <v/>
      </c>
      <c r="Y672">
        <f t="shared" si="42"/>
        <v>0.139602172</v>
      </c>
    </row>
    <row r="673" spans="1:25" hidden="1" x14ac:dyDescent="0.4">
      <c r="A673" t="s">
        <v>20</v>
      </c>
      <c r="B673">
        <v>6070595</v>
      </c>
      <c r="C673" t="s">
        <v>360</v>
      </c>
      <c r="D673" t="s">
        <v>21</v>
      </c>
      <c r="E673" t="s">
        <v>22</v>
      </c>
      <c r="K673">
        <v>159.28097488700001</v>
      </c>
      <c r="L673">
        <v>159.28097488700001</v>
      </c>
      <c r="M673">
        <v>0</v>
      </c>
      <c r="N673">
        <v>0</v>
      </c>
      <c r="O673">
        <v>0</v>
      </c>
      <c r="P673" s="1" t="s">
        <v>361</v>
      </c>
      <c r="Q673">
        <v>1</v>
      </c>
      <c r="R673">
        <v>0</v>
      </c>
      <c r="S673">
        <v>0</v>
      </c>
      <c r="T673" s="2">
        <v>45862</v>
      </c>
      <c r="V673" t="str">
        <f t="shared" si="40"/>
        <v>S-6070595</v>
      </c>
      <c r="W673">
        <f t="shared" si="43"/>
        <v>0</v>
      </c>
      <c r="X673" t="str">
        <f t="shared" si="41"/>
        <v/>
      </c>
      <c r="Y673">
        <f t="shared" si="42"/>
        <v>0</v>
      </c>
    </row>
    <row r="674" spans="1:25" hidden="1" x14ac:dyDescent="0.4">
      <c r="A674" t="s">
        <v>20</v>
      </c>
      <c r="B674">
        <v>6077795</v>
      </c>
      <c r="C674" t="s">
        <v>362</v>
      </c>
      <c r="D674" t="s">
        <v>21</v>
      </c>
      <c r="E674" t="s">
        <v>137</v>
      </c>
      <c r="K674">
        <v>243.93499681500001</v>
      </c>
      <c r="M674">
        <v>243.93499681500001</v>
      </c>
      <c r="P674" s="1" t="s">
        <v>828</v>
      </c>
      <c r="Q674" s="1" t="s">
        <v>829</v>
      </c>
      <c r="R674">
        <v>0.37768053299999998</v>
      </c>
      <c r="S674">
        <v>11.09</v>
      </c>
      <c r="T674" s="2">
        <v>45863</v>
      </c>
      <c r="V674" t="str">
        <f t="shared" si="40"/>
        <v>S-6077795</v>
      </c>
      <c r="W674">
        <f t="shared" si="43"/>
        <v>0</v>
      </c>
      <c r="X674" t="str">
        <f t="shared" si="41"/>
        <v/>
      </c>
      <c r="Y674">
        <f t="shared" si="42"/>
        <v>0.37768053299999998</v>
      </c>
    </row>
    <row r="675" spans="1:25" hidden="1" x14ac:dyDescent="0.4">
      <c r="A675" t="s">
        <v>20</v>
      </c>
      <c r="B675">
        <v>6077795</v>
      </c>
      <c r="C675" t="s">
        <v>362</v>
      </c>
      <c r="D675" t="s">
        <v>21</v>
      </c>
      <c r="E675" t="s">
        <v>156</v>
      </c>
      <c r="K675">
        <v>169.795432885</v>
      </c>
      <c r="M675">
        <v>169.795432885</v>
      </c>
      <c r="P675" s="1" t="s">
        <v>1192</v>
      </c>
      <c r="Q675" s="1" t="s">
        <v>1193</v>
      </c>
      <c r="R675">
        <v>0.40394551299999998</v>
      </c>
      <c r="S675">
        <v>10.95</v>
      </c>
      <c r="T675" s="2">
        <v>45863</v>
      </c>
      <c r="V675" t="str">
        <f t="shared" si="40"/>
        <v>S-6077795</v>
      </c>
      <c r="W675">
        <f t="shared" si="43"/>
        <v>0</v>
      </c>
      <c r="X675" t="str">
        <f t="shared" si="41"/>
        <v/>
      </c>
      <c r="Y675">
        <f t="shared" si="42"/>
        <v>0.40394551299999998</v>
      </c>
    </row>
    <row r="676" spans="1:25" hidden="1" x14ac:dyDescent="0.4">
      <c r="A676" t="s">
        <v>20</v>
      </c>
      <c r="B676">
        <v>6077795</v>
      </c>
      <c r="C676" t="s">
        <v>362</v>
      </c>
      <c r="D676" t="s">
        <v>21</v>
      </c>
      <c r="E676" t="s">
        <v>140</v>
      </c>
      <c r="K676">
        <v>150.54534272999999</v>
      </c>
      <c r="M676">
        <v>150.54534272999999</v>
      </c>
      <c r="P676" s="1" t="s">
        <v>1559</v>
      </c>
      <c r="Q676" s="1" t="s">
        <v>1560</v>
      </c>
      <c r="R676">
        <v>0.23024294100000001</v>
      </c>
      <c r="S676">
        <v>6.36</v>
      </c>
      <c r="T676" s="2">
        <v>45863</v>
      </c>
      <c r="V676" t="str">
        <f t="shared" si="40"/>
        <v>S-6077795</v>
      </c>
      <c r="W676">
        <f t="shared" si="43"/>
        <v>0</v>
      </c>
      <c r="X676" t="str">
        <f t="shared" si="41"/>
        <v/>
      </c>
      <c r="Y676">
        <f t="shared" si="42"/>
        <v>0.23024294100000001</v>
      </c>
    </row>
    <row r="677" spans="1:25" hidden="1" x14ac:dyDescent="0.4">
      <c r="A677" t="s">
        <v>20</v>
      </c>
      <c r="B677">
        <v>6077795</v>
      </c>
      <c r="C677" t="s">
        <v>362</v>
      </c>
      <c r="D677" t="s">
        <v>21</v>
      </c>
      <c r="E677" t="s">
        <v>147</v>
      </c>
      <c r="K677">
        <v>81.150692530000001</v>
      </c>
      <c r="M677">
        <v>81.150692530000001</v>
      </c>
      <c r="P677" s="1" t="s">
        <v>1925</v>
      </c>
      <c r="Q677" s="1" t="s">
        <v>1926</v>
      </c>
      <c r="R677">
        <v>0.13963989700000001</v>
      </c>
      <c r="S677">
        <v>8.5500000000000007</v>
      </c>
      <c r="T677" s="2">
        <v>45863</v>
      </c>
      <c r="V677" t="str">
        <f t="shared" si="40"/>
        <v>S-6077795</v>
      </c>
      <c r="W677">
        <f t="shared" si="43"/>
        <v>0</v>
      </c>
      <c r="X677" t="str">
        <f t="shared" si="41"/>
        <v/>
      </c>
      <c r="Y677">
        <f t="shared" si="42"/>
        <v>0.13963989700000001</v>
      </c>
    </row>
    <row r="678" spans="1:25" hidden="1" x14ac:dyDescent="0.4">
      <c r="A678" t="s">
        <v>20</v>
      </c>
      <c r="B678">
        <v>6077795</v>
      </c>
      <c r="C678" t="s">
        <v>362</v>
      </c>
      <c r="D678" t="s">
        <v>21</v>
      </c>
      <c r="E678" t="s">
        <v>22</v>
      </c>
      <c r="K678">
        <v>159.28097488700001</v>
      </c>
      <c r="L678">
        <v>159.28097488700001</v>
      </c>
      <c r="M678">
        <v>0</v>
      </c>
      <c r="N678">
        <v>0</v>
      </c>
      <c r="O678">
        <v>0</v>
      </c>
      <c r="P678" s="1" t="s">
        <v>363</v>
      </c>
      <c r="Q678">
        <v>1</v>
      </c>
      <c r="R678">
        <v>0</v>
      </c>
      <c r="S678">
        <v>0</v>
      </c>
      <c r="T678" s="2">
        <v>45863</v>
      </c>
      <c r="V678" t="str">
        <f t="shared" si="40"/>
        <v>S-6077795</v>
      </c>
      <c r="W678">
        <f t="shared" si="43"/>
        <v>0</v>
      </c>
      <c r="X678" t="str">
        <f t="shared" si="41"/>
        <v/>
      </c>
      <c r="Y678">
        <f t="shared" si="42"/>
        <v>0</v>
      </c>
    </row>
    <row r="679" spans="1:25" hidden="1" x14ac:dyDescent="0.4">
      <c r="A679" t="s">
        <v>20</v>
      </c>
      <c r="B679">
        <v>6084995</v>
      </c>
      <c r="C679" t="s">
        <v>364</v>
      </c>
      <c r="D679" t="s">
        <v>21</v>
      </c>
      <c r="E679" t="s">
        <v>137</v>
      </c>
      <c r="K679">
        <v>244.29479793300001</v>
      </c>
      <c r="M679">
        <v>244.29479793300001</v>
      </c>
      <c r="P679" s="1" t="s">
        <v>830</v>
      </c>
      <c r="Q679" s="1" t="s">
        <v>831</v>
      </c>
      <c r="R679">
        <v>0.35980111799999998</v>
      </c>
      <c r="S679">
        <v>10.5</v>
      </c>
      <c r="T679" s="2">
        <v>45864</v>
      </c>
      <c r="V679" t="str">
        <f t="shared" si="40"/>
        <v>S-6084995</v>
      </c>
      <c r="W679">
        <f t="shared" si="43"/>
        <v>0</v>
      </c>
      <c r="X679" t="str">
        <f t="shared" si="41"/>
        <v/>
      </c>
      <c r="Y679">
        <f t="shared" si="42"/>
        <v>0.35980111799999998</v>
      </c>
    </row>
    <row r="680" spans="1:25" hidden="1" x14ac:dyDescent="0.4">
      <c r="A680" t="s">
        <v>20</v>
      </c>
      <c r="B680">
        <v>6084995</v>
      </c>
      <c r="C680" t="s">
        <v>364</v>
      </c>
      <c r="D680" t="s">
        <v>21</v>
      </c>
      <c r="E680" t="s">
        <v>156</v>
      </c>
      <c r="K680">
        <v>170.177145295</v>
      </c>
      <c r="M680">
        <v>170.177145295</v>
      </c>
      <c r="P680" s="1" t="s">
        <v>1194</v>
      </c>
      <c r="Q680" s="1" t="s">
        <v>1195</v>
      </c>
      <c r="R680">
        <v>0.38171241</v>
      </c>
      <c r="S680">
        <v>10.3</v>
      </c>
      <c r="T680" s="2">
        <v>45864</v>
      </c>
      <c r="V680" t="str">
        <f t="shared" si="40"/>
        <v>S-6084995</v>
      </c>
      <c r="W680">
        <f t="shared" si="43"/>
        <v>0</v>
      </c>
      <c r="X680" t="str">
        <f t="shared" si="41"/>
        <v/>
      </c>
      <c r="Y680">
        <f t="shared" si="42"/>
        <v>0.38171241</v>
      </c>
    </row>
    <row r="681" spans="1:25" hidden="1" x14ac:dyDescent="0.4">
      <c r="A681" t="s">
        <v>20</v>
      </c>
      <c r="B681">
        <v>6084995</v>
      </c>
      <c r="C681" t="s">
        <v>364</v>
      </c>
      <c r="D681" t="s">
        <v>21</v>
      </c>
      <c r="E681" t="s">
        <v>140</v>
      </c>
      <c r="K681">
        <v>150.78228473199999</v>
      </c>
      <c r="M681">
        <v>150.78228473199999</v>
      </c>
      <c r="P681" s="1" t="s">
        <v>1561</v>
      </c>
      <c r="Q681" s="1" t="s">
        <v>1562</v>
      </c>
      <c r="R681">
        <v>0.23694200200000001</v>
      </c>
      <c r="S681">
        <v>6.49</v>
      </c>
      <c r="T681" s="2">
        <v>45864</v>
      </c>
      <c r="V681" t="str">
        <f t="shared" si="40"/>
        <v>S-6084995</v>
      </c>
      <c r="W681">
        <f t="shared" si="43"/>
        <v>0</v>
      </c>
      <c r="X681" t="str">
        <f t="shared" si="41"/>
        <v/>
      </c>
      <c r="Y681">
        <f t="shared" si="42"/>
        <v>0.23694200200000001</v>
      </c>
    </row>
    <row r="682" spans="1:25" hidden="1" x14ac:dyDescent="0.4">
      <c r="A682" t="s">
        <v>20</v>
      </c>
      <c r="B682">
        <v>6084995</v>
      </c>
      <c r="C682" t="s">
        <v>364</v>
      </c>
      <c r="D682" t="s">
        <v>21</v>
      </c>
      <c r="E682" t="s">
        <v>147</v>
      </c>
      <c r="K682">
        <v>81.295490201000007</v>
      </c>
      <c r="M682">
        <v>81.295490201000007</v>
      </c>
      <c r="P682" s="1" t="s">
        <v>1927</v>
      </c>
      <c r="Q682" s="1" t="s">
        <v>1928</v>
      </c>
      <c r="R682">
        <v>0.14479767099999999</v>
      </c>
      <c r="S682">
        <v>8.73</v>
      </c>
      <c r="T682" s="2">
        <v>45864</v>
      </c>
      <c r="V682" t="str">
        <f t="shared" si="40"/>
        <v>S-6084995</v>
      </c>
      <c r="W682">
        <f t="shared" si="43"/>
        <v>0</v>
      </c>
      <c r="X682" t="str">
        <f t="shared" si="41"/>
        <v/>
      </c>
      <c r="Y682">
        <f t="shared" si="42"/>
        <v>0.14479767099999999</v>
      </c>
    </row>
    <row r="683" spans="1:25" hidden="1" x14ac:dyDescent="0.4">
      <c r="A683" t="s">
        <v>20</v>
      </c>
      <c r="B683">
        <v>6084995</v>
      </c>
      <c r="C683" t="s">
        <v>364</v>
      </c>
      <c r="D683" t="s">
        <v>21</v>
      </c>
      <c r="E683" t="s">
        <v>22</v>
      </c>
      <c r="K683">
        <v>159.28097488700001</v>
      </c>
      <c r="L683">
        <v>159.28097488700001</v>
      </c>
      <c r="M683">
        <v>0</v>
      </c>
      <c r="N683">
        <v>0</v>
      </c>
      <c r="O683">
        <v>0</v>
      </c>
      <c r="P683" s="1" t="s">
        <v>365</v>
      </c>
      <c r="Q683">
        <v>1</v>
      </c>
      <c r="R683">
        <v>0</v>
      </c>
      <c r="S683">
        <v>0</v>
      </c>
      <c r="T683" s="2">
        <v>45864</v>
      </c>
      <c r="V683" t="str">
        <f t="shared" si="40"/>
        <v>S-6084995</v>
      </c>
      <c r="W683">
        <f t="shared" si="43"/>
        <v>0</v>
      </c>
      <c r="X683" t="str">
        <f t="shared" si="41"/>
        <v/>
      </c>
      <c r="Y683">
        <f t="shared" si="42"/>
        <v>0</v>
      </c>
    </row>
    <row r="684" spans="1:25" hidden="1" x14ac:dyDescent="0.4">
      <c r="A684" t="s">
        <v>20</v>
      </c>
      <c r="B684">
        <v>6092195</v>
      </c>
      <c r="C684" t="s">
        <v>366</v>
      </c>
      <c r="D684" t="s">
        <v>21</v>
      </c>
      <c r="E684" t="s">
        <v>137</v>
      </c>
      <c r="K684">
        <v>244.67815935799999</v>
      </c>
      <c r="M684">
        <v>244.67815935799999</v>
      </c>
      <c r="P684" s="1" t="s">
        <v>832</v>
      </c>
      <c r="Q684" s="1" t="s">
        <v>833</v>
      </c>
      <c r="R684">
        <v>0.38336142499999998</v>
      </c>
      <c r="S684">
        <v>9.85</v>
      </c>
      <c r="T684" s="2">
        <v>45865</v>
      </c>
      <c r="V684" t="str">
        <f t="shared" si="40"/>
        <v>S-6092195</v>
      </c>
      <c r="W684">
        <f t="shared" si="43"/>
        <v>0</v>
      </c>
      <c r="X684" t="str">
        <f t="shared" si="41"/>
        <v/>
      </c>
      <c r="Y684">
        <f t="shared" si="42"/>
        <v>0.38336142499999998</v>
      </c>
    </row>
    <row r="685" spans="1:25" hidden="1" x14ac:dyDescent="0.4">
      <c r="A685" t="s">
        <v>20</v>
      </c>
      <c r="B685">
        <v>6092195</v>
      </c>
      <c r="C685" t="s">
        <v>366</v>
      </c>
      <c r="D685" t="s">
        <v>21</v>
      </c>
      <c r="E685" t="s">
        <v>156</v>
      </c>
      <c r="K685">
        <v>170.599024566</v>
      </c>
      <c r="M685">
        <v>170.599024566</v>
      </c>
      <c r="P685" s="1" t="s">
        <v>1196</v>
      </c>
      <c r="Q685" s="1" t="s">
        <v>1197</v>
      </c>
      <c r="R685">
        <v>0.421879271</v>
      </c>
      <c r="S685">
        <v>11.33</v>
      </c>
      <c r="T685" s="2">
        <v>45865</v>
      </c>
      <c r="V685" t="str">
        <f t="shared" si="40"/>
        <v>S-6092195</v>
      </c>
      <c r="W685">
        <f t="shared" si="43"/>
        <v>0</v>
      </c>
      <c r="X685" t="str">
        <f t="shared" si="41"/>
        <v/>
      </c>
      <c r="Y685">
        <f t="shared" si="42"/>
        <v>0.421879271</v>
      </c>
    </row>
    <row r="686" spans="1:25" hidden="1" x14ac:dyDescent="0.4">
      <c r="A686" t="s">
        <v>20</v>
      </c>
      <c r="B686">
        <v>6092195</v>
      </c>
      <c r="C686" t="s">
        <v>366</v>
      </c>
      <c r="D686" t="s">
        <v>21</v>
      </c>
      <c r="E686" t="s">
        <v>140</v>
      </c>
      <c r="K686">
        <v>151.018759929</v>
      </c>
      <c r="M686">
        <v>151.018759929</v>
      </c>
      <c r="P686" s="1" t="s">
        <v>1563</v>
      </c>
      <c r="Q686" s="1" t="s">
        <v>1564</v>
      </c>
      <c r="R686">
        <v>0.236475197</v>
      </c>
      <c r="S686">
        <v>6.41</v>
      </c>
      <c r="T686" s="2">
        <v>45865</v>
      </c>
      <c r="V686" t="str">
        <f t="shared" si="40"/>
        <v>S-6092195</v>
      </c>
      <c r="W686">
        <f t="shared" si="43"/>
        <v>0</v>
      </c>
      <c r="X686" t="str">
        <f t="shared" si="41"/>
        <v/>
      </c>
      <c r="Y686">
        <f t="shared" si="42"/>
        <v>0.236475197</v>
      </c>
    </row>
    <row r="687" spans="1:25" hidden="1" x14ac:dyDescent="0.4">
      <c r="A687" t="s">
        <v>20</v>
      </c>
      <c r="B687">
        <v>6092195</v>
      </c>
      <c r="C687" t="s">
        <v>366</v>
      </c>
      <c r="D687" t="s">
        <v>21</v>
      </c>
      <c r="E687" t="s">
        <v>147</v>
      </c>
      <c r="K687">
        <v>81.444223425999994</v>
      </c>
      <c r="M687">
        <v>81.444223425999994</v>
      </c>
      <c r="P687" s="1" t="s">
        <v>1929</v>
      </c>
      <c r="Q687" s="1" t="s">
        <v>1930</v>
      </c>
      <c r="R687">
        <v>0.148733225</v>
      </c>
      <c r="S687">
        <v>8.6300000000000008</v>
      </c>
      <c r="T687" s="2">
        <v>45865</v>
      </c>
      <c r="V687" t="str">
        <f t="shared" si="40"/>
        <v>S-6092195</v>
      </c>
      <c r="W687">
        <f t="shared" si="43"/>
        <v>0</v>
      </c>
      <c r="X687" t="str">
        <f t="shared" si="41"/>
        <v/>
      </c>
      <c r="Y687">
        <f t="shared" si="42"/>
        <v>0.148733225</v>
      </c>
    </row>
    <row r="688" spans="1:25" hidden="1" x14ac:dyDescent="0.4">
      <c r="A688" t="s">
        <v>20</v>
      </c>
      <c r="B688">
        <v>6092195</v>
      </c>
      <c r="C688" t="s">
        <v>366</v>
      </c>
      <c r="D688" t="s">
        <v>21</v>
      </c>
      <c r="E688" t="s">
        <v>22</v>
      </c>
      <c r="K688">
        <v>159.28097488700001</v>
      </c>
      <c r="L688">
        <v>159.28097488700001</v>
      </c>
      <c r="M688">
        <v>0</v>
      </c>
      <c r="N688">
        <v>0</v>
      </c>
      <c r="O688">
        <v>0</v>
      </c>
      <c r="P688" s="1" t="s">
        <v>367</v>
      </c>
      <c r="Q688">
        <v>1</v>
      </c>
      <c r="R688">
        <v>0</v>
      </c>
      <c r="S688">
        <v>0</v>
      </c>
      <c r="T688" s="2">
        <v>45865</v>
      </c>
      <c r="V688" t="str">
        <f t="shared" si="40"/>
        <v>S-6092195</v>
      </c>
      <c r="W688">
        <f t="shared" si="43"/>
        <v>0</v>
      </c>
      <c r="X688" t="str">
        <f t="shared" si="41"/>
        <v/>
      </c>
      <c r="Y688">
        <f t="shared" si="42"/>
        <v>0</v>
      </c>
    </row>
    <row r="689" spans="1:25" hidden="1" x14ac:dyDescent="0.4">
      <c r="A689" t="s">
        <v>20</v>
      </c>
      <c r="B689">
        <v>6099395</v>
      </c>
      <c r="C689" t="s">
        <v>368</v>
      </c>
      <c r="D689" t="s">
        <v>21</v>
      </c>
      <c r="E689" t="s">
        <v>137</v>
      </c>
      <c r="K689">
        <v>245.07678903199999</v>
      </c>
      <c r="M689">
        <v>245.07678903199999</v>
      </c>
      <c r="P689" s="1" t="s">
        <v>834</v>
      </c>
      <c r="Q689" s="1" t="s">
        <v>835</v>
      </c>
      <c r="R689">
        <v>0.39862967399999999</v>
      </c>
      <c r="S689">
        <v>9.4700000000000006</v>
      </c>
      <c r="T689" s="2">
        <v>45866</v>
      </c>
      <c r="V689" t="str">
        <f t="shared" si="40"/>
        <v>S-6099395</v>
      </c>
      <c r="W689">
        <f t="shared" si="43"/>
        <v>0</v>
      </c>
      <c r="X689" t="str">
        <f t="shared" si="41"/>
        <v/>
      </c>
      <c r="Y689">
        <f t="shared" si="42"/>
        <v>0.39862967399999999</v>
      </c>
    </row>
    <row r="690" spans="1:25" hidden="1" x14ac:dyDescent="0.4">
      <c r="A690" t="s">
        <v>20</v>
      </c>
      <c r="B690">
        <v>6099395</v>
      </c>
      <c r="C690" t="s">
        <v>368</v>
      </c>
      <c r="D690" t="s">
        <v>21</v>
      </c>
      <c r="E690" t="s">
        <v>156</v>
      </c>
      <c r="K690">
        <v>171.001958175</v>
      </c>
      <c r="M690">
        <v>171.001958175</v>
      </c>
      <c r="P690" s="1" t="s">
        <v>1198</v>
      </c>
      <c r="Q690" s="1" t="s">
        <v>1199</v>
      </c>
      <c r="R690">
        <v>0.40293360900000003</v>
      </c>
      <c r="S690">
        <v>10.93</v>
      </c>
      <c r="T690" s="2">
        <v>45866</v>
      </c>
      <c r="V690" t="str">
        <f t="shared" si="40"/>
        <v>S-6099395</v>
      </c>
      <c r="W690">
        <f t="shared" si="43"/>
        <v>0</v>
      </c>
      <c r="X690" t="str">
        <f t="shared" si="41"/>
        <v/>
      </c>
      <c r="Y690">
        <f t="shared" si="42"/>
        <v>0.40293360900000003</v>
      </c>
    </row>
    <row r="691" spans="1:25" hidden="1" x14ac:dyDescent="0.4">
      <c r="A691" t="s">
        <v>20</v>
      </c>
      <c r="B691">
        <v>6099395</v>
      </c>
      <c r="C691" t="s">
        <v>368</v>
      </c>
      <c r="D691" t="s">
        <v>21</v>
      </c>
      <c r="E691" t="s">
        <v>140</v>
      </c>
      <c r="K691">
        <v>151.24475498699999</v>
      </c>
      <c r="M691">
        <v>151.24475498699999</v>
      </c>
      <c r="P691" s="1" t="s">
        <v>1565</v>
      </c>
      <c r="Q691" s="1" t="s">
        <v>1566</v>
      </c>
      <c r="R691">
        <v>0.225995058</v>
      </c>
      <c r="S691">
        <v>5.63</v>
      </c>
      <c r="T691" s="2">
        <v>45866</v>
      </c>
      <c r="V691" t="str">
        <f t="shared" si="40"/>
        <v>S-6099395</v>
      </c>
      <c r="W691">
        <f t="shared" si="43"/>
        <v>0</v>
      </c>
      <c r="X691" t="str">
        <f t="shared" si="41"/>
        <v/>
      </c>
      <c r="Y691">
        <f t="shared" si="42"/>
        <v>0.225995058</v>
      </c>
    </row>
    <row r="692" spans="1:25" hidden="1" x14ac:dyDescent="0.4">
      <c r="A692" t="s">
        <v>20</v>
      </c>
      <c r="B692">
        <v>6099395</v>
      </c>
      <c r="C692" t="s">
        <v>368</v>
      </c>
      <c r="D692" t="s">
        <v>21</v>
      </c>
      <c r="E692" t="s">
        <v>147</v>
      </c>
      <c r="K692">
        <v>81.588673335999999</v>
      </c>
      <c r="M692">
        <v>81.588673335999999</v>
      </c>
      <c r="P692" s="1" t="s">
        <v>1931</v>
      </c>
      <c r="Q692" s="1" t="s">
        <v>1932</v>
      </c>
      <c r="R692">
        <v>0.14444990999999999</v>
      </c>
      <c r="S692">
        <v>7.66</v>
      </c>
      <c r="T692" s="2">
        <v>45866</v>
      </c>
      <c r="V692" t="str">
        <f t="shared" si="40"/>
        <v>S-6099395</v>
      </c>
      <c r="W692">
        <f t="shared" si="43"/>
        <v>0</v>
      </c>
      <c r="X692" t="str">
        <f t="shared" si="41"/>
        <v/>
      </c>
      <c r="Y692">
        <f t="shared" si="42"/>
        <v>0.14444990999999999</v>
      </c>
    </row>
    <row r="693" spans="1:25" hidden="1" x14ac:dyDescent="0.4">
      <c r="A693" t="s">
        <v>20</v>
      </c>
      <c r="B693">
        <v>6099395</v>
      </c>
      <c r="C693" t="s">
        <v>368</v>
      </c>
      <c r="D693" t="s">
        <v>21</v>
      </c>
      <c r="E693" t="s">
        <v>22</v>
      </c>
      <c r="K693">
        <v>159.28097488700001</v>
      </c>
      <c r="L693">
        <v>159.28097488700001</v>
      </c>
      <c r="M693">
        <v>0</v>
      </c>
      <c r="N693">
        <v>0</v>
      </c>
      <c r="O693">
        <v>0</v>
      </c>
      <c r="P693" s="1" t="s">
        <v>369</v>
      </c>
      <c r="Q693">
        <v>1</v>
      </c>
      <c r="R693">
        <v>0</v>
      </c>
      <c r="S693">
        <v>0</v>
      </c>
      <c r="T693" s="2">
        <v>45866</v>
      </c>
      <c r="V693" t="str">
        <f t="shared" si="40"/>
        <v>S-6099395</v>
      </c>
      <c r="W693">
        <f t="shared" si="43"/>
        <v>0</v>
      </c>
      <c r="X693" t="str">
        <f t="shared" si="41"/>
        <v/>
      </c>
      <c r="Y693">
        <f t="shared" si="42"/>
        <v>0</v>
      </c>
    </row>
    <row r="694" spans="1:25" hidden="1" x14ac:dyDescent="0.4">
      <c r="A694" t="s">
        <v>20</v>
      </c>
      <c r="B694">
        <v>6106595</v>
      </c>
      <c r="C694" t="s">
        <v>370</v>
      </c>
      <c r="D694" t="s">
        <v>21</v>
      </c>
      <c r="E694" t="s">
        <v>137</v>
      </c>
      <c r="K694">
        <v>245.47770751900001</v>
      </c>
      <c r="M694">
        <v>245.47770751900001</v>
      </c>
      <c r="P694" s="1" t="s">
        <v>836</v>
      </c>
      <c r="Q694" s="1" t="s">
        <v>837</v>
      </c>
      <c r="R694">
        <v>0.40091848699999999</v>
      </c>
      <c r="S694">
        <v>8.94</v>
      </c>
      <c r="T694" s="2">
        <v>45867</v>
      </c>
      <c r="V694" t="str">
        <f t="shared" si="40"/>
        <v>S-6106595</v>
      </c>
      <c r="W694">
        <f t="shared" si="43"/>
        <v>0</v>
      </c>
      <c r="X694" t="str">
        <f t="shared" si="41"/>
        <v/>
      </c>
      <c r="Y694">
        <f t="shared" si="42"/>
        <v>0.40091848699999999</v>
      </c>
    </row>
    <row r="695" spans="1:25" hidden="1" x14ac:dyDescent="0.4">
      <c r="A695" t="s">
        <v>20</v>
      </c>
      <c r="B695">
        <v>6106595</v>
      </c>
      <c r="C695" t="s">
        <v>370</v>
      </c>
      <c r="D695" t="s">
        <v>21</v>
      </c>
      <c r="E695" t="s">
        <v>156</v>
      </c>
      <c r="K695">
        <v>171.39986834499999</v>
      </c>
      <c r="M695">
        <v>171.39986834499999</v>
      </c>
      <c r="P695" s="1" t="s">
        <v>1200</v>
      </c>
      <c r="Q695" s="1" t="s">
        <v>1201</v>
      </c>
      <c r="R695">
        <v>0.39791017000000001</v>
      </c>
      <c r="S695">
        <v>9.65</v>
      </c>
      <c r="T695" s="2">
        <v>45867</v>
      </c>
      <c r="V695" t="str">
        <f t="shared" si="40"/>
        <v>S-6106595</v>
      </c>
      <c r="W695">
        <f t="shared" si="43"/>
        <v>0</v>
      </c>
      <c r="X695" t="str">
        <f t="shared" si="41"/>
        <v/>
      </c>
      <c r="Y695">
        <f t="shared" si="42"/>
        <v>0.39791017000000001</v>
      </c>
    </row>
    <row r="696" spans="1:25" hidden="1" x14ac:dyDescent="0.4">
      <c r="A696" t="s">
        <v>20</v>
      </c>
      <c r="B696">
        <v>6106595</v>
      </c>
      <c r="C696" t="s">
        <v>370</v>
      </c>
      <c r="D696" t="s">
        <v>21</v>
      </c>
      <c r="E696" t="s">
        <v>140</v>
      </c>
      <c r="K696">
        <v>151.48554650700001</v>
      </c>
      <c r="M696">
        <v>151.48554650700001</v>
      </c>
      <c r="P696" s="1" t="s">
        <v>1567</v>
      </c>
      <c r="Q696" s="1" t="s">
        <v>1568</v>
      </c>
      <c r="R696">
        <v>0.24079152000000001</v>
      </c>
      <c r="S696">
        <v>5.33</v>
      </c>
      <c r="T696" s="2">
        <v>45867</v>
      </c>
      <c r="V696" t="str">
        <f t="shared" si="40"/>
        <v>S-6106595</v>
      </c>
      <c r="W696">
        <f t="shared" si="43"/>
        <v>0</v>
      </c>
      <c r="X696" t="str">
        <f t="shared" si="41"/>
        <v/>
      </c>
      <c r="Y696">
        <f t="shared" si="42"/>
        <v>0.24079152000000001</v>
      </c>
    </row>
    <row r="697" spans="1:25" hidden="1" x14ac:dyDescent="0.4">
      <c r="A697" t="s">
        <v>20</v>
      </c>
      <c r="B697">
        <v>6106595</v>
      </c>
      <c r="C697" t="s">
        <v>370</v>
      </c>
      <c r="D697" t="s">
        <v>21</v>
      </c>
      <c r="E697" t="s">
        <v>147</v>
      </c>
      <c r="K697">
        <v>81.725134354000005</v>
      </c>
      <c r="M697">
        <v>81.725134354000005</v>
      </c>
      <c r="P697" s="1" t="s">
        <v>1933</v>
      </c>
      <c r="Q697" s="1" t="s">
        <v>1934</v>
      </c>
      <c r="R697">
        <v>0.13646101799999999</v>
      </c>
      <c r="S697">
        <v>6.8</v>
      </c>
      <c r="T697" s="2">
        <v>45867</v>
      </c>
      <c r="V697" t="str">
        <f t="shared" si="40"/>
        <v>S-6106595</v>
      </c>
      <c r="W697">
        <f t="shared" si="43"/>
        <v>0</v>
      </c>
      <c r="X697" t="str">
        <f t="shared" si="41"/>
        <v/>
      </c>
      <c r="Y697">
        <f t="shared" si="42"/>
        <v>0.13646101799999999</v>
      </c>
    </row>
    <row r="698" spans="1:25" hidden="1" x14ac:dyDescent="0.4">
      <c r="A698" t="s">
        <v>20</v>
      </c>
      <c r="B698">
        <v>6106595</v>
      </c>
      <c r="C698" t="s">
        <v>370</v>
      </c>
      <c r="D698" t="s">
        <v>21</v>
      </c>
      <c r="E698" t="s">
        <v>22</v>
      </c>
      <c r="K698">
        <v>159.28097488700001</v>
      </c>
      <c r="L698">
        <v>159.28097488700001</v>
      </c>
      <c r="M698">
        <v>0</v>
      </c>
      <c r="N698">
        <v>0</v>
      </c>
      <c r="O698">
        <v>0</v>
      </c>
      <c r="P698" s="1" t="s">
        <v>371</v>
      </c>
      <c r="Q698">
        <v>1</v>
      </c>
      <c r="R698">
        <v>0</v>
      </c>
      <c r="S698">
        <v>0</v>
      </c>
      <c r="T698" s="2">
        <v>45867</v>
      </c>
      <c r="V698" t="str">
        <f t="shared" si="40"/>
        <v>S-6106595</v>
      </c>
      <c r="W698">
        <f t="shared" si="43"/>
        <v>0</v>
      </c>
      <c r="X698" t="str">
        <f t="shared" si="41"/>
        <v/>
      </c>
      <c r="Y698">
        <f t="shared" si="42"/>
        <v>0</v>
      </c>
    </row>
    <row r="699" spans="1:25" hidden="1" x14ac:dyDescent="0.4">
      <c r="A699" t="s">
        <v>20</v>
      </c>
      <c r="B699">
        <v>6113795</v>
      </c>
      <c r="C699" t="s">
        <v>372</v>
      </c>
      <c r="D699" t="s">
        <v>21</v>
      </c>
      <c r="E699" t="s">
        <v>137</v>
      </c>
      <c r="K699">
        <v>245.87770411899999</v>
      </c>
      <c r="M699">
        <v>245.87770411899999</v>
      </c>
      <c r="P699" s="1" t="s">
        <v>838</v>
      </c>
      <c r="Q699" s="1" t="s">
        <v>839</v>
      </c>
      <c r="R699">
        <v>0.39999659999999998</v>
      </c>
      <c r="S699">
        <v>8.58</v>
      </c>
      <c r="T699" s="2">
        <v>45868</v>
      </c>
      <c r="V699" t="str">
        <f t="shared" si="40"/>
        <v>S-6113795</v>
      </c>
      <c r="W699">
        <f t="shared" si="43"/>
        <v>0</v>
      </c>
      <c r="X699" t="str">
        <f t="shared" si="41"/>
        <v/>
      </c>
      <c r="Y699">
        <f t="shared" si="42"/>
        <v>0.39999659999999998</v>
      </c>
    </row>
    <row r="700" spans="1:25" hidden="1" x14ac:dyDescent="0.4">
      <c r="A700" t="s">
        <v>20</v>
      </c>
      <c r="B700">
        <v>6113795</v>
      </c>
      <c r="C700" t="s">
        <v>372</v>
      </c>
      <c r="D700" t="s">
        <v>21</v>
      </c>
      <c r="E700" t="s">
        <v>156</v>
      </c>
      <c r="K700">
        <v>171.811711355</v>
      </c>
      <c r="M700">
        <v>171.811711355</v>
      </c>
      <c r="P700" s="1" t="s">
        <v>1202</v>
      </c>
      <c r="Q700" s="1" t="s">
        <v>1203</v>
      </c>
      <c r="R700">
        <v>0.41184301000000001</v>
      </c>
      <c r="S700">
        <v>9.44</v>
      </c>
      <c r="T700" s="2">
        <v>45868</v>
      </c>
      <c r="V700" t="str">
        <f t="shared" si="40"/>
        <v>S-6113795</v>
      </c>
      <c r="W700">
        <f t="shared" si="43"/>
        <v>0</v>
      </c>
      <c r="X700" t="str">
        <f t="shared" si="41"/>
        <v/>
      </c>
      <c r="Y700">
        <f t="shared" si="42"/>
        <v>0.41184301000000001</v>
      </c>
    </row>
    <row r="701" spans="1:25" hidden="1" x14ac:dyDescent="0.4">
      <c r="A701" t="s">
        <v>20</v>
      </c>
      <c r="B701">
        <v>6113795</v>
      </c>
      <c r="C701" t="s">
        <v>372</v>
      </c>
      <c r="D701" t="s">
        <v>21</v>
      </c>
      <c r="E701" t="s">
        <v>140</v>
      </c>
      <c r="K701">
        <v>151.73272150099999</v>
      </c>
      <c r="M701">
        <v>151.73272150099999</v>
      </c>
      <c r="P701" s="1" t="s">
        <v>1569</v>
      </c>
      <c r="Q701" s="1" t="s">
        <v>1570</v>
      </c>
      <c r="R701">
        <v>0.24717499400000001</v>
      </c>
      <c r="S701">
        <v>4.78</v>
      </c>
      <c r="T701" s="2">
        <v>45868</v>
      </c>
      <c r="V701" t="str">
        <f t="shared" si="40"/>
        <v>S-6113795</v>
      </c>
      <c r="W701">
        <f t="shared" si="43"/>
        <v>0</v>
      </c>
      <c r="X701" t="str">
        <f t="shared" si="41"/>
        <v/>
      </c>
      <c r="Y701">
        <f t="shared" si="42"/>
        <v>0.24717499400000001</v>
      </c>
    </row>
    <row r="702" spans="1:25" hidden="1" x14ac:dyDescent="0.4">
      <c r="A702" t="s">
        <v>20</v>
      </c>
      <c r="B702">
        <v>6113795</v>
      </c>
      <c r="C702" t="s">
        <v>372</v>
      </c>
      <c r="D702" t="s">
        <v>21</v>
      </c>
      <c r="E702" t="s">
        <v>147</v>
      </c>
      <c r="K702">
        <v>81.868942442999995</v>
      </c>
      <c r="M702">
        <v>81.868942442999995</v>
      </c>
      <c r="P702" s="1" t="s">
        <v>1935</v>
      </c>
      <c r="Q702" s="1" t="s">
        <v>1936</v>
      </c>
      <c r="R702">
        <v>0.143808089</v>
      </c>
      <c r="S702">
        <v>7.08</v>
      </c>
      <c r="T702" s="2">
        <v>45868</v>
      </c>
      <c r="V702" t="str">
        <f t="shared" si="40"/>
        <v>S-6113795</v>
      </c>
      <c r="W702">
        <f t="shared" si="43"/>
        <v>0</v>
      </c>
      <c r="X702" t="str">
        <f t="shared" si="41"/>
        <v/>
      </c>
      <c r="Y702">
        <f t="shared" si="42"/>
        <v>0.143808089</v>
      </c>
    </row>
    <row r="703" spans="1:25" hidden="1" x14ac:dyDescent="0.4">
      <c r="A703" t="s">
        <v>20</v>
      </c>
      <c r="B703">
        <v>6113795</v>
      </c>
      <c r="C703" t="s">
        <v>372</v>
      </c>
      <c r="D703" t="s">
        <v>21</v>
      </c>
      <c r="E703" t="s">
        <v>22</v>
      </c>
      <c r="K703">
        <v>159.28097488700001</v>
      </c>
      <c r="L703">
        <v>159.28097488700001</v>
      </c>
      <c r="M703">
        <v>0</v>
      </c>
      <c r="N703">
        <v>0</v>
      </c>
      <c r="O703">
        <v>0</v>
      </c>
      <c r="P703" s="1" t="s">
        <v>373</v>
      </c>
      <c r="Q703">
        <v>1</v>
      </c>
      <c r="R703">
        <v>0</v>
      </c>
      <c r="S703">
        <v>0</v>
      </c>
      <c r="T703" s="2">
        <v>45868</v>
      </c>
      <c r="V703" t="str">
        <f t="shared" si="40"/>
        <v>S-6113795</v>
      </c>
      <c r="W703">
        <f t="shared" si="43"/>
        <v>0</v>
      </c>
      <c r="X703" t="str">
        <f t="shared" si="41"/>
        <v/>
      </c>
      <c r="Y703">
        <f t="shared" si="42"/>
        <v>0</v>
      </c>
    </row>
    <row r="704" spans="1:25" x14ac:dyDescent="0.4">
      <c r="A704" t="s">
        <v>20</v>
      </c>
      <c r="B704">
        <v>6120049</v>
      </c>
      <c r="C704" t="s">
        <v>2215</v>
      </c>
      <c r="D704" t="s">
        <v>21</v>
      </c>
      <c r="E704" t="s">
        <v>22</v>
      </c>
      <c r="F704" t="s">
        <v>74</v>
      </c>
      <c r="G704">
        <v>1.42275E-4</v>
      </c>
      <c r="I704" t="s">
        <v>374</v>
      </c>
      <c r="J704" t="s">
        <v>375</v>
      </c>
      <c r="Q704">
        <v>1</v>
      </c>
      <c r="V704" t="str">
        <f t="shared" si="40"/>
        <v>S-6120049-0002-00</v>
      </c>
      <c r="W704">
        <f t="shared" si="43"/>
        <v>2</v>
      </c>
      <c r="X704" t="str">
        <f t="shared" si="41"/>
        <v>6120049-0002fee</v>
      </c>
      <c r="Y704">
        <f t="shared" si="42"/>
        <v>-1.42275E-4</v>
      </c>
    </row>
    <row r="705" spans="1:25" x14ac:dyDescent="0.4">
      <c r="A705" t="s">
        <v>20</v>
      </c>
      <c r="B705">
        <v>6120049</v>
      </c>
      <c r="C705" t="s">
        <v>2215</v>
      </c>
      <c r="D705" t="s">
        <v>21</v>
      </c>
      <c r="E705" t="s">
        <v>22</v>
      </c>
      <c r="F705" t="s">
        <v>77</v>
      </c>
      <c r="G705">
        <v>1</v>
      </c>
      <c r="I705" t="s">
        <v>374</v>
      </c>
      <c r="J705" t="s">
        <v>78</v>
      </c>
      <c r="Q705">
        <v>1</v>
      </c>
      <c r="V705" t="str">
        <f t="shared" si="40"/>
        <v>S-6120049-0002-01</v>
      </c>
      <c r="W705">
        <f t="shared" si="43"/>
        <v>2</v>
      </c>
      <c r="X705" t="str">
        <f t="shared" si="41"/>
        <v>6120049-0002debit</v>
      </c>
      <c r="Y705">
        <f t="shared" si="42"/>
        <v>-1</v>
      </c>
    </row>
    <row r="706" spans="1:25" x14ac:dyDescent="0.4">
      <c r="A706" t="s">
        <v>20</v>
      </c>
      <c r="B706">
        <v>6120053</v>
      </c>
      <c r="C706" t="s">
        <v>2216</v>
      </c>
      <c r="D706" t="s">
        <v>21</v>
      </c>
      <c r="E706" t="s">
        <v>22</v>
      </c>
      <c r="F706" t="s">
        <v>179</v>
      </c>
      <c r="H706">
        <v>1.0000000000000001E-9</v>
      </c>
      <c r="I706" t="s">
        <v>376</v>
      </c>
      <c r="J706" t="s">
        <v>377</v>
      </c>
      <c r="Q706">
        <v>1</v>
      </c>
      <c r="V706" t="str">
        <f t="shared" si="40"/>
        <v>S-6120053-0006-02</v>
      </c>
      <c r="W706">
        <f t="shared" si="43"/>
        <v>1</v>
      </c>
      <c r="X706" t="str">
        <f t="shared" si="41"/>
        <v>6120053-0006credit</v>
      </c>
      <c r="Y706">
        <f t="shared" si="42"/>
        <v>1.0000000000000001E-9</v>
      </c>
    </row>
    <row r="707" spans="1:25" x14ac:dyDescent="0.4">
      <c r="A707" t="s">
        <v>20</v>
      </c>
      <c r="B707">
        <v>6120240</v>
      </c>
      <c r="C707" t="s">
        <v>2217</v>
      </c>
      <c r="D707" t="s">
        <v>21</v>
      </c>
      <c r="E707" t="s">
        <v>22</v>
      </c>
      <c r="F707" t="s">
        <v>74</v>
      </c>
      <c r="G707">
        <v>1.4227700000000001E-4</v>
      </c>
      <c r="I707" t="s">
        <v>378</v>
      </c>
      <c r="J707" t="s">
        <v>375</v>
      </c>
      <c r="Q707">
        <v>1</v>
      </c>
      <c r="V707" t="str">
        <f t="shared" ref="V707:V770" si="44">"S-"&amp;IF(LEN(I707)=0,B707,I707&amp;IF(F707="fee","-00",IF(LEN(G707)&gt;0,"-01","-02")))</f>
        <v>S-6120240-0002-00</v>
      </c>
      <c r="W707">
        <f t="shared" si="43"/>
        <v>2</v>
      </c>
      <c r="X707" t="str">
        <f t="shared" ref="X707:X770" si="45">IF(LEN(I707)&gt;0,I707&amp;IF(F707="fee","fee",IF(VALUE(G707)&gt;0,"debit",IF(VALUE(H707)&gt;0,"credit","error"))),"")</f>
        <v>6120240-0002fee</v>
      </c>
      <c r="Y707">
        <f t="shared" ref="Y707:Y770" si="46">ROUND(IF(ROW(U707) = 2,K707,0)+IF(H707&lt;&gt;"",H707,0) + IF(R707&lt;&gt;"",R707,0) - IF(G707&lt;&gt;"",G707,0),9)</f>
        <v>-1.4227700000000001E-4</v>
      </c>
    </row>
    <row r="708" spans="1:25" x14ac:dyDescent="0.4">
      <c r="A708" t="s">
        <v>20</v>
      </c>
      <c r="B708">
        <v>6120240</v>
      </c>
      <c r="C708" t="s">
        <v>2217</v>
      </c>
      <c r="D708" t="s">
        <v>21</v>
      </c>
      <c r="E708" t="s">
        <v>22</v>
      </c>
      <c r="F708" t="s">
        <v>77</v>
      </c>
      <c r="G708">
        <v>99</v>
      </c>
      <c r="I708" t="s">
        <v>378</v>
      </c>
      <c r="J708" t="s">
        <v>78</v>
      </c>
      <c r="Q708">
        <v>1</v>
      </c>
      <c r="V708" t="str">
        <f t="shared" si="44"/>
        <v>S-6120240-0002-01</v>
      </c>
      <c r="W708">
        <f t="shared" ref="W708:W771" si="47">COUNTIF(I:I,I708)</f>
        <v>2</v>
      </c>
      <c r="X708" t="str">
        <f t="shared" si="45"/>
        <v>6120240-0002debit</v>
      </c>
      <c r="Y708">
        <f t="shared" si="46"/>
        <v>-99</v>
      </c>
    </row>
    <row r="709" spans="1:25" x14ac:dyDescent="0.4">
      <c r="A709" t="s">
        <v>20</v>
      </c>
      <c r="B709">
        <v>6120245</v>
      </c>
      <c r="C709" t="s">
        <v>2218</v>
      </c>
      <c r="D709" t="s">
        <v>21</v>
      </c>
      <c r="E709" t="s">
        <v>22</v>
      </c>
      <c r="F709" t="s">
        <v>179</v>
      </c>
      <c r="H709">
        <v>1.0000000000000001E-9</v>
      </c>
      <c r="I709" t="s">
        <v>379</v>
      </c>
      <c r="J709" t="s">
        <v>377</v>
      </c>
      <c r="Q709">
        <v>1</v>
      </c>
      <c r="V709" t="str">
        <f t="shared" si="44"/>
        <v>S-6120245-0003-02</v>
      </c>
      <c r="W709">
        <f t="shared" si="47"/>
        <v>1</v>
      </c>
      <c r="X709" t="str">
        <f t="shared" si="45"/>
        <v>6120245-0003credit</v>
      </c>
      <c r="Y709">
        <f t="shared" si="46"/>
        <v>1.0000000000000001E-9</v>
      </c>
    </row>
    <row r="710" spans="1:25" hidden="1" x14ac:dyDescent="0.4">
      <c r="A710" t="s">
        <v>20</v>
      </c>
      <c r="B710">
        <v>6120995</v>
      </c>
      <c r="C710" t="s">
        <v>380</v>
      </c>
      <c r="D710" t="s">
        <v>21</v>
      </c>
      <c r="E710" t="s">
        <v>137</v>
      </c>
      <c r="K710">
        <v>246.280744269</v>
      </c>
      <c r="M710">
        <v>246.280744269</v>
      </c>
      <c r="P710" s="1" t="s">
        <v>840</v>
      </c>
      <c r="Q710" s="1" t="s">
        <v>841</v>
      </c>
      <c r="R710">
        <v>0.40304014999999999</v>
      </c>
      <c r="S710">
        <v>8.02</v>
      </c>
      <c r="T710" s="2">
        <v>45869</v>
      </c>
      <c r="V710" t="str">
        <f t="shared" si="44"/>
        <v>S-6120995</v>
      </c>
      <c r="W710">
        <f t="shared" si="47"/>
        <v>0</v>
      </c>
      <c r="X710" t="str">
        <f t="shared" si="45"/>
        <v/>
      </c>
      <c r="Y710">
        <f t="shared" si="46"/>
        <v>0.40304014999999999</v>
      </c>
    </row>
    <row r="711" spans="1:25" hidden="1" x14ac:dyDescent="0.4">
      <c r="A711" t="s">
        <v>20</v>
      </c>
      <c r="B711">
        <v>6120995</v>
      </c>
      <c r="C711" t="s">
        <v>380</v>
      </c>
      <c r="D711" t="s">
        <v>21</v>
      </c>
      <c r="E711" t="s">
        <v>156</v>
      </c>
      <c r="K711">
        <v>172.228638424</v>
      </c>
      <c r="M711">
        <v>172.228638424</v>
      </c>
      <c r="P711" s="1" t="s">
        <v>1204</v>
      </c>
      <c r="Q711" s="1" t="s">
        <v>1205</v>
      </c>
      <c r="R711">
        <v>0.41692706899999998</v>
      </c>
      <c r="S711">
        <v>8.84</v>
      </c>
      <c r="T711" s="2">
        <v>45869</v>
      </c>
      <c r="V711" t="str">
        <f t="shared" si="44"/>
        <v>S-6120995</v>
      </c>
      <c r="W711">
        <f t="shared" si="47"/>
        <v>0</v>
      </c>
      <c r="X711" t="str">
        <f t="shared" si="45"/>
        <v/>
      </c>
      <c r="Y711">
        <f t="shared" si="46"/>
        <v>0.41692706899999998</v>
      </c>
    </row>
    <row r="712" spans="1:25" hidden="1" x14ac:dyDescent="0.4">
      <c r="A712" t="s">
        <v>20</v>
      </c>
      <c r="B712">
        <v>6120995</v>
      </c>
      <c r="C712" t="s">
        <v>380</v>
      </c>
      <c r="D712" t="s">
        <v>21</v>
      </c>
      <c r="E712" t="s">
        <v>140</v>
      </c>
      <c r="K712">
        <v>151.98859536500001</v>
      </c>
      <c r="M712">
        <v>151.98859536500001</v>
      </c>
      <c r="P712" s="1" t="s">
        <v>1571</v>
      </c>
      <c r="Q712" s="1" t="s">
        <v>1572</v>
      </c>
      <c r="R712">
        <v>0.25587386400000001</v>
      </c>
      <c r="S712">
        <v>4.54</v>
      </c>
      <c r="T712" s="2">
        <v>45869</v>
      </c>
      <c r="V712" t="str">
        <f t="shared" si="44"/>
        <v>S-6120995</v>
      </c>
      <c r="W712">
        <f t="shared" si="47"/>
        <v>0</v>
      </c>
      <c r="X712" t="str">
        <f t="shared" si="45"/>
        <v/>
      </c>
      <c r="Y712">
        <f t="shared" si="46"/>
        <v>0.25587386400000001</v>
      </c>
    </row>
    <row r="713" spans="1:25" hidden="1" x14ac:dyDescent="0.4">
      <c r="A713" t="s">
        <v>20</v>
      </c>
      <c r="B713">
        <v>6120995</v>
      </c>
      <c r="C713" t="s">
        <v>380</v>
      </c>
      <c r="D713" t="s">
        <v>21</v>
      </c>
      <c r="E713" t="s">
        <v>147</v>
      </c>
      <c r="K713">
        <v>82.013003578999999</v>
      </c>
      <c r="M713">
        <v>82.013003578999999</v>
      </c>
      <c r="P713" s="1" t="s">
        <v>1937</v>
      </c>
      <c r="Q713" s="1" t="s">
        <v>1938</v>
      </c>
      <c r="R713">
        <v>0.14406113600000001</v>
      </c>
      <c r="S713">
        <v>6.51</v>
      </c>
      <c r="T713" s="2">
        <v>45869</v>
      </c>
      <c r="V713" t="str">
        <f t="shared" si="44"/>
        <v>S-6120995</v>
      </c>
      <c r="W713">
        <f t="shared" si="47"/>
        <v>0</v>
      </c>
      <c r="X713" t="str">
        <f t="shared" si="45"/>
        <v/>
      </c>
      <c r="Y713">
        <f t="shared" si="46"/>
        <v>0.14406113600000001</v>
      </c>
    </row>
    <row r="714" spans="1:25" hidden="1" x14ac:dyDescent="0.4">
      <c r="A714" t="s">
        <v>20</v>
      </c>
      <c r="B714">
        <v>6120995</v>
      </c>
      <c r="C714" t="s">
        <v>380</v>
      </c>
      <c r="D714" t="s">
        <v>21</v>
      </c>
      <c r="E714" t="s">
        <v>22</v>
      </c>
      <c r="K714">
        <v>59.280690337000003</v>
      </c>
      <c r="L714">
        <v>59.280690337000003</v>
      </c>
      <c r="M714">
        <v>0</v>
      </c>
      <c r="N714">
        <v>0</v>
      </c>
      <c r="O714">
        <v>0</v>
      </c>
      <c r="P714" s="1" t="s">
        <v>381</v>
      </c>
      <c r="Q714">
        <v>1</v>
      </c>
      <c r="R714">
        <v>0</v>
      </c>
      <c r="S714">
        <v>0</v>
      </c>
      <c r="T714" s="2">
        <v>45869</v>
      </c>
      <c r="V714" t="str">
        <f t="shared" si="44"/>
        <v>S-6120995</v>
      </c>
      <c r="W714">
        <f t="shared" si="47"/>
        <v>0</v>
      </c>
      <c r="X714" t="str">
        <f t="shared" si="45"/>
        <v/>
      </c>
      <c r="Y714">
        <f t="shared" si="46"/>
        <v>0</v>
      </c>
    </row>
    <row r="715" spans="1:25" hidden="1" x14ac:dyDescent="0.4">
      <c r="A715" t="s">
        <v>20</v>
      </c>
      <c r="B715">
        <v>6128195</v>
      </c>
      <c r="C715" t="s">
        <v>382</v>
      </c>
      <c r="D715" t="s">
        <v>21</v>
      </c>
      <c r="E715" t="s">
        <v>137</v>
      </c>
      <c r="K715">
        <v>246.686180557</v>
      </c>
      <c r="M715">
        <v>246.686180557</v>
      </c>
      <c r="P715" s="1" t="s">
        <v>842</v>
      </c>
      <c r="Q715" s="1" t="s">
        <v>843</v>
      </c>
      <c r="R715">
        <v>0.40543628799999998</v>
      </c>
      <c r="S715">
        <v>7.81</v>
      </c>
      <c r="T715" s="2">
        <v>45870</v>
      </c>
      <c r="V715" t="str">
        <f t="shared" si="44"/>
        <v>S-6128195</v>
      </c>
      <c r="W715">
        <f t="shared" si="47"/>
        <v>0</v>
      </c>
      <c r="X715" t="str">
        <f t="shared" si="45"/>
        <v/>
      </c>
      <c r="Y715">
        <f t="shared" si="46"/>
        <v>0.40543628799999998</v>
      </c>
    </row>
    <row r="716" spans="1:25" hidden="1" x14ac:dyDescent="0.4">
      <c r="A716" t="s">
        <v>20</v>
      </c>
      <c r="B716">
        <v>6128195</v>
      </c>
      <c r="C716" t="s">
        <v>382</v>
      </c>
      <c r="D716" t="s">
        <v>21</v>
      </c>
      <c r="E716" t="s">
        <v>156</v>
      </c>
      <c r="K716">
        <v>172.650649378</v>
      </c>
      <c r="M716">
        <v>172.650649378</v>
      </c>
      <c r="P716" s="1" t="s">
        <v>1206</v>
      </c>
      <c r="Q716" s="1" t="s">
        <v>1207</v>
      </c>
      <c r="R716">
        <v>0.42201095399999999</v>
      </c>
      <c r="S716">
        <v>8.65</v>
      </c>
      <c r="T716" s="2">
        <v>45870</v>
      </c>
      <c r="V716" t="str">
        <f t="shared" si="44"/>
        <v>S-6128195</v>
      </c>
      <c r="W716">
        <f t="shared" si="47"/>
        <v>0</v>
      </c>
      <c r="X716" t="str">
        <f t="shared" si="45"/>
        <v/>
      </c>
      <c r="Y716">
        <f t="shared" si="46"/>
        <v>0.42201095399999999</v>
      </c>
    </row>
    <row r="717" spans="1:25" hidden="1" x14ac:dyDescent="0.4">
      <c r="A717" t="s">
        <v>20</v>
      </c>
      <c r="B717">
        <v>6128195</v>
      </c>
      <c r="C717" t="s">
        <v>382</v>
      </c>
      <c r="D717" t="s">
        <v>21</v>
      </c>
      <c r="E717" t="s">
        <v>140</v>
      </c>
      <c r="K717">
        <v>152.24549863199999</v>
      </c>
      <c r="M717">
        <v>152.24549863199999</v>
      </c>
      <c r="P717" s="1" t="s">
        <v>1573</v>
      </c>
      <c r="Q717" s="1" t="s">
        <v>1574</v>
      </c>
      <c r="R717">
        <v>0.25690326699999999</v>
      </c>
      <c r="S717">
        <v>4.3</v>
      </c>
      <c r="T717" s="2">
        <v>45870</v>
      </c>
      <c r="V717" t="str">
        <f t="shared" si="44"/>
        <v>S-6128195</v>
      </c>
      <c r="W717">
        <f t="shared" si="47"/>
        <v>0</v>
      </c>
      <c r="X717" t="str">
        <f t="shared" si="45"/>
        <v/>
      </c>
      <c r="Y717">
        <f t="shared" si="46"/>
        <v>0.25690326699999999</v>
      </c>
    </row>
    <row r="718" spans="1:25" hidden="1" x14ac:dyDescent="0.4">
      <c r="A718" t="s">
        <v>20</v>
      </c>
      <c r="B718">
        <v>6128195</v>
      </c>
      <c r="C718" t="s">
        <v>382</v>
      </c>
      <c r="D718" t="s">
        <v>21</v>
      </c>
      <c r="E718" t="s">
        <v>147</v>
      </c>
      <c r="K718">
        <v>82.157552195999997</v>
      </c>
      <c r="M718">
        <v>82.157552195999997</v>
      </c>
      <c r="P718" s="1" t="s">
        <v>1939</v>
      </c>
      <c r="Q718" s="1" t="s">
        <v>1940</v>
      </c>
      <c r="R718">
        <v>0.14454861699999999</v>
      </c>
      <c r="S718">
        <v>6.29</v>
      </c>
      <c r="T718" s="2">
        <v>45870</v>
      </c>
      <c r="V718" t="str">
        <f t="shared" si="44"/>
        <v>S-6128195</v>
      </c>
      <c r="W718">
        <f t="shared" si="47"/>
        <v>0</v>
      </c>
      <c r="X718" t="str">
        <f t="shared" si="45"/>
        <v/>
      </c>
      <c r="Y718">
        <f t="shared" si="46"/>
        <v>0.14454861699999999</v>
      </c>
    </row>
    <row r="719" spans="1:25" hidden="1" x14ac:dyDescent="0.4">
      <c r="A719" t="s">
        <v>20</v>
      </c>
      <c r="B719">
        <v>6128195</v>
      </c>
      <c r="C719" t="s">
        <v>382</v>
      </c>
      <c r="D719" t="s">
        <v>21</v>
      </c>
      <c r="E719" t="s">
        <v>22</v>
      </c>
      <c r="K719">
        <v>59.280690337000003</v>
      </c>
      <c r="L719">
        <v>59.280690337000003</v>
      </c>
      <c r="M719">
        <v>0</v>
      </c>
      <c r="N719">
        <v>0</v>
      </c>
      <c r="O719">
        <v>0</v>
      </c>
      <c r="P719" s="1" t="s">
        <v>383</v>
      </c>
      <c r="Q719">
        <v>1</v>
      </c>
      <c r="R719">
        <v>0</v>
      </c>
      <c r="S719">
        <v>0</v>
      </c>
      <c r="T719" s="2">
        <v>45870</v>
      </c>
      <c r="V719" t="str">
        <f t="shared" si="44"/>
        <v>S-6128195</v>
      </c>
      <c r="W719">
        <f t="shared" si="47"/>
        <v>0</v>
      </c>
      <c r="X719" t="str">
        <f t="shared" si="45"/>
        <v/>
      </c>
      <c r="Y719">
        <f t="shared" si="46"/>
        <v>0</v>
      </c>
    </row>
    <row r="720" spans="1:25" hidden="1" x14ac:dyDescent="0.4">
      <c r="A720" t="s">
        <v>20</v>
      </c>
      <c r="B720">
        <v>6135395</v>
      </c>
      <c r="C720" t="s">
        <v>384</v>
      </c>
      <c r="D720" t="s">
        <v>21</v>
      </c>
      <c r="E720" t="s">
        <v>137</v>
      </c>
      <c r="K720">
        <v>247.092410325</v>
      </c>
      <c r="M720">
        <v>247.092410325</v>
      </c>
      <c r="P720" s="1" t="s">
        <v>844</v>
      </c>
      <c r="Q720" s="1" t="s">
        <v>845</v>
      </c>
      <c r="R720">
        <v>0.40622976799999999</v>
      </c>
      <c r="S720">
        <v>7.52</v>
      </c>
      <c r="T720" s="2">
        <v>45871</v>
      </c>
      <c r="V720" t="str">
        <f t="shared" si="44"/>
        <v>S-6135395</v>
      </c>
      <c r="W720">
        <f t="shared" si="47"/>
        <v>0</v>
      </c>
      <c r="X720" t="str">
        <f t="shared" si="45"/>
        <v/>
      </c>
      <c r="Y720">
        <f t="shared" si="46"/>
        <v>0.40622976799999999</v>
      </c>
    </row>
    <row r="721" spans="1:25" hidden="1" x14ac:dyDescent="0.4">
      <c r="A721" t="s">
        <v>20</v>
      </c>
      <c r="B721">
        <v>6135395</v>
      </c>
      <c r="C721" t="s">
        <v>384</v>
      </c>
      <c r="D721" t="s">
        <v>21</v>
      </c>
      <c r="E721" t="s">
        <v>156</v>
      </c>
      <c r="K721">
        <v>173.090777933</v>
      </c>
      <c r="M721">
        <v>173.090777933</v>
      </c>
      <c r="P721" s="1" t="s">
        <v>1208</v>
      </c>
      <c r="Q721" s="1" t="s">
        <v>1209</v>
      </c>
      <c r="R721">
        <v>0.44012855499999998</v>
      </c>
      <c r="S721">
        <v>8.7200000000000006</v>
      </c>
      <c r="T721" s="2">
        <v>45871</v>
      </c>
      <c r="V721" t="str">
        <f t="shared" si="44"/>
        <v>S-6135395</v>
      </c>
      <c r="W721">
        <f t="shared" si="47"/>
        <v>0</v>
      </c>
      <c r="X721" t="str">
        <f t="shared" si="45"/>
        <v/>
      </c>
      <c r="Y721">
        <f t="shared" si="46"/>
        <v>0.44012855499999998</v>
      </c>
    </row>
    <row r="722" spans="1:25" hidden="1" x14ac:dyDescent="0.4">
      <c r="A722" t="s">
        <v>20</v>
      </c>
      <c r="B722">
        <v>6135395</v>
      </c>
      <c r="C722" t="s">
        <v>384</v>
      </c>
      <c r="D722" t="s">
        <v>21</v>
      </c>
      <c r="E722" t="s">
        <v>140</v>
      </c>
      <c r="K722">
        <v>152.506895077</v>
      </c>
      <c r="M722">
        <v>152.506895077</v>
      </c>
      <c r="P722" s="1" t="s">
        <v>1575</v>
      </c>
      <c r="Q722" s="1" t="s">
        <v>1576</v>
      </c>
      <c r="R722">
        <v>0.26139644499999998</v>
      </c>
      <c r="S722">
        <v>4.3099999999999996</v>
      </c>
      <c r="T722" s="2">
        <v>45871</v>
      </c>
      <c r="V722" t="str">
        <f t="shared" si="44"/>
        <v>S-6135395</v>
      </c>
      <c r="W722">
        <f t="shared" si="47"/>
        <v>0</v>
      </c>
      <c r="X722" t="str">
        <f t="shared" si="45"/>
        <v/>
      </c>
      <c r="Y722">
        <f t="shared" si="46"/>
        <v>0.26139644499999998</v>
      </c>
    </row>
    <row r="723" spans="1:25" hidden="1" x14ac:dyDescent="0.4">
      <c r="A723" t="s">
        <v>20</v>
      </c>
      <c r="B723">
        <v>6135395</v>
      </c>
      <c r="C723" t="s">
        <v>384</v>
      </c>
      <c r="D723" t="s">
        <v>21</v>
      </c>
      <c r="E723" t="s">
        <v>147</v>
      </c>
      <c r="K723">
        <v>82.302459529000004</v>
      </c>
      <c r="M723">
        <v>82.302459529000004</v>
      </c>
      <c r="P723" s="1" t="s">
        <v>1941</v>
      </c>
      <c r="Q723" s="1" t="s">
        <v>1942</v>
      </c>
      <c r="R723">
        <v>0.144907333</v>
      </c>
      <c r="S723">
        <v>6.12</v>
      </c>
      <c r="T723" s="2">
        <v>45871</v>
      </c>
      <c r="V723" t="str">
        <f t="shared" si="44"/>
        <v>S-6135395</v>
      </c>
      <c r="W723">
        <f t="shared" si="47"/>
        <v>0</v>
      </c>
      <c r="X723" t="str">
        <f t="shared" si="45"/>
        <v/>
      </c>
      <c r="Y723">
        <f t="shared" si="46"/>
        <v>0.144907333</v>
      </c>
    </row>
    <row r="724" spans="1:25" hidden="1" x14ac:dyDescent="0.4">
      <c r="A724" t="s">
        <v>20</v>
      </c>
      <c r="B724">
        <v>6135395</v>
      </c>
      <c r="C724" t="s">
        <v>384</v>
      </c>
      <c r="D724" t="s">
        <v>21</v>
      </c>
      <c r="E724" t="s">
        <v>22</v>
      </c>
      <c r="K724">
        <v>59.280690337000003</v>
      </c>
      <c r="L724">
        <v>59.280690337000003</v>
      </c>
      <c r="M724">
        <v>0</v>
      </c>
      <c r="N724">
        <v>0</v>
      </c>
      <c r="O724">
        <v>0</v>
      </c>
      <c r="P724" s="1" t="s">
        <v>385</v>
      </c>
      <c r="Q724">
        <v>1</v>
      </c>
      <c r="R724">
        <v>0</v>
      </c>
      <c r="S724">
        <v>0</v>
      </c>
      <c r="T724" s="2">
        <v>45871</v>
      </c>
      <c r="V724" t="str">
        <f t="shared" si="44"/>
        <v>S-6135395</v>
      </c>
      <c r="W724">
        <f t="shared" si="47"/>
        <v>0</v>
      </c>
      <c r="X724" t="str">
        <f t="shared" si="45"/>
        <v/>
      </c>
      <c r="Y724">
        <f t="shared" si="46"/>
        <v>0</v>
      </c>
    </row>
    <row r="725" spans="1:25" hidden="1" x14ac:dyDescent="0.4">
      <c r="A725" t="s">
        <v>20</v>
      </c>
      <c r="B725">
        <v>6142595</v>
      </c>
      <c r="C725" t="s">
        <v>386</v>
      </c>
      <c r="D725" t="s">
        <v>21</v>
      </c>
      <c r="E725" t="s">
        <v>137</v>
      </c>
      <c r="K725">
        <v>247.50200534300001</v>
      </c>
      <c r="M725">
        <v>247.50200534300001</v>
      </c>
      <c r="P725" s="1" t="s">
        <v>846</v>
      </c>
      <c r="Q725" s="1" t="s">
        <v>847</v>
      </c>
      <c r="R725">
        <v>0.40959501799999998</v>
      </c>
      <c r="S725">
        <v>7.89</v>
      </c>
      <c r="T725" s="2">
        <v>45872</v>
      </c>
      <c r="V725" t="str">
        <f t="shared" si="44"/>
        <v>S-6142595</v>
      </c>
      <c r="W725">
        <f t="shared" si="47"/>
        <v>0</v>
      </c>
      <c r="X725" t="str">
        <f t="shared" si="45"/>
        <v/>
      </c>
      <c r="Y725">
        <f t="shared" si="46"/>
        <v>0.40959501799999998</v>
      </c>
    </row>
    <row r="726" spans="1:25" hidden="1" x14ac:dyDescent="0.4">
      <c r="A726" t="s">
        <v>20</v>
      </c>
      <c r="B726">
        <v>6142595</v>
      </c>
      <c r="C726" t="s">
        <v>386</v>
      </c>
      <c r="D726" t="s">
        <v>21</v>
      </c>
      <c r="E726" t="s">
        <v>156</v>
      </c>
      <c r="K726">
        <v>173.60698238200001</v>
      </c>
      <c r="M726">
        <v>173.60698238200001</v>
      </c>
      <c r="P726" s="1" t="s">
        <v>1210</v>
      </c>
      <c r="Q726" s="1" t="s">
        <v>1211</v>
      </c>
      <c r="R726">
        <v>0.51620444899999995</v>
      </c>
      <c r="S726">
        <v>10.64</v>
      </c>
      <c r="T726" s="2">
        <v>45872</v>
      </c>
      <c r="V726" t="str">
        <f t="shared" si="44"/>
        <v>S-6142595</v>
      </c>
      <c r="W726">
        <f t="shared" si="47"/>
        <v>0</v>
      </c>
      <c r="X726" t="str">
        <f t="shared" si="45"/>
        <v/>
      </c>
      <c r="Y726">
        <f t="shared" si="46"/>
        <v>0.51620444899999995</v>
      </c>
    </row>
    <row r="727" spans="1:25" hidden="1" x14ac:dyDescent="0.4">
      <c r="A727" t="s">
        <v>20</v>
      </c>
      <c r="B727">
        <v>6142595</v>
      </c>
      <c r="C727" t="s">
        <v>386</v>
      </c>
      <c r="D727" t="s">
        <v>21</v>
      </c>
      <c r="E727" t="s">
        <v>140</v>
      </c>
      <c r="K727">
        <v>152.766763819</v>
      </c>
      <c r="M727">
        <v>152.766763819</v>
      </c>
      <c r="P727" s="1" t="s">
        <v>1577</v>
      </c>
      <c r="Q727" s="1" t="s">
        <v>1578</v>
      </c>
      <c r="R727">
        <v>0.25986874199999999</v>
      </c>
      <c r="S727">
        <v>4.5</v>
      </c>
      <c r="T727" s="2">
        <v>45872</v>
      </c>
      <c r="V727" t="str">
        <f t="shared" si="44"/>
        <v>S-6142595</v>
      </c>
      <c r="W727">
        <f t="shared" si="47"/>
        <v>0</v>
      </c>
      <c r="X727" t="str">
        <f t="shared" si="45"/>
        <v/>
      </c>
      <c r="Y727">
        <f t="shared" si="46"/>
        <v>0.25986874199999999</v>
      </c>
    </row>
    <row r="728" spans="1:25" hidden="1" x14ac:dyDescent="0.4">
      <c r="A728" t="s">
        <v>20</v>
      </c>
      <c r="B728">
        <v>6142595</v>
      </c>
      <c r="C728" t="s">
        <v>386</v>
      </c>
      <c r="D728" t="s">
        <v>21</v>
      </c>
      <c r="E728" t="s">
        <v>147</v>
      </c>
      <c r="K728">
        <v>82.446037989999994</v>
      </c>
      <c r="M728">
        <v>82.446037989999994</v>
      </c>
      <c r="P728" s="1" t="s">
        <v>1943</v>
      </c>
      <c r="Q728" s="1" t="s">
        <v>1944</v>
      </c>
      <c r="R728">
        <v>0.14357846099999999</v>
      </c>
      <c r="S728">
        <v>6.44</v>
      </c>
      <c r="T728" s="2">
        <v>45872</v>
      </c>
      <c r="V728" t="str">
        <f t="shared" si="44"/>
        <v>S-6142595</v>
      </c>
      <c r="W728">
        <f t="shared" si="47"/>
        <v>0</v>
      </c>
      <c r="X728" t="str">
        <f t="shared" si="45"/>
        <v/>
      </c>
      <c r="Y728">
        <f t="shared" si="46"/>
        <v>0.14357846099999999</v>
      </c>
    </row>
    <row r="729" spans="1:25" hidden="1" x14ac:dyDescent="0.4">
      <c r="A729" t="s">
        <v>20</v>
      </c>
      <c r="B729">
        <v>6142595</v>
      </c>
      <c r="C729" t="s">
        <v>386</v>
      </c>
      <c r="D729" t="s">
        <v>21</v>
      </c>
      <c r="E729" t="s">
        <v>22</v>
      </c>
      <c r="K729">
        <v>59.280690337000003</v>
      </c>
      <c r="L729">
        <v>59.280690337000003</v>
      </c>
      <c r="M729">
        <v>0</v>
      </c>
      <c r="N729">
        <v>0</v>
      </c>
      <c r="O729">
        <v>0</v>
      </c>
      <c r="P729" s="1" t="s">
        <v>387</v>
      </c>
      <c r="Q729">
        <v>1</v>
      </c>
      <c r="R729">
        <v>0</v>
      </c>
      <c r="S729">
        <v>0</v>
      </c>
      <c r="T729" s="2">
        <v>45872</v>
      </c>
      <c r="V729" t="str">
        <f t="shared" si="44"/>
        <v>S-6142595</v>
      </c>
      <c r="W729">
        <f t="shared" si="47"/>
        <v>0</v>
      </c>
      <c r="X729" t="str">
        <f t="shared" si="45"/>
        <v/>
      </c>
      <c r="Y729">
        <f t="shared" si="46"/>
        <v>0</v>
      </c>
    </row>
    <row r="730" spans="1:25" hidden="1" x14ac:dyDescent="0.4">
      <c r="A730" t="s">
        <v>20</v>
      </c>
      <c r="B730">
        <v>6149795</v>
      </c>
      <c r="C730" t="s">
        <v>388</v>
      </c>
      <c r="D730" t="s">
        <v>21</v>
      </c>
      <c r="E730" t="s">
        <v>137</v>
      </c>
      <c r="K730">
        <v>247.91997116900001</v>
      </c>
      <c r="M730">
        <v>247.91997116900001</v>
      </c>
      <c r="P730" s="1" t="s">
        <v>848</v>
      </c>
      <c r="Q730" s="1" t="s">
        <v>849</v>
      </c>
      <c r="R730">
        <v>0.41796582599999998</v>
      </c>
      <c r="S730">
        <v>8.19</v>
      </c>
      <c r="T730" s="2">
        <v>45873</v>
      </c>
      <c r="V730" t="str">
        <f t="shared" si="44"/>
        <v>S-6149795</v>
      </c>
      <c r="W730">
        <f t="shared" si="47"/>
        <v>0</v>
      </c>
      <c r="X730" t="str">
        <f t="shared" si="45"/>
        <v/>
      </c>
      <c r="Y730">
        <f t="shared" si="46"/>
        <v>0.41796582599999998</v>
      </c>
    </row>
    <row r="731" spans="1:25" hidden="1" x14ac:dyDescent="0.4">
      <c r="A731" t="s">
        <v>20</v>
      </c>
      <c r="B731">
        <v>6149795</v>
      </c>
      <c r="C731" t="s">
        <v>388</v>
      </c>
      <c r="D731" t="s">
        <v>21</v>
      </c>
      <c r="E731" t="s">
        <v>156</v>
      </c>
      <c r="K731">
        <v>174.123641808</v>
      </c>
      <c r="M731">
        <v>174.123641808</v>
      </c>
      <c r="P731" s="1" t="s">
        <v>1212</v>
      </c>
      <c r="Q731" s="1" t="s">
        <v>1213</v>
      </c>
      <c r="R731">
        <v>0.51665942600000003</v>
      </c>
      <c r="S731">
        <v>10.76</v>
      </c>
      <c r="T731" s="2">
        <v>45873</v>
      </c>
      <c r="V731" t="str">
        <f t="shared" si="44"/>
        <v>S-6149795</v>
      </c>
      <c r="W731">
        <f t="shared" si="47"/>
        <v>0</v>
      </c>
      <c r="X731" t="str">
        <f t="shared" si="45"/>
        <v/>
      </c>
      <c r="Y731">
        <f t="shared" si="46"/>
        <v>0.51665942600000003</v>
      </c>
    </row>
    <row r="732" spans="1:25" hidden="1" x14ac:dyDescent="0.4">
      <c r="A732" t="s">
        <v>20</v>
      </c>
      <c r="B732">
        <v>6149795</v>
      </c>
      <c r="C732" t="s">
        <v>388</v>
      </c>
      <c r="D732" t="s">
        <v>21</v>
      </c>
      <c r="E732" t="s">
        <v>140</v>
      </c>
      <c r="K732">
        <v>153.033591734</v>
      </c>
      <c r="M732">
        <v>153.033591734</v>
      </c>
      <c r="P732" s="1" t="s">
        <v>1579</v>
      </c>
      <c r="Q732" s="1" t="s">
        <v>1580</v>
      </c>
      <c r="R732">
        <v>0.26682791500000003</v>
      </c>
      <c r="S732">
        <v>4.87</v>
      </c>
      <c r="T732" s="2">
        <v>45873</v>
      </c>
      <c r="V732" t="str">
        <f t="shared" si="44"/>
        <v>S-6149795</v>
      </c>
      <c r="W732">
        <f t="shared" si="47"/>
        <v>0</v>
      </c>
      <c r="X732" t="str">
        <f t="shared" si="45"/>
        <v/>
      </c>
      <c r="Y732">
        <f t="shared" si="46"/>
        <v>0.26682791500000003</v>
      </c>
    </row>
    <row r="733" spans="1:25" hidden="1" x14ac:dyDescent="0.4">
      <c r="A733" t="s">
        <v>20</v>
      </c>
      <c r="B733">
        <v>6149795</v>
      </c>
      <c r="C733" t="s">
        <v>388</v>
      </c>
      <c r="D733" t="s">
        <v>21</v>
      </c>
      <c r="E733" t="s">
        <v>147</v>
      </c>
      <c r="K733">
        <v>82.589461937999999</v>
      </c>
      <c r="M733">
        <v>82.589461937999999</v>
      </c>
      <c r="P733" s="1" t="s">
        <v>1945</v>
      </c>
      <c r="Q733" s="1" t="s">
        <v>1946</v>
      </c>
      <c r="R733">
        <v>0.143423948</v>
      </c>
      <c r="S733">
        <v>6.57</v>
      </c>
      <c r="T733" s="2">
        <v>45873</v>
      </c>
      <c r="V733" t="str">
        <f t="shared" si="44"/>
        <v>S-6149795</v>
      </c>
      <c r="W733">
        <f t="shared" si="47"/>
        <v>0</v>
      </c>
      <c r="X733" t="str">
        <f t="shared" si="45"/>
        <v/>
      </c>
      <c r="Y733">
        <f t="shared" si="46"/>
        <v>0.143423948</v>
      </c>
    </row>
    <row r="734" spans="1:25" hidden="1" x14ac:dyDescent="0.4">
      <c r="A734" t="s">
        <v>20</v>
      </c>
      <c r="B734">
        <v>6149795</v>
      </c>
      <c r="C734" t="s">
        <v>388</v>
      </c>
      <c r="D734" t="s">
        <v>21</v>
      </c>
      <c r="E734" t="s">
        <v>22</v>
      </c>
      <c r="K734">
        <v>59.280690337000003</v>
      </c>
      <c r="L734">
        <v>59.280690337000003</v>
      </c>
      <c r="M734">
        <v>0</v>
      </c>
      <c r="N734">
        <v>0</v>
      </c>
      <c r="O734">
        <v>0</v>
      </c>
      <c r="P734" s="1" t="s">
        <v>389</v>
      </c>
      <c r="Q734">
        <v>1</v>
      </c>
      <c r="R734">
        <v>0</v>
      </c>
      <c r="S734">
        <v>0</v>
      </c>
      <c r="T734" s="2">
        <v>45873</v>
      </c>
      <c r="V734" t="str">
        <f t="shared" si="44"/>
        <v>S-6149795</v>
      </c>
      <c r="W734">
        <f t="shared" si="47"/>
        <v>0</v>
      </c>
      <c r="X734" t="str">
        <f t="shared" si="45"/>
        <v/>
      </c>
      <c r="Y734">
        <f t="shared" si="46"/>
        <v>0</v>
      </c>
    </row>
    <row r="735" spans="1:25" hidden="1" x14ac:dyDescent="0.4">
      <c r="A735" t="s">
        <v>20</v>
      </c>
      <c r="B735">
        <v>6156995</v>
      </c>
      <c r="C735" t="s">
        <v>390</v>
      </c>
      <c r="D735" t="s">
        <v>21</v>
      </c>
      <c r="E735" t="s">
        <v>137</v>
      </c>
      <c r="K735">
        <v>248.3353674</v>
      </c>
      <c r="M735">
        <v>248.3353674</v>
      </c>
      <c r="P735" s="1" t="s">
        <v>850</v>
      </c>
      <c r="Q735" s="1" t="s">
        <v>851</v>
      </c>
      <c r="R735">
        <v>0.415396231</v>
      </c>
      <c r="S735">
        <v>7.72</v>
      </c>
      <c r="T735" s="2">
        <v>45874</v>
      </c>
      <c r="V735" t="str">
        <f t="shared" si="44"/>
        <v>S-6156995</v>
      </c>
      <c r="W735">
        <f t="shared" si="47"/>
        <v>0</v>
      </c>
      <c r="X735" t="str">
        <f t="shared" si="45"/>
        <v/>
      </c>
      <c r="Y735">
        <f t="shared" si="46"/>
        <v>0.415396231</v>
      </c>
    </row>
    <row r="736" spans="1:25" hidden="1" x14ac:dyDescent="0.4">
      <c r="A736" t="s">
        <v>20</v>
      </c>
      <c r="B736">
        <v>6156995</v>
      </c>
      <c r="C736" t="s">
        <v>390</v>
      </c>
      <c r="D736" t="s">
        <v>21</v>
      </c>
      <c r="E736" t="s">
        <v>156</v>
      </c>
      <c r="K736">
        <v>174.64051964699999</v>
      </c>
      <c r="M736">
        <v>174.64051964699999</v>
      </c>
      <c r="P736" s="1" t="s">
        <v>1214</v>
      </c>
      <c r="Q736" s="1" t="s">
        <v>1215</v>
      </c>
      <c r="R736">
        <v>0.51687783899999995</v>
      </c>
      <c r="S736">
        <v>10.199999999999999</v>
      </c>
      <c r="T736" s="2">
        <v>45874</v>
      </c>
      <c r="V736" t="str">
        <f t="shared" si="44"/>
        <v>S-6156995</v>
      </c>
      <c r="W736">
        <f t="shared" si="47"/>
        <v>0</v>
      </c>
      <c r="X736" t="str">
        <f t="shared" si="45"/>
        <v/>
      </c>
      <c r="Y736">
        <f t="shared" si="46"/>
        <v>0.51687783899999995</v>
      </c>
    </row>
    <row r="737" spans="1:25" hidden="1" x14ac:dyDescent="0.4">
      <c r="A737" t="s">
        <v>20</v>
      </c>
      <c r="B737">
        <v>6156995</v>
      </c>
      <c r="C737" t="s">
        <v>390</v>
      </c>
      <c r="D737" t="s">
        <v>21</v>
      </c>
      <c r="E737" t="s">
        <v>140</v>
      </c>
      <c r="K737">
        <v>153.29063714</v>
      </c>
      <c r="M737">
        <v>153.29063714</v>
      </c>
      <c r="P737" s="1" t="s">
        <v>1581</v>
      </c>
      <c r="Q737" s="1" t="s">
        <v>1582</v>
      </c>
      <c r="R737">
        <v>0.25704540599999998</v>
      </c>
      <c r="S737">
        <v>4.5599999999999996</v>
      </c>
      <c r="T737" s="2">
        <v>45874</v>
      </c>
      <c r="V737" t="str">
        <f t="shared" si="44"/>
        <v>S-6156995</v>
      </c>
      <c r="W737">
        <f t="shared" si="47"/>
        <v>0</v>
      </c>
      <c r="X737" t="str">
        <f t="shared" si="45"/>
        <v/>
      </c>
      <c r="Y737">
        <f t="shared" si="46"/>
        <v>0.25704540599999998</v>
      </c>
    </row>
    <row r="738" spans="1:25" hidden="1" x14ac:dyDescent="0.4">
      <c r="A738" t="s">
        <v>20</v>
      </c>
      <c r="B738">
        <v>6156995</v>
      </c>
      <c r="C738" t="s">
        <v>390</v>
      </c>
      <c r="D738" t="s">
        <v>21</v>
      </c>
      <c r="E738" t="s">
        <v>147</v>
      </c>
      <c r="K738">
        <v>82.732254695999998</v>
      </c>
      <c r="M738">
        <v>82.732254695999998</v>
      </c>
      <c r="P738" s="1" t="s">
        <v>1947</v>
      </c>
      <c r="Q738" s="1" t="s">
        <v>1948</v>
      </c>
      <c r="R738">
        <v>0.14279275799999999</v>
      </c>
      <c r="S738">
        <v>6.29</v>
      </c>
      <c r="T738" s="2">
        <v>45874</v>
      </c>
      <c r="V738" t="str">
        <f t="shared" si="44"/>
        <v>S-6156995</v>
      </c>
      <c r="W738">
        <f t="shared" si="47"/>
        <v>0</v>
      </c>
      <c r="X738" t="str">
        <f t="shared" si="45"/>
        <v/>
      </c>
      <c r="Y738">
        <f t="shared" si="46"/>
        <v>0.14279275799999999</v>
      </c>
    </row>
    <row r="739" spans="1:25" hidden="1" x14ac:dyDescent="0.4">
      <c r="A739" t="s">
        <v>20</v>
      </c>
      <c r="B739">
        <v>6156995</v>
      </c>
      <c r="C739" t="s">
        <v>390</v>
      </c>
      <c r="D739" t="s">
        <v>21</v>
      </c>
      <c r="E739" t="s">
        <v>22</v>
      </c>
      <c r="K739">
        <v>59.280690337000003</v>
      </c>
      <c r="L739">
        <v>59.280690337000003</v>
      </c>
      <c r="M739">
        <v>0</v>
      </c>
      <c r="N739">
        <v>0</v>
      </c>
      <c r="O739">
        <v>0</v>
      </c>
      <c r="P739" s="1" t="s">
        <v>391</v>
      </c>
      <c r="Q739">
        <v>1</v>
      </c>
      <c r="R739">
        <v>0</v>
      </c>
      <c r="S739">
        <v>0</v>
      </c>
      <c r="T739" s="2">
        <v>45874</v>
      </c>
      <c r="V739" t="str">
        <f t="shared" si="44"/>
        <v>S-6156995</v>
      </c>
      <c r="W739">
        <f t="shared" si="47"/>
        <v>0</v>
      </c>
      <c r="X739" t="str">
        <f t="shared" si="45"/>
        <v/>
      </c>
      <c r="Y739">
        <f t="shared" si="46"/>
        <v>0</v>
      </c>
    </row>
    <row r="740" spans="1:25" hidden="1" x14ac:dyDescent="0.4">
      <c r="A740" t="s">
        <v>20</v>
      </c>
      <c r="B740">
        <v>6164195</v>
      </c>
      <c r="C740" t="s">
        <v>392</v>
      </c>
      <c r="D740" t="s">
        <v>21</v>
      </c>
      <c r="E740" t="s">
        <v>137</v>
      </c>
      <c r="K740">
        <v>248.74345681</v>
      </c>
      <c r="M740">
        <v>248.74345681</v>
      </c>
      <c r="P740" s="1" t="s">
        <v>852</v>
      </c>
      <c r="Q740" s="1" t="s">
        <v>853</v>
      </c>
      <c r="R740">
        <v>0.40808940999999999</v>
      </c>
      <c r="S740">
        <v>7.65</v>
      </c>
      <c r="T740" s="2">
        <v>45875</v>
      </c>
      <c r="V740" t="str">
        <f t="shared" si="44"/>
        <v>S-6164195</v>
      </c>
      <c r="W740">
        <f t="shared" si="47"/>
        <v>0</v>
      </c>
      <c r="X740" t="str">
        <f t="shared" si="45"/>
        <v/>
      </c>
      <c r="Y740">
        <f t="shared" si="46"/>
        <v>0.40808940999999999</v>
      </c>
    </row>
    <row r="741" spans="1:25" hidden="1" x14ac:dyDescent="0.4">
      <c r="A741" t="s">
        <v>20</v>
      </c>
      <c r="B741">
        <v>6164195</v>
      </c>
      <c r="C741" t="s">
        <v>392</v>
      </c>
      <c r="D741" t="s">
        <v>21</v>
      </c>
      <c r="E741" t="s">
        <v>156</v>
      </c>
      <c r="K741">
        <v>175.077916313</v>
      </c>
      <c r="M741">
        <v>175.077916313</v>
      </c>
      <c r="P741" s="1" t="s">
        <v>1216</v>
      </c>
      <c r="Q741" s="1" t="s">
        <v>1217</v>
      </c>
      <c r="R741">
        <v>0.43739666599999999</v>
      </c>
      <c r="S741">
        <v>8.67</v>
      </c>
      <c r="T741" s="2">
        <v>45875</v>
      </c>
      <c r="V741" t="str">
        <f t="shared" si="44"/>
        <v>S-6164195</v>
      </c>
      <c r="W741">
        <f t="shared" si="47"/>
        <v>0</v>
      </c>
      <c r="X741" t="str">
        <f t="shared" si="45"/>
        <v/>
      </c>
      <c r="Y741">
        <f t="shared" si="46"/>
        <v>0.43739666599999999</v>
      </c>
    </row>
    <row r="742" spans="1:25" hidden="1" x14ac:dyDescent="0.4">
      <c r="A742" t="s">
        <v>20</v>
      </c>
      <c r="B742">
        <v>6164195</v>
      </c>
      <c r="C742" t="s">
        <v>392</v>
      </c>
      <c r="D742" t="s">
        <v>21</v>
      </c>
      <c r="E742" t="s">
        <v>140</v>
      </c>
      <c r="K742">
        <v>153.54055321999999</v>
      </c>
      <c r="M742">
        <v>153.54055321999999</v>
      </c>
      <c r="P742" s="1" t="s">
        <v>1583</v>
      </c>
      <c r="Q742" s="1" t="s">
        <v>1584</v>
      </c>
      <c r="R742">
        <v>0.24991608000000001</v>
      </c>
      <c r="S742">
        <v>4.8</v>
      </c>
      <c r="T742" s="2">
        <v>45875</v>
      </c>
      <c r="V742" t="str">
        <f t="shared" si="44"/>
        <v>S-6164195</v>
      </c>
      <c r="W742">
        <f t="shared" si="47"/>
        <v>0</v>
      </c>
      <c r="X742" t="str">
        <f t="shared" si="45"/>
        <v/>
      </c>
      <c r="Y742">
        <f t="shared" si="46"/>
        <v>0.24991608000000001</v>
      </c>
    </row>
    <row r="743" spans="1:25" hidden="1" x14ac:dyDescent="0.4">
      <c r="A743" t="s">
        <v>20</v>
      </c>
      <c r="B743">
        <v>6164195</v>
      </c>
      <c r="C743" t="s">
        <v>392</v>
      </c>
      <c r="D743" t="s">
        <v>21</v>
      </c>
      <c r="E743" t="s">
        <v>147</v>
      </c>
      <c r="K743">
        <v>82.873657445000006</v>
      </c>
      <c r="M743">
        <v>82.873657445000006</v>
      </c>
      <c r="P743" s="1" t="s">
        <v>1949</v>
      </c>
      <c r="Q743" s="1" t="s">
        <v>1950</v>
      </c>
      <c r="R743">
        <v>0.14140274899999999</v>
      </c>
      <c r="S743">
        <v>6.32</v>
      </c>
      <c r="T743" s="2">
        <v>45875</v>
      </c>
      <c r="V743" t="str">
        <f t="shared" si="44"/>
        <v>S-6164195</v>
      </c>
      <c r="W743">
        <f t="shared" si="47"/>
        <v>0</v>
      </c>
      <c r="X743" t="str">
        <f t="shared" si="45"/>
        <v/>
      </c>
      <c r="Y743">
        <f t="shared" si="46"/>
        <v>0.14140274899999999</v>
      </c>
    </row>
    <row r="744" spans="1:25" hidden="1" x14ac:dyDescent="0.4">
      <c r="A744" t="s">
        <v>20</v>
      </c>
      <c r="B744">
        <v>6164195</v>
      </c>
      <c r="C744" t="s">
        <v>392</v>
      </c>
      <c r="D744" t="s">
        <v>21</v>
      </c>
      <c r="E744" t="s">
        <v>22</v>
      </c>
      <c r="K744">
        <v>59.280690337000003</v>
      </c>
      <c r="L744">
        <v>59.280690337000003</v>
      </c>
      <c r="M744">
        <v>0</v>
      </c>
      <c r="N744">
        <v>0</v>
      </c>
      <c r="O744">
        <v>0</v>
      </c>
      <c r="P744" s="1" t="s">
        <v>393</v>
      </c>
      <c r="Q744">
        <v>1</v>
      </c>
      <c r="R744">
        <v>0</v>
      </c>
      <c r="S744">
        <v>0</v>
      </c>
      <c r="T744" s="2">
        <v>45875</v>
      </c>
      <c r="V744" t="str">
        <f t="shared" si="44"/>
        <v>S-6164195</v>
      </c>
      <c r="W744">
        <f t="shared" si="47"/>
        <v>0</v>
      </c>
      <c r="X744" t="str">
        <f t="shared" si="45"/>
        <v/>
      </c>
      <c r="Y744">
        <f t="shared" si="46"/>
        <v>0</v>
      </c>
    </row>
    <row r="745" spans="1:25" hidden="1" x14ac:dyDescent="0.4">
      <c r="A745" t="s">
        <v>20</v>
      </c>
      <c r="B745">
        <v>6171395</v>
      </c>
      <c r="C745" t="s">
        <v>394</v>
      </c>
      <c r="D745" t="s">
        <v>21</v>
      </c>
      <c r="E745" t="s">
        <v>137</v>
      </c>
      <c r="K745">
        <v>249.150689976</v>
      </c>
      <c r="M745">
        <v>249.150689976</v>
      </c>
      <c r="P745" s="1" t="s">
        <v>854</v>
      </c>
      <c r="Q745" s="1" t="s">
        <v>855</v>
      </c>
      <c r="R745">
        <v>0.40723316599999998</v>
      </c>
      <c r="S745">
        <v>8.1199999999999992</v>
      </c>
      <c r="T745" s="2">
        <v>45876</v>
      </c>
      <c r="V745" t="str">
        <f t="shared" si="44"/>
        <v>S-6171395</v>
      </c>
      <c r="W745">
        <f t="shared" si="47"/>
        <v>0</v>
      </c>
      <c r="X745" t="str">
        <f t="shared" si="45"/>
        <v/>
      </c>
      <c r="Y745">
        <f t="shared" si="46"/>
        <v>0.40723316599999998</v>
      </c>
    </row>
    <row r="746" spans="1:25" hidden="1" x14ac:dyDescent="0.4">
      <c r="A746" t="s">
        <v>20</v>
      </c>
      <c r="B746">
        <v>6171395</v>
      </c>
      <c r="C746" t="s">
        <v>394</v>
      </c>
      <c r="D746" t="s">
        <v>21</v>
      </c>
      <c r="E746" t="s">
        <v>156</v>
      </c>
      <c r="K746">
        <v>175.53348636699999</v>
      </c>
      <c r="M746">
        <v>175.53348636699999</v>
      </c>
      <c r="P746" s="1" t="s">
        <v>1218</v>
      </c>
      <c r="Q746" s="1" t="s">
        <v>1219</v>
      </c>
      <c r="R746">
        <v>0.455570054</v>
      </c>
      <c r="S746">
        <v>9.7100000000000009</v>
      </c>
      <c r="T746" s="2">
        <v>45876</v>
      </c>
      <c r="V746" t="str">
        <f t="shared" si="44"/>
        <v>S-6171395</v>
      </c>
      <c r="W746">
        <f t="shared" si="47"/>
        <v>0</v>
      </c>
      <c r="X746" t="str">
        <f t="shared" si="45"/>
        <v/>
      </c>
      <c r="Y746">
        <f t="shared" si="46"/>
        <v>0.455570054</v>
      </c>
    </row>
    <row r="747" spans="1:25" hidden="1" x14ac:dyDescent="0.4">
      <c r="A747" t="s">
        <v>20</v>
      </c>
      <c r="B747">
        <v>6171395</v>
      </c>
      <c r="C747" t="s">
        <v>394</v>
      </c>
      <c r="D747" t="s">
        <v>21</v>
      </c>
      <c r="E747" t="s">
        <v>140</v>
      </c>
      <c r="K747">
        <v>153.78407059</v>
      </c>
      <c r="M747">
        <v>153.78407059</v>
      </c>
      <c r="P747" s="1" t="s">
        <v>1585</v>
      </c>
      <c r="Q747" s="1" t="s">
        <v>1586</v>
      </c>
      <c r="R747">
        <v>0.24351737000000001</v>
      </c>
      <c r="S747">
        <v>4.9000000000000004</v>
      </c>
      <c r="T747" s="2">
        <v>45876</v>
      </c>
      <c r="V747" t="str">
        <f t="shared" si="44"/>
        <v>S-6171395</v>
      </c>
      <c r="W747">
        <f t="shared" si="47"/>
        <v>0</v>
      </c>
      <c r="X747" t="str">
        <f t="shared" si="45"/>
        <v/>
      </c>
      <c r="Y747">
        <f t="shared" si="46"/>
        <v>0.24351737000000001</v>
      </c>
    </row>
    <row r="748" spans="1:25" hidden="1" x14ac:dyDescent="0.4">
      <c r="A748" t="s">
        <v>20</v>
      </c>
      <c r="B748">
        <v>6171395</v>
      </c>
      <c r="C748" t="s">
        <v>394</v>
      </c>
      <c r="D748" t="s">
        <v>21</v>
      </c>
      <c r="E748" t="s">
        <v>147</v>
      </c>
      <c r="K748">
        <v>83.013224412</v>
      </c>
      <c r="M748">
        <v>83.013224412</v>
      </c>
      <c r="P748" s="1" t="s">
        <v>1951</v>
      </c>
      <c r="Q748" s="1" t="s">
        <v>1952</v>
      </c>
      <c r="R748">
        <v>0.13956696699999999</v>
      </c>
      <c r="S748">
        <v>6.87</v>
      </c>
      <c r="T748" s="2">
        <v>45876</v>
      </c>
      <c r="V748" t="str">
        <f t="shared" si="44"/>
        <v>S-6171395</v>
      </c>
      <c r="W748">
        <f t="shared" si="47"/>
        <v>0</v>
      </c>
      <c r="X748" t="str">
        <f t="shared" si="45"/>
        <v/>
      </c>
      <c r="Y748">
        <f t="shared" si="46"/>
        <v>0.13956696699999999</v>
      </c>
    </row>
    <row r="749" spans="1:25" hidden="1" x14ac:dyDescent="0.4">
      <c r="A749" t="s">
        <v>20</v>
      </c>
      <c r="B749">
        <v>6171395</v>
      </c>
      <c r="C749" t="s">
        <v>394</v>
      </c>
      <c r="D749" t="s">
        <v>21</v>
      </c>
      <c r="E749" t="s">
        <v>22</v>
      </c>
      <c r="K749">
        <v>59.280690337000003</v>
      </c>
      <c r="L749">
        <v>59.280690337000003</v>
      </c>
      <c r="M749">
        <v>0</v>
      </c>
      <c r="N749">
        <v>0</v>
      </c>
      <c r="O749">
        <v>0</v>
      </c>
      <c r="P749" s="1" t="s">
        <v>395</v>
      </c>
      <c r="Q749">
        <v>1</v>
      </c>
      <c r="R749">
        <v>0</v>
      </c>
      <c r="S749">
        <v>0</v>
      </c>
      <c r="T749" s="2">
        <v>45876</v>
      </c>
      <c r="V749" t="str">
        <f t="shared" si="44"/>
        <v>S-6171395</v>
      </c>
      <c r="W749">
        <f t="shared" si="47"/>
        <v>0</v>
      </c>
      <c r="X749" t="str">
        <f t="shared" si="45"/>
        <v/>
      </c>
      <c r="Y749">
        <f t="shared" si="46"/>
        <v>0</v>
      </c>
    </row>
    <row r="750" spans="1:25" hidden="1" x14ac:dyDescent="0.4">
      <c r="A750" t="s">
        <v>20</v>
      </c>
      <c r="B750">
        <v>6178595</v>
      </c>
      <c r="C750" t="s">
        <v>396</v>
      </c>
      <c r="D750" t="s">
        <v>21</v>
      </c>
      <c r="E750" t="s">
        <v>137</v>
      </c>
      <c r="K750">
        <v>249.56216288100001</v>
      </c>
      <c r="M750">
        <v>249.56216288100001</v>
      </c>
      <c r="P750" s="1" t="s">
        <v>856</v>
      </c>
      <c r="Q750" s="1" t="s">
        <v>857</v>
      </c>
      <c r="R750">
        <v>0.411472905</v>
      </c>
      <c r="S750">
        <v>8.1300000000000008</v>
      </c>
      <c r="T750" s="2">
        <v>45877</v>
      </c>
      <c r="V750" t="str">
        <f t="shared" si="44"/>
        <v>S-6178595</v>
      </c>
      <c r="W750">
        <f t="shared" si="47"/>
        <v>0</v>
      </c>
      <c r="X750" t="str">
        <f t="shared" si="45"/>
        <v/>
      </c>
      <c r="Y750">
        <f t="shared" si="46"/>
        <v>0.411472905</v>
      </c>
    </row>
    <row r="751" spans="1:25" hidden="1" x14ac:dyDescent="0.4">
      <c r="A751" t="s">
        <v>20</v>
      </c>
      <c r="B751">
        <v>6178595</v>
      </c>
      <c r="C751" t="s">
        <v>396</v>
      </c>
      <c r="D751" t="s">
        <v>21</v>
      </c>
      <c r="E751" t="s">
        <v>156</v>
      </c>
      <c r="K751">
        <v>175.97659769099999</v>
      </c>
      <c r="M751">
        <v>175.97659769099999</v>
      </c>
      <c r="P751" s="1" t="s">
        <v>1220</v>
      </c>
      <c r="Q751" s="1" t="s">
        <v>1221</v>
      </c>
      <c r="R751">
        <v>0.44311132399999997</v>
      </c>
      <c r="S751">
        <v>9.36</v>
      </c>
      <c r="T751" s="2">
        <v>45877</v>
      </c>
      <c r="V751" t="str">
        <f t="shared" si="44"/>
        <v>S-6178595</v>
      </c>
      <c r="W751">
        <f t="shared" si="47"/>
        <v>0</v>
      </c>
      <c r="X751" t="str">
        <f t="shared" si="45"/>
        <v/>
      </c>
      <c r="Y751">
        <f t="shared" si="46"/>
        <v>0.44311132399999997</v>
      </c>
    </row>
    <row r="752" spans="1:25" hidden="1" x14ac:dyDescent="0.4">
      <c r="A752" t="s">
        <v>20</v>
      </c>
      <c r="B752">
        <v>6178595</v>
      </c>
      <c r="C752" t="s">
        <v>396</v>
      </c>
      <c r="D752" t="s">
        <v>21</v>
      </c>
      <c r="E752" t="s">
        <v>140</v>
      </c>
      <c r="K752">
        <v>154.03760725399999</v>
      </c>
      <c r="M752">
        <v>154.03760725399999</v>
      </c>
      <c r="P752" s="1" t="s">
        <v>1587</v>
      </c>
      <c r="Q752" s="1" t="s">
        <v>1588</v>
      </c>
      <c r="R752">
        <v>0.25353666400000002</v>
      </c>
      <c r="S752">
        <v>4.84</v>
      </c>
      <c r="T752" s="2">
        <v>45877</v>
      </c>
      <c r="V752" t="str">
        <f t="shared" si="44"/>
        <v>S-6178595</v>
      </c>
      <c r="W752">
        <f t="shared" si="47"/>
        <v>0</v>
      </c>
      <c r="X752" t="str">
        <f t="shared" si="45"/>
        <v/>
      </c>
      <c r="Y752">
        <f t="shared" si="46"/>
        <v>0.25353666400000002</v>
      </c>
    </row>
    <row r="753" spans="1:25" hidden="1" x14ac:dyDescent="0.4">
      <c r="A753" t="s">
        <v>20</v>
      </c>
      <c r="B753">
        <v>6178595</v>
      </c>
      <c r="C753" t="s">
        <v>396</v>
      </c>
      <c r="D753" t="s">
        <v>21</v>
      </c>
      <c r="E753" t="s">
        <v>147</v>
      </c>
      <c r="K753">
        <v>83.151699894000004</v>
      </c>
      <c r="M753">
        <v>83.151699894000004</v>
      </c>
      <c r="P753" s="1" t="s">
        <v>1953</v>
      </c>
      <c r="Q753" s="1" t="s">
        <v>1954</v>
      </c>
      <c r="R753">
        <v>0.13847548200000001</v>
      </c>
      <c r="S753">
        <v>6.89</v>
      </c>
      <c r="T753" s="2">
        <v>45877</v>
      </c>
      <c r="V753" t="str">
        <f t="shared" si="44"/>
        <v>S-6178595</v>
      </c>
      <c r="W753">
        <f t="shared" si="47"/>
        <v>0</v>
      </c>
      <c r="X753" t="str">
        <f t="shared" si="45"/>
        <v/>
      </c>
      <c r="Y753">
        <f t="shared" si="46"/>
        <v>0.13847548200000001</v>
      </c>
    </row>
    <row r="754" spans="1:25" hidden="1" x14ac:dyDescent="0.4">
      <c r="A754" t="s">
        <v>20</v>
      </c>
      <c r="B754">
        <v>6178595</v>
      </c>
      <c r="C754" t="s">
        <v>396</v>
      </c>
      <c r="D754" t="s">
        <v>21</v>
      </c>
      <c r="E754" t="s">
        <v>22</v>
      </c>
      <c r="K754">
        <v>59.280690337000003</v>
      </c>
      <c r="L754">
        <v>59.280690337000003</v>
      </c>
      <c r="M754">
        <v>0</v>
      </c>
      <c r="N754">
        <v>0</v>
      </c>
      <c r="O754">
        <v>0</v>
      </c>
      <c r="P754" s="1" t="s">
        <v>397</v>
      </c>
      <c r="Q754">
        <v>1</v>
      </c>
      <c r="R754">
        <v>0</v>
      </c>
      <c r="S754">
        <v>0</v>
      </c>
      <c r="T754" s="2">
        <v>45877</v>
      </c>
      <c r="V754" t="str">
        <f t="shared" si="44"/>
        <v>S-6178595</v>
      </c>
      <c r="W754">
        <f t="shared" si="47"/>
        <v>0</v>
      </c>
      <c r="X754" t="str">
        <f t="shared" si="45"/>
        <v/>
      </c>
      <c r="Y754">
        <f t="shared" si="46"/>
        <v>0</v>
      </c>
    </row>
    <row r="755" spans="1:25" hidden="1" x14ac:dyDescent="0.4">
      <c r="A755" t="s">
        <v>20</v>
      </c>
      <c r="B755">
        <v>6185795</v>
      </c>
      <c r="C755" t="s">
        <v>398</v>
      </c>
      <c r="D755" t="s">
        <v>21</v>
      </c>
      <c r="E755" t="s">
        <v>137</v>
      </c>
      <c r="K755">
        <v>249.97518650399999</v>
      </c>
      <c r="M755">
        <v>249.97518650399999</v>
      </c>
      <c r="P755" s="1" t="s">
        <v>858</v>
      </c>
      <c r="Q755" s="1" t="s">
        <v>859</v>
      </c>
      <c r="R755">
        <v>0.41302362300000001</v>
      </c>
      <c r="S755">
        <v>8.4499999999999993</v>
      </c>
      <c r="T755" s="2">
        <v>45878</v>
      </c>
      <c r="V755" t="str">
        <f t="shared" si="44"/>
        <v>S-6185795</v>
      </c>
      <c r="W755">
        <f t="shared" si="47"/>
        <v>0</v>
      </c>
      <c r="X755" t="str">
        <f t="shared" si="45"/>
        <v/>
      </c>
      <c r="Y755">
        <f t="shared" si="46"/>
        <v>0.41302362300000001</v>
      </c>
    </row>
    <row r="756" spans="1:25" hidden="1" x14ac:dyDescent="0.4">
      <c r="A756" t="s">
        <v>20</v>
      </c>
      <c r="B756">
        <v>6185795</v>
      </c>
      <c r="C756" t="s">
        <v>398</v>
      </c>
      <c r="D756" t="s">
        <v>21</v>
      </c>
      <c r="E756" t="s">
        <v>156</v>
      </c>
      <c r="K756">
        <v>176.39591512999999</v>
      </c>
      <c r="M756">
        <v>176.39591512999999</v>
      </c>
      <c r="P756" s="1" t="s">
        <v>1222</v>
      </c>
      <c r="Q756" s="1" t="s">
        <v>1223</v>
      </c>
      <c r="R756">
        <v>0.41931743900000001</v>
      </c>
      <c r="S756">
        <v>9.25</v>
      </c>
      <c r="T756" s="2">
        <v>45878</v>
      </c>
      <c r="V756" t="str">
        <f t="shared" si="44"/>
        <v>S-6185795</v>
      </c>
      <c r="W756">
        <f t="shared" si="47"/>
        <v>0</v>
      </c>
      <c r="X756" t="str">
        <f t="shared" si="45"/>
        <v/>
      </c>
      <c r="Y756">
        <f t="shared" si="46"/>
        <v>0.41931743900000001</v>
      </c>
    </row>
    <row r="757" spans="1:25" hidden="1" x14ac:dyDescent="0.4">
      <c r="A757" t="s">
        <v>20</v>
      </c>
      <c r="B757">
        <v>6185795</v>
      </c>
      <c r="C757" t="s">
        <v>398</v>
      </c>
      <c r="D757" t="s">
        <v>21</v>
      </c>
      <c r="E757" t="s">
        <v>140</v>
      </c>
      <c r="K757">
        <v>154.29266827399999</v>
      </c>
      <c r="M757">
        <v>154.29266827399999</v>
      </c>
      <c r="P757" s="1" t="s">
        <v>1589</v>
      </c>
      <c r="Q757" s="1" t="s">
        <v>1590</v>
      </c>
      <c r="R757">
        <v>0.25506102000000003</v>
      </c>
      <c r="S757">
        <v>5.1100000000000003</v>
      </c>
      <c r="T757" s="2">
        <v>45878</v>
      </c>
      <c r="V757" t="str">
        <f t="shared" si="44"/>
        <v>S-6185795</v>
      </c>
      <c r="W757">
        <f t="shared" si="47"/>
        <v>0</v>
      </c>
      <c r="X757" t="str">
        <f t="shared" si="45"/>
        <v/>
      </c>
      <c r="Y757">
        <f t="shared" si="46"/>
        <v>0.25506102000000003</v>
      </c>
    </row>
    <row r="758" spans="1:25" hidden="1" x14ac:dyDescent="0.4">
      <c r="A758" t="s">
        <v>20</v>
      </c>
      <c r="B758">
        <v>6185795</v>
      </c>
      <c r="C758" t="s">
        <v>398</v>
      </c>
      <c r="D758" t="s">
        <v>21</v>
      </c>
      <c r="E758" t="s">
        <v>147</v>
      </c>
      <c r="K758">
        <v>83.289426925000001</v>
      </c>
      <c r="M758">
        <v>83.289426925000001</v>
      </c>
      <c r="P758" s="1" t="s">
        <v>1955</v>
      </c>
      <c r="Q758" s="1" t="s">
        <v>1956</v>
      </c>
      <c r="R758">
        <v>0.137727031</v>
      </c>
      <c r="S758">
        <v>7.2</v>
      </c>
      <c r="T758" s="2">
        <v>45878</v>
      </c>
      <c r="V758" t="str">
        <f t="shared" si="44"/>
        <v>S-6185795</v>
      </c>
      <c r="W758">
        <f t="shared" si="47"/>
        <v>0</v>
      </c>
      <c r="X758" t="str">
        <f t="shared" si="45"/>
        <v/>
      </c>
      <c r="Y758">
        <f t="shared" si="46"/>
        <v>0.137727031</v>
      </c>
    </row>
    <row r="759" spans="1:25" hidden="1" x14ac:dyDescent="0.4">
      <c r="A759" t="s">
        <v>20</v>
      </c>
      <c r="B759">
        <v>6185795</v>
      </c>
      <c r="C759" t="s">
        <v>398</v>
      </c>
      <c r="D759" t="s">
        <v>21</v>
      </c>
      <c r="E759" t="s">
        <v>22</v>
      </c>
      <c r="K759">
        <v>59.280690337000003</v>
      </c>
      <c r="L759">
        <v>59.280690337000003</v>
      </c>
      <c r="M759">
        <v>0</v>
      </c>
      <c r="N759">
        <v>0</v>
      </c>
      <c r="O759">
        <v>0</v>
      </c>
      <c r="P759" s="1" t="s">
        <v>399</v>
      </c>
      <c r="Q759">
        <v>1</v>
      </c>
      <c r="R759">
        <v>0</v>
      </c>
      <c r="S759">
        <v>0</v>
      </c>
      <c r="T759" s="2">
        <v>45878</v>
      </c>
      <c r="V759" t="str">
        <f t="shared" si="44"/>
        <v>S-6185795</v>
      </c>
      <c r="W759">
        <f t="shared" si="47"/>
        <v>0</v>
      </c>
      <c r="X759" t="str">
        <f t="shared" si="45"/>
        <v/>
      </c>
      <c r="Y759">
        <f t="shared" si="46"/>
        <v>0</v>
      </c>
    </row>
    <row r="760" spans="1:25" x14ac:dyDescent="0.4">
      <c r="A760" t="s">
        <v>20</v>
      </c>
      <c r="B760">
        <v>6191028</v>
      </c>
      <c r="C760" t="s">
        <v>2219</v>
      </c>
      <c r="D760" t="s">
        <v>21</v>
      </c>
      <c r="E760" t="s">
        <v>22</v>
      </c>
      <c r="F760" t="s">
        <v>74</v>
      </c>
      <c r="G760">
        <v>1.3019780000000001E-3</v>
      </c>
      <c r="I760" t="s">
        <v>400</v>
      </c>
      <c r="J760" t="s">
        <v>401</v>
      </c>
      <c r="Q760">
        <v>1</v>
      </c>
      <c r="V760" t="str">
        <f t="shared" si="44"/>
        <v>S-6191028-0008-00</v>
      </c>
      <c r="W760">
        <f t="shared" si="47"/>
        <v>1</v>
      </c>
      <c r="X760" t="str">
        <f t="shared" si="45"/>
        <v>6191028-0008fee</v>
      </c>
      <c r="Y760">
        <f t="shared" si="46"/>
        <v>-1.3019780000000001E-3</v>
      </c>
    </row>
    <row r="761" spans="1:25" x14ac:dyDescent="0.4">
      <c r="A761" t="s">
        <v>20</v>
      </c>
      <c r="B761">
        <v>6191037</v>
      </c>
      <c r="C761" t="s">
        <v>2220</v>
      </c>
      <c r="D761" t="s">
        <v>21</v>
      </c>
      <c r="E761" t="s">
        <v>22</v>
      </c>
      <c r="F761" t="s">
        <v>74</v>
      </c>
      <c r="G761">
        <v>1.3019780000000001E-3</v>
      </c>
      <c r="I761" t="s">
        <v>402</v>
      </c>
      <c r="J761" t="s">
        <v>401</v>
      </c>
      <c r="Q761">
        <v>1</v>
      </c>
      <c r="V761" t="str">
        <f t="shared" si="44"/>
        <v>S-6191037-0006-00</v>
      </c>
      <c r="W761">
        <f t="shared" si="47"/>
        <v>1</v>
      </c>
      <c r="X761" t="str">
        <f t="shared" si="45"/>
        <v>6191037-0006fee</v>
      </c>
      <c r="Y761">
        <f t="shared" si="46"/>
        <v>-1.3019780000000001E-3</v>
      </c>
    </row>
    <row r="762" spans="1:25" hidden="1" x14ac:dyDescent="0.4">
      <c r="A762" t="s">
        <v>20</v>
      </c>
      <c r="B762">
        <v>6192995</v>
      </c>
      <c r="C762" t="s">
        <v>403</v>
      </c>
      <c r="D762" t="s">
        <v>21</v>
      </c>
      <c r="E762" t="s">
        <v>137</v>
      </c>
      <c r="K762">
        <v>250.388734132</v>
      </c>
      <c r="M762">
        <v>250.388734132</v>
      </c>
      <c r="P762" s="1" t="s">
        <v>860</v>
      </c>
      <c r="Q762" s="1" t="s">
        <v>861</v>
      </c>
      <c r="R762">
        <v>0.413547628</v>
      </c>
      <c r="S762">
        <v>8.3000000000000007</v>
      </c>
      <c r="T762" s="2">
        <v>45879</v>
      </c>
      <c r="V762" t="str">
        <f t="shared" si="44"/>
        <v>S-6192995</v>
      </c>
      <c r="W762">
        <f t="shared" si="47"/>
        <v>0</v>
      </c>
      <c r="X762" t="str">
        <f t="shared" si="45"/>
        <v/>
      </c>
      <c r="Y762">
        <f t="shared" si="46"/>
        <v>0.413547628</v>
      </c>
    </row>
    <row r="763" spans="1:25" hidden="1" x14ac:dyDescent="0.4">
      <c r="A763" t="s">
        <v>20</v>
      </c>
      <c r="B763">
        <v>6192995</v>
      </c>
      <c r="C763" t="s">
        <v>403</v>
      </c>
      <c r="D763" t="s">
        <v>21</v>
      </c>
      <c r="E763" t="s">
        <v>156</v>
      </c>
      <c r="K763">
        <v>176.812316108</v>
      </c>
      <c r="M763">
        <v>176.812316108</v>
      </c>
      <c r="P763" s="1" t="s">
        <v>1224</v>
      </c>
      <c r="Q763" s="1" t="s">
        <v>1225</v>
      </c>
      <c r="R763">
        <v>0.41640097799999998</v>
      </c>
      <c r="S763">
        <v>9.0500000000000007</v>
      </c>
      <c r="T763" s="2">
        <v>45879</v>
      </c>
      <c r="V763" t="str">
        <f t="shared" si="44"/>
        <v>S-6192995</v>
      </c>
      <c r="W763">
        <f t="shared" si="47"/>
        <v>0</v>
      </c>
      <c r="X763" t="str">
        <f t="shared" si="45"/>
        <v/>
      </c>
      <c r="Y763">
        <f t="shared" si="46"/>
        <v>0.41640097799999998</v>
      </c>
    </row>
    <row r="764" spans="1:25" hidden="1" x14ac:dyDescent="0.4">
      <c r="A764" t="s">
        <v>20</v>
      </c>
      <c r="B764">
        <v>6192995</v>
      </c>
      <c r="C764" t="s">
        <v>403</v>
      </c>
      <c r="D764" t="s">
        <v>21</v>
      </c>
      <c r="E764" t="s">
        <v>140</v>
      </c>
      <c r="K764">
        <v>154.547858913</v>
      </c>
      <c r="M764">
        <v>154.547858913</v>
      </c>
      <c r="P764" s="1" t="s">
        <v>1591</v>
      </c>
      <c r="Q764" s="1" t="s">
        <v>1592</v>
      </c>
      <c r="R764">
        <v>0.255190639</v>
      </c>
      <c r="S764">
        <v>4.88</v>
      </c>
      <c r="T764" s="2">
        <v>45879</v>
      </c>
      <c r="V764" t="str">
        <f t="shared" si="44"/>
        <v>S-6192995</v>
      </c>
      <c r="W764">
        <f t="shared" si="47"/>
        <v>0</v>
      </c>
      <c r="X764" t="str">
        <f t="shared" si="45"/>
        <v/>
      </c>
      <c r="Y764">
        <f t="shared" si="46"/>
        <v>0.255190639</v>
      </c>
    </row>
    <row r="765" spans="1:25" hidden="1" x14ac:dyDescent="0.4">
      <c r="A765" t="s">
        <v>20</v>
      </c>
      <c r="B765">
        <v>6192995</v>
      </c>
      <c r="C765" t="s">
        <v>403</v>
      </c>
      <c r="D765" t="s">
        <v>21</v>
      </c>
      <c r="E765" t="s">
        <v>147</v>
      </c>
      <c r="K765">
        <v>83.427416962999999</v>
      </c>
      <c r="M765">
        <v>83.427416962999999</v>
      </c>
      <c r="P765" s="1" t="s">
        <v>1957</v>
      </c>
      <c r="Q765" s="1" t="s">
        <v>1958</v>
      </c>
      <c r="R765">
        <v>0.13799003800000001</v>
      </c>
      <c r="S765">
        <v>6.95</v>
      </c>
      <c r="T765" s="2">
        <v>45879</v>
      </c>
      <c r="V765" t="str">
        <f t="shared" si="44"/>
        <v>S-6192995</v>
      </c>
      <c r="W765">
        <f t="shared" si="47"/>
        <v>0</v>
      </c>
      <c r="X765" t="str">
        <f t="shared" si="45"/>
        <v/>
      </c>
      <c r="Y765">
        <f t="shared" si="46"/>
        <v>0.13799003800000001</v>
      </c>
    </row>
    <row r="766" spans="1:25" hidden="1" x14ac:dyDescent="0.4">
      <c r="A766" t="s">
        <v>20</v>
      </c>
      <c r="B766">
        <v>6192995</v>
      </c>
      <c r="C766" t="s">
        <v>403</v>
      </c>
      <c r="D766" t="s">
        <v>21</v>
      </c>
      <c r="E766" t="s">
        <v>22</v>
      </c>
      <c r="K766">
        <v>59.281153564999997</v>
      </c>
      <c r="L766">
        <v>0.17808638099999999</v>
      </c>
      <c r="M766">
        <v>59.103067183999997</v>
      </c>
      <c r="N766">
        <v>0</v>
      </c>
      <c r="O766">
        <v>0</v>
      </c>
      <c r="P766" s="1" t="s">
        <v>404</v>
      </c>
      <c r="Q766">
        <v>1</v>
      </c>
      <c r="R766">
        <v>3.0671840000000001E-3</v>
      </c>
      <c r="S766">
        <v>1.18</v>
      </c>
      <c r="T766" s="2">
        <v>45879</v>
      </c>
      <c r="V766" t="str">
        <f t="shared" si="44"/>
        <v>S-6192995</v>
      </c>
      <c r="W766">
        <f t="shared" si="47"/>
        <v>0</v>
      </c>
      <c r="X766" t="str">
        <f t="shared" si="45"/>
        <v/>
      </c>
      <c r="Y766">
        <f t="shared" si="46"/>
        <v>3.0671840000000001E-3</v>
      </c>
    </row>
    <row r="767" spans="1:25" hidden="1" x14ac:dyDescent="0.4">
      <c r="A767" t="s">
        <v>20</v>
      </c>
      <c r="B767">
        <v>6200195</v>
      </c>
      <c r="C767" t="s">
        <v>405</v>
      </c>
      <c r="D767" t="s">
        <v>21</v>
      </c>
      <c r="E767" t="s">
        <v>137</v>
      </c>
      <c r="K767">
        <v>250.804794284</v>
      </c>
      <c r="M767">
        <v>250.804794284</v>
      </c>
      <c r="P767" s="1" t="s">
        <v>862</v>
      </c>
      <c r="Q767" s="1" t="s">
        <v>863</v>
      </c>
      <c r="R767">
        <v>0.41606015200000002</v>
      </c>
      <c r="S767">
        <v>7.63</v>
      </c>
      <c r="T767" s="2">
        <v>45880</v>
      </c>
      <c r="V767" t="str">
        <f t="shared" si="44"/>
        <v>S-6200195</v>
      </c>
      <c r="W767">
        <f t="shared" si="47"/>
        <v>0</v>
      </c>
      <c r="X767" t="str">
        <f t="shared" si="45"/>
        <v/>
      </c>
      <c r="Y767">
        <f t="shared" si="46"/>
        <v>0.41606015200000002</v>
      </c>
    </row>
    <row r="768" spans="1:25" hidden="1" x14ac:dyDescent="0.4">
      <c r="A768" t="s">
        <v>20</v>
      </c>
      <c r="B768">
        <v>6200195</v>
      </c>
      <c r="C768" t="s">
        <v>405</v>
      </c>
      <c r="D768" t="s">
        <v>21</v>
      </c>
      <c r="E768" t="s">
        <v>156</v>
      </c>
      <c r="K768">
        <v>177.24458853900001</v>
      </c>
      <c r="M768">
        <v>177.24458853900001</v>
      </c>
      <c r="P768" s="1" t="s">
        <v>1226</v>
      </c>
      <c r="Q768" s="1" t="s">
        <v>1227</v>
      </c>
      <c r="R768">
        <v>0.43227243100000001</v>
      </c>
      <c r="S768">
        <v>8.6199999999999992</v>
      </c>
      <c r="T768" s="2">
        <v>45880</v>
      </c>
      <c r="V768" t="str">
        <f t="shared" si="44"/>
        <v>S-6200195</v>
      </c>
      <c r="W768">
        <f t="shared" si="47"/>
        <v>0</v>
      </c>
      <c r="X768" t="str">
        <f t="shared" si="45"/>
        <v/>
      </c>
      <c r="Y768">
        <f t="shared" si="46"/>
        <v>0.43227243100000001</v>
      </c>
    </row>
    <row r="769" spans="1:25" hidden="1" x14ac:dyDescent="0.4">
      <c r="A769" t="s">
        <v>20</v>
      </c>
      <c r="B769">
        <v>6200195</v>
      </c>
      <c r="C769" t="s">
        <v>405</v>
      </c>
      <c r="D769" t="s">
        <v>21</v>
      </c>
      <c r="E769" t="s">
        <v>140</v>
      </c>
      <c r="K769">
        <v>154.80519115300001</v>
      </c>
      <c r="M769">
        <v>154.80519115300001</v>
      </c>
      <c r="P769" s="1" t="s">
        <v>1593</v>
      </c>
      <c r="Q769" s="1" t="s">
        <v>1594</v>
      </c>
      <c r="R769">
        <v>0.25733223999999999</v>
      </c>
      <c r="S769">
        <v>4.75</v>
      </c>
      <c r="T769" s="2">
        <v>45880</v>
      </c>
      <c r="V769" t="str">
        <f t="shared" si="44"/>
        <v>S-6200195</v>
      </c>
      <c r="W769">
        <f t="shared" si="47"/>
        <v>0</v>
      </c>
      <c r="X769" t="str">
        <f t="shared" si="45"/>
        <v/>
      </c>
      <c r="Y769">
        <f t="shared" si="46"/>
        <v>0.25733223999999999</v>
      </c>
    </row>
    <row r="770" spans="1:25" hidden="1" x14ac:dyDescent="0.4">
      <c r="A770" t="s">
        <v>20</v>
      </c>
      <c r="B770">
        <v>6200195</v>
      </c>
      <c r="C770" t="s">
        <v>405</v>
      </c>
      <c r="D770" t="s">
        <v>21</v>
      </c>
      <c r="E770" t="s">
        <v>147</v>
      </c>
      <c r="K770">
        <v>83.565336228000007</v>
      </c>
      <c r="M770">
        <v>83.565336228000007</v>
      </c>
      <c r="P770" s="1" t="s">
        <v>1959</v>
      </c>
      <c r="Q770" s="1" t="s">
        <v>1960</v>
      </c>
      <c r="R770">
        <v>0.13791926500000001</v>
      </c>
      <c r="S770">
        <v>6.58</v>
      </c>
      <c r="T770" s="2">
        <v>45880</v>
      </c>
      <c r="V770" t="str">
        <f t="shared" si="44"/>
        <v>S-6200195</v>
      </c>
      <c r="W770">
        <f t="shared" si="47"/>
        <v>0</v>
      </c>
      <c r="X770" t="str">
        <f t="shared" si="45"/>
        <v/>
      </c>
      <c r="Y770">
        <f t="shared" si="46"/>
        <v>0.13791926500000001</v>
      </c>
    </row>
    <row r="771" spans="1:25" hidden="1" x14ac:dyDescent="0.4">
      <c r="A771" t="s">
        <v>20</v>
      </c>
      <c r="B771">
        <v>6200195</v>
      </c>
      <c r="C771" t="s">
        <v>405</v>
      </c>
      <c r="D771" t="s">
        <v>21</v>
      </c>
      <c r="E771" t="s">
        <v>22</v>
      </c>
      <c r="K771">
        <v>59.291363187999998</v>
      </c>
      <c r="L771">
        <v>0.17808638099999999</v>
      </c>
      <c r="M771">
        <v>59.113276806999998</v>
      </c>
      <c r="N771">
        <v>0</v>
      </c>
      <c r="O771">
        <v>0</v>
      </c>
      <c r="P771" s="1" t="s">
        <v>406</v>
      </c>
      <c r="Q771">
        <v>1</v>
      </c>
      <c r="R771">
        <v>1.0209622999999999E-2</v>
      </c>
      <c r="S771">
        <v>3.67</v>
      </c>
      <c r="T771" s="2">
        <v>45880</v>
      </c>
      <c r="V771" t="str">
        <f t="shared" ref="V771:V834" si="48">"S-"&amp;IF(LEN(I771)=0,B771,I771&amp;IF(F771="fee","-00",IF(LEN(G771)&gt;0,"-01","-02")))</f>
        <v>S-6200195</v>
      </c>
      <c r="W771">
        <f t="shared" si="47"/>
        <v>0</v>
      </c>
      <c r="X771" t="str">
        <f t="shared" ref="X771:X834" si="49">IF(LEN(I771)&gt;0,I771&amp;IF(F771="fee","fee",IF(VALUE(G771)&gt;0,"debit",IF(VALUE(H771)&gt;0,"credit","error"))),"")</f>
        <v/>
      </c>
      <c r="Y771">
        <f t="shared" ref="Y771:Y834" si="50">ROUND(IF(ROW(U771) = 2,K771,0)+IF(H771&lt;&gt;"",H771,0) + IF(R771&lt;&gt;"",R771,0) - IF(G771&lt;&gt;"",G771,0),9)</f>
        <v>1.0209622999999999E-2</v>
      </c>
    </row>
    <row r="772" spans="1:25" hidden="1" x14ac:dyDescent="0.4">
      <c r="A772" t="s">
        <v>20</v>
      </c>
      <c r="B772">
        <v>6207395</v>
      </c>
      <c r="C772" t="s">
        <v>407</v>
      </c>
      <c r="D772" t="s">
        <v>21</v>
      </c>
      <c r="E772" t="s">
        <v>137</v>
      </c>
      <c r="K772">
        <v>251.22273801899999</v>
      </c>
      <c r="M772">
        <v>251.22273801899999</v>
      </c>
      <c r="P772" s="1" t="s">
        <v>864</v>
      </c>
      <c r="Q772" s="1" t="s">
        <v>865</v>
      </c>
      <c r="R772">
        <v>0.41794373499999998</v>
      </c>
      <c r="S772">
        <v>8.2200000000000006</v>
      </c>
      <c r="T772" s="2">
        <v>45881</v>
      </c>
      <c r="V772" t="str">
        <f t="shared" si="48"/>
        <v>S-6207395</v>
      </c>
      <c r="W772">
        <f t="shared" ref="W772:W835" si="51">COUNTIF(I:I,I772)</f>
        <v>0</v>
      </c>
      <c r="X772" t="str">
        <f t="shared" si="49"/>
        <v/>
      </c>
      <c r="Y772">
        <f t="shared" si="50"/>
        <v>0.41794373499999998</v>
      </c>
    </row>
    <row r="773" spans="1:25" hidden="1" x14ac:dyDescent="0.4">
      <c r="A773" t="s">
        <v>20</v>
      </c>
      <c r="B773">
        <v>6207395</v>
      </c>
      <c r="C773" t="s">
        <v>407</v>
      </c>
      <c r="D773" t="s">
        <v>21</v>
      </c>
      <c r="E773" t="s">
        <v>156</v>
      </c>
      <c r="K773">
        <v>177.67621758499999</v>
      </c>
      <c r="M773">
        <v>177.67621758499999</v>
      </c>
      <c r="P773" s="1" t="s">
        <v>1228</v>
      </c>
      <c r="Q773" s="1" t="s">
        <v>1229</v>
      </c>
      <c r="R773">
        <v>0.43162904600000002</v>
      </c>
      <c r="S773">
        <v>9.41</v>
      </c>
      <c r="T773" s="2">
        <v>45881</v>
      </c>
      <c r="V773" t="str">
        <f t="shared" si="48"/>
        <v>S-6207395</v>
      </c>
      <c r="W773">
        <f t="shared" si="51"/>
        <v>0</v>
      </c>
      <c r="X773" t="str">
        <f t="shared" si="49"/>
        <v/>
      </c>
      <c r="Y773">
        <f t="shared" si="50"/>
        <v>0.43162904600000002</v>
      </c>
    </row>
    <row r="774" spans="1:25" hidden="1" x14ac:dyDescent="0.4">
      <c r="A774" t="s">
        <v>20</v>
      </c>
      <c r="B774">
        <v>6207395</v>
      </c>
      <c r="C774" t="s">
        <v>407</v>
      </c>
      <c r="D774" t="s">
        <v>21</v>
      </c>
      <c r="E774" t="s">
        <v>140</v>
      </c>
      <c r="K774">
        <v>155.05864428999999</v>
      </c>
      <c r="M774">
        <v>155.05864428999999</v>
      </c>
      <c r="P774" s="1" t="s">
        <v>1595</v>
      </c>
      <c r="Q774" s="1" t="s">
        <v>1596</v>
      </c>
      <c r="R774">
        <v>0.253453137</v>
      </c>
      <c r="S774">
        <v>5.18</v>
      </c>
      <c r="T774" s="2">
        <v>45881</v>
      </c>
      <c r="V774" t="str">
        <f t="shared" si="48"/>
        <v>S-6207395</v>
      </c>
      <c r="W774">
        <f t="shared" si="51"/>
        <v>0</v>
      </c>
      <c r="X774" t="str">
        <f t="shared" si="49"/>
        <v/>
      </c>
      <c r="Y774">
        <f t="shared" si="50"/>
        <v>0.253453137</v>
      </c>
    </row>
    <row r="775" spans="1:25" hidden="1" x14ac:dyDescent="0.4">
      <c r="A775" t="s">
        <v>20</v>
      </c>
      <c r="B775">
        <v>6207395</v>
      </c>
      <c r="C775" t="s">
        <v>407</v>
      </c>
      <c r="D775" t="s">
        <v>21</v>
      </c>
      <c r="E775" t="s">
        <v>147</v>
      </c>
      <c r="K775">
        <v>83.702169964999996</v>
      </c>
      <c r="M775">
        <v>83.702169964999996</v>
      </c>
      <c r="P775" s="1" t="s">
        <v>1961</v>
      </c>
      <c r="Q775" s="1" t="s">
        <v>1962</v>
      </c>
      <c r="R775">
        <v>0.13683373700000001</v>
      </c>
      <c r="S775">
        <v>7.07</v>
      </c>
      <c r="T775" s="2">
        <v>45881</v>
      </c>
      <c r="V775" t="str">
        <f t="shared" si="48"/>
        <v>S-6207395</v>
      </c>
      <c r="W775">
        <f t="shared" si="51"/>
        <v>0</v>
      </c>
      <c r="X775" t="str">
        <f t="shared" si="49"/>
        <v/>
      </c>
      <c r="Y775">
        <f t="shared" si="50"/>
        <v>0.13683373700000001</v>
      </c>
    </row>
    <row r="776" spans="1:25" hidden="1" x14ac:dyDescent="0.4">
      <c r="A776" t="s">
        <v>20</v>
      </c>
      <c r="B776">
        <v>6207395</v>
      </c>
      <c r="C776" t="s">
        <v>407</v>
      </c>
      <c r="D776" t="s">
        <v>21</v>
      </c>
      <c r="E776" t="s">
        <v>22</v>
      </c>
      <c r="K776">
        <v>59.301546526000003</v>
      </c>
      <c r="L776">
        <v>0.17808638099999999</v>
      </c>
      <c r="M776">
        <v>59.123460145000003</v>
      </c>
      <c r="N776">
        <v>0</v>
      </c>
      <c r="O776">
        <v>0</v>
      </c>
      <c r="P776" s="1" t="s">
        <v>408</v>
      </c>
      <c r="Q776">
        <v>1</v>
      </c>
      <c r="R776">
        <v>1.0183338E-2</v>
      </c>
      <c r="S776">
        <v>3.99</v>
      </c>
      <c r="T776" s="2">
        <v>45881</v>
      </c>
      <c r="V776" t="str">
        <f t="shared" si="48"/>
        <v>S-6207395</v>
      </c>
      <c r="W776">
        <f t="shared" si="51"/>
        <v>0</v>
      </c>
      <c r="X776" t="str">
        <f t="shared" si="49"/>
        <v/>
      </c>
      <c r="Y776">
        <f t="shared" si="50"/>
        <v>1.0183338E-2</v>
      </c>
    </row>
    <row r="777" spans="1:25" hidden="1" x14ac:dyDescent="0.4">
      <c r="A777" t="s">
        <v>20</v>
      </c>
      <c r="B777">
        <v>6214595</v>
      </c>
      <c r="C777" t="s">
        <v>409</v>
      </c>
      <c r="D777" t="s">
        <v>21</v>
      </c>
      <c r="E777" t="s">
        <v>137</v>
      </c>
      <c r="K777">
        <v>251.62364397299999</v>
      </c>
      <c r="M777">
        <v>251.62364397299999</v>
      </c>
      <c r="P777" s="1" t="s">
        <v>866</v>
      </c>
      <c r="Q777" s="1" t="s">
        <v>867</v>
      </c>
      <c r="R777">
        <v>0.40090595400000001</v>
      </c>
      <c r="S777">
        <v>7.69</v>
      </c>
      <c r="T777" s="2">
        <v>45882</v>
      </c>
      <c r="V777" t="str">
        <f t="shared" si="48"/>
        <v>S-6214595</v>
      </c>
      <c r="W777">
        <f t="shared" si="51"/>
        <v>0</v>
      </c>
      <c r="X777" t="str">
        <f t="shared" si="49"/>
        <v/>
      </c>
      <c r="Y777">
        <f t="shared" si="50"/>
        <v>0.40090595400000001</v>
      </c>
    </row>
    <row r="778" spans="1:25" hidden="1" x14ac:dyDescent="0.4">
      <c r="A778" t="s">
        <v>20</v>
      </c>
      <c r="B778">
        <v>6214595</v>
      </c>
      <c r="C778" t="s">
        <v>409</v>
      </c>
      <c r="D778" t="s">
        <v>21</v>
      </c>
      <c r="E778" t="s">
        <v>156</v>
      </c>
      <c r="K778">
        <v>178.077908111</v>
      </c>
      <c r="M778">
        <v>178.077908111</v>
      </c>
      <c r="P778" s="1" t="s">
        <v>1230</v>
      </c>
      <c r="Q778" s="1" t="s">
        <v>1231</v>
      </c>
      <c r="R778">
        <v>0.40169052599999999</v>
      </c>
      <c r="S778">
        <v>8.5</v>
      </c>
      <c r="T778" s="2">
        <v>45882</v>
      </c>
      <c r="V778" t="str">
        <f t="shared" si="48"/>
        <v>S-6214595</v>
      </c>
      <c r="W778">
        <f t="shared" si="51"/>
        <v>0</v>
      </c>
      <c r="X778" t="str">
        <f t="shared" si="49"/>
        <v/>
      </c>
      <c r="Y778">
        <f t="shared" si="50"/>
        <v>0.40169052599999999</v>
      </c>
    </row>
    <row r="779" spans="1:25" hidden="1" x14ac:dyDescent="0.4">
      <c r="A779" t="s">
        <v>20</v>
      </c>
      <c r="B779">
        <v>6214595</v>
      </c>
      <c r="C779" t="s">
        <v>409</v>
      </c>
      <c r="D779" t="s">
        <v>21</v>
      </c>
      <c r="E779" t="s">
        <v>140</v>
      </c>
      <c r="K779">
        <v>155.311718482</v>
      </c>
      <c r="M779">
        <v>155.311718482</v>
      </c>
      <c r="P779" s="1" t="s">
        <v>1597</v>
      </c>
      <c r="Q779" s="1" t="s">
        <v>1598</v>
      </c>
      <c r="R779">
        <v>0.25307419199999998</v>
      </c>
      <c r="S779">
        <v>5.08</v>
      </c>
      <c r="T779" s="2">
        <v>45882</v>
      </c>
      <c r="V779" t="str">
        <f t="shared" si="48"/>
        <v>S-6214595</v>
      </c>
      <c r="W779">
        <f t="shared" si="51"/>
        <v>0</v>
      </c>
      <c r="X779" t="str">
        <f t="shared" si="49"/>
        <v/>
      </c>
      <c r="Y779">
        <f t="shared" si="50"/>
        <v>0.25307419199999998</v>
      </c>
    </row>
    <row r="780" spans="1:25" hidden="1" x14ac:dyDescent="0.4">
      <c r="A780" t="s">
        <v>20</v>
      </c>
      <c r="B780">
        <v>6214595</v>
      </c>
      <c r="C780" t="s">
        <v>409</v>
      </c>
      <c r="D780" t="s">
        <v>21</v>
      </c>
      <c r="E780" t="s">
        <v>147</v>
      </c>
      <c r="K780">
        <v>83.841472576000001</v>
      </c>
      <c r="M780">
        <v>83.841472576000001</v>
      </c>
      <c r="P780" s="1" t="s">
        <v>1963</v>
      </c>
      <c r="Q780" s="1" t="s">
        <v>1964</v>
      </c>
      <c r="R780">
        <v>0.13930261099999999</v>
      </c>
      <c r="S780">
        <v>6.99</v>
      </c>
      <c r="T780" s="2">
        <v>45882</v>
      </c>
      <c r="V780" t="str">
        <f t="shared" si="48"/>
        <v>S-6214595</v>
      </c>
      <c r="W780">
        <f t="shared" si="51"/>
        <v>0</v>
      </c>
      <c r="X780" t="str">
        <f t="shared" si="49"/>
        <v/>
      </c>
      <c r="Y780">
        <f t="shared" si="50"/>
        <v>0.13930261099999999</v>
      </c>
    </row>
    <row r="781" spans="1:25" hidden="1" x14ac:dyDescent="0.4">
      <c r="A781" t="s">
        <v>20</v>
      </c>
      <c r="B781">
        <v>6214595</v>
      </c>
      <c r="C781" t="s">
        <v>409</v>
      </c>
      <c r="D781" t="s">
        <v>21</v>
      </c>
      <c r="E781" t="s">
        <v>22</v>
      </c>
      <c r="K781">
        <v>59.312490840000002</v>
      </c>
      <c r="L781">
        <v>0.17808638099999999</v>
      </c>
      <c r="M781">
        <v>59.134404459000002</v>
      </c>
      <c r="N781">
        <v>0</v>
      </c>
      <c r="O781">
        <v>0</v>
      </c>
      <c r="P781" s="1" t="s">
        <v>410</v>
      </c>
      <c r="Q781">
        <v>1</v>
      </c>
      <c r="R781">
        <v>1.0944314E-2</v>
      </c>
      <c r="S781">
        <v>4.3</v>
      </c>
      <c r="T781" s="2">
        <v>45882</v>
      </c>
      <c r="V781" t="str">
        <f t="shared" si="48"/>
        <v>S-6214595</v>
      </c>
      <c r="W781">
        <f t="shared" si="51"/>
        <v>0</v>
      </c>
      <c r="X781" t="str">
        <f t="shared" si="49"/>
        <v/>
      </c>
      <c r="Y781">
        <f t="shared" si="50"/>
        <v>1.0944314E-2</v>
      </c>
    </row>
    <row r="782" spans="1:25" hidden="1" x14ac:dyDescent="0.4">
      <c r="A782" t="s">
        <v>20</v>
      </c>
      <c r="B782">
        <v>6221795</v>
      </c>
      <c r="C782" t="s">
        <v>411</v>
      </c>
      <c r="D782" t="s">
        <v>21</v>
      </c>
      <c r="E782" t="s">
        <v>137</v>
      </c>
      <c r="K782">
        <v>252.04667491399999</v>
      </c>
      <c r="M782">
        <v>252.04667491399999</v>
      </c>
      <c r="P782" s="1" t="s">
        <v>868</v>
      </c>
      <c r="Q782" s="1" t="s">
        <v>869</v>
      </c>
      <c r="R782">
        <v>0.42303094099999999</v>
      </c>
      <c r="S782">
        <v>7.54</v>
      </c>
      <c r="T782" s="2">
        <v>45883</v>
      </c>
      <c r="V782" t="str">
        <f t="shared" si="48"/>
        <v>S-6221795</v>
      </c>
      <c r="W782">
        <f t="shared" si="51"/>
        <v>0</v>
      </c>
      <c r="X782" t="str">
        <f t="shared" si="49"/>
        <v/>
      </c>
      <c r="Y782">
        <f t="shared" si="50"/>
        <v>0.42303094099999999</v>
      </c>
    </row>
    <row r="783" spans="1:25" hidden="1" x14ac:dyDescent="0.4">
      <c r="A783" t="s">
        <v>20</v>
      </c>
      <c r="B783">
        <v>6221795</v>
      </c>
      <c r="C783" t="s">
        <v>411</v>
      </c>
      <c r="D783" t="s">
        <v>21</v>
      </c>
      <c r="E783" t="s">
        <v>156</v>
      </c>
      <c r="K783">
        <v>178.500647996</v>
      </c>
      <c r="M783">
        <v>178.500647996</v>
      </c>
      <c r="P783" s="1" t="s">
        <v>1232</v>
      </c>
      <c r="Q783" s="1" t="s">
        <v>1233</v>
      </c>
      <c r="R783">
        <v>0.42273988499999998</v>
      </c>
      <c r="S783">
        <v>8.33</v>
      </c>
      <c r="T783" s="2">
        <v>45883</v>
      </c>
      <c r="V783" t="str">
        <f t="shared" si="48"/>
        <v>S-6221795</v>
      </c>
      <c r="W783">
        <f t="shared" si="51"/>
        <v>0</v>
      </c>
      <c r="X783" t="str">
        <f t="shared" si="49"/>
        <v/>
      </c>
      <c r="Y783">
        <f t="shared" si="50"/>
        <v>0.42273988499999998</v>
      </c>
    </row>
    <row r="784" spans="1:25" hidden="1" x14ac:dyDescent="0.4">
      <c r="A784" t="s">
        <v>20</v>
      </c>
      <c r="B784">
        <v>6221795</v>
      </c>
      <c r="C784" t="s">
        <v>411</v>
      </c>
      <c r="D784" t="s">
        <v>21</v>
      </c>
      <c r="E784" t="s">
        <v>140</v>
      </c>
      <c r="K784">
        <v>155.566622567</v>
      </c>
      <c r="M784">
        <v>155.566622567</v>
      </c>
      <c r="P784" s="1" t="s">
        <v>1599</v>
      </c>
      <c r="Q784" s="1" t="s">
        <v>1600</v>
      </c>
      <c r="R784">
        <v>0.254904085</v>
      </c>
      <c r="S784">
        <v>4.71</v>
      </c>
      <c r="T784" s="2">
        <v>45883</v>
      </c>
      <c r="V784" t="str">
        <f t="shared" si="48"/>
        <v>S-6221795</v>
      </c>
      <c r="W784">
        <f t="shared" si="51"/>
        <v>0</v>
      </c>
      <c r="X784" t="str">
        <f t="shared" si="49"/>
        <v/>
      </c>
      <c r="Y784">
        <f t="shared" si="50"/>
        <v>0.254904085</v>
      </c>
    </row>
    <row r="785" spans="1:25" hidden="1" x14ac:dyDescent="0.4">
      <c r="A785" t="s">
        <v>20</v>
      </c>
      <c r="B785">
        <v>6221795</v>
      </c>
      <c r="C785" t="s">
        <v>411</v>
      </c>
      <c r="D785" t="s">
        <v>21</v>
      </c>
      <c r="E785" t="s">
        <v>147</v>
      </c>
      <c r="K785">
        <v>83.981401325999997</v>
      </c>
      <c r="M785">
        <v>83.981401325999997</v>
      </c>
      <c r="P785" s="1" t="s">
        <v>1965</v>
      </c>
      <c r="Q785" s="1" t="s">
        <v>1966</v>
      </c>
      <c r="R785">
        <v>0.13992874999999999</v>
      </c>
      <c r="S785">
        <v>6.45</v>
      </c>
      <c r="T785" s="2">
        <v>45883</v>
      </c>
      <c r="V785" t="str">
        <f t="shared" si="48"/>
        <v>S-6221795</v>
      </c>
      <c r="W785">
        <f t="shared" si="51"/>
        <v>0</v>
      </c>
      <c r="X785" t="str">
        <f t="shared" si="49"/>
        <v/>
      </c>
      <c r="Y785">
        <f t="shared" si="50"/>
        <v>0.13992874999999999</v>
      </c>
    </row>
    <row r="786" spans="1:25" hidden="1" x14ac:dyDescent="0.4">
      <c r="A786" t="s">
        <v>20</v>
      </c>
      <c r="B786">
        <v>6221795</v>
      </c>
      <c r="C786" t="s">
        <v>411</v>
      </c>
      <c r="D786" t="s">
        <v>21</v>
      </c>
      <c r="E786" t="s">
        <v>22</v>
      </c>
      <c r="K786">
        <v>59.323696214000002</v>
      </c>
      <c r="L786">
        <v>0.17808638099999999</v>
      </c>
      <c r="M786">
        <v>59.145609833000002</v>
      </c>
      <c r="N786">
        <v>0</v>
      </c>
      <c r="O786">
        <v>0</v>
      </c>
      <c r="P786" s="1" t="s">
        <v>412</v>
      </c>
      <c r="Q786">
        <v>1</v>
      </c>
      <c r="R786">
        <v>1.1205374000000001E-2</v>
      </c>
      <c r="S786">
        <v>4.0999999999999996</v>
      </c>
      <c r="T786" s="2">
        <v>45883</v>
      </c>
      <c r="V786" t="str">
        <f t="shared" si="48"/>
        <v>S-6221795</v>
      </c>
      <c r="W786">
        <f t="shared" si="51"/>
        <v>0</v>
      </c>
      <c r="X786" t="str">
        <f t="shared" si="49"/>
        <v/>
      </c>
      <c r="Y786">
        <f t="shared" si="50"/>
        <v>1.1205374000000001E-2</v>
      </c>
    </row>
    <row r="787" spans="1:25" hidden="1" x14ac:dyDescent="0.4">
      <c r="A787" t="s">
        <v>20</v>
      </c>
      <c r="B787">
        <v>6228995</v>
      </c>
      <c r="C787" t="s">
        <v>413</v>
      </c>
      <c r="D787" t="s">
        <v>21</v>
      </c>
      <c r="E787" t="s">
        <v>137</v>
      </c>
      <c r="K787">
        <v>252.470622819</v>
      </c>
      <c r="M787">
        <v>252.470622819</v>
      </c>
      <c r="P787" s="1" t="s">
        <v>870</v>
      </c>
      <c r="Q787" s="1" t="s">
        <v>871</v>
      </c>
      <c r="R787">
        <v>0.42394790500000001</v>
      </c>
      <c r="S787">
        <v>7.55</v>
      </c>
      <c r="T787" s="2">
        <v>45884</v>
      </c>
      <c r="V787" t="str">
        <f t="shared" si="48"/>
        <v>S-6228995</v>
      </c>
      <c r="W787">
        <f t="shared" si="51"/>
        <v>0</v>
      </c>
      <c r="X787" t="str">
        <f t="shared" si="49"/>
        <v/>
      </c>
      <c r="Y787">
        <f t="shared" si="50"/>
        <v>0.42394790500000001</v>
      </c>
    </row>
    <row r="788" spans="1:25" hidden="1" x14ac:dyDescent="0.4">
      <c r="A788" t="s">
        <v>20</v>
      </c>
      <c r="B788">
        <v>6228995</v>
      </c>
      <c r="C788" t="s">
        <v>413</v>
      </c>
      <c r="D788" t="s">
        <v>21</v>
      </c>
      <c r="E788" t="s">
        <v>156</v>
      </c>
      <c r="K788">
        <v>178.922083888</v>
      </c>
      <c r="M788">
        <v>178.922083888</v>
      </c>
      <c r="P788" s="1" t="s">
        <v>1234</v>
      </c>
      <c r="Q788" s="1" t="s">
        <v>1235</v>
      </c>
      <c r="R788">
        <v>0.42143589199999998</v>
      </c>
      <c r="S788">
        <v>8.26</v>
      </c>
      <c r="T788" s="2">
        <v>45884</v>
      </c>
      <c r="V788" t="str">
        <f t="shared" si="48"/>
        <v>S-6228995</v>
      </c>
      <c r="W788">
        <f t="shared" si="51"/>
        <v>0</v>
      </c>
      <c r="X788" t="str">
        <f t="shared" si="49"/>
        <v/>
      </c>
      <c r="Y788">
        <f t="shared" si="50"/>
        <v>0.42143589199999998</v>
      </c>
    </row>
    <row r="789" spans="1:25" hidden="1" x14ac:dyDescent="0.4">
      <c r="A789" t="s">
        <v>20</v>
      </c>
      <c r="B789">
        <v>6228995</v>
      </c>
      <c r="C789" t="s">
        <v>413</v>
      </c>
      <c r="D789" t="s">
        <v>21</v>
      </c>
      <c r="E789" t="s">
        <v>140</v>
      </c>
      <c r="K789">
        <v>155.81192987700001</v>
      </c>
      <c r="M789">
        <v>155.81192987700001</v>
      </c>
      <c r="P789" s="1" t="s">
        <v>1601</v>
      </c>
      <c r="Q789" s="1" t="s">
        <v>1602</v>
      </c>
      <c r="R789">
        <v>0.24530731</v>
      </c>
      <c r="S789">
        <v>4.45</v>
      </c>
      <c r="T789" s="2">
        <v>45884</v>
      </c>
      <c r="V789" t="str">
        <f t="shared" si="48"/>
        <v>S-6228995</v>
      </c>
      <c r="W789">
        <f t="shared" si="51"/>
        <v>0</v>
      </c>
      <c r="X789" t="str">
        <f t="shared" si="49"/>
        <v/>
      </c>
      <c r="Y789">
        <f t="shared" si="50"/>
        <v>0.24530731</v>
      </c>
    </row>
    <row r="790" spans="1:25" hidden="1" x14ac:dyDescent="0.4">
      <c r="A790" t="s">
        <v>20</v>
      </c>
      <c r="B790">
        <v>6228995</v>
      </c>
      <c r="C790" t="s">
        <v>413</v>
      </c>
      <c r="D790" t="s">
        <v>21</v>
      </c>
      <c r="E790" t="s">
        <v>147</v>
      </c>
      <c r="K790">
        <v>84.121096121999997</v>
      </c>
      <c r="M790">
        <v>84.121096121999997</v>
      </c>
      <c r="P790" s="1" t="s">
        <v>1967</v>
      </c>
      <c r="Q790" s="1" t="s">
        <v>1968</v>
      </c>
      <c r="R790">
        <v>0.13969479600000001</v>
      </c>
      <c r="S790">
        <v>6.42</v>
      </c>
      <c r="T790" s="2">
        <v>45884</v>
      </c>
      <c r="V790" t="str">
        <f t="shared" si="48"/>
        <v>S-6228995</v>
      </c>
      <c r="W790">
        <f t="shared" si="51"/>
        <v>0</v>
      </c>
      <c r="X790" t="str">
        <f t="shared" si="49"/>
        <v/>
      </c>
      <c r="Y790">
        <f t="shared" si="50"/>
        <v>0.13969479600000001</v>
      </c>
    </row>
    <row r="791" spans="1:25" hidden="1" x14ac:dyDescent="0.4">
      <c r="A791" t="s">
        <v>20</v>
      </c>
      <c r="B791">
        <v>6228995</v>
      </c>
      <c r="C791" t="s">
        <v>413</v>
      </c>
      <c r="D791" t="s">
        <v>21</v>
      </c>
      <c r="E791" t="s">
        <v>22</v>
      </c>
      <c r="K791">
        <v>59.334793756000003</v>
      </c>
      <c r="L791">
        <v>0.17808638099999999</v>
      </c>
      <c r="M791">
        <v>59.156707375000003</v>
      </c>
      <c r="N791">
        <v>0</v>
      </c>
      <c r="O791">
        <v>0</v>
      </c>
      <c r="P791" s="1" t="s">
        <v>414</v>
      </c>
      <c r="Q791">
        <v>1</v>
      </c>
      <c r="R791">
        <v>1.1097542E-2</v>
      </c>
      <c r="S791">
        <v>4.09</v>
      </c>
      <c r="T791" s="2">
        <v>45884</v>
      </c>
      <c r="V791" t="str">
        <f t="shared" si="48"/>
        <v>S-6228995</v>
      </c>
      <c r="W791">
        <f t="shared" si="51"/>
        <v>0</v>
      </c>
      <c r="X791" t="str">
        <f t="shared" si="49"/>
        <v/>
      </c>
      <c r="Y791">
        <f t="shared" si="50"/>
        <v>1.1097542E-2</v>
      </c>
    </row>
    <row r="792" spans="1:25" hidden="1" x14ac:dyDescent="0.4">
      <c r="A792" t="s">
        <v>20</v>
      </c>
      <c r="B792">
        <v>6236195</v>
      </c>
      <c r="C792" t="s">
        <v>415</v>
      </c>
      <c r="D792" t="s">
        <v>21</v>
      </c>
      <c r="E792" t="s">
        <v>137</v>
      </c>
      <c r="K792">
        <v>252.89554412199999</v>
      </c>
      <c r="M792">
        <v>252.89554412199999</v>
      </c>
      <c r="P792" s="1" t="s">
        <v>872</v>
      </c>
      <c r="Q792" s="1" t="s">
        <v>873</v>
      </c>
      <c r="R792">
        <v>0.42492130299999997</v>
      </c>
      <c r="S792">
        <v>7.65</v>
      </c>
      <c r="T792" s="2">
        <v>45885</v>
      </c>
      <c r="V792" t="str">
        <f t="shared" si="48"/>
        <v>S-6236195</v>
      </c>
      <c r="W792">
        <f t="shared" si="51"/>
        <v>0</v>
      </c>
      <c r="X792" t="str">
        <f t="shared" si="49"/>
        <v/>
      </c>
      <c r="Y792">
        <f t="shared" si="50"/>
        <v>0.42492130299999997</v>
      </c>
    </row>
    <row r="793" spans="1:25" hidden="1" x14ac:dyDescent="0.4">
      <c r="A793" t="s">
        <v>20</v>
      </c>
      <c r="B793">
        <v>6236195</v>
      </c>
      <c r="C793" t="s">
        <v>415</v>
      </c>
      <c r="D793" t="s">
        <v>21</v>
      </c>
      <c r="E793" t="s">
        <v>156</v>
      </c>
      <c r="K793">
        <v>179.34543729399999</v>
      </c>
      <c r="M793">
        <v>179.34543729399999</v>
      </c>
      <c r="P793" s="1" t="s">
        <v>1236</v>
      </c>
      <c r="Q793" s="1" t="s">
        <v>1237</v>
      </c>
      <c r="R793">
        <v>0.42335340599999999</v>
      </c>
      <c r="S793">
        <v>8.35</v>
      </c>
      <c r="T793" s="2">
        <v>45885</v>
      </c>
      <c r="V793" t="str">
        <f t="shared" si="48"/>
        <v>S-6236195</v>
      </c>
      <c r="W793">
        <f t="shared" si="51"/>
        <v>0</v>
      </c>
      <c r="X793" t="str">
        <f t="shared" si="49"/>
        <v/>
      </c>
      <c r="Y793">
        <f t="shared" si="50"/>
        <v>0.42335340599999999</v>
      </c>
    </row>
    <row r="794" spans="1:25" hidden="1" x14ac:dyDescent="0.4">
      <c r="A794" t="s">
        <v>20</v>
      </c>
      <c r="B794">
        <v>6236195</v>
      </c>
      <c r="C794" t="s">
        <v>415</v>
      </c>
      <c r="D794" t="s">
        <v>21</v>
      </c>
      <c r="E794" t="s">
        <v>140</v>
      </c>
      <c r="K794">
        <v>156.071721298</v>
      </c>
      <c r="M794">
        <v>156.071721298</v>
      </c>
      <c r="P794" s="1" t="s">
        <v>1603</v>
      </c>
      <c r="Q794" s="1" t="s">
        <v>1604</v>
      </c>
      <c r="R794">
        <v>0.25979142100000002</v>
      </c>
      <c r="S794">
        <v>4.6900000000000004</v>
      </c>
      <c r="T794" s="2">
        <v>45885</v>
      </c>
      <c r="V794" t="str">
        <f t="shared" si="48"/>
        <v>S-6236195</v>
      </c>
      <c r="W794">
        <f t="shared" si="51"/>
        <v>0</v>
      </c>
      <c r="X794" t="str">
        <f t="shared" si="49"/>
        <v/>
      </c>
      <c r="Y794">
        <f t="shared" si="50"/>
        <v>0.25979142100000002</v>
      </c>
    </row>
    <row r="795" spans="1:25" hidden="1" x14ac:dyDescent="0.4">
      <c r="A795" t="s">
        <v>20</v>
      </c>
      <c r="B795">
        <v>6236195</v>
      </c>
      <c r="C795" t="s">
        <v>415</v>
      </c>
      <c r="D795" t="s">
        <v>21</v>
      </c>
      <c r="E795" t="s">
        <v>147</v>
      </c>
      <c r="K795">
        <v>84.254658304000003</v>
      </c>
      <c r="M795">
        <v>84.254658304000003</v>
      </c>
      <c r="P795" s="1" t="s">
        <v>1969</v>
      </c>
      <c r="Q795" s="1" t="s">
        <v>1970</v>
      </c>
      <c r="R795">
        <v>0.133562182</v>
      </c>
      <c r="S795">
        <v>6.05</v>
      </c>
      <c r="T795" s="2">
        <v>45885</v>
      </c>
      <c r="V795" t="str">
        <f t="shared" si="48"/>
        <v>S-6236195</v>
      </c>
      <c r="W795">
        <f t="shared" si="51"/>
        <v>0</v>
      </c>
      <c r="X795" t="str">
        <f t="shared" si="49"/>
        <v/>
      </c>
      <c r="Y795">
        <f t="shared" si="50"/>
        <v>0.133562182</v>
      </c>
    </row>
    <row r="796" spans="1:25" hidden="1" x14ac:dyDescent="0.4">
      <c r="A796" t="s">
        <v>20</v>
      </c>
      <c r="B796">
        <v>6236195</v>
      </c>
      <c r="C796" t="s">
        <v>415</v>
      </c>
      <c r="D796" t="s">
        <v>21</v>
      </c>
      <c r="E796" t="s">
        <v>22</v>
      </c>
      <c r="K796">
        <v>59.346257968000003</v>
      </c>
      <c r="L796">
        <v>0.17808638099999999</v>
      </c>
      <c r="M796">
        <v>59.168171587000003</v>
      </c>
      <c r="N796">
        <v>0</v>
      </c>
      <c r="O796">
        <v>0</v>
      </c>
      <c r="P796" s="1" t="s">
        <v>416</v>
      </c>
      <c r="Q796">
        <v>1</v>
      </c>
      <c r="R796">
        <v>1.1464212E-2</v>
      </c>
      <c r="S796">
        <v>4.2699999999999996</v>
      </c>
      <c r="T796" s="2">
        <v>45885</v>
      </c>
      <c r="V796" t="str">
        <f t="shared" si="48"/>
        <v>S-6236195</v>
      </c>
      <c r="W796">
        <f t="shared" si="51"/>
        <v>0</v>
      </c>
      <c r="X796" t="str">
        <f t="shared" si="49"/>
        <v/>
      </c>
      <c r="Y796">
        <f t="shared" si="50"/>
        <v>1.1464212E-2</v>
      </c>
    </row>
    <row r="797" spans="1:25" hidden="1" x14ac:dyDescent="0.4">
      <c r="A797" t="s">
        <v>20</v>
      </c>
      <c r="B797">
        <v>6243395</v>
      </c>
      <c r="C797" t="s">
        <v>417</v>
      </c>
      <c r="D797" t="s">
        <v>21</v>
      </c>
      <c r="E797" t="s">
        <v>137</v>
      </c>
      <c r="K797">
        <v>253.32744060300001</v>
      </c>
      <c r="M797">
        <v>253.32744060300001</v>
      </c>
      <c r="P797" s="1" t="s">
        <v>874</v>
      </c>
      <c r="Q797" s="1" t="s">
        <v>875</v>
      </c>
      <c r="R797">
        <v>0.431896481</v>
      </c>
      <c r="S797">
        <v>7.74</v>
      </c>
      <c r="T797" s="2">
        <v>45886</v>
      </c>
      <c r="V797" t="str">
        <f t="shared" si="48"/>
        <v>S-6243395</v>
      </c>
      <c r="W797">
        <f t="shared" si="51"/>
        <v>0</v>
      </c>
      <c r="X797" t="str">
        <f t="shared" si="49"/>
        <v/>
      </c>
      <c r="Y797">
        <f t="shared" si="50"/>
        <v>0.431896481</v>
      </c>
    </row>
    <row r="798" spans="1:25" hidden="1" x14ac:dyDescent="0.4">
      <c r="A798" t="s">
        <v>20</v>
      </c>
      <c r="B798">
        <v>6243395</v>
      </c>
      <c r="C798" t="s">
        <v>417</v>
      </c>
      <c r="D798" t="s">
        <v>21</v>
      </c>
      <c r="E798" t="s">
        <v>156</v>
      </c>
      <c r="K798">
        <v>179.772617905</v>
      </c>
      <c r="M798">
        <v>179.772617905</v>
      </c>
      <c r="P798" s="1" t="s">
        <v>1238</v>
      </c>
      <c r="Q798" s="1" t="s">
        <v>1239</v>
      </c>
      <c r="R798">
        <v>0.42718061099999999</v>
      </c>
      <c r="S798">
        <v>8.3800000000000008</v>
      </c>
      <c r="T798" s="2">
        <v>45886</v>
      </c>
      <c r="V798" t="str">
        <f t="shared" si="48"/>
        <v>S-6243395</v>
      </c>
      <c r="W798">
        <f t="shared" si="51"/>
        <v>0</v>
      </c>
      <c r="X798" t="str">
        <f t="shared" si="49"/>
        <v/>
      </c>
      <c r="Y798">
        <f t="shared" si="50"/>
        <v>0.42718061099999999</v>
      </c>
    </row>
    <row r="799" spans="1:25" hidden="1" x14ac:dyDescent="0.4">
      <c r="A799" t="s">
        <v>20</v>
      </c>
      <c r="B799">
        <v>6243395</v>
      </c>
      <c r="C799" t="s">
        <v>417</v>
      </c>
      <c r="D799" t="s">
        <v>21</v>
      </c>
      <c r="E799" t="s">
        <v>140</v>
      </c>
      <c r="K799">
        <v>156.33520139300001</v>
      </c>
      <c r="M799">
        <v>156.33520139300001</v>
      </c>
      <c r="P799" s="1" t="s">
        <v>1605</v>
      </c>
      <c r="Q799" s="1" t="s">
        <v>1606</v>
      </c>
      <c r="R799">
        <v>0.26348009500000003</v>
      </c>
      <c r="S799">
        <v>4.5199999999999996</v>
      </c>
      <c r="T799" s="2">
        <v>45886</v>
      </c>
      <c r="V799" t="str">
        <f t="shared" si="48"/>
        <v>S-6243395</v>
      </c>
      <c r="W799">
        <f t="shared" si="51"/>
        <v>0</v>
      </c>
      <c r="X799" t="str">
        <f t="shared" si="49"/>
        <v/>
      </c>
      <c r="Y799">
        <f t="shared" si="50"/>
        <v>0.26348009500000003</v>
      </c>
    </row>
    <row r="800" spans="1:25" hidden="1" x14ac:dyDescent="0.4">
      <c r="A800" t="s">
        <v>20</v>
      </c>
      <c r="B800">
        <v>6243395</v>
      </c>
      <c r="C800" t="s">
        <v>417</v>
      </c>
      <c r="D800" t="s">
        <v>21</v>
      </c>
      <c r="E800" t="s">
        <v>147</v>
      </c>
      <c r="K800">
        <v>84.396652126000006</v>
      </c>
      <c r="M800">
        <v>84.396652126000006</v>
      </c>
      <c r="P800" s="1" t="s">
        <v>1971</v>
      </c>
      <c r="Q800" s="1" t="s">
        <v>1972</v>
      </c>
      <c r="R800">
        <v>0.14199382199999999</v>
      </c>
      <c r="S800">
        <v>6.32</v>
      </c>
      <c r="T800" s="2">
        <v>45886</v>
      </c>
      <c r="V800" t="str">
        <f t="shared" si="48"/>
        <v>S-6243395</v>
      </c>
      <c r="W800">
        <f t="shared" si="51"/>
        <v>0</v>
      </c>
      <c r="X800" t="str">
        <f t="shared" si="49"/>
        <v/>
      </c>
      <c r="Y800">
        <f t="shared" si="50"/>
        <v>0.14199382199999999</v>
      </c>
    </row>
    <row r="801" spans="1:25" hidden="1" x14ac:dyDescent="0.4">
      <c r="A801" t="s">
        <v>20</v>
      </c>
      <c r="B801">
        <v>6243395</v>
      </c>
      <c r="C801" t="s">
        <v>417</v>
      </c>
      <c r="D801" t="s">
        <v>21</v>
      </c>
      <c r="E801" t="s">
        <v>22</v>
      </c>
      <c r="K801">
        <v>59.357816915000001</v>
      </c>
      <c r="L801">
        <v>0.17808638099999999</v>
      </c>
      <c r="M801">
        <v>59.179730534000001</v>
      </c>
      <c r="N801">
        <v>0</v>
      </c>
      <c r="O801">
        <v>0</v>
      </c>
      <c r="P801" s="1" t="s">
        <v>418</v>
      </c>
      <c r="Q801">
        <v>1</v>
      </c>
      <c r="R801">
        <v>1.1558947E-2</v>
      </c>
      <c r="S801">
        <v>4.3099999999999996</v>
      </c>
      <c r="T801" s="2">
        <v>45886</v>
      </c>
      <c r="V801" t="str">
        <f t="shared" si="48"/>
        <v>S-6243395</v>
      </c>
      <c r="W801">
        <f t="shared" si="51"/>
        <v>0</v>
      </c>
      <c r="X801" t="str">
        <f t="shared" si="49"/>
        <v/>
      </c>
      <c r="Y801">
        <f t="shared" si="50"/>
        <v>1.1558947E-2</v>
      </c>
    </row>
    <row r="802" spans="1:25" hidden="1" x14ac:dyDescent="0.4">
      <c r="A802" t="s">
        <v>20</v>
      </c>
      <c r="B802">
        <v>6250595</v>
      </c>
      <c r="C802" t="s">
        <v>419</v>
      </c>
      <c r="D802" t="s">
        <v>21</v>
      </c>
      <c r="E802" t="s">
        <v>137</v>
      </c>
      <c r="K802">
        <v>253.76764336900001</v>
      </c>
      <c r="M802">
        <v>253.76764336900001</v>
      </c>
      <c r="P802" s="1" t="s">
        <v>876</v>
      </c>
      <c r="Q802" s="1" t="s">
        <v>877</v>
      </c>
      <c r="R802">
        <v>0.44020276600000002</v>
      </c>
      <c r="S802">
        <v>7.46</v>
      </c>
      <c r="T802" s="2">
        <v>45887</v>
      </c>
      <c r="V802" t="str">
        <f t="shared" si="48"/>
        <v>S-6250595</v>
      </c>
      <c r="W802">
        <f t="shared" si="51"/>
        <v>0</v>
      </c>
      <c r="X802" t="str">
        <f t="shared" si="49"/>
        <v/>
      </c>
      <c r="Y802">
        <f t="shared" si="50"/>
        <v>0.44020276600000002</v>
      </c>
    </row>
    <row r="803" spans="1:25" hidden="1" x14ac:dyDescent="0.4">
      <c r="A803" t="s">
        <v>20</v>
      </c>
      <c r="B803">
        <v>6250595</v>
      </c>
      <c r="C803" t="s">
        <v>419</v>
      </c>
      <c r="D803" t="s">
        <v>21</v>
      </c>
      <c r="E803" t="s">
        <v>156</v>
      </c>
      <c r="K803">
        <v>180.20583730199999</v>
      </c>
      <c r="M803">
        <v>180.20583730199999</v>
      </c>
      <c r="P803" s="1" t="s">
        <v>1240</v>
      </c>
      <c r="Q803" s="1" t="s">
        <v>1241</v>
      </c>
      <c r="R803">
        <v>0.43321939700000001</v>
      </c>
      <c r="S803">
        <v>8.01</v>
      </c>
      <c r="T803" s="2">
        <v>45887</v>
      </c>
      <c r="V803" t="str">
        <f t="shared" si="48"/>
        <v>S-6250595</v>
      </c>
      <c r="W803">
        <f t="shared" si="51"/>
        <v>0</v>
      </c>
      <c r="X803" t="str">
        <f t="shared" si="49"/>
        <v/>
      </c>
      <c r="Y803">
        <f t="shared" si="50"/>
        <v>0.43321939700000001</v>
      </c>
    </row>
    <row r="804" spans="1:25" hidden="1" x14ac:dyDescent="0.4">
      <c r="A804" t="s">
        <v>20</v>
      </c>
      <c r="B804">
        <v>6250595</v>
      </c>
      <c r="C804" t="s">
        <v>419</v>
      </c>
      <c r="D804" t="s">
        <v>21</v>
      </c>
      <c r="E804" t="s">
        <v>140</v>
      </c>
      <c r="K804">
        <v>156.60391049899999</v>
      </c>
      <c r="M804">
        <v>156.60391049899999</v>
      </c>
      <c r="P804" s="1" t="s">
        <v>1607</v>
      </c>
      <c r="Q804" s="1" t="s">
        <v>1608</v>
      </c>
      <c r="R804">
        <v>0.26870910599999998</v>
      </c>
      <c r="S804">
        <v>4.33</v>
      </c>
      <c r="T804" s="2">
        <v>45887</v>
      </c>
      <c r="V804" t="str">
        <f t="shared" si="48"/>
        <v>S-6250595</v>
      </c>
      <c r="W804">
        <f t="shared" si="51"/>
        <v>0</v>
      </c>
      <c r="X804" t="str">
        <f t="shared" si="49"/>
        <v/>
      </c>
      <c r="Y804">
        <f t="shared" si="50"/>
        <v>0.26870910599999998</v>
      </c>
    </row>
    <row r="805" spans="1:25" hidden="1" x14ac:dyDescent="0.4">
      <c r="A805" t="s">
        <v>20</v>
      </c>
      <c r="B805">
        <v>6250595</v>
      </c>
      <c r="C805" t="s">
        <v>419</v>
      </c>
      <c r="D805" t="s">
        <v>21</v>
      </c>
      <c r="E805" t="s">
        <v>147</v>
      </c>
      <c r="K805">
        <v>84.539122538000001</v>
      </c>
      <c r="M805">
        <v>84.539122538000001</v>
      </c>
      <c r="P805" s="1" t="s">
        <v>1973</v>
      </c>
      <c r="Q805" s="1" t="s">
        <v>1974</v>
      </c>
      <c r="R805">
        <v>0.14247041199999999</v>
      </c>
      <c r="S805">
        <v>5.98</v>
      </c>
      <c r="T805" s="2">
        <v>45887</v>
      </c>
      <c r="V805" t="str">
        <f t="shared" si="48"/>
        <v>S-6250595</v>
      </c>
      <c r="W805">
        <f t="shared" si="51"/>
        <v>0</v>
      </c>
      <c r="X805" t="str">
        <f t="shared" si="49"/>
        <v/>
      </c>
      <c r="Y805">
        <f t="shared" si="50"/>
        <v>0.14247041199999999</v>
      </c>
    </row>
    <row r="806" spans="1:25" hidden="1" x14ac:dyDescent="0.4">
      <c r="A806" t="s">
        <v>20</v>
      </c>
      <c r="B806">
        <v>6250595</v>
      </c>
      <c r="C806" t="s">
        <v>419</v>
      </c>
      <c r="D806" t="s">
        <v>21</v>
      </c>
      <c r="E806" t="s">
        <v>22</v>
      </c>
      <c r="K806">
        <v>59.369165555000002</v>
      </c>
      <c r="L806">
        <v>0.17808638099999999</v>
      </c>
      <c r="M806">
        <v>59.191079174000002</v>
      </c>
      <c r="N806">
        <v>0</v>
      </c>
      <c r="O806">
        <v>0</v>
      </c>
      <c r="P806" s="1" t="s">
        <v>420</v>
      </c>
      <c r="Q806">
        <v>1</v>
      </c>
      <c r="R806">
        <v>1.134864E-2</v>
      </c>
      <c r="S806">
        <v>4.0199999999999996</v>
      </c>
      <c r="T806" s="2">
        <v>45887</v>
      </c>
      <c r="V806" t="str">
        <f t="shared" si="48"/>
        <v>S-6250595</v>
      </c>
      <c r="W806">
        <f t="shared" si="51"/>
        <v>0</v>
      </c>
      <c r="X806" t="str">
        <f t="shared" si="49"/>
        <v/>
      </c>
      <c r="Y806">
        <f t="shared" si="50"/>
        <v>1.134864E-2</v>
      </c>
    </row>
    <row r="807" spans="1:25" hidden="1" x14ac:dyDescent="0.4">
      <c r="A807" t="s">
        <v>20</v>
      </c>
      <c r="B807">
        <v>6257795</v>
      </c>
      <c r="C807" t="s">
        <v>421</v>
      </c>
      <c r="D807" t="s">
        <v>21</v>
      </c>
      <c r="E807" t="s">
        <v>137</v>
      </c>
      <c r="K807">
        <v>254.20876961600001</v>
      </c>
      <c r="M807">
        <v>254.20876961600001</v>
      </c>
      <c r="P807" s="1" t="s">
        <v>878</v>
      </c>
      <c r="Q807" s="1" t="s">
        <v>879</v>
      </c>
      <c r="R807">
        <v>0.44112624700000003</v>
      </c>
      <c r="S807">
        <v>7.18</v>
      </c>
      <c r="T807" s="2">
        <v>45888</v>
      </c>
      <c r="V807" t="str">
        <f t="shared" si="48"/>
        <v>S-6257795</v>
      </c>
      <c r="W807">
        <f t="shared" si="51"/>
        <v>0</v>
      </c>
      <c r="X807" t="str">
        <f t="shared" si="49"/>
        <v/>
      </c>
      <c r="Y807">
        <f t="shared" si="50"/>
        <v>0.44112624700000003</v>
      </c>
    </row>
    <row r="808" spans="1:25" hidden="1" x14ac:dyDescent="0.4">
      <c r="A808" t="s">
        <v>20</v>
      </c>
      <c r="B808">
        <v>6257795</v>
      </c>
      <c r="C808" t="s">
        <v>421</v>
      </c>
      <c r="D808" t="s">
        <v>21</v>
      </c>
      <c r="E808" t="s">
        <v>156</v>
      </c>
      <c r="K808">
        <v>180.67493863300001</v>
      </c>
      <c r="M808">
        <v>180.67493863300001</v>
      </c>
      <c r="P808" s="1" t="s">
        <v>1242</v>
      </c>
      <c r="Q808" s="1" t="s">
        <v>1243</v>
      </c>
      <c r="R808">
        <v>0.46910133100000001</v>
      </c>
      <c r="S808">
        <v>8.19</v>
      </c>
      <c r="T808" s="2">
        <v>45888</v>
      </c>
      <c r="V808" t="str">
        <f t="shared" si="48"/>
        <v>S-6257795</v>
      </c>
      <c r="W808">
        <f t="shared" si="51"/>
        <v>0</v>
      </c>
      <c r="X808" t="str">
        <f t="shared" si="49"/>
        <v/>
      </c>
      <c r="Y808">
        <f t="shared" si="50"/>
        <v>0.46910133100000001</v>
      </c>
    </row>
    <row r="809" spans="1:25" hidden="1" x14ac:dyDescent="0.4">
      <c r="A809" t="s">
        <v>20</v>
      </c>
      <c r="B809">
        <v>6257795</v>
      </c>
      <c r="C809" t="s">
        <v>421</v>
      </c>
      <c r="D809" t="s">
        <v>21</v>
      </c>
      <c r="E809" t="s">
        <v>140</v>
      </c>
      <c r="K809">
        <v>156.873013778</v>
      </c>
      <c r="M809">
        <v>156.873013778</v>
      </c>
      <c r="P809" s="1" t="s">
        <v>1609</v>
      </c>
      <c r="Q809" s="1" t="s">
        <v>1610</v>
      </c>
      <c r="R809">
        <v>0.26910327899999997</v>
      </c>
      <c r="S809">
        <v>4.13</v>
      </c>
      <c r="T809" s="2">
        <v>45888</v>
      </c>
      <c r="V809" t="str">
        <f t="shared" si="48"/>
        <v>S-6257795</v>
      </c>
      <c r="W809">
        <f t="shared" si="51"/>
        <v>0</v>
      </c>
      <c r="X809" t="str">
        <f t="shared" si="49"/>
        <v/>
      </c>
      <c r="Y809">
        <f t="shared" si="50"/>
        <v>0.26910327899999997</v>
      </c>
    </row>
    <row r="810" spans="1:25" hidden="1" x14ac:dyDescent="0.4">
      <c r="A810" t="s">
        <v>20</v>
      </c>
      <c r="B810">
        <v>6257795</v>
      </c>
      <c r="C810" t="s">
        <v>421</v>
      </c>
      <c r="D810" t="s">
        <v>21</v>
      </c>
      <c r="E810" t="s">
        <v>147</v>
      </c>
      <c r="K810">
        <v>84.684860461</v>
      </c>
      <c r="M810">
        <v>84.684860461</v>
      </c>
      <c r="P810" s="1" t="s">
        <v>1975</v>
      </c>
      <c r="Q810" s="1" t="s">
        <v>1976</v>
      </c>
      <c r="R810">
        <v>0.14573792299999999</v>
      </c>
      <c r="S810">
        <v>5.61</v>
      </c>
      <c r="T810" s="2">
        <v>45888</v>
      </c>
      <c r="V810" t="str">
        <f t="shared" si="48"/>
        <v>S-6257795</v>
      </c>
      <c r="W810">
        <f t="shared" si="51"/>
        <v>0</v>
      </c>
      <c r="X810" t="str">
        <f t="shared" si="49"/>
        <v/>
      </c>
      <c r="Y810">
        <f t="shared" si="50"/>
        <v>0.14573792299999999</v>
      </c>
    </row>
    <row r="811" spans="1:25" hidden="1" x14ac:dyDescent="0.4">
      <c r="A811" t="s">
        <v>20</v>
      </c>
      <c r="B811">
        <v>6257795</v>
      </c>
      <c r="C811" t="s">
        <v>421</v>
      </c>
      <c r="D811" t="s">
        <v>21</v>
      </c>
      <c r="E811" t="s">
        <v>22</v>
      </c>
      <c r="K811">
        <v>59.379644784</v>
      </c>
      <c r="L811">
        <v>0.17808638099999999</v>
      </c>
      <c r="M811">
        <v>59.201558403</v>
      </c>
      <c r="N811">
        <v>0</v>
      </c>
      <c r="O811">
        <v>0</v>
      </c>
      <c r="P811" s="1" t="s">
        <v>422</v>
      </c>
      <c r="Q811">
        <v>1</v>
      </c>
      <c r="R811">
        <v>1.0479229E-2</v>
      </c>
      <c r="S811">
        <v>3.58</v>
      </c>
      <c r="T811" s="2">
        <v>45888</v>
      </c>
      <c r="V811" t="str">
        <f t="shared" si="48"/>
        <v>S-6257795</v>
      </c>
      <c r="W811">
        <f t="shared" si="51"/>
        <v>0</v>
      </c>
      <c r="X811" t="str">
        <f t="shared" si="49"/>
        <v/>
      </c>
      <c r="Y811">
        <f t="shared" si="50"/>
        <v>1.0479229E-2</v>
      </c>
    </row>
    <row r="812" spans="1:25" hidden="1" x14ac:dyDescent="0.4">
      <c r="A812" t="s">
        <v>20</v>
      </c>
      <c r="B812">
        <v>6264995</v>
      </c>
      <c r="C812" t="s">
        <v>423</v>
      </c>
      <c r="D812" t="s">
        <v>21</v>
      </c>
      <c r="E812" t="s">
        <v>137</v>
      </c>
      <c r="K812">
        <v>254.64131892</v>
      </c>
      <c r="M812">
        <v>254.64131892</v>
      </c>
      <c r="P812" s="1" t="s">
        <v>880</v>
      </c>
      <c r="Q812" s="1" t="s">
        <v>881</v>
      </c>
      <c r="R812">
        <v>0.43254930400000002</v>
      </c>
      <c r="S812">
        <v>7.23</v>
      </c>
      <c r="T812" s="2">
        <v>45889</v>
      </c>
      <c r="V812" t="str">
        <f t="shared" si="48"/>
        <v>S-6264995</v>
      </c>
      <c r="W812">
        <f t="shared" si="51"/>
        <v>0</v>
      </c>
      <c r="X812" t="str">
        <f t="shared" si="49"/>
        <v/>
      </c>
      <c r="Y812">
        <f t="shared" si="50"/>
        <v>0.43254930400000002</v>
      </c>
    </row>
    <row r="813" spans="1:25" hidden="1" x14ac:dyDescent="0.4">
      <c r="A813" t="s">
        <v>20</v>
      </c>
      <c r="B813">
        <v>6264995</v>
      </c>
      <c r="C813" t="s">
        <v>423</v>
      </c>
      <c r="D813" t="s">
        <v>21</v>
      </c>
      <c r="E813" t="s">
        <v>156</v>
      </c>
      <c r="K813">
        <v>181.16356482</v>
      </c>
      <c r="M813">
        <v>181.16356482</v>
      </c>
      <c r="P813" s="1" t="s">
        <v>1244</v>
      </c>
      <c r="Q813" s="1" t="s">
        <v>1245</v>
      </c>
      <c r="R813">
        <v>0.48862618699999999</v>
      </c>
      <c r="S813">
        <v>8.65</v>
      </c>
      <c r="T813" s="2">
        <v>45889</v>
      </c>
      <c r="V813" t="str">
        <f t="shared" si="48"/>
        <v>S-6264995</v>
      </c>
      <c r="W813">
        <f t="shared" si="51"/>
        <v>0</v>
      </c>
      <c r="X813" t="str">
        <f t="shared" si="49"/>
        <v/>
      </c>
      <c r="Y813">
        <f t="shared" si="50"/>
        <v>0.48862618699999999</v>
      </c>
    </row>
    <row r="814" spans="1:25" hidden="1" x14ac:dyDescent="0.4">
      <c r="A814" t="s">
        <v>20</v>
      </c>
      <c r="B814">
        <v>6264995</v>
      </c>
      <c r="C814" t="s">
        <v>423</v>
      </c>
      <c r="D814" t="s">
        <v>21</v>
      </c>
      <c r="E814" t="s">
        <v>140</v>
      </c>
      <c r="K814">
        <v>157.14332323100001</v>
      </c>
      <c r="M814">
        <v>157.14332323100001</v>
      </c>
      <c r="P814" s="1" t="s">
        <v>1611</v>
      </c>
      <c r="Q814" s="1" t="s">
        <v>1612</v>
      </c>
      <c r="R814">
        <v>0.27030945299999998</v>
      </c>
      <c r="S814">
        <v>4.25</v>
      </c>
      <c r="T814" s="2">
        <v>45889</v>
      </c>
      <c r="V814" t="str">
        <f t="shared" si="48"/>
        <v>S-6264995</v>
      </c>
      <c r="W814">
        <f t="shared" si="51"/>
        <v>0</v>
      </c>
      <c r="X814" t="str">
        <f t="shared" si="49"/>
        <v/>
      </c>
      <c r="Y814">
        <f t="shared" si="50"/>
        <v>0.27030945299999998</v>
      </c>
    </row>
    <row r="815" spans="1:25" hidden="1" x14ac:dyDescent="0.4">
      <c r="A815" t="s">
        <v>20</v>
      </c>
      <c r="B815">
        <v>6264995</v>
      </c>
      <c r="C815" t="s">
        <v>423</v>
      </c>
      <c r="D815" t="s">
        <v>21</v>
      </c>
      <c r="E815" t="s">
        <v>147</v>
      </c>
      <c r="K815">
        <v>84.833070941000003</v>
      </c>
      <c r="M815">
        <v>84.833070941000003</v>
      </c>
      <c r="P815" s="1" t="s">
        <v>1977</v>
      </c>
      <c r="Q815" s="1" t="s">
        <v>1978</v>
      </c>
      <c r="R815">
        <v>0.14821048000000001</v>
      </c>
      <c r="S815">
        <v>5.78</v>
      </c>
      <c r="T815" s="2">
        <v>45889</v>
      </c>
      <c r="V815" t="str">
        <f t="shared" si="48"/>
        <v>S-6264995</v>
      </c>
      <c r="W815">
        <f t="shared" si="51"/>
        <v>0</v>
      </c>
      <c r="X815" t="str">
        <f t="shared" si="49"/>
        <v/>
      </c>
      <c r="Y815">
        <f t="shared" si="50"/>
        <v>0.14821048000000001</v>
      </c>
    </row>
    <row r="816" spans="1:25" hidden="1" x14ac:dyDescent="0.4">
      <c r="A816" t="s">
        <v>20</v>
      </c>
      <c r="B816">
        <v>6264995</v>
      </c>
      <c r="C816" t="s">
        <v>423</v>
      </c>
      <c r="D816" t="s">
        <v>21</v>
      </c>
      <c r="E816" t="s">
        <v>22</v>
      </c>
      <c r="K816">
        <v>59.389580854999998</v>
      </c>
      <c r="L816">
        <v>0.17808638099999999</v>
      </c>
      <c r="M816">
        <v>59.211494473999998</v>
      </c>
      <c r="N816">
        <v>0</v>
      </c>
      <c r="O816">
        <v>0</v>
      </c>
      <c r="P816" s="1" t="s">
        <v>424</v>
      </c>
      <c r="Q816">
        <v>1</v>
      </c>
      <c r="R816">
        <v>9.9360709999999994E-3</v>
      </c>
      <c r="S816">
        <v>3.51</v>
      </c>
      <c r="T816" s="2">
        <v>45889</v>
      </c>
      <c r="V816" t="str">
        <f t="shared" si="48"/>
        <v>S-6264995</v>
      </c>
      <c r="W816">
        <f t="shared" si="51"/>
        <v>0</v>
      </c>
      <c r="X816" t="str">
        <f t="shared" si="49"/>
        <v/>
      </c>
      <c r="Y816">
        <f t="shared" si="50"/>
        <v>9.9360709999999994E-3</v>
      </c>
    </row>
    <row r="817" spans="1:25" hidden="1" x14ac:dyDescent="0.4">
      <c r="A817" t="s">
        <v>20</v>
      </c>
      <c r="B817">
        <v>6272195</v>
      </c>
      <c r="C817" t="s">
        <v>425</v>
      </c>
      <c r="D817" t="s">
        <v>21</v>
      </c>
      <c r="E817" t="s">
        <v>137</v>
      </c>
      <c r="K817">
        <v>255.07193736400001</v>
      </c>
      <c r="M817">
        <v>255.07193736400001</v>
      </c>
      <c r="P817" s="1" t="s">
        <v>882</v>
      </c>
      <c r="Q817" s="1" t="s">
        <v>883</v>
      </c>
      <c r="R817">
        <v>0.43061844399999999</v>
      </c>
      <c r="S817">
        <v>6.77</v>
      </c>
      <c r="T817" s="2">
        <v>45890</v>
      </c>
      <c r="V817" t="str">
        <f t="shared" si="48"/>
        <v>S-6272195</v>
      </c>
      <c r="W817">
        <f t="shared" si="51"/>
        <v>0</v>
      </c>
      <c r="X817" t="str">
        <f t="shared" si="49"/>
        <v/>
      </c>
      <c r="Y817">
        <f t="shared" si="50"/>
        <v>0.43061844399999999</v>
      </c>
    </row>
    <row r="818" spans="1:25" hidden="1" x14ac:dyDescent="0.4">
      <c r="A818" t="s">
        <v>20</v>
      </c>
      <c r="B818">
        <v>6272195</v>
      </c>
      <c r="C818" t="s">
        <v>425</v>
      </c>
      <c r="D818" t="s">
        <v>21</v>
      </c>
      <c r="E818" t="s">
        <v>156</v>
      </c>
      <c r="K818">
        <v>181.652167994</v>
      </c>
      <c r="M818">
        <v>181.652167994</v>
      </c>
      <c r="P818" s="1" t="s">
        <v>1246</v>
      </c>
      <c r="Q818" s="1" t="s">
        <v>1247</v>
      </c>
      <c r="R818">
        <v>0.48860317399999997</v>
      </c>
      <c r="S818">
        <v>8.1199999999999992</v>
      </c>
      <c r="T818" s="2">
        <v>45890</v>
      </c>
      <c r="V818" t="str">
        <f t="shared" si="48"/>
        <v>S-6272195</v>
      </c>
      <c r="W818">
        <f t="shared" si="51"/>
        <v>0</v>
      </c>
      <c r="X818" t="str">
        <f t="shared" si="49"/>
        <v/>
      </c>
      <c r="Y818">
        <f t="shared" si="50"/>
        <v>0.48860317399999997</v>
      </c>
    </row>
    <row r="819" spans="1:25" hidden="1" x14ac:dyDescent="0.4">
      <c r="A819" t="s">
        <v>20</v>
      </c>
      <c r="B819">
        <v>6272195</v>
      </c>
      <c r="C819" t="s">
        <v>425</v>
      </c>
      <c r="D819" t="s">
        <v>21</v>
      </c>
      <c r="E819" t="s">
        <v>140</v>
      </c>
      <c r="K819">
        <v>157.41600627899999</v>
      </c>
      <c r="M819">
        <v>157.41600627899999</v>
      </c>
      <c r="P819" s="1" t="s">
        <v>1613</v>
      </c>
      <c r="Q819" s="1" t="s">
        <v>1614</v>
      </c>
      <c r="R819">
        <v>0.27268304799999998</v>
      </c>
      <c r="S819">
        <v>4</v>
      </c>
      <c r="T819" s="2">
        <v>45890</v>
      </c>
      <c r="V819" t="str">
        <f t="shared" si="48"/>
        <v>S-6272195</v>
      </c>
      <c r="W819">
        <f t="shared" si="51"/>
        <v>0</v>
      </c>
      <c r="X819" t="str">
        <f t="shared" si="49"/>
        <v/>
      </c>
      <c r="Y819">
        <f t="shared" si="50"/>
        <v>0.27268304799999998</v>
      </c>
    </row>
    <row r="820" spans="1:25" hidden="1" x14ac:dyDescent="0.4">
      <c r="A820" t="s">
        <v>20</v>
      </c>
      <c r="B820">
        <v>6272195</v>
      </c>
      <c r="C820" t="s">
        <v>425</v>
      </c>
      <c r="D820" t="s">
        <v>21</v>
      </c>
      <c r="E820" t="s">
        <v>147</v>
      </c>
      <c r="K820">
        <v>84.980438836999994</v>
      </c>
      <c r="M820">
        <v>84.980438836999994</v>
      </c>
      <c r="P820" s="1" t="s">
        <v>1979</v>
      </c>
      <c r="Q820" s="1" t="s">
        <v>1980</v>
      </c>
      <c r="R820">
        <v>0.147367896</v>
      </c>
      <c r="S820">
        <v>5.32</v>
      </c>
      <c r="T820" s="2">
        <v>45890</v>
      </c>
      <c r="V820" t="str">
        <f t="shared" si="48"/>
        <v>S-6272195</v>
      </c>
      <c r="W820">
        <f t="shared" si="51"/>
        <v>0</v>
      </c>
      <c r="X820" t="str">
        <f t="shared" si="49"/>
        <v/>
      </c>
      <c r="Y820">
        <f t="shared" si="50"/>
        <v>0.147367896</v>
      </c>
    </row>
    <row r="821" spans="1:25" hidden="1" x14ac:dyDescent="0.4">
      <c r="A821" t="s">
        <v>20</v>
      </c>
      <c r="B821">
        <v>6272195</v>
      </c>
      <c r="C821" t="s">
        <v>425</v>
      </c>
      <c r="D821" t="s">
        <v>21</v>
      </c>
      <c r="E821" t="s">
        <v>22</v>
      </c>
      <c r="K821">
        <v>59.400093155</v>
      </c>
      <c r="L821">
        <v>0.17808638099999999</v>
      </c>
      <c r="M821">
        <v>59.222006774</v>
      </c>
      <c r="N821">
        <v>0</v>
      </c>
      <c r="O821">
        <v>0</v>
      </c>
      <c r="P821" s="1" t="s">
        <v>426</v>
      </c>
      <c r="Q821">
        <v>1</v>
      </c>
      <c r="R821">
        <v>1.05123E-2</v>
      </c>
      <c r="S821">
        <v>3.53</v>
      </c>
      <c r="T821" s="2">
        <v>45890</v>
      </c>
      <c r="V821" t="str">
        <f t="shared" si="48"/>
        <v>S-6272195</v>
      </c>
      <c r="W821">
        <f t="shared" si="51"/>
        <v>0</v>
      </c>
      <c r="X821" t="str">
        <f t="shared" si="49"/>
        <v/>
      </c>
      <c r="Y821">
        <f t="shared" si="50"/>
        <v>1.05123E-2</v>
      </c>
    </row>
    <row r="822" spans="1:25" hidden="1" x14ac:dyDescent="0.4">
      <c r="A822" t="s">
        <v>20</v>
      </c>
      <c r="B822">
        <v>6279395</v>
      </c>
      <c r="C822" t="s">
        <v>427</v>
      </c>
      <c r="D822" t="s">
        <v>21</v>
      </c>
      <c r="E822" t="s">
        <v>137</v>
      </c>
      <c r="K822">
        <v>255.49451738100001</v>
      </c>
      <c r="M822">
        <v>255.49451738100001</v>
      </c>
      <c r="P822" s="1" t="s">
        <v>884</v>
      </c>
      <c r="Q822" s="1" t="s">
        <v>885</v>
      </c>
      <c r="R822">
        <v>0.42258001699999997</v>
      </c>
      <c r="S822">
        <v>7.29</v>
      </c>
      <c r="T822" s="2">
        <v>45891</v>
      </c>
      <c r="V822" t="str">
        <f t="shared" si="48"/>
        <v>S-6279395</v>
      </c>
      <c r="W822">
        <f t="shared" si="51"/>
        <v>0</v>
      </c>
      <c r="X822" t="str">
        <f t="shared" si="49"/>
        <v/>
      </c>
      <c r="Y822">
        <f t="shared" si="50"/>
        <v>0.42258001699999997</v>
      </c>
    </row>
    <row r="823" spans="1:25" hidden="1" x14ac:dyDescent="0.4">
      <c r="A823" t="s">
        <v>20</v>
      </c>
      <c r="B823">
        <v>6279395</v>
      </c>
      <c r="C823" t="s">
        <v>427</v>
      </c>
      <c r="D823" t="s">
        <v>21</v>
      </c>
      <c r="E823" t="s">
        <v>156</v>
      </c>
      <c r="K823">
        <v>182.140491037</v>
      </c>
      <c r="M823">
        <v>182.140491037</v>
      </c>
      <c r="P823" s="1" t="s">
        <v>1248</v>
      </c>
      <c r="Q823" s="1" t="s">
        <v>1249</v>
      </c>
      <c r="R823">
        <v>0.48832304300000001</v>
      </c>
      <c r="S823">
        <v>8.84</v>
      </c>
      <c r="T823" s="2">
        <v>45891</v>
      </c>
      <c r="V823" t="str">
        <f t="shared" si="48"/>
        <v>S-6279395</v>
      </c>
      <c r="W823">
        <f t="shared" si="51"/>
        <v>0</v>
      </c>
      <c r="X823" t="str">
        <f t="shared" si="49"/>
        <v/>
      </c>
      <c r="Y823">
        <f t="shared" si="50"/>
        <v>0.48832304300000001</v>
      </c>
    </row>
    <row r="824" spans="1:25" hidden="1" x14ac:dyDescent="0.4">
      <c r="A824" t="s">
        <v>20</v>
      </c>
      <c r="B824">
        <v>6279395</v>
      </c>
      <c r="C824" t="s">
        <v>427</v>
      </c>
      <c r="D824" t="s">
        <v>21</v>
      </c>
      <c r="E824" t="s">
        <v>140</v>
      </c>
      <c r="K824">
        <v>157.69120782100001</v>
      </c>
      <c r="M824">
        <v>157.69120782100001</v>
      </c>
      <c r="P824" s="1" t="s">
        <v>1615</v>
      </c>
      <c r="Q824" s="1" t="s">
        <v>1616</v>
      </c>
      <c r="R824">
        <v>0.27520154200000002</v>
      </c>
      <c r="S824">
        <v>4.32</v>
      </c>
      <c r="T824" s="2">
        <v>45891</v>
      </c>
      <c r="V824" t="str">
        <f t="shared" si="48"/>
        <v>S-6279395</v>
      </c>
      <c r="W824">
        <f t="shared" si="51"/>
        <v>0</v>
      </c>
      <c r="X824" t="str">
        <f t="shared" si="49"/>
        <v/>
      </c>
      <c r="Y824">
        <f t="shared" si="50"/>
        <v>0.27520154200000002</v>
      </c>
    </row>
    <row r="825" spans="1:25" hidden="1" x14ac:dyDescent="0.4">
      <c r="A825" t="s">
        <v>20</v>
      </c>
      <c r="B825">
        <v>6279395</v>
      </c>
      <c r="C825" t="s">
        <v>427</v>
      </c>
      <c r="D825" t="s">
        <v>21</v>
      </c>
      <c r="E825" t="s">
        <v>147</v>
      </c>
      <c r="K825">
        <v>85.128898742999993</v>
      </c>
      <c r="M825">
        <v>85.128898742999993</v>
      </c>
      <c r="P825" s="1" t="s">
        <v>1981</v>
      </c>
      <c r="Q825" s="1" t="s">
        <v>1982</v>
      </c>
      <c r="R825">
        <v>0.148459906</v>
      </c>
      <c r="S825">
        <v>5.83</v>
      </c>
      <c r="T825" s="2">
        <v>45891</v>
      </c>
      <c r="V825" t="str">
        <f t="shared" si="48"/>
        <v>S-6279395</v>
      </c>
      <c r="W825">
        <f t="shared" si="51"/>
        <v>0</v>
      </c>
      <c r="X825" t="str">
        <f t="shared" si="49"/>
        <v/>
      </c>
      <c r="Y825">
        <f t="shared" si="50"/>
        <v>0.148459906</v>
      </c>
    </row>
    <row r="826" spans="1:25" hidden="1" x14ac:dyDescent="0.4">
      <c r="A826" t="s">
        <v>20</v>
      </c>
      <c r="B826">
        <v>6279395</v>
      </c>
      <c r="C826" t="s">
        <v>427</v>
      </c>
      <c r="D826" t="s">
        <v>21</v>
      </c>
      <c r="E826" t="s">
        <v>22</v>
      </c>
      <c r="K826">
        <v>59.410381348999998</v>
      </c>
      <c r="L826">
        <v>0.17808638099999999</v>
      </c>
      <c r="M826">
        <v>59.232294967999998</v>
      </c>
      <c r="N826">
        <v>0</v>
      </c>
      <c r="O826">
        <v>0</v>
      </c>
      <c r="P826" s="1" t="s">
        <v>428</v>
      </c>
      <c r="Q826">
        <v>1</v>
      </c>
      <c r="R826">
        <v>1.0288194000000001E-2</v>
      </c>
      <c r="S826">
        <v>3.81</v>
      </c>
      <c r="T826" s="2">
        <v>45891</v>
      </c>
      <c r="V826" t="str">
        <f t="shared" si="48"/>
        <v>S-6279395</v>
      </c>
      <c r="W826">
        <f t="shared" si="51"/>
        <v>0</v>
      </c>
      <c r="X826" t="str">
        <f t="shared" si="49"/>
        <v/>
      </c>
      <c r="Y826">
        <f t="shared" si="50"/>
        <v>1.0288194000000001E-2</v>
      </c>
    </row>
    <row r="827" spans="1:25" hidden="1" x14ac:dyDescent="0.4">
      <c r="A827" t="s">
        <v>20</v>
      </c>
      <c r="B827">
        <v>6286595</v>
      </c>
      <c r="C827" t="s">
        <v>429</v>
      </c>
      <c r="D827" t="s">
        <v>21</v>
      </c>
      <c r="E827" t="s">
        <v>137</v>
      </c>
      <c r="K827">
        <v>255.92637420599999</v>
      </c>
      <c r="M827">
        <v>255.92637420599999</v>
      </c>
      <c r="P827" s="1" t="s">
        <v>886</v>
      </c>
      <c r="Q827" s="1" t="s">
        <v>887</v>
      </c>
      <c r="R827">
        <v>0.431856825</v>
      </c>
      <c r="S827">
        <v>7.44</v>
      </c>
      <c r="T827" s="2">
        <v>45892</v>
      </c>
      <c r="V827" t="str">
        <f t="shared" si="48"/>
        <v>S-6286595</v>
      </c>
      <c r="W827">
        <f t="shared" si="51"/>
        <v>0</v>
      </c>
      <c r="X827" t="str">
        <f t="shared" si="49"/>
        <v/>
      </c>
      <c r="Y827">
        <f t="shared" si="50"/>
        <v>0.431856825</v>
      </c>
    </row>
    <row r="828" spans="1:25" hidden="1" x14ac:dyDescent="0.4">
      <c r="A828" t="s">
        <v>20</v>
      </c>
      <c r="B828">
        <v>6286595</v>
      </c>
      <c r="C828" t="s">
        <v>429</v>
      </c>
      <c r="D828" t="s">
        <v>21</v>
      </c>
      <c r="E828" t="s">
        <v>156</v>
      </c>
      <c r="K828">
        <v>182.62066837500001</v>
      </c>
      <c r="M828">
        <v>182.62066837500001</v>
      </c>
      <c r="P828" s="1" t="s">
        <v>1250</v>
      </c>
      <c r="Q828" s="1" t="s">
        <v>1251</v>
      </c>
      <c r="R828">
        <v>0.48017733800000001</v>
      </c>
      <c r="S828">
        <v>8.49</v>
      </c>
      <c r="T828" s="2">
        <v>45892</v>
      </c>
      <c r="V828" t="str">
        <f t="shared" si="48"/>
        <v>S-6286595</v>
      </c>
      <c r="W828">
        <f t="shared" si="51"/>
        <v>0</v>
      </c>
      <c r="X828" t="str">
        <f t="shared" si="49"/>
        <v/>
      </c>
      <c r="Y828">
        <f t="shared" si="50"/>
        <v>0.48017733800000001</v>
      </c>
    </row>
    <row r="829" spans="1:25" hidden="1" x14ac:dyDescent="0.4">
      <c r="A829" t="s">
        <v>20</v>
      </c>
      <c r="B829">
        <v>6286595</v>
      </c>
      <c r="C829" t="s">
        <v>429</v>
      </c>
      <c r="D829" t="s">
        <v>21</v>
      </c>
      <c r="E829" t="s">
        <v>140</v>
      </c>
      <c r="K829">
        <v>157.97104115799999</v>
      </c>
      <c r="M829">
        <v>157.97104115799999</v>
      </c>
      <c r="P829" s="1" t="s">
        <v>1617</v>
      </c>
      <c r="Q829" s="1" t="s">
        <v>1618</v>
      </c>
      <c r="R829">
        <v>0.27983333700000002</v>
      </c>
      <c r="S829">
        <v>4.24</v>
      </c>
      <c r="T829" s="2">
        <v>45892</v>
      </c>
      <c r="V829" t="str">
        <f t="shared" si="48"/>
        <v>S-6286595</v>
      </c>
      <c r="W829">
        <f t="shared" si="51"/>
        <v>0</v>
      </c>
      <c r="X829" t="str">
        <f t="shared" si="49"/>
        <v/>
      </c>
      <c r="Y829">
        <f t="shared" si="50"/>
        <v>0.27983333700000002</v>
      </c>
    </row>
    <row r="830" spans="1:25" hidden="1" x14ac:dyDescent="0.4">
      <c r="A830" t="s">
        <v>20</v>
      </c>
      <c r="B830">
        <v>6286595</v>
      </c>
      <c r="C830" t="s">
        <v>429</v>
      </c>
      <c r="D830" t="s">
        <v>21</v>
      </c>
      <c r="E830" t="s">
        <v>147</v>
      </c>
      <c r="K830">
        <v>85.277324066000006</v>
      </c>
      <c r="M830">
        <v>85.277324066000006</v>
      </c>
      <c r="P830" s="1" t="s">
        <v>1983</v>
      </c>
      <c r="Q830" s="1" t="s">
        <v>1984</v>
      </c>
      <c r="R830">
        <v>0.148425323</v>
      </c>
      <c r="S830">
        <v>5.78</v>
      </c>
      <c r="T830" s="2">
        <v>45892</v>
      </c>
      <c r="V830" t="str">
        <f t="shared" si="48"/>
        <v>S-6286595</v>
      </c>
      <c r="W830">
        <f t="shared" si="51"/>
        <v>0</v>
      </c>
      <c r="X830" t="str">
        <f t="shared" si="49"/>
        <v/>
      </c>
      <c r="Y830">
        <f t="shared" si="50"/>
        <v>0.148425323</v>
      </c>
    </row>
    <row r="831" spans="1:25" hidden="1" x14ac:dyDescent="0.4">
      <c r="A831" t="s">
        <v>20</v>
      </c>
      <c r="B831">
        <v>6286595</v>
      </c>
      <c r="C831" t="s">
        <v>429</v>
      </c>
      <c r="D831" t="s">
        <v>21</v>
      </c>
      <c r="E831" t="s">
        <v>22</v>
      </c>
      <c r="K831">
        <v>59.419998884000002</v>
      </c>
      <c r="L831">
        <v>0.17808638099999999</v>
      </c>
      <c r="M831">
        <v>59.241912503000002</v>
      </c>
      <c r="N831">
        <v>0</v>
      </c>
      <c r="O831">
        <v>0</v>
      </c>
      <c r="P831" s="1" t="s">
        <v>430</v>
      </c>
      <c r="Q831">
        <v>1</v>
      </c>
      <c r="R831">
        <v>9.617535E-3</v>
      </c>
      <c r="S831">
        <v>3.5</v>
      </c>
      <c r="T831" s="2">
        <v>45892</v>
      </c>
      <c r="V831" t="str">
        <f t="shared" si="48"/>
        <v>S-6286595</v>
      </c>
      <c r="W831">
        <f t="shared" si="51"/>
        <v>0</v>
      </c>
      <c r="X831" t="str">
        <f t="shared" si="49"/>
        <v/>
      </c>
      <c r="Y831">
        <f t="shared" si="50"/>
        <v>9.617535E-3</v>
      </c>
    </row>
    <row r="832" spans="1:25" hidden="1" x14ac:dyDescent="0.4">
      <c r="A832" t="s">
        <v>20</v>
      </c>
      <c r="B832">
        <v>6293795</v>
      </c>
      <c r="C832" t="s">
        <v>431</v>
      </c>
      <c r="D832" t="s">
        <v>21</v>
      </c>
      <c r="E832" t="s">
        <v>137</v>
      </c>
      <c r="K832">
        <v>256.35900854400001</v>
      </c>
      <c r="M832">
        <v>256.35900854400001</v>
      </c>
      <c r="P832" s="1" t="s">
        <v>888</v>
      </c>
      <c r="Q832" s="1" t="s">
        <v>889</v>
      </c>
      <c r="R832">
        <v>0.43263433800000001</v>
      </c>
      <c r="S832">
        <v>7.37</v>
      </c>
      <c r="T832" s="2">
        <v>45893</v>
      </c>
      <c r="V832" t="str">
        <f t="shared" si="48"/>
        <v>S-6293795</v>
      </c>
      <c r="W832">
        <f t="shared" si="51"/>
        <v>0</v>
      </c>
      <c r="X832" t="str">
        <f t="shared" si="49"/>
        <v/>
      </c>
      <c r="Y832">
        <f t="shared" si="50"/>
        <v>0.43263433800000001</v>
      </c>
    </row>
    <row r="833" spans="1:25" hidden="1" x14ac:dyDescent="0.4">
      <c r="A833" t="s">
        <v>20</v>
      </c>
      <c r="B833">
        <v>6293795</v>
      </c>
      <c r="C833" t="s">
        <v>431</v>
      </c>
      <c r="D833" t="s">
        <v>21</v>
      </c>
      <c r="E833" t="s">
        <v>156</v>
      </c>
      <c r="K833">
        <v>183.063676477</v>
      </c>
      <c r="M833">
        <v>183.063676477</v>
      </c>
      <c r="P833" s="1" t="s">
        <v>1252</v>
      </c>
      <c r="Q833" s="1" t="s">
        <v>1253</v>
      </c>
      <c r="R833">
        <v>0.44300810200000001</v>
      </c>
      <c r="S833">
        <v>7.75</v>
      </c>
      <c r="T833" s="2">
        <v>45893</v>
      </c>
      <c r="V833" t="str">
        <f t="shared" si="48"/>
        <v>S-6293795</v>
      </c>
      <c r="W833">
        <f t="shared" si="51"/>
        <v>0</v>
      </c>
      <c r="X833" t="str">
        <f t="shared" si="49"/>
        <v/>
      </c>
      <c r="Y833">
        <f t="shared" si="50"/>
        <v>0.44300810200000001</v>
      </c>
    </row>
    <row r="834" spans="1:25" hidden="1" x14ac:dyDescent="0.4">
      <c r="A834" t="s">
        <v>20</v>
      </c>
      <c r="B834">
        <v>6293795</v>
      </c>
      <c r="C834" t="s">
        <v>431</v>
      </c>
      <c r="D834" t="s">
        <v>21</v>
      </c>
      <c r="E834" t="s">
        <v>140</v>
      </c>
      <c r="K834">
        <v>158.25152283200001</v>
      </c>
      <c r="M834">
        <v>158.25152283200001</v>
      </c>
      <c r="P834" s="1" t="s">
        <v>1619</v>
      </c>
      <c r="Q834" s="1" t="s">
        <v>1620</v>
      </c>
      <c r="R834">
        <v>0.28048167400000001</v>
      </c>
      <c r="S834">
        <v>4.22</v>
      </c>
      <c r="T834" s="2">
        <v>45893</v>
      </c>
      <c r="V834" t="str">
        <f t="shared" si="48"/>
        <v>S-6293795</v>
      </c>
      <c r="W834">
        <f t="shared" si="51"/>
        <v>0</v>
      </c>
      <c r="X834" t="str">
        <f t="shared" si="49"/>
        <v/>
      </c>
      <c r="Y834">
        <f t="shared" si="50"/>
        <v>0.28048167400000001</v>
      </c>
    </row>
    <row r="835" spans="1:25" hidden="1" x14ac:dyDescent="0.4">
      <c r="A835" t="s">
        <v>20</v>
      </c>
      <c r="B835">
        <v>6293795</v>
      </c>
      <c r="C835" t="s">
        <v>431</v>
      </c>
      <c r="D835" t="s">
        <v>21</v>
      </c>
      <c r="E835" t="s">
        <v>147</v>
      </c>
      <c r="K835">
        <v>85.424320718000004</v>
      </c>
      <c r="M835">
        <v>85.424320718000004</v>
      </c>
      <c r="P835" s="1" t="s">
        <v>1985</v>
      </c>
      <c r="Q835" s="1" t="s">
        <v>1986</v>
      </c>
      <c r="R835">
        <v>0.14699665200000001</v>
      </c>
      <c r="S835">
        <v>5.6</v>
      </c>
      <c r="T835" s="2">
        <v>45893</v>
      </c>
      <c r="V835" t="str">
        <f t="shared" ref="V835:V898" si="52">"S-"&amp;IF(LEN(I835)=0,B835,I835&amp;IF(F835="fee","-00",IF(LEN(G835)&gt;0,"-01","-02")))</f>
        <v>S-6293795</v>
      </c>
      <c r="W835">
        <f t="shared" si="51"/>
        <v>0</v>
      </c>
      <c r="X835" t="str">
        <f t="shared" ref="X835:X898" si="53">IF(LEN(I835)&gt;0,I835&amp;IF(F835="fee","fee",IF(VALUE(G835)&gt;0,"debit",IF(VALUE(H835)&gt;0,"credit","error"))),"")</f>
        <v/>
      </c>
      <c r="Y835">
        <f t="shared" ref="Y835:Y898" si="54">ROUND(IF(ROW(U835) = 2,K835,0)+IF(H835&lt;&gt;"",H835,0) + IF(R835&lt;&gt;"",R835,0) - IF(G835&lt;&gt;"",G835,0),9)</f>
        <v>0.14699665200000001</v>
      </c>
    </row>
    <row r="836" spans="1:25" hidden="1" x14ac:dyDescent="0.4">
      <c r="A836" t="s">
        <v>20</v>
      </c>
      <c r="B836">
        <v>6293795</v>
      </c>
      <c r="C836" t="s">
        <v>431</v>
      </c>
      <c r="D836" t="s">
        <v>21</v>
      </c>
      <c r="E836" t="s">
        <v>22</v>
      </c>
      <c r="K836">
        <v>59.429445971</v>
      </c>
      <c r="L836">
        <v>0.17808638099999999</v>
      </c>
      <c r="M836">
        <v>59.25135959</v>
      </c>
      <c r="N836">
        <v>0</v>
      </c>
      <c r="O836">
        <v>0</v>
      </c>
      <c r="P836" s="1" t="s">
        <v>432</v>
      </c>
      <c r="Q836">
        <v>1</v>
      </c>
      <c r="R836">
        <v>9.4470869999999998E-3</v>
      </c>
      <c r="S836">
        <v>3.42</v>
      </c>
      <c r="T836" s="2">
        <v>45893</v>
      </c>
      <c r="V836" t="str">
        <f t="shared" si="52"/>
        <v>S-6293795</v>
      </c>
      <c r="W836">
        <f t="shared" ref="W836:W899" si="55">COUNTIF(I:I,I836)</f>
        <v>0</v>
      </c>
      <c r="X836" t="str">
        <f t="shared" si="53"/>
        <v/>
      </c>
      <c r="Y836">
        <f t="shared" si="54"/>
        <v>9.4470869999999998E-3</v>
      </c>
    </row>
    <row r="837" spans="1:25" hidden="1" x14ac:dyDescent="0.4">
      <c r="A837" t="s">
        <v>20</v>
      </c>
      <c r="B837">
        <v>6300995</v>
      </c>
      <c r="C837" t="s">
        <v>433</v>
      </c>
      <c r="D837" t="s">
        <v>21</v>
      </c>
      <c r="E837" t="s">
        <v>137</v>
      </c>
      <c r="K837">
        <v>256.79042345599998</v>
      </c>
      <c r="M837">
        <v>256.79042345599998</v>
      </c>
      <c r="P837" s="1" t="s">
        <v>890</v>
      </c>
      <c r="Q837" s="1" t="s">
        <v>891</v>
      </c>
      <c r="R837">
        <v>0.43141491199999998</v>
      </c>
      <c r="S837">
        <v>6.47</v>
      </c>
      <c r="T837" s="2">
        <v>45894</v>
      </c>
      <c r="V837" t="str">
        <f t="shared" si="52"/>
        <v>S-6300995</v>
      </c>
      <c r="W837">
        <f t="shared" si="55"/>
        <v>0</v>
      </c>
      <c r="X837" t="str">
        <f t="shared" si="53"/>
        <v/>
      </c>
      <c r="Y837">
        <f t="shared" si="54"/>
        <v>0.43141491199999998</v>
      </c>
    </row>
    <row r="838" spans="1:25" hidden="1" x14ac:dyDescent="0.4">
      <c r="A838" t="s">
        <v>20</v>
      </c>
      <c r="B838">
        <v>6300995</v>
      </c>
      <c r="C838" t="s">
        <v>433</v>
      </c>
      <c r="D838" t="s">
        <v>21</v>
      </c>
      <c r="E838" t="s">
        <v>156</v>
      </c>
      <c r="K838">
        <v>183.516140334</v>
      </c>
      <c r="M838">
        <v>183.516140334</v>
      </c>
      <c r="P838" s="1" t="s">
        <v>1254</v>
      </c>
      <c r="Q838" s="1" t="s">
        <v>1255</v>
      </c>
      <c r="R838">
        <v>0.45246385700000002</v>
      </c>
      <c r="S838">
        <v>6.97</v>
      </c>
      <c r="T838" s="2">
        <v>45894</v>
      </c>
      <c r="V838" t="str">
        <f t="shared" si="52"/>
        <v>S-6300995</v>
      </c>
      <c r="W838">
        <f t="shared" si="55"/>
        <v>0</v>
      </c>
      <c r="X838" t="str">
        <f t="shared" si="53"/>
        <v/>
      </c>
      <c r="Y838">
        <f t="shared" si="54"/>
        <v>0.45246385700000002</v>
      </c>
    </row>
    <row r="839" spans="1:25" hidden="1" x14ac:dyDescent="0.4">
      <c r="A839" t="s">
        <v>20</v>
      </c>
      <c r="B839">
        <v>6300995</v>
      </c>
      <c r="C839" t="s">
        <v>433</v>
      </c>
      <c r="D839" t="s">
        <v>21</v>
      </c>
      <c r="E839" t="s">
        <v>140</v>
      </c>
      <c r="K839">
        <v>158.53237072300001</v>
      </c>
      <c r="M839">
        <v>158.53237072300001</v>
      </c>
      <c r="P839" s="1" t="s">
        <v>1621</v>
      </c>
      <c r="Q839" s="1" t="s">
        <v>1622</v>
      </c>
      <c r="R839">
        <v>0.28084789100000002</v>
      </c>
      <c r="S839">
        <v>3.65</v>
      </c>
      <c r="T839" s="2">
        <v>45894</v>
      </c>
      <c r="V839" t="str">
        <f t="shared" si="52"/>
        <v>S-6300995</v>
      </c>
      <c r="W839">
        <f t="shared" si="55"/>
        <v>0</v>
      </c>
      <c r="X839" t="str">
        <f t="shared" si="53"/>
        <v/>
      </c>
      <c r="Y839">
        <f t="shared" si="54"/>
        <v>0.28084789100000002</v>
      </c>
    </row>
    <row r="840" spans="1:25" hidden="1" x14ac:dyDescent="0.4">
      <c r="A840" t="s">
        <v>20</v>
      </c>
      <c r="B840">
        <v>6300995</v>
      </c>
      <c r="C840" t="s">
        <v>433</v>
      </c>
      <c r="D840" t="s">
        <v>21</v>
      </c>
      <c r="E840" t="s">
        <v>147</v>
      </c>
      <c r="K840">
        <v>85.572475420000004</v>
      </c>
      <c r="M840">
        <v>85.572475420000004</v>
      </c>
      <c r="P840" s="1" t="s">
        <v>1987</v>
      </c>
      <c r="Q840" s="1" t="s">
        <v>1988</v>
      </c>
      <c r="R840">
        <v>0.148154702</v>
      </c>
      <c r="S840">
        <v>4.9400000000000004</v>
      </c>
      <c r="T840" s="2">
        <v>45894</v>
      </c>
      <c r="V840" t="str">
        <f t="shared" si="52"/>
        <v>S-6300995</v>
      </c>
      <c r="W840">
        <f t="shared" si="55"/>
        <v>0</v>
      </c>
      <c r="X840" t="str">
        <f t="shared" si="53"/>
        <v/>
      </c>
      <c r="Y840">
        <f t="shared" si="54"/>
        <v>0.148154702</v>
      </c>
    </row>
    <row r="841" spans="1:25" hidden="1" x14ac:dyDescent="0.4">
      <c r="A841" t="s">
        <v>20</v>
      </c>
      <c r="B841">
        <v>6300995</v>
      </c>
      <c r="C841" t="s">
        <v>433</v>
      </c>
      <c r="D841" t="s">
        <v>21</v>
      </c>
      <c r="E841" t="s">
        <v>22</v>
      </c>
      <c r="K841">
        <v>59.439000575000001</v>
      </c>
      <c r="L841">
        <v>0.17808638099999999</v>
      </c>
      <c r="M841">
        <v>59.260914194000001</v>
      </c>
      <c r="N841">
        <v>0</v>
      </c>
      <c r="O841">
        <v>0</v>
      </c>
      <c r="P841">
        <v>321.227230745111</v>
      </c>
      <c r="Q841">
        <v>1</v>
      </c>
      <c r="R841">
        <v>9.5546039999999995E-3</v>
      </c>
      <c r="S841">
        <v>3.06</v>
      </c>
      <c r="T841" s="2">
        <v>45894</v>
      </c>
      <c r="V841" t="str">
        <f t="shared" si="52"/>
        <v>S-6300995</v>
      </c>
      <c r="W841">
        <f t="shared" si="55"/>
        <v>0</v>
      </c>
      <c r="X841" t="str">
        <f t="shared" si="53"/>
        <v/>
      </c>
      <c r="Y841">
        <f t="shared" si="54"/>
        <v>9.5546039999999995E-3</v>
      </c>
    </row>
    <row r="842" spans="1:25" hidden="1" x14ac:dyDescent="0.4">
      <c r="A842" t="s">
        <v>20</v>
      </c>
      <c r="B842">
        <v>6308195</v>
      </c>
      <c r="C842" t="s">
        <v>434</v>
      </c>
      <c r="D842" t="s">
        <v>21</v>
      </c>
      <c r="E842" t="s">
        <v>137</v>
      </c>
      <c r="K842">
        <v>257.21856021100001</v>
      </c>
      <c r="M842">
        <v>257.21856021100001</v>
      </c>
      <c r="P842" s="1" t="s">
        <v>892</v>
      </c>
      <c r="Q842" s="1" t="s">
        <v>893</v>
      </c>
      <c r="R842">
        <v>0.42813675499999998</v>
      </c>
      <c r="S842">
        <v>6.64</v>
      </c>
      <c r="T842" s="2">
        <v>45895</v>
      </c>
      <c r="V842" t="str">
        <f t="shared" si="52"/>
        <v>S-6308195</v>
      </c>
      <c r="W842">
        <f t="shared" si="55"/>
        <v>0</v>
      </c>
      <c r="X842" t="str">
        <f t="shared" si="53"/>
        <v/>
      </c>
      <c r="Y842">
        <f t="shared" si="54"/>
        <v>0.42813675499999998</v>
      </c>
    </row>
    <row r="843" spans="1:25" hidden="1" x14ac:dyDescent="0.4">
      <c r="A843" t="s">
        <v>20</v>
      </c>
      <c r="B843">
        <v>6308195</v>
      </c>
      <c r="C843" t="s">
        <v>434</v>
      </c>
      <c r="D843" t="s">
        <v>21</v>
      </c>
      <c r="E843" t="s">
        <v>156</v>
      </c>
      <c r="K843">
        <v>183.95798334899999</v>
      </c>
      <c r="M843">
        <v>183.95798334899999</v>
      </c>
      <c r="P843" s="1" t="s">
        <v>1256</v>
      </c>
      <c r="Q843" s="1" t="s">
        <v>1257</v>
      </c>
      <c r="R843">
        <v>0.44184301500000001</v>
      </c>
      <c r="S843">
        <v>7.03</v>
      </c>
      <c r="T843" s="2">
        <v>45895</v>
      </c>
      <c r="V843" t="str">
        <f t="shared" si="52"/>
        <v>S-6308195</v>
      </c>
      <c r="W843">
        <f t="shared" si="55"/>
        <v>0</v>
      </c>
      <c r="X843" t="str">
        <f t="shared" si="53"/>
        <v/>
      </c>
      <c r="Y843">
        <f t="shared" si="54"/>
        <v>0.44184301500000001</v>
      </c>
    </row>
    <row r="844" spans="1:25" hidden="1" x14ac:dyDescent="0.4">
      <c r="A844" t="s">
        <v>20</v>
      </c>
      <c r="B844">
        <v>6308195</v>
      </c>
      <c r="C844" t="s">
        <v>434</v>
      </c>
      <c r="D844" t="s">
        <v>21</v>
      </c>
      <c r="E844" t="s">
        <v>140</v>
      </c>
      <c r="K844">
        <v>158.82060653400001</v>
      </c>
      <c r="M844">
        <v>158.82060653400001</v>
      </c>
      <c r="P844" s="1" t="s">
        <v>1623</v>
      </c>
      <c r="Q844" s="1" t="s">
        <v>1624</v>
      </c>
      <c r="R844">
        <v>0.28823581100000001</v>
      </c>
      <c r="S844">
        <v>3.87</v>
      </c>
      <c r="T844" s="2">
        <v>45895</v>
      </c>
      <c r="V844" t="str">
        <f t="shared" si="52"/>
        <v>S-6308195</v>
      </c>
      <c r="W844">
        <f t="shared" si="55"/>
        <v>0</v>
      </c>
      <c r="X844" t="str">
        <f t="shared" si="53"/>
        <v/>
      </c>
      <c r="Y844">
        <f t="shared" si="54"/>
        <v>0.28823581100000001</v>
      </c>
    </row>
    <row r="845" spans="1:25" hidden="1" x14ac:dyDescent="0.4">
      <c r="A845" t="s">
        <v>20</v>
      </c>
      <c r="B845">
        <v>6308195</v>
      </c>
      <c r="C845" t="s">
        <v>434</v>
      </c>
      <c r="D845" t="s">
        <v>21</v>
      </c>
      <c r="E845" t="s">
        <v>147</v>
      </c>
      <c r="K845">
        <v>85.722320955000001</v>
      </c>
      <c r="M845">
        <v>85.722320955000001</v>
      </c>
      <c r="P845" s="1" t="s">
        <v>1989</v>
      </c>
      <c r="Q845" s="1" t="s">
        <v>1990</v>
      </c>
      <c r="R845">
        <v>0.149845535</v>
      </c>
      <c r="S845">
        <v>5.13</v>
      </c>
      <c r="T845" s="2">
        <v>45895</v>
      </c>
      <c r="V845" t="str">
        <f t="shared" si="52"/>
        <v>S-6308195</v>
      </c>
      <c r="W845">
        <f t="shared" si="55"/>
        <v>0</v>
      </c>
      <c r="X845" t="str">
        <f t="shared" si="53"/>
        <v/>
      </c>
      <c r="Y845">
        <f t="shared" si="54"/>
        <v>0.149845535</v>
      </c>
    </row>
    <row r="846" spans="1:25" hidden="1" x14ac:dyDescent="0.4">
      <c r="A846" t="s">
        <v>20</v>
      </c>
      <c r="B846">
        <v>6308195</v>
      </c>
      <c r="C846" t="s">
        <v>434</v>
      </c>
      <c r="D846" t="s">
        <v>21</v>
      </c>
      <c r="E846" t="s">
        <v>22</v>
      </c>
      <c r="K846">
        <v>59.449110957000002</v>
      </c>
      <c r="L846">
        <v>0.17808638099999999</v>
      </c>
      <c r="M846">
        <v>59.271024576000002</v>
      </c>
      <c r="N846">
        <v>0</v>
      </c>
      <c r="O846">
        <v>0</v>
      </c>
      <c r="P846" s="1" t="s">
        <v>435</v>
      </c>
      <c r="Q846">
        <v>1</v>
      </c>
      <c r="R846">
        <v>1.0110381999999999E-2</v>
      </c>
      <c r="S846">
        <v>3.38</v>
      </c>
      <c r="T846" s="2">
        <v>45895</v>
      </c>
      <c r="V846" t="str">
        <f t="shared" si="52"/>
        <v>S-6308195</v>
      </c>
      <c r="W846">
        <f t="shared" si="55"/>
        <v>0</v>
      </c>
      <c r="X846" t="str">
        <f t="shared" si="53"/>
        <v/>
      </c>
      <c r="Y846">
        <f t="shared" si="54"/>
        <v>1.0110381999999999E-2</v>
      </c>
    </row>
    <row r="847" spans="1:25" hidden="1" x14ac:dyDescent="0.4">
      <c r="A847" t="s">
        <v>20</v>
      </c>
      <c r="B847">
        <v>6315395</v>
      </c>
      <c r="C847" t="s">
        <v>436</v>
      </c>
      <c r="D847" t="s">
        <v>21</v>
      </c>
      <c r="E847" t="s">
        <v>137</v>
      </c>
      <c r="K847">
        <v>257.648750339</v>
      </c>
      <c r="M847">
        <v>257.648750339</v>
      </c>
      <c r="P847" s="1" t="s">
        <v>894</v>
      </c>
      <c r="Q847" s="1" t="s">
        <v>895</v>
      </c>
      <c r="R847">
        <v>0.430190128</v>
      </c>
      <c r="S847">
        <v>6.49</v>
      </c>
      <c r="T847" s="2">
        <v>45896</v>
      </c>
      <c r="V847" t="str">
        <f t="shared" si="52"/>
        <v>S-6315395</v>
      </c>
      <c r="W847">
        <f t="shared" si="55"/>
        <v>0</v>
      </c>
      <c r="X847" t="str">
        <f t="shared" si="53"/>
        <v/>
      </c>
      <c r="Y847">
        <f t="shared" si="54"/>
        <v>0.430190128</v>
      </c>
    </row>
    <row r="848" spans="1:25" hidden="1" x14ac:dyDescent="0.4">
      <c r="A848" t="s">
        <v>20</v>
      </c>
      <c r="B848">
        <v>6315395</v>
      </c>
      <c r="C848" t="s">
        <v>436</v>
      </c>
      <c r="D848" t="s">
        <v>21</v>
      </c>
      <c r="E848" t="s">
        <v>156</v>
      </c>
      <c r="K848">
        <v>184.400570034</v>
      </c>
      <c r="M848">
        <v>184.400570034</v>
      </c>
      <c r="P848" s="1" t="s">
        <v>1258</v>
      </c>
      <c r="Q848" s="1" t="s">
        <v>1259</v>
      </c>
      <c r="R848">
        <v>0.44258668499999998</v>
      </c>
      <c r="S848">
        <v>6.92</v>
      </c>
      <c r="T848" s="2">
        <v>45896</v>
      </c>
      <c r="V848" t="str">
        <f t="shared" si="52"/>
        <v>S-6315395</v>
      </c>
      <c r="W848">
        <f t="shared" si="55"/>
        <v>0</v>
      </c>
      <c r="X848" t="str">
        <f t="shared" si="53"/>
        <v/>
      </c>
      <c r="Y848">
        <f t="shared" si="54"/>
        <v>0.44258668499999998</v>
      </c>
    </row>
    <row r="849" spans="1:25" hidden="1" x14ac:dyDescent="0.4">
      <c r="A849" t="s">
        <v>20</v>
      </c>
      <c r="B849">
        <v>6315395</v>
      </c>
      <c r="C849" t="s">
        <v>436</v>
      </c>
      <c r="D849" t="s">
        <v>21</v>
      </c>
      <c r="E849" t="s">
        <v>140</v>
      </c>
      <c r="K849">
        <v>159.13680165700001</v>
      </c>
      <c r="M849">
        <v>159.13680165700001</v>
      </c>
      <c r="P849" s="1" t="s">
        <v>1625</v>
      </c>
      <c r="Q849" s="1" t="s">
        <v>1626</v>
      </c>
      <c r="R849">
        <v>0.31619512300000002</v>
      </c>
      <c r="S849">
        <v>4.1399999999999997</v>
      </c>
      <c r="T849" s="2">
        <v>45896</v>
      </c>
      <c r="V849" t="str">
        <f t="shared" si="52"/>
        <v>S-6315395</v>
      </c>
      <c r="W849">
        <f t="shared" si="55"/>
        <v>0</v>
      </c>
      <c r="X849" t="str">
        <f t="shared" si="53"/>
        <v/>
      </c>
      <c r="Y849">
        <f t="shared" si="54"/>
        <v>0.31619512300000002</v>
      </c>
    </row>
    <row r="850" spans="1:25" hidden="1" x14ac:dyDescent="0.4">
      <c r="A850" t="s">
        <v>20</v>
      </c>
      <c r="B850">
        <v>6315395</v>
      </c>
      <c r="C850" t="s">
        <v>436</v>
      </c>
      <c r="D850" t="s">
        <v>21</v>
      </c>
      <c r="E850" t="s">
        <v>147</v>
      </c>
      <c r="K850">
        <v>85.873268769999996</v>
      </c>
      <c r="M850">
        <v>85.873268769999996</v>
      </c>
      <c r="P850" s="1" t="s">
        <v>1991</v>
      </c>
      <c r="Q850" s="1" t="s">
        <v>1992</v>
      </c>
      <c r="R850">
        <v>0.15094781500000001</v>
      </c>
      <c r="S850">
        <v>5.01</v>
      </c>
      <c r="T850" s="2">
        <v>45896</v>
      </c>
      <c r="V850" t="str">
        <f t="shared" si="52"/>
        <v>S-6315395</v>
      </c>
      <c r="W850">
        <f t="shared" si="55"/>
        <v>0</v>
      </c>
      <c r="X850" t="str">
        <f t="shared" si="53"/>
        <v/>
      </c>
      <c r="Y850">
        <f t="shared" si="54"/>
        <v>0.15094781500000001</v>
      </c>
    </row>
    <row r="851" spans="1:25" hidden="1" x14ac:dyDescent="0.4">
      <c r="A851" t="s">
        <v>20</v>
      </c>
      <c r="B851">
        <v>6315395</v>
      </c>
      <c r="C851" t="s">
        <v>436</v>
      </c>
      <c r="D851" t="s">
        <v>21</v>
      </c>
      <c r="E851" t="s">
        <v>22</v>
      </c>
      <c r="K851">
        <v>59.45950345</v>
      </c>
      <c r="L851">
        <v>0.17808638099999999</v>
      </c>
      <c r="M851">
        <v>59.281417069</v>
      </c>
      <c r="N851">
        <v>0</v>
      </c>
      <c r="O851">
        <v>0</v>
      </c>
      <c r="P851" s="1" t="s">
        <v>437</v>
      </c>
      <c r="Q851">
        <v>1</v>
      </c>
      <c r="R851">
        <v>1.0392492999999999E-2</v>
      </c>
      <c r="S851">
        <v>3.44</v>
      </c>
      <c r="T851" s="2">
        <v>45896</v>
      </c>
      <c r="V851" t="str">
        <f t="shared" si="52"/>
        <v>S-6315395</v>
      </c>
      <c r="W851">
        <f t="shared" si="55"/>
        <v>0</v>
      </c>
      <c r="X851" t="str">
        <f t="shared" si="53"/>
        <v/>
      </c>
      <c r="Y851">
        <f t="shared" si="54"/>
        <v>1.0392492999999999E-2</v>
      </c>
    </row>
    <row r="852" spans="1:25" hidden="1" x14ac:dyDescent="0.4">
      <c r="A852" t="s">
        <v>20</v>
      </c>
      <c r="B852">
        <v>6322595</v>
      </c>
      <c r="C852" t="s">
        <v>438</v>
      </c>
      <c r="D852" t="s">
        <v>21</v>
      </c>
      <c r="E852" t="s">
        <v>137</v>
      </c>
      <c r="K852">
        <v>258.084058497</v>
      </c>
      <c r="M852">
        <v>258.084058497</v>
      </c>
      <c r="P852" s="1" t="s">
        <v>896</v>
      </c>
      <c r="Q852" s="1" t="s">
        <v>897</v>
      </c>
      <c r="R852">
        <v>0.435308158</v>
      </c>
      <c r="S852">
        <v>6.57</v>
      </c>
      <c r="T852" s="2">
        <v>45897</v>
      </c>
      <c r="V852" t="str">
        <f t="shared" si="52"/>
        <v>S-6322595</v>
      </c>
      <c r="W852">
        <f t="shared" si="55"/>
        <v>0</v>
      </c>
      <c r="X852" t="str">
        <f t="shared" si="53"/>
        <v/>
      </c>
      <c r="Y852">
        <f t="shared" si="54"/>
        <v>0.435308158</v>
      </c>
    </row>
    <row r="853" spans="1:25" hidden="1" x14ac:dyDescent="0.4">
      <c r="A853" t="s">
        <v>20</v>
      </c>
      <c r="B853">
        <v>6322595</v>
      </c>
      <c r="C853" t="s">
        <v>438</v>
      </c>
      <c r="D853" t="s">
        <v>21</v>
      </c>
      <c r="E853" t="s">
        <v>156</v>
      </c>
      <c r="K853">
        <v>184.863036889</v>
      </c>
      <c r="M853">
        <v>184.863036889</v>
      </c>
      <c r="P853" s="1" t="s">
        <v>1260</v>
      </c>
      <c r="Q853" s="1" t="s">
        <v>1261</v>
      </c>
      <c r="R853">
        <v>0.46246685500000001</v>
      </c>
      <c r="S853">
        <v>7.28</v>
      </c>
      <c r="T853" s="2">
        <v>45897</v>
      </c>
      <c r="V853" t="str">
        <f t="shared" si="52"/>
        <v>S-6322595</v>
      </c>
      <c r="W853">
        <f t="shared" si="55"/>
        <v>0</v>
      </c>
      <c r="X853" t="str">
        <f t="shared" si="53"/>
        <v/>
      </c>
      <c r="Y853">
        <f t="shared" si="54"/>
        <v>0.46246685500000001</v>
      </c>
    </row>
    <row r="854" spans="1:25" hidden="1" x14ac:dyDescent="0.4">
      <c r="A854" t="s">
        <v>20</v>
      </c>
      <c r="B854">
        <v>6322595</v>
      </c>
      <c r="C854" t="s">
        <v>438</v>
      </c>
      <c r="D854" t="s">
        <v>21</v>
      </c>
      <c r="E854" t="s">
        <v>140</v>
      </c>
      <c r="K854">
        <v>159.428981674</v>
      </c>
      <c r="M854">
        <v>159.428981674</v>
      </c>
      <c r="P854" s="1" t="s">
        <v>1627</v>
      </c>
      <c r="Q854" s="1" t="s">
        <v>1628</v>
      </c>
      <c r="R854">
        <v>0.29218001700000001</v>
      </c>
      <c r="S854">
        <v>3.77</v>
      </c>
      <c r="T854" s="2">
        <v>45897</v>
      </c>
      <c r="V854" t="str">
        <f t="shared" si="52"/>
        <v>S-6322595</v>
      </c>
      <c r="W854">
        <f t="shared" si="55"/>
        <v>0</v>
      </c>
      <c r="X854" t="str">
        <f t="shared" si="53"/>
        <v/>
      </c>
      <c r="Y854">
        <f t="shared" si="54"/>
        <v>0.29218001700000001</v>
      </c>
    </row>
    <row r="855" spans="1:25" hidden="1" x14ac:dyDescent="0.4">
      <c r="A855" t="s">
        <v>20</v>
      </c>
      <c r="B855">
        <v>6322595</v>
      </c>
      <c r="C855" t="s">
        <v>438</v>
      </c>
      <c r="D855" t="s">
        <v>21</v>
      </c>
      <c r="E855" t="s">
        <v>147</v>
      </c>
      <c r="K855">
        <v>86.025462986999997</v>
      </c>
      <c r="M855">
        <v>86.025462986999997</v>
      </c>
      <c r="P855" s="1" t="s">
        <v>1993</v>
      </c>
      <c r="Q855" s="1" t="s">
        <v>1994</v>
      </c>
      <c r="R855">
        <v>0.15219421699999999</v>
      </c>
      <c r="S855">
        <v>4.99</v>
      </c>
      <c r="T855" s="2">
        <v>45897</v>
      </c>
      <c r="V855" t="str">
        <f t="shared" si="52"/>
        <v>S-6322595</v>
      </c>
      <c r="W855">
        <f t="shared" si="55"/>
        <v>0</v>
      </c>
      <c r="X855" t="str">
        <f t="shared" si="53"/>
        <v/>
      </c>
      <c r="Y855">
        <f t="shared" si="54"/>
        <v>0.15219421699999999</v>
      </c>
    </row>
    <row r="856" spans="1:25" hidden="1" x14ac:dyDescent="0.4">
      <c r="A856" t="s">
        <v>20</v>
      </c>
      <c r="B856">
        <v>6322595</v>
      </c>
      <c r="C856" t="s">
        <v>438</v>
      </c>
      <c r="D856" t="s">
        <v>21</v>
      </c>
      <c r="E856" t="s">
        <v>22</v>
      </c>
      <c r="K856">
        <v>59.470411228000003</v>
      </c>
      <c r="L856">
        <v>0.17808638099999999</v>
      </c>
      <c r="M856">
        <v>59.292324847000003</v>
      </c>
      <c r="N856">
        <v>0</v>
      </c>
      <c r="O856">
        <v>0</v>
      </c>
      <c r="P856" s="1" t="s">
        <v>439</v>
      </c>
      <c r="Q856">
        <v>1</v>
      </c>
      <c r="R856">
        <v>1.0907778E-2</v>
      </c>
      <c r="S856">
        <v>3.66</v>
      </c>
      <c r="T856" s="2">
        <v>45897</v>
      </c>
      <c r="V856" t="str">
        <f t="shared" si="52"/>
        <v>S-6322595</v>
      </c>
      <c r="W856">
        <f t="shared" si="55"/>
        <v>0</v>
      </c>
      <c r="X856" t="str">
        <f t="shared" si="53"/>
        <v/>
      </c>
      <c r="Y856">
        <f t="shared" si="54"/>
        <v>1.0907778E-2</v>
      </c>
    </row>
    <row r="857" spans="1:25" hidden="1" x14ac:dyDescent="0.4">
      <c r="A857" t="s">
        <v>20</v>
      </c>
      <c r="B857">
        <v>6329795</v>
      </c>
      <c r="C857" t="s">
        <v>440</v>
      </c>
      <c r="D857" t="s">
        <v>21</v>
      </c>
      <c r="E857" t="s">
        <v>137</v>
      </c>
      <c r="K857">
        <v>258.52035805399998</v>
      </c>
      <c r="M857">
        <v>258.52035805399998</v>
      </c>
      <c r="P857" s="1" t="s">
        <v>898</v>
      </c>
      <c r="Q857" s="1" t="s">
        <v>899</v>
      </c>
      <c r="R857">
        <v>0.436299557</v>
      </c>
      <c r="S857">
        <v>6.23</v>
      </c>
      <c r="T857" s="2">
        <v>45898</v>
      </c>
      <c r="V857" t="str">
        <f t="shared" si="52"/>
        <v>S-6329795</v>
      </c>
      <c r="W857">
        <f t="shared" si="55"/>
        <v>0</v>
      </c>
      <c r="X857" t="str">
        <f t="shared" si="53"/>
        <v/>
      </c>
      <c r="Y857">
        <f t="shared" si="54"/>
        <v>0.436299557</v>
      </c>
    </row>
    <row r="858" spans="1:25" hidden="1" x14ac:dyDescent="0.4">
      <c r="A858" t="s">
        <v>20</v>
      </c>
      <c r="B858">
        <v>6329795</v>
      </c>
      <c r="C858" t="s">
        <v>440</v>
      </c>
      <c r="D858" t="s">
        <v>21</v>
      </c>
      <c r="E858" t="s">
        <v>156</v>
      </c>
      <c r="K858">
        <v>185.31145773599999</v>
      </c>
      <c r="M858">
        <v>185.31145773599999</v>
      </c>
      <c r="P858" s="1" t="s">
        <v>1262</v>
      </c>
      <c r="Q858" s="1" t="s">
        <v>1263</v>
      </c>
      <c r="R858">
        <v>0.44842084700000001</v>
      </c>
      <c r="S858">
        <v>6.71</v>
      </c>
      <c r="T858" s="2">
        <v>45898</v>
      </c>
      <c r="V858" t="str">
        <f t="shared" si="52"/>
        <v>S-6329795</v>
      </c>
      <c r="W858">
        <f t="shared" si="55"/>
        <v>0</v>
      </c>
      <c r="X858" t="str">
        <f t="shared" si="53"/>
        <v/>
      </c>
      <c r="Y858">
        <f t="shared" si="54"/>
        <v>0.44842084700000001</v>
      </c>
    </row>
    <row r="859" spans="1:25" hidden="1" x14ac:dyDescent="0.4">
      <c r="A859" t="s">
        <v>20</v>
      </c>
      <c r="B859">
        <v>6329795</v>
      </c>
      <c r="C859" t="s">
        <v>440</v>
      </c>
      <c r="D859" t="s">
        <v>21</v>
      </c>
      <c r="E859" t="s">
        <v>140</v>
      </c>
      <c r="K859">
        <v>159.72095579699999</v>
      </c>
      <c r="M859">
        <v>159.72095579699999</v>
      </c>
      <c r="P859" s="1" t="s">
        <v>1629</v>
      </c>
      <c r="Q859" s="1" t="s">
        <v>1630</v>
      </c>
      <c r="R859">
        <v>0.29197412299999997</v>
      </c>
      <c r="S859">
        <v>3.57</v>
      </c>
      <c r="T859" s="2">
        <v>45898</v>
      </c>
      <c r="V859" t="str">
        <f t="shared" si="52"/>
        <v>S-6329795</v>
      </c>
      <c r="W859">
        <f t="shared" si="55"/>
        <v>0</v>
      </c>
      <c r="X859" t="str">
        <f t="shared" si="53"/>
        <v/>
      </c>
      <c r="Y859">
        <f t="shared" si="54"/>
        <v>0.29197412299999997</v>
      </c>
    </row>
    <row r="860" spans="1:25" hidden="1" x14ac:dyDescent="0.4">
      <c r="A860" t="s">
        <v>20</v>
      </c>
      <c r="B860">
        <v>6329795</v>
      </c>
      <c r="C860" t="s">
        <v>440</v>
      </c>
      <c r="D860" t="s">
        <v>21</v>
      </c>
      <c r="E860" t="s">
        <v>147</v>
      </c>
      <c r="K860">
        <v>86.175001680999998</v>
      </c>
      <c r="M860">
        <v>86.175001680999998</v>
      </c>
      <c r="P860" s="1" t="s">
        <v>1995</v>
      </c>
      <c r="Q860" s="1" t="s">
        <v>1996</v>
      </c>
      <c r="R860">
        <v>0.149538694</v>
      </c>
      <c r="S860">
        <v>4.9800000000000004</v>
      </c>
      <c r="T860" s="2">
        <v>45898</v>
      </c>
      <c r="V860" t="str">
        <f t="shared" si="52"/>
        <v>S-6329795</v>
      </c>
      <c r="W860">
        <f t="shared" si="55"/>
        <v>0</v>
      </c>
      <c r="X860" t="str">
        <f t="shared" si="53"/>
        <v/>
      </c>
      <c r="Y860">
        <f t="shared" si="54"/>
        <v>0.149538694</v>
      </c>
    </row>
    <row r="861" spans="1:25" hidden="1" x14ac:dyDescent="0.4">
      <c r="A861" t="s">
        <v>20</v>
      </c>
      <c r="B861">
        <v>6329795</v>
      </c>
      <c r="C861" t="s">
        <v>440</v>
      </c>
      <c r="D861" t="s">
        <v>21</v>
      </c>
      <c r="E861" t="s">
        <v>22</v>
      </c>
      <c r="K861">
        <v>59.481526563999999</v>
      </c>
      <c r="L861">
        <v>0.17808638099999999</v>
      </c>
      <c r="M861">
        <v>59.303440182999999</v>
      </c>
      <c r="N861">
        <v>0</v>
      </c>
      <c r="O861">
        <v>0</v>
      </c>
      <c r="P861" s="1" t="s">
        <v>441</v>
      </c>
      <c r="Q861">
        <v>1</v>
      </c>
      <c r="R861">
        <v>1.1115336E-2</v>
      </c>
      <c r="S861">
        <v>3.56</v>
      </c>
      <c r="T861" s="2">
        <v>45898</v>
      </c>
      <c r="V861" t="str">
        <f t="shared" si="52"/>
        <v>S-6329795</v>
      </c>
      <c r="W861">
        <f t="shared" si="55"/>
        <v>0</v>
      </c>
      <c r="X861" t="str">
        <f t="shared" si="53"/>
        <v/>
      </c>
      <c r="Y861">
        <f t="shared" si="54"/>
        <v>1.1115336E-2</v>
      </c>
    </row>
    <row r="862" spans="1:25" hidden="1" x14ac:dyDescent="0.4">
      <c r="A862" t="s">
        <v>20</v>
      </c>
      <c r="B862">
        <v>6336995</v>
      </c>
      <c r="C862" t="s">
        <v>442</v>
      </c>
      <c r="D862" t="s">
        <v>21</v>
      </c>
      <c r="E862" t="s">
        <v>137</v>
      </c>
      <c r="K862">
        <v>258.95728891300001</v>
      </c>
      <c r="M862">
        <v>258.95728891300001</v>
      </c>
      <c r="P862" s="1" t="s">
        <v>900</v>
      </c>
      <c r="Q862" s="1" t="s">
        <v>901</v>
      </c>
      <c r="R862">
        <v>0.436930859</v>
      </c>
      <c r="S862">
        <v>6.27</v>
      </c>
      <c r="T862" s="2">
        <v>45899</v>
      </c>
      <c r="V862" t="str">
        <f t="shared" si="52"/>
        <v>S-6336995</v>
      </c>
      <c r="W862">
        <f t="shared" si="55"/>
        <v>0</v>
      </c>
      <c r="X862" t="str">
        <f t="shared" si="53"/>
        <v/>
      </c>
      <c r="Y862">
        <f t="shared" si="54"/>
        <v>0.436930859</v>
      </c>
    </row>
    <row r="863" spans="1:25" hidden="1" x14ac:dyDescent="0.4">
      <c r="A863" t="s">
        <v>20</v>
      </c>
      <c r="B863">
        <v>6336995</v>
      </c>
      <c r="C863" t="s">
        <v>442</v>
      </c>
      <c r="D863" t="s">
        <v>21</v>
      </c>
      <c r="E863" t="s">
        <v>156</v>
      </c>
      <c r="K863">
        <v>185.80384337699999</v>
      </c>
      <c r="M863">
        <v>185.80384337699999</v>
      </c>
      <c r="P863" s="1" t="s">
        <v>1264</v>
      </c>
      <c r="Q863" s="1" t="s">
        <v>1265</v>
      </c>
      <c r="R863">
        <v>0.49238564099999999</v>
      </c>
      <c r="S863">
        <v>7.39</v>
      </c>
      <c r="T863" s="2">
        <v>45899</v>
      </c>
      <c r="V863" t="str">
        <f t="shared" si="52"/>
        <v>S-6336995</v>
      </c>
      <c r="W863">
        <f t="shared" si="55"/>
        <v>0</v>
      </c>
      <c r="X863" t="str">
        <f t="shared" si="53"/>
        <v/>
      </c>
      <c r="Y863">
        <f t="shared" si="54"/>
        <v>0.49238564099999999</v>
      </c>
    </row>
    <row r="864" spans="1:25" hidden="1" x14ac:dyDescent="0.4">
      <c r="A864" t="s">
        <v>20</v>
      </c>
      <c r="B864">
        <v>6336995</v>
      </c>
      <c r="C864" t="s">
        <v>442</v>
      </c>
      <c r="D864" t="s">
        <v>21</v>
      </c>
      <c r="E864" t="s">
        <v>140</v>
      </c>
      <c r="K864">
        <v>160.01571783399999</v>
      </c>
      <c r="M864">
        <v>160.01571783399999</v>
      </c>
      <c r="P864" s="1" t="s">
        <v>1631</v>
      </c>
      <c r="Q864" s="1" t="s">
        <v>1632</v>
      </c>
      <c r="R864">
        <v>0.29476203699999998</v>
      </c>
      <c r="S864">
        <v>3.61</v>
      </c>
      <c r="T864" s="2">
        <v>45899</v>
      </c>
      <c r="V864" t="str">
        <f t="shared" si="52"/>
        <v>S-6336995</v>
      </c>
      <c r="W864">
        <f t="shared" si="55"/>
        <v>0</v>
      </c>
      <c r="X864" t="str">
        <f t="shared" si="53"/>
        <v/>
      </c>
      <c r="Y864">
        <f t="shared" si="54"/>
        <v>0.29476203699999998</v>
      </c>
    </row>
    <row r="865" spans="1:25" hidden="1" x14ac:dyDescent="0.4">
      <c r="A865" t="s">
        <v>20</v>
      </c>
      <c r="B865">
        <v>6336995</v>
      </c>
      <c r="C865" t="s">
        <v>442</v>
      </c>
      <c r="D865" t="s">
        <v>21</v>
      </c>
      <c r="E865" t="s">
        <v>147</v>
      </c>
      <c r="K865">
        <v>86.323116557000006</v>
      </c>
      <c r="M865">
        <v>86.323116557000006</v>
      </c>
      <c r="P865" s="1" t="s">
        <v>1997</v>
      </c>
      <c r="Q865" s="1" t="s">
        <v>1998</v>
      </c>
      <c r="R865">
        <v>0.14811487600000001</v>
      </c>
      <c r="S865">
        <v>4.93</v>
      </c>
      <c r="T865" s="2">
        <v>45899</v>
      </c>
      <c r="V865" t="str">
        <f t="shared" si="52"/>
        <v>S-6336995</v>
      </c>
      <c r="W865">
        <f t="shared" si="55"/>
        <v>0</v>
      </c>
      <c r="X865" t="str">
        <f t="shared" si="53"/>
        <v/>
      </c>
      <c r="Y865">
        <f t="shared" si="54"/>
        <v>0.14811487600000001</v>
      </c>
    </row>
    <row r="866" spans="1:25" hidden="1" x14ac:dyDescent="0.4">
      <c r="A866" t="s">
        <v>20</v>
      </c>
      <c r="B866">
        <v>6336995</v>
      </c>
      <c r="C866" t="s">
        <v>442</v>
      </c>
      <c r="D866" t="s">
        <v>21</v>
      </c>
      <c r="E866" t="s">
        <v>22</v>
      </c>
      <c r="K866">
        <v>59.492336115999997</v>
      </c>
      <c r="L866">
        <v>0.17808638099999999</v>
      </c>
      <c r="M866">
        <v>59.314249734999997</v>
      </c>
      <c r="N866">
        <v>0</v>
      </c>
      <c r="O866">
        <v>0</v>
      </c>
      <c r="P866" s="1" t="s">
        <v>443</v>
      </c>
      <c r="Q866">
        <v>1</v>
      </c>
      <c r="R866">
        <v>1.0809552E-2</v>
      </c>
      <c r="S866">
        <v>3.48</v>
      </c>
      <c r="T866" s="2">
        <v>45899</v>
      </c>
      <c r="V866" t="str">
        <f t="shared" si="52"/>
        <v>S-6336995</v>
      </c>
      <c r="W866">
        <f t="shared" si="55"/>
        <v>0</v>
      </c>
      <c r="X866" t="str">
        <f t="shared" si="53"/>
        <v/>
      </c>
      <c r="Y866">
        <f t="shared" si="54"/>
        <v>1.0809552E-2</v>
      </c>
    </row>
    <row r="867" spans="1:25" hidden="1" x14ac:dyDescent="0.4">
      <c r="A867" t="s">
        <v>20</v>
      </c>
      <c r="B867">
        <v>6344195</v>
      </c>
      <c r="C867" t="s">
        <v>444</v>
      </c>
      <c r="D867" t="s">
        <v>21</v>
      </c>
      <c r="E867" t="s">
        <v>137</v>
      </c>
      <c r="K867">
        <v>259.37158985500002</v>
      </c>
      <c r="M867">
        <v>259.37158985500002</v>
      </c>
      <c r="P867" s="1" t="s">
        <v>902</v>
      </c>
      <c r="Q867" s="1" t="s">
        <v>903</v>
      </c>
      <c r="R867">
        <v>0.41430094200000001</v>
      </c>
      <c r="S867">
        <v>5.75</v>
      </c>
      <c r="T867" s="2">
        <v>45900</v>
      </c>
      <c r="V867" t="str">
        <f t="shared" si="52"/>
        <v>S-6344195</v>
      </c>
      <c r="W867">
        <f t="shared" si="55"/>
        <v>0</v>
      </c>
      <c r="X867" t="str">
        <f t="shared" si="53"/>
        <v/>
      </c>
      <c r="Y867">
        <f t="shared" si="54"/>
        <v>0.41430094200000001</v>
      </c>
    </row>
    <row r="868" spans="1:25" hidden="1" x14ac:dyDescent="0.4">
      <c r="A868" t="s">
        <v>20</v>
      </c>
      <c r="B868">
        <v>6344195</v>
      </c>
      <c r="C868" t="s">
        <v>444</v>
      </c>
      <c r="D868" t="s">
        <v>21</v>
      </c>
      <c r="E868" t="s">
        <v>156</v>
      </c>
      <c r="K868">
        <v>186.32831920800001</v>
      </c>
      <c r="M868">
        <v>186.32831920800001</v>
      </c>
      <c r="P868" s="1" t="s">
        <v>1266</v>
      </c>
      <c r="Q868" s="1" t="s">
        <v>1267</v>
      </c>
      <c r="R868">
        <v>0.52447583099999995</v>
      </c>
      <c r="S868">
        <v>7.66</v>
      </c>
      <c r="T868" s="2">
        <v>45900</v>
      </c>
      <c r="V868" t="str">
        <f t="shared" si="52"/>
        <v>S-6344195</v>
      </c>
      <c r="W868">
        <f t="shared" si="55"/>
        <v>0</v>
      </c>
      <c r="X868" t="str">
        <f t="shared" si="53"/>
        <v/>
      </c>
      <c r="Y868">
        <f t="shared" si="54"/>
        <v>0.52447583099999995</v>
      </c>
    </row>
    <row r="869" spans="1:25" hidden="1" x14ac:dyDescent="0.4">
      <c r="A869" t="s">
        <v>20</v>
      </c>
      <c r="B869">
        <v>6344195</v>
      </c>
      <c r="C869" t="s">
        <v>444</v>
      </c>
      <c r="D869" t="s">
        <v>21</v>
      </c>
      <c r="E869" t="s">
        <v>140</v>
      </c>
      <c r="K869">
        <v>160.32071537100001</v>
      </c>
      <c r="M869">
        <v>160.32071537100001</v>
      </c>
      <c r="P869" s="1" t="s">
        <v>1633</v>
      </c>
      <c r="Q869" s="1" t="s">
        <v>1634</v>
      </c>
      <c r="R869">
        <v>0.30499753699999999</v>
      </c>
      <c r="S869">
        <v>3.64</v>
      </c>
      <c r="T869" s="2">
        <v>45900</v>
      </c>
      <c r="V869" t="str">
        <f t="shared" si="52"/>
        <v>S-6344195</v>
      </c>
      <c r="W869">
        <f t="shared" si="55"/>
        <v>0</v>
      </c>
      <c r="X869" t="str">
        <f t="shared" si="53"/>
        <v/>
      </c>
      <c r="Y869">
        <f t="shared" si="54"/>
        <v>0.30499753699999999</v>
      </c>
    </row>
    <row r="870" spans="1:25" hidden="1" x14ac:dyDescent="0.4">
      <c r="A870" t="s">
        <v>20</v>
      </c>
      <c r="B870">
        <v>6344195</v>
      </c>
      <c r="C870" t="s">
        <v>444</v>
      </c>
      <c r="D870" t="s">
        <v>21</v>
      </c>
      <c r="E870" t="s">
        <v>147</v>
      </c>
      <c r="K870">
        <v>86.471159885000006</v>
      </c>
      <c r="M870">
        <v>86.471159885000006</v>
      </c>
      <c r="P870" s="1" t="s">
        <v>1999</v>
      </c>
      <c r="Q870" s="1" t="s">
        <v>2000</v>
      </c>
      <c r="R870">
        <v>0.148043328</v>
      </c>
      <c r="S870">
        <v>4.8099999999999996</v>
      </c>
      <c r="T870" s="2">
        <v>45900</v>
      </c>
      <c r="V870" t="str">
        <f t="shared" si="52"/>
        <v>S-6344195</v>
      </c>
      <c r="W870">
        <f t="shared" si="55"/>
        <v>0</v>
      </c>
      <c r="X870" t="str">
        <f t="shared" si="53"/>
        <v/>
      </c>
      <c r="Y870">
        <f t="shared" si="54"/>
        <v>0.148043328</v>
      </c>
    </row>
    <row r="871" spans="1:25" hidden="1" x14ac:dyDescent="0.4">
      <c r="A871" t="s">
        <v>20</v>
      </c>
      <c r="B871">
        <v>6344195</v>
      </c>
      <c r="C871" t="s">
        <v>444</v>
      </c>
      <c r="D871" t="s">
        <v>21</v>
      </c>
      <c r="E871" t="s">
        <v>22</v>
      </c>
      <c r="K871">
        <v>59.502612251999999</v>
      </c>
      <c r="L871">
        <v>0.17808638099999999</v>
      </c>
      <c r="M871">
        <v>59.324525870999999</v>
      </c>
      <c r="N871">
        <v>0</v>
      </c>
      <c r="O871">
        <v>0</v>
      </c>
      <c r="P871" s="1" t="s">
        <v>445</v>
      </c>
      <c r="Q871">
        <v>1</v>
      </c>
      <c r="R871">
        <v>1.0276136E-2</v>
      </c>
      <c r="S871">
        <v>3.24</v>
      </c>
      <c r="T871" s="2">
        <v>45900</v>
      </c>
      <c r="V871" t="str">
        <f t="shared" si="52"/>
        <v>S-6344195</v>
      </c>
      <c r="W871">
        <f t="shared" si="55"/>
        <v>0</v>
      </c>
      <c r="X871" t="str">
        <f t="shared" si="53"/>
        <v/>
      </c>
      <c r="Y871">
        <f t="shared" si="54"/>
        <v>1.0276136E-2</v>
      </c>
    </row>
    <row r="872" spans="1:25" hidden="1" x14ac:dyDescent="0.4">
      <c r="A872" t="s">
        <v>20</v>
      </c>
      <c r="B872">
        <v>6351395</v>
      </c>
      <c r="C872" t="s">
        <v>446</v>
      </c>
      <c r="D872" t="s">
        <v>21</v>
      </c>
      <c r="E872" t="s">
        <v>137</v>
      </c>
      <c r="K872">
        <v>259.80888503</v>
      </c>
      <c r="M872">
        <v>259.80888503</v>
      </c>
      <c r="P872" s="1" t="s">
        <v>904</v>
      </c>
      <c r="Q872" s="1" t="s">
        <v>905</v>
      </c>
      <c r="R872">
        <v>0.43729517499999998</v>
      </c>
      <c r="S872">
        <v>5.66</v>
      </c>
      <c r="T872" s="2">
        <v>45901</v>
      </c>
      <c r="V872" t="str">
        <f t="shared" si="52"/>
        <v>S-6351395</v>
      </c>
      <c r="W872">
        <f t="shared" si="55"/>
        <v>0</v>
      </c>
      <c r="X872" t="str">
        <f t="shared" si="53"/>
        <v/>
      </c>
      <c r="Y872">
        <f t="shared" si="54"/>
        <v>0.43729517499999998</v>
      </c>
    </row>
    <row r="873" spans="1:25" hidden="1" x14ac:dyDescent="0.4">
      <c r="A873" t="s">
        <v>20</v>
      </c>
      <c r="B873">
        <v>6351395</v>
      </c>
      <c r="C873" t="s">
        <v>446</v>
      </c>
      <c r="D873" t="s">
        <v>21</v>
      </c>
      <c r="E873" t="s">
        <v>156</v>
      </c>
      <c r="K873">
        <v>186.806014742</v>
      </c>
      <c r="M873">
        <v>186.806014742</v>
      </c>
      <c r="P873" s="1" t="s">
        <v>1268</v>
      </c>
      <c r="Q873" s="1" t="s">
        <v>1269</v>
      </c>
      <c r="R873">
        <v>0.47769553399999998</v>
      </c>
      <c r="S873">
        <v>6.8</v>
      </c>
      <c r="T873" s="2">
        <v>45901</v>
      </c>
      <c r="V873" t="str">
        <f t="shared" si="52"/>
        <v>S-6351395</v>
      </c>
      <c r="W873">
        <f t="shared" si="55"/>
        <v>0</v>
      </c>
      <c r="X873" t="str">
        <f t="shared" si="53"/>
        <v/>
      </c>
      <c r="Y873">
        <f t="shared" si="54"/>
        <v>0.47769553399999998</v>
      </c>
    </row>
    <row r="874" spans="1:25" hidden="1" x14ac:dyDescent="0.4">
      <c r="A874" t="s">
        <v>20</v>
      </c>
      <c r="B874">
        <v>6351395</v>
      </c>
      <c r="C874" t="s">
        <v>446</v>
      </c>
      <c r="D874" t="s">
        <v>21</v>
      </c>
      <c r="E874" t="s">
        <v>140</v>
      </c>
      <c r="K874">
        <v>160.61766513000001</v>
      </c>
      <c r="M874">
        <v>160.61766513000001</v>
      </c>
      <c r="P874" s="1" t="s">
        <v>1635</v>
      </c>
      <c r="Q874" s="1" t="s">
        <v>1636</v>
      </c>
      <c r="R874">
        <v>0.29694975899999998</v>
      </c>
      <c r="S874">
        <v>3.48</v>
      </c>
      <c r="T874" s="2">
        <v>45901</v>
      </c>
      <c r="V874" t="str">
        <f t="shared" si="52"/>
        <v>S-6351395</v>
      </c>
      <c r="W874">
        <f t="shared" si="55"/>
        <v>0</v>
      </c>
      <c r="X874" t="str">
        <f t="shared" si="53"/>
        <v/>
      </c>
      <c r="Y874">
        <f t="shared" si="54"/>
        <v>0.29694975899999998</v>
      </c>
    </row>
    <row r="875" spans="1:25" hidden="1" x14ac:dyDescent="0.4">
      <c r="A875" t="s">
        <v>20</v>
      </c>
      <c r="B875">
        <v>6351395</v>
      </c>
      <c r="C875" t="s">
        <v>446</v>
      </c>
      <c r="D875" t="s">
        <v>21</v>
      </c>
      <c r="E875" t="s">
        <v>147</v>
      </c>
      <c r="K875">
        <v>86.617891073999999</v>
      </c>
      <c r="M875">
        <v>86.617891073999999</v>
      </c>
      <c r="P875" s="1" t="s">
        <v>2001</v>
      </c>
      <c r="Q875" s="1" t="s">
        <v>2002</v>
      </c>
      <c r="R875">
        <v>0.14673118900000001</v>
      </c>
      <c r="S875">
        <v>4.8899999999999997</v>
      </c>
      <c r="T875" s="2">
        <v>45901</v>
      </c>
      <c r="V875" t="str">
        <f t="shared" si="52"/>
        <v>S-6351395</v>
      </c>
      <c r="W875">
        <f t="shared" si="55"/>
        <v>0</v>
      </c>
      <c r="X875" t="str">
        <f t="shared" si="53"/>
        <v/>
      </c>
      <c r="Y875">
        <f t="shared" si="54"/>
        <v>0.14673118900000001</v>
      </c>
    </row>
    <row r="876" spans="1:25" hidden="1" x14ac:dyDescent="0.4">
      <c r="A876" t="s">
        <v>20</v>
      </c>
      <c r="B876">
        <v>6351395</v>
      </c>
      <c r="C876" t="s">
        <v>446</v>
      </c>
      <c r="D876" t="s">
        <v>21</v>
      </c>
      <c r="E876" t="s">
        <v>22</v>
      </c>
      <c r="K876">
        <v>59.511960608000003</v>
      </c>
      <c r="L876">
        <v>0.17808638099999999</v>
      </c>
      <c r="M876">
        <v>59.333874227000003</v>
      </c>
      <c r="N876">
        <v>0</v>
      </c>
      <c r="O876">
        <v>0</v>
      </c>
      <c r="P876" s="1" t="s">
        <v>447</v>
      </c>
      <c r="Q876">
        <v>1</v>
      </c>
      <c r="R876">
        <v>9.3483560000000004E-3</v>
      </c>
      <c r="S876">
        <v>2.88</v>
      </c>
      <c r="T876" s="2">
        <v>45901</v>
      </c>
      <c r="V876" t="str">
        <f t="shared" si="52"/>
        <v>S-6351395</v>
      </c>
      <c r="W876">
        <f t="shared" si="55"/>
        <v>0</v>
      </c>
      <c r="X876" t="str">
        <f t="shared" si="53"/>
        <v/>
      </c>
      <c r="Y876">
        <f t="shared" si="54"/>
        <v>9.3483560000000004E-3</v>
      </c>
    </row>
    <row r="877" spans="1:25" hidden="1" x14ac:dyDescent="0.4">
      <c r="A877" t="s">
        <v>20</v>
      </c>
      <c r="B877">
        <v>6358595</v>
      </c>
      <c r="C877" t="s">
        <v>448</v>
      </c>
      <c r="D877" t="s">
        <v>21</v>
      </c>
      <c r="E877" t="s">
        <v>137</v>
      </c>
      <c r="K877">
        <v>260.270045471</v>
      </c>
      <c r="M877">
        <v>260.270045471</v>
      </c>
      <c r="P877" s="1" t="s">
        <v>906</v>
      </c>
      <c r="Q877" s="1" t="s">
        <v>907</v>
      </c>
      <c r="R877">
        <v>0.46116044099999998</v>
      </c>
      <c r="S877">
        <v>5.77</v>
      </c>
      <c r="T877" s="2">
        <v>45902</v>
      </c>
      <c r="V877" t="str">
        <f t="shared" si="52"/>
        <v>S-6358595</v>
      </c>
      <c r="W877">
        <f t="shared" si="55"/>
        <v>0</v>
      </c>
      <c r="X877" t="str">
        <f t="shared" si="53"/>
        <v/>
      </c>
      <c r="Y877">
        <f t="shared" si="54"/>
        <v>0.46116044099999998</v>
      </c>
    </row>
    <row r="878" spans="1:25" hidden="1" x14ac:dyDescent="0.4">
      <c r="A878" t="s">
        <v>20</v>
      </c>
      <c r="B878">
        <v>6358595</v>
      </c>
      <c r="C878" t="s">
        <v>448</v>
      </c>
      <c r="D878" t="s">
        <v>21</v>
      </c>
      <c r="E878" t="s">
        <v>156</v>
      </c>
      <c r="K878">
        <v>187.25040748999999</v>
      </c>
      <c r="M878">
        <v>187.25040748999999</v>
      </c>
      <c r="P878" s="1" t="s">
        <v>1270</v>
      </c>
      <c r="Q878" s="1" t="s">
        <v>1271</v>
      </c>
      <c r="R878">
        <v>0.444392748</v>
      </c>
      <c r="S878">
        <v>6.56</v>
      </c>
      <c r="T878" s="2">
        <v>45902</v>
      </c>
      <c r="V878" t="str">
        <f t="shared" si="52"/>
        <v>S-6358595</v>
      </c>
      <c r="W878">
        <f t="shared" si="55"/>
        <v>0</v>
      </c>
      <c r="X878" t="str">
        <f t="shared" si="53"/>
        <v/>
      </c>
      <c r="Y878">
        <f t="shared" si="54"/>
        <v>0.444392748</v>
      </c>
    </row>
    <row r="879" spans="1:25" hidden="1" x14ac:dyDescent="0.4">
      <c r="A879" t="s">
        <v>20</v>
      </c>
      <c r="B879">
        <v>6358595</v>
      </c>
      <c r="C879" t="s">
        <v>448</v>
      </c>
      <c r="D879" t="s">
        <v>21</v>
      </c>
      <c r="E879" t="s">
        <v>140</v>
      </c>
      <c r="K879">
        <v>160.90062076800001</v>
      </c>
      <c r="M879">
        <v>160.90062076800001</v>
      </c>
      <c r="P879" s="1" t="s">
        <v>1637</v>
      </c>
      <c r="Q879" s="1" t="s">
        <v>1638</v>
      </c>
      <c r="R879">
        <v>0.28295563800000001</v>
      </c>
      <c r="S879">
        <v>3.53</v>
      </c>
      <c r="T879" s="2">
        <v>45902</v>
      </c>
      <c r="V879" t="str">
        <f t="shared" si="52"/>
        <v>S-6358595</v>
      </c>
      <c r="W879">
        <f t="shared" si="55"/>
        <v>0</v>
      </c>
      <c r="X879" t="str">
        <f t="shared" si="53"/>
        <v/>
      </c>
      <c r="Y879">
        <f t="shared" si="54"/>
        <v>0.28295563800000001</v>
      </c>
    </row>
    <row r="880" spans="1:25" hidden="1" x14ac:dyDescent="0.4">
      <c r="A880" t="s">
        <v>20</v>
      </c>
      <c r="B880">
        <v>6358595</v>
      </c>
      <c r="C880" t="s">
        <v>448</v>
      </c>
      <c r="D880" t="s">
        <v>21</v>
      </c>
      <c r="E880" t="s">
        <v>147</v>
      </c>
      <c r="K880">
        <v>86.761306039000004</v>
      </c>
      <c r="M880">
        <v>86.761306039000004</v>
      </c>
      <c r="P880" s="1" t="s">
        <v>2003</v>
      </c>
      <c r="Q880" s="1" t="s">
        <v>2004</v>
      </c>
      <c r="R880">
        <v>0.14341496500000001</v>
      </c>
      <c r="S880">
        <v>4.92</v>
      </c>
      <c r="T880" s="2">
        <v>45902</v>
      </c>
      <c r="V880" t="str">
        <f t="shared" si="52"/>
        <v>S-6358595</v>
      </c>
      <c r="W880">
        <f t="shared" si="55"/>
        <v>0</v>
      </c>
      <c r="X880" t="str">
        <f t="shared" si="53"/>
        <v/>
      </c>
      <c r="Y880">
        <f t="shared" si="54"/>
        <v>0.14341496500000001</v>
      </c>
    </row>
    <row r="881" spans="1:25" hidden="1" x14ac:dyDescent="0.4">
      <c r="A881" t="s">
        <v>20</v>
      </c>
      <c r="B881">
        <v>6358595</v>
      </c>
      <c r="C881" t="s">
        <v>448</v>
      </c>
      <c r="D881" t="s">
        <v>21</v>
      </c>
      <c r="E881" t="s">
        <v>22</v>
      </c>
      <c r="K881">
        <v>59.521815279000002</v>
      </c>
      <c r="L881">
        <v>0.17808638099999999</v>
      </c>
      <c r="M881">
        <v>59.343728898000002</v>
      </c>
      <c r="N881">
        <v>0</v>
      </c>
      <c r="O881">
        <v>0</v>
      </c>
      <c r="P881" s="1" t="s">
        <v>449</v>
      </c>
      <c r="Q881">
        <v>1</v>
      </c>
      <c r="R881">
        <v>9.8546710000000006E-3</v>
      </c>
      <c r="S881">
        <v>3.16</v>
      </c>
      <c r="T881" s="2">
        <v>45902</v>
      </c>
      <c r="V881" t="str">
        <f t="shared" si="52"/>
        <v>S-6358595</v>
      </c>
      <c r="W881">
        <f t="shared" si="55"/>
        <v>0</v>
      </c>
      <c r="X881" t="str">
        <f t="shared" si="53"/>
        <v/>
      </c>
      <c r="Y881">
        <f t="shared" si="54"/>
        <v>9.8546710000000006E-3</v>
      </c>
    </row>
    <row r="882" spans="1:25" hidden="1" x14ac:dyDescent="0.4">
      <c r="A882" t="s">
        <v>20</v>
      </c>
      <c r="B882">
        <v>6365795</v>
      </c>
      <c r="C882" t="s">
        <v>450</v>
      </c>
      <c r="D882" t="s">
        <v>21</v>
      </c>
      <c r="E882" t="s">
        <v>137</v>
      </c>
      <c r="K882">
        <v>260.74123121899999</v>
      </c>
      <c r="M882">
        <v>260.74123121899999</v>
      </c>
      <c r="P882" s="1" t="s">
        <v>908</v>
      </c>
      <c r="Q882" s="1" t="s">
        <v>909</v>
      </c>
      <c r="R882">
        <v>0.47118574800000002</v>
      </c>
      <c r="S882">
        <v>5.71</v>
      </c>
      <c r="T882" s="2">
        <v>45903</v>
      </c>
      <c r="V882" t="str">
        <f t="shared" si="52"/>
        <v>S-6365795</v>
      </c>
      <c r="W882">
        <f t="shared" si="55"/>
        <v>0</v>
      </c>
      <c r="X882" t="str">
        <f t="shared" si="53"/>
        <v/>
      </c>
      <c r="Y882">
        <f t="shared" si="54"/>
        <v>0.47118574800000002</v>
      </c>
    </row>
    <row r="883" spans="1:25" hidden="1" x14ac:dyDescent="0.4">
      <c r="A883" t="s">
        <v>20</v>
      </c>
      <c r="B883">
        <v>6365795</v>
      </c>
      <c r="C883" t="s">
        <v>450</v>
      </c>
      <c r="D883" t="s">
        <v>21</v>
      </c>
      <c r="E883" t="s">
        <v>156</v>
      </c>
      <c r="K883">
        <v>187.69513938899999</v>
      </c>
      <c r="M883">
        <v>187.69513938899999</v>
      </c>
      <c r="P883" s="1" t="s">
        <v>1272</v>
      </c>
      <c r="Q883" s="1" t="s">
        <v>1273</v>
      </c>
      <c r="R883">
        <v>0.44473189899999999</v>
      </c>
      <c r="S883">
        <v>6.58</v>
      </c>
      <c r="T883" s="2">
        <v>45903</v>
      </c>
      <c r="V883" t="str">
        <f t="shared" si="52"/>
        <v>S-6365795</v>
      </c>
      <c r="W883">
        <f t="shared" si="55"/>
        <v>0</v>
      </c>
      <c r="X883" t="str">
        <f t="shared" si="53"/>
        <v/>
      </c>
      <c r="Y883">
        <f t="shared" si="54"/>
        <v>0.44473189899999999</v>
      </c>
    </row>
    <row r="884" spans="1:25" hidden="1" x14ac:dyDescent="0.4">
      <c r="A884" t="s">
        <v>20</v>
      </c>
      <c r="B884">
        <v>6365795</v>
      </c>
      <c r="C884" t="s">
        <v>450</v>
      </c>
      <c r="D884" t="s">
        <v>21</v>
      </c>
      <c r="E884" t="s">
        <v>140</v>
      </c>
      <c r="K884">
        <v>161.18635663399999</v>
      </c>
      <c r="M884">
        <v>161.18635663399999</v>
      </c>
      <c r="P884" s="1" t="s">
        <v>1639</v>
      </c>
      <c r="Q884" s="1" t="s">
        <v>1640</v>
      </c>
      <c r="R884">
        <v>0.28573586600000001</v>
      </c>
      <c r="S884">
        <v>3.71</v>
      </c>
      <c r="T884" s="2">
        <v>45903</v>
      </c>
      <c r="V884" t="str">
        <f t="shared" si="52"/>
        <v>S-6365795</v>
      </c>
      <c r="W884">
        <f t="shared" si="55"/>
        <v>0</v>
      </c>
      <c r="X884" t="str">
        <f t="shared" si="53"/>
        <v/>
      </c>
      <c r="Y884">
        <f t="shared" si="54"/>
        <v>0.28573586600000001</v>
      </c>
    </row>
    <row r="885" spans="1:25" hidden="1" x14ac:dyDescent="0.4">
      <c r="A885" t="s">
        <v>20</v>
      </c>
      <c r="B885">
        <v>6365795</v>
      </c>
      <c r="C885" t="s">
        <v>450</v>
      </c>
      <c r="D885" t="s">
        <v>21</v>
      </c>
      <c r="E885" t="s">
        <v>147</v>
      </c>
      <c r="K885">
        <v>86.897147590000003</v>
      </c>
      <c r="M885">
        <v>86.897147590000003</v>
      </c>
      <c r="P885" s="1" t="s">
        <v>2005</v>
      </c>
      <c r="Q885" s="1" t="s">
        <v>2006</v>
      </c>
      <c r="R885">
        <v>0.135841551</v>
      </c>
      <c r="S885">
        <v>4.79</v>
      </c>
      <c r="T885" s="2">
        <v>45903</v>
      </c>
      <c r="V885" t="str">
        <f t="shared" si="52"/>
        <v>S-6365795</v>
      </c>
      <c r="W885">
        <f t="shared" si="55"/>
        <v>0</v>
      </c>
      <c r="X885" t="str">
        <f t="shared" si="53"/>
        <v/>
      </c>
      <c r="Y885">
        <f t="shared" si="54"/>
        <v>0.135841551</v>
      </c>
    </row>
    <row r="886" spans="1:25" hidden="1" x14ac:dyDescent="0.4">
      <c r="A886" t="s">
        <v>20</v>
      </c>
      <c r="B886">
        <v>6365795</v>
      </c>
      <c r="C886" t="s">
        <v>450</v>
      </c>
      <c r="D886" t="s">
        <v>21</v>
      </c>
      <c r="E886" t="s">
        <v>22</v>
      </c>
      <c r="K886">
        <v>59.531178484000002</v>
      </c>
      <c r="L886">
        <v>0.17808638099999999</v>
      </c>
      <c r="M886">
        <v>59.353092103000002</v>
      </c>
      <c r="N886">
        <v>0</v>
      </c>
      <c r="O886">
        <v>0</v>
      </c>
      <c r="P886" s="1" t="s">
        <v>451</v>
      </c>
      <c r="Q886">
        <v>1</v>
      </c>
      <c r="R886">
        <v>9.3632049999999994E-3</v>
      </c>
      <c r="S886">
        <v>3.03</v>
      </c>
      <c r="T886" s="2">
        <v>45903</v>
      </c>
      <c r="V886" t="str">
        <f t="shared" si="52"/>
        <v>S-6365795</v>
      </c>
      <c r="W886">
        <f t="shared" si="55"/>
        <v>0</v>
      </c>
      <c r="X886" t="str">
        <f t="shared" si="53"/>
        <v/>
      </c>
      <c r="Y886">
        <f t="shared" si="54"/>
        <v>9.3632049999999994E-3</v>
      </c>
    </row>
    <row r="887" spans="1:25" hidden="1" x14ac:dyDescent="0.4">
      <c r="A887" t="s">
        <v>20</v>
      </c>
      <c r="B887">
        <v>6372995</v>
      </c>
      <c r="C887" t="s">
        <v>452</v>
      </c>
      <c r="D887" t="s">
        <v>21</v>
      </c>
      <c r="E887" t="s">
        <v>137</v>
      </c>
      <c r="K887">
        <v>261.23314187099999</v>
      </c>
      <c r="M887">
        <v>261.23314187099999</v>
      </c>
      <c r="P887" s="1" t="s">
        <v>910</v>
      </c>
      <c r="Q887" s="1" t="s">
        <v>911</v>
      </c>
      <c r="R887">
        <v>0.491910652</v>
      </c>
      <c r="S887">
        <v>5.59</v>
      </c>
      <c r="T887" s="2">
        <v>45904</v>
      </c>
      <c r="V887" t="str">
        <f t="shared" si="52"/>
        <v>S-6372995</v>
      </c>
      <c r="W887">
        <f t="shared" si="55"/>
        <v>0</v>
      </c>
      <c r="X887" t="str">
        <f t="shared" si="53"/>
        <v/>
      </c>
      <c r="Y887">
        <f t="shared" si="54"/>
        <v>0.491910652</v>
      </c>
    </row>
    <row r="888" spans="1:25" hidden="1" x14ac:dyDescent="0.4">
      <c r="A888" t="s">
        <v>20</v>
      </c>
      <c r="B888">
        <v>6372995</v>
      </c>
      <c r="C888" t="s">
        <v>452</v>
      </c>
      <c r="D888" t="s">
        <v>21</v>
      </c>
      <c r="E888" t="s">
        <v>156</v>
      </c>
      <c r="K888">
        <v>188.13805153600001</v>
      </c>
      <c r="M888">
        <v>188.13805153600001</v>
      </c>
      <c r="P888" s="1" t="s">
        <v>1274</v>
      </c>
      <c r="Q888" s="1" t="s">
        <v>1275</v>
      </c>
      <c r="R888">
        <v>0.44291214699999998</v>
      </c>
      <c r="S888">
        <v>6.39</v>
      </c>
      <c r="T888" s="2">
        <v>45904</v>
      </c>
      <c r="V888" t="str">
        <f t="shared" si="52"/>
        <v>S-6372995</v>
      </c>
      <c r="W888">
        <f t="shared" si="55"/>
        <v>0</v>
      </c>
      <c r="X888" t="str">
        <f t="shared" si="53"/>
        <v/>
      </c>
      <c r="Y888">
        <f t="shared" si="54"/>
        <v>0.44291214699999998</v>
      </c>
    </row>
    <row r="889" spans="1:25" hidden="1" x14ac:dyDescent="0.4">
      <c r="A889" t="s">
        <v>20</v>
      </c>
      <c r="B889">
        <v>6372995</v>
      </c>
      <c r="C889" t="s">
        <v>452</v>
      </c>
      <c r="D889" t="s">
        <v>21</v>
      </c>
      <c r="E889" t="s">
        <v>140</v>
      </c>
      <c r="K889">
        <v>161.474024652</v>
      </c>
      <c r="M889">
        <v>161.474024652</v>
      </c>
      <c r="P889" s="1" t="s">
        <v>1641</v>
      </c>
      <c r="Q889" s="1" t="s">
        <v>1642</v>
      </c>
      <c r="R889">
        <v>0.28766801800000003</v>
      </c>
      <c r="S889">
        <v>3.54</v>
      </c>
      <c r="T889" s="2">
        <v>45904</v>
      </c>
      <c r="V889" t="str">
        <f t="shared" si="52"/>
        <v>S-6372995</v>
      </c>
      <c r="W889">
        <f t="shared" si="55"/>
        <v>0</v>
      </c>
      <c r="X889" t="str">
        <f t="shared" si="53"/>
        <v/>
      </c>
      <c r="Y889">
        <f t="shared" si="54"/>
        <v>0.28766801800000003</v>
      </c>
    </row>
    <row r="890" spans="1:25" hidden="1" x14ac:dyDescent="0.4">
      <c r="A890" t="s">
        <v>20</v>
      </c>
      <c r="B890">
        <v>6372995</v>
      </c>
      <c r="C890" t="s">
        <v>452</v>
      </c>
      <c r="D890" t="s">
        <v>21</v>
      </c>
      <c r="E890" t="s">
        <v>147</v>
      </c>
      <c r="K890">
        <v>87.038654459</v>
      </c>
      <c r="M890">
        <v>87.038654459</v>
      </c>
      <c r="P890" s="1" t="s">
        <v>2007</v>
      </c>
      <c r="Q890" s="1" t="s">
        <v>2008</v>
      </c>
      <c r="R890">
        <v>0.14150686900000001</v>
      </c>
      <c r="S890">
        <v>4.82</v>
      </c>
      <c r="T890" s="2">
        <v>45904</v>
      </c>
      <c r="V890" t="str">
        <f t="shared" si="52"/>
        <v>S-6372995</v>
      </c>
      <c r="W890">
        <f t="shared" si="55"/>
        <v>0</v>
      </c>
      <c r="X890" t="str">
        <f t="shared" si="53"/>
        <v/>
      </c>
      <c r="Y890">
        <f t="shared" si="54"/>
        <v>0.14150686900000001</v>
      </c>
    </row>
    <row r="891" spans="1:25" hidden="1" x14ac:dyDescent="0.4">
      <c r="A891" t="s">
        <v>20</v>
      </c>
      <c r="B891">
        <v>6372995</v>
      </c>
      <c r="C891" t="s">
        <v>452</v>
      </c>
      <c r="D891" t="s">
        <v>21</v>
      </c>
      <c r="E891" t="s">
        <v>22</v>
      </c>
      <c r="K891">
        <v>59.540252019</v>
      </c>
      <c r="L891">
        <v>0.17808638099999999</v>
      </c>
      <c r="M891">
        <v>59.362165638</v>
      </c>
      <c r="N891">
        <v>0</v>
      </c>
      <c r="O891">
        <v>0</v>
      </c>
      <c r="P891" s="1" t="s">
        <v>453</v>
      </c>
      <c r="Q891">
        <v>1</v>
      </c>
      <c r="R891">
        <v>9.0735350000000006E-3</v>
      </c>
      <c r="S891">
        <v>2.86</v>
      </c>
      <c r="T891" s="2">
        <v>45904</v>
      </c>
      <c r="V891" t="str">
        <f t="shared" si="52"/>
        <v>S-6372995</v>
      </c>
      <c r="W891">
        <f t="shared" si="55"/>
        <v>0</v>
      </c>
      <c r="X891" t="str">
        <f t="shared" si="53"/>
        <v/>
      </c>
      <c r="Y891">
        <f t="shared" si="54"/>
        <v>9.0735350000000006E-3</v>
      </c>
    </row>
    <row r="892" spans="1:25" hidden="1" x14ac:dyDescent="0.4">
      <c r="A892" t="s">
        <v>20</v>
      </c>
      <c r="B892">
        <v>6380195</v>
      </c>
      <c r="C892" t="s">
        <v>454</v>
      </c>
      <c r="D892" t="s">
        <v>21</v>
      </c>
      <c r="E892" t="s">
        <v>137</v>
      </c>
      <c r="K892">
        <v>261.74082038699999</v>
      </c>
      <c r="M892">
        <v>261.74082038699999</v>
      </c>
      <c r="P892" s="1" t="s">
        <v>912</v>
      </c>
      <c r="Q892" s="1" t="s">
        <v>913</v>
      </c>
      <c r="R892">
        <v>0.50767851600000002</v>
      </c>
      <c r="S892">
        <v>5.74</v>
      </c>
      <c r="T892" s="2">
        <v>45905</v>
      </c>
      <c r="V892" t="str">
        <f t="shared" si="52"/>
        <v>S-6380195</v>
      </c>
      <c r="W892">
        <f t="shared" si="55"/>
        <v>0</v>
      </c>
      <c r="X892" t="str">
        <f t="shared" si="53"/>
        <v/>
      </c>
      <c r="Y892">
        <f t="shared" si="54"/>
        <v>0.50767851600000002</v>
      </c>
    </row>
    <row r="893" spans="1:25" hidden="1" x14ac:dyDescent="0.4">
      <c r="A893" t="s">
        <v>20</v>
      </c>
      <c r="B893">
        <v>6380195</v>
      </c>
      <c r="C893" t="s">
        <v>454</v>
      </c>
      <c r="D893" t="s">
        <v>21</v>
      </c>
      <c r="E893" t="s">
        <v>156</v>
      </c>
      <c r="K893">
        <v>188.579047514</v>
      </c>
      <c r="M893">
        <v>188.579047514</v>
      </c>
      <c r="P893" s="1" t="s">
        <v>1276</v>
      </c>
      <c r="Q893" s="1" t="s">
        <v>1277</v>
      </c>
      <c r="R893">
        <v>0.44099597800000001</v>
      </c>
      <c r="S893">
        <v>6.5</v>
      </c>
      <c r="T893" s="2">
        <v>45905</v>
      </c>
      <c r="V893" t="str">
        <f t="shared" si="52"/>
        <v>S-6380195</v>
      </c>
      <c r="W893">
        <f t="shared" si="55"/>
        <v>0</v>
      </c>
      <c r="X893" t="str">
        <f t="shared" si="53"/>
        <v/>
      </c>
      <c r="Y893">
        <f t="shared" si="54"/>
        <v>0.44099597800000001</v>
      </c>
    </row>
    <row r="894" spans="1:25" hidden="1" x14ac:dyDescent="0.4">
      <c r="A894" t="s">
        <v>20</v>
      </c>
      <c r="B894">
        <v>6380195</v>
      </c>
      <c r="C894" t="s">
        <v>454</v>
      </c>
      <c r="D894" t="s">
        <v>21</v>
      </c>
      <c r="E894" t="s">
        <v>140</v>
      </c>
      <c r="K894">
        <v>161.75985154099999</v>
      </c>
      <c r="M894">
        <v>161.75985154099999</v>
      </c>
      <c r="P894" s="1" t="s">
        <v>1643</v>
      </c>
      <c r="Q894" s="1" t="s">
        <v>1644</v>
      </c>
      <c r="R894">
        <v>0.28582688899999997</v>
      </c>
      <c r="S894">
        <v>3.74</v>
      </c>
      <c r="T894" s="2">
        <v>45905</v>
      </c>
      <c r="V894" t="str">
        <f t="shared" si="52"/>
        <v>S-6380195</v>
      </c>
      <c r="W894">
        <f t="shared" si="55"/>
        <v>0</v>
      </c>
      <c r="X894" t="str">
        <f t="shared" si="53"/>
        <v/>
      </c>
      <c r="Y894">
        <f t="shared" si="54"/>
        <v>0.28582688899999997</v>
      </c>
    </row>
    <row r="895" spans="1:25" hidden="1" x14ac:dyDescent="0.4">
      <c r="A895" t="s">
        <v>20</v>
      </c>
      <c r="B895">
        <v>6380195</v>
      </c>
      <c r="C895" t="s">
        <v>454</v>
      </c>
      <c r="D895" t="s">
        <v>21</v>
      </c>
      <c r="E895" t="s">
        <v>147</v>
      </c>
      <c r="K895">
        <v>87.180633924000006</v>
      </c>
      <c r="M895">
        <v>87.180633924000006</v>
      </c>
      <c r="P895" s="1" t="s">
        <v>2009</v>
      </c>
      <c r="Q895" s="1" t="s">
        <v>2010</v>
      </c>
      <c r="R895">
        <v>0.141979465</v>
      </c>
      <c r="S895">
        <v>4.92</v>
      </c>
      <c r="T895" s="2">
        <v>45905</v>
      </c>
      <c r="V895" t="str">
        <f t="shared" si="52"/>
        <v>S-6380195</v>
      </c>
      <c r="W895">
        <f t="shared" si="55"/>
        <v>0</v>
      </c>
      <c r="X895" t="str">
        <f t="shared" si="53"/>
        <v/>
      </c>
      <c r="Y895">
        <f t="shared" si="54"/>
        <v>0.141979465</v>
      </c>
    </row>
    <row r="896" spans="1:25" hidden="1" x14ac:dyDescent="0.4">
      <c r="A896" t="s">
        <v>20</v>
      </c>
      <c r="B896">
        <v>6380195</v>
      </c>
      <c r="C896" t="s">
        <v>454</v>
      </c>
      <c r="D896" t="s">
        <v>21</v>
      </c>
      <c r="E896" t="s">
        <v>22</v>
      </c>
      <c r="K896">
        <v>59.550236849999997</v>
      </c>
      <c r="L896">
        <v>0.17808638099999999</v>
      </c>
      <c r="M896">
        <v>59.372150468999997</v>
      </c>
      <c r="N896">
        <v>0</v>
      </c>
      <c r="O896">
        <v>0</v>
      </c>
      <c r="P896" s="1" t="s">
        <v>455</v>
      </c>
      <c r="Q896">
        <v>1</v>
      </c>
      <c r="R896">
        <v>9.9848309999999996E-3</v>
      </c>
      <c r="S896">
        <v>3.18</v>
      </c>
      <c r="T896" s="2">
        <v>45905</v>
      </c>
      <c r="V896" t="str">
        <f t="shared" si="52"/>
        <v>S-6380195</v>
      </c>
      <c r="W896">
        <f t="shared" si="55"/>
        <v>0</v>
      </c>
      <c r="X896" t="str">
        <f t="shared" si="53"/>
        <v/>
      </c>
      <c r="Y896">
        <f t="shared" si="54"/>
        <v>9.9848309999999996E-3</v>
      </c>
    </row>
    <row r="897" spans="1:25" hidden="1" x14ac:dyDescent="0.4">
      <c r="A897" t="s">
        <v>20</v>
      </c>
      <c r="B897">
        <v>6387395</v>
      </c>
      <c r="C897" t="s">
        <v>456</v>
      </c>
      <c r="D897" t="s">
        <v>21</v>
      </c>
      <c r="E897" t="s">
        <v>137</v>
      </c>
      <c r="K897">
        <v>262.23819030099997</v>
      </c>
      <c r="M897">
        <v>262.23819030099997</v>
      </c>
      <c r="P897" s="1" t="s">
        <v>914</v>
      </c>
      <c r="Q897" s="1" t="s">
        <v>915</v>
      </c>
      <c r="R897">
        <v>0.49736991400000002</v>
      </c>
      <c r="S897">
        <v>5.64</v>
      </c>
      <c r="T897" s="2">
        <v>45906</v>
      </c>
      <c r="V897" t="str">
        <f t="shared" si="52"/>
        <v>S-6387395</v>
      </c>
      <c r="W897">
        <f t="shared" si="55"/>
        <v>0</v>
      </c>
      <c r="X897" t="str">
        <f t="shared" si="53"/>
        <v/>
      </c>
      <c r="Y897">
        <f t="shared" si="54"/>
        <v>0.49736991400000002</v>
      </c>
    </row>
    <row r="898" spans="1:25" hidden="1" x14ac:dyDescent="0.4">
      <c r="A898" t="s">
        <v>20</v>
      </c>
      <c r="B898">
        <v>6387395</v>
      </c>
      <c r="C898" t="s">
        <v>456</v>
      </c>
      <c r="D898" t="s">
        <v>21</v>
      </c>
      <c r="E898" t="s">
        <v>156</v>
      </c>
      <c r="K898">
        <v>189.01425700300001</v>
      </c>
      <c r="M898">
        <v>189.01425700300001</v>
      </c>
      <c r="P898" s="1" t="s">
        <v>1278</v>
      </c>
      <c r="Q898" s="1" t="s">
        <v>1279</v>
      </c>
      <c r="R898">
        <v>0.435209489</v>
      </c>
      <c r="S898">
        <v>6.4</v>
      </c>
      <c r="T898" s="2">
        <v>45906</v>
      </c>
      <c r="V898" t="str">
        <f t="shared" si="52"/>
        <v>S-6387395</v>
      </c>
      <c r="W898">
        <f t="shared" si="55"/>
        <v>0</v>
      </c>
      <c r="X898" t="str">
        <f t="shared" si="53"/>
        <v/>
      </c>
      <c r="Y898">
        <f t="shared" si="54"/>
        <v>0.435209489</v>
      </c>
    </row>
    <row r="899" spans="1:25" hidden="1" x14ac:dyDescent="0.4">
      <c r="A899" t="s">
        <v>20</v>
      </c>
      <c r="B899">
        <v>6387395</v>
      </c>
      <c r="C899" t="s">
        <v>456</v>
      </c>
      <c r="D899" t="s">
        <v>21</v>
      </c>
      <c r="E899" t="s">
        <v>140</v>
      </c>
      <c r="K899">
        <v>162.03957650199999</v>
      </c>
      <c r="M899">
        <v>162.03957650199999</v>
      </c>
      <c r="P899" s="1" t="s">
        <v>1645</v>
      </c>
      <c r="Q899" s="1" t="s">
        <v>1646</v>
      </c>
      <c r="R899">
        <v>0.27972496099999999</v>
      </c>
      <c r="S899">
        <v>3.65</v>
      </c>
      <c r="T899" s="2">
        <v>45906</v>
      </c>
      <c r="V899" t="str">
        <f t="shared" ref="V899:V962" si="56">"S-"&amp;IF(LEN(I899)=0,B899,I899&amp;IF(F899="fee","-00",IF(LEN(G899)&gt;0,"-01","-02")))</f>
        <v>S-6387395</v>
      </c>
      <c r="W899">
        <f t="shared" si="55"/>
        <v>0</v>
      </c>
      <c r="X899" t="str">
        <f t="shared" ref="X899:X962" si="57">IF(LEN(I899)&gt;0,I899&amp;IF(F899="fee","fee",IF(VALUE(G899)&gt;0,"debit",IF(VALUE(H899)&gt;0,"credit","error"))),"")</f>
        <v/>
      </c>
      <c r="Y899">
        <f t="shared" ref="Y899:Y962" si="58">ROUND(IF(ROW(U899) = 2,K899,0)+IF(H899&lt;&gt;"",H899,0) + IF(R899&lt;&gt;"",R899,0) - IF(G899&lt;&gt;"",G899,0),9)</f>
        <v>0.27972496099999999</v>
      </c>
    </row>
    <row r="900" spans="1:25" hidden="1" x14ac:dyDescent="0.4">
      <c r="A900" t="s">
        <v>20</v>
      </c>
      <c r="B900">
        <v>6387395</v>
      </c>
      <c r="C900" t="s">
        <v>456</v>
      </c>
      <c r="D900" t="s">
        <v>21</v>
      </c>
      <c r="E900" t="s">
        <v>147</v>
      </c>
      <c r="K900">
        <v>87.323154449</v>
      </c>
      <c r="M900">
        <v>87.323154449</v>
      </c>
      <c r="P900" s="1" t="s">
        <v>2011</v>
      </c>
      <c r="Q900" s="1" t="s">
        <v>2012</v>
      </c>
      <c r="R900">
        <v>0.14252052500000001</v>
      </c>
      <c r="S900">
        <v>4.87</v>
      </c>
      <c r="T900" s="2">
        <v>45906</v>
      </c>
      <c r="V900" t="str">
        <f t="shared" si="56"/>
        <v>S-6387395</v>
      </c>
      <c r="W900">
        <f t="shared" ref="W900:W963" si="59">COUNTIF(I:I,I900)</f>
        <v>0</v>
      </c>
      <c r="X900" t="str">
        <f t="shared" si="57"/>
        <v/>
      </c>
      <c r="Y900">
        <f t="shared" si="58"/>
        <v>0.14252052500000001</v>
      </c>
    </row>
    <row r="901" spans="1:25" hidden="1" x14ac:dyDescent="0.4">
      <c r="A901" t="s">
        <v>20</v>
      </c>
      <c r="B901">
        <v>6387395</v>
      </c>
      <c r="C901" t="s">
        <v>456</v>
      </c>
      <c r="D901" t="s">
        <v>21</v>
      </c>
      <c r="E901" t="s">
        <v>22</v>
      </c>
      <c r="K901">
        <v>59.560180404</v>
      </c>
      <c r="L901">
        <v>0.17808638099999999</v>
      </c>
      <c r="M901">
        <v>59.382094023000001</v>
      </c>
      <c r="N901">
        <v>0</v>
      </c>
      <c r="O901">
        <v>0</v>
      </c>
      <c r="P901" s="1" t="s">
        <v>457</v>
      </c>
      <c r="Q901">
        <v>1</v>
      </c>
      <c r="R901">
        <v>9.9435540000000003E-3</v>
      </c>
      <c r="S901">
        <v>3.16</v>
      </c>
      <c r="T901" s="2">
        <v>45906</v>
      </c>
      <c r="V901" t="str">
        <f t="shared" si="56"/>
        <v>S-6387395</v>
      </c>
      <c r="W901">
        <f t="shared" si="59"/>
        <v>0</v>
      </c>
      <c r="X901" t="str">
        <f t="shared" si="57"/>
        <v/>
      </c>
      <c r="Y901">
        <f t="shared" si="58"/>
        <v>9.9435540000000003E-3</v>
      </c>
    </row>
    <row r="902" spans="1:25" hidden="1" x14ac:dyDescent="0.4">
      <c r="A902" t="s">
        <v>20</v>
      </c>
      <c r="B902">
        <v>6394595</v>
      </c>
      <c r="C902" t="s">
        <v>458</v>
      </c>
      <c r="D902" t="s">
        <v>21</v>
      </c>
      <c r="E902" t="s">
        <v>137</v>
      </c>
      <c r="K902">
        <v>262.73286687000001</v>
      </c>
      <c r="M902">
        <v>262.73286687000001</v>
      </c>
      <c r="P902" s="1" t="s">
        <v>916</v>
      </c>
      <c r="Q902" s="1" t="s">
        <v>917</v>
      </c>
      <c r="R902">
        <v>0.49467656900000001</v>
      </c>
      <c r="S902">
        <v>5.77</v>
      </c>
      <c r="T902" s="2">
        <v>45907</v>
      </c>
      <c r="V902" t="str">
        <f t="shared" si="56"/>
        <v>S-6394595</v>
      </c>
      <c r="W902">
        <f t="shared" si="59"/>
        <v>0</v>
      </c>
      <c r="X902" t="str">
        <f t="shared" si="57"/>
        <v/>
      </c>
      <c r="Y902">
        <f t="shared" si="58"/>
        <v>0.49467656900000001</v>
      </c>
    </row>
    <row r="903" spans="1:25" hidden="1" x14ac:dyDescent="0.4">
      <c r="A903" t="s">
        <v>20</v>
      </c>
      <c r="B903">
        <v>6394595</v>
      </c>
      <c r="C903" t="s">
        <v>458</v>
      </c>
      <c r="D903" t="s">
        <v>21</v>
      </c>
      <c r="E903" t="s">
        <v>156</v>
      </c>
      <c r="K903">
        <v>189.448820533</v>
      </c>
      <c r="M903">
        <v>189.448820533</v>
      </c>
      <c r="P903" s="1" t="s">
        <v>1280</v>
      </c>
      <c r="Q903" s="1" t="s">
        <v>1281</v>
      </c>
      <c r="R903">
        <v>0.43456352999999998</v>
      </c>
      <c r="S903">
        <v>6.56</v>
      </c>
      <c r="T903" s="2">
        <v>45907</v>
      </c>
      <c r="V903" t="str">
        <f t="shared" si="56"/>
        <v>S-6394595</v>
      </c>
      <c r="W903">
        <f t="shared" si="59"/>
        <v>0</v>
      </c>
      <c r="X903" t="str">
        <f t="shared" si="57"/>
        <v/>
      </c>
      <c r="Y903">
        <f t="shared" si="58"/>
        <v>0.43456352999999998</v>
      </c>
    </row>
    <row r="904" spans="1:25" hidden="1" x14ac:dyDescent="0.4">
      <c r="A904" t="s">
        <v>20</v>
      </c>
      <c r="B904">
        <v>6394595</v>
      </c>
      <c r="C904" t="s">
        <v>458</v>
      </c>
      <c r="D904" t="s">
        <v>21</v>
      </c>
      <c r="E904" t="s">
        <v>140</v>
      </c>
      <c r="K904">
        <v>162.31244220100001</v>
      </c>
      <c r="M904">
        <v>162.31244220100001</v>
      </c>
      <c r="P904" s="1" t="s">
        <v>1647</v>
      </c>
      <c r="Q904" s="1" t="s">
        <v>1648</v>
      </c>
      <c r="R904">
        <v>0.27286569900000002</v>
      </c>
      <c r="S904">
        <v>3.65</v>
      </c>
      <c r="T904" s="2">
        <v>45907</v>
      </c>
      <c r="V904" t="str">
        <f t="shared" si="56"/>
        <v>S-6394595</v>
      </c>
      <c r="W904">
        <f t="shared" si="59"/>
        <v>0</v>
      </c>
      <c r="X904" t="str">
        <f t="shared" si="57"/>
        <v/>
      </c>
      <c r="Y904">
        <f t="shared" si="58"/>
        <v>0.27286569900000002</v>
      </c>
    </row>
    <row r="905" spans="1:25" hidden="1" x14ac:dyDescent="0.4">
      <c r="A905" t="s">
        <v>20</v>
      </c>
      <c r="B905">
        <v>6394595</v>
      </c>
      <c r="C905" t="s">
        <v>458</v>
      </c>
      <c r="D905" t="s">
        <v>21</v>
      </c>
      <c r="E905" t="s">
        <v>147</v>
      </c>
      <c r="K905">
        <v>87.466156278</v>
      </c>
      <c r="M905">
        <v>87.466156278</v>
      </c>
      <c r="P905" s="1" t="s">
        <v>2013</v>
      </c>
      <c r="Q905" s="1" t="s">
        <v>2014</v>
      </c>
      <c r="R905">
        <v>0.143001829</v>
      </c>
      <c r="S905">
        <v>4.99</v>
      </c>
      <c r="T905" s="2">
        <v>45907</v>
      </c>
      <c r="V905" t="str">
        <f t="shared" si="56"/>
        <v>S-6394595</v>
      </c>
      <c r="W905">
        <f t="shared" si="59"/>
        <v>0</v>
      </c>
      <c r="X905" t="str">
        <f t="shared" si="57"/>
        <v/>
      </c>
      <c r="Y905">
        <f t="shared" si="58"/>
        <v>0.143001829</v>
      </c>
    </row>
    <row r="906" spans="1:25" hidden="1" x14ac:dyDescent="0.4">
      <c r="A906" t="s">
        <v>20</v>
      </c>
      <c r="B906">
        <v>6394595</v>
      </c>
      <c r="C906" t="s">
        <v>458</v>
      </c>
      <c r="D906" t="s">
        <v>21</v>
      </c>
      <c r="E906" t="s">
        <v>22</v>
      </c>
      <c r="K906">
        <v>59.569905489</v>
      </c>
      <c r="L906">
        <v>0.17808638099999999</v>
      </c>
      <c r="M906">
        <v>59.391819108</v>
      </c>
      <c r="N906">
        <v>0</v>
      </c>
      <c r="O906">
        <v>0</v>
      </c>
      <c r="P906" s="1" t="s">
        <v>459</v>
      </c>
      <c r="Q906">
        <v>1</v>
      </c>
      <c r="R906">
        <v>9.7250849999999996E-3</v>
      </c>
      <c r="S906">
        <v>3.18</v>
      </c>
      <c r="T906" s="2">
        <v>45907</v>
      </c>
      <c r="V906" t="str">
        <f t="shared" si="56"/>
        <v>S-6394595</v>
      </c>
      <c r="W906">
        <f t="shared" si="59"/>
        <v>0</v>
      </c>
      <c r="X906" t="str">
        <f t="shared" si="57"/>
        <v/>
      </c>
      <c r="Y906">
        <f t="shared" si="58"/>
        <v>9.7250849999999996E-3</v>
      </c>
    </row>
    <row r="907" spans="1:25" hidden="1" x14ac:dyDescent="0.4">
      <c r="A907" t="s">
        <v>20</v>
      </c>
      <c r="B907">
        <v>6401795</v>
      </c>
      <c r="C907" t="s">
        <v>460</v>
      </c>
      <c r="D907" t="s">
        <v>21</v>
      </c>
      <c r="E907" t="s">
        <v>137</v>
      </c>
      <c r="K907">
        <v>263.22805018899999</v>
      </c>
      <c r="M907">
        <v>263.22805018899999</v>
      </c>
      <c r="P907" s="1" t="s">
        <v>918</v>
      </c>
      <c r="Q907" s="1" t="s">
        <v>919</v>
      </c>
      <c r="R907">
        <v>0.49518331900000001</v>
      </c>
      <c r="S907">
        <v>5.97</v>
      </c>
      <c r="T907" s="2">
        <v>45908</v>
      </c>
      <c r="V907" t="str">
        <f t="shared" si="56"/>
        <v>S-6401795</v>
      </c>
      <c r="W907">
        <f t="shared" si="59"/>
        <v>0</v>
      </c>
      <c r="X907" t="str">
        <f t="shared" si="57"/>
        <v/>
      </c>
      <c r="Y907">
        <f t="shared" si="58"/>
        <v>0.49518331900000001</v>
      </c>
    </row>
    <row r="908" spans="1:25" hidden="1" x14ac:dyDescent="0.4">
      <c r="A908" t="s">
        <v>20</v>
      </c>
      <c r="B908">
        <v>6401795</v>
      </c>
      <c r="C908" t="s">
        <v>460</v>
      </c>
      <c r="D908" t="s">
        <v>21</v>
      </c>
      <c r="E908" t="s">
        <v>156</v>
      </c>
      <c r="K908">
        <v>189.883339621</v>
      </c>
      <c r="M908">
        <v>189.883339621</v>
      </c>
      <c r="P908" s="1" t="s">
        <v>1282</v>
      </c>
      <c r="Q908" s="1" t="s">
        <v>1283</v>
      </c>
      <c r="R908">
        <v>0.434519088</v>
      </c>
      <c r="S908">
        <v>6.83</v>
      </c>
      <c r="T908" s="2">
        <v>45908</v>
      </c>
      <c r="V908" t="str">
        <f t="shared" si="56"/>
        <v>S-6401795</v>
      </c>
      <c r="W908">
        <f t="shared" si="59"/>
        <v>0</v>
      </c>
      <c r="X908" t="str">
        <f t="shared" si="57"/>
        <v/>
      </c>
      <c r="Y908">
        <f t="shared" si="58"/>
        <v>0.434519088</v>
      </c>
    </row>
    <row r="909" spans="1:25" hidden="1" x14ac:dyDescent="0.4">
      <c r="A909" t="s">
        <v>20</v>
      </c>
      <c r="B909">
        <v>6401795</v>
      </c>
      <c r="C909" t="s">
        <v>460</v>
      </c>
      <c r="D909" t="s">
        <v>21</v>
      </c>
      <c r="E909" t="s">
        <v>140</v>
      </c>
      <c r="K909">
        <v>162.59179920899999</v>
      </c>
      <c r="M909">
        <v>162.59179920899999</v>
      </c>
      <c r="P909" s="1" t="s">
        <v>1649</v>
      </c>
      <c r="Q909" s="1" t="s">
        <v>1650</v>
      </c>
      <c r="R909">
        <v>0.27935700800000002</v>
      </c>
      <c r="S909">
        <v>3.89</v>
      </c>
      <c r="T909" s="2">
        <v>45908</v>
      </c>
      <c r="V909" t="str">
        <f t="shared" si="56"/>
        <v>S-6401795</v>
      </c>
      <c r="W909">
        <f t="shared" si="59"/>
        <v>0</v>
      </c>
      <c r="X909" t="str">
        <f t="shared" si="57"/>
        <v/>
      </c>
      <c r="Y909">
        <f t="shared" si="58"/>
        <v>0.27935700800000002</v>
      </c>
    </row>
    <row r="910" spans="1:25" hidden="1" x14ac:dyDescent="0.4">
      <c r="A910" t="s">
        <v>20</v>
      </c>
      <c r="B910">
        <v>6401795</v>
      </c>
      <c r="C910" t="s">
        <v>460</v>
      </c>
      <c r="D910" t="s">
        <v>21</v>
      </c>
      <c r="E910" t="s">
        <v>147</v>
      </c>
      <c r="K910">
        <v>87.609396434999994</v>
      </c>
      <c r="M910">
        <v>87.609396434999994</v>
      </c>
      <c r="P910" s="1" t="s">
        <v>2015</v>
      </c>
      <c r="Q910" s="1" t="s">
        <v>2016</v>
      </c>
      <c r="R910">
        <v>0.14324015700000001</v>
      </c>
      <c r="S910">
        <v>5.2</v>
      </c>
      <c r="T910" s="2">
        <v>45908</v>
      </c>
      <c r="V910" t="str">
        <f t="shared" si="56"/>
        <v>S-6401795</v>
      </c>
      <c r="W910">
        <f t="shared" si="59"/>
        <v>0</v>
      </c>
      <c r="X910" t="str">
        <f t="shared" si="57"/>
        <v/>
      </c>
      <c r="Y910">
        <f t="shared" si="58"/>
        <v>0.14324015700000001</v>
      </c>
    </row>
    <row r="911" spans="1:25" hidden="1" x14ac:dyDescent="0.4">
      <c r="A911" t="s">
        <v>20</v>
      </c>
      <c r="B911">
        <v>6401795</v>
      </c>
      <c r="C911" t="s">
        <v>460</v>
      </c>
      <c r="D911" t="s">
        <v>21</v>
      </c>
      <c r="E911" t="s">
        <v>22</v>
      </c>
      <c r="K911">
        <v>59.579319116000001</v>
      </c>
      <c r="L911">
        <v>0.17808638099999999</v>
      </c>
      <c r="M911">
        <v>59.401232735000001</v>
      </c>
      <c r="N911">
        <v>0</v>
      </c>
      <c r="O911">
        <v>0</v>
      </c>
      <c r="P911" s="1" t="s">
        <v>461</v>
      </c>
      <c r="Q911">
        <v>1</v>
      </c>
      <c r="R911">
        <v>9.4136270000000008E-3</v>
      </c>
      <c r="S911">
        <v>3.22</v>
      </c>
      <c r="T911" s="2">
        <v>45908</v>
      </c>
      <c r="V911" t="str">
        <f t="shared" si="56"/>
        <v>S-6401795</v>
      </c>
      <c r="W911">
        <f t="shared" si="59"/>
        <v>0</v>
      </c>
      <c r="X911" t="str">
        <f t="shared" si="57"/>
        <v/>
      </c>
      <c r="Y911">
        <f t="shared" si="58"/>
        <v>9.4136270000000008E-3</v>
      </c>
    </row>
    <row r="912" spans="1:25" hidden="1" x14ac:dyDescent="0.4">
      <c r="A912" t="s">
        <v>20</v>
      </c>
      <c r="B912">
        <v>6408995</v>
      </c>
      <c r="C912" t="s">
        <v>462</v>
      </c>
      <c r="D912" t="s">
        <v>21</v>
      </c>
      <c r="E912" t="s">
        <v>137</v>
      </c>
      <c r="K912">
        <v>263.72407890900001</v>
      </c>
      <c r="M912">
        <v>263.72407890900001</v>
      </c>
      <c r="P912" s="1" t="s">
        <v>920</v>
      </c>
      <c r="Q912" s="1" t="s">
        <v>921</v>
      </c>
      <c r="R912">
        <v>0.49602871999999998</v>
      </c>
      <c r="S912">
        <v>5.82</v>
      </c>
      <c r="T912" s="2">
        <v>45909</v>
      </c>
      <c r="V912" t="str">
        <f t="shared" si="56"/>
        <v>S-6408995</v>
      </c>
      <c r="W912">
        <f t="shared" si="59"/>
        <v>0</v>
      </c>
      <c r="X912" t="str">
        <f t="shared" si="57"/>
        <v/>
      </c>
      <c r="Y912">
        <f t="shared" si="58"/>
        <v>0.49602871999999998</v>
      </c>
    </row>
    <row r="913" spans="1:25" hidden="1" x14ac:dyDescent="0.4">
      <c r="A913" t="s">
        <v>20</v>
      </c>
      <c r="B913">
        <v>6408995</v>
      </c>
      <c r="C913" t="s">
        <v>462</v>
      </c>
      <c r="D913" t="s">
        <v>21</v>
      </c>
      <c r="E913" t="s">
        <v>156</v>
      </c>
      <c r="K913">
        <v>190.317898345</v>
      </c>
      <c r="M913">
        <v>190.317898345</v>
      </c>
      <c r="P913" s="1" t="s">
        <v>1284</v>
      </c>
      <c r="Q913" s="1" t="s">
        <v>1285</v>
      </c>
      <c r="R913">
        <v>0.43455872400000001</v>
      </c>
      <c r="S913">
        <v>6.73</v>
      </c>
      <c r="T913" s="2">
        <v>45909</v>
      </c>
      <c r="V913" t="str">
        <f t="shared" si="56"/>
        <v>S-6408995</v>
      </c>
      <c r="W913">
        <f t="shared" si="59"/>
        <v>0</v>
      </c>
      <c r="X913" t="str">
        <f t="shared" si="57"/>
        <v/>
      </c>
      <c r="Y913">
        <f t="shared" si="58"/>
        <v>0.43455872400000001</v>
      </c>
    </row>
    <row r="914" spans="1:25" hidden="1" x14ac:dyDescent="0.4">
      <c r="A914" t="s">
        <v>20</v>
      </c>
      <c r="B914">
        <v>6408995</v>
      </c>
      <c r="C914" t="s">
        <v>462</v>
      </c>
      <c r="D914" t="s">
        <v>21</v>
      </c>
      <c r="E914" t="s">
        <v>140</v>
      </c>
      <c r="K914">
        <v>162.87748307800001</v>
      </c>
      <c r="M914">
        <v>162.87748307800001</v>
      </c>
      <c r="P914" s="1" t="s">
        <v>1651</v>
      </c>
      <c r="Q914" s="1" t="s">
        <v>1652</v>
      </c>
      <c r="R914">
        <v>0.28568386899999998</v>
      </c>
      <c r="S914">
        <v>3.93</v>
      </c>
      <c r="T914" s="2">
        <v>45909</v>
      </c>
      <c r="V914" t="str">
        <f t="shared" si="56"/>
        <v>S-6408995</v>
      </c>
      <c r="W914">
        <f t="shared" si="59"/>
        <v>0</v>
      </c>
      <c r="X914" t="str">
        <f t="shared" si="57"/>
        <v/>
      </c>
      <c r="Y914">
        <f t="shared" si="58"/>
        <v>0.28568386899999998</v>
      </c>
    </row>
    <row r="915" spans="1:25" hidden="1" x14ac:dyDescent="0.4">
      <c r="A915" t="s">
        <v>20</v>
      </c>
      <c r="B915">
        <v>6408995</v>
      </c>
      <c r="C915" t="s">
        <v>462</v>
      </c>
      <c r="D915" t="s">
        <v>21</v>
      </c>
      <c r="E915" t="s">
        <v>147</v>
      </c>
      <c r="K915">
        <v>87.752430411999995</v>
      </c>
      <c r="M915">
        <v>87.752430411999995</v>
      </c>
      <c r="P915" s="1" t="s">
        <v>2017</v>
      </c>
      <c r="Q915" s="1" t="s">
        <v>2018</v>
      </c>
      <c r="R915">
        <v>0.14303397700000001</v>
      </c>
      <c r="S915">
        <v>5.05</v>
      </c>
      <c r="T915" s="2">
        <v>45909</v>
      </c>
      <c r="V915" t="str">
        <f t="shared" si="56"/>
        <v>S-6408995</v>
      </c>
      <c r="W915">
        <f t="shared" si="59"/>
        <v>0</v>
      </c>
      <c r="X915" t="str">
        <f t="shared" si="57"/>
        <v/>
      </c>
      <c r="Y915">
        <f t="shared" si="58"/>
        <v>0.14303397700000001</v>
      </c>
    </row>
    <row r="916" spans="1:25" hidden="1" x14ac:dyDescent="0.4">
      <c r="A916" t="s">
        <v>20</v>
      </c>
      <c r="B916">
        <v>6408995</v>
      </c>
      <c r="C916" t="s">
        <v>462</v>
      </c>
      <c r="D916" t="s">
        <v>21</v>
      </c>
      <c r="E916" t="s">
        <v>22</v>
      </c>
      <c r="K916">
        <v>59.589167840000002</v>
      </c>
      <c r="L916">
        <v>0.17808638099999999</v>
      </c>
      <c r="M916">
        <v>59.411081459000002</v>
      </c>
      <c r="N916">
        <v>0</v>
      </c>
      <c r="O916">
        <v>0</v>
      </c>
      <c r="P916" s="1" t="s">
        <v>463</v>
      </c>
      <c r="Q916">
        <v>1</v>
      </c>
      <c r="R916">
        <v>9.8487239999999997E-3</v>
      </c>
      <c r="S916">
        <v>3.3</v>
      </c>
      <c r="T916" s="2">
        <v>45909</v>
      </c>
      <c r="V916" t="str">
        <f t="shared" si="56"/>
        <v>S-6408995</v>
      </c>
      <c r="W916">
        <f t="shared" si="59"/>
        <v>0</v>
      </c>
      <c r="X916" t="str">
        <f t="shared" si="57"/>
        <v/>
      </c>
      <c r="Y916">
        <f t="shared" si="58"/>
        <v>9.8487239999999997E-3</v>
      </c>
    </row>
    <row r="917" spans="1:25" hidden="1" x14ac:dyDescent="0.4">
      <c r="A917" t="s">
        <v>20</v>
      </c>
      <c r="B917">
        <v>6416194</v>
      </c>
      <c r="C917" t="s">
        <v>464</v>
      </c>
      <c r="D917" t="s">
        <v>21</v>
      </c>
      <c r="E917" t="s">
        <v>137</v>
      </c>
      <c r="K917">
        <v>264.218829997</v>
      </c>
      <c r="M917">
        <v>264.218829997</v>
      </c>
      <c r="P917" s="1" t="s">
        <v>922</v>
      </c>
      <c r="Q917" s="1" t="s">
        <v>923</v>
      </c>
      <c r="R917">
        <v>0.49475108800000001</v>
      </c>
      <c r="S917">
        <v>6.04</v>
      </c>
      <c r="T917" s="2">
        <v>45910</v>
      </c>
      <c r="V917" t="str">
        <f t="shared" si="56"/>
        <v>S-6416194</v>
      </c>
      <c r="W917">
        <f t="shared" si="59"/>
        <v>0</v>
      </c>
      <c r="X917" t="str">
        <f t="shared" si="57"/>
        <v/>
      </c>
      <c r="Y917">
        <f t="shared" si="58"/>
        <v>0.49475108800000001</v>
      </c>
    </row>
    <row r="918" spans="1:25" hidden="1" x14ac:dyDescent="0.4">
      <c r="A918" t="s">
        <v>20</v>
      </c>
      <c r="B918">
        <v>6416194</v>
      </c>
      <c r="C918" t="s">
        <v>464</v>
      </c>
      <c r="D918" t="s">
        <v>21</v>
      </c>
      <c r="E918" t="s">
        <v>156</v>
      </c>
      <c r="K918">
        <v>190.75483582499999</v>
      </c>
      <c r="M918">
        <v>190.75483582499999</v>
      </c>
      <c r="P918" s="1" t="s">
        <v>1286</v>
      </c>
      <c r="Q918" s="1" t="s">
        <v>1287</v>
      </c>
      <c r="R918">
        <v>0.43693747999999999</v>
      </c>
      <c r="S918">
        <v>7.04</v>
      </c>
      <c r="T918" s="2">
        <v>45910</v>
      </c>
      <c r="V918" t="str">
        <f t="shared" si="56"/>
        <v>S-6416194</v>
      </c>
      <c r="W918">
        <f t="shared" si="59"/>
        <v>0</v>
      </c>
      <c r="X918" t="str">
        <f t="shared" si="57"/>
        <v/>
      </c>
      <c r="Y918">
        <f t="shared" si="58"/>
        <v>0.43693747999999999</v>
      </c>
    </row>
    <row r="919" spans="1:25" hidden="1" x14ac:dyDescent="0.4">
      <c r="A919" t="s">
        <v>20</v>
      </c>
      <c r="B919">
        <v>6416194</v>
      </c>
      <c r="C919" t="s">
        <v>464</v>
      </c>
      <c r="D919" t="s">
        <v>21</v>
      </c>
      <c r="E919" t="s">
        <v>140</v>
      </c>
      <c r="K919">
        <v>163.16049145900001</v>
      </c>
      <c r="M919">
        <v>163.16049145900001</v>
      </c>
      <c r="P919" s="1" t="s">
        <v>1653</v>
      </c>
      <c r="Q919" s="1" t="s">
        <v>1654</v>
      </c>
      <c r="R919">
        <v>0.28300838099999998</v>
      </c>
      <c r="S919">
        <v>4.0599999999999996</v>
      </c>
      <c r="T919" s="2">
        <v>45910</v>
      </c>
      <c r="V919" t="str">
        <f t="shared" si="56"/>
        <v>S-6416194</v>
      </c>
      <c r="W919">
        <f t="shared" si="59"/>
        <v>0</v>
      </c>
      <c r="X919" t="str">
        <f t="shared" si="57"/>
        <v/>
      </c>
      <c r="Y919">
        <f t="shared" si="58"/>
        <v>0.28300838099999998</v>
      </c>
    </row>
    <row r="920" spans="1:25" hidden="1" x14ac:dyDescent="0.4">
      <c r="A920" t="s">
        <v>20</v>
      </c>
      <c r="B920">
        <v>6416194</v>
      </c>
      <c r="C920" t="s">
        <v>464</v>
      </c>
      <c r="D920" t="s">
        <v>21</v>
      </c>
      <c r="E920" t="s">
        <v>147</v>
      </c>
      <c r="K920">
        <v>87.901745066999993</v>
      </c>
      <c r="M920">
        <v>87.901745066999993</v>
      </c>
      <c r="P920" s="1" t="s">
        <v>2019</v>
      </c>
      <c r="Q920" s="1" t="s">
        <v>2020</v>
      </c>
      <c r="R920">
        <v>0.14931465499999999</v>
      </c>
      <c r="S920">
        <v>5.47</v>
      </c>
      <c r="T920" s="2">
        <v>45910</v>
      </c>
      <c r="V920" t="str">
        <f t="shared" si="56"/>
        <v>S-6416194</v>
      </c>
      <c r="W920">
        <f t="shared" si="59"/>
        <v>0</v>
      </c>
      <c r="X920" t="str">
        <f t="shared" si="57"/>
        <v/>
      </c>
      <c r="Y920">
        <f t="shared" si="58"/>
        <v>0.14931465499999999</v>
      </c>
    </row>
    <row r="921" spans="1:25" hidden="1" x14ac:dyDescent="0.4">
      <c r="A921" t="s">
        <v>20</v>
      </c>
      <c r="B921">
        <v>6416194</v>
      </c>
      <c r="C921" t="s">
        <v>464</v>
      </c>
      <c r="D921" t="s">
        <v>21</v>
      </c>
      <c r="E921" t="s">
        <v>22</v>
      </c>
      <c r="K921">
        <v>59.599142770999997</v>
      </c>
      <c r="L921">
        <v>0.17808638099999999</v>
      </c>
      <c r="M921">
        <v>59.421056389999997</v>
      </c>
      <c r="N921">
        <v>0</v>
      </c>
      <c r="O921">
        <v>0</v>
      </c>
      <c r="P921" s="1" t="s">
        <v>465</v>
      </c>
      <c r="Q921">
        <v>1</v>
      </c>
      <c r="R921">
        <v>9.9749309999999994E-3</v>
      </c>
      <c r="S921">
        <v>3.46</v>
      </c>
      <c r="T921" s="2">
        <v>45910</v>
      </c>
      <c r="V921" t="str">
        <f t="shared" si="56"/>
        <v>S-6416194</v>
      </c>
      <c r="W921">
        <f t="shared" si="59"/>
        <v>0</v>
      </c>
      <c r="X921" t="str">
        <f t="shared" si="57"/>
        <v/>
      </c>
      <c r="Y921">
        <f t="shared" si="58"/>
        <v>9.9749309999999994E-3</v>
      </c>
    </row>
    <row r="922" spans="1:25" hidden="1" x14ac:dyDescent="0.4">
      <c r="A922" t="s">
        <v>20</v>
      </c>
      <c r="B922">
        <v>6423394</v>
      </c>
      <c r="C922" t="s">
        <v>466</v>
      </c>
      <c r="D922" t="s">
        <v>21</v>
      </c>
      <c r="E922" t="s">
        <v>137</v>
      </c>
      <c r="K922">
        <v>264.71586480100001</v>
      </c>
      <c r="M922">
        <v>264.71586480100001</v>
      </c>
      <c r="P922" s="1" t="s">
        <v>924</v>
      </c>
      <c r="Q922" s="1" t="s">
        <v>925</v>
      </c>
      <c r="R922">
        <v>0.497034804</v>
      </c>
      <c r="S922">
        <v>6.24</v>
      </c>
      <c r="T922" s="2">
        <v>45911</v>
      </c>
      <c r="V922" t="str">
        <f t="shared" si="56"/>
        <v>S-6423394</v>
      </c>
      <c r="W922">
        <f t="shared" si="59"/>
        <v>0</v>
      </c>
      <c r="X922" t="str">
        <f t="shared" si="57"/>
        <v/>
      </c>
      <c r="Y922">
        <f t="shared" si="58"/>
        <v>0.497034804</v>
      </c>
    </row>
    <row r="923" spans="1:25" hidden="1" x14ac:dyDescent="0.4">
      <c r="A923" t="s">
        <v>20</v>
      </c>
      <c r="B923">
        <v>6423394</v>
      </c>
      <c r="C923" t="s">
        <v>466</v>
      </c>
      <c r="D923" t="s">
        <v>21</v>
      </c>
      <c r="E923" t="s">
        <v>156</v>
      </c>
      <c r="K923">
        <v>191.19312938300001</v>
      </c>
      <c r="M923">
        <v>191.19312938300001</v>
      </c>
      <c r="P923" s="1" t="s">
        <v>1288</v>
      </c>
      <c r="Q923" s="1" t="s">
        <v>1289</v>
      </c>
      <c r="R923">
        <v>0.43829355800000003</v>
      </c>
      <c r="S923">
        <v>7.23</v>
      </c>
      <c r="T923" s="2">
        <v>45911</v>
      </c>
      <c r="V923" t="str">
        <f t="shared" si="56"/>
        <v>S-6423394</v>
      </c>
      <c r="W923">
        <f t="shared" si="59"/>
        <v>0</v>
      </c>
      <c r="X923" t="str">
        <f t="shared" si="57"/>
        <v/>
      </c>
      <c r="Y923">
        <f t="shared" si="58"/>
        <v>0.43829355800000003</v>
      </c>
    </row>
    <row r="924" spans="1:25" hidden="1" x14ac:dyDescent="0.4">
      <c r="A924" t="s">
        <v>20</v>
      </c>
      <c r="B924">
        <v>6423394</v>
      </c>
      <c r="C924" t="s">
        <v>466</v>
      </c>
      <c r="D924" t="s">
        <v>21</v>
      </c>
      <c r="E924" t="s">
        <v>140</v>
      </c>
      <c r="K924">
        <v>163.44151991199999</v>
      </c>
      <c r="M924">
        <v>163.44151991199999</v>
      </c>
      <c r="P924" s="1" t="s">
        <v>1655</v>
      </c>
      <c r="Q924" s="1" t="s">
        <v>1656</v>
      </c>
      <c r="R924">
        <v>0.28102845300000001</v>
      </c>
      <c r="S924">
        <v>4.12</v>
      </c>
      <c r="T924" s="2">
        <v>45911</v>
      </c>
      <c r="V924" t="str">
        <f t="shared" si="56"/>
        <v>S-6423394</v>
      </c>
      <c r="W924">
        <f t="shared" si="59"/>
        <v>0</v>
      </c>
      <c r="X924" t="str">
        <f t="shared" si="57"/>
        <v/>
      </c>
      <c r="Y924">
        <f t="shared" si="58"/>
        <v>0.28102845300000001</v>
      </c>
    </row>
    <row r="925" spans="1:25" hidden="1" x14ac:dyDescent="0.4">
      <c r="A925" t="s">
        <v>20</v>
      </c>
      <c r="B925">
        <v>6423394</v>
      </c>
      <c r="C925" t="s">
        <v>466</v>
      </c>
      <c r="D925" t="s">
        <v>21</v>
      </c>
      <c r="E925" t="s">
        <v>147</v>
      </c>
      <c r="K925">
        <v>88.061531649000003</v>
      </c>
      <c r="M925">
        <v>88.061531649000003</v>
      </c>
      <c r="P925" s="1" t="s">
        <v>2021</v>
      </c>
      <c r="Q925" s="1" t="s">
        <v>2022</v>
      </c>
      <c r="R925">
        <v>0.15978658200000001</v>
      </c>
      <c r="S925">
        <v>6.02</v>
      </c>
      <c r="T925" s="2">
        <v>45911</v>
      </c>
      <c r="V925" t="str">
        <f t="shared" si="56"/>
        <v>S-6423394</v>
      </c>
      <c r="W925">
        <f t="shared" si="59"/>
        <v>0</v>
      </c>
      <c r="X925" t="str">
        <f t="shared" si="57"/>
        <v/>
      </c>
      <c r="Y925">
        <f t="shared" si="58"/>
        <v>0.15978658200000001</v>
      </c>
    </row>
    <row r="926" spans="1:25" hidden="1" x14ac:dyDescent="0.4">
      <c r="A926" t="s">
        <v>20</v>
      </c>
      <c r="B926">
        <v>6423394</v>
      </c>
      <c r="C926" t="s">
        <v>466</v>
      </c>
      <c r="D926" t="s">
        <v>21</v>
      </c>
      <c r="E926" t="s">
        <v>22</v>
      </c>
      <c r="K926">
        <v>59.609568564</v>
      </c>
      <c r="L926">
        <v>0.17808638099999999</v>
      </c>
      <c r="M926">
        <v>59.431482183</v>
      </c>
      <c r="N926">
        <v>0</v>
      </c>
      <c r="O926">
        <v>0</v>
      </c>
      <c r="P926" s="1" t="s">
        <v>467</v>
      </c>
      <c r="Q926">
        <v>1</v>
      </c>
      <c r="R926">
        <v>1.0425792999999999E-2</v>
      </c>
      <c r="S926">
        <v>3.73</v>
      </c>
      <c r="T926" s="2">
        <v>45911</v>
      </c>
      <c r="V926" t="str">
        <f t="shared" si="56"/>
        <v>S-6423394</v>
      </c>
      <c r="W926">
        <f t="shared" si="59"/>
        <v>0</v>
      </c>
      <c r="X926" t="str">
        <f t="shared" si="57"/>
        <v/>
      </c>
      <c r="Y926">
        <f t="shared" si="58"/>
        <v>1.0425792999999999E-2</v>
      </c>
    </row>
    <row r="927" spans="1:25" hidden="1" x14ac:dyDescent="0.4">
      <c r="A927" t="s">
        <v>20</v>
      </c>
      <c r="B927">
        <v>6430594</v>
      </c>
      <c r="C927" t="s">
        <v>468</v>
      </c>
      <c r="D927" t="s">
        <v>21</v>
      </c>
      <c r="E927" t="s">
        <v>137</v>
      </c>
      <c r="K927">
        <v>265.21014162799997</v>
      </c>
      <c r="M927">
        <v>265.21014162799997</v>
      </c>
      <c r="P927" s="1" t="s">
        <v>926</v>
      </c>
      <c r="Q927" s="1" t="s">
        <v>927</v>
      </c>
      <c r="R927">
        <v>0.49427682699999997</v>
      </c>
      <c r="S927">
        <v>6.47</v>
      </c>
      <c r="T927" s="2">
        <v>45912</v>
      </c>
      <c r="V927" t="str">
        <f t="shared" si="56"/>
        <v>S-6430594</v>
      </c>
      <c r="W927">
        <f t="shared" si="59"/>
        <v>0</v>
      </c>
      <c r="X927" t="str">
        <f t="shared" si="57"/>
        <v/>
      </c>
      <c r="Y927">
        <f t="shared" si="58"/>
        <v>0.49427682699999997</v>
      </c>
    </row>
    <row r="928" spans="1:25" hidden="1" x14ac:dyDescent="0.4">
      <c r="A928" t="s">
        <v>20</v>
      </c>
      <c r="B928">
        <v>6430594</v>
      </c>
      <c r="C928" t="s">
        <v>468</v>
      </c>
      <c r="D928" t="s">
        <v>21</v>
      </c>
      <c r="E928" t="s">
        <v>156</v>
      </c>
      <c r="K928">
        <v>191.632885039</v>
      </c>
      <c r="M928">
        <v>191.632885039</v>
      </c>
      <c r="P928" s="1" t="s">
        <v>1290</v>
      </c>
      <c r="Q928" s="1" t="s">
        <v>1291</v>
      </c>
      <c r="R928">
        <v>0.43975565599999999</v>
      </c>
      <c r="S928">
        <v>7.4</v>
      </c>
      <c r="T928" s="2">
        <v>45912</v>
      </c>
      <c r="V928" t="str">
        <f t="shared" si="56"/>
        <v>S-6430594</v>
      </c>
      <c r="W928">
        <f t="shared" si="59"/>
        <v>0</v>
      </c>
      <c r="X928" t="str">
        <f t="shared" si="57"/>
        <v/>
      </c>
      <c r="Y928">
        <f t="shared" si="58"/>
        <v>0.43975565599999999</v>
      </c>
    </row>
    <row r="929" spans="1:25" hidden="1" x14ac:dyDescent="0.4">
      <c r="A929" t="s">
        <v>20</v>
      </c>
      <c r="B929">
        <v>6430594</v>
      </c>
      <c r="C929" t="s">
        <v>468</v>
      </c>
      <c r="D929" t="s">
        <v>21</v>
      </c>
      <c r="E929" t="s">
        <v>140</v>
      </c>
      <c r="K929">
        <v>163.723363116</v>
      </c>
      <c r="M929">
        <v>163.723363116</v>
      </c>
      <c r="P929" s="1" t="s">
        <v>1657</v>
      </c>
      <c r="Q929" s="1" t="s">
        <v>1658</v>
      </c>
      <c r="R929">
        <v>0.28184320400000001</v>
      </c>
      <c r="S929">
        <v>4.1900000000000004</v>
      </c>
      <c r="T929" s="2">
        <v>45912</v>
      </c>
      <c r="V929" t="str">
        <f t="shared" si="56"/>
        <v>S-6430594</v>
      </c>
      <c r="W929">
        <f t="shared" si="59"/>
        <v>0</v>
      </c>
      <c r="X929" t="str">
        <f t="shared" si="57"/>
        <v/>
      </c>
      <c r="Y929">
        <f t="shared" si="58"/>
        <v>0.28184320400000001</v>
      </c>
    </row>
    <row r="930" spans="1:25" hidden="1" x14ac:dyDescent="0.4">
      <c r="A930" t="s">
        <v>20</v>
      </c>
      <c r="B930">
        <v>6430594</v>
      </c>
      <c r="C930" t="s">
        <v>468</v>
      </c>
      <c r="D930" t="s">
        <v>21</v>
      </c>
      <c r="E930" t="s">
        <v>147</v>
      </c>
      <c r="K930">
        <v>88.225616561999999</v>
      </c>
      <c r="M930">
        <v>88.225616561999999</v>
      </c>
      <c r="P930" s="1" t="s">
        <v>2023</v>
      </c>
      <c r="Q930" s="1" t="s">
        <v>2024</v>
      </c>
      <c r="R930">
        <v>0.164084913</v>
      </c>
      <c r="S930">
        <v>6.24</v>
      </c>
      <c r="T930" s="2">
        <v>45912</v>
      </c>
      <c r="V930" t="str">
        <f t="shared" si="56"/>
        <v>S-6430594</v>
      </c>
      <c r="W930">
        <f t="shared" si="59"/>
        <v>0</v>
      </c>
      <c r="X930" t="str">
        <f t="shared" si="57"/>
        <v/>
      </c>
      <c r="Y930">
        <f t="shared" si="58"/>
        <v>0.164084913</v>
      </c>
    </row>
    <row r="931" spans="1:25" hidden="1" x14ac:dyDescent="0.4">
      <c r="A931" t="s">
        <v>20</v>
      </c>
      <c r="B931">
        <v>6430594</v>
      </c>
      <c r="C931" t="s">
        <v>468</v>
      </c>
      <c r="D931" t="s">
        <v>21</v>
      </c>
      <c r="E931" t="s">
        <v>22</v>
      </c>
      <c r="K931">
        <v>59.619798764000002</v>
      </c>
      <c r="L931">
        <v>0.17808638099999999</v>
      </c>
      <c r="M931">
        <v>59.441712383000002</v>
      </c>
      <c r="N931">
        <v>0</v>
      </c>
      <c r="O931">
        <v>0</v>
      </c>
      <c r="P931" s="1" t="s">
        <v>469</v>
      </c>
      <c r="Q931">
        <v>1</v>
      </c>
      <c r="R931">
        <v>1.02302E-2</v>
      </c>
      <c r="S931">
        <v>3.68</v>
      </c>
      <c r="T931" s="2">
        <v>45912</v>
      </c>
      <c r="V931" t="str">
        <f t="shared" si="56"/>
        <v>S-6430594</v>
      </c>
      <c r="W931">
        <f t="shared" si="59"/>
        <v>0</v>
      </c>
      <c r="X931" t="str">
        <f t="shared" si="57"/>
        <v/>
      </c>
      <c r="Y931">
        <f t="shared" si="58"/>
        <v>1.02302E-2</v>
      </c>
    </row>
    <row r="932" spans="1:25" hidden="1" x14ac:dyDescent="0.4">
      <c r="A932" t="s">
        <v>20</v>
      </c>
      <c r="B932">
        <v>6437794</v>
      </c>
      <c r="C932" t="s">
        <v>470</v>
      </c>
      <c r="D932" t="s">
        <v>21</v>
      </c>
      <c r="E932" t="s">
        <v>137</v>
      </c>
      <c r="K932">
        <v>265.69851495699999</v>
      </c>
      <c r="M932">
        <v>265.69851495699999</v>
      </c>
      <c r="P932" s="1" t="s">
        <v>928</v>
      </c>
      <c r="Q932" s="1" t="s">
        <v>929</v>
      </c>
      <c r="R932">
        <v>0.48837332900000002</v>
      </c>
      <c r="S932">
        <v>6.25</v>
      </c>
      <c r="T932" s="2">
        <v>45913</v>
      </c>
      <c r="V932" t="str">
        <f t="shared" si="56"/>
        <v>S-6437794</v>
      </c>
      <c r="W932">
        <f t="shared" si="59"/>
        <v>0</v>
      </c>
      <c r="X932" t="str">
        <f t="shared" si="57"/>
        <v/>
      </c>
      <c r="Y932">
        <f t="shared" si="58"/>
        <v>0.48837332900000002</v>
      </c>
    </row>
    <row r="933" spans="1:25" hidden="1" x14ac:dyDescent="0.4">
      <c r="A933" t="s">
        <v>20</v>
      </c>
      <c r="B933">
        <v>6437794</v>
      </c>
      <c r="C933" t="s">
        <v>470</v>
      </c>
      <c r="D933" t="s">
        <v>21</v>
      </c>
      <c r="E933" t="s">
        <v>156</v>
      </c>
      <c r="K933">
        <v>192.06768258</v>
      </c>
      <c r="M933">
        <v>192.06768258</v>
      </c>
      <c r="P933" s="1" t="s">
        <v>1292</v>
      </c>
      <c r="Q933" s="1" t="s">
        <v>1293</v>
      </c>
      <c r="R933">
        <v>0.43479754100000001</v>
      </c>
      <c r="S933">
        <v>7.37</v>
      </c>
      <c r="T933" s="2">
        <v>45913</v>
      </c>
      <c r="V933" t="str">
        <f t="shared" si="56"/>
        <v>S-6437794</v>
      </c>
      <c r="W933">
        <f t="shared" si="59"/>
        <v>0</v>
      </c>
      <c r="X933" t="str">
        <f t="shared" si="57"/>
        <v/>
      </c>
      <c r="Y933">
        <f t="shared" si="58"/>
        <v>0.43479754100000001</v>
      </c>
    </row>
    <row r="934" spans="1:25" hidden="1" x14ac:dyDescent="0.4">
      <c r="A934" t="s">
        <v>20</v>
      </c>
      <c r="B934">
        <v>6437794</v>
      </c>
      <c r="C934" t="s">
        <v>470</v>
      </c>
      <c r="D934" t="s">
        <v>21</v>
      </c>
      <c r="E934" t="s">
        <v>140</v>
      </c>
      <c r="K934">
        <v>164.00265012099999</v>
      </c>
      <c r="M934">
        <v>164.00265012099999</v>
      </c>
      <c r="P934" s="1" t="s">
        <v>1659</v>
      </c>
      <c r="Q934" s="1" t="s">
        <v>1660</v>
      </c>
      <c r="R934">
        <v>0.27928700499999998</v>
      </c>
      <c r="S934">
        <v>4.1900000000000004</v>
      </c>
      <c r="T934" s="2">
        <v>45913</v>
      </c>
      <c r="V934" t="str">
        <f t="shared" si="56"/>
        <v>S-6437794</v>
      </c>
      <c r="W934">
        <f t="shared" si="59"/>
        <v>0</v>
      </c>
      <c r="X934" t="str">
        <f t="shared" si="57"/>
        <v/>
      </c>
      <c r="Y934">
        <f t="shared" si="58"/>
        <v>0.27928700499999998</v>
      </c>
    </row>
    <row r="935" spans="1:25" hidden="1" x14ac:dyDescent="0.4">
      <c r="A935" t="s">
        <v>20</v>
      </c>
      <c r="B935">
        <v>6437794</v>
      </c>
      <c r="C935" t="s">
        <v>470</v>
      </c>
      <c r="D935" t="s">
        <v>21</v>
      </c>
      <c r="E935" t="s">
        <v>147</v>
      </c>
      <c r="K935">
        <v>88.386719830000004</v>
      </c>
      <c r="M935">
        <v>88.386719830000004</v>
      </c>
      <c r="P935" s="1" t="s">
        <v>2025</v>
      </c>
      <c r="Q935" s="1" t="s">
        <v>2026</v>
      </c>
      <c r="R935">
        <v>0.16110326799999999</v>
      </c>
      <c r="S935">
        <v>6.2</v>
      </c>
      <c r="T935" s="2">
        <v>45913</v>
      </c>
      <c r="V935" t="str">
        <f t="shared" si="56"/>
        <v>S-6437794</v>
      </c>
      <c r="W935">
        <f t="shared" si="59"/>
        <v>0</v>
      </c>
      <c r="X935" t="str">
        <f t="shared" si="57"/>
        <v/>
      </c>
      <c r="Y935">
        <f t="shared" si="58"/>
        <v>0.16110326799999999</v>
      </c>
    </row>
    <row r="936" spans="1:25" hidden="1" x14ac:dyDescent="0.4">
      <c r="A936" t="s">
        <v>20</v>
      </c>
      <c r="B936">
        <v>6437794</v>
      </c>
      <c r="C936" t="s">
        <v>470</v>
      </c>
      <c r="D936" t="s">
        <v>21</v>
      </c>
      <c r="E936" t="s">
        <v>22</v>
      </c>
      <c r="K936">
        <v>59.630028170999999</v>
      </c>
      <c r="L936">
        <v>0.17808638099999999</v>
      </c>
      <c r="M936">
        <v>59.451941789999999</v>
      </c>
      <c r="N936">
        <v>0</v>
      </c>
      <c r="O936">
        <v>0</v>
      </c>
      <c r="P936" s="1" t="s">
        <v>471</v>
      </c>
      <c r="Q936">
        <v>1</v>
      </c>
      <c r="R936">
        <v>1.0229406999999999E-2</v>
      </c>
      <c r="S936">
        <v>3.66</v>
      </c>
      <c r="T936" s="2">
        <v>45913</v>
      </c>
      <c r="V936" t="str">
        <f t="shared" si="56"/>
        <v>S-6437794</v>
      </c>
      <c r="W936">
        <f t="shared" si="59"/>
        <v>0</v>
      </c>
      <c r="X936" t="str">
        <f t="shared" si="57"/>
        <v/>
      </c>
      <c r="Y936">
        <f t="shared" si="58"/>
        <v>1.0229406999999999E-2</v>
      </c>
    </row>
    <row r="937" spans="1:25" hidden="1" x14ac:dyDescent="0.4">
      <c r="A937" t="s">
        <v>20</v>
      </c>
      <c r="B937">
        <v>6444994</v>
      </c>
      <c r="C937" t="s">
        <v>472</v>
      </c>
      <c r="D937" t="s">
        <v>21</v>
      </c>
      <c r="E937" t="s">
        <v>137</v>
      </c>
      <c r="K937">
        <v>266.18582922500002</v>
      </c>
      <c r="M937">
        <v>266.18582922500002</v>
      </c>
      <c r="P937" s="1" t="s">
        <v>930</v>
      </c>
      <c r="Q937" s="1" t="s">
        <v>931</v>
      </c>
      <c r="R937">
        <v>0.48731426799999999</v>
      </c>
      <c r="S937">
        <v>5.95</v>
      </c>
      <c r="T937" s="2">
        <v>45914</v>
      </c>
      <c r="V937" t="str">
        <f t="shared" si="56"/>
        <v>S-6444994</v>
      </c>
      <c r="W937">
        <f t="shared" si="59"/>
        <v>0</v>
      </c>
      <c r="X937" t="str">
        <f t="shared" si="57"/>
        <v/>
      </c>
      <c r="Y937">
        <f t="shared" si="58"/>
        <v>0.48731426799999999</v>
      </c>
    </row>
    <row r="938" spans="1:25" hidden="1" x14ac:dyDescent="0.4">
      <c r="A938" t="s">
        <v>20</v>
      </c>
      <c r="B938">
        <v>6444994</v>
      </c>
      <c r="C938" t="s">
        <v>472</v>
      </c>
      <c r="D938" t="s">
        <v>21</v>
      </c>
      <c r="E938" t="s">
        <v>156</v>
      </c>
      <c r="K938">
        <v>192.49959981999999</v>
      </c>
      <c r="M938">
        <v>192.49959981999999</v>
      </c>
      <c r="P938" s="1" t="s">
        <v>1294</v>
      </c>
      <c r="Q938" s="1" t="s">
        <v>1295</v>
      </c>
      <c r="R938">
        <v>0.43191723999999998</v>
      </c>
      <c r="S938">
        <v>7.13</v>
      </c>
      <c r="T938" s="2">
        <v>45914</v>
      </c>
      <c r="V938" t="str">
        <f t="shared" si="56"/>
        <v>S-6444994</v>
      </c>
      <c r="W938">
        <f t="shared" si="59"/>
        <v>0</v>
      </c>
      <c r="X938" t="str">
        <f t="shared" si="57"/>
        <v/>
      </c>
      <c r="Y938">
        <f t="shared" si="58"/>
        <v>0.43191723999999998</v>
      </c>
    </row>
    <row r="939" spans="1:25" hidden="1" x14ac:dyDescent="0.4">
      <c r="A939" t="s">
        <v>20</v>
      </c>
      <c r="B939">
        <v>6444994</v>
      </c>
      <c r="C939" t="s">
        <v>472</v>
      </c>
      <c r="D939" t="s">
        <v>21</v>
      </c>
      <c r="E939" t="s">
        <v>140</v>
      </c>
      <c r="K939">
        <v>164.27743671299999</v>
      </c>
      <c r="M939">
        <v>164.27743671299999</v>
      </c>
      <c r="P939" s="1" t="s">
        <v>1661</v>
      </c>
      <c r="Q939" s="1" t="s">
        <v>1662</v>
      </c>
      <c r="R939">
        <v>0.274786592</v>
      </c>
      <c r="S939">
        <v>3.98</v>
      </c>
      <c r="T939" s="2">
        <v>45914</v>
      </c>
      <c r="V939" t="str">
        <f t="shared" si="56"/>
        <v>S-6444994</v>
      </c>
      <c r="W939">
        <f t="shared" si="59"/>
        <v>0</v>
      </c>
      <c r="X939" t="str">
        <f t="shared" si="57"/>
        <v/>
      </c>
      <c r="Y939">
        <f t="shared" si="58"/>
        <v>0.274786592</v>
      </c>
    </row>
    <row r="940" spans="1:25" hidden="1" x14ac:dyDescent="0.4">
      <c r="A940" t="s">
        <v>20</v>
      </c>
      <c r="B940">
        <v>6444994</v>
      </c>
      <c r="C940" t="s">
        <v>472</v>
      </c>
      <c r="D940" t="s">
        <v>21</v>
      </c>
      <c r="E940" t="s">
        <v>147</v>
      </c>
      <c r="K940">
        <v>88.534004641999999</v>
      </c>
      <c r="M940">
        <v>88.534004641999999</v>
      </c>
      <c r="P940" s="1" t="s">
        <v>2027</v>
      </c>
      <c r="Q940" s="1" t="s">
        <v>2028</v>
      </c>
      <c r="R940">
        <v>0.14728481199999999</v>
      </c>
      <c r="S940">
        <v>5.43</v>
      </c>
      <c r="T940" s="2">
        <v>45914</v>
      </c>
      <c r="V940" t="str">
        <f t="shared" si="56"/>
        <v>S-6444994</v>
      </c>
      <c r="W940">
        <f t="shared" si="59"/>
        <v>0</v>
      </c>
      <c r="X940" t="str">
        <f t="shared" si="57"/>
        <v/>
      </c>
      <c r="Y940">
        <f t="shared" si="58"/>
        <v>0.14728481199999999</v>
      </c>
    </row>
    <row r="941" spans="1:25" hidden="1" x14ac:dyDescent="0.4">
      <c r="A941" t="s">
        <v>20</v>
      </c>
      <c r="B941">
        <v>6444994</v>
      </c>
      <c r="C941" t="s">
        <v>472</v>
      </c>
      <c r="D941" t="s">
        <v>21</v>
      </c>
      <c r="E941" t="s">
        <v>22</v>
      </c>
      <c r="K941">
        <v>59.639642950000002</v>
      </c>
      <c r="L941">
        <v>0.17808638099999999</v>
      </c>
      <c r="M941">
        <v>59.461556569000003</v>
      </c>
      <c r="N941">
        <v>0</v>
      </c>
      <c r="O941">
        <v>0</v>
      </c>
      <c r="P941" s="1" t="s">
        <v>473</v>
      </c>
      <c r="Q941">
        <v>1</v>
      </c>
      <c r="R941">
        <v>9.6147790000000004E-3</v>
      </c>
      <c r="S941">
        <v>3.36</v>
      </c>
      <c r="T941" s="2">
        <v>45914</v>
      </c>
      <c r="V941" t="str">
        <f t="shared" si="56"/>
        <v>S-6444994</v>
      </c>
      <c r="W941">
        <f t="shared" si="59"/>
        <v>0</v>
      </c>
      <c r="X941" t="str">
        <f t="shared" si="57"/>
        <v/>
      </c>
      <c r="Y941">
        <f t="shared" si="58"/>
        <v>9.6147790000000004E-3</v>
      </c>
    </row>
    <row r="942" spans="1:25" hidden="1" x14ac:dyDescent="0.4">
      <c r="A942" t="s">
        <v>20</v>
      </c>
      <c r="B942">
        <v>6452194</v>
      </c>
      <c r="C942" t="s">
        <v>474</v>
      </c>
      <c r="D942" t="s">
        <v>21</v>
      </c>
      <c r="E942" t="s">
        <v>137</v>
      </c>
      <c r="K942">
        <v>266.673950972</v>
      </c>
      <c r="M942">
        <v>266.673950972</v>
      </c>
      <c r="P942" s="1" t="s">
        <v>932</v>
      </c>
      <c r="Q942" s="1" t="s">
        <v>933</v>
      </c>
      <c r="R942">
        <v>0.48812174699999999</v>
      </c>
      <c r="S942">
        <v>5.95</v>
      </c>
      <c r="T942" s="2">
        <v>45915</v>
      </c>
      <c r="V942" t="str">
        <f t="shared" si="56"/>
        <v>S-6452194</v>
      </c>
      <c r="W942">
        <f t="shared" si="59"/>
        <v>0</v>
      </c>
      <c r="X942" t="str">
        <f t="shared" si="57"/>
        <v/>
      </c>
      <c r="Y942">
        <f t="shared" si="58"/>
        <v>0.48812174699999999</v>
      </c>
    </row>
    <row r="943" spans="1:25" hidden="1" x14ac:dyDescent="0.4">
      <c r="A943" t="s">
        <v>20</v>
      </c>
      <c r="B943">
        <v>6452194</v>
      </c>
      <c r="C943" t="s">
        <v>474</v>
      </c>
      <c r="D943" t="s">
        <v>21</v>
      </c>
      <c r="E943" t="s">
        <v>156</v>
      </c>
      <c r="K943">
        <v>192.92935868199999</v>
      </c>
      <c r="M943">
        <v>192.92935868199999</v>
      </c>
      <c r="P943" s="1" t="s">
        <v>1296</v>
      </c>
      <c r="Q943" s="1" t="s">
        <v>1297</v>
      </c>
      <c r="R943">
        <v>0.42975886200000002</v>
      </c>
      <c r="S943">
        <v>6.97</v>
      </c>
      <c r="T943" s="2">
        <v>45915</v>
      </c>
      <c r="V943" t="str">
        <f t="shared" si="56"/>
        <v>S-6452194</v>
      </c>
      <c r="W943">
        <f t="shared" si="59"/>
        <v>0</v>
      </c>
      <c r="X943" t="str">
        <f t="shared" si="57"/>
        <v/>
      </c>
      <c r="Y943">
        <f t="shared" si="58"/>
        <v>0.42975886200000002</v>
      </c>
    </row>
    <row r="944" spans="1:25" hidden="1" x14ac:dyDescent="0.4">
      <c r="A944" t="s">
        <v>20</v>
      </c>
      <c r="B944">
        <v>6452194</v>
      </c>
      <c r="C944" t="s">
        <v>474</v>
      </c>
      <c r="D944" t="s">
        <v>21</v>
      </c>
      <c r="E944" t="s">
        <v>140</v>
      </c>
      <c r="K944">
        <v>164.55287146800001</v>
      </c>
      <c r="M944">
        <v>164.55287146800001</v>
      </c>
      <c r="P944" s="1" t="s">
        <v>1663</v>
      </c>
      <c r="Q944" s="1" t="s">
        <v>1664</v>
      </c>
      <c r="R944">
        <v>0.27543475499999998</v>
      </c>
      <c r="S944">
        <v>3.91</v>
      </c>
      <c r="T944" s="2">
        <v>45915</v>
      </c>
      <c r="V944" t="str">
        <f t="shared" si="56"/>
        <v>S-6452194</v>
      </c>
      <c r="W944">
        <f t="shared" si="59"/>
        <v>0</v>
      </c>
      <c r="X944" t="str">
        <f t="shared" si="57"/>
        <v/>
      </c>
      <c r="Y944">
        <f t="shared" si="58"/>
        <v>0.27543475499999998</v>
      </c>
    </row>
    <row r="945" spans="1:25" hidden="1" x14ac:dyDescent="0.4">
      <c r="A945" t="s">
        <v>20</v>
      </c>
      <c r="B945">
        <v>6452194</v>
      </c>
      <c r="C945" t="s">
        <v>474</v>
      </c>
      <c r="D945" t="s">
        <v>21</v>
      </c>
      <c r="E945" t="s">
        <v>147</v>
      </c>
      <c r="K945">
        <v>88.677685017000002</v>
      </c>
      <c r="M945">
        <v>88.677685017000002</v>
      </c>
      <c r="P945" s="1" t="s">
        <v>2029</v>
      </c>
      <c r="Q945" s="1" t="s">
        <v>2030</v>
      </c>
      <c r="R945">
        <v>0.143680375</v>
      </c>
      <c r="S945">
        <v>5.15</v>
      </c>
      <c r="T945" s="2">
        <v>45915</v>
      </c>
      <c r="V945" t="str">
        <f t="shared" si="56"/>
        <v>S-6452194</v>
      </c>
      <c r="W945">
        <f t="shared" si="59"/>
        <v>0</v>
      </c>
      <c r="X945" t="str">
        <f t="shared" si="57"/>
        <v/>
      </c>
      <c r="Y945">
        <f t="shared" si="58"/>
        <v>0.143680375</v>
      </c>
    </row>
    <row r="946" spans="1:25" hidden="1" x14ac:dyDescent="0.4">
      <c r="A946" t="s">
        <v>20</v>
      </c>
      <c r="B946">
        <v>6452194</v>
      </c>
      <c r="C946" t="s">
        <v>474</v>
      </c>
      <c r="D946" t="s">
        <v>21</v>
      </c>
      <c r="E946" t="s">
        <v>22</v>
      </c>
      <c r="K946">
        <v>59.648765724999997</v>
      </c>
      <c r="L946">
        <v>0.17808638099999999</v>
      </c>
      <c r="M946">
        <v>59.470679343999997</v>
      </c>
      <c r="N946">
        <v>0</v>
      </c>
      <c r="O946">
        <v>0</v>
      </c>
      <c r="P946" s="1" t="s">
        <v>475</v>
      </c>
      <c r="Q946">
        <v>1</v>
      </c>
      <c r="R946">
        <v>9.1227749999999996E-3</v>
      </c>
      <c r="S946">
        <v>3.12</v>
      </c>
      <c r="T946" s="2">
        <v>45915</v>
      </c>
      <c r="V946" t="str">
        <f t="shared" si="56"/>
        <v>S-6452194</v>
      </c>
      <c r="W946">
        <f t="shared" si="59"/>
        <v>0</v>
      </c>
      <c r="X946" t="str">
        <f t="shared" si="57"/>
        <v/>
      </c>
      <c r="Y946">
        <f t="shared" si="58"/>
        <v>9.1227749999999996E-3</v>
      </c>
    </row>
    <row r="947" spans="1:25" hidden="1" x14ac:dyDescent="0.4">
      <c r="A947" t="s">
        <v>20</v>
      </c>
      <c r="B947">
        <v>6459394</v>
      </c>
      <c r="C947" t="s">
        <v>476</v>
      </c>
      <c r="D947" t="s">
        <v>21</v>
      </c>
      <c r="E947" t="s">
        <v>137</v>
      </c>
      <c r="K947">
        <v>267.15931092599999</v>
      </c>
      <c r="M947">
        <v>267.15931092599999</v>
      </c>
      <c r="P947" s="1" t="s">
        <v>934</v>
      </c>
      <c r="Q947" s="1" t="s">
        <v>935</v>
      </c>
      <c r="R947">
        <v>0.48535995399999998</v>
      </c>
      <c r="S947">
        <v>5.86</v>
      </c>
      <c r="T947" s="2">
        <v>45916</v>
      </c>
      <c r="V947" t="str">
        <f t="shared" si="56"/>
        <v>S-6459394</v>
      </c>
      <c r="W947">
        <f t="shared" si="59"/>
        <v>0</v>
      </c>
      <c r="X947" t="str">
        <f t="shared" si="57"/>
        <v/>
      </c>
      <c r="Y947">
        <f t="shared" si="58"/>
        <v>0.48535995399999998</v>
      </c>
    </row>
    <row r="948" spans="1:25" hidden="1" x14ac:dyDescent="0.4">
      <c r="A948" t="s">
        <v>20</v>
      </c>
      <c r="B948">
        <v>6459394</v>
      </c>
      <c r="C948" t="s">
        <v>476</v>
      </c>
      <c r="D948" t="s">
        <v>21</v>
      </c>
      <c r="E948" t="s">
        <v>156</v>
      </c>
      <c r="K948">
        <v>193.35065042599999</v>
      </c>
      <c r="M948">
        <v>193.35065042599999</v>
      </c>
      <c r="P948" s="1" t="s">
        <v>1298</v>
      </c>
      <c r="Q948" s="1" t="s">
        <v>1299</v>
      </c>
      <c r="R948">
        <v>0.42129174400000002</v>
      </c>
      <c r="S948">
        <v>6.88</v>
      </c>
      <c r="T948" s="2">
        <v>45916</v>
      </c>
      <c r="V948" t="str">
        <f t="shared" si="56"/>
        <v>S-6459394</v>
      </c>
      <c r="W948">
        <f t="shared" si="59"/>
        <v>0</v>
      </c>
      <c r="X948" t="str">
        <f t="shared" si="57"/>
        <v/>
      </c>
      <c r="Y948">
        <f t="shared" si="58"/>
        <v>0.42129174400000002</v>
      </c>
    </row>
    <row r="949" spans="1:25" hidden="1" x14ac:dyDescent="0.4">
      <c r="A949" t="s">
        <v>20</v>
      </c>
      <c r="B949">
        <v>6459394</v>
      </c>
      <c r="C949" t="s">
        <v>476</v>
      </c>
      <c r="D949" t="s">
        <v>21</v>
      </c>
      <c r="E949" t="s">
        <v>140</v>
      </c>
      <c r="K949">
        <v>164.83395493699999</v>
      </c>
      <c r="M949">
        <v>164.83395493699999</v>
      </c>
      <c r="P949" s="1" t="s">
        <v>1665</v>
      </c>
      <c r="Q949" s="1" t="s">
        <v>1666</v>
      </c>
      <c r="R949">
        <v>0.28108346899999997</v>
      </c>
      <c r="S949">
        <v>3.97</v>
      </c>
      <c r="T949" s="2">
        <v>45916</v>
      </c>
      <c r="V949" t="str">
        <f t="shared" si="56"/>
        <v>S-6459394</v>
      </c>
      <c r="W949">
        <f t="shared" si="59"/>
        <v>0</v>
      </c>
      <c r="X949" t="str">
        <f t="shared" si="57"/>
        <v/>
      </c>
      <c r="Y949">
        <f t="shared" si="58"/>
        <v>0.28108346899999997</v>
      </c>
    </row>
    <row r="950" spans="1:25" hidden="1" x14ac:dyDescent="0.4">
      <c r="A950" t="s">
        <v>20</v>
      </c>
      <c r="B950">
        <v>6459394</v>
      </c>
      <c r="C950" t="s">
        <v>476</v>
      </c>
      <c r="D950" t="s">
        <v>21</v>
      </c>
      <c r="E950" t="s">
        <v>147</v>
      </c>
      <c r="K950">
        <v>88.821322468999995</v>
      </c>
      <c r="M950">
        <v>88.821322468999995</v>
      </c>
      <c r="P950" s="1" t="s">
        <v>2031</v>
      </c>
      <c r="Q950" s="1" t="s">
        <v>2032</v>
      </c>
      <c r="R950">
        <v>0.143637452</v>
      </c>
      <c r="S950">
        <v>5.13</v>
      </c>
      <c r="T950" s="2">
        <v>45916</v>
      </c>
      <c r="V950" t="str">
        <f t="shared" si="56"/>
        <v>S-6459394</v>
      </c>
      <c r="W950">
        <f t="shared" si="59"/>
        <v>0</v>
      </c>
      <c r="X950" t="str">
        <f t="shared" si="57"/>
        <v/>
      </c>
      <c r="Y950">
        <f t="shared" si="58"/>
        <v>0.143637452</v>
      </c>
    </row>
    <row r="951" spans="1:25" hidden="1" x14ac:dyDescent="0.4">
      <c r="A951" t="s">
        <v>20</v>
      </c>
      <c r="B951">
        <v>6459394</v>
      </c>
      <c r="C951" t="s">
        <v>476</v>
      </c>
      <c r="D951" t="s">
        <v>21</v>
      </c>
      <c r="E951" t="s">
        <v>22</v>
      </c>
      <c r="K951">
        <v>59.658066583999997</v>
      </c>
      <c r="L951">
        <v>0.17808638099999999</v>
      </c>
      <c r="M951">
        <v>59.479980202999997</v>
      </c>
      <c r="N951">
        <v>0</v>
      </c>
      <c r="O951">
        <v>0</v>
      </c>
      <c r="P951" s="1" t="s">
        <v>477</v>
      </c>
      <c r="Q951">
        <v>1</v>
      </c>
      <c r="R951">
        <v>9.3008589999999999E-3</v>
      </c>
      <c r="S951">
        <v>3.2</v>
      </c>
      <c r="T951" s="2">
        <v>45916</v>
      </c>
      <c r="V951" t="str">
        <f t="shared" si="56"/>
        <v>S-6459394</v>
      </c>
      <c r="W951">
        <f t="shared" si="59"/>
        <v>0</v>
      </c>
      <c r="X951" t="str">
        <f t="shared" si="57"/>
        <v/>
      </c>
      <c r="Y951">
        <f t="shared" si="58"/>
        <v>9.3008589999999999E-3</v>
      </c>
    </row>
    <row r="952" spans="1:25" hidden="1" x14ac:dyDescent="0.4">
      <c r="A952" t="s">
        <v>20</v>
      </c>
      <c r="B952">
        <v>6466594</v>
      </c>
      <c r="C952" t="s">
        <v>478</v>
      </c>
      <c r="D952" t="s">
        <v>21</v>
      </c>
      <c r="E952" t="s">
        <v>137</v>
      </c>
      <c r="K952">
        <v>267.64708783999998</v>
      </c>
      <c r="M952">
        <v>267.64708783999998</v>
      </c>
      <c r="P952" s="1" t="s">
        <v>936</v>
      </c>
      <c r="Q952" s="1" t="s">
        <v>937</v>
      </c>
      <c r="R952">
        <v>0.48777691400000001</v>
      </c>
      <c r="S952">
        <v>6.15</v>
      </c>
      <c r="T952" s="2">
        <v>45917</v>
      </c>
      <c r="V952" t="str">
        <f t="shared" si="56"/>
        <v>S-6466594</v>
      </c>
      <c r="W952">
        <f t="shared" si="59"/>
        <v>0</v>
      </c>
      <c r="X952" t="str">
        <f t="shared" si="57"/>
        <v/>
      </c>
      <c r="Y952">
        <f t="shared" si="58"/>
        <v>0.48777691400000001</v>
      </c>
    </row>
    <row r="953" spans="1:25" hidden="1" x14ac:dyDescent="0.4">
      <c r="A953" t="s">
        <v>20</v>
      </c>
      <c r="B953">
        <v>6466594</v>
      </c>
      <c r="C953" t="s">
        <v>478</v>
      </c>
      <c r="D953" t="s">
        <v>21</v>
      </c>
      <c r="E953" t="s">
        <v>156</v>
      </c>
      <c r="K953">
        <v>193.769779269</v>
      </c>
      <c r="M953">
        <v>193.769779269</v>
      </c>
      <c r="P953" s="1" t="s">
        <v>1300</v>
      </c>
      <c r="Q953" s="1" t="s">
        <v>1301</v>
      </c>
      <c r="R953">
        <v>0.41912884299999997</v>
      </c>
      <c r="S953">
        <v>7.16</v>
      </c>
      <c r="T953" s="2">
        <v>45917</v>
      </c>
      <c r="V953" t="str">
        <f t="shared" si="56"/>
        <v>S-6466594</v>
      </c>
      <c r="W953">
        <f t="shared" si="59"/>
        <v>0</v>
      </c>
      <c r="X953" t="str">
        <f t="shared" si="57"/>
        <v/>
      </c>
      <c r="Y953">
        <f t="shared" si="58"/>
        <v>0.41912884299999997</v>
      </c>
    </row>
    <row r="954" spans="1:25" hidden="1" x14ac:dyDescent="0.4">
      <c r="A954" t="s">
        <v>20</v>
      </c>
      <c r="B954">
        <v>6466594</v>
      </c>
      <c r="C954" t="s">
        <v>478</v>
      </c>
      <c r="D954" t="s">
        <v>21</v>
      </c>
      <c r="E954" t="s">
        <v>140</v>
      </c>
      <c r="K954">
        <v>165.11569766599999</v>
      </c>
      <c r="M954">
        <v>165.11569766599999</v>
      </c>
      <c r="P954" s="1" t="s">
        <v>1667</v>
      </c>
      <c r="Q954" s="1" t="s">
        <v>1668</v>
      </c>
      <c r="R954">
        <v>0.28174272900000003</v>
      </c>
      <c r="S954">
        <v>4.1500000000000004</v>
      </c>
      <c r="T954" s="2">
        <v>45917</v>
      </c>
      <c r="V954" t="str">
        <f t="shared" si="56"/>
        <v>S-6466594</v>
      </c>
      <c r="W954">
        <f t="shared" si="59"/>
        <v>0</v>
      </c>
      <c r="X954" t="str">
        <f t="shared" si="57"/>
        <v/>
      </c>
      <c r="Y954">
        <f t="shared" si="58"/>
        <v>0.28174272900000003</v>
      </c>
    </row>
    <row r="955" spans="1:25" hidden="1" x14ac:dyDescent="0.4">
      <c r="A955" t="s">
        <v>20</v>
      </c>
      <c r="B955">
        <v>6466594</v>
      </c>
      <c r="C955" t="s">
        <v>478</v>
      </c>
      <c r="D955" t="s">
        <v>21</v>
      </c>
      <c r="E955" t="s">
        <v>147</v>
      </c>
      <c r="K955">
        <v>88.964440494000002</v>
      </c>
      <c r="M955">
        <v>88.964440494000002</v>
      </c>
      <c r="P955" s="1" t="s">
        <v>2033</v>
      </c>
      <c r="Q955" s="1" t="s">
        <v>2034</v>
      </c>
      <c r="R955">
        <v>0.14311802500000001</v>
      </c>
      <c r="S955">
        <v>5.31</v>
      </c>
      <c r="T955" s="2">
        <v>45917</v>
      </c>
      <c r="V955" t="str">
        <f t="shared" si="56"/>
        <v>S-6466594</v>
      </c>
      <c r="W955">
        <f t="shared" si="59"/>
        <v>0</v>
      </c>
      <c r="X955" t="str">
        <f t="shared" si="57"/>
        <v/>
      </c>
      <c r="Y955">
        <f t="shared" si="58"/>
        <v>0.14311802500000001</v>
      </c>
    </row>
    <row r="956" spans="1:25" hidden="1" x14ac:dyDescent="0.4">
      <c r="A956" t="s">
        <v>20</v>
      </c>
      <c r="B956">
        <v>6466594</v>
      </c>
      <c r="C956" t="s">
        <v>478</v>
      </c>
      <c r="D956" t="s">
        <v>21</v>
      </c>
      <c r="E956" t="s">
        <v>22</v>
      </c>
      <c r="K956">
        <v>59.667585928999998</v>
      </c>
      <c r="L956">
        <v>0.17808638099999999</v>
      </c>
      <c r="M956">
        <v>59.489499547999998</v>
      </c>
      <c r="N956">
        <v>0</v>
      </c>
      <c r="O956">
        <v>0</v>
      </c>
      <c r="P956" s="1" t="s">
        <v>479</v>
      </c>
      <c r="Q956">
        <v>1</v>
      </c>
      <c r="R956">
        <v>9.5193450000000002E-3</v>
      </c>
      <c r="S956">
        <v>3.41</v>
      </c>
      <c r="T956" s="2">
        <v>45917</v>
      </c>
      <c r="V956" t="str">
        <f t="shared" si="56"/>
        <v>S-6466594</v>
      </c>
      <c r="W956">
        <f t="shared" si="59"/>
        <v>0</v>
      </c>
      <c r="X956" t="str">
        <f t="shared" si="57"/>
        <v/>
      </c>
      <c r="Y956">
        <f t="shared" si="58"/>
        <v>9.5193450000000002E-3</v>
      </c>
    </row>
    <row r="957" spans="1:25" hidden="1" x14ac:dyDescent="0.4">
      <c r="A957" t="s">
        <v>20</v>
      </c>
      <c r="B957">
        <v>6473794</v>
      </c>
      <c r="C957" t="s">
        <v>480</v>
      </c>
      <c r="D957" t="s">
        <v>21</v>
      </c>
      <c r="E957" t="s">
        <v>137</v>
      </c>
      <c r="K957">
        <v>268.10924282500002</v>
      </c>
      <c r="M957">
        <v>268.10924282500002</v>
      </c>
      <c r="P957" s="1" t="s">
        <v>938</v>
      </c>
      <c r="Q957" s="1" t="s">
        <v>939</v>
      </c>
      <c r="R957">
        <v>0.46215498500000002</v>
      </c>
      <c r="S957">
        <v>5.91</v>
      </c>
      <c r="T957" s="2">
        <v>45918</v>
      </c>
      <c r="V957" t="str">
        <f t="shared" si="56"/>
        <v>S-6473794</v>
      </c>
      <c r="W957">
        <f t="shared" si="59"/>
        <v>0</v>
      </c>
      <c r="X957" t="str">
        <f t="shared" si="57"/>
        <v/>
      </c>
      <c r="Y957">
        <f t="shared" si="58"/>
        <v>0.46215498500000002</v>
      </c>
    </row>
    <row r="958" spans="1:25" hidden="1" x14ac:dyDescent="0.4">
      <c r="A958" t="s">
        <v>20</v>
      </c>
      <c r="B958">
        <v>6473794</v>
      </c>
      <c r="C958" t="s">
        <v>480</v>
      </c>
      <c r="D958" t="s">
        <v>21</v>
      </c>
      <c r="E958" t="s">
        <v>156</v>
      </c>
      <c r="K958">
        <v>194.16538566099999</v>
      </c>
      <c r="M958">
        <v>194.16538566099999</v>
      </c>
      <c r="P958" s="1" t="s">
        <v>1302</v>
      </c>
      <c r="Q958" s="1" t="s">
        <v>1303</v>
      </c>
      <c r="R958">
        <v>0.39560639199999997</v>
      </c>
      <c r="S958">
        <v>6.86</v>
      </c>
      <c r="T958" s="2">
        <v>45918</v>
      </c>
      <c r="V958" t="str">
        <f t="shared" si="56"/>
        <v>S-6473794</v>
      </c>
      <c r="W958">
        <f t="shared" si="59"/>
        <v>0</v>
      </c>
      <c r="X958" t="str">
        <f t="shared" si="57"/>
        <v/>
      </c>
      <c r="Y958">
        <f t="shared" si="58"/>
        <v>0.39560639199999997</v>
      </c>
    </row>
    <row r="959" spans="1:25" hidden="1" x14ac:dyDescent="0.4">
      <c r="A959" t="s">
        <v>20</v>
      </c>
      <c r="B959">
        <v>6473794</v>
      </c>
      <c r="C959" t="s">
        <v>480</v>
      </c>
      <c r="D959" t="s">
        <v>21</v>
      </c>
      <c r="E959" t="s">
        <v>140</v>
      </c>
      <c r="K959">
        <v>165.39758491699999</v>
      </c>
      <c r="M959">
        <v>165.39758491699999</v>
      </c>
      <c r="P959" s="1" t="s">
        <v>1669</v>
      </c>
      <c r="Q959" s="1" t="s">
        <v>1670</v>
      </c>
      <c r="R959">
        <v>0.28188725100000001</v>
      </c>
      <c r="S959">
        <v>4.22</v>
      </c>
      <c r="T959" s="2">
        <v>45918</v>
      </c>
      <c r="V959" t="str">
        <f t="shared" si="56"/>
        <v>S-6473794</v>
      </c>
      <c r="W959">
        <f t="shared" si="59"/>
        <v>0</v>
      </c>
      <c r="X959" t="str">
        <f t="shared" si="57"/>
        <v/>
      </c>
      <c r="Y959">
        <f t="shared" si="58"/>
        <v>0.28188725100000001</v>
      </c>
    </row>
    <row r="960" spans="1:25" hidden="1" x14ac:dyDescent="0.4">
      <c r="A960" t="s">
        <v>20</v>
      </c>
      <c r="B960">
        <v>6473794</v>
      </c>
      <c r="C960" t="s">
        <v>480</v>
      </c>
      <c r="D960" t="s">
        <v>21</v>
      </c>
      <c r="E960" t="s">
        <v>147</v>
      </c>
      <c r="K960">
        <v>89.114385119999994</v>
      </c>
      <c r="M960">
        <v>89.114385119999994</v>
      </c>
      <c r="P960" s="1" t="s">
        <v>2035</v>
      </c>
      <c r="Q960" s="1" t="s">
        <v>2036</v>
      </c>
      <c r="R960">
        <v>0.149944626</v>
      </c>
      <c r="S960">
        <v>5.42</v>
      </c>
      <c r="T960" s="2">
        <v>45918</v>
      </c>
      <c r="V960" t="str">
        <f t="shared" si="56"/>
        <v>S-6473794</v>
      </c>
      <c r="W960">
        <f t="shared" si="59"/>
        <v>0</v>
      </c>
      <c r="X960" t="str">
        <f t="shared" si="57"/>
        <v/>
      </c>
      <c r="Y960">
        <f t="shared" si="58"/>
        <v>0.149944626</v>
      </c>
    </row>
    <row r="961" spans="1:25" hidden="1" x14ac:dyDescent="0.4">
      <c r="A961" t="s">
        <v>20</v>
      </c>
      <c r="B961">
        <v>6473794</v>
      </c>
      <c r="C961" t="s">
        <v>480</v>
      </c>
      <c r="D961" t="s">
        <v>21</v>
      </c>
      <c r="E961" t="s">
        <v>22</v>
      </c>
      <c r="K961">
        <v>59.677103832999997</v>
      </c>
      <c r="L961">
        <v>0.17808638099999999</v>
      </c>
      <c r="M961">
        <v>59.499017451999997</v>
      </c>
      <c r="N961">
        <v>0</v>
      </c>
      <c r="O961">
        <v>0</v>
      </c>
      <c r="P961" s="1" t="s">
        <v>481</v>
      </c>
      <c r="Q961">
        <v>1</v>
      </c>
      <c r="R961">
        <v>9.5179040000000006E-3</v>
      </c>
      <c r="S961">
        <v>3.44</v>
      </c>
      <c r="T961" s="2">
        <v>45918</v>
      </c>
      <c r="V961" t="str">
        <f t="shared" si="56"/>
        <v>S-6473794</v>
      </c>
      <c r="W961">
        <f t="shared" si="59"/>
        <v>0</v>
      </c>
      <c r="X961" t="str">
        <f t="shared" si="57"/>
        <v/>
      </c>
      <c r="Y961">
        <f t="shared" si="58"/>
        <v>9.5179040000000006E-3</v>
      </c>
    </row>
    <row r="962" spans="1:25" hidden="1" x14ac:dyDescent="0.4">
      <c r="A962" t="s">
        <v>20</v>
      </c>
      <c r="B962">
        <v>6480994</v>
      </c>
      <c r="C962" t="s">
        <v>482</v>
      </c>
      <c r="D962" t="s">
        <v>21</v>
      </c>
      <c r="E962" t="s">
        <v>137</v>
      </c>
      <c r="K962">
        <v>268.591770725</v>
      </c>
      <c r="M962">
        <v>268.591770725</v>
      </c>
      <c r="P962" s="1" t="s">
        <v>940</v>
      </c>
      <c r="Q962" s="1" t="s">
        <v>941</v>
      </c>
      <c r="R962">
        <v>0.48252790000000001</v>
      </c>
      <c r="S962">
        <v>5.9</v>
      </c>
      <c r="T962" s="2">
        <v>45919</v>
      </c>
      <c r="V962" t="str">
        <f t="shared" si="56"/>
        <v>S-6480994</v>
      </c>
      <c r="W962">
        <f t="shared" si="59"/>
        <v>0</v>
      </c>
      <c r="X962" t="str">
        <f t="shared" si="57"/>
        <v/>
      </c>
      <c r="Y962">
        <f t="shared" si="58"/>
        <v>0.48252790000000001</v>
      </c>
    </row>
    <row r="963" spans="1:25" hidden="1" x14ac:dyDescent="0.4">
      <c r="A963" t="s">
        <v>20</v>
      </c>
      <c r="B963">
        <v>6480994</v>
      </c>
      <c r="C963" t="s">
        <v>482</v>
      </c>
      <c r="D963" t="s">
        <v>21</v>
      </c>
      <c r="E963" t="s">
        <v>156</v>
      </c>
      <c r="K963">
        <v>194.57912338099999</v>
      </c>
      <c r="M963">
        <v>194.57912338099999</v>
      </c>
      <c r="P963" s="1" t="s">
        <v>1304</v>
      </c>
      <c r="Q963" s="1" t="s">
        <v>1305</v>
      </c>
      <c r="R963">
        <v>0.41373771999999998</v>
      </c>
      <c r="S963">
        <v>6.87</v>
      </c>
      <c r="T963" s="2">
        <v>45919</v>
      </c>
      <c r="V963" t="str">
        <f t="shared" ref="V963:V1026" si="60">"S-"&amp;IF(LEN(I963)=0,B963,I963&amp;IF(F963="fee","-00",IF(LEN(G963)&gt;0,"-01","-02")))</f>
        <v>S-6480994</v>
      </c>
      <c r="W963">
        <f t="shared" si="59"/>
        <v>0</v>
      </c>
      <c r="X963" t="str">
        <f t="shared" ref="X963:X1026" si="61">IF(LEN(I963)&gt;0,I963&amp;IF(F963="fee","fee",IF(VALUE(G963)&gt;0,"debit",IF(VALUE(H963)&gt;0,"credit","error"))),"")</f>
        <v/>
      </c>
      <c r="Y963">
        <f t="shared" ref="Y963:Y1026" si="62">ROUND(IF(ROW(U963) = 2,K963,0)+IF(H963&lt;&gt;"",H963,0) + IF(R963&lt;&gt;"",R963,0) - IF(G963&lt;&gt;"",G963,0),9)</f>
        <v>0.41373771999999998</v>
      </c>
    </row>
    <row r="964" spans="1:25" hidden="1" x14ac:dyDescent="0.4">
      <c r="A964" t="s">
        <v>20</v>
      </c>
      <c r="B964">
        <v>6480994</v>
      </c>
      <c r="C964" t="s">
        <v>482</v>
      </c>
      <c r="D964" t="s">
        <v>21</v>
      </c>
      <c r="E964" t="s">
        <v>140</v>
      </c>
      <c r="K964">
        <v>165.68853873</v>
      </c>
      <c r="M964">
        <v>165.68853873</v>
      </c>
      <c r="P964" s="1" t="s">
        <v>1671</v>
      </c>
      <c r="Q964" s="1" t="s">
        <v>1672</v>
      </c>
      <c r="R964">
        <v>0.29095381300000001</v>
      </c>
      <c r="S964">
        <v>4.1399999999999997</v>
      </c>
      <c r="T964" s="2">
        <v>45919</v>
      </c>
      <c r="V964" t="str">
        <f t="shared" si="60"/>
        <v>S-6480994</v>
      </c>
      <c r="W964">
        <f t="shared" ref="W964:W1027" si="63">COUNTIF(I:I,I964)</f>
        <v>0</v>
      </c>
      <c r="X964" t="str">
        <f t="shared" si="61"/>
        <v/>
      </c>
      <c r="Y964">
        <f t="shared" si="62"/>
        <v>0.29095381300000001</v>
      </c>
    </row>
    <row r="965" spans="1:25" hidden="1" x14ac:dyDescent="0.4">
      <c r="A965" t="s">
        <v>20</v>
      </c>
      <c r="B965">
        <v>6480994</v>
      </c>
      <c r="C965" t="s">
        <v>482</v>
      </c>
      <c r="D965" t="s">
        <v>21</v>
      </c>
      <c r="E965" t="s">
        <v>147</v>
      </c>
      <c r="K965">
        <v>89.263037041999993</v>
      </c>
      <c r="M965">
        <v>89.263037041999993</v>
      </c>
      <c r="P965" s="1" t="s">
        <v>2037</v>
      </c>
      <c r="Q965" s="1" t="s">
        <v>2038</v>
      </c>
      <c r="R965">
        <v>0.14865192199999999</v>
      </c>
      <c r="S965">
        <v>5.0199999999999996</v>
      </c>
      <c r="T965" s="2">
        <v>45919</v>
      </c>
      <c r="V965" t="str">
        <f t="shared" si="60"/>
        <v>S-6480994</v>
      </c>
      <c r="W965">
        <f t="shared" si="63"/>
        <v>0</v>
      </c>
      <c r="X965" t="str">
        <f t="shared" si="61"/>
        <v/>
      </c>
      <c r="Y965">
        <f t="shared" si="62"/>
        <v>0.14865192199999999</v>
      </c>
    </row>
    <row r="966" spans="1:25" hidden="1" x14ac:dyDescent="0.4">
      <c r="A966" t="s">
        <v>20</v>
      </c>
      <c r="B966">
        <v>6480994</v>
      </c>
      <c r="C966" t="s">
        <v>482</v>
      </c>
      <c r="D966" t="s">
        <v>21</v>
      </c>
      <c r="E966" t="s">
        <v>22</v>
      </c>
      <c r="K966">
        <v>59.686807809000001</v>
      </c>
      <c r="L966">
        <v>0.17808638099999999</v>
      </c>
      <c r="M966">
        <v>59.508721428000001</v>
      </c>
      <c r="N966">
        <v>0</v>
      </c>
      <c r="O966">
        <v>0</v>
      </c>
      <c r="P966" s="1" t="s">
        <v>483</v>
      </c>
      <c r="Q966">
        <v>1</v>
      </c>
      <c r="R966">
        <v>9.7039759999999996E-3</v>
      </c>
      <c r="S966">
        <v>3.34</v>
      </c>
      <c r="T966" s="2">
        <v>45919</v>
      </c>
      <c r="V966" t="str">
        <f t="shared" si="60"/>
        <v>S-6480994</v>
      </c>
      <c r="W966">
        <f t="shared" si="63"/>
        <v>0</v>
      </c>
      <c r="X966" t="str">
        <f t="shared" si="61"/>
        <v/>
      </c>
      <c r="Y966">
        <f t="shared" si="62"/>
        <v>9.7039759999999996E-3</v>
      </c>
    </row>
    <row r="967" spans="1:25" hidden="1" x14ac:dyDescent="0.4">
      <c r="A967" t="s">
        <v>20</v>
      </c>
      <c r="B967">
        <v>6488194</v>
      </c>
      <c r="C967" t="s">
        <v>484</v>
      </c>
      <c r="D967" t="s">
        <v>21</v>
      </c>
      <c r="E967" t="s">
        <v>137</v>
      </c>
      <c r="K967">
        <v>269.07094517000002</v>
      </c>
      <c r="M967">
        <v>269.07094517000002</v>
      </c>
      <c r="P967" s="1" t="s">
        <v>942</v>
      </c>
      <c r="Q967" s="1" t="s">
        <v>943</v>
      </c>
      <c r="R967">
        <v>0.479174445</v>
      </c>
      <c r="S967">
        <v>5.9</v>
      </c>
      <c r="T967" s="2">
        <v>45920</v>
      </c>
      <c r="V967" t="str">
        <f t="shared" si="60"/>
        <v>S-6488194</v>
      </c>
      <c r="W967">
        <f t="shared" si="63"/>
        <v>0</v>
      </c>
      <c r="X967" t="str">
        <f t="shared" si="61"/>
        <v/>
      </c>
      <c r="Y967">
        <f t="shared" si="62"/>
        <v>0.479174445</v>
      </c>
    </row>
    <row r="968" spans="1:25" hidden="1" x14ac:dyDescent="0.4">
      <c r="A968" t="s">
        <v>20</v>
      </c>
      <c r="B968">
        <v>6488194</v>
      </c>
      <c r="C968" t="s">
        <v>484</v>
      </c>
      <c r="D968" t="s">
        <v>21</v>
      </c>
      <c r="E968" t="s">
        <v>156</v>
      </c>
      <c r="K968">
        <v>194.99281496200001</v>
      </c>
      <c r="M968">
        <v>194.99281496200001</v>
      </c>
      <c r="P968" s="1" t="s">
        <v>1306</v>
      </c>
      <c r="Q968" s="1" t="s">
        <v>1307</v>
      </c>
      <c r="R968">
        <v>0.41369158099999997</v>
      </c>
      <c r="S968">
        <v>6.85</v>
      </c>
      <c r="T968" s="2">
        <v>45920</v>
      </c>
      <c r="V968" t="str">
        <f t="shared" si="60"/>
        <v>S-6488194</v>
      </c>
      <c r="W968">
        <f t="shared" si="63"/>
        <v>0</v>
      </c>
      <c r="X968" t="str">
        <f t="shared" si="61"/>
        <v/>
      </c>
      <c r="Y968">
        <f t="shared" si="62"/>
        <v>0.41369158099999997</v>
      </c>
    </row>
    <row r="969" spans="1:25" hidden="1" x14ac:dyDescent="0.4">
      <c r="A969" t="s">
        <v>20</v>
      </c>
      <c r="B969">
        <v>6488194</v>
      </c>
      <c r="C969" t="s">
        <v>484</v>
      </c>
      <c r="D969" t="s">
        <v>21</v>
      </c>
      <c r="E969" t="s">
        <v>140</v>
      </c>
      <c r="K969">
        <v>165.96196798299999</v>
      </c>
      <c r="M969">
        <v>165.96196798299999</v>
      </c>
      <c r="P969" s="1" t="s">
        <v>1673</v>
      </c>
      <c r="Q969" s="1" t="s">
        <v>1674</v>
      </c>
      <c r="R969">
        <v>0.27342925299999998</v>
      </c>
      <c r="S969">
        <v>3.87</v>
      </c>
      <c r="T969" s="2">
        <v>45920</v>
      </c>
      <c r="V969" t="str">
        <f t="shared" si="60"/>
        <v>S-6488194</v>
      </c>
      <c r="W969">
        <f t="shared" si="63"/>
        <v>0</v>
      </c>
      <c r="X969" t="str">
        <f t="shared" si="61"/>
        <v/>
      </c>
      <c r="Y969">
        <f t="shared" si="62"/>
        <v>0.27342925299999998</v>
      </c>
    </row>
    <row r="970" spans="1:25" hidden="1" x14ac:dyDescent="0.4">
      <c r="A970" t="s">
        <v>20</v>
      </c>
      <c r="B970">
        <v>6488194</v>
      </c>
      <c r="C970" t="s">
        <v>484</v>
      </c>
      <c r="D970" t="s">
        <v>21</v>
      </c>
      <c r="E970" t="s">
        <v>147</v>
      </c>
      <c r="K970">
        <v>89.410616142999999</v>
      </c>
      <c r="M970">
        <v>89.410616142999999</v>
      </c>
      <c r="P970" s="1" t="s">
        <v>2039</v>
      </c>
      <c r="Q970" s="1" t="s">
        <v>2040</v>
      </c>
      <c r="R970">
        <v>0.14757910099999999</v>
      </c>
      <c r="S970">
        <v>4.95</v>
      </c>
      <c r="T970" s="2">
        <v>45920</v>
      </c>
      <c r="V970" t="str">
        <f t="shared" si="60"/>
        <v>S-6488194</v>
      </c>
      <c r="W970">
        <f t="shared" si="63"/>
        <v>0</v>
      </c>
      <c r="X970" t="str">
        <f t="shared" si="61"/>
        <v/>
      </c>
      <c r="Y970">
        <f t="shared" si="62"/>
        <v>0.14757910099999999</v>
      </c>
    </row>
    <row r="971" spans="1:25" hidden="1" x14ac:dyDescent="0.4">
      <c r="A971" t="s">
        <v>20</v>
      </c>
      <c r="B971">
        <v>6488194</v>
      </c>
      <c r="C971" t="s">
        <v>484</v>
      </c>
      <c r="D971" t="s">
        <v>21</v>
      </c>
      <c r="E971" t="s">
        <v>22</v>
      </c>
      <c r="K971">
        <v>59.696497323000003</v>
      </c>
      <c r="L971">
        <v>0.17808638099999999</v>
      </c>
      <c r="M971">
        <v>59.518410942000003</v>
      </c>
      <c r="N971">
        <v>0</v>
      </c>
      <c r="O971">
        <v>0</v>
      </c>
      <c r="P971" s="1" t="s">
        <v>485</v>
      </c>
      <c r="Q971">
        <v>1</v>
      </c>
      <c r="R971">
        <v>9.6895139999999998E-3</v>
      </c>
      <c r="S971">
        <v>3.34</v>
      </c>
      <c r="T971" s="2">
        <v>45920</v>
      </c>
      <c r="V971" t="str">
        <f t="shared" si="60"/>
        <v>S-6488194</v>
      </c>
      <c r="W971">
        <f t="shared" si="63"/>
        <v>0</v>
      </c>
      <c r="X971" t="str">
        <f t="shared" si="61"/>
        <v/>
      </c>
      <c r="Y971">
        <f t="shared" si="62"/>
        <v>9.6895139999999998E-3</v>
      </c>
    </row>
    <row r="972" spans="1:25" hidden="1" x14ac:dyDescent="0.4">
      <c r="A972" t="s">
        <v>20</v>
      </c>
      <c r="B972">
        <v>6495394</v>
      </c>
      <c r="C972" t="s">
        <v>486</v>
      </c>
      <c r="D972" t="s">
        <v>21</v>
      </c>
      <c r="E972" t="s">
        <v>137</v>
      </c>
      <c r="K972">
        <v>269.54951975300003</v>
      </c>
      <c r="M972">
        <v>269.54951975300003</v>
      </c>
      <c r="P972" s="1" t="s">
        <v>944</v>
      </c>
      <c r="Q972" s="1" t="s">
        <v>945</v>
      </c>
      <c r="R972">
        <v>0.478574583</v>
      </c>
      <c r="S972">
        <v>5.72</v>
      </c>
      <c r="T972" s="2">
        <v>45921</v>
      </c>
      <c r="V972" t="str">
        <f t="shared" si="60"/>
        <v>S-6495394</v>
      </c>
      <c r="W972">
        <f t="shared" si="63"/>
        <v>0</v>
      </c>
      <c r="X972" t="str">
        <f t="shared" si="61"/>
        <v/>
      </c>
      <c r="Y972">
        <f t="shared" si="62"/>
        <v>0.478574583</v>
      </c>
    </row>
    <row r="973" spans="1:25" hidden="1" x14ac:dyDescent="0.4">
      <c r="A973" t="s">
        <v>20</v>
      </c>
      <c r="B973">
        <v>6495394</v>
      </c>
      <c r="C973" t="s">
        <v>486</v>
      </c>
      <c r="D973" t="s">
        <v>21</v>
      </c>
      <c r="E973" t="s">
        <v>156</v>
      </c>
      <c r="K973">
        <v>195.40694605900001</v>
      </c>
      <c r="M973">
        <v>195.40694605900001</v>
      </c>
      <c r="P973" s="1" t="s">
        <v>1308</v>
      </c>
      <c r="Q973" s="1" t="s">
        <v>1309</v>
      </c>
      <c r="R973">
        <v>0.414131097</v>
      </c>
      <c r="S973">
        <v>6.67</v>
      </c>
      <c r="T973" s="2">
        <v>45921</v>
      </c>
      <c r="V973" t="str">
        <f t="shared" si="60"/>
        <v>S-6495394</v>
      </c>
      <c r="W973">
        <f t="shared" si="63"/>
        <v>0</v>
      </c>
      <c r="X973" t="str">
        <f t="shared" si="61"/>
        <v/>
      </c>
      <c r="Y973">
        <f t="shared" si="62"/>
        <v>0.414131097</v>
      </c>
    </row>
    <row r="974" spans="1:25" hidden="1" x14ac:dyDescent="0.4">
      <c r="A974" t="s">
        <v>20</v>
      </c>
      <c r="B974">
        <v>6495394</v>
      </c>
      <c r="C974" t="s">
        <v>486</v>
      </c>
      <c r="D974" t="s">
        <v>21</v>
      </c>
      <c r="E974" t="s">
        <v>140</v>
      </c>
      <c r="K974">
        <v>166.24971791999999</v>
      </c>
      <c r="M974">
        <v>166.24971791999999</v>
      </c>
      <c r="P974" s="1" t="s">
        <v>1675</v>
      </c>
      <c r="Q974" s="1" t="s">
        <v>1676</v>
      </c>
      <c r="R974">
        <v>0.28774993700000001</v>
      </c>
      <c r="S974">
        <v>3.97</v>
      </c>
      <c r="T974" s="2">
        <v>45921</v>
      </c>
      <c r="V974" t="str">
        <f t="shared" si="60"/>
        <v>S-6495394</v>
      </c>
      <c r="W974">
        <f t="shared" si="63"/>
        <v>0</v>
      </c>
      <c r="X974" t="str">
        <f t="shared" si="61"/>
        <v/>
      </c>
      <c r="Y974">
        <f t="shared" si="62"/>
        <v>0.28774993700000001</v>
      </c>
    </row>
    <row r="975" spans="1:25" hidden="1" x14ac:dyDescent="0.4">
      <c r="A975" t="s">
        <v>20</v>
      </c>
      <c r="B975">
        <v>6495394</v>
      </c>
      <c r="C975" t="s">
        <v>486</v>
      </c>
      <c r="D975" t="s">
        <v>21</v>
      </c>
      <c r="E975" t="s">
        <v>147</v>
      </c>
      <c r="K975">
        <v>89.551110471000001</v>
      </c>
      <c r="M975">
        <v>89.551110471000001</v>
      </c>
      <c r="P975" s="1" t="s">
        <v>2041</v>
      </c>
      <c r="Q975" s="1" t="s">
        <v>2042</v>
      </c>
      <c r="R975">
        <v>0.140494328</v>
      </c>
      <c r="S975">
        <v>4.57</v>
      </c>
      <c r="T975" s="2">
        <v>45921</v>
      </c>
      <c r="V975" t="str">
        <f t="shared" si="60"/>
        <v>S-6495394</v>
      </c>
      <c r="W975">
        <f t="shared" si="63"/>
        <v>0</v>
      </c>
      <c r="X975" t="str">
        <f t="shared" si="61"/>
        <v/>
      </c>
      <c r="Y975">
        <f t="shared" si="62"/>
        <v>0.140494328</v>
      </c>
    </row>
    <row r="976" spans="1:25" hidden="1" x14ac:dyDescent="0.4">
      <c r="A976" t="s">
        <v>20</v>
      </c>
      <c r="B976">
        <v>6495394</v>
      </c>
      <c r="C976" t="s">
        <v>486</v>
      </c>
      <c r="D976" t="s">
        <v>21</v>
      </c>
      <c r="E976" t="s">
        <v>22</v>
      </c>
      <c r="K976">
        <v>59.706181977999996</v>
      </c>
      <c r="L976">
        <v>0.17808638099999999</v>
      </c>
      <c r="M976">
        <v>59.528095596999997</v>
      </c>
      <c r="N976">
        <v>0</v>
      </c>
      <c r="O976">
        <v>0</v>
      </c>
      <c r="P976">
        <v>336.305832242995</v>
      </c>
      <c r="Q976">
        <v>1</v>
      </c>
      <c r="R976">
        <v>9.6846550000000003E-3</v>
      </c>
      <c r="S976">
        <v>3.25</v>
      </c>
      <c r="T976" s="2">
        <v>45921</v>
      </c>
      <c r="V976" t="str">
        <f t="shared" si="60"/>
        <v>S-6495394</v>
      </c>
      <c r="W976">
        <f t="shared" si="63"/>
        <v>0</v>
      </c>
      <c r="X976" t="str">
        <f t="shared" si="61"/>
        <v/>
      </c>
      <c r="Y976">
        <f t="shared" si="62"/>
        <v>9.6846550000000003E-3</v>
      </c>
    </row>
    <row r="977" spans="1:25" hidden="1" x14ac:dyDescent="0.4">
      <c r="A977" t="s">
        <v>20</v>
      </c>
      <c r="B977">
        <v>6502594</v>
      </c>
      <c r="C977" t="s">
        <v>487</v>
      </c>
      <c r="D977" t="s">
        <v>21</v>
      </c>
      <c r="E977" t="s">
        <v>137</v>
      </c>
      <c r="K977">
        <v>270.03016377400002</v>
      </c>
      <c r="M977">
        <v>270.03016377400002</v>
      </c>
      <c r="P977" s="1" t="s">
        <v>946</v>
      </c>
      <c r="Q977" s="1" t="s">
        <v>947</v>
      </c>
      <c r="R977">
        <v>0.48064402099999998</v>
      </c>
      <c r="S977">
        <v>5.42</v>
      </c>
      <c r="T977" s="2">
        <v>45922</v>
      </c>
      <c r="V977" t="str">
        <f t="shared" si="60"/>
        <v>S-6502594</v>
      </c>
      <c r="W977">
        <f t="shared" si="63"/>
        <v>0</v>
      </c>
      <c r="X977" t="str">
        <f t="shared" si="61"/>
        <v/>
      </c>
      <c r="Y977">
        <f t="shared" si="62"/>
        <v>0.48064402099999998</v>
      </c>
    </row>
    <row r="978" spans="1:25" hidden="1" x14ac:dyDescent="0.4">
      <c r="A978" t="s">
        <v>20</v>
      </c>
      <c r="B978">
        <v>6502594</v>
      </c>
      <c r="C978" t="s">
        <v>487</v>
      </c>
      <c r="D978" t="s">
        <v>21</v>
      </c>
      <c r="E978" t="s">
        <v>156</v>
      </c>
      <c r="K978">
        <v>195.82334510999999</v>
      </c>
      <c r="M978">
        <v>195.82334510999999</v>
      </c>
      <c r="P978" s="1" t="s">
        <v>1310</v>
      </c>
      <c r="Q978" s="1" t="s">
        <v>1311</v>
      </c>
      <c r="R978">
        <v>0.41639905100000002</v>
      </c>
      <c r="S978">
        <v>6.32</v>
      </c>
      <c r="T978" s="2">
        <v>45922</v>
      </c>
      <c r="V978" t="str">
        <f t="shared" si="60"/>
        <v>S-6502594</v>
      </c>
      <c r="W978">
        <f t="shared" si="63"/>
        <v>0</v>
      </c>
      <c r="X978" t="str">
        <f t="shared" si="61"/>
        <v/>
      </c>
      <c r="Y978">
        <f t="shared" si="62"/>
        <v>0.41639905100000002</v>
      </c>
    </row>
    <row r="979" spans="1:25" hidden="1" x14ac:dyDescent="0.4">
      <c r="A979" t="s">
        <v>20</v>
      </c>
      <c r="B979">
        <v>6502594</v>
      </c>
      <c r="C979" t="s">
        <v>487</v>
      </c>
      <c r="D979" t="s">
        <v>21</v>
      </c>
      <c r="E979" t="s">
        <v>140</v>
      </c>
      <c r="K979">
        <v>166.533281636</v>
      </c>
      <c r="M979">
        <v>166.533281636</v>
      </c>
      <c r="P979" s="1" t="s">
        <v>1677</v>
      </c>
      <c r="Q979" s="1" t="s">
        <v>1678</v>
      </c>
      <c r="R979">
        <v>0.28356371600000002</v>
      </c>
      <c r="S979">
        <v>3.64</v>
      </c>
      <c r="T979" s="2">
        <v>45922</v>
      </c>
      <c r="V979" t="str">
        <f t="shared" si="60"/>
        <v>S-6502594</v>
      </c>
      <c r="W979">
        <f t="shared" si="63"/>
        <v>0</v>
      </c>
      <c r="X979" t="str">
        <f t="shared" si="61"/>
        <v/>
      </c>
      <c r="Y979">
        <f t="shared" si="62"/>
        <v>0.28356371600000002</v>
      </c>
    </row>
    <row r="980" spans="1:25" hidden="1" x14ac:dyDescent="0.4">
      <c r="A980" t="s">
        <v>20</v>
      </c>
      <c r="B980">
        <v>6502594</v>
      </c>
      <c r="C980" t="s">
        <v>487</v>
      </c>
      <c r="D980" t="s">
        <v>21</v>
      </c>
      <c r="E980" t="s">
        <v>147</v>
      </c>
      <c r="K980">
        <v>89.701073502</v>
      </c>
      <c r="M980">
        <v>89.701073502</v>
      </c>
      <c r="P980" s="1" t="s">
        <v>2043</v>
      </c>
      <c r="Q980" s="1" t="s">
        <v>2044</v>
      </c>
      <c r="R980">
        <v>0.149963031</v>
      </c>
      <c r="S980">
        <v>4.57</v>
      </c>
      <c r="T980" s="2">
        <v>45922</v>
      </c>
      <c r="V980" t="str">
        <f t="shared" si="60"/>
        <v>S-6502594</v>
      </c>
      <c r="W980">
        <f t="shared" si="63"/>
        <v>0</v>
      </c>
      <c r="X980" t="str">
        <f t="shared" si="61"/>
        <v/>
      </c>
      <c r="Y980">
        <f t="shared" si="62"/>
        <v>0.149963031</v>
      </c>
    </row>
    <row r="981" spans="1:25" hidden="1" x14ac:dyDescent="0.4">
      <c r="A981" t="s">
        <v>20</v>
      </c>
      <c r="B981">
        <v>6502594</v>
      </c>
      <c r="C981" t="s">
        <v>487</v>
      </c>
      <c r="D981" t="s">
        <v>21</v>
      </c>
      <c r="E981" t="s">
        <v>22</v>
      </c>
      <c r="K981">
        <v>59.715935870000003</v>
      </c>
      <c r="L981">
        <v>0.17808638099999999</v>
      </c>
      <c r="M981">
        <v>59.537849489000003</v>
      </c>
      <c r="N981">
        <v>0</v>
      </c>
      <c r="O981">
        <v>0</v>
      </c>
      <c r="P981" s="1" t="s">
        <v>488</v>
      </c>
      <c r="Q981">
        <v>1</v>
      </c>
      <c r="R981">
        <v>9.7538920000000001E-3</v>
      </c>
      <c r="S981">
        <v>3.11</v>
      </c>
      <c r="T981" s="2">
        <v>45922</v>
      </c>
      <c r="V981" t="str">
        <f t="shared" si="60"/>
        <v>S-6502594</v>
      </c>
      <c r="W981">
        <f t="shared" si="63"/>
        <v>0</v>
      </c>
      <c r="X981" t="str">
        <f t="shared" si="61"/>
        <v/>
      </c>
      <c r="Y981">
        <f t="shared" si="62"/>
        <v>9.7538920000000001E-3</v>
      </c>
    </row>
    <row r="982" spans="1:25" hidden="1" x14ac:dyDescent="0.4">
      <c r="A982" t="s">
        <v>20</v>
      </c>
      <c r="B982">
        <v>6509792</v>
      </c>
      <c r="C982" t="s">
        <v>489</v>
      </c>
      <c r="D982" t="s">
        <v>21</v>
      </c>
      <c r="E982" t="s">
        <v>137</v>
      </c>
      <c r="K982">
        <v>270.510965285</v>
      </c>
      <c r="M982">
        <v>270.510965285</v>
      </c>
      <c r="P982" s="1" t="s">
        <v>948</v>
      </c>
      <c r="Q982" s="1" t="s">
        <v>949</v>
      </c>
      <c r="R982">
        <v>0.48080151100000001</v>
      </c>
      <c r="S982">
        <v>5.24</v>
      </c>
      <c r="T982" s="2">
        <v>45923</v>
      </c>
      <c r="V982" t="str">
        <f t="shared" si="60"/>
        <v>S-6509792</v>
      </c>
      <c r="W982">
        <f t="shared" si="63"/>
        <v>0</v>
      </c>
      <c r="X982" t="str">
        <f t="shared" si="61"/>
        <v/>
      </c>
      <c r="Y982">
        <f t="shared" si="62"/>
        <v>0.48080151100000001</v>
      </c>
    </row>
    <row r="983" spans="1:25" hidden="1" x14ac:dyDescent="0.4">
      <c r="A983" t="s">
        <v>20</v>
      </c>
      <c r="B983">
        <v>6509792</v>
      </c>
      <c r="C983" t="s">
        <v>489</v>
      </c>
      <c r="D983" t="s">
        <v>21</v>
      </c>
      <c r="E983" t="s">
        <v>156</v>
      </c>
      <c r="K983">
        <v>196.242904624</v>
      </c>
      <c r="M983">
        <v>196.242904624</v>
      </c>
      <c r="P983" s="1" t="s">
        <v>1312</v>
      </c>
      <c r="Q983" s="1" t="s">
        <v>1313</v>
      </c>
      <c r="R983">
        <v>0.41955951400000002</v>
      </c>
      <c r="S983">
        <v>6.18</v>
      </c>
      <c r="T983" s="2">
        <v>45923</v>
      </c>
      <c r="V983" t="str">
        <f t="shared" si="60"/>
        <v>S-6509792</v>
      </c>
      <c r="W983">
        <f t="shared" si="63"/>
        <v>0</v>
      </c>
      <c r="X983" t="str">
        <f t="shared" si="61"/>
        <v/>
      </c>
      <c r="Y983">
        <f t="shared" si="62"/>
        <v>0.41955951400000002</v>
      </c>
    </row>
    <row r="984" spans="1:25" hidden="1" x14ac:dyDescent="0.4">
      <c r="A984" t="s">
        <v>20</v>
      </c>
      <c r="B984">
        <v>6509792</v>
      </c>
      <c r="C984" t="s">
        <v>489</v>
      </c>
      <c r="D984" t="s">
        <v>21</v>
      </c>
      <c r="E984" t="s">
        <v>140</v>
      </c>
      <c r="K984">
        <v>166.82091282900001</v>
      </c>
      <c r="M984">
        <v>166.82091282900001</v>
      </c>
      <c r="P984" s="1" t="s">
        <v>1679</v>
      </c>
      <c r="Q984" s="1" t="s">
        <v>1680</v>
      </c>
      <c r="R984">
        <v>0.28763119300000001</v>
      </c>
      <c r="S984">
        <v>3.57</v>
      </c>
      <c r="T984" s="2">
        <v>45923</v>
      </c>
      <c r="V984" t="str">
        <f t="shared" si="60"/>
        <v>S-6509792</v>
      </c>
      <c r="W984">
        <f t="shared" si="63"/>
        <v>0</v>
      </c>
      <c r="X984" t="str">
        <f t="shared" si="61"/>
        <v/>
      </c>
      <c r="Y984">
        <f t="shared" si="62"/>
        <v>0.28763119300000001</v>
      </c>
    </row>
    <row r="985" spans="1:25" hidden="1" x14ac:dyDescent="0.4">
      <c r="A985" t="s">
        <v>20</v>
      </c>
      <c r="B985">
        <v>6509792</v>
      </c>
      <c r="C985" t="s">
        <v>489</v>
      </c>
      <c r="D985" t="s">
        <v>21</v>
      </c>
      <c r="E985" t="s">
        <v>147</v>
      </c>
      <c r="K985">
        <v>89.849802609999998</v>
      </c>
      <c r="M985">
        <v>89.849802609999998</v>
      </c>
      <c r="P985" s="1" t="s">
        <v>2045</v>
      </c>
      <c r="Q985" s="1" t="s">
        <v>2046</v>
      </c>
      <c r="R985">
        <v>0.148729108</v>
      </c>
      <c r="S985">
        <v>4.3899999999999997</v>
      </c>
      <c r="T985" s="2">
        <v>45923</v>
      </c>
      <c r="V985" t="str">
        <f t="shared" si="60"/>
        <v>S-6509792</v>
      </c>
      <c r="W985">
        <f t="shared" si="63"/>
        <v>0</v>
      </c>
      <c r="X985" t="str">
        <f t="shared" si="61"/>
        <v/>
      </c>
      <c r="Y985">
        <f t="shared" si="62"/>
        <v>0.148729108</v>
      </c>
    </row>
    <row r="986" spans="1:25" hidden="1" x14ac:dyDescent="0.4">
      <c r="A986" t="s">
        <v>20</v>
      </c>
      <c r="B986">
        <v>6509792</v>
      </c>
      <c r="C986" t="s">
        <v>489</v>
      </c>
      <c r="D986" t="s">
        <v>21</v>
      </c>
      <c r="E986" t="s">
        <v>22</v>
      </c>
      <c r="K986">
        <v>59.725682812000002</v>
      </c>
      <c r="L986">
        <v>0.17808638099999999</v>
      </c>
      <c r="M986">
        <v>59.547596431000002</v>
      </c>
      <c r="N986">
        <v>0</v>
      </c>
      <c r="O986">
        <v>0</v>
      </c>
      <c r="P986" s="1" t="s">
        <v>490</v>
      </c>
      <c r="Q986">
        <v>1</v>
      </c>
      <c r="R986">
        <v>9.7469419999999998E-3</v>
      </c>
      <c r="S986">
        <v>3.01</v>
      </c>
      <c r="T986" s="2">
        <v>45923</v>
      </c>
      <c r="V986" t="str">
        <f t="shared" si="60"/>
        <v>S-6509792</v>
      </c>
      <c r="W986">
        <f t="shared" si="63"/>
        <v>0</v>
      </c>
      <c r="X986" t="str">
        <f t="shared" si="61"/>
        <v/>
      </c>
      <c r="Y986">
        <f t="shared" si="62"/>
        <v>9.7469419999999998E-3</v>
      </c>
    </row>
    <row r="987" spans="1:25" hidden="1" x14ac:dyDescent="0.4">
      <c r="A987" t="s">
        <v>20</v>
      </c>
      <c r="B987">
        <v>6516991</v>
      </c>
      <c r="C987" t="s">
        <v>491</v>
      </c>
      <c r="D987" t="s">
        <v>21</v>
      </c>
      <c r="E987" t="s">
        <v>137</v>
      </c>
      <c r="K987">
        <v>270.99401013099998</v>
      </c>
      <c r="M987">
        <v>270.99401013099998</v>
      </c>
      <c r="P987" s="1" t="s">
        <v>950</v>
      </c>
      <c r="Q987" s="1" t="s">
        <v>951</v>
      </c>
      <c r="R987">
        <v>0.48304484600000003</v>
      </c>
      <c r="S987">
        <v>5.21</v>
      </c>
      <c r="T987" s="2">
        <v>45924</v>
      </c>
      <c r="V987" t="str">
        <f t="shared" si="60"/>
        <v>S-6516991</v>
      </c>
      <c r="W987">
        <f t="shared" si="63"/>
        <v>0</v>
      </c>
      <c r="X987" t="str">
        <f t="shared" si="61"/>
        <v/>
      </c>
      <c r="Y987">
        <f t="shared" si="62"/>
        <v>0.48304484600000003</v>
      </c>
    </row>
    <row r="988" spans="1:25" hidden="1" x14ac:dyDescent="0.4">
      <c r="A988" t="s">
        <v>20</v>
      </c>
      <c r="B988">
        <v>6516991</v>
      </c>
      <c r="C988" t="s">
        <v>491</v>
      </c>
      <c r="D988" t="s">
        <v>21</v>
      </c>
      <c r="E988" t="s">
        <v>156</v>
      </c>
      <c r="K988">
        <v>196.66295382999999</v>
      </c>
      <c r="M988">
        <v>196.66295382999999</v>
      </c>
      <c r="P988" s="1" t="s">
        <v>1314</v>
      </c>
      <c r="Q988" s="1" t="s">
        <v>1315</v>
      </c>
      <c r="R988">
        <v>0.42004920600000001</v>
      </c>
      <c r="S988">
        <v>6.17</v>
      </c>
      <c r="T988" s="2">
        <v>45924</v>
      </c>
      <c r="V988" t="str">
        <f t="shared" si="60"/>
        <v>S-6516991</v>
      </c>
      <c r="W988">
        <f t="shared" si="63"/>
        <v>0</v>
      </c>
      <c r="X988" t="str">
        <f t="shared" si="61"/>
        <v/>
      </c>
      <c r="Y988">
        <f t="shared" si="62"/>
        <v>0.42004920600000001</v>
      </c>
    </row>
    <row r="989" spans="1:25" hidden="1" x14ac:dyDescent="0.4">
      <c r="A989" t="s">
        <v>20</v>
      </c>
      <c r="B989">
        <v>6516991</v>
      </c>
      <c r="C989" t="s">
        <v>491</v>
      </c>
      <c r="D989" t="s">
        <v>21</v>
      </c>
      <c r="E989" t="s">
        <v>140</v>
      </c>
      <c r="K989">
        <v>167.112951942</v>
      </c>
      <c r="M989">
        <v>167.112951942</v>
      </c>
      <c r="P989" s="1" t="s">
        <v>1681</v>
      </c>
      <c r="Q989" s="1" t="s">
        <v>1682</v>
      </c>
      <c r="R989">
        <v>0.29203911300000002</v>
      </c>
      <c r="S989">
        <v>3.63</v>
      </c>
      <c r="T989" s="2">
        <v>45924</v>
      </c>
      <c r="V989" t="str">
        <f t="shared" si="60"/>
        <v>S-6516991</v>
      </c>
      <c r="W989">
        <f t="shared" si="63"/>
        <v>0</v>
      </c>
      <c r="X989" t="str">
        <f t="shared" si="61"/>
        <v/>
      </c>
      <c r="Y989">
        <f t="shared" si="62"/>
        <v>0.29203911300000002</v>
      </c>
    </row>
    <row r="990" spans="1:25" hidden="1" x14ac:dyDescent="0.4">
      <c r="A990" t="s">
        <v>20</v>
      </c>
      <c r="B990">
        <v>6516991</v>
      </c>
      <c r="C990" t="s">
        <v>491</v>
      </c>
      <c r="D990" t="s">
        <v>21</v>
      </c>
      <c r="E990" t="s">
        <v>147</v>
      </c>
      <c r="K990">
        <v>89.996917241999995</v>
      </c>
      <c r="M990">
        <v>89.996917241999995</v>
      </c>
      <c r="P990" s="1" t="s">
        <v>2047</v>
      </c>
      <c r="Q990" s="1" t="s">
        <v>2048</v>
      </c>
      <c r="R990">
        <v>0.147114632</v>
      </c>
      <c r="S990">
        <v>4.33</v>
      </c>
      <c r="T990" s="2">
        <v>45924</v>
      </c>
      <c r="V990" t="str">
        <f t="shared" si="60"/>
        <v>S-6516991</v>
      </c>
      <c r="W990">
        <f t="shared" si="63"/>
        <v>0</v>
      </c>
      <c r="X990" t="str">
        <f t="shared" si="61"/>
        <v/>
      </c>
      <c r="Y990">
        <f t="shared" si="62"/>
        <v>0.147114632</v>
      </c>
    </row>
    <row r="991" spans="1:25" hidden="1" x14ac:dyDescent="0.4">
      <c r="A991" t="s">
        <v>20</v>
      </c>
      <c r="B991">
        <v>6516991</v>
      </c>
      <c r="C991" t="s">
        <v>491</v>
      </c>
      <c r="D991" t="s">
        <v>21</v>
      </c>
      <c r="E991" t="s">
        <v>22</v>
      </c>
      <c r="K991">
        <v>59.735015982999997</v>
      </c>
      <c r="L991">
        <v>0.17808638099999999</v>
      </c>
      <c r="M991">
        <v>59.556929601999997</v>
      </c>
      <c r="N991">
        <v>0</v>
      </c>
      <c r="O991">
        <v>0</v>
      </c>
      <c r="P991" s="1" t="s">
        <v>492</v>
      </c>
      <c r="Q991">
        <v>1</v>
      </c>
      <c r="R991">
        <v>9.3331709999999995E-3</v>
      </c>
      <c r="S991">
        <v>2.9</v>
      </c>
      <c r="T991" s="2">
        <v>45924</v>
      </c>
      <c r="V991" t="str">
        <f t="shared" si="60"/>
        <v>S-6516991</v>
      </c>
      <c r="W991">
        <f t="shared" si="63"/>
        <v>0</v>
      </c>
      <c r="X991" t="str">
        <f t="shared" si="61"/>
        <v/>
      </c>
      <c r="Y991">
        <f t="shared" si="62"/>
        <v>9.3331709999999995E-3</v>
      </c>
    </row>
    <row r="992" spans="1:25" hidden="1" x14ac:dyDescent="0.4">
      <c r="A992" t="s">
        <v>20</v>
      </c>
      <c r="B992">
        <v>6524191</v>
      </c>
      <c r="C992" t="s">
        <v>493</v>
      </c>
      <c r="D992" t="s">
        <v>21</v>
      </c>
      <c r="E992" t="s">
        <v>137</v>
      </c>
      <c r="K992">
        <v>271.47774417699998</v>
      </c>
      <c r="M992">
        <v>271.47774417699998</v>
      </c>
      <c r="P992" s="1" t="s">
        <v>952</v>
      </c>
      <c r="Q992" s="1" t="s">
        <v>953</v>
      </c>
      <c r="R992">
        <v>0.48373404599999997</v>
      </c>
      <c r="S992">
        <v>4.95</v>
      </c>
      <c r="T992" s="2">
        <v>45925</v>
      </c>
      <c r="V992" t="str">
        <f t="shared" si="60"/>
        <v>S-6524191</v>
      </c>
      <c r="W992">
        <f t="shared" si="63"/>
        <v>0</v>
      </c>
      <c r="X992" t="str">
        <f t="shared" si="61"/>
        <v/>
      </c>
      <c r="Y992">
        <f t="shared" si="62"/>
        <v>0.48373404599999997</v>
      </c>
    </row>
    <row r="993" spans="1:25" hidden="1" x14ac:dyDescent="0.4">
      <c r="A993" t="s">
        <v>20</v>
      </c>
      <c r="B993">
        <v>6524191</v>
      </c>
      <c r="C993" t="s">
        <v>493</v>
      </c>
      <c r="D993" t="s">
        <v>21</v>
      </c>
      <c r="E993" t="s">
        <v>156</v>
      </c>
      <c r="K993">
        <v>197.08745688100001</v>
      </c>
      <c r="M993">
        <v>197.08745688100001</v>
      </c>
      <c r="P993" s="1" t="s">
        <v>1316</v>
      </c>
      <c r="Q993" s="1" t="s">
        <v>1317</v>
      </c>
      <c r="R993">
        <v>0.42450305100000002</v>
      </c>
      <c r="S993">
        <v>5.94</v>
      </c>
      <c r="T993" s="2">
        <v>45925</v>
      </c>
      <c r="V993" t="str">
        <f t="shared" si="60"/>
        <v>S-6524191</v>
      </c>
      <c r="W993">
        <f t="shared" si="63"/>
        <v>0</v>
      </c>
      <c r="X993" t="str">
        <f t="shared" si="61"/>
        <v/>
      </c>
      <c r="Y993">
        <f t="shared" si="62"/>
        <v>0.42450305100000002</v>
      </c>
    </row>
    <row r="994" spans="1:25" hidden="1" x14ac:dyDescent="0.4">
      <c r="A994" t="s">
        <v>20</v>
      </c>
      <c r="B994">
        <v>6524191</v>
      </c>
      <c r="C994" t="s">
        <v>493</v>
      </c>
      <c r="D994" t="s">
        <v>21</v>
      </c>
      <c r="E994" t="s">
        <v>140</v>
      </c>
      <c r="K994">
        <v>167.407806838</v>
      </c>
      <c r="M994">
        <v>167.407806838</v>
      </c>
      <c r="P994" s="1" t="s">
        <v>1683</v>
      </c>
      <c r="Q994" s="1" t="s">
        <v>1684</v>
      </c>
      <c r="R994">
        <v>0.29485489599999998</v>
      </c>
      <c r="S994">
        <v>3.45</v>
      </c>
      <c r="T994" s="2">
        <v>45925</v>
      </c>
      <c r="V994" t="str">
        <f t="shared" si="60"/>
        <v>S-6524191</v>
      </c>
      <c r="W994">
        <f t="shared" si="63"/>
        <v>0</v>
      </c>
      <c r="X994" t="str">
        <f t="shared" si="61"/>
        <v/>
      </c>
      <c r="Y994">
        <f t="shared" si="62"/>
        <v>0.29485489599999998</v>
      </c>
    </row>
    <row r="995" spans="1:25" hidden="1" x14ac:dyDescent="0.4">
      <c r="A995" t="s">
        <v>20</v>
      </c>
      <c r="B995">
        <v>6524191</v>
      </c>
      <c r="C995" t="s">
        <v>493</v>
      </c>
      <c r="D995" t="s">
        <v>21</v>
      </c>
      <c r="E995" t="s">
        <v>147</v>
      </c>
      <c r="K995">
        <v>90.1467253</v>
      </c>
      <c r="M995">
        <v>90.1467253</v>
      </c>
      <c r="P995" s="1" t="s">
        <v>2049</v>
      </c>
      <c r="Q995" s="1" t="s">
        <v>2050</v>
      </c>
      <c r="R995">
        <v>0.14980805799999999</v>
      </c>
      <c r="S995">
        <v>4.0999999999999996</v>
      </c>
      <c r="T995" s="2">
        <v>45925</v>
      </c>
      <c r="V995" t="str">
        <f t="shared" si="60"/>
        <v>S-6524191</v>
      </c>
      <c r="W995">
        <f t="shared" si="63"/>
        <v>0</v>
      </c>
      <c r="X995" t="str">
        <f t="shared" si="61"/>
        <v/>
      </c>
      <c r="Y995">
        <f t="shared" si="62"/>
        <v>0.14980805799999999</v>
      </c>
    </row>
    <row r="996" spans="1:25" hidden="1" x14ac:dyDescent="0.4">
      <c r="A996" t="s">
        <v>20</v>
      </c>
      <c r="B996">
        <v>6524191</v>
      </c>
      <c r="C996" t="s">
        <v>493</v>
      </c>
      <c r="D996" t="s">
        <v>21</v>
      </c>
      <c r="E996" t="s">
        <v>22</v>
      </c>
      <c r="K996">
        <v>59.744710658000002</v>
      </c>
      <c r="L996">
        <v>0.17808638099999999</v>
      </c>
      <c r="M996">
        <v>59.566624277000003</v>
      </c>
      <c r="N996">
        <v>0</v>
      </c>
      <c r="O996">
        <v>0</v>
      </c>
      <c r="P996" s="1" t="s">
        <v>494</v>
      </c>
      <c r="Q996">
        <v>1</v>
      </c>
      <c r="R996">
        <v>9.6946749999999998E-3</v>
      </c>
      <c r="S996">
        <v>2.88</v>
      </c>
      <c r="T996" s="2">
        <v>45925</v>
      </c>
      <c r="V996" t="str">
        <f t="shared" si="60"/>
        <v>S-6524191</v>
      </c>
      <c r="W996">
        <f t="shared" si="63"/>
        <v>0</v>
      </c>
      <c r="X996" t="str">
        <f t="shared" si="61"/>
        <v/>
      </c>
      <c r="Y996">
        <f t="shared" si="62"/>
        <v>9.6946749999999998E-3</v>
      </c>
    </row>
    <row r="997" spans="1:25" hidden="1" x14ac:dyDescent="0.4">
      <c r="A997" t="s">
        <v>20</v>
      </c>
      <c r="B997">
        <v>6531391</v>
      </c>
      <c r="C997" t="s">
        <v>495</v>
      </c>
      <c r="D997" t="s">
        <v>21</v>
      </c>
      <c r="E997" t="s">
        <v>137</v>
      </c>
      <c r="K997">
        <v>271.96276222699998</v>
      </c>
      <c r="M997">
        <v>271.96276222699998</v>
      </c>
      <c r="P997" s="1" t="s">
        <v>954</v>
      </c>
      <c r="Q997" s="1" t="s">
        <v>955</v>
      </c>
      <c r="R997">
        <v>0.48501804999999998</v>
      </c>
      <c r="S997">
        <v>5.0199999999999996</v>
      </c>
      <c r="T997" s="2">
        <v>45926</v>
      </c>
      <c r="V997" t="str">
        <f t="shared" si="60"/>
        <v>S-6531391</v>
      </c>
      <c r="W997">
        <f t="shared" si="63"/>
        <v>0</v>
      </c>
      <c r="X997" t="str">
        <f t="shared" si="61"/>
        <v/>
      </c>
      <c r="Y997">
        <f t="shared" si="62"/>
        <v>0.48501804999999998</v>
      </c>
    </row>
    <row r="998" spans="1:25" hidden="1" x14ac:dyDescent="0.4">
      <c r="A998" t="s">
        <v>20</v>
      </c>
      <c r="B998">
        <v>6531391</v>
      </c>
      <c r="C998" t="s">
        <v>495</v>
      </c>
      <c r="D998" t="s">
        <v>21</v>
      </c>
      <c r="E998" t="s">
        <v>156</v>
      </c>
      <c r="K998">
        <v>197.51279802600001</v>
      </c>
      <c r="M998">
        <v>197.51279802600001</v>
      </c>
      <c r="P998" s="1" t="s">
        <v>1318</v>
      </c>
      <c r="Q998" s="1" t="s">
        <v>1319</v>
      </c>
      <c r="R998">
        <v>0.42534114499999998</v>
      </c>
      <c r="S998">
        <v>6.01</v>
      </c>
      <c r="T998" s="2">
        <v>45926</v>
      </c>
      <c r="V998" t="str">
        <f t="shared" si="60"/>
        <v>S-6531391</v>
      </c>
      <c r="W998">
        <f t="shared" si="63"/>
        <v>0</v>
      </c>
      <c r="X998" t="str">
        <f t="shared" si="61"/>
        <v/>
      </c>
      <c r="Y998">
        <f t="shared" si="62"/>
        <v>0.42534114499999998</v>
      </c>
    </row>
    <row r="999" spans="1:25" hidden="1" x14ac:dyDescent="0.4">
      <c r="A999" t="s">
        <v>20</v>
      </c>
      <c r="B999">
        <v>6531391</v>
      </c>
      <c r="C999" t="s">
        <v>495</v>
      </c>
      <c r="D999" t="s">
        <v>21</v>
      </c>
      <c r="E999" t="s">
        <v>140</v>
      </c>
      <c r="K999">
        <v>167.699202754</v>
      </c>
      <c r="M999">
        <v>167.699202754</v>
      </c>
      <c r="P999" s="1" t="s">
        <v>1685</v>
      </c>
      <c r="Q999" s="1" t="s">
        <v>1686</v>
      </c>
      <c r="R999">
        <v>0.29139591599999998</v>
      </c>
      <c r="S999">
        <v>3.43</v>
      </c>
      <c r="T999" s="2">
        <v>45926</v>
      </c>
      <c r="V999" t="str">
        <f t="shared" si="60"/>
        <v>S-6531391</v>
      </c>
      <c r="W999">
        <f t="shared" si="63"/>
        <v>0</v>
      </c>
      <c r="X999" t="str">
        <f t="shared" si="61"/>
        <v/>
      </c>
      <c r="Y999">
        <f t="shared" si="62"/>
        <v>0.29139591599999998</v>
      </c>
    </row>
    <row r="1000" spans="1:25" hidden="1" x14ac:dyDescent="0.4">
      <c r="A1000" t="s">
        <v>20</v>
      </c>
      <c r="B1000">
        <v>6531391</v>
      </c>
      <c r="C1000" t="s">
        <v>495</v>
      </c>
      <c r="D1000" t="s">
        <v>21</v>
      </c>
      <c r="E1000" t="s">
        <v>147</v>
      </c>
      <c r="K1000">
        <v>90.297855694999996</v>
      </c>
      <c r="M1000">
        <v>90.297855694999996</v>
      </c>
      <c r="P1000" s="1" t="s">
        <v>2051</v>
      </c>
      <c r="Q1000" s="1" t="s">
        <v>2052</v>
      </c>
      <c r="R1000">
        <v>0.151130395</v>
      </c>
      <c r="S1000">
        <v>4.17</v>
      </c>
      <c r="T1000" s="2">
        <v>45926</v>
      </c>
      <c r="V1000" t="str">
        <f t="shared" si="60"/>
        <v>S-6531391</v>
      </c>
      <c r="W1000">
        <f t="shared" si="63"/>
        <v>0</v>
      </c>
      <c r="X1000" t="str">
        <f t="shared" si="61"/>
        <v/>
      </c>
      <c r="Y1000">
        <f t="shared" si="62"/>
        <v>0.151130395</v>
      </c>
    </row>
    <row r="1001" spans="1:25" hidden="1" x14ac:dyDescent="0.4">
      <c r="A1001" t="s">
        <v>20</v>
      </c>
      <c r="B1001">
        <v>6531391</v>
      </c>
      <c r="C1001" t="s">
        <v>495</v>
      </c>
      <c r="D1001" t="s">
        <v>21</v>
      </c>
      <c r="E1001" t="s">
        <v>22</v>
      </c>
      <c r="K1001">
        <v>59.754488463000001</v>
      </c>
      <c r="L1001">
        <v>0.17808638099999999</v>
      </c>
      <c r="M1001">
        <v>59.576402082000001</v>
      </c>
      <c r="N1001">
        <v>0</v>
      </c>
      <c r="O1001">
        <v>0</v>
      </c>
      <c r="P1001" s="1" t="s">
        <v>496</v>
      </c>
      <c r="Q1001">
        <v>1</v>
      </c>
      <c r="R1001">
        <v>9.7778050000000005E-3</v>
      </c>
      <c r="S1001">
        <v>2.94</v>
      </c>
      <c r="T1001" s="2">
        <v>45926</v>
      </c>
      <c r="V1001" t="str">
        <f t="shared" si="60"/>
        <v>S-6531391</v>
      </c>
      <c r="W1001">
        <f t="shared" si="63"/>
        <v>0</v>
      </c>
      <c r="X1001" t="str">
        <f t="shared" si="61"/>
        <v/>
      </c>
      <c r="Y1001">
        <f t="shared" si="62"/>
        <v>9.7778050000000005E-3</v>
      </c>
    </row>
    <row r="1002" spans="1:25" hidden="1" x14ac:dyDescent="0.4">
      <c r="A1002" t="s">
        <v>20</v>
      </c>
      <c r="B1002">
        <v>6538591</v>
      </c>
      <c r="C1002" t="s">
        <v>497</v>
      </c>
      <c r="D1002" t="s">
        <v>21</v>
      </c>
      <c r="E1002" t="s">
        <v>137</v>
      </c>
      <c r="K1002">
        <v>272.45211811899998</v>
      </c>
      <c r="M1002">
        <v>272.45211811899998</v>
      </c>
      <c r="P1002" s="1" t="s">
        <v>956</v>
      </c>
      <c r="Q1002" s="1" t="s">
        <v>957</v>
      </c>
      <c r="R1002">
        <v>0.48935589200000001</v>
      </c>
      <c r="S1002">
        <v>4.9400000000000004</v>
      </c>
      <c r="T1002" s="2">
        <v>45927</v>
      </c>
      <c r="V1002" t="str">
        <f t="shared" si="60"/>
        <v>S-6538591</v>
      </c>
      <c r="W1002">
        <f t="shared" si="63"/>
        <v>0</v>
      </c>
      <c r="X1002" t="str">
        <f t="shared" si="61"/>
        <v/>
      </c>
      <c r="Y1002">
        <f t="shared" si="62"/>
        <v>0.48935589200000001</v>
      </c>
    </row>
    <row r="1003" spans="1:25" hidden="1" x14ac:dyDescent="0.4">
      <c r="A1003" t="s">
        <v>20</v>
      </c>
      <c r="B1003">
        <v>6538591</v>
      </c>
      <c r="C1003" t="s">
        <v>497</v>
      </c>
      <c r="D1003" t="s">
        <v>21</v>
      </c>
      <c r="E1003" t="s">
        <v>156</v>
      </c>
      <c r="K1003">
        <v>197.927615616</v>
      </c>
      <c r="M1003">
        <v>197.927615616</v>
      </c>
      <c r="P1003" s="1" t="s">
        <v>1320</v>
      </c>
      <c r="Q1003" s="1" t="s">
        <v>1321</v>
      </c>
      <c r="R1003">
        <v>0.41481759000000001</v>
      </c>
      <c r="S1003">
        <v>5.96</v>
      </c>
      <c r="T1003" s="2">
        <v>45927</v>
      </c>
      <c r="V1003" t="str">
        <f t="shared" si="60"/>
        <v>S-6538591</v>
      </c>
      <c r="W1003">
        <f t="shared" si="63"/>
        <v>0</v>
      </c>
      <c r="X1003" t="str">
        <f t="shared" si="61"/>
        <v/>
      </c>
      <c r="Y1003">
        <f t="shared" si="62"/>
        <v>0.41481759000000001</v>
      </c>
    </row>
    <row r="1004" spans="1:25" hidden="1" x14ac:dyDescent="0.4">
      <c r="A1004" t="s">
        <v>20</v>
      </c>
      <c r="B1004">
        <v>6538591</v>
      </c>
      <c r="C1004" t="s">
        <v>497</v>
      </c>
      <c r="D1004" t="s">
        <v>21</v>
      </c>
      <c r="E1004" t="s">
        <v>140</v>
      </c>
      <c r="K1004">
        <v>167.98477732500001</v>
      </c>
      <c r="M1004">
        <v>167.98477732500001</v>
      </c>
      <c r="P1004" s="1" t="s">
        <v>1687</v>
      </c>
      <c r="Q1004" s="1" t="s">
        <v>1688</v>
      </c>
      <c r="R1004">
        <v>0.285574571</v>
      </c>
      <c r="S1004">
        <v>3.31</v>
      </c>
      <c r="T1004" s="2">
        <v>45927</v>
      </c>
      <c r="V1004" t="str">
        <f t="shared" si="60"/>
        <v>S-6538591</v>
      </c>
      <c r="W1004">
        <f t="shared" si="63"/>
        <v>0</v>
      </c>
      <c r="X1004" t="str">
        <f t="shared" si="61"/>
        <v/>
      </c>
      <c r="Y1004">
        <f t="shared" si="62"/>
        <v>0.285574571</v>
      </c>
    </row>
    <row r="1005" spans="1:25" hidden="1" x14ac:dyDescent="0.4">
      <c r="A1005" t="s">
        <v>20</v>
      </c>
      <c r="B1005">
        <v>6538591</v>
      </c>
      <c r="C1005" t="s">
        <v>497</v>
      </c>
      <c r="D1005" t="s">
        <v>21</v>
      </c>
      <c r="E1005" t="s">
        <v>147</v>
      </c>
      <c r="K1005">
        <v>90.449271530999994</v>
      </c>
      <c r="M1005">
        <v>90.449271530999994</v>
      </c>
      <c r="P1005" s="1" t="s">
        <v>2053</v>
      </c>
      <c r="Q1005" s="1" t="s">
        <v>2054</v>
      </c>
      <c r="R1005">
        <v>0.151415836</v>
      </c>
      <c r="S1005">
        <v>4.12</v>
      </c>
      <c r="T1005" s="2">
        <v>45927</v>
      </c>
      <c r="V1005" t="str">
        <f t="shared" si="60"/>
        <v>S-6538591</v>
      </c>
      <c r="W1005">
        <f t="shared" si="63"/>
        <v>0</v>
      </c>
      <c r="X1005" t="str">
        <f t="shared" si="61"/>
        <v/>
      </c>
      <c r="Y1005">
        <f t="shared" si="62"/>
        <v>0.151415836</v>
      </c>
    </row>
    <row r="1006" spans="1:25" hidden="1" x14ac:dyDescent="0.4">
      <c r="A1006" t="s">
        <v>20</v>
      </c>
      <c r="B1006">
        <v>6538591</v>
      </c>
      <c r="C1006" t="s">
        <v>497</v>
      </c>
      <c r="D1006" t="s">
        <v>21</v>
      </c>
      <c r="E1006" t="s">
        <v>22</v>
      </c>
      <c r="K1006">
        <v>59.764468487000002</v>
      </c>
      <c r="L1006">
        <v>0.17808638099999999</v>
      </c>
      <c r="M1006">
        <v>59.586382106000002</v>
      </c>
      <c r="N1006">
        <v>0</v>
      </c>
      <c r="O1006">
        <v>0</v>
      </c>
      <c r="P1006" s="1" t="s">
        <v>498</v>
      </c>
      <c r="Q1006">
        <v>1</v>
      </c>
      <c r="R1006">
        <v>9.9800240000000005E-3</v>
      </c>
      <c r="S1006">
        <v>2.98</v>
      </c>
      <c r="T1006" s="2">
        <v>45927</v>
      </c>
      <c r="V1006" t="str">
        <f t="shared" si="60"/>
        <v>S-6538591</v>
      </c>
      <c r="W1006">
        <f t="shared" si="63"/>
        <v>0</v>
      </c>
      <c r="X1006" t="str">
        <f t="shared" si="61"/>
        <v/>
      </c>
      <c r="Y1006">
        <f t="shared" si="62"/>
        <v>9.9800240000000005E-3</v>
      </c>
    </row>
    <row r="1007" spans="1:25" hidden="1" x14ac:dyDescent="0.4">
      <c r="A1007" t="s">
        <v>20</v>
      </c>
      <c r="B1007">
        <v>6545791</v>
      </c>
      <c r="C1007" t="s">
        <v>499</v>
      </c>
      <c r="D1007" t="s">
        <v>21</v>
      </c>
      <c r="E1007" t="s">
        <v>137</v>
      </c>
      <c r="K1007">
        <v>272.96731738099999</v>
      </c>
      <c r="M1007">
        <v>272.96731738099999</v>
      </c>
      <c r="P1007" s="1" t="s">
        <v>958</v>
      </c>
      <c r="Q1007" s="1" t="s">
        <v>959</v>
      </c>
      <c r="R1007">
        <v>0.51519926199999999</v>
      </c>
      <c r="S1007">
        <v>4.93</v>
      </c>
      <c r="T1007" s="2">
        <v>45928</v>
      </c>
      <c r="V1007" t="str">
        <f t="shared" si="60"/>
        <v>S-6545791</v>
      </c>
      <c r="W1007">
        <f t="shared" si="63"/>
        <v>0</v>
      </c>
      <c r="X1007" t="str">
        <f t="shared" si="61"/>
        <v/>
      </c>
      <c r="Y1007">
        <f t="shared" si="62"/>
        <v>0.51519926199999999</v>
      </c>
    </row>
    <row r="1008" spans="1:25" hidden="1" x14ac:dyDescent="0.4">
      <c r="A1008" t="s">
        <v>20</v>
      </c>
      <c r="B1008">
        <v>6545791</v>
      </c>
      <c r="C1008" t="s">
        <v>499</v>
      </c>
      <c r="D1008" t="s">
        <v>21</v>
      </c>
      <c r="E1008" t="s">
        <v>156</v>
      </c>
      <c r="K1008">
        <v>198.34035800800001</v>
      </c>
      <c r="M1008">
        <v>198.34035800800001</v>
      </c>
      <c r="P1008" s="1" t="s">
        <v>1322</v>
      </c>
      <c r="Q1008" s="1" t="s">
        <v>1323</v>
      </c>
      <c r="R1008">
        <v>0.41274239200000001</v>
      </c>
      <c r="S1008">
        <v>6.04</v>
      </c>
      <c r="T1008" s="2">
        <v>45928</v>
      </c>
      <c r="V1008" t="str">
        <f t="shared" si="60"/>
        <v>S-6545791</v>
      </c>
      <c r="W1008">
        <f t="shared" si="63"/>
        <v>0</v>
      </c>
      <c r="X1008" t="str">
        <f t="shared" si="61"/>
        <v/>
      </c>
      <c r="Y1008">
        <f t="shared" si="62"/>
        <v>0.41274239200000001</v>
      </c>
    </row>
    <row r="1009" spans="1:25" hidden="1" x14ac:dyDescent="0.4">
      <c r="A1009" t="s">
        <v>20</v>
      </c>
      <c r="B1009">
        <v>6545791</v>
      </c>
      <c r="C1009" t="s">
        <v>499</v>
      </c>
      <c r="D1009" t="s">
        <v>21</v>
      </c>
      <c r="E1009" t="s">
        <v>140</v>
      </c>
      <c r="K1009">
        <v>168.28911547800001</v>
      </c>
      <c r="M1009">
        <v>168.28911547800001</v>
      </c>
      <c r="P1009" s="1" t="s">
        <v>1689</v>
      </c>
      <c r="Q1009" s="1" t="s">
        <v>1690</v>
      </c>
      <c r="R1009">
        <v>0.304338153</v>
      </c>
      <c r="S1009">
        <v>3.59</v>
      </c>
      <c r="T1009" s="2">
        <v>45928</v>
      </c>
      <c r="V1009" t="str">
        <f t="shared" si="60"/>
        <v>S-6545791</v>
      </c>
      <c r="W1009">
        <f t="shared" si="63"/>
        <v>0</v>
      </c>
      <c r="X1009" t="str">
        <f t="shared" si="61"/>
        <v/>
      </c>
      <c r="Y1009">
        <f t="shared" si="62"/>
        <v>0.304338153</v>
      </c>
    </row>
    <row r="1010" spans="1:25" hidden="1" x14ac:dyDescent="0.4">
      <c r="A1010" t="s">
        <v>20</v>
      </c>
      <c r="B1010">
        <v>6545791</v>
      </c>
      <c r="C1010" t="s">
        <v>499</v>
      </c>
      <c r="D1010" t="s">
        <v>21</v>
      </c>
      <c r="E1010" t="s">
        <v>147</v>
      </c>
      <c r="K1010">
        <v>90.600657921000007</v>
      </c>
      <c r="M1010">
        <v>90.600657921000007</v>
      </c>
      <c r="P1010" s="1" t="s">
        <v>2055</v>
      </c>
      <c r="Q1010" s="1" t="s">
        <v>2056</v>
      </c>
      <c r="R1010">
        <v>0.15138639000000001</v>
      </c>
      <c r="S1010">
        <v>4.22</v>
      </c>
      <c r="T1010" s="2">
        <v>45928</v>
      </c>
      <c r="V1010" t="str">
        <f t="shared" si="60"/>
        <v>S-6545791</v>
      </c>
      <c r="W1010">
        <f t="shared" si="63"/>
        <v>0</v>
      </c>
      <c r="X1010" t="str">
        <f t="shared" si="61"/>
        <v/>
      </c>
      <c r="Y1010">
        <f t="shared" si="62"/>
        <v>0.15138639000000001</v>
      </c>
    </row>
    <row r="1011" spans="1:25" hidden="1" x14ac:dyDescent="0.4">
      <c r="A1011" t="s">
        <v>20</v>
      </c>
      <c r="B1011">
        <v>6545791</v>
      </c>
      <c r="C1011" t="s">
        <v>499</v>
      </c>
      <c r="D1011" t="s">
        <v>21</v>
      </c>
      <c r="E1011" t="s">
        <v>22</v>
      </c>
      <c r="K1011">
        <v>59.774347394999999</v>
      </c>
      <c r="L1011">
        <v>0.17808638099999999</v>
      </c>
      <c r="M1011">
        <v>59.596261014</v>
      </c>
      <c r="N1011">
        <v>0</v>
      </c>
      <c r="O1011">
        <v>0</v>
      </c>
      <c r="P1011" s="1" t="s">
        <v>500</v>
      </c>
      <c r="Q1011">
        <v>1</v>
      </c>
      <c r="R1011">
        <v>9.8789080000000005E-3</v>
      </c>
      <c r="S1011">
        <v>3.03</v>
      </c>
      <c r="T1011" s="2">
        <v>45928</v>
      </c>
      <c r="V1011" t="str">
        <f t="shared" si="60"/>
        <v>S-6545791</v>
      </c>
      <c r="W1011">
        <f t="shared" si="63"/>
        <v>0</v>
      </c>
      <c r="X1011" t="str">
        <f t="shared" si="61"/>
        <v/>
      </c>
      <c r="Y1011">
        <f t="shared" si="62"/>
        <v>9.8789080000000005E-3</v>
      </c>
    </row>
    <row r="1012" spans="1:25" hidden="1" x14ac:dyDescent="0.4">
      <c r="A1012" t="s">
        <v>20</v>
      </c>
      <c r="B1012">
        <v>6552991</v>
      </c>
      <c r="C1012" t="s">
        <v>501</v>
      </c>
      <c r="D1012" t="s">
        <v>21</v>
      </c>
      <c r="E1012" t="s">
        <v>137</v>
      </c>
      <c r="K1012">
        <v>273.48790386899998</v>
      </c>
      <c r="M1012">
        <v>273.48790386899998</v>
      </c>
      <c r="P1012" s="1" t="s">
        <v>960</v>
      </c>
      <c r="Q1012" s="1" t="s">
        <v>961</v>
      </c>
      <c r="R1012">
        <v>0.52058648799999996</v>
      </c>
      <c r="S1012">
        <v>5.0199999999999996</v>
      </c>
      <c r="T1012" s="2">
        <v>45929</v>
      </c>
      <c r="V1012" t="str">
        <f t="shared" si="60"/>
        <v>S-6552991</v>
      </c>
      <c r="W1012">
        <f t="shared" si="63"/>
        <v>0</v>
      </c>
      <c r="X1012" t="str">
        <f t="shared" si="61"/>
        <v/>
      </c>
      <c r="Y1012">
        <f t="shared" si="62"/>
        <v>0.52058648799999996</v>
      </c>
    </row>
    <row r="1013" spans="1:25" hidden="1" x14ac:dyDescent="0.4">
      <c r="A1013" t="s">
        <v>20</v>
      </c>
      <c r="B1013">
        <v>6552991</v>
      </c>
      <c r="C1013" t="s">
        <v>501</v>
      </c>
      <c r="D1013" t="s">
        <v>21</v>
      </c>
      <c r="E1013" t="s">
        <v>156</v>
      </c>
      <c r="K1013">
        <v>198.74662769</v>
      </c>
      <c r="M1013">
        <v>198.74662769</v>
      </c>
      <c r="P1013" s="1" t="s">
        <v>1324</v>
      </c>
      <c r="Q1013" s="1" t="s">
        <v>1325</v>
      </c>
      <c r="R1013">
        <v>0.40626968200000002</v>
      </c>
      <c r="S1013">
        <v>6.01</v>
      </c>
      <c r="T1013" s="2">
        <v>45929</v>
      </c>
      <c r="V1013" t="str">
        <f t="shared" si="60"/>
        <v>S-6552991</v>
      </c>
      <c r="W1013">
        <f t="shared" si="63"/>
        <v>0</v>
      </c>
      <c r="X1013" t="str">
        <f t="shared" si="61"/>
        <v/>
      </c>
      <c r="Y1013">
        <f t="shared" si="62"/>
        <v>0.40626968200000002</v>
      </c>
    </row>
    <row r="1014" spans="1:25" hidden="1" x14ac:dyDescent="0.4">
      <c r="A1014" t="s">
        <v>20</v>
      </c>
      <c r="B1014">
        <v>6552991</v>
      </c>
      <c r="C1014" t="s">
        <v>501</v>
      </c>
      <c r="D1014" t="s">
        <v>21</v>
      </c>
      <c r="E1014" t="s">
        <v>140</v>
      </c>
      <c r="K1014">
        <v>168.610550878</v>
      </c>
      <c r="M1014">
        <v>168.610550878</v>
      </c>
      <c r="P1014" s="1" t="s">
        <v>1691</v>
      </c>
      <c r="Q1014" s="1" t="s">
        <v>1692</v>
      </c>
      <c r="R1014">
        <v>0.32143539999999998</v>
      </c>
      <c r="S1014">
        <v>3.95</v>
      </c>
      <c r="T1014" s="2">
        <v>45929</v>
      </c>
      <c r="V1014" t="str">
        <f t="shared" si="60"/>
        <v>S-6552991</v>
      </c>
      <c r="W1014">
        <f t="shared" si="63"/>
        <v>0</v>
      </c>
      <c r="X1014" t="str">
        <f t="shared" si="61"/>
        <v/>
      </c>
      <c r="Y1014">
        <f t="shared" si="62"/>
        <v>0.32143539999999998</v>
      </c>
    </row>
    <row r="1015" spans="1:25" hidden="1" x14ac:dyDescent="0.4">
      <c r="A1015" t="s">
        <v>20</v>
      </c>
      <c r="B1015">
        <v>6552991</v>
      </c>
      <c r="C1015" t="s">
        <v>501</v>
      </c>
      <c r="D1015" t="s">
        <v>21</v>
      </c>
      <c r="E1015" t="s">
        <v>147</v>
      </c>
      <c r="K1015">
        <v>90.754030650000004</v>
      </c>
      <c r="M1015">
        <v>90.754030650000004</v>
      </c>
      <c r="P1015" s="1" t="s">
        <v>2057</v>
      </c>
      <c r="Q1015" s="1" t="s">
        <v>2058</v>
      </c>
      <c r="R1015">
        <v>0.15337272900000001</v>
      </c>
      <c r="S1015">
        <v>4.22</v>
      </c>
      <c r="T1015" s="2">
        <v>45929</v>
      </c>
      <c r="V1015" t="str">
        <f t="shared" si="60"/>
        <v>S-6552991</v>
      </c>
      <c r="W1015">
        <f t="shared" si="63"/>
        <v>0</v>
      </c>
      <c r="X1015" t="str">
        <f t="shared" si="61"/>
        <v/>
      </c>
      <c r="Y1015">
        <f t="shared" si="62"/>
        <v>0.15337272900000001</v>
      </c>
    </row>
    <row r="1016" spans="1:25" hidden="1" x14ac:dyDescent="0.4">
      <c r="A1016" t="s">
        <v>20</v>
      </c>
      <c r="B1016">
        <v>6552991</v>
      </c>
      <c r="C1016" t="s">
        <v>501</v>
      </c>
      <c r="D1016" t="s">
        <v>21</v>
      </c>
      <c r="E1016" t="s">
        <v>22</v>
      </c>
      <c r="K1016">
        <v>59.783878377999997</v>
      </c>
      <c r="L1016">
        <v>0.17808638099999999</v>
      </c>
      <c r="M1016">
        <v>59.605791996999997</v>
      </c>
      <c r="N1016">
        <v>0</v>
      </c>
      <c r="O1016">
        <v>0</v>
      </c>
      <c r="P1016" s="1" t="s">
        <v>502</v>
      </c>
      <c r="Q1016">
        <v>1</v>
      </c>
      <c r="R1016">
        <v>9.5309829999999998E-3</v>
      </c>
      <c r="S1016">
        <v>2.96</v>
      </c>
      <c r="T1016" s="2">
        <v>45929</v>
      </c>
      <c r="V1016" t="str">
        <f t="shared" si="60"/>
        <v>S-6552991</v>
      </c>
      <c r="W1016">
        <f t="shared" si="63"/>
        <v>0</v>
      </c>
      <c r="X1016" t="str">
        <f t="shared" si="61"/>
        <v/>
      </c>
      <c r="Y1016">
        <f t="shared" si="62"/>
        <v>9.5309829999999998E-3</v>
      </c>
    </row>
    <row r="1017" spans="1:25" hidden="1" x14ac:dyDescent="0.4">
      <c r="A1017" t="s">
        <v>20</v>
      </c>
      <c r="B1017">
        <v>6560191</v>
      </c>
      <c r="C1017" t="s">
        <v>503</v>
      </c>
      <c r="D1017" t="s">
        <v>21</v>
      </c>
      <c r="E1017" t="s">
        <v>137</v>
      </c>
      <c r="K1017">
        <v>274.01258802500001</v>
      </c>
      <c r="M1017">
        <v>274.01258802500001</v>
      </c>
      <c r="P1017" s="1" t="s">
        <v>962</v>
      </c>
      <c r="Q1017" s="1" t="s">
        <v>963</v>
      </c>
      <c r="R1017">
        <v>0.52468415599999996</v>
      </c>
      <c r="S1017">
        <v>4.9000000000000004</v>
      </c>
      <c r="T1017" s="2">
        <v>45930</v>
      </c>
      <c r="V1017" t="str">
        <f t="shared" si="60"/>
        <v>S-6560191</v>
      </c>
      <c r="W1017">
        <f t="shared" si="63"/>
        <v>0</v>
      </c>
      <c r="X1017" t="str">
        <f t="shared" si="61"/>
        <v/>
      </c>
      <c r="Y1017">
        <f t="shared" si="62"/>
        <v>0.52468415599999996</v>
      </c>
    </row>
    <row r="1018" spans="1:25" hidden="1" x14ac:dyDescent="0.4">
      <c r="A1018" t="s">
        <v>20</v>
      </c>
      <c r="B1018">
        <v>6560191</v>
      </c>
      <c r="C1018" t="s">
        <v>503</v>
      </c>
      <c r="D1018" t="s">
        <v>21</v>
      </c>
      <c r="E1018" t="s">
        <v>156</v>
      </c>
      <c r="K1018">
        <v>199.15283703</v>
      </c>
      <c r="M1018">
        <v>199.15283703</v>
      </c>
      <c r="P1018" s="1" t="s">
        <v>1326</v>
      </c>
      <c r="Q1018" s="1" t="s">
        <v>1327</v>
      </c>
      <c r="R1018">
        <v>0.40620933999999997</v>
      </c>
      <c r="S1018">
        <v>5.82</v>
      </c>
      <c r="T1018" s="2">
        <v>45930</v>
      </c>
      <c r="V1018" t="str">
        <f t="shared" si="60"/>
        <v>S-6560191</v>
      </c>
      <c r="W1018">
        <f t="shared" si="63"/>
        <v>0</v>
      </c>
      <c r="X1018" t="str">
        <f t="shared" si="61"/>
        <v/>
      </c>
      <c r="Y1018">
        <f t="shared" si="62"/>
        <v>0.40620933999999997</v>
      </c>
    </row>
    <row r="1019" spans="1:25" hidden="1" x14ac:dyDescent="0.4">
      <c r="A1019" t="s">
        <v>20</v>
      </c>
      <c r="B1019">
        <v>6560191</v>
      </c>
      <c r="C1019" t="s">
        <v>503</v>
      </c>
      <c r="D1019" t="s">
        <v>21</v>
      </c>
      <c r="E1019" t="s">
        <v>140</v>
      </c>
      <c r="K1019">
        <v>168.910501998</v>
      </c>
      <c r="M1019">
        <v>168.910501998</v>
      </c>
      <c r="P1019" s="1" t="s">
        <v>1693</v>
      </c>
      <c r="Q1019" s="1" t="s">
        <v>1694</v>
      </c>
      <c r="R1019">
        <v>0.29995112000000002</v>
      </c>
      <c r="S1019">
        <v>3.39</v>
      </c>
      <c r="T1019" s="2">
        <v>45930</v>
      </c>
      <c r="V1019" t="str">
        <f t="shared" si="60"/>
        <v>S-6560191</v>
      </c>
      <c r="W1019">
        <f t="shared" si="63"/>
        <v>0</v>
      </c>
      <c r="X1019" t="str">
        <f t="shared" si="61"/>
        <v/>
      </c>
      <c r="Y1019">
        <f t="shared" si="62"/>
        <v>0.29995112000000002</v>
      </c>
    </row>
    <row r="1020" spans="1:25" hidden="1" x14ac:dyDescent="0.4">
      <c r="A1020" t="s">
        <v>20</v>
      </c>
      <c r="B1020">
        <v>6560191</v>
      </c>
      <c r="C1020" t="s">
        <v>503</v>
      </c>
      <c r="D1020" t="s">
        <v>21</v>
      </c>
      <c r="E1020" t="s">
        <v>147</v>
      </c>
      <c r="K1020">
        <v>90.908892647000002</v>
      </c>
      <c r="M1020">
        <v>90.908892647000002</v>
      </c>
      <c r="P1020" s="1" t="s">
        <v>2059</v>
      </c>
      <c r="Q1020" s="1" t="s">
        <v>2060</v>
      </c>
      <c r="R1020">
        <v>0.154861997</v>
      </c>
      <c r="S1020">
        <v>4.07</v>
      </c>
      <c r="T1020" s="2">
        <v>45930</v>
      </c>
      <c r="V1020" t="str">
        <f t="shared" si="60"/>
        <v>S-6560191</v>
      </c>
      <c r="W1020">
        <f t="shared" si="63"/>
        <v>0</v>
      </c>
      <c r="X1020" t="str">
        <f t="shared" si="61"/>
        <v/>
      </c>
      <c r="Y1020">
        <f t="shared" si="62"/>
        <v>0.154861997</v>
      </c>
    </row>
    <row r="1021" spans="1:25" hidden="1" x14ac:dyDescent="0.4">
      <c r="A1021" t="s">
        <v>20</v>
      </c>
      <c r="B1021">
        <v>6560191</v>
      </c>
      <c r="C1021" t="s">
        <v>503</v>
      </c>
      <c r="D1021" t="s">
        <v>21</v>
      </c>
      <c r="E1021" t="s">
        <v>22</v>
      </c>
      <c r="K1021">
        <v>59.793109874000002</v>
      </c>
      <c r="L1021">
        <v>0.17808638099999999</v>
      </c>
      <c r="M1021">
        <v>59.615023493000002</v>
      </c>
      <c r="N1021">
        <v>0</v>
      </c>
      <c r="O1021">
        <v>0</v>
      </c>
      <c r="P1021" s="1" t="s">
        <v>504</v>
      </c>
      <c r="Q1021">
        <v>1</v>
      </c>
      <c r="R1021">
        <v>9.2314960000000005E-3</v>
      </c>
      <c r="S1021">
        <v>2.79</v>
      </c>
      <c r="T1021" s="2">
        <v>45930</v>
      </c>
      <c r="V1021" t="str">
        <f t="shared" si="60"/>
        <v>S-6560191</v>
      </c>
      <c r="W1021">
        <f t="shared" si="63"/>
        <v>0</v>
      </c>
      <c r="X1021" t="str">
        <f t="shared" si="61"/>
        <v/>
      </c>
      <c r="Y1021">
        <f t="shared" si="62"/>
        <v>9.2314960000000005E-3</v>
      </c>
    </row>
    <row r="1022" spans="1:25" hidden="1" x14ac:dyDescent="0.4">
      <c r="A1022" t="s">
        <v>20</v>
      </c>
      <c r="B1022">
        <v>6567389</v>
      </c>
      <c r="C1022" t="s">
        <v>505</v>
      </c>
      <c r="D1022" t="s">
        <v>21</v>
      </c>
      <c r="E1022" t="s">
        <v>137</v>
      </c>
      <c r="K1022">
        <v>274.53564657499999</v>
      </c>
      <c r="M1022">
        <v>274.53564657499999</v>
      </c>
      <c r="P1022" s="1" t="s">
        <v>964</v>
      </c>
      <c r="Q1022" s="1" t="s">
        <v>965</v>
      </c>
      <c r="R1022">
        <v>0.52305855000000001</v>
      </c>
      <c r="S1022">
        <v>5.13</v>
      </c>
      <c r="T1022" s="2">
        <v>45931</v>
      </c>
      <c r="V1022" t="str">
        <f t="shared" si="60"/>
        <v>S-6567389</v>
      </c>
      <c r="W1022">
        <f t="shared" si="63"/>
        <v>0</v>
      </c>
      <c r="X1022" t="str">
        <f t="shared" si="61"/>
        <v/>
      </c>
      <c r="Y1022">
        <f t="shared" si="62"/>
        <v>0.52305855000000001</v>
      </c>
    </row>
    <row r="1023" spans="1:25" hidden="1" x14ac:dyDescent="0.4">
      <c r="A1023" t="s">
        <v>20</v>
      </c>
      <c r="B1023">
        <v>6567389</v>
      </c>
      <c r="C1023" t="s">
        <v>505</v>
      </c>
      <c r="D1023" t="s">
        <v>21</v>
      </c>
      <c r="E1023" t="s">
        <v>156</v>
      </c>
      <c r="K1023">
        <v>199.556390841</v>
      </c>
      <c r="M1023">
        <v>199.556390841</v>
      </c>
      <c r="P1023" s="1" t="s">
        <v>1328</v>
      </c>
      <c r="Q1023" s="1" t="s">
        <v>1329</v>
      </c>
      <c r="R1023">
        <v>0.40355381099999998</v>
      </c>
      <c r="S1023">
        <v>6.11</v>
      </c>
      <c r="T1023" s="2">
        <v>45931</v>
      </c>
      <c r="V1023" t="str">
        <f t="shared" si="60"/>
        <v>S-6567389</v>
      </c>
      <c r="W1023">
        <f t="shared" si="63"/>
        <v>0</v>
      </c>
      <c r="X1023" t="str">
        <f t="shared" si="61"/>
        <v/>
      </c>
      <c r="Y1023">
        <f t="shared" si="62"/>
        <v>0.40355381099999998</v>
      </c>
    </row>
    <row r="1024" spans="1:25" hidden="1" x14ac:dyDescent="0.4">
      <c r="A1024" t="s">
        <v>20</v>
      </c>
      <c r="B1024">
        <v>6567389</v>
      </c>
      <c r="C1024" t="s">
        <v>505</v>
      </c>
      <c r="D1024" t="s">
        <v>21</v>
      </c>
      <c r="E1024" t="s">
        <v>140</v>
      </c>
      <c r="K1024">
        <v>169.20682307800001</v>
      </c>
      <c r="M1024">
        <v>169.20682307800001</v>
      </c>
      <c r="P1024" s="1" t="s">
        <v>1695</v>
      </c>
      <c r="Q1024" s="1" t="s">
        <v>1696</v>
      </c>
      <c r="R1024">
        <v>0.29632108000000001</v>
      </c>
      <c r="S1024">
        <v>3.55</v>
      </c>
      <c r="T1024" s="2">
        <v>45931</v>
      </c>
      <c r="V1024" t="str">
        <f t="shared" si="60"/>
        <v>S-6567389</v>
      </c>
      <c r="W1024">
        <f t="shared" si="63"/>
        <v>0</v>
      </c>
      <c r="X1024" t="str">
        <f t="shared" si="61"/>
        <v/>
      </c>
      <c r="Y1024">
        <f t="shared" si="62"/>
        <v>0.29632108000000001</v>
      </c>
    </row>
    <row r="1025" spans="1:25" hidden="1" x14ac:dyDescent="0.4">
      <c r="A1025" t="s">
        <v>20</v>
      </c>
      <c r="B1025">
        <v>6567389</v>
      </c>
      <c r="C1025" t="s">
        <v>505</v>
      </c>
      <c r="D1025" t="s">
        <v>21</v>
      </c>
      <c r="E1025" t="s">
        <v>147</v>
      </c>
      <c r="K1025">
        <v>91.063454462999999</v>
      </c>
      <c r="M1025">
        <v>91.063454462999999</v>
      </c>
      <c r="P1025" s="1" t="s">
        <v>2061</v>
      </c>
      <c r="Q1025" s="1" t="s">
        <v>2062</v>
      </c>
      <c r="R1025">
        <v>0.15456181599999999</v>
      </c>
      <c r="S1025">
        <v>4.26</v>
      </c>
      <c r="T1025" s="2">
        <v>45931</v>
      </c>
      <c r="V1025" t="str">
        <f t="shared" si="60"/>
        <v>S-6567389</v>
      </c>
      <c r="W1025">
        <f t="shared" si="63"/>
        <v>0</v>
      </c>
      <c r="X1025" t="str">
        <f t="shared" si="61"/>
        <v/>
      </c>
      <c r="Y1025">
        <f t="shared" si="62"/>
        <v>0.15456181599999999</v>
      </c>
    </row>
    <row r="1026" spans="1:25" hidden="1" x14ac:dyDescent="0.4">
      <c r="A1026" t="s">
        <v>20</v>
      </c>
      <c r="B1026">
        <v>6567389</v>
      </c>
      <c r="C1026" t="s">
        <v>505</v>
      </c>
      <c r="D1026" t="s">
        <v>21</v>
      </c>
      <c r="E1026" t="s">
        <v>22</v>
      </c>
      <c r="K1026">
        <v>59.803023091999997</v>
      </c>
      <c r="L1026">
        <v>0.17808638099999999</v>
      </c>
      <c r="M1026">
        <v>59.624936710999997</v>
      </c>
      <c r="N1026">
        <v>0</v>
      </c>
      <c r="O1026">
        <v>0</v>
      </c>
      <c r="P1026">
        <v>318.77171962483902</v>
      </c>
      <c r="Q1026">
        <v>1</v>
      </c>
      <c r="R1026">
        <v>9.9132179999999997E-3</v>
      </c>
      <c r="S1026">
        <v>3.16</v>
      </c>
      <c r="T1026" s="2">
        <v>45931</v>
      </c>
      <c r="V1026" t="str">
        <f t="shared" si="60"/>
        <v>S-6567389</v>
      </c>
      <c r="W1026">
        <f t="shared" si="63"/>
        <v>0</v>
      </c>
      <c r="X1026" t="str">
        <f t="shared" si="61"/>
        <v/>
      </c>
      <c r="Y1026">
        <f t="shared" si="62"/>
        <v>9.9132179999999997E-3</v>
      </c>
    </row>
    <row r="1027" spans="1:25" hidden="1" x14ac:dyDescent="0.4">
      <c r="A1027" t="s">
        <v>20</v>
      </c>
      <c r="B1027">
        <v>6574584</v>
      </c>
      <c r="C1027" t="s">
        <v>506</v>
      </c>
      <c r="D1027" t="s">
        <v>21</v>
      </c>
      <c r="E1027" t="s">
        <v>137</v>
      </c>
      <c r="K1027">
        <v>275.05866973000002</v>
      </c>
      <c r="M1027">
        <v>275.05866973000002</v>
      </c>
      <c r="P1027" s="1" t="s">
        <v>966</v>
      </c>
      <c r="Q1027" s="1" t="s">
        <v>967</v>
      </c>
      <c r="R1027">
        <v>0.52302315499999996</v>
      </c>
      <c r="S1027">
        <v>5.19</v>
      </c>
      <c r="T1027" s="2">
        <v>45932</v>
      </c>
      <c r="V1027" t="str">
        <f t="shared" ref="V1027:V1090" si="64">"S-"&amp;IF(LEN(I1027)=0,B1027,I1027&amp;IF(F1027="fee","-00",IF(LEN(G1027)&gt;0,"-01","-02")))</f>
        <v>S-6574584</v>
      </c>
      <c r="W1027">
        <f t="shared" si="63"/>
        <v>0</v>
      </c>
      <c r="X1027" t="str">
        <f t="shared" ref="X1027:X1090" si="65">IF(LEN(I1027)&gt;0,I1027&amp;IF(F1027="fee","fee",IF(VALUE(G1027)&gt;0,"debit",IF(VALUE(H1027)&gt;0,"credit","error"))),"")</f>
        <v/>
      </c>
      <c r="Y1027">
        <f t="shared" ref="Y1027:Y1090" si="66">ROUND(IF(ROW(U1027) = 2,K1027,0)+IF(H1027&lt;&gt;"",H1027,0) + IF(R1027&lt;&gt;"",R1027,0) - IF(G1027&lt;&gt;"",G1027,0),9)</f>
        <v>0.52302315499999996</v>
      </c>
    </row>
    <row r="1028" spans="1:25" hidden="1" x14ac:dyDescent="0.4">
      <c r="A1028" t="s">
        <v>20</v>
      </c>
      <c r="B1028">
        <v>6574584</v>
      </c>
      <c r="C1028" t="s">
        <v>506</v>
      </c>
      <c r="D1028" t="s">
        <v>21</v>
      </c>
      <c r="E1028" t="s">
        <v>156</v>
      </c>
      <c r="K1028">
        <v>199.95789599899999</v>
      </c>
      <c r="M1028">
        <v>199.95789599899999</v>
      </c>
      <c r="P1028" s="1" t="s">
        <v>1330</v>
      </c>
      <c r="Q1028" s="1" t="s">
        <v>1331</v>
      </c>
      <c r="R1028">
        <v>0.40150515799999997</v>
      </c>
      <c r="S1028">
        <v>6.19</v>
      </c>
      <c r="T1028" s="2">
        <v>45932</v>
      </c>
      <c r="V1028" t="str">
        <f t="shared" si="64"/>
        <v>S-6574584</v>
      </c>
      <c r="W1028">
        <f t="shared" ref="W1028:W1091" si="67">COUNTIF(I:I,I1028)</f>
        <v>0</v>
      </c>
      <c r="X1028" t="str">
        <f t="shared" si="65"/>
        <v/>
      </c>
      <c r="Y1028">
        <f t="shared" si="66"/>
        <v>0.40150515799999997</v>
      </c>
    </row>
    <row r="1029" spans="1:25" hidden="1" x14ac:dyDescent="0.4">
      <c r="A1029" t="s">
        <v>20</v>
      </c>
      <c r="B1029">
        <v>6574584</v>
      </c>
      <c r="C1029" t="s">
        <v>506</v>
      </c>
      <c r="D1029" t="s">
        <v>21</v>
      </c>
      <c r="E1029" t="s">
        <v>140</v>
      </c>
      <c r="K1029">
        <v>169.51119969999999</v>
      </c>
      <c r="M1029">
        <v>169.51119969999999</v>
      </c>
      <c r="P1029" s="1" t="s">
        <v>1697</v>
      </c>
      <c r="Q1029" s="1" t="s">
        <v>1698</v>
      </c>
      <c r="R1029">
        <v>0.30437662199999999</v>
      </c>
      <c r="S1029">
        <v>3.71</v>
      </c>
      <c r="T1029" s="2">
        <v>45932</v>
      </c>
      <c r="V1029" t="str">
        <f t="shared" si="64"/>
        <v>S-6574584</v>
      </c>
      <c r="W1029">
        <f t="shared" si="67"/>
        <v>0</v>
      </c>
      <c r="X1029" t="str">
        <f t="shared" si="65"/>
        <v/>
      </c>
      <c r="Y1029">
        <f t="shared" si="66"/>
        <v>0.30437662199999999</v>
      </c>
    </row>
    <row r="1030" spans="1:25" hidden="1" x14ac:dyDescent="0.4">
      <c r="A1030" t="s">
        <v>20</v>
      </c>
      <c r="B1030">
        <v>6574584</v>
      </c>
      <c r="C1030" t="s">
        <v>506</v>
      </c>
      <c r="D1030" t="s">
        <v>21</v>
      </c>
      <c r="E1030" t="s">
        <v>147</v>
      </c>
      <c r="K1030">
        <v>91.220593116000003</v>
      </c>
      <c r="M1030">
        <v>91.220593116000003</v>
      </c>
      <c r="P1030" s="1" t="s">
        <v>2063</v>
      </c>
      <c r="Q1030" s="1" t="s">
        <v>2064</v>
      </c>
      <c r="R1030">
        <v>0.15713865299999999</v>
      </c>
      <c r="S1030">
        <v>4.3499999999999996</v>
      </c>
      <c r="T1030" s="2">
        <v>45932</v>
      </c>
      <c r="V1030" t="str">
        <f t="shared" si="64"/>
        <v>S-6574584</v>
      </c>
      <c r="W1030">
        <f t="shared" si="67"/>
        <v>0</v>
      </c>
      <c r="X1030" t="str">
        <f t="shared" si="65"/>
        <v/>
      </c>
      <c r="Y1030">
        <f t="shared" si="66"/>
        <v>0.15713865299999999</v>
      </c>
    </row>
    <row r="1031" spans="1:25" hidden="1" x14ac:dyDescent="0.4">
      <c r="A1031" t="s">
        <v>20</v>
      </c>
      <c r="B1031">
        <v>6574584</v>
      </c>
      <c r="C1031" t="s">
        <v>506</v>
      </c>
      <c r="D1031" t="s">
        <v>21</v>
      </c>
      <c r="E1031" t="s">
        <v>22</v>
      </c>
      <c r="K1031">
        <v>59.813232962000001</v>
      </c>
      <c r="L1031">
        <v>0.17808638099999999</v>
      </c>
      <c r="M1031">
        <v>59.635146581000001</v>
      </c>
      <c r="N1031">
        <v>0</v>
      </c>
      <c r="O1031">
        <v>0</v>
      </c>
      <c r="P1031" s="1" t="s">
        <v>507</v>
      </c>
      <c r="Q1031">
        <v>1</v>
      </c>
      <c r="R1031">
        <v>1.0209869999999999E-2</v>
      </c>
      <c r="S1031">
        <v>3.31</v>
      </c>
      <c r="T1031" s="2">
        <v>45932</v>
      </c>
      <c r="V1031" t="str">
        <f t="shared" si="64"/>
        <v>S-6574584</v>
      </c>
      <c r="W1031">
        <f t="shared" si="67"/>
        <v>0</v>
      </c>
      <c r="X1031" t="str">
        <f t="shared" si="65"/>
        <v/>
      </c>
      <c r="Y1031">
        <f t="shared" si="66"/>
        <v>1.0209869999999999E-2</v>
      </c>
    </row>
    <row r="1032" spans="1:25" hidden="1" x14ac:dyDescent="0.4">
      <c r="A1032" t="s">
        <v>20</v>
      </c>
      <c r="B1032">
        <v>6581784</v>
      </c>
      <c r="C1032" t="s">
        <v>508</v>
      </c>
      <c r="D1032" t="s">
        <v>21</v>
      </c>
      <c r="E1032" t="s">
        <v>137</v>
      </c>
      <c r="K1032">
        <v>275.58282466200001</v>
      </c>
      <c r="M1032">
        <v>275.58282466200001</v>
      </c>
      <c r="P1032" s="1" t="s">
        <v>968</v>
      </c>
      <c r="Q1032" s="1" t="s">
        <v>969</v>
      </c>
      <c r="R1032">
        <v>0.52415493199999996</v>
      </c>
      <c r="S1032">
        <v>5.13</v>
      </c>
      <c r="T1032" s="2">
        <v>45933</v>
      </c>
      <c r="V1032" t="str">
        <f t="shared" si="64"/>
        <v>S-6581784</v>
      </c>
      <c r="W1032">
        <f t="shared" si="67"/>
        <v>0</v>
      </c>
      <c r="X1032" t="str">
        <f t="shared" si="65"/>
        <v/>
      </c>
      <c r="Y1032">
        <f t="shared" si="66"/>
        <v>0.52415493199999996</v>
      </c>
    </row>
    <row r="1033" spans="1:25" hidden="1" x14ac:dyDescent="0.4">
      <c r="A1033" t="s">
        <v>20</v>
      </c>
      <c r="B1033">
        <v>6581784</v>
      </c>
      <c r="C1033" t="s">
        <v>508</v>
      </c>
      <c r="D1033" t="s">
        <v>21</v>
      </c>
      <c r="E1033" t="s">
        <v>156</v>
      </c>
      <c r="K1033">
        <v>200.36020560399999</v>
      </c>
      <c r="M1033">
        <v>200.36020560399999</v>
      </c>
      <c r="P1033" s="1" t="s">
        <v>1332</v>
      </c>
      <c r="Q1033" s="1" t="s">
        <v>1333</v>
      </c>
      <c r="R1033">
        <v>0.40230960500000001</v>
      </c>
      <c r="S1033">
        <v>6.17</v>
      </c>
      <c r="T1033" s="2">
        <v>45933</v>
      </c>
      <c r="V1033" t="str">
        <f t="shared" si="64"/>
        <v>S-6581784</v>
      </c>
      <c r="W1033">
        <f t="shared" si="67"/>
        <v>0</v>
      </c>
      <c r="X1033" t="str">
        <f t="shared" si="65"/>
        <v/>
      </c>
      <c r="Y1033">
        <f t="shared" si="66"/>
        <v>0.40230960500000001</v>
      </c>
    </row>
    <row r="1034" spans="1:25" hidden="1" x14ac:dyDescent="0.4">
      <c r="A1034" t="s">
        <v>20</v>
      </c>
      <c r="B1034">
        <v>6581784</v>
      </c>
      <c r="C1034" t="s">
        <v>508</v>
      </c>
      <c r="D1034" t="s">
        <v>21</v>
      </c>
      <c r="E1034" t="s">
        <v>140</v>
      </c>
      <c r="K1034">
        <v>169.84874753400001</v>
      </c>
      <c r="M1034">
        <v>169.84874753400001</v>
      </c>
      <c r="P1034" s="1" t="s">
        <v>1699</v>
      </c>
      <c r="Q1034" s="1" t="s">
        <v>1700</v>
      </c>
      <c r="R1034">
        <v>0.33754783399999999</v>
      </c>
      <c r="S1034">
        <v>4.09</v>
      </c>
      <c r="T1034" s="2">
        <v>45933</v>
      </c>
      <c r="V1034" t="str">
        <f t="shared" si="64"/>
        <v>S-6581784</v>
      </c>
      <c r="W1034">
        <f t="shared" si="67"/>
        <v>0</v>
      </c>
      <c r="X1034" t="str">
        <f t="shared" si="65"/>
        <v/>
      </c>
      <c r="Y1034">
        <f t="shared" si="66"/>
        <v>0.33754783399999999</v>
      </c>
    </row>
    <row r="1035" spans="1:25" hidden="1" x14ac:dyDescent="0.4">
      <c r="A1035" t="s">
        <v>20</v>
      </c>
      <c r="B1035">
        <v>6581784</v>
      </c>
      <c r="C1035" t="s">
        <v>508</v>
      </c>
      <c r="D1035" t="s">
        <v>21</v>
      </c>
      <c r="E1035" t="s">
        <v>147</v>
      </c>
      <c r="K1035">
        <v>91.384160457999997</v>
      </c>
      <c r="M1035">
        <v>91.384160457999997</v>
      </c>
      <c r="P1035" s="1" t="s">
        <v>2065</v>
      </c>
      <c r="Q1035" s="1" t="s">
        <v>2066</v>
      </c>
      <c r="R1035">
        <v>0.163567342</v>
      </c>
      <c r="S1035">
        <v>4.42</v>
      </c>
      <c r="T1035" s="2">
        <v>45933</v>
      </c>
      <c r="V1035" t="str">
        <f t="shared" si="64"/>
        <v>S-6581784</v>
      </c>
      <c r="W1035">
        <f t="shared" si="67"/>
        <v>0</v>
      </c>
      <c r="X1035" t="str">
        <f t="shared" si="65"/>
        <v/>
      </c>
      <c r="Y1035">
        <f t="shared" si="66"/>
        <v>0.163567342</v>
      </c>
    </row>
    <row r="1036" spans="1:25" hidden="1" x14ac:dyDescent="0.4">
      <c r="A1036" t="s">
        <v>20</v>
      </c>
      <c r="B1036">
        <v>6581784</v>
      </c>
      <c r="C1036" t="s">
        <v>508</v>
      </c>
      <c r="D1036" t="s">
        <v>21</v>
      </c>
      <c r="E1036" t="s">
        <v>22</v>
      </c>
      <c r="K1036">
        <v>59.823278967</v>
      </c>
      <c r="L1036">
        <v>0.17808638099999999</v>
      </c>
      <c r="M1036">
        <v>59.645192586</v>
      </c>
      <c r="N1036">
        <v>0</v>
      </c>
      <c r="O1036">
        <v>0</v>
      </c>
      <c r="P1036" s="1" t="s">
        <v>509</v>
      </c>
      <c r="Q1036">
        <v>1</v>
      </c>
      <c r="R1036">
        <v>1.0046005E-2</v>
      </c>
      <c r="S1036">
        <v>3.23</v>
      </c>
      <c r="T1036" s="2">
        <v>45933</v>
      </c>
      <c r="V1036" t="str">
        <f t="shared" si="64"/>
        <v>S-6581784</v>
      </c>
      <c r="W1036">
        <f t="shared" si="67"/>
        <v>0</v>
      </c>
      <c r="X1036" t="str">
        <f t="shared" si="65"/>
        <v/>
      </c>
      <c r="Y1036">
        <f t="shared" si="66"/>
        <v>1.0046005E-2</v>
      </c>
    </row>
    <row r="1037" spans="1:25" hidden="1" x14ac:dyDescent="0.4">
      <c r="A1037" t="s">
        <v>20</v>
      </c>
      <c r="B1037">
        <v>6588984</v>
      </c>
      <c r="C1037" t="s">
        <v>510</v>
      </c>
      <c r="D1037" t="s">
        <v>21</v>
      </c>
      <c r="E1037" t="s">
        <v>137</v>
      </c>
      <c r="K1037">
        <v>276.10788499400002</v>
      </c>
      <c r="M1037">
        <v>276.10788499400002</v>
      </c>
      <c r="P1037" s="1" t="s">
        <v>970</v>
      </c>
      <c r="Q1037" s="1" t="s">
        <v>971</v>
      </c>
      <c r="R1037">
        <v>0.52506033200000002</v>
      </c>
      <c r="S1037">
        <v>5.0599999999999996</v>
      </c>
      <c r="T1037" s="2">
        <v>45934</v>
      </c>
      <c r="V1037" t="str">
        <f t="shared" si="64"/>
        <v>S-6588984</v>
      </c>
      <c r="W1037">
        <f t="shared" si="67"/>
        <v>0</v>
      </c>
      <c r="X1037" t="str">
        <f t="shared" si="65"/>
        <v/>
      </c>
      <c r="Y1037">
        <f t="shared" si="66"/>
        <v>0.52506033200000002</v>
      </c>
    </row>
    <row r="1038" spans="1:25" hidden="1" x14ac:dyDescent="0.4">
      <c r="A1038" t="s">
        <v>20</v>
      </c>
      <c r="B1038">
        <v>6588984</v>
      </c>
      <c r="C1038" t="s">
        <v>510</v>
      </c>
      <c r="D1038" t="s">
        <v>21</v>
      </c>
      <c r="E1038" t="s">
        <v>156</v>
      </c>
      <c r="K1038">
        <v>200.763243203</v>
      </c>
      <c r="M1038">
        <v>200.763243203</v>
      </c>
      <c r="P1038" s="1" t="s">
        <v>1334</v>
      </c>
      <c r="Q1038" s="1" t="s">
        <v>1335</v>
      </c>
      <c r="R1038">
        <v>0.40303759900000002</v>
      </c>
      <c r="S1038">
        <v>5.96</v>
      </c>
      <c r="T1038" s="2">
        <v>45934</v>
      </c>
      <c r="V1038" t="str">
        <f t="shared" si="64"/>
        <v>S-6588984</v>
      </c>
      <c r="W1038">
        <f t="shared" si="67"/>
        <v>0</v>
      </c>
      <c r="X1038" t="str">
        <f t="shared" si="65"/>
        <v/>
      </c>
      <c r="Y1038">
        <f t="shared" si="66"/>
        <v>0.40303759900000002</v>
      </c>
    </row>
    <row r="1039" spans="1:25" hidden="1" x14ac:dyDescent="0.4">
      <c r="A1039" t="s">
        <v>20</v>
      </c>
      <c r="B1039">
        <v>6588984</v>
      </c>
      <c r="C1039" t="s">
        <v>510</v>
      </c>
      <c r="D1039" t="s">
        <v>21</v>
      </c>
      <c r="E1039" t="s">
        <v>140</v>
      </c>
      <c r="K1039">
        <v>170.20834389999999</v>
      </c>
      <c r="M1039">
        <v>170.20834389999999</v>
      </c>
      <c r="P1039" s="1" t="s">
        <v>1701</v>
      </c>
      <c r="Q1039" s="1" t="s">
        <v>1702</v>
      </c>
      <c r="R1039">
        <v>0.359596366</v>
      </c>
      <c r="S1039">
        <v>4.12</v>
      </c>
      <c r="T1039" s="2">
        <v>45934</v>
      </c>
      <c r="V1039" t="str">
        <f t="shared" si="64"/>
        <v>S-6588984</v>
      </c>
      <c r="W1039">
        <f t="shared" si="67"/>
        <v>0</v>
      </c>
      <c r="X1039" t="str">
        <f t="shared" si="65"/>
        <v/>
      </c>
      <c r="Y1039">
        <f t="shared" si="66"/>
        <v>0.359596366</v>
      </c>
    </row>
    <row r="1040" spans="1:25" hidden="1" x14ac:dyDescent="0.4">
      <c r="A1040" t="s">
        <v>20</v>
      </c>
      <c r="B1040">
        <v>6588984</v>
      </c>
      <c r="C1040" t="s">
        <v>510</v>
      </c>
      <c r="D1040" t="s">
        <v>21</v>
      </c>
      <c r="E1040" t="s">
        <v>147</v>
      </c>
      <c r="K1040">
        <v>91.551862604999997</v>
      </c>
      <c r="M1040">
        <v>91.551862604999997</v>
      </c>
      <c r="P1040" s="1" t="s">
        <v>2067</v>
      </c>
      <c r="Q1040" s="1" t="s">
        <v>2068</v>
      </c>
      <c r="R1040">
        <v>0.167702147</v>
      </c>
      <c r="S1040">
        <v>4.34</v>
      </c>
      <c r="T1040" s="2">
        <v>45934</v>
      </c>
      <c r="V1040" t="str">
        <f t="shared" si="64"/>
        <v>S-6588984</v>
      </c>
      <c r="W1040">
        <f t="shared" si="67"/>
        <v>0</v>
      </c>
      <c r="X1040" t="str">
        <f t="shared" si="65"/>
        <v/>
      </c>
      <c r="Y1040">
        <f t="shared" si="66"/>
        <v>0.167702147</v>
      </c>
    </row>
    <row r="1041" spans="1:25" hidden="1" x14ac:dyDescent="0.4">
      <c r="A1041" t="s">
        <v>20</v>
      </c>
      <c r="B1041">
        <v>6588984</v>
      </c>
      <c r="C1041" t="s">
        <v>510</v>
      </c>
      <c r="D1041" t="s">
        <v>21</v>
      </c>
      <c r="E1041" t="s">
        <v>22</v>
      </c>
      <c r="K1041">
        <v>59.832946587999999</v>
      </c>
      <c r="L1041">
        <v>0.17808638099999999</v>
      </c>
      <c r="M1041">
        <v>59.654860206999999</v>
      </c>
      <c r="N1041">
        <v>0</v>
      </c>
      <c r="O1041">
        <v>0</v>
      </c>
      <c r="P1041" s="1" t="s">
        <v>511</v>
      </c>
      <c r="Q1041">
        <v>1</v>
      </c>
      <c r="R1041">
        <v>9.6676209999999995E-3</v>
      </c>
      <c r="S1041">
        <v>3.08</v>
      </c>
      <c r="T1041" s="2">
        <v>45934</v>
      </c>
      <c r="V1041" t="str">
        <f t="shared" si="64"/>
        <v>S-6588984</v>
      </c>
      <c r="W1041">
        <f t="shared" si="67"/>
        <v>0</v>
      </c>
      <c r="X1041" t="str">
        <f t="shared" si="65"/>
        <v/>
      </c>
      <c r="Y1041">
        <f t="shared" si="66"/>
        <v>9.6676209999999995E-3</v>
      </c>
    </row>
    <row r="1042" spans="1:25" hidden="1" x14ac:dyDescent="0.4">
      <c r="A1042" t="s">
        <v>20</v>
      </c>
      <c r="B1042">
        <v>6596184</v>
      </c>
      <c r="C1042" t="s">
        <v>512</v>
      </c>
      <c r="D1042" t="s">
        <v>21</v>
      </c>
      <c r="E1042" t="s">
        <v>137</v>
      </c>
      <c r="K1042">
        <v>276.60594941300002</v>
      </c>
      <c r="M1042">
        <v>276.60594941300002</v>
      </c>
      <c r="P1042" s="1" t="s">
        <v>972</v>
      </c>
      <c r="Q1042" s="1" t="s">
        <v>973</v>
      </c>
      <c r="R1042">
        <v>0.49806441899999998</v>
      </c>
      <c r="S1042">
        <v>4.75</v>
      </c>
      <c r="T1042" s="2">
        <v>45935</v>
      </c>
      <c r="V1042" t="str">
        <f t="shared" si="64"/>
        <v>S-6596184</v>
      </c>
      <c r="W1042">
        <f t="shared" si="67"/>
        <v>0</v>
      </c>
      <c r="X1042" t="str">
        <f t="shared" si="65"/>
        <v/>
      </c>
      <c r="Y1042">
        <f t="shared" si="66"/>
        <v>0.49806441899999998</v>
      </c>
    </row>
    <row r="1043" spans="1:25" hidden="1" x14ac:dyDescent="0.4">
      <c r="A1043" t="s">
        <v>20</v>
      </c>
      <c r="B1043">
        <v>6596184</v>
      </c>
      <c r="C1043" t="s">
        <v>512</v>
      </c>
      <c r="D1043" t="s">
        <v>21</v>
      </c>
      <c r="E1043" t="s">
        <v>156</v>
      </c>
      <c r="K1043">
        <v>201.152251898</v>
      </c>
      <c r="M1043">
        <v>201.152251898</v>
      </c>
      <c r="P1043" s="1" t="s">
        <v>1336</v>
      </c>
      <c r="Q1043" s="1" t="s">
        <v>1337</v>
      </c>
      <c r="R1043">
        <v>0.38900869500000002</v>
      </c>
      <c r="S1043">
        <v>5.69</v>
      </c>
      <c r="T1043" s="2">
        <v>45935</v>
      </c>
      <c r="V1043" t="str">
        <f t="shared" si="64"/>
        <v>S-6596184</v>
      </c>
      <c r="W1043">
        <f t="shared" si="67"/>
        <v>0</v>
      </c>
      <c r="X1043" t="str">
        <f t="shared" si="65"/>
        <v/>
      </c>
      <c r="Y1043">
        <f t="shared" si="66"/>
        <v>0.38900869500000002</v>
      </c>
    </row>
    <row r="1044" spans="1:25" hidden="1" x14ac:dyDescent="0.4">
      <c r="A1044" t="s">
        <v>20</v>
      </c>
      <c r="B1044">
        <v>6596184</v>
      </c>
      <c r="C1044" t="s">
        <v>512</v>
      </c>
      <c r="D1044" t="s">
        <v>21</v>
      </c>
      <c r="E1044" t="s">
        <v>140</v>
      </c>
      <c r="K1044">
        <v>170.504923862</v>
      </c>
      <c r="M1044">
        <v>170.504923862</v>
      </c>
      <c r="P1044" s="1" t="s">
        <v>1703</v>
      </c>
      <c r="Q1044" s="1" t="s">
        <v>1704</v>
      </c>
      <c r="R1044">
        <v>0.29657996199999997</v>
      </c>
      <c r="S1044">
        <v>3.36</v>
      </c>
      <c r="T1044" s="2">
        <v>45935</v>
      </c>
      <c r="V1044" t="str">
        <f t="shared" si="64"/>
        <v>S-6596184</v>
      </c>
      <c r="W1044">
        <f t="shared" si="67"/>
        <v>0</v>
      </c>
      <c r="X1044" t="str">
        <f t="shared" si="65"/>
        <v/>
      </c>
      <c r="Y1044">
        <f t="shared" si="66"/>
        <v>0.29657996199999997</v>
      </c>
    </row>
    <row r="1045" spans="1:25" hidden="1" x14ac:dyDescent="0.4">
      <c r="A1045" t="s">
        <v>20</v>
      </c>
      <c r="B1045">
        <v>6596184</v>
      </c>
      <c r="C1045" t="s">
        <v>512</v>
      </c>
      <c r="D1045" t="s">
        <v>21</v>
      </c>
      <c r="E1045" t="s">
        <v>147</v>
      </c>
      <c r="K1045">
        <v>91.708754146999993</v>
      </c>
      <c r="M1045">
        <v>91.708754146999993</v>
      </c>
      <c r="P1045" s="1" t="s">
        <v>2069</v>
      </c>
      <c r="Q1045" s="1" t="s">
        <v>2070</v>
      </c>
      <c r="R1045">
        <v>0.15689154199999999</v>
      </c>
      <c r="S1045">
        <v>4.0199999999999996</v>
      </c>
      <c r="T1045" s="2">
        <v>45935</v>
      </c>
      <c r="V1045" t="str">
        <f t="shared" si="64"/>
        <v>S-6596184</v>
      </c>
      <c r="W1045">
        <f t="shared" si="67"/>
        <v>0</v>
      </c>
      <c r="X1045" t="str">
        <f t="shared" si="65"/>
        <v/>
      </c>
      <c r="Y1045">
        <f t="shared" si="66"/>
        <v>0.15689154199999999</v>
      </c>
    </row>
    <row r="1046" spans="1:25" hidden="1" x14ac:dyDescent="0.4">
      <c r="A1046" t="s">
        <v>20</v>
      </c>
      <c r="B1046">
        <v>6596184</v>
      </c>
      <c r="C1046" t="s">
        <v>512</v>
      </c>
      <c r="D1046" t="s">
        <v>21</v>
      </c>
      <c r="E1046" t="s">
        <v>22</v>
      </c>
      <c r="K1046">
        <v>59.842063801000002</v>
      </c>
      <c r="L1046">
        <v>0.17808638099999999</v>
      </c>
      <c r="M1046">
        <v>59.663977420000002</v>
      </c>
      <c r="N1046">
        <v>0</v>
      </c>
      <c r="O1046">
        <v>0</v>
      </c>
      <c r="P1046" s="1" t="s">
        <v>513</v>
      </c>
      <c r="Q1046">
        <v>1</v>
      </c>
      <c r="R1046">
        <v>9.1172130000000007E-3</v>
      </c>
      <c r="S1046">
        <v>2.88</v>
      </c>
      <c r="T1046" s="2">
        <v>45935</v>
      </c>
      <c r="V1046" t="str">
        <f t="shared" si="64"/>
        <v>S-6596184</v>
      </c>
      <c r="W1046">
        <f t="shared" si="67"/>
        <v>0</v>
      </c>
      <c r="X1046" t="str">
        <f t="shared" si="65"/>
        <v/>
      </c>
      <c r="Y1046">
        <f t="shared" si="66"/>
        <v>9.1172130000000007E-3</v>
      </c>
    </row>
    <row r="1047" spans="1:25" hidden="1" x14ac:dyDescent="0.4">
      <c r="A1047" t="s">
        <v>20</v>
      </c>
      <c r="B1047">
        <v>6603384</v>
      </c>
      <c r="C1047" t="s">
        <v>514</v>
      </c>
      <c r="D1047" t="s">
        <v>21</v>
      </c>
      <c r="E1047" t="s">
        <v>137</v>
      </c>
      <c r="K1047">
        <v>277.13708513099999</v>
      </c>
      <c r="M1047">
        <v>277.13708513099999</v>
      </c>
      <c r="P1047" s="1" t="s">
        <v>974</v>
      </c>
      <c r="Q1047" s="1" t="s">
        <v>975</v>
      </c>
      <c r="R1047">
        <v>0.53113571800000003</v>
      </c>
      <c r="S1047">
        <v>5.4</v>
      </c>
      <c r="T1047" s="2">
        <v>45936</v>
      </c>
      <c r="V1047" t="str">
        <f t="shared" si="64"/>
        <v>S-6603384</v>
      </c>
      <c r="W1047">
        <f t="shared" si="67"/>
        <v>0</v>
      </c>
      <c r="X1047" t="str">
        <f t="shared" si="65"/>
        <v/>
      </c>
      <c r="Y1047">
        <f t="shared" si="66"/>
        <v>0.53113571800000003</v>
      </c>
    </row>
    <row r="1048" spans="1:25" hidden="1" x14ac:dyDescent="0.4">
      <c r="A1048" t="s">
        <v>20</v>
      </c>
      <c r="B1048">
        <v>6603384</v>
      </c>
      <c r="C1048" t="s">
        <v>514</v>
      </c>
      <c r="D1048" t="s">
        <v>21</v>
      </c>
      <c r="E1048" t="s">
        <v>156</v>
      </c>
      <c r="K1048">
        <v>201.56538729299999</v>
      </c>
      <c r="M1048">
        <v>201.56538729299999</v>
      </c>
      <c r="P1048" s="1" t="s">
        <v>1338</v>
      </c>
      <c r="Q1048" s="1" t="s">
        <v>1339</v>
      </c>
      <c r="R1048">
        <v>0.41313539500000002</v>
      </c>
      <c r="S1048">
        <v>6.44</v>
      </c>
      <c r="T1048" s="2">
        <v>45936</v>
      </c>
      <c r="V1048" t="str">
        <f t="shared" si="64"/>
        <v>S-6603384</v>
      </c>
      <c r="W1048">
        <f t="shared" si="67"/>
        <v>0</v>
      </c>
      <c r="X1048" t="str">
        <f t="shared" si="65"/>
        <v/>
      </c>
      <c r="Y1048">
        <f t="shared" si="66"/>
        <v>0.41313539500000002</v>
      </c>
    </row>
    <row r="1049" spans="1:25" hidden="1" x14ac:dyDescent="0.4">
      <c r="A1049" t="s">
        <v>20</v>
      </c>
      <c r="B1049">
        <v>6603384</v>
      </c>
      <c r="C1049" t="s">
        <v>514</v>
      </c>
      <c r="D1049" t="s">
        <v>21</v>
      </c>
      <c r="E1049" t="s">
        <v>140</v>
      </c>
      <c r="K1049">
        <v>170.872151575</v>
      </c>
      <c r="M1049">
        <v>170.872151575</v>
      </c>
      <c r="P1049" s="1" t="s">
        <v>1705</v>
      </c>
      <c r="Q1049" s="1" t="s">
        <v>1706</v>
      </c>
      <c r="R1049">
        <v>0.36722771300000001</v>
      </c>
      <c r="S1049">
        <v>4.37</v>
      </c>
      <c r="T1049" s="2">
        <v>45936</v>
      </c>
      <c r="V1049" t="str">
        <f t="shared" si="64"/>
        <v>S-6603384</v>
      </c>
      <c r="W1049">
        <f t="shared" si="67"/>
        <v>0</v>
      </c>
      <c r="X1049" t="str">
        <f t="shared" si="65"/>
        <v/>
      </c>
      <c r="Y1049">
        <f t="shared" si="66"/>
        <v>0.36722771300000001</v>
      </c>
    </row>
    <row r="1050" spans="1:25" hidden="1" x14ac:dyDescent="0.4">
      <c r="A1050" t="s">
        <v>20</v>
      </c>
      <c r="B1050">
        <v>6603384</v>
      </c>
      <c r="C1050" t="s">
        <v>514</v>
      </c>
      <c r="D1050" t="s">
        <v>21</v>
      </c>
      <c r="E1050" t="s">
        <v>147</v>
      </c>
      <c r="K1050">
        <v>91.874327480999995</v>
      </c>
      <c r="M1050">
        <v>91.874327480999995</v>
      </c>
      <c r="P1050" s="1" t="s">
        <v>2071</v>
      </c>
      <c r="Q1050" s="1" t="s">
        <v>2072</v>
      </c>
      <c r="R1050">
        <v>0.16557333399999999</v>
      </c>
      <c r="S1050">
        <v>4.49</v>
      </c>
      <c r="T1050" s="2">
        <v>45936</v>
      </c>
      <c r="V1050" t="str">
        <f t="shared" si="64"/>
        <v>S-6603384</v>
      </c>
      <c r="W1050">
        <f t="shared" si="67"/>
        <v>0</v>
      </c>
      <c r="X1050" t="str">
        <f t="shared" si="65"/>
        <v/>
      </c>
      <c r="Y1050">
        <f t="shared" si="66"/>
        <v>0.16557333399999999</v>
      </c>
    </row>
    <row r="1051" spans="1:25" hidden="1" x14ac:dyDescent="0.4">
      <c r="A1051" t="s">
        <v>20</v>
      </c>
      <c r="B1051">
        <v>6603384</v>
      </c>
      <c r="C1051" t="s">
        <v>514</v>
      </c>
      <c r="D1051" t="s">
        <v>21</v>
      </c>
      <c r="E1051" t="s">
        <v>22</v>
      </c>
      <c r="K1051">
        <v>59.850655695</v>
      </c>
      <c r="L1051">
        <v>0.17808638099999999</v>
      </c>
      <c r="M1051">
        <v>59.672569314</v>
      </c>
      <c r="N1051">
        <v>0</v>
      </c>
      <c r="O1051">
        <v>0</v>
      </c>
      <c r="P1051" s="1" t="s">
        <v>515</v>
      </c>
      <c r="Q1051">
        <v>1</v>
      </c>
      <c r="R1051">
        <v>8.5918939999999992E-3</v>
      </c>
      <c r="S1051">
        <v>2.97</v>
      </c>
      <c r="T1051" s="2">
        <v>45936</v>
      </c>
      <c r="V1051" t="str">
        <f t="shared" si="64"/>
        <v>S-6603384</v>
      </c>
      <c r="W1051">
        <f t="shared" si="67"/>
        <v>0</v>
      </c>
      <c r="X1051" t="str">
        <f t="shared" si="65"/>
        <v/>
      </c>
      <c r="Y1051">
        <f t="shared" si="66"/>
        <v>8.5918939999999992E-3</v>
      </c>
    </row>
    <row r="1052" spans="1:25" hidden="1" x14ac:dyDescent="0.4">
      <c r="A1052" t="s">
        <v>20</v>
      </c>
      <c r="B1052">
        <v>6610584</v>
      </c>
      <c r="C1052" t="s">
        <v>516</v>
      </c>
      <c r="D1052" t="s">
        <v>21</v>
      </c>
      <c r="E1052" t="s">
        <v>137</v>
      </c>
      <c r="K1052">
        <v>277.67260834199999</v>
      </c>
      <c r="M1052">
        <v>277.67260834199999</v>
      </c>
      <c r="P1052" s="1" t="s">
        <v>976</v>
      </c>
      <c r="Q1052" s="1" t="s">
        <v>977</v>
      </c>
      <c r="R1052">
        <v>0.535523211</v>
      </c>
      <c r="S1052">
        <v>5.18</v>
      </c>
      <c r="T1052" s="2">
        <v>45937</v>
      </c>
      <c r="V1052" t="str">
        <f t="shared" si="64"/>
        <v>S-6610584</v>
      </c>
      <c r="W1052">
        <f t="shared" si="67"/>
        <v>0</v>
      </c>
      <c r="X1052" t="str">
        <f t="shared" si="65"/>
        <v/>
      </c>
      <c r="Y1052">
        <f t="shared" si="66"/>
        <v>0.535523211</v>
      </c>
    </row>
    <row r="1053" spans="1:25" hidden="1" x14ac:dyDescent="0.4">
      <c r="A1053" t="s">
        <v>20</v>
      </c>
      <c r="B1053">
        <v>6610584</v>
      </c>
      <c r="C1053" t="s">
        <v>516</v>
      </c>
      <c r="D1053" t="s">
        <v>21</v>
      </c>
      <c r="E1053" t="s">
        <v>156</v>
      </c>
      <c r="K1053">
        <v>201.982837558</v>
      </c>
      <c r="M1053">
        <v>201.982837558</v>
      </c>
      <c r="P1053" s="1" t="s">
        <v>1340</v>
      </c>
      <c r="Q1053" s="1" t="s">
        <v>1341</v>
      </c>
      <c r="R1053">
        <v>0.41745026499999999</v>
      </c>
      <c r="S1053">
        <v>6.24</v>
      </c>
      <c r="T1053" s="2">
        <v>45937</v>
      </c>
      <c r="V1053" t="str">
        <f t="shared" si="64"/>
        <v>S-6610584</v>
      </c>
      <c r="W1053">
        <f t="shared" si="67"/>
        <v>0</v>
      </c>
      <c r="X1053" t="str">
        <f t="shared" si="65"/>
        <v/>
      </c>
      <c r="Y1053">
        <f t="shared" si="66"/>
        <v>0.41745026499999999</v>
      </c>
    </row>
    <row r="1054" spans="1:25" hidden="1" x14ac:dyDescent="0.4">
      <c r="A1054" t="s">
        <v>20</v>
      </c>
      <c r="B1054">
        <v>6610584</v>
      </c>
      <c r="C1054" t="s">
        <v>516</v>
      </c>
      <c r="D1054" t="s">
        <v>21</v>
      </c>
      <c r="E1054" t="s">
        <v>140</v>
      </c>
      <c r="K1054">
        <v>171.22032971499999</v>
      </c>
      <c r="M1054">
        <v>171.22032971499999</v>
      </c>
      <c r="P1054" s="1" t="s">
        <v>1707</v>
      </c>
      <c r="Q1054" s="1" t="s">
        <v>1708</v>
      </c>
      <c r="R1054">
        <v>0.34817814000000002</v>
      </c>
      <c r="S1054">
        <v>3.92</v>
      </c>
      <c r="T1054" s="2">
        <v>45937</v>
      </c>
      <c r="V1054" t="str">
        <f t="shared" si="64"/>
        <v>S-6610584</v>
      </c>
      <c r="W1054">
        <f t="shared" si="67"/>
        <v>0</v>
      </c>
      <c r="X1054" t="str">
        <f t="shared" si="65"/>
        <v/>
      </c>
      <c r="Y1054">
        <f t="shared" si="66"/>
        <v>0.34817814000000002</v>
      </c>
    </row>
    <row r="1055" spans="1:25" hidden="1" x14ac:dyDescent="0.4">
      <c r="A1055" t="s">
        <v>20</v>
      </c>
      <c r="B1055">
        <v>6610584</v>
      </c>
      <c r="C1055" t="s">
        <v>516</v>
      </c>
      <c r="D1055" t="s">
        <v>21</v>
      </c>
      <c r="E1055" t="s">
        <v>147</v>
      </c>
      <c r="K1055">
        <v>92.039629020000007</v>
      </c>
      <c r="M1055">
        <v>92.039629020000007</v>
      </c>
      <c r="P1055" s="1" t="s">
        <v>2073</v>
      </c>
      <c r="Q1055" s="1" t="s">
        <v>2074</v>
      </c>
      <c r="R1055">
        <v>0.165301539</v>
      </c>
      <c r="S1055">
        <v>4.2699999999999996</v>
      </c>
      <c r="T1055" s="2">
        <v>45937</v>
      </c>
      <c r="V1055" t="str">
        <f t="shared" si="64"/>
        <v>S-6610584</v>
      </c>
      <c r="W1055">
        <f t="shared" si="67"/>
        <v>0</v>
      </c>
      <c r="X1055" t="str">
        <f t="shared" si="65"/>
        <v/>
      </c>
      <c r="Y1055">
        <f t="shared" si="66"/>
        <v>0.165301539</v>
      </c>
    </row>
    <row r="1056" spans="1:25" hidden="1" x14ac:dyDescent="0.4">
      <c r="A1056" t="s">
        <v>20</v>
      </c>
      <c r="B1056">
        <v>6610584</v>
      </c>
      <c r="C1056" t="s">
        <v>516</v>
      </c>
      <c r="D1056" t="s">
        <v>21</v>
      </c>
      <c r="E1056" t="s">
        <v>22</v>
      </c>
      <c r="K1056">
        <v>59.858767487000001</v>
      </c>
      <c r="L1056">
        <v>0.17808638099999999</v>
      </c>
      <c r="M1056">
        <v>59.680681106000002</v>
      </c>
      <c r="N1056">
        <v>0</v>
      </c>
      <c r="O1056">
        <v>0</v>
      </c>
      <c r="P1056" s="1" t="s">
        <v>517</v>
      </c>
      <c r="Q1056">
        <v>1</v>
      </c>
      <c r="R1056">
        <v>8.1117919999999996E-3</v>
      </c>
      <c r="S1056">
        <v>2.68</v>
      </c>
      <c r="T1056" s="2">
        <v>45937</v>
      </c>
      <c r="V1056" t="str">
        <f t="shared" si="64"/>
        <v>S-6610584</v>
      </c>
      <c r="W1056">
        <f t="shared" si="67"/>
        <v>0</v>
      </c>
      <c r="X1056" t="str">
        <f t="shared" si="65"/>
        <v/>
      </c>
      <c r="Y1056">
        <f t="shared" si="66"/>
        <v>8.1117919999999996E-3</v>
      </c>
    </row>
    <row r="1057" spans="1:25" hidden="1" x14ac:dyDescent="0.4">
      <c r="A1057" t="s">
        <v>20</v>
      </c>
      <c r="B1057">
        <v>6617784</v>
      </c>
      <c r="C1057" t="s">
        <v>518</v>
      </c>
      <c r="D1057" t="s">
        <v>21</v>
      </c>
      <c r="E1057" t="s">
        <v>137</v>
      </c>
      <c r="K1057">
        <v>278.20969921699998</v>
      </c>
      <c r="M1057">
        <v>278.20969921699998</v>
      </c>
      <c r="P1057" s="1" t="s">
        <v>978</v>
      </c>
      <c r="Q1057" s="1" t="s">
        <v>979</v>
      </c>
      <c r="R1057">
        <v>0.53709087499999997</v>
      </c>
      <c r="S1057">
        <v>5.27</v>
      </c>
      <c r="T1057" s="2">
        <v>45938</v>
      </c>
      <c r="V1057" t="str">
        <f t="shared" si="64"/>
        <v>S-6617784</v>
      </c>
      <c r="W1057">
        <f t="shared" si="67"/>
        <v>0</v>
      </c>
      <c r="X1057" t="str">
        <f t="shared" si="65"/>
        <v/>
      </c>
      <c r="Y1057">
        <f t="shared" si="66"/>
        <v>0.53709087499999997</v>
      </c>
    </row>
    <row r="1058" spans="1:25" hidden="1" x14ac:dyDescent="0.4">
      <c r="A1058" t="s">
        <v>20</v>
      </c>
      <c r="B1058">
        <v>6617784</v>
      </c>
      <c r="C1058" t="s">
        <v>518</v>
      </c>
      <c r="D1058" t="s">
        <v>21</v>
      </c>
      <c r="E1058" t="s">
        <v>156</v>
      </c>
      <c r="K1058">
        <v>202.39754105099999</v>
      </c>
      <c r="M1058">
        <v>202.39754105099999</v>
      </c>
      <c r="P1058" s="1" t="s">
        <v>1342</v>
      </c>
      <c r="Q1058" s="1" t="s">
        <v>1343</v>
      </c>
      <c r="R1058">
        <v>0.41470349299999998</v>
      </c>
      <c r="S1058">
        <v>6.33</v>
      </c>
      <c r="T1058" s="2">
        <v>45938</v>
      </c>
      <c r="V1058" t="str">
        <f t="shared" si="64"/>
        <v>S-6617784</v>
      </c>
      <c r="W1058">
        <f t="shared" si="67"/>
        <v>0</v>
      </c>
      <c r="X1058" t="str">
        <f t="shared" si="65"/>
        <v/>
      </c>
      <c r="Y1058">
        <f t="shared" si="66"/>
        <v>0.41470349299999998</v>
      </c>
    </row>
    <row r="1059" spans="1:25" hidden="1" x14ac:dyDescent="0.4">
      <c r="A1059" t="s">
        <v>20</v>
      </c>
      <c r="B1059">
        <v>6617784</v>
      </c>
      <c r="C1059" t="s">
        <v>518</v>
      </c>
      <c r="D1059" t="s">
        <v>21</v>
      </c>
      <c r="E1059" t="s">
        <v>140</v>
      </c>
      <c r="K1059">
        <v>171.502650872</v>
      </c>
      <c r="M1059">
        <v>171.502650872</v>
      </c>
      <c r="P1059" s="1" t="s">
        <v>1709</v>
      </c>
      <c r="Q1059" s="1" t="s">
        <v>1710</v>
      </c>
      <c r="R1059">
        <v>0.28232115699999999</v>
      </c>
      <c r="S1059">
        <v>3.24</v>
      </c>
      <c r="T1059" s="2">
        <v>45938</v>
      </c>
      <c r="V1059" t="str">
        <f t="shared" si="64"/>
        <v>S-6617784</v>
      </c>
      <c r="W1059">
        <f t="shared" si="67"/>
        <v>0</v>
      </c>
      <c r="X1059" t="str">
        <f t="shared" si="65"/>
        <v/>
      </c>
      <c r="Y1059">
        <f t="shared" si="66"/>
        <v>0.28232115699999999</v>
      </c>
    </row>
    <row r="1060" spans="1:25" hidden="1" x14ac:dyDescent="0.4">
      <c r="A1060" t="s">
        <v>20</v>
      </c>
      <c r="B1060">
        <v>6617784</v>
      </c>
      <c r="C1060" t="s">
        <v>518</v>
      </c>
      <c r="D1060" t="s">
        <v>21</v>
      </c>
      <c r="E1060" t="s">
        <v>147</v>
      </c>
      <c r="K1060">
        <v>92.196979067000001</v>
      </c>
      <c r="M1060">
        <v>92.196979067000001</v>
      </c>
      <c r="P1060" s="1" t="s">
        <v>2075</v>
      </c>
      <c r="Q1060" s="1" t="s">
        <v>2076</v>
      </c>
      <c r="R1060">
        <v>0.15735004699999999</v>
      </c>
      <c r="S1060">
        <v>4.1399999999999997</v>
      </c>
      <c r="T1060" s="2">
        <v>45938</v>
      </c>
      <c r="V1060" t="str">
        <f t="shared" si="64"/>
        <v>S-6617784</v>
      </c>
      <c r="W1060">
        <f t="shared" si="67"/>
        <v>0</v>
      </c>
      <c r="X1060" t="str">
        <f t="shared" si="65"/>
        <v/>
      </c>
      <c r="Y1060">
        <f t="shared" si="66"/>
        <v>0.15735004699999999</v>
      </c>
    </row>
    <row r="1061" spans="1:25" hidden="1" x14ac:dyDescent="0.4">
      <c r="A1061" t="s">
        <v>20</v>
      </c>
      <c r="B1061">
        <v>6617784</v>
      </c>
      <c r="C1061" t="s">
        <v>518</v>
      </c>
      <c r="D1061" t="s">
        <v>21</v>
      </c>
      <c r="E1061" t="s">
        <v>22</v>
      </c>
      <c r="K1061">
        <v>59.866783140999999</v>
      </c>
      <c r="L1061">
        <v>0.17808638099999999</v>
      </c>
      <c r="M1061">
        <v>59.688696759999999</v>
      </c>
      <c r="N1061">
        <v>0</v>
      </c>
      <c r="O1061">
        <v>0</v>
      </c>
      <c r="P1061" s="1" t="s">
        <v>519</v>
      </c>
      <c r="Q1061">
        <v>1</v>
      </c>
      <c r="R1061">
        <v>8.0156540000000005E-3</v>
      </c>
      <c r="S1061">
        <v>2.7</v>
      </c>
      <c r="T1061" s="2">
        <v>45938</v>
      </c>
      <c r="V1061" t="str">
        <f t="shared" si="64"/>
        <v>S-6617784</v>
      </c>
      <c r="W1061">
        <f t="shared" si="67"/>
        <v>0</v>
      </c>
      <c r="X1061" t="str">
        <f t="shared" si="65"/>
        <v/>
      </c>
      <c r="Y1061">
        <f t="shared" si="66"/>
        <v>8.0156540000000005E-3</v>
      </c>
    </row>
    <row r="1062" spans="1:25" hidden="1" x14ac:dyDescent="0.4">
      <c r="A1062" t="s">
        <v>20</v>
      </c>
      <c r="B1062">
        <v>6624984</v>
      </c>
      <c r="C1062" t="s">
        <v>520</v>
      </c>
      <c r="D1062" t="s">
        <v>21</v>
      </c>
      <c r="E1062" t="s">
        <v>137</v>
      </c>
      <c r="K1062">
        <v>278.754965099</v>
      </c>
      <c r="M1062">
        <v>278.754965099</v>
      </c>
      <c r="P1062" s="1" t="s">
        <v>980</v>
      </c>
      <c r="Q1062" s="1" t="s">
        <v>981</v>
      </c>
      <c r="R1062">
        <v>0.54526588200000004</v>
      </c>
      <c r="S1062">
        <v>5.17</v>
      </c>
      <c r="T1062" s="2">
        <v>45939</v>
      </c>
      <c r="V1062" t="str">
        <f t="shared" si="64"/>
        <v>S-6624984</v>
      </c>
      <c r="W1062">
        <f t="shared" si="67"/>
        <v>0</v>
      </c>
      <c r="X1062" t="str">
        <f t="shared" si="65"/>
        <v/>
      </c>
      <c r="Y1062">
        <f t="shared" si="66"/>
        <v>0.54526588200000004</v>
      </c>
    </row>
    <row r="1063" spans="1:25" hidden="1" x14ac:dyDescent="0.4">
      <c r="A1063" t="s">
        <v>20</v>
      </c>
      <c r="B1063">
        <v>6624984</v>
      </c>
      <c r="C1063" t="s">
        <v>520</v>
      </c>
      <c r="D1063" t="s">
        <v>21</v>
      </c>
      <c r="E1063" t="s">
        <v>156</v>
      </c>
      <c r="K1063">
        <v>202.809438922</v>
      </c>
      <c r="M1063">
        <v>202.809438922</v>
      </c>
      <c r="P1063" s="1" t="s">
        <v>1344</v>
      </c>
      <c r="Q1063" s="1" t="s">
        <v>1345</v>
      </c>
      <c r="R1063">
        <v>0.41189787100000003</v>
      </c>
      <c r="S1063">
        <v>6.42</v>
      </c>
      <c r="T1063" s="2">
        <v>45939</v>
      </c>
      <c r="V1063" t="str">
        <f t="shared" si="64"/>
        <v>S-6624984</v>
      </c>
      <c r="W1063">
        <f t="shared" si="67"/>
        <v>0</v>
      </c>
      <c r="X1063" t="str">
        <f t="shared" si="65"/>
        <v/>
      </c>
      <c r="Y1063">
        <f t="shared" si="66"/>
        <v>0.41189787100000003</v>
      </c>
    </row>
    <row r="1064" spans="1:25" hidden="1" x14ac:dyDescent="0.4">
      <c r="A1064" t="s">
        <v>20</v>
      </c>
      <c r="B1064">
        <v>6624984</v>
      </c>
      <c r="C1064" t="s">
        <v>520</v>
      </c>
      <c r="D1064" t="s">
        <v>21</v>
      </c>
      <c r="E1064" t="s">
        <v>140</v>
      </c>
      <c r="K1064">
        <v>171.81329864599999</v>
      </c>
      <c r="M1064">
        <v>171.81329864599999</v>
      </c>
      <c r="P1064" s="1" t="s">
        <v>1711</v>
      </c>
      <c r="Q1064" s="1" t="s">
        <v>1712</v>
      </c>
      <c r="R1064">
        <v>0.31064777399999999</v>
      </c>
      <c r="S1064">
        <v>3.61</v>
      </c>
      <c r="T1064" s="2">
        <v>45939</v>
      </c>
      <c r="V1064" t="str">
        <f t="shared" si="64"/>
        <v>S-6624984</v>
      </c>
      <c r="W1064">
        <f t="shared" si="67"/>
        <v>0</v>
      </c>
      <c r="X1064" t="str">
        <f t="shared" si="65"/>
        <v/>
      </c>
      <c r="Y1064">
        <f t="shared" si="66"/>
        <v>0.31064777399999999</v>
      </c>
    </row>
    <row r="1065" spans="1:25" hidden="1" x14ac:dyDescent="0.4">
      <c r="A1065" t="s">
        <v>20</v>
      </c>
      <c r="B1065">
        <v>6624984</v>
      </c>
      <c r="C1065" t="s">
        <v>520</v>
      </c>
      <c r="D1065" t="s">
        <v>21</v>
      </c>
      <c r="E1065" t="s">
        <v>147</v>
      </c>
      <c r="K1065">
        <v>92.362222266000003</v>
      </c>
      <c r="M1065">
        <v>92.362222266000003</v>
      </c>
      <c r="P1065" s="1" t="s">
        <v>2077</v>
      </c>
      <c r="Q1065" s="1" t="s">
        <v>2078</v>
      </c>
      <c r="R1065">
        <v>0.16524319900000001</v>
      </c>
      <c r="S1065">
        <v>4.42</v>
      </c>
      <c r="T1065" s="2">
        <v>45939</v>
      </c>
      <c r="V1065" t="str">
        <f t="shared" si="64"/>
        <v>S-6624984</v>
      </c>
      <c r="W1065">
        <f t="shared" si="67"/>
        <v>0</v>
      </c>
      <c r="X1065" t="str">
        <f t="shared" si="65"/>
        <v/>
      </c>
      <c r="Y1065">
        <f t="shared" si="66"/>
        <v>0.16524319900000001</v>
      </c>
    </row>
    <row r="1066" spans="1:25" hidden="1" x14ac:dyDescent="0.4">
      <c r="A1066" t="s">
        <v>20</v>
      </c>
      <c r="B1066">
        <v>6624984</v>
      </c>
      <c r="C1066" t="s">
        <v>520</v>
      </c>
      <c r="D1066" t="s">
        <v>21</v>
      </c>
      <c r="E1066" t="s">
        <v>22</v>
      </c>
      <c r="K1066">
        <v>59.874472611000002</v>
      </c>
      <c r="L1066">
        <v>0.17808638099999999</v>
      </c>
      <c r="M1066">
        <v>59.696386230000002</v>
      </c>
      <c r="N1066">
        <v>0</v>
      </c>
      <c r="O1066">
        <v>0</v>
      </c>
      <c r="P1066" s="1" t="s">
        <v>521</v>
      </c>
      <c r="Q1066">
        <v>1</v>
      </c>
      <c r="R1066">
        <v>7.6894700000000003E-3</v>
      </c>
      <c r="S1066">
        <v>2.65</v>
      </c>
      <c r="T1066" s="2">
        <v>45939</v>
      </c>
      <c r="V1066" t="str">
        <f t="shared" si="64"/>
        <v>S-6624984</v>
      </c>
      <c r="W1066">
        <f t="shared" si="67"/>
        <v>0</v>
      </c>
      <c r="X1066" t="str">
        <f t="shared" si="65"/>
        <v/>
      </c>
      <c r="Y1066">
        <f t="shared" si="66"/>
        <v>7.6894700000000003E-3</v>
      </c>
    </row>
    <row r="1067" spans="1:25" x14ac:dyDescent="0.4">
      <c r="A1067" t="s">
        <v>20</v>
      </c>
      <c r="B1067">
        <v>6631354</v>
      </c>
      <c r="C1067" t="s">
        <v>522</v>
      </c>
      <c r="D1067" t="s">
        <v>21</v>
      </c>
      <c r="E1067" t="s">
        <v>22</v>
      </c>
      <c r="F1067" t="s">
        <v>74</v>
      </c>
      <c r="G1067">
        <v>8.9147999999999994E-5</v>
      </c>
      <c r="I1067" t="s">
        <v>523</v>
      </c>
      <c r="J1067" t="s">
        <v>524</v>
      </c>
      <c r="Q1067">
        <v>1</v>
      </c>
      <c r="V1067" t="str">
        <f t="shared" si="64"/>
        <v>S-6631354-0033-00</v>
      </c>
      <c r="W1067">
        <f t="shared" si="67"/>
        <v>3</v>
      </c>
      <c r="X1067" t="str">
        <f t="shared" si="65"/>
        <v>6631354-0033fee</v>
      </c>
      <c r="Y1067">
        <f t="shared" si="66"/>
        <v>-8.9147999999999994E-5</v>
      </c>
    </row>
    <row r="1068" spans="1:25" x14ac:dyDescent="0.4">
      <c r="A1068" t="s">
        <v>20</v>
      </c>
      <c r="B1068">
        <v>6631354</v>
      </c>
      <c r="C1068" t="s">
        <v>522</v>
      </c>
      <c r="D1068" t="s">
        <v>21</v>
      </c>
      <c r="E1068" t="s">
        <v>156</v>
      </c>
      <c r="F1068" t="s">
        <v>135</v>
      </c>
      <c r="G1068">
        <v>0.1</v>
      </c>
      <c r="I1068" t="s">
        <v>523</v>
      </c>
      <c r="J1068" t="s">
        <v>22</v>
      </c>
      <c r="P1068">
        <v>15.85</v>
      </c>
      <c r="Q1068">
        <v>4.5091159999999998E-2</v>
      </c>
      <c r="V1068" t="str">
        <f t="shared" si="64"/>
        <v>S-6631354-0033-01</v>
      </c>
      <c r="W1068">
        <f t="shared" si="67"/>
        <v>3</v>
      </c>
      <c r="X1068" t="str">
        <f t="shared" si="65"/>
        <v>6631354-0033debit</v>
      </c>
      <c r="Y1068">
        <f t="shared" si="66"/>
        <v>-0.1</v>
      </c>
    </row>
    <row r="1069" spans="1:25" x14ac:dyDescent="0.4">
      <c r="A1069" t="s">
        <v>20</v>
      </c>
      <c r="B1069">
        <v>6631354</v>
      </c>
      <c r="C1069" t="s">
        <v>522</v>
      </c>
      <c r="D1069" t="s">
        <v>21</v>
      </c>
      <c r="E1069" t="s">
        <v>22</v>
      </c>
      <c r="F1069" t="s">
        <v>135</v>
      </c>
      <c r="H1069">
        <v>4.5091159999999996E-3</v>
      </c>
      <c r="I1069" t="s">
        <v>523</v>
      </c>
      <c r="J1069" t="s">
        <v>156</v>
      </c>
      <c r="Q1069">
        <v>1</v>
      </c>
      <c r="V1069" t="str">
        <f t="shared" si="64"/>
        <v>S-6631354-0033-02</v>
      </c>
      <c r="W1069">
        <f t="shared" si="67"/>
        <v>3</v>
      </c>
      <c r="X1069" t="str">
        <f t="shared" si="65"/>
        <v>6631354-0033credit</v>
      </c>
      <c r="Y1069">
        <f t="shared" si="66"/>
        <v>4.5091159999999996E-3</v>
      </c>
    </row>
    <row r="1070" spans="1:25" hidden="1" x14ac:dyDescent="0.4">
      <c r="A1070" t="s">
        <v>20</v>
      </c>
      <c r="B1070">
        <v>6631365</v>
      </c>
      <c r="C1070" t="s">
        <v>525</v>
      </c>
      <c r="D1070" t="s">
        <v>21</v>
      </c>
      <c r="E1070" t="s">
        <v>156</v>
      </c>
      <c r="P1070">
        <v>15.38</v>
      </c>
      <c r="Q1070" s="1" t="s">
        <v>1346</v>
      </c>
      <c r="R1070">
        <v>0.36884298900000001</v>
      </c>
      <c r="S1070">
        <v>5.67</v>
      </c>
      <c r="T1070" s="2">
        <v>45940</v>
      </c>
      <c r="V1070" t="str">
        <f t="shared" si="64"/>
        <v>S-6631365</v>
      </c>
      <c r="W1070">
        <f t="shared" si="67"/>
        <v>0</v>
      </c>
      <c r="X1070" t="str">
        <f t="shared" si="65"/>
        <v/>
      </c>
      <c r="Y1070">
        <f t="shared" si="66"/>
        <v>0.36884298900000001</v>
      </c>
    </row>
    <row r="1071" spans="1:25" x14ac:dyDescent="0.4">
      <c r="A1071" t="s">
        <v>20</v>
      </c>
      <c r="B1071">
        <v>6631365</v>
      </c>
      <c r="C1071" t="s">
        <v>525</v>
      </c>
      <c r="D1071" t="s">
        <v>21</v>
      </c>
      <c r="E1071" t="s">
        <v>22</v>
      </c>
      <c r="F1071" t="s">
        <v>74</v>
      </c>
      <c r="G1071">
        <v>8.9147999999999994E-5</v>
      </c>
      <c r="I1071" t="s">
        <v>526</v>
      </c>
      <c r="J1071" t="s">
        <v>524</v>
      </c>
      <c r="Q1071">
        <v>1</v>
      </c>
      <c r="V1071" t="str">
        <f t="shared" si="64"/>
        <v>S-6631365-0004-00</v>
      </c>
      <c r="W1071">
        <f t="shared" si="67"/>
        <v>3</v>
      </c>
      <c r="X1071" t="str">
        <f t="shared" si="65"/>
        <v>6631365-0004fee</v>
      </c>
      <c r="Y1071">
        <f t="shared" si="66"/>
        <v>-8.9147999999999994E-5</v>
      </c>
    </row>
    <row r="1072" spans="1:25" x14ac:dyDescent="0.4">
      <c r="A1072" t="s">
        <v>20</v>
      </c>
      <c r="B1072">
        <v>6631365</v>
      </c>
      <c r="C1072" t="s">
        <v>525</v>
      </c>
      <c r="D1072" t="s">
        <v>21</v>
      </c>
      <c r="E1072" t="s">
        <v>156</v>
      </c>
      <c r="F1072" t="s">
        <v>135</v>
      </c>
      <c r="G1072">
        <v>203.078281911</v>
      </c>
      <c r="I1072" t="s">
        <v>526</v>
      </c>
      <c r="J1072" t="s">
        <v>22</v>
      </c>
      <c r="P1072">
        <v>15.38</v>
      </c>
      <c r="Q1072" s="1" t="s">
        <v>1346</v>
      </c>
      <c r="V1072" t="str">
        <f t="shared" si="64"/>
        <v>S-6631365-0004-01</v>
      </c>
      <c r="W1072">
        <f t="shared" si="67"/>
        <v>3</v>
      </c>
      <c r="X1072" t="str">
        <f t="shared" si="65"/>
        <v>6631365-0004debit</v>
      </c>
      <c r="Y1072">
        <f t="shared" si="66"/>
        <v>-203.078281911</v>
      </c>
    </row>
    <row r="1073" spans="1:25" x14ac:dyDescent="0.4">
      <c r="A1073" t="s">
        <v>20</v>
      </c>
      <c r="B1073">
        <v>6631365</v>
      </c>
      <c r="C1073" t="s">
        <v>525</v>
      </c>
      <c r="D1073" t="s">
        <v>21</v>
      </c>
      <c r="E1073" t="s">
        <v>22</v>
      </c>
      <c r="F1073" t="s">
        <v>135</v>
      </c>
      <c r="H1073">
        <v>9.1559738970000009</v>
      </c>
      <c r="I1073" t="s">
        <v>526</v>
      </c>
      <c r="J1073" t="s">
        <v>156</v>
      </c>
      <c r="Q1073">
        <v>1</v>
      </c>
      <c r="V1073" t="str">
        <f t="shared" si="64"/>
        <v>S-6631365-0004-02</v>
      </c>
      <c r="W1073">
        <f t="shared" si="67"/>
        <v>3</v>
      </c>
      <c r="X1073" t="str">
        <f t="shared" si="65"/>
        <v>6631365-0004credit</v>
      </c>
      <c r="Y1073">
        <f t="shared" si="66"/>
        <v>9.1559738970000009</v>
      </c>
    </row>
    <row r="1074" spans="1:25" hidden="1" x14ac:dyDescent="0.4">
      <c r="A1074" t="s">
        <v>20</v>
      </c>
      <c r="B1074">
        <v>6631431</v>
      </c>
      <c r="C1074" t="s">
        <v>527</v>
      </c>
      <c r="D1074" t="s">
        <v>21</v>
      </c>
      <c r="E1074" t="s">
        <v>137</v>
      </c>
      <c r="P1074">
        <v>9.34</v>
      </c>
      <c r="Q1074" s="1" t="s">
        <v>982</v>
      </c>
      <c r="R1074">
        <v>0.50820410599999999</v>
      </c>
      <c r="S1074">
        <v>4.74</v>
      </c>
      <c r="T1074" s="2">
        <v>45940</v>
      </c>
      <c r="V1074" t="str">
        <f t="shared" si="64"/>
        <v>S-6631431</v>
      </c>
      <c r="W1074">
        <f t="shared" si="67"/>
        <v>0</v>
      </c>
      <c r="X1074" t="str">
        <f t="shared" si="65"/>
        <v/>
      </c>
      <c r="Y1074">
        <f t="shared" si="66"/>
        <v>0.50820410599999999</v>
      </c>
    </row>
    <row r="1075" spans="1:25" x14ac:dyDescent="0.4">
      <c r="A1075" t="s">
        <v>20</v>
      </c>
      <c r="B1075">
        <v>6631431</v>
      </c>
      <c r="C1075" t="s">
        <v>527</v>
      </c>
      <c r="D1075" t="s">
        <v>21</v>
      </c>
      <c r="E1075" t="s">
        <v>22</v>
      </c>
      <c r="F1075" t="s">
        <v>74</v>
      </c>
      <c r="G1075">
        <v>8.9147999999999994E-5</v>
      </c>
      <c r="I1075" t="s">
        <v>528</v>
      </c>
      <c r="J1075" t="s">
        <v>524</v>
      </c>
      <c r="Q1075">
        <v>1</v>
      </c>
      <c r="V1075" t="str">
        <f t="shared" si="64"/>
        <v>S-6631431-0007-00</v>
      </c>
      <c r="W1075">
        <f t="shared" si="67"/>
        <v>3</v>
      </c>
      <c r="X1075" t="str">
        <f t="shared" si="65"/>
        <v>6631431-0007fee</v>
      </c>
      <c r="Y1075">
        <f t="shared" si="66"/>
        <v>-8.9147999999999994E-5</v>
      </c>
    </row>
    <row r="1076" spans="1:25" x14ac:dyDescent="0.4">
      <c r="A1076" t="s">
        <v>20</v>
      </c>
      <c r="B1076">
        <v>6631431</v>
      </c>
      <c r="C1076" t="s">
        <v>527</v>
      </c>
      <c r="D1076" t="s">
        <v>21</v>
      </c>
      <c r="E1076" t="s">
        <v>137</v>
      </c>
      <c r="F1076" t="s">
        <v>135</v>
      </c>
      <c r="G1076">
        <v>279.263169205</v>
      </c>
      <c r="I1076" t="s">
        <v>528</v>
      </c>
      <c r="J1076" t="s">
        <v>22</v>
      </c>
      <c r="P1076">
        <v>9.34</v>
      </c>
      <c r="Q1076" s="1" t="s">
        <v>982</v>
      </c>
      <c r="V1076" t="str">
        <f t="shared" si="64"/>
        <v>S-6631431-0007-01</v>
      </c>
      <c r="W1076">
        <f t="shared" si="67"/>
        <v>3</v>
      </c>
      <c r="X1076" t="str">
        <f t="shared" si="65"/>
        <v>6631431-0007debit</v>
      </c>
      <c r="Y1076">
        <f t="shared" si="66"/>
        <v>-279.263169205</v>
      </c>
    </row>
    <row r="1077" spans="1:25" x14ac:dyDescent="0.4">
      <c r="A1077" t="s">
        <v>20</v>
      </c>
      <c r="B1077">
        <v>6631431</v>
      </c>
      <c r="C1077" t="s">
        <v>527</v>
      </c>
      <c r="D1077" t="s">
        <v>21</v>
      </c>
      <c r="E1077" t="s">
        <v>22</v>
      </c>
      <c r="F1077" t="s">
        <v>135</v>
      </c>
      <c r="H1077">
        <v>7.6476918749999996</v>
      </c>
      <c r="I1077" t="s">
        <v>528</v>
      </c>
      <c r="J1077" t="s">
        <v>137</v>
      </c>
      <c r="Q1077">
        <v>1</v>
      </c>
      <c r="V1077" t="str">
        <f t="shared" si="64"/>
        <v>S-6631431-0007-02</v>
      </c>
      <c r="W1077">
        <f t="shared" si="67"/>
        <v>3</v>
      </c>
      <c r="X1077" t="str">
        <f t="shared" si="65"/>
        <v>6631431-0007credit</v>
      </c>
      <c r="Y1077">
        <f t="shared" si="66"/>
        <v>7.6476918749999996</v>
      </c>
    </row>
    <row r="1078" spans="1:25" hidden="1" x14ac:dyDescent="0.4">
      <c r="A1078" t="s">
        <v>20</v>
      </c>
      <c r="B1078">
        <v>6631496</v>
      </c>
      <c r="C1078" t="s">
        <v>529</v>
      </c>
      <c r="D1078" t="s">
        <v>21</v>
      </c>
      <c r="E1078" t="s">
        <v>147</v>
      </c>
      <c r="P1078">
        <v>19.059999999999999</v>
      </c>
      <c r="Q1078" s="1" t="s">
        <v>2079</v>
      </c>
      <c r="R1078">
        <v>0.14850515</v>
      </c>
      <c r="S1078">
        <v>2.83</v>
      </c>
      <c r="T1078" s="2">
        <v>45940</v>
      </c>
      <c r="V1078" t="str">
        <f t="shared" si="64"/>
        <v>S-6631496</v>
      </c>
      <c r="W1078">
        <f t="shared" si="67"/>
        <v>0</v>
      </c>
      <c r="X1078" t="str">
        <f t="shared" si="65"/>
        <v/>
      </c>
      <c r="Y1078">
        <f t="shared" si="66"/>
        <v>0.14850515</v>
      </c>
    </row>
    <row r="1079" spans="1:25" x14ac:dyDescent="0.4">
      <c r="A1079" t="s">
        <v>20</v>
      </c>
      <c r="B1079">
        <v>6631496</v>
      </c>
      <c r="C1079" t="s">
        <v>529</v>
      </c>
      <c r="D1079" t="s">
        <v>21</v>
      </c>
      <c r="E1079" t="s">
        <v>22</v>
      </c>
      <c r="F1079" t="s">
        <v>74</v>
      </c>
      <c r="G1079">
        <v>8.9147999999999994E-5</v>
      </c>
      <c r="I1079" t="s">
        <v>530</v>
      </c>
      <c r="J1079" t="s">
        <v>524</v>
      </c>
      <c r="Q1079">
        <v>1</v>
      </c>
      <c r="V1079" t="str">
        <f t="shared" si="64"/>
        <v>S-6631496-0015-00</v>
      </c>
      <c r="W1079">
        <f t="shared" si="67"/>
        <v>3</v>
      </c>
      <c r="X1079" t="str">
        <f t="shared" si="65"/>
        <v>6631496-0015fee</v>
      </c>
      <c r="Y1079">
        <f t="shared" si="66"/>
        <v>-8.9147999999999994E-5</v>
      </c>
    </row>
    <row r="1080" spans="1:25" x14ac:dyDescent="0.4">
      <c r="A1080" t="s">
        <v>20</v>
      </c>
      <c r="B1080">
        <v>6631496</v>
      </c>
      <c r="C1080" t="s">
        <v>529</v>
      </c>
      <c r="D1080" t="s">
        <v>21</v>
      </c>
      <c r="E1080" t="s">
        <v>147</v>
      </c>
      <c r="F1080" t="s">
        <v>135</v>
      </c>
      <c r="G1080">
        <v>92.510727415999995</v>
      </c>
      <c r="I1080" t="s">
        <v>530</v>
      </c>
      <c r="J1080" t="s">
        <v>22</v>
      </c>
      <c r="P1080">
        <v>19.059999999999999</v>
      </c>
      <c r="Q1080" s="1" t="s">
        <v>2079</v>
      </c>
      <c r="V1080" t="str">
        <f t="shared" si="64"/>
        <v>S-6631496-0015-01</v>
      </c>
      <c r="W1080">
        <f t="shared" si="67"/>
        <v>3</v>
      </c>
      <c r="X1080" t="str">
        <f t="shared" si="65"/>
        <v>6631496-0015debit</v>
      </c>
      <c r="Y1080">
        <f t="shared" si="66"/>
        <v>-92.510727415999995</v>
      </c>
    </row>
    <row r="1081" spans="1:25" x14ac:dyDescent="0.4">
      <c r="A1081" t="s">
        <v>20</v>
      </c>
      <c r="B1081">
        <v>6631496</v>
      </c>
      <c r="C1081" t="s">
        <v>529</v>
      </c>
      <c r="D1081" t="s">
        <v>21</v>
      </c>
      <c r="E1081" t="s">
        <v>22</v>
      </c>
      <c r="F1081" t="s">
        <v>135</v>
      </c>
      <c r="H1081">
        <v>7.1407583949999998</v>
      </c>
      <c r="I1081" t="s">
        <v>530</v>
      </c>
      <c r="J1081" t="s">
        <v>147</v>
      </c>
      <c r="Q1081">
        <v>1</v>
      </c>
      <c r="V1081" t="str">
        <f t="shared" si="64"/>
        <v>S-6631496-0015-02</v>
      </c>
      <c r="W1081">
        <f t="shared" si="67"/>
        <v>3</v>
      </c>
      <c r="X1081" t="str">
        <f t="shared" si="65"/>
        <v>6631496-0015credit</v>
      </c>
      <c r="Y1081">
        <f t="shared" si="66"/>
        <v>7.1407583949999998</v>
      </c>
    </row>
    <row r="1082" spans="1:25" hidden="1" x14ac:dyDescent="0.4">
      <c r="A1082" t="s">
        <v>20</v>
      </c>
      <c r="B1082">
        <v>6631517</v>
      </c>
      <c r="C1082" t="s">
        <v>531</v>
      </c>
      <c r="D1082" t="s">
        <v>21</v>
      </c>
      <c r="E1082" t="s">
        <v>140</v>
      </c>
      <c r="P1082">
        <v>9.51</v>
      </c>
      <c r="Q1082" s="1" t="s">
        <v>1713</v>
      </c>
      <c r="R1082">
        <v>0.31805234999999998</v>
      </c>
      <c r="S1082">
        <v>3.02</v>
      </c>
      <c r="T1082" s="2">
        <v>45940</v>
      </c>
      <c r="V1082" t="str">
        <f t="shared" si="64"/>
        <v>S-6631517</v>
      </c>
      <c r="W1082">
        <f t="shared" si="67"/>
        <v>0</v>
      </c>
      <c r="X1082" t="str">
        <f t="shared" si="65"/>
        <v/>
      </c>
      <c r="Y1082">
        <f t="shared" si="66"/>
        <v>0.31805234999999998</v>
      </c>
    </row>
    <row r="1083" spans="1:25" x14ac:dyDescent="0.4">
      <c r="A1083" t="s">
        <v>20</v>
      </c>
      <c r="B1083">
        <v>6631517</v>
      </c>
      <c r="C1083" t="s">
        <v>531</v>
      </c>
      <c r="D1083" t="s">
        <v>21</v>
      </c>
      <c r="E1083" t="s">
        <v>22</v>
      </c>
      <c r="F1083" t="s">
        <v>74</v>
      </c>
      <c r="G1083">
        <v>8.9147999999999994E-5</v>
      </c>
      <c r="I1083" t="s">
        <v>532</v>
      </c>
      <c r="J1083" t="s">
        <v>524</v>
      </c>
      <c r="Q1083">
        <v>1</v>
      </c>
      <c r="V1083" t="str">
        <f t="shared" si="64"/>
        <v>S-6631517-0023-00</v>
      </c>
      <c r="W1083">
        <f t="shared" si="67"/>
        <v>3</v>
      </c>
      <c r="X1083" t="str">
        <f t="shared" si="65"/>
        <v>6631517-0023fee</v>
      </c>
      <c r="Y1083">
        <f t="shared" si="66"/>
        <v>-8.9147999999999994E-5</v>
      </c>
    </row>
    <row r="1084" spans="1:25" x14ac:dyDescent="0.4">
      <c r="A1084" t="s">
        <v>20</v>
      </c>
      <c r="B1084">
        <v>6631517</v>
      </c>
      <c r="C1084" t="s">
        <v>531</v>
      </c>
      <c r="D1084" t="s">
        <v>21</v>
      </c>
      <c r="E1084" t="s">
        <v>140</v>
      </c>
      <c r="F1084" t="s">
        <v>135</v>
      </c>
      <c r="G1084">
        <v>172.13135099600001</v>
      </c>
      <c r="I1084" t="s">
        <v>532</v>
      </c>
      <c r="J1084" t="s">
        <v>22</v>
      </c>
      <c r="P1084">
        <v>9.51</v>
      </c>
      <c r="Q1084" s="1" t="s">
        <v>1713</v>
      </c>
      <c r="V1084" t="str">
        <f t="shared" si="64"/>
        <v>S-6631517-0023-01</v>
      </c>
      <c r="W1084">
        <f t="shared" si="67"/>
        <v>3</v>
      </c>
      <c r="X1084" t="str">
        <f t="shared" si="65"/>
        <v>6631517-0023debit</v>
      </c>
      <c r="Y1084">
        <f t="shared" si="66"/>
        <v>-172.13135099600001</v>
      </c>
    </row>
    <row r="1085" spans="1:25" x14ac:dyDescent="0.4">
      <c r="A1085" t="s">
        <v>20</v>
      </c>
      <c r="B1085">
        <v>6631517</v>
      </c>
      <c r="C1085" t="s">
        <v>531</v>
      </c>
      <c r="D1085" t="s">
        <v>21</v>
      </c>
      <c r="E1085" t="s">
        <v>22</v>
      </c>
      <c r="F1085" t="s">
        <v>135</v>
      </c>
      <c r="H1085">
        <v>5.7032726340000002</v>
      </c>
      <c r="I1085" t="s">
        <v>532</v>
      </c>
      <c r="J1085" t="s">
        <v>140</v>
      </c>
      <c r="Q1085">
        <v>1</v>
      </c>
      <c r="V1085" t="str">
        <f t="shared" si="64"/>
        <v>S-6631517-0023-02</v>
      </c>
      <c r="W1085">
        <f t="shared" si="67"/>
        <v>3</v>
      </c>
      <c r="X1085" t="str">
        <f t="shared" si="65"/>
        <v>6631517-0023credit</v>
      </c>
      <c r="Y1085">
        <f t="shared" si="66"/>
        <v>5.7032726340000002</v>
      </c>
    </row>
    <row r="1086" spans="1:25" x14ac:dyDescent="0.4">
      <c r="A1086" t="s">
        <v>20</v>
      </c>
      <c r="B1086">
        <v>6631521</v>
      </c>
      <c r="C1086" t="s">
        <v>2221</v>
      </c>
      <c r="D1086" t="s">
        <v>21</v>
      </c>
      <c r="E1086" t="s">
        <v>22</v>
      </c>
      <c r="F1086" t="s">
        <v>74</v>
      </c>
      <c r="G1086">
        <v>8.9147999999999994E-5</v>
      </c>
      <c r="I1086" t="s">
        <v>533</v>
      </c>
      <c r="J1086" t="s">
        <v>524</v>
      </c>
      <c r="Q1086">
        <v>1</v>
      </c>
      <c r="V1086" t="str">
        <f t="shared" si="64"/>
        <v>S-6631521-0016-00</v>
      </c>
      <c r="W1086">
        <f t="shared" si="67"/>
        <v>1</v>
      </c>
      <c r="X1086" t="str">
        <f t="shared" si="65"/>
        <v>6631521-0016fee</v>
      </c>
      <c r="Y1086">
        <f t="shared" si="66"/>
        <v>-8.9147999999999994E-5</v>
      </c>
    </row>
    <row r="1087" spans="1:25" x14ac:dyDescent="0.4">
      <c r="A1087" t="s">
        <v>20</v>
      </c>
      <c r="B1087">
        <v>6631673</v>
      </c>
      <c r="C1087" t="s">
        <v>2222</v>
      </c>
      <c r="D1087" t="s">
        <v>21</v>
      </c>
      <c r="E1087" t="s">
        <v>22</v>
      </c>
      <c r="F1087" t="s">
        <v>74</v>
      </c>
      <c r="G1087">
        <v>1.3756E-5</v>
      </c>
      <c r="I1087" t="s">
        <v>534</v>
      </c>
      <c r="J1087" t="s">
        <v>76</v>
      </c>
      <c r="Q1087">
        <v>1</v>
      </c>
      <c r="V1087" t="str">
        <f t="shared" si="64"/>
        <v>S-6631673-0013-00</v>
      </c>
      <c r="W1087">
        <f t="shared" si="67"/>
        <v>2</v>
      </c>
      <c r="X1087" t="str">
        <f t="shared" si="65"/>
        <v>6631673-0013fee</v>
      </c>
      <c r="Y1087">
        <f t="shared" si="66"/>
        <v>-1.3756E-5</v>
      </c>
    </row>
    <row r="1088" spans="1:25" x14ac:dyDescent="0.4">
      <c r="A1088" t="s">
        <v>20</v>
      </c>
      <c r="B1088">
        <v>6631673</v>
      </c>
      <c r="C1088" t="s">
        <v>2222</v>
      </c>
      <c r="D1088" t="s">
        <v>21</v>
      </c>
      <c r="E1088" t="s">
        <v>22</v>
      </c>
      <c r="F1088" t="s">
        <v>77</v>
      </c>
      <c r="G1088">
        <v>1</v>
      </c>
      <c r="I1088" t="s">
        <v>534</v>
      </c>
      <c r="J1088" t="s">
        <v>78</v>
      </c>
      <c r="Q1088">
        <v>1</v>
      </c>
      <c r="V1088" t="str">
        <f t="shared" si="64"/>
        <v>S-6631673-0013-01</v>
      </c>
      <c r="W1088">
        <f t="shared" si="67"/>
        <v>2</v>
      </c>
      <c r="X1088" t="str">
        <f t="shared" si="65"/>
        <v>6631673-0013debit</v>
      </c>
      <c r="Y1088">
        <f t="shared" si="66"/>
        <v>-1</v>
      </c>
    </row>
    <row r="1089" spans="1:25" x14ac:dyDescent="0.4">
      <c r="A1089" t="s">
        <v>20</v>
      </c>
      <c r="B1089">
        <v>6631693</v>
      </c>
      <c r="C1089" t="s">
        <v>2223</v>
      </c>
      <c r="D1089" t="s">
        <v>21</v>
      </c>
      <c r="E1089" t="s">
        <v>22</v>
      </c>
      <c r="F1089" t="s">
        <v>74</v>
      </c>
      <c r="G1089">
        <v>1.3757999999999999E-5</v>
      </c>
      <c r="I1089" t="s">
        <v>535</v>
      </c>
      <c r="J1089" t="s">
        <v>76</v>
      </c>
      <c r="Q1089">
        <v>1</v>
      </c>
      <c r="V1089" t="str">
        <f t="shared" si="64"/>
        <v>S-6631693-0008-00</v>
      </c>
      <c r="W1089">
        <f t="shared" si="67"/>
        <v>2</v>
      </c>
      <c r="X1089" t="str">
        <f t="shared" si="65"/>
        <v>6631693-0008fee</v>
      </c>
      <c r="Y1089">
        <f t="shared" si="66"/>
        <v>-1.3757999999999999E-5</v>
      </c>
    </row>
    <row r="1090" spans="1:25" x14ac:dyDescent="0.4">
      <c r="A1090" t="s">
        <v>20</v>
      </c>
      <c r="B1090">
        <v>6631693</v>
      </c>
      <c r="C1090" t="s">
        <v>2223</v>
      </c>
      <c r="D1090" t="s">
        <v>21</v>
      </c>
      <c r="E1090" t="s">
        <v>22</v>
      </c>
      <c r="F1090" t="s">
        <v>77</v>
      </c>
      <c r="G1090">
        <v>88.5</v>
      </c>
      <c r="I1090" t="s">
        <v>535</v>
      </c>
      <c r="J1090" t="s">
        <v>78</v>
      </c>
      <c r="Q1090">
        <v>1</v>
      </c>
      <c r="V1090" t="str">
        <f t="shared" si="64"/>
        <v>S-6631693-0008-01</v>
      </c>
      <c r="W1090">
        <f t="shared" si="67"/>
        <v>2</v>
      </c>
      <c r="X1090" t="str">
        <f t="shared" si="65"/>
        <v>6631693-0008debit</v>
      </c>
      <c r="Y1090">
        <f t="shared" si="66"/>
        <v>-88.5</v>
      </c>
    </row>
    <row r="1091" spans="1:25" hidden="1" x14ac:dyDescent="0.4">
      <c r="A1091" t="s">
        <v>20</v>
      </c>
      <c r="B1091">
        <v>6632184</v>
      </c>
      <c r="C1091" t="s">
        <v>2224</v>
      </c>
      <c r="D1091" t="s">
        <v>21</v>
      </c>
      <c r="E1091" t="s">
        <v>22</v>
      </c>
      <c r="K1091">
        <v>3.3397898000000002E-2</v>
      </c>
      <c r="L1091">
        <v>3.3397898000000002E-2</v>
      </c>
      <c r="M1091">
        <v>0</v>
      </c>
      <c r="N1091">
        <v>0</v>
      </c>
      <c r="O1091">
        <v>0</v>
      </c>
      <c r="P1091" s="1" t="s">
        <v>536</v>
      </c>
      <c r="Q1091">
        <v>1</v>
      </c>
      <c r="R1091">
        <v>7.2817719999999997E-3</v>
      </c>
      <c r="S1091">
        <v>2.21</v>
      </c>
      <c r="T1091" s="2">
        <v>45940</v>
      </c>
      <c r="V1091" t="str">
        <f t="shared" ref="V1091:V1154" si="68">"S-"&amp;IF(LEN(I1091)=0,B1091,I1091&amp;IF(F1091="fee","-00",IF(LEN(G1091)&gt;0,"-01","-02")))</f>
        <v>S-6632184</v>
      </c>
      <c r="W1091">
        <f t="shared" si="67"/>
        <v>0</v>
      </c>
      <c r="X1091" t="str">
        <f t="shared" ref="X1091:X1154" si="69">IF(LEN(I1091)&gt;0,I1091&amp;IF(F1091="fee","fee",IF(VALUE(G1091)&gt;0,"debit",IF(VALUE(H1091)&gt;0,"credit","error"))),"")</f>
        <v/>
      </c>
      <c r="Y1091">
        <f t="shared" ref="Y1091:Y1154" si="70">ROUND(IF(ROW(U1091) = 2,K1091,0)+IF(H1091&lt;&gt;"",H1091,0) + IF(R1091&lt;&gt;"",R1091,0) - IF(G1091&lt;&gt;"",G1091,0),9)</f>
        <v>7.2817719999999997E-3</v>
      </c>
    </row>
    <row r="1092" spans="1:25" hidden="1" x14ac:dyDescent="0.4">
      <c r="A1092" t="s">
        <v>20</v>
      </c>
      <c r="B1092">
        <v>6639384</v>
      </c>
      <c r="C1092" t="s">
        <v>2225</v>
      </c>
      <c r="D1092" t="s">
        <v>21</v>
      </c>
      <c r="E1092" t="s">
        <v>22</v>
      </c>
      <c r="K1092">
        <v>3.3397898000000002E-2</v>
      </c>
      <c r="L1092">
        <v>3.3397898000000002E-2</v>
      </c>
      <c r="M1092">
        <v>0</v>
      </c>
      <c r="N1092">
        <v>0</v>
      </c>
      <c r="O1092">
        <v>0</v>
      </c>
      <c r="P1092" s="1" t="s">
        <v>537</v>
      </c>
      <c r="Q1092">
        <v>1</v>
      </c>
      <c r="R1092">
        <v>0</v>
      </c>
      <c r="S1092">
        <v>0</v>
      </c>
      <c r="T1092" s="2">
        <v>45941</v>
      </c>
      <c r="V1092" t="str">
        <f t="shared" si="68"/>
        <v>S-6639384</v>
      </c>
      <c r="W1092">
        <f t="shared" ref="W1092:W1155" si="71">COUNTIF(I:I,I1092)</f>
        <v>0</v>
      </c>
      <c r="X1092" t="str">
        <f t="shared" si="69"/>
        <v/>
      </c>
      <c r="Y1092">
        <f t="shared" si="70"/>
        <v>0</v>
      </c>
    </row>
    <row r="1093" spans="1:25" hidden="1" x14ac:dyDescent="0.4">
      <c r="A1093" t="s">
        <v>20</v>
      </c>
      <c r="B1093">
        <v>6646584</v>
      </c>
      <c r="C1093" t="s">
        <v>2226</v>
      </c>
      <c r="D1093" t="s">
        <v>21</v>
      </c>
      <c r="E1093" t="s">
        <v>22</v>
      </c>
      <c r="K1093">
        <v>3.3397898000000002E-2</v>
      </c>
      <c r="L1093">
        <v>3.3397898000000002E-2</v>
      </c>
      <c r="M1093">
        <v>0</v>
      </c>
      <c r="N1093">
        <v>0</v>
      </c>
      <c r="O1093">
        <v>0</v>
      </c>
      <c r="P1093">
        <v>384.50567718946098</v>
      </c>
      <c r="Q1093">
        <v>1</v>
      </c>
      <c r="R1093">
        <v>0</v>
      </c>
      <c r="S1093">
        <v>0</v>
      </c>
      <c r="T1093" s="2">
        <v>45942</v>
      </c>
      <c r="V1093" t="str">
        <f t="shared" si="68"/>
        <v>S-6646584</v>
      </c>
      <c r="W1093">
        <f t="shared" si="71"/>
        <v>0</v>
      </c>
      <c r="X1093" t="str">
        <f t="shared" si="69"/>
        <v/>
      </c>
      <c r="Y1093">
        <f t="shared" si="70"/>
        <v>0</v>
      </c>
    </row>
    <row r="1094" spans="1:25" hidden="1" x14ac:dyDescent="0.4">
      <c r="A1094" t="s">
        <v>20</v>
      </c>
      <c r="B1094">
        <v>6653784</v>
      </c>
      <c r="C1094" t="s">
        <v>2227</v>
      </c>
      <c r="D1094" t="s">
        <v>21</v>
      </c>
      <c r="E1094" t="s">
        <v>22</v>
      </c>
      <c r="K1094">
        <v>3.3397898000000002E-2</v>
      </c>
      <c r="L1094">
        <v>3.3397898000000002E-2</v>
      </c>
      <c r="M1094">
        <v>0</v>
      </c>
      <c r="N1094">
        <v>0</v>
      </c>
      <c r="O1094">
        <v>0</v>
      </c>
      <c r="P1094" s="1" t="s">
        <v>538</v>
      </c>
      <c r="Q1094">
        <v>1</v>
      </c>
      <c r="R1094">
        <v>0</v>
      </c>
      <c r="S1094">
        <v>0</v>
      </c>
      <c r="T1094" s="2">
        <v>45943</v>
      </c>
      <c r="V1094" t="str">
        <f t="shared" si="68"/>
        <v>S-6653784</v>
      </c>
      <c r="W1094">
        <f t="shared" si="71"/>
        <v>0</v>
      </c>
      <c r="X1094" t="str">
        <f t="shared" si="69"/>
        <v/>
      </c>
      <c r="Y1094">
        <f t="shared" si="70"/>
        <v>0</v>
      </c>
    </row>
    <row r="1095" spans="1:25" hidden="1" x14ac:dyDescent="0.4">
      <c r="A1095" t="s">
        <v>20</v>
      </c>
      <c r="B1095">
        <v>6660984</v>
      </c>
      <c r="C1095" t="s">
        <v>2228</v>
      </c>
      <c r="D1095" t="s">
        <v>21</v>
      </c>
      <c r="E1095" t="s">
        <v>22</v>
      </c>
      <c r="K1095">
        <v>3.3397898000000002E-2</v>
      </c>
      <c r="L1095">
        <v>3.3397898000000002E-2</v>
      </c>
      <c r="M1095">
        <v>0</v>
      </c>
      <c r="N1095">
        <v>0</v>
      </c>
      <c r="O1095">
        <v>0</v>
      </c>
      <c r="P1095" s="1" t="s">
        <v>539</v>
      </c>
      <c r="Q1095">
        <v>1</v>
      </c>
      <c r="R1095">
        <v>0</v>
      </c>
      <c r="S1095">
        <v>0</v>
      </c>
      <c r="T1095" s="2">
        <v>45944</v>
      </c>
      <c r="V1095" t="str">
        <f t="shared" si="68"/>
        <v>S-6660984</v>
      </c>
      <c r="W1095">
        <f t="shared" si="71"/>
        <v>0</v>
      </c>
      <c r="X1095" t="str">
        <f t="shared" si="69"/>
        <v/>
      </c>
      <c r="Y1095">
        <f t="shared" si="70"/>
        <v>0</v>
      </c>
    </row>
    <row r="1096" spans="1:25" hidden="1" x14ac:dyDescent="0.4">
      <c r="A1096" t="s">
        <v>20</v>
      </c>
      <c r="B1096">
        <v>6668184</v>
      </c>
      <c r="C1096" t="s">
        <v>2229</v>
      </c>
      <c r="D1096" t="s">
        <v>21</v>
      </c>
      <c r="E1096" t="s">
        <v>22</v>
      </c>
      <c r="K1096">
        <v>3.3397898000000002E-2</v>
      </c>
      <c r="L1096">
        <v>3.3397898000000002E-2</v>
      </c>
      <c r="M1096">
        <v>0</v>
      </c>
      <c r="N1096">
        <v>0</v>
      </c>
      <c r="O1096">
        <v>0</v>
      </c>
      <c r="P1096" s="1" t="s">
        <v>540</v>
      </c>
      <c r="Q1096">
        <v>1</v>
      </c>
      <c r="R1096">
        <v>0</v>
      </c>
      <c r="S1096">
        <v>0</v>
      </c>
      <c r="T1096" s="2">
        <v>45945</v>
      </c>
      <c r="V1096" t="str">
        <f t="shared" si="68"/>
        <v>S-6668184</v>
      </c>
      <c r="W1096">
        <f t="shared" si="71"/>
        <v>0</v>
      </c>
      <c r="X1096" t="str">
        <f t="shared" si="69"/>
        <v/>
      </c>
      <c r="Y1096">
        <f t="shared" si="70"/>
        <v>0</v>
      </c>
    </row>
    <row r="1097" spans="1:25" hidden="1" x14ac:dyDescent="0.4">
      <c r="A1097" t="s">
        <v>20</v>
      </c>
      <c r="B1097">
        <v>6675384</v>
      </c>
      <c r="C1097" t="s">
        <v>2230</v>
      </c>
      <c r="D1097" t="s">
        <v>21</v>
      </c>
      <c r="E1097" t="s">
        <v>22</v>
      </c>
      <c r="K1097">
        <v>3.3397898000000002E-2</v>
      </c>
      <c r="L1097">
        <v>3.3397898000000002E-2</v>
      </c>
      <c r="M1097">
        <v>0</v>
      </c>
      <c r="N1097">
        <v>0</v>
      </c>
      <c r="O1097">
        <v>0</v>
      </c>
      <c r="P1097" s="1" t="s">
        <v>541</v>
      </c>
      <c r="Q1097">
        <v>1</v>
      </c>
      <c r="R1097">
        <v>0</v>
      </c>
      <c r="S1097">
        <v>0</v>
      </c>
      <c r="T1097" s="2">
        <v>45946</v>
      </c>
      <c r="V1097" t="str">
        <f t="shared" si="68"/>
        <v>S-6675384</v>
      </c>
      <c r="W1097">
        <f t="shared" si="71"/>
        <v>0</v>
      </c>
      <c r="X1097" t="str">
        <f t="shared" si="69"/>
        <v/>
      </c>
      <c r="Y1097">
        <f t="shared" si="70"/>
        <v>0</v>
      </c>
    </row>
    <row r="1098" spans="1:25" hidden="1" x14ac:dyDescent="0.4">
      <c r="A1098" t="s">
        <v>20</v>
      </c>
      <c r="B1098">
        <v>6682583</v>
      </c>
      <c r="C1098" t="s">
        <v>2231</v>
      </c>
      <c r="D1098" t="s">
        <v>21</v>
      </c>
      <c r="E1098" t="s">
        <v>22</v>
      </c>
      <c r="K1098">
        <v>3.3397898000000002E-2</v>
      </c>
      <c r="L1098">
        <v>3.3397898000000002E-2</v>
      </c>
      <c r="M1098">
        <v>0</v>
      </c>
      <c r="N1098">
        <v>0</v>
      </c>
      <c r="O1098">
        <v>0</v>
      </c>
      <c r="P1098">
        <v>384.56732267132702</v>
      </c>
      <c r="Q1098">
        <v>1</v>
      </c>
      <c r="R1098">
        <v>0</v>
      </c>
      <c r="S1098">
        <v>0</v>
      </c>
      <c r="T1098" s="2">
        <v>45947</v>
      </c>
      <c r="V1098" t="str">
        <f t="shared" si="68"/>
        <v>S-6682583</v>
      </c>
      <c r="W1098">
        <f t="shared" si="71"/>
        <v>0</v>
      </c>
      <c r="X1098" t="str">
        <f t="shared" si="69"/>
        <v/>
      </c>
      <c r="Y1098">
        <f t="shared" si="70"/>
        <v>0</v>
      </c>
    </row>
    <row r="1099" spans="1:25" hidden="1" x14ac:dyDescent="0.4">
      <c r="A1099" t="s">
        <v>20</v>
      </c>
      <c r="B1099">
        <v>6689783</v>
      </c>
      <c r="C1099" t="s">
        <v>2232</v>
      </c>
      <c r="D1099" t="s">
        <v>21</v>
      </c>
      <c r="E1099" t="s">
        <v>22</v>
      </c>
      <c r="K1099">
        <v>3.3397898000000002E-2</v>
      </c>
      <c r="L1099">
        <v>3.3397898000000002E-2</v>
      </c>
      <c r="M1099">
        <v>0</v>
      </c>
      <c r="N1099">
        <v>0</v>
      </c>
      <c r="O1099">
        <v>0</v>
      </c>
      <c r="P1099" s="1" t="s">
        <v>542</v>
      </c>
      <c r="Q1099">
        <v>1</v>
      </c>
      <c r="R1099">
        <v>0</v>
      </c>
      <c r="S1099">
        <v>0</v>
      </c>
      <c r="T1099" s="2">
        <v>45948</v>
      </c>
      <c r="V1099" t="str">
        <f t="shared" si="68"/>
        <v>S-6689783</v>
      </c>
      <c r="W1099">
        <f t="shared" si="71"/>
        <v>0</v>
      </c>
      <c r="X1099" t="str">
        <f t="shared" si="69"/>
        <v/>
      </c>
      <c r="Y1099">
        <f t="shared" si="70"/>
        <v>0</v>
      </c>
    </row>
    <row r="1100" spans="1:25" hidden="1" x14ac:dyDescent="0.4">
      <c r="A1100" t="s">
        <v>20</v>
      </c>
      <c r="B1100">
        <v>6696965</v>
      </c>
      <c r="C1100" t="s">
        <v>2233</v>
      </c>
      <c r="D1100" t="s">
        <v>21</v>
      </c>
      <c r="E1100" t="s">
        <v>22</v>
      </c>
      <c r="K1100">
        <v>3.3397898000000002E-2</v>
      </c>
      <c r="L1100">
        <v>3.3397898000000002E-2</v>
      </c>
      <c r="M1100">
        <v>0</v>
      </c>
      <c r="N1100">
        <v>0</v>
      </c>
      <c r="O1100">
        <v>0</v>
      </c>
      <c r="P1100" s="1" t="s">
        <v>543</v>
      </c>
      <c r="Q1100">
        <v>1</v>
      </c>
      <c r="R1100">
        <v>0</v>
      </c>
      <c r="S1100">
        <v>0</v>
      </c>
      <c r="T1100" s="2">
        <v>45949</v>
      </c>
      <c r="V1100" t="str">
        <f t="shared" si="68"/>
        <v>S-6696965</v>
      </c>
      <c r="W1100">
        <f t="shared" si="71"/>
        <v>0</v>
      </c>
      <c r="X1100" t="str">
        <f t="shared" si="69"/>
        <v/>
      </c>
      <c r="Y1100">
        <f t="shared" si="70"/>
        <v>0</v>
      </c>
    </row>
    <row r="1101" spans="1:25" hidden="1" x14ac:dyDescent="0.4">
      <c r="A1101" t="s">
        <v>20</v>
      </c>
      <c r="B1101">
        <v>6704165</v>
      </c>
      <c r="C1101" t="s">
        <v>2234</v>
      </c>
      <c r="D1101" t="s">
        <v>21</v>
      </c>
      <c r="E1101" t="s">
        <v>22</v>
      </c>
      <c r="K1101">
        <v>3.3397898000000002E-2</v>
      </c>
      <c r="L1101">
        <v>3.3397898000000002E-2</v>
      </c>
      <c r="M1101">
        <v>0</v>
      </c>
      <c r="N1101">
        <v>0</v>
      </c>
      <c r="O1101">
        <v>0</v>
      </c>
      <c r="P1101" s="1" t="s">
        <v>544</v>
      </c>
      <c r="Q1101">
        <v>1</v>
      </c>
      <c r="R1101">
        <v>0</v>
      </c>
      <c r="S1101">
        <v>0</v>
      </c>
      <c r="T1101" s="2">
        <v>45950</v>
      </c>
      <c r="V1101" t="str">
        <f t="shared" si="68"/>
        <v>S-6704165</v>
      </c>
      <c r="W1101">
        <f t="shared" si="71"/>
        <v>0</v>
      </c>
      <c r="X1101" t="str">
        <f t="shared" si="69"/>
        <v/>
      </c>
      <c r="Y1101">
        <f t="shared" si="70"/>
        <v>0</v>
      </c>
    </row>
    <row r="1102" spans="1:25" hidden="1" x14ac:dyDescent="0.4">
      <c r="A1102" t="s">
        <v>20</v>
      </c>
      <c r="B1102">
        <v>6711365</v>
      </c>
      <c r="C1102" t="s">
        <v>2235</v>
      </c>
      <c r="D1102" t="s">
        <v>21</v>
      </c>
      <c r="E1102" t="s">
        <v>22</v>
      </c>
      <c r="K1102">
        <v>3.3397898000000002E-2</v>
      </c>
      <c r="L1102">
        <v>3.3397898000000002E-2</v>
      </c>
      <c r="M1102">
        <v>0</v>
      </c>
      <c r="N1102">
        <v>0</v>
      </c>
      <c r="O1102">
        <v>0</v>
      </c>
      <c r="P1102" s="1" t="s">
        <v>545</v>
      </c>
      <c r="Q1102">
        <v>1</v>
      </c>
      <c r="R1102">
        <v>0</v>
      </c>
      <c r="S1102">
        <v>0</v>
      </c>
      <c r="T1102" s="2">
        <v>45951</v>
      </c>
      <c r="V1102" t="str">
        <f t="shared" si="68"/>
        <v>S-6711365</v>
      </c>
      <c r="W1102">
        <f t="shared" si="71"/>
        <v>0</v>
      </c>
      <c r="X1102" t="str">
        <f t="shared" si="69"/>
        <v/>
      </c>
      <c r="Y1102">
        <f t="shared" si="70"/>
        <v>0</v>
      </c>
    </row>
    <row r="1103" spans="1:25" hidden="1" x14ac:dyDescent="0.4">
      <c r="A1103" t="s">
        <v>20</v>
      </c>
      <c r="B1103">
        <v>6718565</v>
      </c>
      <c r="C1103" t="s">
        <v>2236</v>
      </c>
      <c r="D1103" t="s">
        <v>21</v>
      </c>
      <c r="E1103" t="s">
        <v>22</v>
      </c>
      <c r="K1103">
        <v>3.3397898000000002E-2</v>
      </c>
      <c r="L1103">
        <v>3.3397898000000002E-2</v>
      </c>
      <c r="M1103">
        <v>0</v>
      </c>
      <c r="N1103">
        <v>0</v>
      </c>
      <c r="O1103">
        <v>0</v>
      </c>
      <c r="P1103" s="1" t="s">
        <v>546</v>
      </c>
      <c r="Q1103">
        <v>1</v>
      </c>
      <c r="R1103">
        <v>0</v>
      </c>
      <c r="S1103">
        <v>0</v>
      </c>
      <c r="T1103" s="2">
        <v>45952</v>
      </c>
      <c r="V1103" t="str">
        <f t="shared" si="68"/>
        <v>S-6718565</v>
      </c>
      <c r="W1103">
        <f t="shared" si="71"/>
        <v>0</v>
      </c>
      <c r="X1103" t="str">
        <f t="shared" si="69"/>
        <v/>
      </c>
      <c r="Y1103">
        <f t="shared" si="70"/>
        <v>0</v>
      </c>
    </row>
    <row r="1104" spans="1:25" hidden="1" x14ac:dyDescent="0.4">
      <c r="A1104" t="s">
        <v>20</v>
      </c>
      <c r="B1104">
        <v>6725765</v>
      </c>
      <c r="C1104" t="s">
        <v>2237</v>
      </c>
      <c r="D1104" t="s">
        <v>21</v>
      </c>
      <c r="E1104" t="s">
        <v>22</v>
      </c>
      <c r="K1104">
        <v>3.3397898000000002E-2</v>
      </c>
      <c r="L1104">
        <v>3.3397898000000002E-2</v>
      </c>
      <c r="M1104">
        <v>0</v>
      </c>
      <c r="N1104">
        <v>0</v>
      </c>
      <c r="O1104">
        <v>0</v>
      </c>
      <c r="P1104" s="1" t="s">
        <v>547</v>
      </c>
      <c r="Q1104">
        <v>1</v>
      </c>
      <c r="R1104">
        <v>0</v>
      </c>
      <c r="S1104">
        <v>0</v>
      </c>
      <c r="T1104" s="2">
        <v>45953</v>
      </c>
      <c r="V1104" t="str">
        <f t="shared" si="68"/>
        <v>S-6725765</v>
      </c>
      <c r="W1104">
        <f t="shared" si="71"/>
        <v>0</v>
      </c>
      <c r="X1104" t="str">
        <f t="shared" si="69"/>
        <v/>
      </c>
      <c r="Y1104">
        <f t="shared" si="70"/>
        <v>0</v>
      </c>
    </row>
    <row r="1105" spans="1:25" hidden="1" x14ac:dyDescent="0.4">
      <c r="A1105" t="s">
        <v>20</v>
      </c>
      <c r="B1105">
        <v>6732965</v>
      </c>
      <c r="C1105" t="s">
        <v>2238</v>
      </c>
      <c r="D1105" t="s">
        <v>21</v>
      </c>
      <c r="E1105" t="s">
        <v>22</v>
      </c>
      <c r="K1105">
        <v>3.3397898000000002E-2</v>
      </c>
      <c r="L1105">
        <v>3.3397898000000002E-2</v>
      </c>
      <c r="M1105">
        <v>0</v>
      </c>
      <c r="N1105">
        <v>0</v>
      </c>
      <c r="O1105">
        <v>0</v>
      </c>
      <c r="P1105" s="1" t="s">
        <v>548</v>
      </c>
      <c r="Q1105">
        <v>1</v>
      </c>
      <c r="R1105">
        <v>0</v>
      </c>
      <c r="S1105">
        <v>0</v>
      </c>
      <c r="T1105" s="2">
        <v>45954</v>
      </c>
      <c r="V1105" t="str">
        <f t="shared" si="68"/>
        <v>S-6732965</v>
      </c>
      <c r="W1105">
        <f t="shared" si="71"/>
        <v>0</v>
      </c>
      <c r="X1105" t="str">
        <f t="shared" si="69"/>
        <v/>
      </c>
      <c r="Y1105">
        <f t="shared" si="70"/>
        <v>0</v>
      </c>
    </row>
    <row r="1106" spans="1:25" hidden="1" x14ac:dyDescent="0.4">
      <c r="A1106" t="s">
        <v>20</v>
      </c>
      <c r="B1106">
        <v>6740165</v>
      </c>
      <c r="C1106" t="s">
        <v>2239</v>
      </c>
      <c r="D1106" t="s">
        <v>21</v>
      </c>
      <c r="E1106" t="s">
        <v>22</v>
      </c>
      <c r="K1106">
        <v>3.3397898000000002E-2</v>
      </c>
      <c r="L1106">
        <v>3.3397898000000002E-2</v>
      </c>
      <c r="M1106">
        <v>0</v>
      </c>
      <c r="N1106">
        <v>0</v>
      </c>
      <c r="O1106">
        <v>0</v>
      </c>
      <c r="P1106" s="1" t="s">
        <v>549</v>
      </c>
      <c r="Q1106">
        <v>1</v>
      </c>
      <c r="R1106">
        <v>0</v>
      </c>
      <c r="S1106">
        <v>0</v>
      </c>
      <c r="T1106" s="2">
        <v>45955</v>
      </c>
      <c r="V1106" t="str">
        <f t="shared" si="68"/>
        <v>S-6740165</v>
      </c>
      <c r="W1106">
        <f t="shared" si="71"/>
        <v>0</v>
      </c>
      <c r="X1106" t="str">
        <f t="shared" si="69"/>
        <v/>
      </c>
      <c r="Y1106">
        <f t="shared" si="70"/>
        <v>0</v>
      </c>
    </row>
    <row r="1107" spans="1:25" hidden="1" x14ac:dyDescent="0.4">
      <c r="A1107" t="s">
        <v>20</v>
      </c>
      <c r="B1107">
        <v>6747365</v>
      </c>
      <c r="C1107" t="s">
        <v>2240</v>
      </c>
      <c r="D1107" t="s">
        <v>21</v>
      </c>
      <c r="E1107" t="s">
        <v>22</v>
      </c>
      <c r="K1107">
        <v>3.3397898000000002E-2</v>
      </c>
      <c r="L1107">
        <v>3.3397898000000002E-2</v>
      </c>
      <c r="M1107">
        <v>0</v>
      </c>
      <c r="N1107">
        <v>0</v>
      </c>
      <c r="O1107">
        <v>0</v>
      </c>
      <c r="P1107" s="1" t="s">
        <v>550</v>
      </c>
      <c r="Q1107">
        <v>1</v>
      </c>
      <c r="R1107">
        <v>0</v>
      </c>
      <c r="S1107">
        <v>0</v>
      </c>
      <c r="T1107" s="2">
        <v>45956</v>
      </c>
      <c r="V1107" t="str">
        <f t="shared" si="68"/>
        <v>S-6747365</v>
      </c>
      <c r="W1107">
        <f t="shared" si="71"/>
        <v>0</v>
      </c>
      <c r="X1107" t="str">
        <f t="shared" si="69"/>
        <v/>
      </c>
      <c r="Y1107">
        <f t="shared" si="70"/>
        <v>0</v>
      </c>
    </row>
    <row r="1108" spans="1:25" hidden="1" x14ac:dyDescent="0.4">
      <c r="A1108" t="s">
        <v>20</v>
      </c>
      <c r="B1108">
        <v>6754565</v>
      </c>
      <c r="C1108" t="s">
        <v>2241</v>
      </c>
      <c r="D1108" t="s">
        <v>21</v>
      </c>
      <c r="E1108" t="s">
        <v>22</v>
      </c>
      <c r="K1108">
        <v>3.3397898000000002E-2</v>
      </c>
      <c r="L1108">
        <v>3.3397898000000002E-2</v>
      </c>
      <c r="M1108">
        <v>0</v>
      </c>
      <c r="N1108">
        <v>0</v>
      </c>
      <c r="O1108">
        <v>0</v>
      </c>
      <c r="P1108" s="1" t="s">
        <v>551</v>
      </c>
      <c r="Q1108">
        <v>1</v>
      </c>
      <c r="R1108">
        <v>0</v>
      </c>
      <c r="S1108">
        <v>0</v>
      </c>
      <c r="T1108" s="2">
        <v>45957</v>
      </c>
      <c r="V1108" t="str">
        <f t="shared" si="68"/>
        <v>S-6754565</v>
      </c>
      <c r="W1108">
        <f t="shared" si="71"/>
        <v>0</v>
      </c>
      <c r="X1108" t="str">
        <f t="shared" si="69"/>
        <v/>
      </c>
      <c r="Y1108">
        <f t="shared" si="70"/>
        <v>0</v>
      </c>
    </row>
    <row r="1109" spans="1:25" hidden="1" x14ac:dyDescent="0.4">
      <c r="A1109" t="s">
        <v>20</v>
      </c>
      <c r="B1109">
        <v>6761765</v>
      </c>
      <c r="C1109" t="s">
        <v>2242</v>
      </c>
      <c r="D1109" t="s">
        <v>21</v>
      </c>
      <c r="E1109" t="s">
        <v>22</v>
      </c>
      <c r="K1109">
        <v>3.3397898000000002E-2</v>
      </c>
      <c r="L1109">
        <v>3.3397898000000002E-2</v>
      </c>
      <c r="M1109">
        <v>0</v>
      </c>
      <c r="N1109">
        <v>0</v>
      </c>
      <c r="O1109">
        <v>0</v>
      </c>
      <c r="P1109" s="1" t="s">
        <v>552</v>
      </c>
      <c r="Q1109">
        <v>1</v>
      </c>
      <c r="R1109">
        <v>0</v>
      </c>
      <c r="S1109">
        <v>0</v>
      </c>
      <c r="T1109" s="2">
        <v>45958</v>
      </c>
      <c r="V1109" t="str">
        <f t="shared" si="68"/>
        <v>S-6761765</v>
      </c>
      <c r="W1109">
        <f t="shared" si="71"/>
        <v>0</v>
      </c>
      <c r="X1109" t="str">
        <f t="shared" si="69"/>
        <v/>
      </c>
      <c r="Y1109">
        <f t="shared" si="70"/>
        <v>0</v>
      </c>
    </row>
    <row r="1110" spans="1:25" hidden="1" x14ac:dyDescent="0.4">
      <c r="A1110" t="s">
        <v>20</v>
      </c>
      <c r="B1110">
        <v>6768965</v>
      </c>
      <c r="C1110" t="s">
        <v>2243</v>
      </c>
      <c r="D1110" t="s">
        <v>21</v>
      </c>
      <c r="E1110" t="s">
        <v>22</v>
      </c>
      <c r="K1110">
        <v>3.3397898000000002E-2</v>
      </c>
      <c r="L1110">
        <v>3.3397898000000002E-2</v>
      </c>
      <c r="M1110">
        <v>0</v>
      </c>
      <c r="N1110">
        <v>0</v>
      </c>
      <c r="O1110">
        <v>0</v>
      </c>
      <c r="P1110" s="1" t="s">
        <v>553</v>
      </c>
      <c r="Q1110">
        <v>1</v>
      </c>
      <c r="R1110">
        <v>0</v>
      </c>
      <c r="S1110">
        <v>0</v>
      </c>
      <c r="T1110" s="2">
        <v>45959</v>
      </c>
      <c r="V1110" t="str">
        <f t="shared" si="68"/>
        <v>S-6768965</v>
      </c>
      <c r="W1110">
        <f t="shared" si="71"/>
        <v>0</v>
      </c>
      <c r="X1110" t="str">
        <f t="shared" si="69"/>
        <v/>
      </c>
      <c r="Y1110">
        <f t="shared" si="70"/>
        <v>0</v>
      </c>
    </row>
    <row r="1111" spans="1:25" hidden="1" x14ac:dyDescent="0.4">
      <c r="A1111" t="s">
        <v>20</v>
      </c>
      <c r="B1111">
        <v>6776165</v>
      </c>
      <c r="C1111" t="s">
        <v>2244</v>
      </c>
      <c r="D1111" t="s">
        <v>21</v>
      </c>
      <c r="E1111" t="s">
        <v>22</v>
      </c>
      <c r="K1111">
        <v>3.3397898000000002E-2</v>
      </c>
      <c r="L1111">
        <v>3.3397898000000002E-2</v>
      </c>
      <c r="M1111">
        <v>0</v>
      </c>
      <c r="N1111">
        <v>0</v>
      </c>
      <c r="O1111">
        <v>0</v>
      </c>
      <c r="P1111" s="1" t="s">
        <v>554</v>
      </c>
      <c r="Q1111">
        <v>1</v>
      </c>
      <c r="R1111">
        <v>0</v>
      </c>
      <c r="S1111">
        <v>0</v>
      </c>
      <c r="T1111" s="2">
        <v>45960</v>
      </c>
      <c r="V1111" t="str">
        <f t="shared" si="68"/>
        <v>S-6776165</v>
      </c>
      <c r="W1111">
        <f t="shared" si="71"/>
        <v>0</v>
      </c>
      <c r="X1111" t="str">
        <f t="shared" si="69"/>
        <v/>
      </c>
      <c r="Y1111">
        <f t="shared" si="70"/>
        <v>0</v>
      </c>
    </row>
    <row r="1112" spans="1:25" hidden="1" x14ac:dyDescent="0.4">
      <c r="A1112" t="s">
        <v>20</v>
      </c>
      <c r="B1112">
        <v>6783355</v>
      </c>
      <c r="C1112" t="s">
        <v>2245</v>
      </c>
      <c r="D1112" t="s">
        <v>21</v>
      </c>
      <c r="E1112" t="s">
        <v>22</v>
      </c>
      <c r="K1112">
        <v>3.3397898000000002E-2</v>
      </c>
      <c r="L1112">
        <v>3.3397898000000002E-2</v>
      </c>
      <c r="M1112">
        <v>0</v>
      </c>
      <c r="N1112">
        <v>0</v>
      </c>
      <c r="O1112">
        <v>0</v>
      </c>
      <c r="P1112" s="1" t="s">
        <v>555</v>
      </c>
      <c r="Q1112">
        <v>1</v>
      </c>
      <c r="R1112">
        <v>0</v>
      </c>
      <c r="S1112">
        <v>0</v>
      </c>
      <c r="T1112" s="2">
        <v>45961</v>
      </c>
      <c r="V1112" t="str">
        <f t="shared" si="68"/>
        <v>S-6783355</v>
      </c>
      <c r="W1112">
        <f t="shared" si="71"/>
        <v>0</v>
      </c>
      <c r="X1112" t="str">
        <f t="shared" si="69"/>
        <v/>
      </c>
      <c r="Y1112">
        <f t="shared" si="70"/>
        <v>0</v>
      </c>
    </row>
    <row r="1113" spans="1:25" hidden="1" x14ac:dyDescent="0.4">
      <c r="A1113" t="s">
        <v>20</v>
      </c>
      <c r="B1113">
        <v>6790555</v>
      </c>
      <c r="C1113" t="s">
        <v>2246</v>
      </c>
      <c r="D1113" t="s">
        <v>21</v>
      </c>
      <c r="E1113" t="s">
        <v>22</v>
      </c>
      <c r="K1113">
        <v>3.3397898000000002E-2</v>
      </c>
      <c r="L1113">
        <v>3.3397898000000002E-2</v>
      </c>
      <c r="M1113">
        <v>0</v>
      </c>
      <c r="N1113">
        <v>0</v>
      </c>
      <c r="O1113">
        <v>0</v>
      </c>
      <c r="P1113" s="1" t="s">
        <v>556</v>
      </c>
      <c r="Q1113">
        <v>1</v>
      </c>
      <c r="R1113">
        <v>0</v>
      </c>
      <c r="S1113">
        <v>0</v>
      </c>
      <c r="T1113" s="2">
        <v>45962</v>
      </c>
      <c r="V1113" t="str">
        <f t="shared" si="68"/>
        <v>S-6790555</v>
      </c>
      <c r="W1113">
        <f t="shared" si="71"/>
        <v>0</v>
      </c>
      <c r="X1113" t="str">
        <f t="shared" si="69"/>
        <v/>
      </c>
      <c r="Y1113">
        <f t="shared" si="70"/>
        <v>0</v>
      </c>
    </row>
    <row r="1114" spans="1:25" hidden="1" x14ac:dyDescent="0.4">
      <c r="A1114" t="s">
        <v>20</v>
      </c>
      <c r="B1114">
        <v>6797755</v>
      </c>
      <c r="C1114" t="s">
        <v>2247</v>
      </c>
      <c r="D1114" t="s">
        <v>21</v>
      </c>
      <c r="E1114" t="s">
        <v>22</v>
      </c>
      <c r="K1114">
        <v>3.3397898000000002E-2</v>
      </c>
      <c r="L1114">
        <v>3.3397898000000002E-2</v>
      </c>
      <c r="M1114">
        <v>0</v>
      </c>
      <c r="N1114">
        <v>0</v>
      </c>
      <c r="O1114">
        <v>0</v>
      </c>
      <c r="P1114" s="1" t="s">
        <v>557</v>
      </c>
      <c r="Q1114">
        <v>1</v>
      </c>
      <c r="R1114">
        <v>0</v>
      </c>
      <c r="S1114">
        <v>0</v>
      </c>
      <c r="T1114" s="2">
        <v>45963</v>
      </c>
      <c r="V1114" t="str">
        <f t="shared" si="68"/>
        <v>S-6797755</v>
      </c>
      <c r="W1114">
        <f t="shared" si="71"/>
        <v>0</v>
      </c>
      <c r="X1114" t="str">
        <f t="shared" si="69"/>
        <v/>
      </c>
      <c r="Y1114">
        <f t="shared" si="70"/>
        <v>0</v>
      </c>
    </row>
    <row r="1115" spans="1:25" hidden="1" x14ac:dyDescent="0.4">
      <c r="A1115" t="s">
        <v>20</v>
      </c>
      <c r="B1115">
        <v>6804955</v>
      </c>
      <c r="C1115" t="s">
        <v>2248</v>
      </c>
      <c r="D1115" t="s">
        <v>21</v>
      </c>
      <c r="E1115" t="s">
        <v>22</v>
      </c>
      <c r="K1115">
        <v>3.3397898000000002E-2</v>
      </c>
      <c r="L1115">
        <v>3.3397898000000002E-2</v>
      </c>
      <c r="M1115">
        <v>0</v>
      </c>
      <c r="N1115">
        <v>0</v>
      </c>
      <c r="O1115">
        <v>0</v>
      </c>
      <c r="P1115" s="1" t="s">
        <v>558</v>
      </c>
      <c r="Q1115">
        <v>1</v>
      </c>
      <c r="R1115">
        <v>0</v>
      </c>
      <c r="S1115">
        <v>0</v>
      </c>
      <c r="T1115" s="2">
        <v>45964</v>
      </c>
      <c r="V1115" t="str">
        <f t="shared" si="68"/>
        <v>S-6804955</v>
      </c>
      <c r="W1115">
        <f t="shared" si="71"/>
        <v>0</v>
      </c>
      <c r="X1115" t="str">
        <f t="shared" si="69"/>
        <v/>
      </c>
      <c r="Y1115">
        <f t="shared" si="70"/>
        <v>0</v>
      </c>
    </row>
    <row r="1116" spans="1:25" hidden="1" x14ac:dyDescent="0.4">
      <c r="A1116" t="s">
        <v>20</v>
      </c>
      <c r="B1116">
        <v>6812152</v>
      </c>
      <c r="C1116" t="s">
        <v>2249</v>
      </c>
      <c r="D1116" t="s">
        <v>21</v>
      </c>
      <c r="E1116" t="s">
        <v>22</v>
      </c>
      <c r="K1116">
        <v>3.3397898000000002E-2</v>
      </c>
      <c r="L1116">
        <v>3.3397898000000002E-2</v>
      </c>
      <c r="M1116">
        <v>0</v>
      </c>
      <c r="N1116">
        <v>0</v>
      </c>
      <c r="O1116">
        <v>0</v>
      </c>
      <c r="P1116" s="1" t="s">
        <v>559</v>
      </c>
      <c r="Q1116">
        <v>1</v>
      </c>
      <c r="R1116">
        <v>0</v>
      </c>
      <c r="S1116">
        <v>0</v>
      </c>
      <c r="T1116" s="2">
        <v>45965</v>
      </c>
      <c r="V1116" t="str">
        <f t="shared" si="68"/>
        <v>S-6812152</v>
      </c>
      <c r="W1116">
        <f t="shared" si="71"/>
        <v>0</v>
      </c>
      <c r="X1116" t="str">
        <f t="shared" si="69"/>
        <v/>
      </c>
      <c r="Y1116">
        <f t="shared" si="70"/>
        <v>0</v>
      </c>
    </row>
    <row r="1117" spans="1:25" hidden="1" x14ac:dyDescent="0.4">
      <c r="A1117" t="s">
        <v>20</v>
      </c>
      <c r="B1117">
        <v>6819351</v>
      </c>
      <c r="C1117" t="s">
        <v>2250</v>
      </c>
      <c r="D1117" t="s">
        <v>21</v>
      </c>
      <c r="E1117" t="s">
        <v>22</v>
      </c>
      <c r="K1117">
        <v>3.3397898000000002E-2</v>
      </c>
      <c r="L1117">
        <v>3.3397898000000002E-2</v>
      </c>
      <c r="M1117">
        <v>0</v>
      </c>
      <c r="N1117">
        <v>0</v>
      </c>
      <c r="O1117">
        <v>0</v>
      </c>
      <c r="P1117" s="1" t="s">
        <v>560</v>
      </c>
      <c r="Q1117">
        <v>1</v>
      </c>
      <c r="R1117">
        <v>0</v>
      </c>
      <c r="S1117">
        <v>0</v>
      </c>
      <c r="T1117" s="2">
        <v>45966</v>
      </c>
      <c r="V1117" t="str">
        <f t="shared" si="68"/>
        <v>S-6819351</v>
      </c>
      <c r="W1117">
        <f t="shared" si="71"/>
        <v>0</v>
      </c>
      <c r="X1117" t="str">
        <f t="shared" si="69"/>
        <v/>
      </c>
      <c r="Y1117">
        <f t="shared" si="70"/>
        <v>0</v>
      </c>
    </row>
    <row r="1118" spans="1:25" hidden="1" x14ac:dyDescent="0.4">
      <c r="A1118" t="s">
        <v>20</v>
      </c>
      <c r="B1118">
        <v>6826549</v>
      </c>
      <c r="C1118" t="s">
        <v>2251</v>
      </c>
      <c r="D1118" t="s">
        <v>21</v>
      </c>
      <c r="E1118" t="s">
        <v>22</v>
      </c>
      <c r="K1118">
        <v>3.3397898000000002E-2</v>
      </c>
      <c r="L1118">
        <v>3.3397898000000002E-2</v>
      </c>
      <c r="M1118">
        <v>0</v>
      </c>
      <c r="N1118">
        <v>0</v>
      </c>
      <c r="O1118">
        <v>0</v>
      </c>
      <c r="P1118" s="1" t="s">
        <v>561</v>
      </c>
      <c r="Q1118">
        <v>1</v>
      </c>
      <c r="R1118">
        <v>0</v>
      </c>
      <c r="S1118">
        <v>0</v>
      </c>
      <c r="T1118" s="2">
        <v>45967</v>
      </c>
      <c r="V1118" t="str">
        <f t="shared" si="68"/>
        <v>S-6826549</v>
      </c>
      <c r="W1118">
        <f t="shared" si="71"/>
        <v>0</v>
      </c>
      <c r="X1118" t="str">
        <f t="shared" si="69"/>
        <v/>
      </c>
      <c r="Y1118">
        <f t="shared" si="70"/>
        <v>0</v>
      </c>
    </row>
    <row r="1119" spans="1:25" hidden="1" x14ac:dyDescent="0.4">
      <c r="A1119" t="s">
        <v>20</v>
      </c>
      <c r="B1119">
        <v>6833735</v>
      </c>
      <c r="C1119" t="s">
        <v>2252</v>
      </c>
      <c r="D1119" t="s">
        <v>21</v>
      </c>
      <c r="E1119" t="s">
        <v>22</v>
      </c>
      <c r="K1119">
        <v>3.3397898000000002E-2</v>
      </c>
      <c r="L1119">
        <v>3.3397898000000002E-2</v>
      </c>
      <c r="M1119">
        <v>0</v>
      </c>
      <c r="N1119">
        <v>0</v>
      </c>
      <c r="O1119">
        <v>0</v>
      </c>
      <c r="P1119" s="1" t="s">
        <v>562</v>
      </c>
      <c r="Q1119">
        <v>1</v>
      </c>
      <c r="R1119">
        <v>0</v>
      </c>
      <c r="S1119">
        <v>0</v>
      </c>
      <c r="T1119" s="2">
        <v>45968</v>
      </c>
      <c r="V1119" t="str">
        <f t="shared" si="68"/>
        <v>S-6833735</v>
      </c>
      <c r="W1119">
        <f t="shared" si="71"/>
        <v>0</v>
      </c>
      <c r="X1119" t="str">
        <f t="shared" si="69"/>
        <v/>
      </c>
      <c r="Y1119">
        <f t="shared" si="70"/>
        <v>0</v>
      </c>
    </row>
    <row r="1120" spans="1:25" hidden="1" x14ac:dyDescent="0.4">
      <c r="A1120" t="s">
        <v>20</v>
      </c>
      <c r="B1120">
        <v>6840935</v>
      </c>
      <c r="C1120" t="s">
        <v>2253</v>
      </c>
      <c r="D1120" t="s">
        <v>21</v>
      </c>
      <c r="E1120" t="s">
        <v>22</v>
      </c>
      <c r="K1120">
        <v>3.3397898000000002E-2</v>
      </c>
      <c r="L1120">
        <v>3.3397898000000002E-2</v>
      </c>
      <c r="M1120">
        <v>0</v>
      </c>
      <c r="N1120">
        <v>0</v>
      </c>
      <c r="O1120">
        <v>0</v>
      </c>
      <c r="P1120" s="1" t="s">
        <v>563</v>
      </c>
      <c r="Q1120">
        <v>1</v>
      </c>
      <c r="R1120">
        <v>0</v>
      </c>
      <c r="S1120">
        <v>0</v>
      </c>
      <c r="T1120" s="2">
        <v>45969</v>
      </c>
      <c r="V1120" t="str">
        <f t="shared" si="68"/>
        <v>S-6840935</v>
      </c>
      <c r="W1120">
        <f t="shared" si="71"/>
        <v>0</v>
      </c>
      <c r="X1120" t="str">
        <f t="shared" si="69"/>
        <v/>
      </c>
      <c r="Y1120">
        <f t="shared" si="70"/>
        <v>0</v>
      </c>
    </row>
    <row r="1121" spans="1:25" hidden="1" x14ac:dyDescent="0.4">
      <c r="A1121" t="s">
        <v>20</v>
      </c>
      <c r="B1121">
        <v>6848127</v>
      </c>
      <c r="C1121" t="s">
        <v>2254</v>
      </c>
      <c r="D1121" t="s">
        <v>21</v>
      </c>
      <c r="E1121" t="s">
        <v>22</v>
      </c>
      <c r="K1121">
        <v>3.3397898000000002E-2</v>
      </c>
      <c r="L1121">
        <v>3.3397898000000002E-2</v>
      </c>
      <c r="M1121">
        <v>0</v>
      </c>
      <c r="N1121">
        <v>0</v>
      </c>
      <c r="O1121">
        <v>0</v>
      </c>
      <c r="P1121" s="1" t="s">
        <v>564</v>
      </c>
      <c r="Q1121">
        <v>1</v>
      </c>
      <c r="R1121">
        <v>0</v>
      </c>
      <c r="S1121">
        <v>0</v>
      </c>
      <c r="T1121" s="2">
        <v>45970</v>
      </c>
      <c r="V1121" t="str">
        <f t="shared" si="68"/>
        <v>S-6848127</v>
      </c>
      <c r="W1121">
        <f t="shared" si="71"/>
        <v>0</v>
      </c>
      <c r="X1121" t="str">
        <f t="shared" si="69"/>
        <v/>
      </c>
      <c r="Y1121">
        <f t="shared" si="70"/>
        <v>0</v>
      </c>
    </row>
    <row r="1122" spans="1:25" hidden="1" x14ac:dyDescent="0.4">
      <c r="A1122" t="s">
        <v>20</v>
      </c>
      <c r="B1122">
        <v>6855327</v>
      </c>
      <c r="C1122" t="s">
        <v>2255</v>
      </c>
      <c r="D1122" t="s">
        <v>21</v>
      </c>
      <c r="E1122" t="s">
        <v>22</v>
      </c>
      <c r="K1122">
        <v>3.3397898000000002E-2</v>
      </c>
      <c r="L1122">
        <v>3.3397898000000002E-2</v>
      </c>
      <c r="M1122">
        <v>0</v>
      </c>
      <c r="N1122">
        <v>0</v>
      </c>
      <c r="O1122">
        <v>0</v>
      </c>
      <c r="P1122">
        <v>387.04846245648201</v>
      </c>
      <c r="Q1122">
        <v>1</v>
      </c>
      <c r="R1122">
        <v>0</v>
      </c>
      <c r="S1122">
        <v>0</v>
      </c>
      <c r="T1122" s="2">
        <v>45971</v>
      </c>
      <c r="V1122" t="str">
        <f t="shared" si="68"/>
        <v>S-6855327</v>
      </c>
      <c r="W1122">
        <f t="shared" si="71"/>
        <v>0</v>
      </c>
      <c r="X1122" t="str">
        <f t="shared" si="69"/>
        <v/>
      </c>
      <c r="Y1122">
        <f t="shared" si="70"/>
        <v>0</v>
      </c>
    </row>
    <row r="1123" spans="1:25" hidden="1" x14ac:dyDescent="0.4">
      <c r="A1123" t="s">
        <v>20</v>
      </c>
      <c r="B1123">
        <v>6862527</v>
      </c>
      <c r="C1123" t="s">
        <v>2256</v>
      </c>
      <c r="D1123" t="s">
        <v>21</v>
      </c>
      <c r="E1123" t="s">
        <v>22</v>
      </c>
      <c r="K1123">
        <v>3.3397898000000002E-2</v>
      </c>
      <c r="L1123">
        <v>3.3397898000000002E-2</v>
      </c>
      <c r="M1123">
        <v>0</v>
      </c>
      <c r="N1123">
        <v>0</v>
      </c>
      <c r="O1123">
        <v>0</v>
      </c>
      <c r="P1123" s="1" t="s">
        <v>565</v>
      </c>
      <c r="Q1123">
        <v>1</v>
      </c>
      <c r="R1123">
        <v>0</v>
      </c>
      <c r="S1123">
        <v>0</v>
      </c>
      <c r="T1123" s="2">
        <v>45972</v>
      </c>
      <c r="V1123" t="str">
        <f t="shared" si="68"/>
        <v>S-6862527</v>
      </c>
      <c r="W1123">
        <f t="shared" si="71"/>
        <v>0</v>
      </c>
      <c r="X1123" t="str">
        <f t="shared" si="69"/>
        <v/>
      </c>
      <c r="Y1123">
        <f t="shared" si="70"/>
        <v>0</v>
      </c>
    </row>
    <row r="1124" spans="1:25" hidden="1" x14ac:dyDescent="0.4">
      <c r="A1124" t="s">
        <v>20</v>
      </c>
      <c r="B1124">
        <v>6869726</v>
      </c>
      <c r="C1124" t="s">
        <v>2257</v>
      </c>
      <c r="D1124" t="s">
        <v>21</v>
      </c>
      <c r="E1124" t="s">
        <v>22</v>
      </c>
      <c r="K1124">
        <v>3.3397898000000002E-2</v>
      </c>
      <c r="L1124">
        <v>3.3397898000000002E-2</v>
      </c>
      <c r="M1124">
        <v>0</v>
      </c>
      <c r="N1124">
        <v>0</v>
      </c>
      <c r="O1124">
        <v>0</v>
      </c>
      <c r="P1124" s="1" t="s">
        <v>566</v>
      </c>
      <c r="Q1124">
        <v>1</v>
      </c>
      <c r="R1124">
        <v>0</v>
      </c>
      <c r="S1124">
        <v>0</v>
      </c>
      <c r="T1124" s="2">
        <v>45973</v>
      </c>
      <c r="V1124" t="str">
        <f t="shared" si="68"/>
        <v>S-6869726</v>
      </c>
      <c r="W1124">
        <f t="shared" si="71"/>
        <v>0</v>
      </c>
      <c r="X1124" t="str">
        <f t="shared" si="69"/>
        <v/>
      </c>
      <c r="Y1124">
        <f t="shared" si="70"/>
        <v>0</v>
      </c>
    </row>
    <row r="1125" spans="1:25" hidden="1" x14ac:dyDescent="0.4">
      <c r="A1125" t="s">
        <v>20</v>
      </c>
      <c r="B1125">
        <v>6876926</v>
      </c>
      <c r="C1125" t="s">
        <v>2258</v>
      </c>
      <c r="D1125" t="s">
        <v>21</v>
      </c>
      <c r="E1125" t="s">
        <v>22</v>
      </c>
      <c r="K1125">
        <v>3.3397898000000002E-2</v>
      </c>
      <c r="L1125">
        <v>3.3397898000000002E-2</v>
      </c>
      <c r="M1125">
        <v>0</v>
      </c>
      <c r="N1125">
        <v>0</v>
      </c>
      <c r="O1125">
        <v>0</v>
      </c>
      <c r="P1125" s="1" t="s">
        <v>567</v>
      </c>
      <c r="Q1125">
        <v>1</v>
      </c>
      <c r="R1125">
        <v>0</v>
      </c>
      <c r="S1125">
        <v>0</v>
      </c>
      <c r="T1125" s="2">
        <v>45974</v>
      </c>
      <c r="V1125" t="str">
        <f t="shared" si="68"/>
        <v>S-6876926</v>
      </c>
      <c r="W1125">
        <f t="shared" si="71"/>
        <v>0</v>
      </c>
      <c r="X1125" t="str">
        <f t="shared" si="69"/>
        <v/>
      </c>
      <c r="Y1125">
        <f t="shared" si="70"/>
        <v>0</v>
      </c>
    </row>
    <row r="1126" spans="1:25" hidden="1" x14ac:dyDescent="0.4">
      <c r="A1126" t="s">
        <v>20</v>
      </c>
      <c r="B1126">
        <v>6884125</v>
      </c>
      <c r="C1126" t="s">
        <v>2259</v>
      </c>
      <c r="D1126" t="s">
        <v>21</v>
      </c>
      <c r="E1126" t="s">
        <v>22</v>
      </c>
      <c r="K1126">
        <v>3.3397898000000002E-2</v>
      </c>
      <c r="L1126">
        <v>3.3397898000000002E-2</v>
      </c>
      <c r="M1126">
        <v>0</v>
      </c>
      <c r="N1126">
        <v>0</v>
      </c>
      <c r="O1126">
        <v>0</v>
      </c>
      <c r="P1126" s="1" t="s">
        <v>568</v>
      </c>
      <c r="Q1126">
        <v>1</v>
      </c>
      <c r="R1126">
        <v>0</v>
      </c>
      <c r="S1126">
        <v>0</v>
      </c>
      <c r="T1126" s="2">
        <v>45975</v>
      </c>
      <c r="V1126" t="str">
        <f t="shared" si="68"/>
        <v>S-6884125</v>
      </c>
      <c r="W1126">
        <f t="shared" si="71"/>
        <v>0</v>
      </c>
      <c r="X1126" t="str">
        <f t="shared" si="69"/>
        <v/>
      </c>
      <c r="Y1126">
        <f t="shared" si="70"/>
        <v>0</v>
      </c>
    </row>
    <row r="1127" spans="1:25" hidden="1" x14ac:dyDescent="0.4">
      <c r="A1127" t="s">
        <v>20</v>
      </c>
      <c r="B1127">
        <v>6891325</v>
      </c>
      <c r="C1127" t="s">
        <v>2260</v>
      </c>
      <c r="D1127" t="s">
        <v>21</v>
      </c>
      <c r="E1127" t="s">
        <v>22</v>
      </c>
      <c r="K1127">
        <v>3.3397898000000002E-2</v>
      </c>
      <c r="L1127">
        <v>3.3397898000000002E-2</v>
      </c>
      <c r="M1127">
        <v>0</v>
      </c>
      <c r="N1127">
        <v>0</v>
      </c>
      <c r="O1127">
        <v>0</v>
      </c>
      <c r="P1127" s="1" t="s">
        <v>569</v>
      </c>
      <c r="Q1127">
        <v>1</v>
      </c>
      <c r="R1127">
        <v>0</v>
      </c>
      <c r="S1127">
        <v>0</v>
      </c>
      <c r="T1127" s="2">
        <v>45976</v>
      </c>
      <c r="V1127" t="str">
        <f t="shared" si="68"/>
        <v>S-6891325</v>
      </c>
      <c r="W1127">
        <f t="shared" si="71"/>
        <v>0</v>
      </c>
      <c r="X1127" t="str">
        <f t="shared" si="69"/>
        <v/>
      </c>
      <c r="Y1127">
        <f t="shared" si="70"/>
        <v>0</v>
      </c>
    </row>
    <row r="1128" spans="1:25" hidden="1" x14ac:dyDescent="0.4">
      <c r="A1128" t="s">
        <v>20</v>
      </c>
      <c r="B1128">
        <v>6898524</v>
      </c>
      <c r="C1128" t="s">
        <v>2261</v>
      </c>
      <c r="D1128" t="s">
        <v>21</v>
      </c>
      <c r="E1128" t="s">
        <v>22</v>
      </c>
      <c r="K1128">
        <v>3.3397898000000002E-2</v>
      </c>
      <c r="L1128">
        <v>3.3397898000000002E-2</v>
      </c>
      <c r="M1128">
        <v>0</v>
      </c>
      <c r="N1128">
        <v>0</v>
      </c>
      <c r="O1128">
        <v>0</v>
      </c>
      <c r="P1128" s="1" t="s">
        <v>570</v>
      </c>
      <c r="Q1128">
        <v>1</v>
      </c>
      <c r="R1128">
        <v>0</v>
      </c>
      <c r="S1128">
        <v>0</v>
      </c>
      <c r="T1128" s="2">
        <v>45977</v>
      </c>
      <c r="V1128" t="str">
        <f t="shared" si="68"/>
        <v>S-6898524</v>
      </c>
      <c r="W1128">
        <f t="shared" si="71"/>
        <v>0</v>
      </c>
      <c r="X1128" t="str">
        <f t="shared" si="69"/>
        <v/>
      </c>
      <c r="Y1128">
        <f t="shared" si="70"/>
        <v>0</v>
      </c>
    </row>
    <row r="1129" spans="1:25" hidden="1" x14ac:dyDescent="0.4">
      <c r="A1129" t="s">
        <v>20</v>
      </c>
      <c r="B1129">
        <v>6905723</v>
      </c>
      <c r="C1129" t="s">
        <v>2262</v>
      </c>
      <c r="D1129" t="s">
        <v>21</v>
      </c>
      <c r="E1129" t="s">
        <v>22</v>
      </c>
      <c r="K1129">
        <v>3.3397898000000002E-2</v>
      </c>
      <c r="L1129">
        <v>3.3397898000000002E-2</v>
      </c>
      <c r="M1129">
        <v>0</v>
      </c>
      <c r="N1129">
        <v>0</v>
      </c>
      <c r="O1129">
        <v>0</v>
      </c>
      <c r="P1129" s="1" t="s">
        <v>571</v>
      </c>
      <c r="Q1129">
        <v>1</v>
      </c>
      <c r="R1129">
        <v>0</v>
      </c>
      <c r="S1129">
        <v>0</v>
      </c>
      <c r="T1129" s="2">
        <v>45978</v>
      </c>
      <c r="V1129" t="str">
        <f t="shared" si="68"/>
        <v>S-6905723</v>
      </c>
      <c r="W1129">
        <f t="shared" si="71"/>
        <v>0</v>
      </c>
      <c r="X1129" t="str">
        <f t="shared" si="69"/>
        <v/>
      </c>
      <c r="Y1129">
        <f t="shared" si="70"/>
        <v>0</v>
      </c>
    </row>
    <row r="1130" spans="1:25" hidden="1" x14ac:dyDescent="0.4">
      <c r="A1130" t="s">
        <v>20</v>
      </c>
      <c r="B1130">
        <v>6912923</v>
      </c>
      <c r="C1130" t="s">
        <v>2263</v>
      </c>
      <c r="D1130" t="s">
        <v>21</v>
      </c>
      <c r="E1130" t="s">
        <v>22</v>
      </c>
      <c r="K1130">
        <v>3.3397898000000002E-2</v>
      </c>
      <c r="L1130">
        <v>3.3397898000000002E-2</v>
      </c>
      <c r="M1130">
        <v>0</v>
      </c>
      <c r="N1130">
        <v>0</v>
      </c>
      <c r="O1130">
        <v>0</v>
      </c>
      <c r="P1130" s="1" t="s">
        <v>572</v>
      </c>
      <c r="Q1130">
        <v>1</v>
      </c>
      <c r="R1130">
        <v>0</v>
      </c>
      <c r="S1130">
        <v>0</v>
      </c>
      <c r="T1130" s="2">
        <v>45979</v>
      </c>
      <c r="V1130" t="str">
        <f t="shared" si="68"/>
        <v>S-6912923</v>
      </c>
      <c r="W1130">
        <f t="shared" si="71"/>
        <v>0</v>
      </c>
      <c r="X1130" t="str">
        <f t="shared" si="69"/>
        <v/>
      </c>
      <c r="Y1130">
        <f t="shared" si="70"/>
        <v>0</v>
      </c>
    </row>
    <row r="1131" spans="1:25" hidden="1" x14ac:dyDescent="0.4">
      <c r="A1131" t="s">
        <v>20</v>
      </c>
      <c r="B1131">
        <v>6920112</v>
      </c>
      <c r="C1131" t="s">
        <v>2264</v>
      </c>
      <c r="D1131" t="s">
        <v>21</v>
      </c>
      <c r="E1131" t="s">
        <v>22</v>
      </c>
      <c r="K1131">
        <v>3.3397898000000002E-2</v>
      </c>
      <c r="L1131">
        <v>3.3397898000000002E-2</v>
      </c>
      <c r="M1131">
        <v>0</v>
      </c>
      <c r="N1131">
        <v>0</v>
      </c>
      <c r="O1131">
        <v>0</v>
      </c>
      <c r="P1131" s="1" t="s">
        <v>573</v>
      </c>
      <c r="Q1131">
        <v>1</v>
      </c>
      <c r="R1131">
        <v>0</v>
      </c>
      <c r="S1131">
        <v>0</v>
      </c>
      <c r="T1131" s="2">
        <v>45980</v>
      </c>
      <c r="V1131" t="str">
        <f t="shared" si="68"/>
        <v>S-6920112</v>
      </c>
      <c r="W1131">
        <f t="shared" si="71"/>
        <v>0</v>
      </c>
      <c r="X1131" t="str">
        <f t="shared" si="69"/>
        <v/>
      </c>
      <c r="Y1131">
        <f t="shared" si="70"/>
        <v>0</v>
      </c>
    </row>
    <row r="1132" spans="1:25" hidden="1" x14ac:dyDescent="0.4">
      <c r="A1132" t="s">
        <v>20</v>
      </c>
      <c r="B1132">
        <v>6927311</v>
      </c>
      <c r="C1132" t="s">
        <v>2265</v>
      </c>
      <c r="D1132" t="s">
        <v>21</v>
      </c>
      <c r="E1132" t="s">
        <v>22</v>
      </c>
      <c r="K1132">
        <v>3.3397898000000002E-2</v>
      </c>
      <c r="L1132">
        <v>3.3397898000000002E-2</v>
      </c>
      <c r="M1132">
        <v>0</v>
      </c>
      <c r="N1132">
        <v>0</v>
      </c>
      <c r="O1132">
        <v>0</v>
      </c>
      <c r="P1132" s="1" t="s">
        <v>574</v>
      </c>
      <c r="Q1132">
        <v>1</v>
      </c>
      <c r="R1132">
        <v>0</v>
      </c>
      <c r="S1132">
        <v>0</v>
      </c>
      <c r="T1132" s="2">
        <v>45981</v>
      </c>
      <c r="V1132" t="str">
        <f t="shared" si="68"/>
        <v>S-6927311</v>
      </c>
      <c r="W1132">
        <f t="shared" si="71"/>
        <v>0</v>
      </c>
      <c r="X1132" t="str">
        <f t="shared" si="69"/>
        <v/>
      </c>
      <c r="Y1132">
        <f t="shared" si="70"/>
        <v>0</v>
      </c>
    </row>
    <row r="1133" spans="1:25" hidden="1" x14ac:dyDescent="0.4">
      <c r="A1133" t="s">
        <v>20</v>
      </c>
      <c r="B1133">
        <v>6934510</v>
      </c>
      <c r="C1133" t="s">
        <v>2266</v>
      </c>
      <c r="D1133" t="s">
        <v>21</v>
      </c>
      <c r="E1133" t="s">
        <v>22</v>
      </c>
      <c r="K1133">
        <v>3.3397898000000002E-2</v>
      </c>
      <c r="L1133">
        <v>3.3397898000000002E-2</v>
      </c>
      <c r="M1133">
        <v>0</v>
      </c>
      <c r="N1133">
        <v>0</v>
      </c>
      <c r="O1133">
        <v>0</v>
      </c>
      <c r="P1133" s="1" t="s">
        <v>575</v>
      </c>
      <c r="Q1133">
        <v>1</v>
      </c>
      <c r="R1133">
        <v>0</v>
      </c>
      <c r="S1133">
        <v>0</v>
      </c>
      <c r="T1133" s="2">
        <v>45982</v>
      </c>
      <c r="V1133" t="str">
        <f t="shared" si="68"/>
        <v>S-6934510</v>
      </c>
      <c r="W1133">
        <f t="shared" si="71"/>
        <v>0</v>
      </c>
      <c r="X1133" t="str">
        <f t="shared" si="69"/>
        <v/>
      </c>
      <c r="Y1133">
        <f t="shared" si="70"/>
        <v>0</v>
      </c>
    </row>
    <row r="1134" spans="1:25" hidden="1" x14ac:dyDescent="0.4">
      <c r="A1134" t="s">
        <v>20</v>
      </c>
      <c r="B1134">
        <v>6941710</v>
      </c>
      <c r="C1134" t="s">
        <v>2267</v>
      </c>
      <c r="D1134" t="s">
        <v>21</v>
      </c>
      <c r="E1134" t="s">
        <v>22</v>
      </c>
      <c r="K1134">
        <v>3.3397898000000002E-2</v>
      </c>
      <c r="L1134">
        <v>3.3397898000000002E-2</v>
      </c>
      <c r="M1134">
        <v>0</v>
      </c>
      <c r="N1134">
        <v>0</v>
      </c>
      <c r="O1134">
        <v>0</v>
      </c>
      <c r="P1134" s="1" t="s">
        <v>576</v>
      </c>
      <c r="Q1134">
        <v>1</v>
      </c>
      <c r="R1134">
        <v>0</v>
      </c>
      <c r="S1134">
        <v>0</v>
      </c>
      <c r="T1134" s="2">
        <v>45983</v>
      </c>
      <c r="V1134" t="str">
        <f t="shared" si="68"/>
        <v>S-6941710</v>
      </c>
      <c r="W1134">
        <f t="shared" si="71"/>
        <v>0</v>
      </c>
      <c r="X1134" t="str">
        <f t="shared" si="69"/>
        <v/>
      </c>
      <c r="Y1134">
        <f t="shared" si="70"/>
        <v>0</v>
      </c>
    </row>
    <row r="1135" spans="1:25" hidden="1" x14ac:dyDescent="0.4">
      <c r="A1135" t="s">
        <v>20</v>
      </c>
      <c r="B1135">
        <v>6948910</v>
      </c>
      <c r="C1135" t="s">
        <v>2268</v>
      </c>
      <c r="D1135" t="s">
        <v>21</v>
      </c>
      <c r="E1135" t="s">
        <v>22</v>
      </c>
      <c r="K1135">
        <v>3.3397898000000002E-2</v>
      </c>
      <c r="L1135">
        <v>3.3397898000000002E-2</v>
      </c>
      <c r="M1135">
        <v>0</v>
      </c>
      <c r="N1135">
        <v>0</v>
      </c>
      <c r="O1135">
        <v>0</v>
      </c>
      <c r="P1135">
        <v>296.677988958757</v>
      </c>
      <c r="Q1135">
        <v>1</v>
      </c>
      <c r="R1135">
        <v>0</v>
      </c>
      <c r="S1135">
        <v>0</v>
      </c>
      <c r="T1135" s="2">
        <v>45984</v>
      </c>
      <c r="V1135" t="str">
        <f t="shared" si="68"/>
        <v>S-6948910</v>
      </c>
      <c r="W1135">
        <f t="shared" si="71"/>
        <v>0</v>
      </c>
      <c r="X1135" t="str">
        <f t="shared" si="69"/>
        <v/>
      </c>
      <c r="Y1135">
        <f t="shared" si="70"/>
        <v>0</v>
      </c>
    </row>
    <row r="1136" spans="1:25" hidden="1" x14ac:dyDescent="0.4">
      <c r="A1136" t="s">
        <v>20</v>
      </c>
      <c r="B1136">
        <v>6956109</v>
      </c>
      <c r="C1136" t="s">
        <v>2269</v>
      </c>
      <c r="D1136" t="s">
        <v>21</v>
      </c>
      <c r="E1136" t="s">
        <v>22</v>
      </c>
      <c r="K1136">
        <v>3.3397898000000002E-2</v>
      </c>
      <c r="L1136">
        <v>3.3397898000000002E-2</v>
      </c>
      <c r="M1136">
        <v>0</v>
      </c>
      <c r="N1136">
        <v>0</v>
      </c>
      <c r="O1136">
        <v>0</v>
      </c>
      <c r="P1136" s="1" t="s">
        <v>577</v>
      </c>
      <c r="Q1136">
        <v>1</v>
      </c>
      <c r="R1136">
        <v>0</v>
      </c>
      <c r="S1136">
        <v>0</v>
      </c>
      <c r="T1136" s="2">
        <v>45985</v>
      </c>
      <c r="V1136" t="str">
        <f t="shared" si="68"/>
        <v>S-6956109</v>
      </c>
      <c r="W1136">
        <f t="shared" si="71"/>
        <v>0</v>
      </c>
      <c r="X1136" t="str">
        <f t="shared" si="69"/>
        <v/>
      </c>
      <c r="Y1136">
        <f t="shared" si="70"/>
        <v>0</v>
      </c>
    </row>
    <row r="1137" spans="1:25" hidden="1" x14ac:dyDescent="0.4">
      <c r="A1137" t="s">
        <v>20</v>
      </c>
      <c r="B1137">
        <v>6963299</v>
      </c>
      <c r="C1137" t="s">
        <v>2270</v>
      </c>
      <c r="D1137" t="s">
        <v>21</v>
      </c>
      <c r="E1137" t="s">
        <v>22</v>
      </c>
      <c r="K1137">
        <v>3.3397898000000002E-2</v>
      </c>
      <c r="L1137">
        <v>3.3397898000000002E-2</v>
      </c>
      <c r="M1137">
        <v>0</v>
      </c>
      <c r="N1137">
        <v>0</v>
      </c>
      <c r="O1137">
        <v>0</v>
      </c>
      <c r="P1137" s="1" t="s">
        <v>578</v>
      </c>
      <c r="Q1137">
        <v>1</v>
      </c>
      <c r="R1137">
        <v>0</v>
      </c>
      <c r="S1137">
        <v>0</v>
      </c>
      <c r="T1137" s="2">
        <v>45986</v>
      </c>
      <c r="V1137" t="str">
        <f t="shared" si="68"/>
        <v>S-6963299</v>
      </c>
      <c r="W1137">
        <f t="shared" si="71"/>
        <v>0</v>
      </c>
      <c r="X1137" t="str">
        <f t="shared" si="69"/>
        <v/>
      </c>
      <c r="Y1137">
        <f t="shared" si="70"/>
        <v>0</v>
      </c>
    </row>
    <row r="1138" spans="1:25" hidden="1" x14ac:dyDescent="0.4">
      <c r="A1138" t="s">
        <v>20</v>
      </c>
      <c r="B1138">
        <v>6970487</v>
      </c>
      <c r="C1138" t="s">
        <v>2271</v>
      </c>
      <c r="D1138" t="s">
        <v>21</v>
      </c>
      <c r="E1138" t="s">
        <v>22</v>
      </c>
      <c r="K1138">
        <v>3.3397898000000002E-2</v>
      </c>
      <c r="L1138">
        <v>3.3397898000000002E-2</v>
      </c>
      <c r="M1138">
        <v>0</v>
      </c>
      <c r="N1138">
        <v>0</v>
      </c>
      <c r="O1138">
        <v>0</v>
      </c>
      <c r="P1138" s="1" t="s">
        <v>579</v>
      </c>
      <c r="Q1138">
        <v>1</v>
      </c>
      <c r="R1138">
        <v>0</v>
      </c>
      <c r="S1138">
        <v>0</v>
      </c>
      <c r="T1138" s="2">
        <v>45987</v>
      </c>
      <c r="V1138" t="str">
        <f t="shared" si="68"/>
        <v>S-6970487</v>
      </c>
      <c r="W1138">
        <f t="shared" si="71"/>
        <v>0</v>
      </c>
      <c r="X1138" t="str">
        <f t="shared" si="69"/>
        <v/>
      </c>
      <c r="Y1138">
        <f t="shared" si="70"/>
        <v>0</v>
      </c>
    </row>
    <row r="1139" spans="1:25" hidden="1" x14ac:dyDescent="0.4">
      <c r="A1139" t="s">
        <v>20</v>
      </c>
      <c r="B1139">
        <v>6977684</v>
      </c>
      <c r="C1139" t="s">
        <v>2272</v>
      </c>
      <c r="D1139" t="s">
        <v>21</v>
      </c>
      <c r="E1139" t="s">
        <v>22</v>
      </c>
      <c r="K1139">
        <v>3.3397898000000002E-2</v>
      </c>
      <c r="L1139">
        <v>3.3397898000000002E-2</v>
      </c>
      <c r="M1139">
        <v>0</v>
      </c>
      <c r="N1139">
        <v>0</v>
      </c>
      <c r="O1139">
        <v>0</v>
      </c>
      <c r="P1139" s="1" t="s">
        <v>580</v>
      </c>
      <c r="Q1139">
        <v>1</v>
      </c>
      <c r="R1139">
        <v>0</v>
      </c>
      <c r="S1139">
        <v>0</v>
      </c>
      <c r="T1139" s="2">
        <v>45988</v>
      </c>
      <c r="V1139" t="str">
        <f t="shared" si="68"/>
        <v>S-6977684</v>
      </c>
      <c r="W1139">
        <f t="shared" si="71"/>
        <v>0</v>
      </c>
      <c r="X1139" t="str">
        <f t="shared" si="69"/>
        <v/>
      </c>
      <c r="Y1139">
        <f t="shared" si="70"/>
        <v>0</v>
      </c>
    </row>
    <row r="1140" spans="1:25" hidden="1" x14ac:dyDescent="0.4">
      <c r="A1140" t="s">
        <v>20</v>
      </c>
      <c r="B1140">
        <v>6984879</v>
      </c>
      <c r="C1140" t="s">
        <v>2273</v>
      </c>
      <c r="D1140" t="s">
        <v>21</v>
      </c>
      <c r="E1140" t="s">
        <v>22</v>
      </c>
      <c r="K1140">
        <v>3.3397898000000002E-2</v>
      </c>
      <c r="L1140">
        <v>3.3397898000000002E-2</v>
      </c>
      <c r="M1140">
        <v>0</v>
      </c>
      <c r="N1140">
        <v>0</v>
      </c>
      <c r="O1140">
        <v>0</v>
      </c>
      <c r="P1140" s="1" t="s">
        <v>581</v>
      </c>
      <c r="Q1140">
        <v>1</v>
      </c>
      <c r="R1140">
        <v>0</v>
      </c>
      <c r="S1140">
        <v>0</v>
      </c>
      <c r="T1140" s="2">
        <v>45989</v>
      </c>
      <c r="V1140" t="str">
        <f t="shared" si="68"/>
        <v>S-6984879</v>
      </c>
      <c r="W1140">
        <f t="shared" si="71"/>
        <v>0</v>
      </c>
      <c r="X1140" t="str">
        <f t="shared" si="69"/>
        <v/>
      </c>
      <c r="Y1140">
        <f t="shared" si="70"/>
        <v>0</v>
      </c>
    </row>
    <row r="1141" spans="1:25" hidden="1" x14ac:dyDescent="0.4">
      <c r="A1141" t="s">
        <v>20</v>
      </c>
      <c r="B1141">
        <v>6992074</v>
      </c>
      <c r="C1141" t="s">
        <v>2274</v>
      </c>
      <c r="D1141" t="s">
        <v>21</v>
      </c>
      <c r="E1141" t="s">
        <v>22</v>
      </c>
      <c r="K1141">
        <v>3.3397898000000002E-2</v>
      </c>
      <c r="L1141">
        <v>3.3397898000000002E-2</v>
      </c>
      <c r="M1141">
        <v>0</v>
      </c>
      <c r="N1141">
        <v>0</v>
      </c>
      <c r="O1141">
        <v>0</v>
      </c>
      <c r="P1141" s="1" t="s">
        <v>582</v>
      </c>
      <c r="Q1141">
        <v>1</v>
      </c>
      <c r="R1141">
        <v>0</v>
      </c>
      <c r="S1141">
        <v>0</v>
      </c>
      <c r="T1141" s="2">
        <v>45990</v>
      </c>
      <c r="V1141" t="str">
        <f t="shared" si="68"/>
        <v>S-6992074</v>
      </c>
      <c r="W1141">
        <f t="shared" si="71"/>
        <v>0</v>
      </c>
      <c r="X1141" t="str">
        <f t="shared" si="69"/>
        <v/>
      </c>
      <c r="Y1141">
        <f t="shared" si="70"/>
        <v>0</v>
      </c>
    </row>
    <row r="1142" spans="1:25" hidden="1" x14ac:dyDescent="0.4">
      <c r="A1142" t="s">
        <v>20</v>
      </c>
      <c r="B1142">
        <v>6999268</v>
      </c>
      <c r="C1142" t="s">
        <v>2275</v>
      </c>
      <c r="D1142" t="s">
        <v>21</v>
      </c>
      <c r="E1142" t="s">
        <v>22</v>
      </c>
      <c r="K1142">
        <v>3.3397898000000002E-2</v>
      </c>
      <c r="L1142">
        <v>3.3397898000000002E-2</v>
      </c>
      <c r="M1142">
        <v>0</v>
      </c>
      <c r="N1142">
        <v>0</v>
      </c>
      <c r="O1142">
        <v>0</v>
      </c>
      <c r="P1142" s="1" t="s">
        <v>583</v>
      </c>
      <c r="Q1142">
        <v>1</v>
      </c>
      <c r="R1142">
        <v>0</v>
      </c>
      <c r="S1142">
        <v>0</v>
      </c>
      <c r="T1142" s="2">
        <v>45991</v>
      </c>
      <c r="V1142" t="str">
        <f t="shared" si="68"/>
        <v>S-6999268</v>
      </c>
      <c r="W1142">
        <f t="shared" si="71"/>
        <v>0</v>
      </c>
      <c r="X1142" t="str">
        <f t="shared" si="69"/>
        <v/>
      </c>
      <c r="Y1142">
        <f t="shared" si="70"/>
        <v>0</v>
      </c>
    </row>
    <row r="1143" spans="1:25" hidden="1" x14ac:dyDescent="0.4">
      <c r="A1143" t="s">
        <v>20</v>
      </c>
      <c r="B1143">
        <v>7006467</v>
      </c>
      <c r="C1143" t="s">
        <v>2276</v>
      </c>
      <c r="D1143" t="s">
        <v>21</v>
      </c>
      <c r="E1143" t="s">
        <v>22</v>
      </c>
      <c r="K1143">
        <v>3.3397898000000002E-2</v>
      </c>
      <c r="L1143">
        <v>3.3397898000000002E-2</v>
      </c>
      <c r="M1143">
        <v>0</v>
      </c>
      <c r="N1143">
        <v>0</v>
      </c>
      <c r="O1143">
        <v>0</v>
      </c>
      <c r="P1143" s="1" t="s">
        <v>584</v>
      </c>
      <c r="Q1143">
        <v>1</v>
      </c>
      <c r="R1143">
        <v>0</v>
      </c>
      <c r="S1143">
        <v>0</v>
      </c>
      <c r="T1143" s="2">
        <v>45992</v>
      </c>
      <c r="V1143" t="str">
        <f t="shared" si="68"/>
        <v>S-7006467</v>
      </c>
      <c r="W1143">
        <f t="shared" si="71"/>
        <v>0</v>
      </c>
      <c r="X1143" t="str">
        <f t="shared" si="69"/>
        <v/>
      </c>
      <c r="Y1143">
        <f t="shared" si="70"/>
        <v>0</v>
      </c>
    </row>
    <row r="1144" spans="1:25" hidden="1" x14ac:dyDescent="0.4">
      <c r="A1144" t="s">
        <v>20</v>
      </c>
      <c r="B1144">
        <v>7013663</v>
      </c>
      <c r="C1144" t="s">
        <v>2277</v>
      </c>
      <c r="D1144" t="s">
        <v>21</v>
      </c>
      <c r="E1144" t="s">
        <v>22</v>
      </c>
      <c r="K1144">
        <v>3.3397898000000002E-2</v>
      </c>
      <c r="L1144">
        <v>3.3397898000000002E-2</v>
      </c>
      <c r="M1144">
        <v>0</v>
      </c>
      <c r="N1144">
        <v>0</v>
      </c>
      <c r="O1144">
        <v>0</v>
      </c>
      <c r="P1144" s="1" t="s">
        <v>585</v>
      </c>
      <c r="Q1144">
        <v>1</v>
      </c>
      <c r="R1144">
        <v>0</v>
      </c>
      <c r="S1144">
        <v>0</v>
      </c>
      <c r="T1144" s="2">
        <v>45993</v>
      </c>
      <c r="V1144" t="str">
        <f t="shared" si="68"/>
        <v>S-7013663</v>
      </c>
      <c r="W1144">
        <f t="shared" si="71"/>
        <v>0</v>
      </c>
      <c r="X1144" t="str">
        <f t="shared" si="69"/>
        <v/>
      </c>
      <c r="Y1144">
        <f t="shared" si="70"/>
        <v>0</v>
      </c>
    </row>
    <row r="1145" spans="1:25" hidden="1" x14ac:dyDescent="0.4">
      <c r="A1145" t="s">
        <v>20</v>
      </c>
      <c r="B1145">
        <v>7020844</v>
      </c>
      <c r="C1145" t="s">
        <v>2278</v>
      </c>
      <c r="D1145" t="s">
        <v>21</v>
      </c>
      <c r="E1145" t="s">
        <v>22</v>
      </c>
      <c r="K1145">
        <v>3.3397898000000002E-2</v>
      </c>
      <c r="L1145">
        <v>3.3397898000000002E-2</v>
      </c>
      <c r="M1145">
        <v>0</v>
      </c>
      <c r="N1145">
        <v>0</v>
      </c>
      <c r="O1145">
        <v>0</v>
      </c>
      <c r="P1145" s="1" t="s">
        <v>586</v>
      </c>
      <c r="Q1145">
        <v>1</v>
      </c>
      <c r="R1145">
        <v>0</v>
      </c>
      <c r="S1145">
        <v>0</v>
      </c>
      <c r="T1145" s="2">
        <v>45994</v>
      </c>
      <c r="V1145" t="str">
        <f t="shared" si="68"/>
        <v>S-7020844</v>
      </c>
      <c r="W1145">
        <f t="shared" si="71"/>
        <v>0</v>
      </c>
      <c r="X1145" t="str">
        <f t="shared" si="69"/>
        <v/>
      </c>
      <c r="Y1145">
        <f t="shared" si="70"/>
        <v>0</v>
      </c>
    </row>
    <row r="1146" spans="1:25" hidden="1" x14ac:dyDescent="0.4">
      <c r="A1146" t="s">
        <v>20</v>
      </c>
      <c r="B1146">
        <v>7027978</v>
      </c>
      <c r="C1146" t="s">
        <v>2279</v>
      </c>
      <c r="D1146" t="s">
        <v>21</v>
      </c>
      <c r="E1146" t="s">
        <v>22</v>
      </c>
      <c r="K1146">
        <v>3.3397898000000002E-2</v>
      </c>
      <c r="L1146">
        <v>3.3397898000000002E-2</v>
      </c>
      <c r="M1146">
        <v>0</v>
      </c>
      <c r="N1146">
        <v>0</v>
      </c>
      <c r="O1146">
        <v>0</v>
      </c>
      <c r="P1146" s="1" t="s">
        <v>587</v>
      </c>
      <c r="Q1146">
        <v>1</v>
      </c>
      <c r="R1146">
        <v>0</v>
      </c>
      <c r="S1146">
        <v>0</v>
      </c>
      <c r="T1146" s="2">
        <v>45995</v>
      </c>
      <c r="V1146" t="str">
        <f t="shared" si="68"/>
        <v>S-7027978</v>
      </c>
      <c r="W1146">
        <f t="shared" si="71"/>
        <v>0</v>
      </c>
      <c r="X1146" t="str">
        <f t="shared" si="69"/>
        <v/>
      </c>
      <c r="Y1146">
        <f t="shared" si="70"/>
        <v>0</v>
      </c>
    </row>
    <row r="1147" spans="1:25" hidden="1" x14ac:dyDescent="0.4">
      <c r="A1147" t="s">
        <v>20</v>
      </c>
      <c r="B1147">
        <v>7035145</v>
      </c>
      <c r="C1147" t="s">
        <v>2280</v>
      </c>
      <c r="D1147" t="s">
        <v>21</v>
      </c>
      <c r="E1147" t="s">
        <v>22</v>
      </c>
      <c r="K1147">
        <v>3.3397898000000002E-2</v>
      </c>
      <c r="L1147">
        <v>3.3397898000000002E-2</v>
      </c>
      <c r="M1147">
        <v>0</v>
      </c>
      <c r="N1147">
        <v>0</v>
      </c>
      <c r="O1147">
        <v>0</v>
      </c>
      <c r="P1147" s="1" t="s">
        <v>588</v>
      </c>
      <c r="Q1147">
        <v>1</v>
      </c>
      <c r="R1147">
        <v>0</v>
      </c>
      <c r="S1147">
        <v>0</v>
      </c>
      <c r="T1147" s="2">
        <v>45996</v>
      </c>
      <c r="V1147" t="str">
        <f t="shared" si="68"/>
        <v>S-7035145</v>
      </c>
      <c r="W1147">
        <f t="shared" si="71"/>
        <v>0</v>
      </c>
      <c r="X1147" t="str">
        <f t="shared" si="69"/>
        <v/>
      </c>
      <c r="Y1147">
        <f t="shared" si="70"/>
        <v>0</v>
      </c>
    </row>
    <row r="1148" spans="1:25" hidden="1" x14ac:dyDescent="0.4">
      <c r="A1148" t="s">
        <v>20</v>
      </c>
      <c r="B1148">
        <v>7042345</v>
      </c>
      <c r="C1148" t="s">
        <v>2281</v>
      </c>
      <c r="D1148" t="s">
        <v>21</v>
      </c>
      <c r="E1148" t="s">
        <v>22</v>
      </c>
      <c r="K1148">
        <v>3.3397898000000002E-2</v>
      </c>
      <c r="L1148">
        <v>3.3397898000000002E-2</v>
      </c>
      <c r="M1148">
        <v>0</v>
      </c>
      <c r="N1148">
        <v>0</v>
      </c>
      <c r="O1148">
        <v>0</v>
      </c>
      <c r="P1148" s="1" t="s">
        <v>589</v>
      </c>
      <c r="Q1148">
        <v>1</v>
      </c>
      <c r="R1148">
        <v>0</v>
      </c>
      <c r="S1148">
        <v>0</v>
      </c>
      <c r="T1148" s="2">
        <v>45997</v>
      </c>
      <c r="V1148" t="str">
        <f t="shared" si="68"/>
        <v>S-7042345</v>
      </c>
      <c r="W1148">
        <f t="shared" si="71"/>
        <v>0</v>
      </c>
      <c r="X1148" t="str">
        <f t="shared" si="69"/>
        <v/>
      </c>
      <c r="Y1148">
        <f t="shared" si="70"/>
        <v>0</v>
      </c>
    </row>
    <row r="1149" spans="1:25" hidden="1" x14ac:dyDescent="0.4">
      <c r="A1149" t="s">
        <v>20</v>
      </c>
      <c r="B1149">
        <v>7049545</v>
      </c>
      <c r="C1149" t="s">
        <v>2282</v>
      </c>
      <c r="D1149" t="s">
        <v>21</v>
      </c>
      <c r="E1149" t="s">
        <v>22</v>
      </c>
      <c r="K1149">
        <v>3.3397898000000002E-2</v>
      </c>
      <c r="L1149">
        <v>3.3397898000000002E-2</v>
      </c>
      <c r="M1149">
        <v>0</v>
      </c>
      <c r="N1149">
        <v>0</v>
      </c>
      <c r="O1149">
        <v>0</v>
      </c>
      <c r="P1149" s="1" t="s">
        <v>590</v>
      </c>
      <c r="Q1149">
        <v>1</v>
      </c>
      <c r="R1149">
        <v>0</v>
      </c>
      <c r="S1149">
        <v>0</v>
      </c>
      <c r="T1149" s="2">
        <v>45998</v>
      </c>
      <c r="V1149" t="str">
        <f t="shared" si="68"/>
        <v>S-7049545</v>
      </c>
      <c r="W1149">
        <f t="shared" si="71"/>
        <v>0</v>
      </c>
      <c r="X1149" t="str">
        <f t="shared" si="69"/>
        <v/>
      </c>
      <c r="Y1149">
        <f t="shared" si="70"/>
        <v>0</v>
      </c>
    </row>
    <row r="1150" spans="1:25" hidden="1" x14ac:dyDescent="0.4">
      <c r="A1150" t="s">
        <v>20</v>
      </c>
      <c r="B1150">
        <v>7056745</v>
      </c>
      <c r="C1150" t="s">
        <v>2283</v>
      </c>
      <c r="D1150" t="s">
        <v>21</v>
      </c>
      <c r="E1150" t="s">
        <v>22</v>
      </c>
      <c r="K1150">
        <v>3.3397898000000002E-2</v>
      </c>
      <c r="L1150">
        <v>3.3397898000000002E-2</v>
      </c>
      <c r="M1150">
        <v>0</v>
      </c>
      <c r="N1150">
        <v>0</v>
      </c>
      <c r="O1150">
        <v>0</v>
      </c>
      <c r="P1150" s="1" t="s">
        <v>591</v>
      </c>
      <c r="Q1150">
        <v>1</v>
      </c>
      <c r="R1150">
        <v>0</v>
      </c>
      <c r="S1150">
        <v>0</v>
      </c>
      <c r="T1150" s="2">
        <v>45999</v>
      </c>
      <c r="V1150" t="str">
        <f t="shared" si="68"/>
        <v>S-7056745</v>
      </c>
      <c r="W1150">
        <f t="shared" si="71"/>
        <v>0</v>
      </c>
      <c r="X1150" t="str">
        <f t="shared" si="69"/>
        <v/>
      </c>
      <c r="Y1150">
        <f t="shared" si="70"/>
        <v>0</v>
      </c>
    </row>
    <row r="1151" spans="1:25" hidden="1" x14ac:dyDescent="0.4">
      <c r="A1151" t="s">
        <v>20</v>
      </c>
      <c r="B1151">
        <v>7063917</v>
      </c>
      <c r="C1151" t="s">
        <v>2284</v>
      </c>
      <c r="D1151" t="s">
        <v>21</v>
      </c>
      <c r="E1151" t="s">
        <v>22</v>
      </c>
      <c r="K1151">
        <v>3.3397898000000002E-2</v>
      </c>
      <c r="L1151">
        <v>3.3397898000000002E-2</v>
      </c>
      <c r="M1151">
        <v>0</v>
      </c>
      <c r="N1151">
        <v>0</v>
      </c>
      <c r="O1151">
        <v>0</v>
      </c>
      <c r="P1151" s="1" t="s">
        <v>592</v>
      </c>
      <c r="Q1151">
        <v>1</v>
      </c>
      <c r="R1151">
        <v>0</v>
      </c>
      <c r="S1151">
        <v>0</v>
      </c>
      <c r="T1151" s="2">
        <v>46000</v>
      </c>
      <c r="V1151" t="str">
        <f t="shared" si="68"/>
        <v>S-7063917</v>
      </c>
      <c r="W1151">
        <f t="shared" si="71"/>
        <v>0</v>
      </c>
      <c r="X1151" t="str">
        <f t="shared" si="69"/>
        <v/>
      </c>
      <c r="Y1151">
        <f t="shared" si="70"/>
        <v>0</v>
      </c>
    </row>
    <row r="1152" spans="1:25" hidden="1" x14ac:dyDescent="0.4">
      <c r="A1152" t="s">
        <v>20</v>
      </c>
      <c r="B1152">
        <v>7071117</v>
      </c>
      <c r="C1152" t="s">
        <v>2285</v>
      </c>
      <c r="D1152" t="s">
        <v>21</v>
      </c>
      <c r="E1152" t="s">
        <v>22</v>
      </c>
      <c r="K1152">
        <v>3.3397898000000002E-2</v>
      </c>
      <c r="L1152">
        <v>3.3397898000000002E-2</v>
      </c>
      <c r="M1152">
        <v>0</v>
      </c>
      <c r="N1152">
        <v>0</v>
      </c>
      <c r="O1152">
        <v>0</v>
      </c>
      <c r="P1152" s="1" t="s">
        <v>593</v>
      </c>
      <c r="Q1152">
        <v>1</v>
      </c>
      <c r="R1152">
        <v>0</v>
      </c>
      <c r="S1152">
        <v>0</v>
      </c>
      <c r="T1152" s="2">
        <v>46001</v>
      </c>
      <c r="V1152" t="str">
        <f t="shared" si="68"/>
        <v>S-7071117</v>
      </c>
      <c r="W1152">
        <f t="shared" si="71"/>
        <v>0</v>
      </c>
      <c r="X1152" t="str">
        <f t="shared" si="69"/>
        <v/>
      </c>
      <c r="Y1152">
        <f t="shared" si="70"/>
        <v>0</v>
      </c>
    </row>
    <row r="1153" spans="1:25" hidden="1" x14ac:dyDescent="0.4">
      <c r="A1153" t="s">
        <v>20</v>
      </c>
      <c r="B1153">
        <v>7078317</v>
      </c>
      <c r="C1153" t="s">
        <v>2286</v>
      </c>
      <c r="D1153" t="s">
        <v>21</v>
      </c>
      <c r="E1153" t="s">
        <v>22</v>
      </c>
      <c r="K1153">
        <v>3.3397898000000002E-2</v>
      </c>
      <c r="L1153">
        <v>3.3397898000000002E-2</v>
      </c>
      <c r="M1153">
        <v>0</v>
      </c>
      <c r="N1153">
        <v>0</v>
      </c>
      <c r="O1153">
        <v>0</v>
      </c>
      <c r="P1153" s="1" t="s">
        <v>594</v>
      </c>
      <c r="Q1153">
        <v>1</v>
      </c>
      <c r="R1153">
        <v>0</v>
      </c>
      <c r="S1153">
        <v>0</v>
      </c>
      <c r="T1153" s="2">
        <v>46002</v>
      </c>
      <c r="V1153" t="str">
        <f t="shared" si="68"/>
        <v>S-7078317</v>
      </c>
      <c r="W1153">
        <f t="shared" si="71"/>
        <v>0</v>
      </c>
      <c r="X1153" t="str">
        <f t="shared" si="69"/>
        <v/>
      </c>
      <c r="Y1153">
        <f t="shared" si="70"/>
        <v>0</v>
      </c>
    </row>
    <row r="1154" spans="1:25" hidden="1" x14ac:dyDescent="0.4">
      <c r="A1154" t="s">
        <v>20</v>
      </c>
      <c r="B1154">
        <v>7085517</v>
      </c>
      <c r="C1154" t="s">
        <v>2287</v>
      </c>
      <c r="D1154" t="s">
        <v>21</v>
      </c>
      <c r="E1154" t="s">
        <v>22</v>
      </c>
      <c r="K1154">
        <v>3.3397898000000002E-2</v>
      </c>
      <c r="L1154">
        <v>3.3397898000000002E-2</v>
      </c>
      <c r="M1154">
        <v>0</v>
      </c>
      <c r="N1154">
        <v>0</v>
      </c>
      <c r="O1154">
        <v>0</v>
      </c>
      <c r="P1154" s="1" t="s">
        <v>595</v>
      </c>
      <c r="Q1154">
        <v>1</v>
      </c>
      <c r="R1154">
        <v>0</v>
      </c>
      <c r="S1154">
        <v>0</v>
      </c>
      <c r="T1154" s="2">
        <v>46003</v>
      </c>
      <c r="V1154" t="str">
        <f t="shared" si="68"/>
        <v>S-7085517</v>
      </c>
      <c r="W1154">
        <f t="shared" si="71"/>
        <v>0</v>
      </c>
      <c r="X1154" t="str">
        <f t="shared" si="69"/>
        <v/>
      </c>
      <c r="Y1154">
        <f t="shared" si="70"/>
        <v>0</v>
      </c>
    </row>
    <row r="1155" spans="1:25" hidden="1" x14ac:dyDescent="0.4">
      <c r="A1155" t="s">
        <v>20</v>
      </c>
      <c r="B1155">
        <v>7092717</v>
      </c>
      <c r="C1155" t="s">
        <v>2288</v>
      </c>
      <c r="D1155" t="s">
        <v>21</v>
      </c>
      <c r="E1155" t="s">
        <v>22</v>
      </c>
      <c r="K1155">
        <v>3.3397898000000002E-2</v>
      </c>
      <c r="L1155">
        <v>3.3397898000000002E-2</v>
      </c>
      <c r="M1155">
        <v>0</v>
      </c>
      <c r="N1155">
        <v>0</v>
      </c>
      <c r="O1155">
        <v>0</v>
      </c>
      <c r="P1155" s="1" t="s">
        <v>596</v>
      </c>
      <c r="Q1155">
        <v>1</v>
      </c>
      <c r="R1155">
        <v>0</v>
      </c>
      <c r="S1155">
        <v>0</v>
      </c>
      <c r="T1155" s="2">
        <v>46004</v>
      </c>
      <c r="V1155" t="str">
        <f t="shared" ref="V1155:V1177" si="72">"S-"&amp;IF(LEN(I1155)=0,B1155,I1155&amp;IF(F1155="fee","-00",IF(LEN(G1155)&gt;0,"-01","-02")))</f>
        <v>S-7092717</v>
      </c>
      <c r="W1155">
        <f t="shared" si="71"/>
        <v>0</v>
      </c>
      <c r="X1155" t="str">
        <f t="shared" ref="X1155:X1177" si="73">IF(LEN(I1155)&gt;0,I1155&amp;IF(F1155="fee","fee",IF(VALUE(G1155)&gt;0,"debit",IF(VALUE(H1155)&gt;0,"credit","error"))),"")</f>
        <v/>
      </c>
      <c r="Y1155">
        <f t="shared" ref="Y1155:Y1177" si="74">ROUND(IF(ROW(U1155) = 2,K1155,0)+IF(H1155&lt;&gt;"",H1155,0) + IF(R1155&lt;&gt;"",R1155,0) - IF(G1155&lt;&gt;"",G1155,0),9)</f>
        <v>0</v>
      </c>
    </row>
    <row r="1156" spans="1:25" hidden="1" x14ac:dyDescent="0.4">
      <c r="A1156" t="s">
        <v>20</v>
      </c>
      <c r="B1156">
        <v>7099917</v>
      </c>
      <c r="C1156" t="s">
        <v>2289</v>
      </c>
      <c r="D1156" t="s">
        <v>21</v>
      </c>
      <c r="E1156" t="s">
        <v>22</v>
      </c>
      <c r="K1156">
        <v>3.3397898000000002E-2</v>
      </c>
      <c r="L1156">
        <v>3.3397898000000002E-2</v>
      </c>
      <c r="M1156">
        <v>0</v>
      </c>
      <c r="N1156">
        <v>0</v>
      </c>
      <c r="O1156">
        <v>0</v>
      </c>
      <c r="P1156" s="1" t="s">
        <v>597</v>
      </c>
      <c r="Q1156">
        <v>1</v>
      </c>
      <c r="R1156">
        <v>0</v>
      </c>
      <c r="S1156">
        <v>0</v>
      </c>
      <c r="T1156" s="2">
        <v>46005</v>
      </c>
      <c r="V1156" t="str">
        <f t="shared" si="72"/>
        <v>S-7099917</v>
      </c>
      <c r="W1156">
        <f t="shared" ref="W1156:W1177" si="75">COUNTIF(I:I,I1156)</f>
        <v>0</v>
      </c>
      <c r="X1156" t="str">
        <f t="shared" si="73"/>
        <v/>
      </c>
      <c r="Y1156">
        <f t="shared" si="74"/>
        <v>0</v>
      </c>
    </row>
    <row r="1157" spans="1:25" hidden="1" x14ac:dyDescent="0.4">
      <c r="A1157" t="s">
        <v>20</v>
      </c>
      <c r="B1157">
        <v>7107108</v>
      </c>
      <c r="C1157" t="s">
        <v>2290</v>
      </c>
      <c r="D1157" t="s">
        <v>21</v>
      </c>
      <c r="E1157" t="s">
        <v>22</v>
      </c>
      <c r="K1157">
        <v>3.3397898000000002E-2</v>
      </c>
      <c r="L1157">
        <v>3.3397898000000002E-2</v>
      </c>
      <c r="M1157">
        <v>0</v>
      </c>
      <c r="N1157">
        <v>0</v>
      </c>
      <c r="O1157">
        <v>0</v>
      </c>
      <c r="P1157" s="1" t="s">
        <v>598</v>
      </c>
      <c r="Q1157">
        <v>1</v>
      </c>
      <c r="R1157">
        <v>0</v>
      </c>
      <c r="S1157">
        <v>0</v>
      </c>
      <c r="T1157" s="2">
        <v>46006</v>
      </c>
      <c r="V1157" t="str">
        <f t="shared" si="72"/>
        <v>S-7107108</v>
      </c>
      <c r="W1157">
        <f t="shared" si="75"/>
        <v>0</v>
      </c>
      <c r="X1157" t="str">
        <f t="shared" si="73"/>
        <v/>
      </c>
      <c r="Y1157">
        <f t="shared" si="74"/>
        <v>0</v>
      </c>
    </row>
    <row r="1158" spans="1:25" hidden="1" x14ac:dyDescent="0.4">
      <c r="A1158" t="s">
        <v>20</v>
      </c>
      <c r="B1158">
        <v>7114308</v>
      </c>
      <c r="C1158" t="s">
        <v>2291</v>
      </c>
      <c r="D1158" t="s">
        <v>21</v>
      </c>
      <c r="E1158" t="s">
        <v>22</v>
      </c>
      <c r="K1158">
        <v>3.3397898000000002E-2</v>
      </c>
      <c r="L1158">
        <v>3.3397898000000002E-2</v>
      </c>
      <c r="M1158">
        <v>0</v>
      </c>
      <c r="N1158">
        <v>0</v>
      </c>
      <c r="O1158">
        <v>0</v>
      </c>
      <c r="P1158" s="1" t="s">
        <v>599</v>
      </c>
      <c r="Q1158">
        <v>1</v>
      </c>
      <c r="R1158">
        <v>0</v>
      </c>
      <c r="S1158">
        <v>0</v>
      </c>
      <c r="T1158" s="2">
        <v>46007</v>
      </c>
      <c r="V1158" t="str">
        <f t="shared" si="72"/>
        <v>S-7114308</v>
      </c>
      <c r="W1158">
        <f t="shared" si="75"/>
        <v>0</v>
      </c>
      <c r="X1158" t="str">
        <f t="shared" si="73"/>
        <v/>
      </c>
      <c r="Y1158">
        <f t="shared" si="74"/>
        <v>0</v>
      </c>
    </row>
    <row r="1159" spans="1:25" hidden="1" x14ac:dyDescent="0.4">
      <c r="A1159" t="s">
        <v>20</v>
      </c>
      <c r="B1159">
        <v>7121504</v>
      </c>
      <c r="C1159" t="s">
        <v>2292</v>
      </c>
      <c r="D1159" t="s">
        <v>21</v>
      </c>
      <c r="E1159" t="s">
        <v>22</v>
      </c>
      <c r="K1159">
        <v>3.3397898000000002E-2</v>
      </c>
      <c r="L1159">
        <v>3.3397898000000002E-2</v>
      </c>
      <c r="M1159">
        <v>0</v>
      </c>
      <c r="N1159">
        <v>0</v>
      </c>
      <c r="O1159">
        <v>0</v>
      </c>
      <c r="P1159" s="1" t="s">
        <v>600</v>
      </c>
      <c r="Q1159">
        <v>1</v>
      </c>
      <c r="R1159">
        <v>0</v>
      </c>
      <c r="S1159">
        <v>0</v>
      </c>
      <c r="T1159" s="2">
        <v>46008</v>
      </c>
      <c r="V1159" t="str">
        <f t="shared" si="72"/>
        <v>S-7121504</v>
      </c>
      <c r="W1159">
        <f t="shared" si="75"/>
        <v>0</v>
      </c>
      <c r="X1159" t="str">
        <f t="shared" si="73"/>
        <v/>
      </c>
      <c r="Y1159">
        <f t="shared" si="74"/>
        <v>0</v>
      </c>
    </row>
    <row r="1160" spans="1:25" hidden="1" x14ac:dyDescent="0.4">
      <c r="A1160" t="s">
        <v>20</v>
      </c>
      <c r="B1160">
        <v>7128702</v>
      </c>
      <c r="C1160" t="s">
        <v>2293</v>
      </c>
      <c r="D1160" t="s">
        <v>21</v>
      </c>
      <c r="E1160" t="s">
        <v>22</v>
      </c>
      <c r="K1160">
        <v>3.3397898000000002E-2</v>
      </c>
      <c r="L1160">
        <v>3.3397898000000002E-2</v>
      </c>
      <c r="M1160">
        <v>0</v>
      </c>
      <c r="N1160">
        <v>0</v>
      </c>
      <c r="O1160">
        <v>0</v>
      </c>
      <c r="P1160" s="1" t="s">
        <v>601</v>
      </c>
      <c r="Q1160">
        <v>1</v>
      </c>
      <c r="R1160">
        <v>0</v>
      </c>
      <c r="S1160">
        <v>0</v>
      </c>
      <c r="T1160" s="2">
        <v>46009</v>
      </c>
      <c r="V1160" t="str">
        <f t="shared" si="72"/>
        <v>S-7128702</v>
      </c>
      <c r="W1160">
        <f t="shared" si="75"/>
        <v>0</v>
      </c>
      <c r="X1160" t="str">
        <f t="shared" si="73"/>
        <v/>
      </c>
      <c r="Y1160">
        <f t="shared" si="74"/>
        <v>0</v>
      </c>
    </row>
    <row r="1161" spans="1:25" hidden="1" x14ac:dyDescent="0.4">
      <c r="A1161" t="s">
        <v>20</v>
      </c>
      <c r="B1161">
        <v>7135902</v>
      </c>
      <c r="C1161" t="s">
        <v>2294</v>
      </c>
      <c r="D1161" t="s">
        <v>21</v>
      </c>
      <c r="E1161" t="s">
        <v>22</v>
      </c>
      <c r="K1161">
        <v>3.3397898000000002E-2</v>
      </c>
      <c r="L1161">
        <v>3.3397898000000002E-2</v>
      </c>
      <c r="M1161">
        <v>0</v>
      </c>
      <c r="N1161">
        <v>0</v>
      </c>
      <c r="O1161">
        <v>0</v>
      </c>
      <c r="P1161" s="1" t="s">
        <v>602</v>
      </c>
      <c r="Q1161">
        <v>1</v>
      </c>
      <c r="R1161">
        <v>0</v>
      </c>
      <c r="S1161">
        <v>0</v>
      </c>
      <c r="T1161" s="2">
        <v>46010</v>
      </c>
      <c r="V1161" t="str">
        <f t="shared" si="72"/>
        <v>S-7135902</v>
      </c>
      <c r="W1161">
        <f t="shared" si="75"/>
        <v>0</v>
      </c>
      <c r="X1161" t="str">
        <f t="shared" si="73"/>
        <v/>
      </c>
      <c r="Y1161">
        <f t="shared" si="74"/>
        <v>0</v>
      </c>
    </row>
    <row r="1162" spans="1:25" hidden="1" x14ac:dyDescent="0.4">
      <c r="A1162" t="s">
        <v>20</v>
      </c>
      <c r="B1162">
        <v>7143101</v>
      </c>
      <c r="C1162" t="s">
        <v>2295</v>
      </c>
      <c r="D1162" t="s">
        <v>21</v>
      </c>
      <c r="E1162" t="s">
        <v>22</v>
      </c>
      <c r="K1162">
        <v>3.3397898000000002E-2</v>
      </c>
      <c r="L1162">
        <v>3.3397898000000002E-2</v>
      </c>
      <c r="M1162">
        <v>0</v>
      </c>
      <c r="N1162">
        <v>0</v>
      </c>
      <c r="O1162">
        <v>0</v>
      </c>
      <c r="P1162" s="1" t="s">
        <v>603</v>
      </c>
      <c r="Q1162">
        <v>1</v>
      </c>
      <c r="R1162">
        <v>0</v>
      </c>
      <c r="S1162">
        <v>0</v>
      </c>
      <c r="T1162" s="2">
        <v>46011</v>
      </c>
      <c r="V1162" t="str">
        <f t="shared" si="72"/>
        <v>S-7143101</v>
      </c>
      <c r="W1162">
        <f t="shared" si="75"/>
        <v>0</v>
      </c>
      <c r="X1162" t="str">
        <f t="shared" si="73"/>
        <v/>
      </c>
      <c r="Y1162">
        <f t="shared" si="74"/>
        <v>0</v>
      </c>
    </row>
    <row r="1163" spans="1:25" hidden="1" x14ac:dyDescent="0.4">
      <c r="A1163" t="s">
        <v>20</v>
      </c>
      <c r="B1163">
        <v>7150300</v>
      </c>
      <c r="C1163" t="s">
        <v>2296</v>
      </c>
      <c r="D1163" t="s">
        <v>21</v>
      </c>
      <c r="E1163" t="s">
        <v>22</v>
      </c>
      <c r="K1163">
        <v>3.3397898000000002E-2</v>
      </c>
      <c r="L1163">
        <v>3.3397898000000002E-2</v>
      </c>
      <c r="M1163">
        <v>0</v>
      </c>
      <c r="N1163">
        <v>0</v>
      </c>
      <c r="O1163">
        <v>0</v>
      </c>
      <c r="P1163" s="1" t="s">
        <v>604</v>
      </c>
      <c r="Q1163">
        <v>1</v>
      </c>
      <c r="R1163">
        <v>0</v>
      </c>
      <c r="S1163">
        <v>0</v>
      </c>
      <c r="T1163" s="2">
        <v>46012</v>
      </c>
      <c r="V1163" t="str">
        <f t="shared" si="72"/>
        <v>S-7150300</v>
      </c>
      <c r="W1163">
        <f t="shared" si="75"/>
        <v>0</v>
      </c>
      <c r="X1163" t="str">
        <f t="shared" si="73"/>
        <v/>
      </c>
      <c r="Y1163">
        <f t="shared" si="74"/>
        <v>0</v>
      </c>
    </row>
    <row r="1164" spans="1:25" hidden="1" x14ac:dyDescent="0.4">
      <c r="A1164" t="s">
        <v>20</v>
      </c>
      <c r="B1164">
        <v>7157492</v>
      </c>
      <c r="C1164" t="s">
        <v>2297</v>
      </c>
      <c r="D1164" t="s">
        <v>21</v>
      </c>
      <c r="E1164" t="s">
        <v>22</v>
      </c>
      <c r="K1164">
        <v>3.3397898000000002E-2</v>
      </c>
      <c r="L1164">
        <v>3.3397898000000002E-2</v>
      </c>
      <c r="M1164">
        <v>0</v>
      </c>
      <c r="N1164">
        <v>0</v>
      </c>
      <c r="O1164">
        <v>0</v>
      </c>
      <c r="P1164" s="1" t="s">
        <v>605</v>
      </c>
      <c r="Q1164">
        <v>1</v>
      </c>
      <c r="R1164">
        <v>0</v>
      </c>
      <c r="S1164">
        <v>0</v>
      </c>
      <c r="T1164" s="2">
        <v>46013</v>
      </c>
      <c r="V1164" t="str">
        <f t="shared" si="72"/>
        <v>S-7157492</v>
      </c>
      <c r="W1164">
        <f t="shared" si="75"/>
        <v>0</v>
      </c>
      <c r="X1164" t="str">
        <f t="shared" si="73"/>
        <v/>
      </c>
      <c r="Y1164">
        <f t="shared" si="74"/>
        <v>0</v>
      </c>
    </row>
    <row r="1165" spans="1:25" hidden="1" x14ac:dyDescent="0.4">
      <c r="A1165" t="s">
        <v>20</v>
      </c>
      <c r="B1165">
        <v>7164692</v>
      </c>
      <c r="C1165" t="s">
        <v>2298</v>
      </c>
      <c r="D1165" t="s">
        <v>21</v>
      </c>
      <c r="E1165" t="s">
        <v>22</v>
      </c>
      <c r="K1165">
        <v>3.3397898000000002E-2</v>
      </c>
      <c r="L1165">
        <v>3.3397898000000002E-2</v>
      </c>
      <c r="M1165">
        <v>0</v>
      </c>
      <c r="N1165">
        <v>0</v>
      </c>
      <c r="O1165">
        <v>0</v>
      </c>
      <c r="P1165" s="1" t="s">
        <v>606</v>
      </c>
      <c r="Q1165">
        <v>1</v>
      </c>
      <c r="R1165">
        <v>0</v>
      </c>
      <c r="S1165">
        <v>0</v>
      </c>
      <c r="T1165" s="2">
        <v>46014</v>
      </c>
      <c r="V1165" t="str">
        <f t="shared" si="72"/>
        <v>S-7164692</v>
      </c>
      <c r="W1165">
        <f t="shared" si="75"/>
        <v>0</v>
      </c>
      <c r="X1165" t="str">
        <f t="shared" si="73"/>
        <v/>
      </c>
      <c r="Y1165">
        <f t="shared" si="74"/>
        <v>0</v>
      </c>
    </row>
    <row r="1166" spans="1:25" hidden="1" x14ac:dyDescent="0.4">
      <c r="A1166" t="s">
        <v>20</v>
      </c>
      <c r="B1166">
        <v>7171891</v>
      </c>
      <c r="C1166" t="s">
        <v>2299</v>
      </c>
      <c r="D1166" t="s">
        <v>21</v>
      </c>
      <c r="E1166" t="s">
        <v>22</v>
      </c>
      <c r="K1166">
        <v>3.3397898000000002E-2</v>
      </c>
      <c r="L1166">
        <v>3.3397898000000002E-2</v>
      </c>
      <c r="M1166">
        <v>0</v>
      </c>
      <c r="N1166">
        <v>0</v>
      </c>
      <c r="O1166">
        <v>0</v>
      </c>
      <c r="P1166" s="1" t="s">
        <v>607</v>
      </c>
      <c r="Q1166">
        <v>1</v>
      </c>
      <c r="R1166">
        <v>0</v>
      </c>
      <c r="S1166">
        <v>0</v>
      </c>
      <c r="T1166" s="2">
        <v>46015</v>
      </c>
      <c r="V1166" t="str">
        <f t="shared" si="72"/>
        <v>S-7171891</v>
      </c>
      <c r="W1166">
        <f t="shared" si="75"/>
        <v>0</v>
      </c>
      <c r="X1166" t="str">
        <f t="shared" si="73"/>
        <v/>
      </c>
      <c r="Y1166">
        <f t="shared" si="74"/>
        <v>0</v>
      </c>
    </row>
    <row r="1167" spans="1:25" hidden="1" x14ac:dyDescent="0.4">
      <c r="A1167" t="s">
        <v>20</v>
      </c>
      <c r="B1167">
        <v>7179079</v>
      </c>
      <c r="C1167" t="s">
        <v>2300</v>
      </c>
      <c r="D1167" t="s">
        <v>21</v>
      </c>
      <c r="E1167" t="s">
        <v>22</v>
      </c>
      <c r="K1167">
        <v>3.3397898000000002E-2</v>
      </c>
      <c r="L1167">
        <v>3.3397898000000002E-2</v>
      </c>
      <c r="M1167">
        <v>0</v>
      </c>
      <c r="N1167">
        <v>0</v>
      </c>
      <c r="O1167">
        <v>0</v>
      </c>
      <c r="P1167" s="1" t="s">
        <v>608</v>
      </c>
      <c r="Q1167">
        <v>1</v>
      </c>
      <c r="R1167">
        <v>0</v>
      </c>
      <c r="S1167">
        <v>0</v>
      </c>
      <c r="T1167" s="2">
        <v>46016</v>
      </c>
      <c r="V1167" t="str">
        <f t="shared" si="72"/>
        <v>S-7179079</v>
      </c>
      <c r="W1167">
        <f t="shared" si="75"/>
        <v>0</v>
      </c>
      <c r="X1167" t="str">
        <f t="shared" si="73"/>
        <v/>
      </c>
      <c r="Y1167">
        <f t="shared" si="74"/>
        <v>0</v>
      </c>
    </row>
    <row r="1168" spans="1:25" hidden="1" x14ac:dyDescent="0.4">
      <c r="A1168" t="s">
        <v>20</v>
      </c>
      <c r="B1168">
        <v>7186279</v>
      </c>
      <c r="C1168" t="s">
        <v>2301</v>
      </c>
      <c r="D1168" t="s">
        <v>21</v>
      </c>
      <c r="E1168" t="s">
        <v>22</v>
      </c>
      <c r="K1168">
        <v>3.3397898000000002E-2</v>
      </c>
      <c r="L1168">
        <v>3.3397898000000002E-2</v>
      </c>
      <c r="M1168">
        <v>0</v>
      </c>
      <c r="N1168">
        <v>0</v>
      </c>
      <c r="O1168">
        <v>0</v>
      </c>
      <c r="P1168" s="1" t="s">
        <v>609</v>
      </c>
      <c r="Q1168">
        <v>1</v>
      </c>
      <c r="R1168">
        <v>0</v>
      </c>
      <c r="S1168">
        <v>0</v>
      </c>
      <c r="T1168" s="2">
        <v>46017</v>
      </c>
      <c r="V1168" t="str">
        <f t="shared" si="72"/>
        <v>S-7186279</v>
      </c>
      <c r="W1168">
        <f t="shared" si="75"/>
        <v>0</v>
      </c>
      <c r="X1168" t="str">
        <f t="shared" si="73"/>
        <v/>
      </c>
      <c r="Y1168">
        <f t="shared" si="74"/>
        <v>0</v>
      </c>
    </row>
    <row r="1169" spans="1:25" hidden="1" x14ac:dyDescent="0.4">
      <c r="A1169" t="s">
        <v>20</v>
      </c>
      <c r="B1169">
        <v>7193478</v>
      </c>
      <c r="C1169" t="s">
        <v>2302</v>
      </c>
      <c r="D1169" t="s">
        <v>21</v>
      </c>
      <c r="E1169" t="s">
        <v>22</v>
      </c>
      <c r="K1169">
        <v>3.3397898000000002E-2</v>
      </c>
      <c r="L1169">
        <v>3.3397898000000002E-2</v>
      </c>
      <c r="M1169">
        <v>0</v>
      </c>
      <c r="N1169">
        <v>0</v>
      </c>
      <c r="O1169">
        <v>0</v>
      </c>
      <c r="P1169" s="1" t="s">
        <v>610</v>
      </c>
      <c r="Q1169">
        <v>1</v>
      </c>
      <c r="R1169">
        <v>0</v>
      </c>
      <c r="S1169">
        <v>0</v>
      </c>
      <c r="T1169" s="2">
        <v>46018</v>
      </c>
      <c r="V1169" t="str">
        <f t="shared" si="72"/>
        <v>S-7193478</v>
      </c>
      <c r="W1169">
        <f t="shared" si="75"/>
        <v>0</v>
      </c>
      <c r="X1169" t="str">
        <f t="shared" si="73"/>
        <v/>
      </c>
      <c r="Y1169">
        <f t="shared" si="74"/>
        <v>0</v>
      </c>
    </row>
    <row r="1170" spans="1:25" hidden="1" x14ac:dyDescent="0.4">
      <c r="A1170" t="s">
        <v>20</v>
      </c>
      <c r="B1170">
        <v>7200678</v>
      </c>
      <c r="C1170" t="s">
        <v>2303</v>
      </c>
      <c r="D1170" t="s">
        <v>21</v>
      </c>
      <c r="E1170" t="s">
        <v>22</v>
      </c>
      <c r="K1170">
        <v>3.3397898000000002E-2</v>
      </c>
      <c r="L1170">
        <v>3.3397898000000002E-2</v>
      </c>
      <c r="M1170">
        <v>0</v>
      </c>
      <c r="N1170">
        <v>0</v>
      </c>
      <c r="O1170">
        <v>0</v>
      </c>
      <c r="P1170" s="1" t="s">
        <v>611</v>
      </c>
      <c r="Q1170">
        <v>1</v>
      </c>
      <c r="R1170">
        <v>0</v>
      </c>
      <c r="S1170">
        <v>0</v>
      </c>
      <c r="T1170" s="2">
        <v>46019</v>
      </c>
      <c r="V1170" t="str">
        <f t="shared" si="72"/>
        <v>S-7200678</v>
      </c>
      <c r="W1170">
        <f t="shared" si="75"/>
        <v>0</v>
      </c>
      <c r="X1170" t="str">
        <f t="shared" si="73"/>
        <v/>
      </c>
      <c r="Y1170">
        <f t="shared" si="74"/>
        <v>0</v>
      </c>
    </row>
    <row r="1171" spans="1:25" hidden="1" x14ac:dyDescent="0.4">
      <c r="A1171" t="s">
        <v>20</v>
      </c>
      <c r="B1171">
        <v>7207878</v>
      </c>
      <c r="C1171" t="s">
        <v>2304</v>
      </c>
      <c r="D1171" t="s">
        <v>21</v>
      </c>
      <c r="E1171" t="s">
        <v>22</v>
      </c>
      <c r="K1171">
        <v>3.3397898000000002E-2</v>
      </c>
      <c r="L1171">
        <v>3.3397898000000002E-2</v>
      </c>
      <c r="M1171">
        <v>0</v>
      </c>
      <c r="N1171">
        <v>0</v>
      </c>
      <c r="O1171">
        <v>0</v>
      </c>
      <c r="P1171" s="1" t="s">
        <v>612</v>
      </c>
      <c r="Q1171">
        <v>1</v>
      </c>
      <c r="R1171">
        <v>0</v>
      </c>
      <c r="S1171">
        <v>0</v>
      </c>
      <c r="T1171" s="2">
        <v>46020</v>
      </c>
      <c r="V1171" t="str">
        <f t="shared" si="72"/>
        <v>S-7207878</v>
      </c>
      <c r="W1171">
        <f t="shared" si="75"/>
        <v>0</v>
      </c>
      <c r="X1171" t="str">
        <f t="shared" si="73"/>
        <v/>
      </c>
      <c r="Y1171">
        <f t="shared" si="74"/>
        <v>0</v>
      </c>
    </row>
    <row r="1172" spans="1:25" hidden="1" x14ac:dyDescent="0.4">
      <c r="A1172" t="s">
        <v>20</v>
      </c>
      <c r="B1172">
        <v>7215073</v>
      </c>
      <c r="C1172" t="s">
        <v>2305</v>
      </c>
      <c r="D1172" t="s">
        <v>21</v>
      </c>
      <c r="E1172" t="s">
        <v>22</v>
      </c>
      <c r="K1172">
        <v>3.3397898000000002E-2</v>
      </c>
      <c r="L1172">
        <v>3.3397898000000002E-2</v>
      </c>
      <c r="M1172">
        <v>0</v>
      </c>
      <c r="N1172">
        <v>0</v>
      </c>
      <c r="O1172">
        <v>0</v>
      </c>
      <c r="P1172" s="1" t="s">
        <v>613</v>
      </c>
      <c r="Q1172">
        <v>1</v>
      </c>
      <c r="R1172">
        <v>0</v>
      </c>
      <c r="S1172">
        <v>0</v>
      </c>
      <c r="T1172" s="2">
        <v>46021</v>
      </c>
      <c r="V1172" t="str">
        <f t="shared" si="72"/>
        <v>S-7215073</v>
      </c>
      <c r="W1172">
        <f t="shared" si="75"/>
        <v>0</v>
      </c>
      <c r="X1172" t="str">
        <f t="shared" si="73"/>
        <v/>
      </c>
      <c r="Y1172">
        <f t="shared" si="74"/>
        <v>0</v>
      </c>
    </row>
    <row r="1173" spans="1:25" hidden="1" x14ac:dyDescent="0.4">
      <c r="A1173" t="s">
        <v>20</v>
      </c>
      <c r="B1173">
        <v>7222271</v>
      </c>
      <c r="C1173" t="s">
        <v>2306</v>
      </c>
      <c r="D1173" t="s">
        <v>21</v>
      </c>
      <c r="E1173" t="s">
        <v>22</v>
      </c>
      <c r="K1173">
        <v>3.3397898000000002E-2</v>
      </c>
      <c r="L1173">
        <v>3.3397898000000002E-2</v>
      </c>
      <c r="M1173">
        <v>0</v>
      </c>
      <c r="N1173">
        <v>0</v>
      </c>
      <c r="O1173">
        <v>0</v>
      </c>
      <c r="P1173" s="1" t="s">
        <v>614</v>
      </c>
      <c r="Q1173">
        <v>1</v>
      </c>
      <c r="R1173">
        <v>0</v>
      </c>
      <c r="S1173">
        <v>0</v>
      </c>
      <c r="T1173" s="2">
        <v>46022</v>
      </c>
      <c r="V1173" t="str">
        <f t="shared" si="72"/>
        <v>S-7222271</v>
      </c>
      <c r="W1173">
        <f t="shared" si="75"/>
        <v>0</v>
      </c>
      <c r="X1173" t="str">
        <f t="shared" si="73"/>
        <v/>
      </c>
      <c r="Y1173">
        <f t="shared" si="74"/>
        <v>0</v>
      </c>
    </row>
    <row r="1174" spans="1:25" x14ac:dyDescent="0.4">
      <c r="A1174" t="s">
        <v>0</v>
      </c>
      <c r="B1174" t="s">
        <v>1</v>
      </c>
      <c r="C1174" t="s">
        <v>2</v>
      </c>
      <c r="D1174" t="s">
        <v>3</v>
      </c>
      <c r="E1174" t="s">
        <v>4</v>
      </c>
      <c r="F1174" t="s">
        <v>5</v>
      </c>
      <c r="G1174" t="s">
        <v>6</v>
      </c>
      <c r="H1174" t="s">
        <v>7</v>
      </c>
      <c r="I1174" t="s">
        <v>8</v>
      </c>
      <c r="J1174" t="s">
        <v>9</v>
      </c>
      <c r="K1174" t="s">
        <v>10</v>
      </c>
      <c r="L1174" t="s">
        <v>11</v>
      </c>
      <c r="M1174" t="s">
        <v>12</v>
      </c>
      <c r="N1174" t="s">
        <v>13</v>
      </c>
      <c r="O1174" t="s">
        <v>14</v>
      </c>
      <c r="P1174" t="s">
        <v>15</v>
      </c>
      <c r="Q1174" t="s">
        <v>16</v>
      </c>
      <c r="R1174" t="s">
        <v>17</v>
      </c>
      <c r="S1174" t="s">
        <v>18</v>
      </c>
      <c r="T1174" t="s">
        <v>19</v>
      </c>
      <c r="V1174" t="str">
        <f t="shared" si="72"/>
        <v>S-Extrinsic ID-01</v>
      </c>
      <c r="W1174">
        <f t="shared" si="75"/>
        <v>5</v>
      </c>
      <c r="X1174" t="e">
        <f t="shared" si="73"/>
        <v>#VALUE!</v>
      </c>
      <c r="Y1174" t="e">
        <f t="shared" si="74"/>
        <v>#VALUE!</v>
      </c>
    </row>
    <row r="1175" spans="1:25" x14ac:dyDescent="0.4">
      <c r="A1175" t="s">
        <v>0</v>
      </c>
      <c r="B1175" t="s">
        <v>1</v>
      </c>
      <c r="C1175" t="s">
        <v>2</v>
      </c>
      <c r="D1175" t="s">
        <v>3</v>
      </c>
      <c r="E1175" t="s">
        <v>4</v>
      </c>
      <c r="F1175" t="s">
        <v>5</v>
      </c>
      <c r="G1175" t="s">
        <v>6</v>
      </c>
      <c r="H1175" t="s">
        <v>7</v>
      </c>
      <c r="I1175" t="s">
        <v>8</v>
      </c>
      <c r="J1175" t="s">
        <v>9</v>
      </c>
      <c r="K1175" t="s">
        <v>10</v>
      </c>
      <c r="L1175" t="s">
        <v>11</v>
      </c>
      <c r="M1175" t="s">
        <v>12</v>
      </c>
      <c r="N1175" t="s">
        <v>13</v>
      </c>
      <c r="O1175" t="s">
        <v>14</v>
      </c>
      <c r="P1175" t="s">
        <v>15</v>
      </c>
      <c r="Q1175" t="s">
        <v>16</v>
      </c>
      <c r="R1175" t="s">
        <v>17</v>
      </c>
      <c r="S1175" t="s">
        <v>18</v>
      </c>
      <c r="T1175" t="s">
        <v>19</v>
      </c>
      <c r="V1175" t="str">
        <f t="shared" si="72"/>
        <v>S-Extrinsic ID-01</v>
      </c>
      <c r="W1175">
        <f t="shared" si="75"/>
        <v>5</v>
      </c>
      <c r="X1175" t="e">
        <f t="shared" si="73"/>
        <v>#VALUE!</v>
      </c>
      <c r="Y1175" t="e">
        <f t="shared" si="74"/>
        <v>#VALUE!</v>
      </c>
    </row>
    <row r="1176" spans="1:25" x14ac:dyDescent="0.4">
      <c r="A1176" t="s">
        <v>0</v>
      </c>
      <c r="B1176" t="s">
        <v>1</v>
      </c>
      <c r="C1176" t="s">
        <v>2</v>
      </c>
      <c r="D1176" t="s">
        <v>3</v>
      </c>
      <c r="E1176" t="s">
        <v>4</v>
      </c>
      <c r="F1176" t="s">
        <v>5</v>
      </c>
      <c r="G1176" t="s">
        <v>6</v>
      </c>
      <c r="H1176" t="s">
        <v>7</v>
      </c>
      <c r="I1176" t="s">
        <v>8</v>
      </c>
      <c r="J1176" t="s">
        <v>9</v>
      </c>
      <c r="K1176" t="s">
        <v>10</v>
      </c>
      <c r="L1176" t="s">
        <v>11</v>
      </c>
      <c r="M1176" t="s">
        <v>12</v>
      </c>
      <c r="N1176" t="s">
        <v>13</v>
      </c>
      <c r="O1176" t="s">
        <v>14</v>
      </c>
      <c r="P1176" t="s">
        <v>15</v>
      </c>
      <c r="Q1176" t="s">
        <v>16</v>
      </c>
      <c r="R1176" t="s">
        <v>17</v>
      </c>
      <c r="S1176" t="s">
        <v>18</v>
      </c>
      <c r="T1176" t="s">
        <v>19</v>
      </c>
      <c r="V1176" t="str">
        <f t="shared" si="72"/>
        <v>S-Extrinsic ID-01</v>
      </c>
      <c r="W1176">
        <f t="shared" si="75"/>
        <v>5</v>
      </c>
      <c r="X1176" t="e">
        <f t="shared" si="73"/>
        <v>#VALUE!</v>
      </c>
      <c r="Y1176" t="e">
        <f t="shared" si="74"/>
        <v>#VALUE!</v>
      </c>
    </row>
    <row r="1177" spans="1:25" x14ac:dyDescent="0.4">
      <c r="A1177" t="s">
        <v>0</v>
      </c>
      <c r="B1177" t="s">
        <v>1</v>
      </c>
      <c r="C1177" t="s">
        <v>2</v>
      </c>
      <c r="D1177" t="s">
        <v>3</v>
      </c>
      <c r="E1177" t="s">
        <v>4</v>
      </c>
      <c r="F1177" t="s">
        <v>5</v>
      </c>
      <c r="G1177" t="s">
        <v>6</v>
      </c>
      <c r="H1177" t="s">
        <v>7</v>
      </c>
      <c r="I1177" t="s">
        <v>8</v>
      </c>
      <c r="J1177" t="s">
        <v>9</v>
      </c>
      <c r="K1177" t="s">
        <v>10</v>
      </c>
      <c r="L1177" t="s">
        <v>11</v>
      </c>
      <c r="M1177" t="s">
        <v>12</v>
      </c>
      <c r="N1177" t="s">
        <v>13</v>
      </c>
      <c r="O1177" t="s">
        <v>14</v>
      </c>
      <c r="P1177" t="s">
        <v>15</v>
      </c>
      <c r="Q1177" t="s">
        <v>16</v>
      </c>
      <c r="R1177" t="s">
        <v>17</v>
      </c>
      <c r="S1177" t="s">
        <v>18</v>
      </c>
      <c r="T1177" t="s">
        <v>19</v>
      </c>
      <c r="V1177" t="str">
        <f t="shared" si="72"/>
        <v>S-Extrinsic ID-01</v>
      </c>
      <c r="W1177">
        <f t="shared" si="75"/>
        <v>5</v>
      </c>
      <c r="X1177" t="e">
        <f t="shared" si="73"/>
        <v>#VALUE!</v>
      </c>
      <c r="Y1177" t="e">
        <f t="shared" si="74"/>
        <v>#VALUE!</v>
      </c>
    </row>
    <row r="1178" spans="1:25" x14ac:dyDescent="0.4">
      <c r="P1178" s="1"/>
      <c r="Q1178" s="1"/>
      <c r="T1178" s="2"/>
    </row>
    <row r="1179" spans="1:25" x14ac:dyDescent="0.4">
      <c r="P1179" s="1"/>
      <c r="Q1179" s="1"/>
      <c r="T1179" s="2"/>
    </row>
    <row r="1180" spans="1:25" x14ac:dyDescent="0.4">
      <c r="P1180" s="1"/>
      <c r="Q1180" s="1"/>
      <c r="T1180" s="2"/>
    </row>
    <row r="1181" spans="1:25" x14ac:dyDescent="0.4">
      <c r="P1181" s="1"/>
      <c r="Q1181" s="1"/>
      <c r="T1181" s="2"/>
    </row>
    <row r="1182" spans="1:25" x14ac:dyDescent="0.4">
      <c r="P1182" s="1"/>
      <c r="Q1182" s="1"/>
      <c r="T1182" s="2"/>
    </row>
    <row r="1183" spans="1:25" x14ac:dyDescent="0.4">
      <c r="P1183" s="1"/>
      <c r="Q1183" s="1"/>
      <c r="T1183" s="2"/>
    </row>
    <row r="1184" spans="1:25" x14ac:dyDescent="0.4">
      <c r="P1184" s="1"/>
      <c r="T1184" s="2"/>
    </row>
    <row r="1185" spans="16:20" x14ac:dyDescent="0.4">
      <c r="P1185" s="1"/>
      <c r="T1185" s="2"/>
    </row>
    <row r="1186" spans="16:20" x14ac:dyDescent="0.4">
      <c r="P1186" s="1"/>
      <c r="Q1186" s="1"/>
      <c r="T1186" s="2"/>
    </row>
    <row r="1187" spans="16:20" x14ac:dyDescent="0.4">
      <c r="P1187" s="1"/>
      <c r="Q1187" s="1"/>
      <c r="T1187" s="2"/>
    </row>
    <row r="1188" spans="16:20" x14ac:dyDescent="0.4">
      <c r="P1188" s="1"/>
      <c r="Q1188" s="1"/>
      <c r="T1188" s="2"/>
    </row>
    <row r="1189" spans="16:20" x14ac:dyDescent="0.4">
      <c r="P1189" s="1"/>
      <c r="Q1189" s="1"/>
      <c r="T1189" s="2"/>
    </row>
    <row r="1190" spans="16:20" x14ac:dyDescent="0.4">
      <c r="P1190" s="1"/>
      <c r="Q1190" s="1"/>
      <c r="T1190" s="2"/>
    </row>
    <row r="1191" spans="16:20" x14ac:dyDescent="0.4">
      <c r="P1191" s="1"/>
      <c r="T1191" s="2"/>
    </row>
    <row r="1192" spans="16:20" x14ac:dyDescent="0.4">
      <c r="P1192" s="1"/>
      <c r="Q1192" s="1"/>
      <c r="T1192" s="2"/>
    </row>
    <row r="1193" spans="16:20" x14ac:dyDescent="0.4">
      <c r="P1193" s="1"/>
      <c r="T1193" s="2"/>
    </row>
    <row r="1194" spans="16:20" x14ac:dyDescent="0.4">
      <c r="P1194" s="1"/>
      <c r="T1194" s="2"/>
    </row>
    <row r="1195" spans="16:20" x14ac:dyDescent="0.4">
      <c r="P1195" s="1"/>
      <c r="T1195" s="2"/>
    </row>
    <row r="1196" spans="16:20" x14ac:dyDescent="0.4">
      <c r="P1196" s="1"/>
      <c r="Q1196" s="1"/>
      <c r="T1196" s="2"/>
    </row>
    <row r="1197" spans="16:20" x14ac:dyDescent="0.4">
      <c r="P1197" s="1"/>
      <c r="Q1197" s="1"/>
      <c r="T1197" s="2"/>
    </row>
    <row r="1198" spans="16:20" x14ac:dyDescent="0.4">
      <c r="P1198" s="1"/>
      <c r="Q1198" s="1"/>
      <c r="T1198" s="2"/>
    </row>
    <row r="1199" spans="16:20" x14ac:dyDescent="0.4">
      <c r="P1199" s="1"/>
      <c r="Q1199" s="1"/>
      <c r="T1199" s="2"/>
    </row>
    <row r="1200" spans="16:20" x14ac:dyDescent="0.4">
      <c r="P1200" s="1"/>
      <c r="Q1200" s="1"/>
      <c r="T1200" s="2"/>
    </row>
    <row r="1203" spans="16:20" x14ac:dyDescent="0.4">
      <c r="P1203" s="1"/>
      <c r="Q1203" s="1"/>
      <c r="T1203" s="2"/>
    </row>
    <row r="1205" spans="16:20" x14ac:dyDescent="0.4">
      <c r="P1205" s="1"/>
      <c r="T1205" s="2"/>
    </row>
    <row r="1206" spans="16:20" x14ac:dyDescent="0.4">
      <c r="P1206" s="1"/>
      <c r="Q1206" s="1"/>
      <c r="T1206" s="2"/>
    </row>
    <row r="1209" spans="16:20" x14ac:dyDescent="0.4">
      <c r="P1209" s="1"/>
      <c r="Q1209" s="1"/>
      <c r="T1209" s="2"/>
    </row>
    <row r="1211" spans="16:20" x14ac:dyDescent="0.4">
      <c r="P1211" s="1"/>
      <c r="Q1211" s="1"/>
      <c r="T1211" s="2"/>
    </row>
    <row r="1212" spans="16:20" x14ac:dyDescent="0.4">
      <c r="P1212" s="1"/>
      <c r="T1212" s="2"/>
    </row>
    <row r="1213" spans="16:20" x14ac:dyDescent="0.4">
      <c r="P1213" s="1"/>
      <c r="Q1213" s="1"/>
      <c r="T1213" s="2"/>
    </row>
    <row r="1214" spans="16:20" x14ac:dyDescent="0.4">
      <c r="P1214" s="1"/>
      <c r="T1214" s="2"/>
    </row>
    <row r="1215" spans="16:20" x14ac:dyDescent="0.4">
      <c r="P1215" s="1"/>
      <c r="Q1215" s="1"/>
      <c r="T1215" s="2"/>
    </row>
    <row r="1216" spans="16:20" x14ac:dyDescent="0.4">
      <c r="P1216" s="1"/>
      <c r="T1216" s="2"/>
    </row>
    <row r="1217" spans="16:20" x14ac:dyDescent="0.4">
      <c r="P1217" s="1"/>
      <c r="T1217" s="2"/>
    </row>
    <row r="1218" spans="16:20" x14ac:dyDescent="0.4">
      <c r="P1218" s="1"/>
      <c r="Q1218" s="1"/>
      <c r="T1218" s="2"/>
    </row>
    <row r="1219" spans="16:20" x14ac:dyDescent="0.4">
      <c r="P1219" s="1"/>
      <c r="Q1219" s="1"/>
      <c r="T1219" s="2"/>
    </row>
    <row r="1220" spans="16:20" x14ac:dyDescent="0.4">
      <c r="P1220" s="1"/>
      <c r="Q1220" s="1"/>
      <c r="T1220" s="2"/>
    </row>
    <row r="1221" spans="16:20" x14ac:dyDescent="0.4">
      <c r="P1221" s="1"/>
      <c r="Q1221" s="1"/>
      <c r="T1221" s="2"/>
    </row>
    <row r="1222" spans="16:20" x14ac:dyDescent="0.4">
      <c r="P1222" s="1"/>
      <c r="Q1222" s="1"/>
      <c r="T1222" s="2"/>
    </row>
    <row r="1226" spans="16:20" x14ac:dyDescent="0.4">
      <c r="P1226" s="1"/>
      <c r="T1226" s="2"/>
    </row>
    <row r="1227" spans="16:20" x14ac:dyDescent="0.4">
      <c r="P1227" s="1"/>
      <c r="T1227" s="2"/>
    </row>
    <row r="1228" spans="16:20" x14ac:dyDescent="0.4">
      <c r="P1228" s="1"/>
      <c r="Q1228" s="1"/>
      <c r="T1228" s="2"/>
    </row>
    <row r="1229" spans="16:20" x14ac:dyDescent="0.4">
      <c r="P1229" s="1"/>
      <c r="Q1229" s="1"/>
      <c r="T1229" s="2"/>
    </row>
    <row r="1230" spans="16:20" x14ac:dyDescent="0.4">
      <c r="P1230" s="1"/>
      <c r="Q1230" s="1"/>
      <c r="T1230" s="2"/>
    </row>
    <row r="1231" spans="16:20" x14ac:dyDescent="0.4">
      <c r="P1231" s="1"/>
      <c r="Q1231" s="1"/>
      <c r="T1231" s="2"/>
    </row>
    <row r="1233" spans="16:20" x14ac:dyDescent="0.4">
      <c r="P1233" s="1"/>
      <c r="Q1233" s="1"/>
      <c r="T1233" s="2"/>
    </row>
    <row r="1234" spans="16:20" x14ac:dyDescent="0.4">
      <c r="P1234" s="1"/>
      <c r="Q1234" s="1"/>
      <c r="T1234" s="2"/>
    </row>
    <row r="1235" spans="16:20" x14ac:dyDescent="0.4">
      <c r="P1235" s="1"/>
      <c r="Q1235" s="1"/>
      <c r="T1235" s="2"/>
    </row>
    <row r="1236" spans="16:20" x14ac:dyDescent="0.4">
      <c r="P1236" s="1"/>
      <c r="T1236" s="2"/>
    </row>
    <row r="1237" spans="16:20" x14ac:dyDescent="0.4">
      <c r="P1237" s="1"/>
      <c r="T1237" s="2"/>
    </row>
    <row r="1238" spans="16:20" x14ac:dyDescent="0.4">
      <c r="P1238" s="1"/>
      <c r="Q1238" s="1"/>
      <c r="T1238" s="2"/>
    </row>
    <row r="1239" spans="16:20" x14ac:dyDescent="0.4">
      <c r="P1239" s="1"/>
      <c r="Q1239" s="1"/>
      <c r="T1239" s="2"/>
    </row>
    <row r="1240" spans="16:20" x14ac:dyDescent="0.4">
      <c r="P1240" s="1"/>
      <c r="Q1240" s="1"/>
      <c r="T1240" s="2"/>
    </row>
    <row r="1241" spans="16:20" x14ac:dyDescent="0.4">
      <c r="P1241" s="1"/>
      <c r="Q1241" s="1"/>
      <c r="T1241" s="2"/>
    </row>
    <row r="1242" spans="16:20" x14ac:dyDescent="0.4">
      <c r="P1242" s="1"/>
      <c r="Q1242" s="1"/>
      <c r="T1242" s="2"/>
    </row>
    <row r="1243" spans="16:20" x14ac:dyDescent="0.4">
      <c r="P1243" s="1"/>
      <c r="T1243" s="2"/>
    </row>
    <row r="1245" spans="16:20" x14ac:dyDescent="0.4">
      <c r="P1245" s="1"/>
      <c r="Q1245" s="1"/>
      <c r="T1245" s="2"/>
    </row>
    <row r="1246" spans="16:20" x14ac:dyDescent="0.4">
      <c r="P1246" s="1"/>
      <c r="T1246" s="2"/>
    </row>
    <row r="1247" spans="16:20" x14ac:dyDescent="0.4">
      <c r="P1247" s="1"/>
      <c r="T1247" s="2"/>
    </row>
    <row r="1248" spans="16:20" x14ac:dyDescent="0.4">
      <c r="P1248" s="1"/>
      <c r="Q1248" s="1"/>
      <c r="T1248" s="2"/>
    </row>
    <row r="1249" spans="16:20" x14ac:dyDescent="0.4">
      <c r="P1249" s="1"/>
      <c r="Q1249" s="1"/>
      <c r="T1249" s="2"/>
    </row>
    <row r="1250" spans="16:20" x14ac:dyDescent="0.4">
      <c r="P1250" s="1"/>
      <c r="Q1250" s="1"/>
      <c r="T1250" s="2"/>
    </row>
    <row r="1251" spans="16:20" x14ac:dyDescent="0.4">
      <c r="P1251" s="1"/>
      <c r="Q1251" s="1"/>
      <c r="T1251" s="2"/>
    </row>
    <row r="1252" spans="16:20" x14ac:dyDescent="0.4">
      <c r="T1252" s="2"/>
    </row>
    <row r="1253" spans="16:20" x14ac:dyDescent="0.4">
      <c r="P1253" s="1"/>
      <c r="Q1253" s="1"/>
      <c r="T1253" s="2"/>
    </row>
    <row r="1254" spans="16:20" x14ac:dyDescent="0.4">
      <c r="P1254" s="1"/>
      <c r="Q1254" s="1"/>
      <c r="T1254" s="2"/>
    </row>
    <row r="1255" spans="16:20" x14ac:dyDescent="0.4">
      <c r="P1255" s="1"/>
      <c r="T1255" s="2"/>
    </row>
    <row r="1256" spans="16:20" x14ac:dyDescent="0.4">
      <c r="P1256" s="1"/>
      <c r="T1256" s="2"/>
    </row>
    <row r="1257" spans="16:20" x14ac:dyDescent="0.4">
      <c r="P1257" s="1"/>
      <c r="T1257" s="2"/>
    </row>
    <row r="1258" spans="16:20" x14ac:dyDescent="0.4">
      <c r="P1258" s="1"/>
      <c r="Q1258" s="1"/>
      <c r="T1258" s="2"/>
    </row>
    <row r="1259" spans="16:20" x14ac:dyDescent="0.4">
      <c r="P1259" s="1"/>
      <c r="Q1259" s="1"/>
      <c r="T1259" s="2"/>
    </row>
    <row r="1260" spans="16:20" x14ac:dyDescent="0.4">
      <c r="P1260" s="1"/>
      <c r="Q1260" s="1"/>
      <c r="T1260" s="2"/>
    </row>
    <row r="1261" spans="16:20" x14ac:dyDescent="0.4">
      <c r="P1261" s="1"/>
      <c r="Q1261" s="1"/>
      <c r="T1261" s="2"/>
    </row>
    <row r="1262" spans="16:20" x14ac:dyDescent="0.4">
      <c r="P1262" s="1"/>
      <c r="Q1262" s="1"/>
      <c r="T1262" s="2"/>
    </row>
    <row r="1263" spans="16:20" x14ac:dyDescent="0.4">
      <c r="P1263" s="1"/>
      <c r="Q1263" s="1"/>
      <c r="T1263" s="2"/>
    </row>
    <row r="1264" spans="16:20" x14ac:dyDescent="0.4">
      <c r="P1264" s="1"/>
      <c r="Q1264" s="1"/>
      <c r="T1264" s="2"/>
    </row>
    <row r="1265" spans="16:20" x14ac:dyDescent="0.4">
      <c r="P1265" s="1"/>
      <c r="Q1265" s="1"/>
      <c r="T1265" s="2"/>
    </row>
    <row r="1266" spans="16:20" x14ac:dyDescent="0.4">
      <c r="P1266" s="1"/>
      <c r="T1266" s="2"/>
    </row>
    <row r="1267" spans="16:20" x14ac:dyDescent="0.4">
      <c r="P1267" s="1"/>
      <c r="T1267" s="2"/>
    </row>
    <row r="1268" spans="16:20" x14ac:dyDescent="0.4">
      <c r="P1268" s="1"/>
      <c r="Q1268" s="1"/>
      <c r="T1268" s="2"/>
    </row>
    <row r="1269" spans="16:20" x14ac:dyDescent="0.4">
      <c r="P1269" s="1"/>
      <c r="Q1269" s="1"/>
      <c r="T1269" s="2"/>
    </row>
    <row r="1270" spans="16:20" x14ac:dyDescent="0.4">
      <c r="P1270" s="1"/>
      <c r="Q1270" s="1"/>
      <c r="T1270" s="2"/>
    </row>
    <row r="1271" spans="16:20" x14ac:dyDescent="0.4">
      <c r="P1271" s="1"/>
      <c r="Q1271" s="1"/>
      <c r="T1271" s="2"/>
    </row>
    <row r="1272" spans="16:20" x14ac:dyDescent="0.4">
      <c r="P1272" s="1"/>
      <c r="Q1272" s="1"/>
      <c r="T1272" s="2"/>
    </row>
    <row r="1274" spans="16:20" x14ac:dyDescent="0.4">
      <c r="P1274" s="1"/>
      <c r="Q1274" s="1"/>
      <c r="T1274" s="2"/>
    </row>
    <row r="1276" spans="16:20" x14ac:dyDescent="0.4">
      <c r="P1276" s="1"/>
      <c r="T1276" s="2"/>
    </row>
    <row r="1277" spans="16:20" x14ac:dyDescent="0.4">
      <c r="P1277" s="1"/>
      <c r="T1277" s="2"/>
    </row>
    <row r="1278" spans="16:20" x14ac:dyDescent="0.4">
      <c r="P1278" s="1"/>
      <c r="Q1278" s="1"/>
      <c r="T1278" s="2"/>
    </row>
    <row r="1279" spans="16:20" x14ac:dyDescent="0.4">
      <c r="P1279" s="1"/>
      <c r="Q1279" s="1"/>
      <c r="T1279" s="2"/>
    </row>
    <row r="1280" spans="16:20" x14ac:dyDescent="0.4">
      <c r="P1280" s="1"/>
      <c r="Q1280" s="1"/>
      <c r="T1280" s="2"/>
    </row>
    <row r="1281" spans="16:20" x14ac:dyDescent="0.4">
      <c r="P1281" s="1"/>
      <c r="Q1281" s="1"/>
      <c r="T1281" s="2"/>
    </row>
    <row r="1282" spans="16:20" x14ac:dyDescent="0.4">
      <c r="P1282" s="1"/>
      <c r="Q1282" s="1"/>
      <c r="T1282" s="2"/>
    </row>
    <row r="1283" spans="16:20" x14ac:dyDescent="0.4">
      <c r="P1283" s="1"/>
      <c r="Q1283" s="1"/>
      <c r="T1283" s="2"/>
    </row>
    <row r="1284" spans="16:20" x14ac:dyDescent="0.4">
      <c r="P1284" s="1"/>
      <c r="Q1284" s="1"/>
      <c r="T1284" s="2"/>
    </row>
    <row r="1285" spans="16:20" x14ac:dyDescent="0.4">
      <c r="P1285" s="1"/>
      <c r="Q1285" s="1"/>
      <c r="T1285" s="2"/>
    </row>
    <row r="1286" spans="16:20" x14ac:dyDescent="0.4">
      <c r="P1286" s="1"/>
      <c r="T1286" s="2"/>
    </row>
    <row r="1287" spans="16:20" x14ac:dyDescent="0.4">
      <c r="P1287" s="1"/>
      <c r="T1287" s="2"/>
    </row>
    <row r="1288" spans="16:20" x14ac:dyDescent="0.4">
      <c r="P1288" s="1"/>
      <c r="Q1288" s="1"/>
      <c r="T1288" s="2"/>
    </row>
    <row r="1289" spans="16:20" x14ac:dyDescent="0.4">
      <c r="P1289" s="1"/>
      <c r="Q1289" s="1"/>
      <c r="T1289" s="2"/>
    </row>
    <row r="1290" spans="16:20" x14ac:dyDescent="0.4">
      <c r="P1290" s="1"/>
      <c r="Q1290" s="1"/>
      <c r="T1290" s="2"/>
    </row>
    <row r="1291" spans="16:20" x14ac:dyDescent="0.4">
      <c r="P1291" s="1"/>
      <c r="Q1291" s="1"/>
      <c r="T1291" s="2"/>
    </row>
    <row r="1292" spans="16:20" x14ac:dyDescent="0.4">
      <c r="P1292" s="1"/>
      <c r="T1292" s="2"/>
    </row>
    <row r="1293" spans="16:20" x14ac:dyDescent="0.4">
      <c r="P1293" s="1"/>
      <c r="Q1293" s="1"/>
      <c r="T1293" s="2"/>
    </row>
    <row r="1295" spans="16:20" x14ac:dyDescent="0.4">
      <c r="P1295" s="1"/>
      <c r="Q1295" s="1"/>
      <c r="T1295" s="2"/>
    </row>
    <row r="1296" spans="16:20" x14ac:dyDescent="0.4">
      <c r="P1296" s="1"/>
      <c r="T1296" s="2"/>
    </row>
    <row r="1297" spans="16:20" x14ac:dyDescent="0.4">
      <c r="P1297" s="1"/>
      <c r="T1297" s="2"/>
    </row>
    <row r="1298" spans="16:20" x14ac:dyDescent="0.4">
      <c r="P1298" s="1"/>
      <c r="Q1298" s="1"/>
      <c r="T1298" s="2"/>
    </row>
    <row r="1299" spans="16:20" x14ac:dyDescent="0.4">
      <c r="P1299" s="1"/>
      <c r="Q1299" s="1"/>
      <c r="T1299" s="2"/>
    </row>
    <row r="1300" spans="16:20" x14ac:dyDescent="0.4">
      <c r="P1300" s="1"/>
      <c r="Q1300" s="1"/>
      <c r="T1300" s="2"/>
    </row>
    <row r="1301" spans="16:20" x14ac:dyDescent="0.4">
      <c r="P1301" s="1"/>
      <c r="Q1301" s="1"/>
      <c r="T1301" s="2"/>
    </row>
    <row r="1302" spans="16:20" x14ac:dyDescent="0.4">
      <c r="P1302" s="1"/>
      <c r="Q1302" s="1"/>
      <c r="T1302" s="2"/>
    </row>
    <row r="1303" spans="16:20" x14ac:dyDescent="0.4">
      <c r="P1303" s="1"/>
      <c r="Q1303" s="1"/>
      <c r="T1303" s="2"/>
    </row>
    <row r="1304" spans="16:20" x14ac:dyDescent="0.4">
      <c r="P1304" s="1"/>
      <c r="Q1304" s="1"/>
      <c r="T1304" s="2"/>
    </row>
    <row r="1305" spans="16:20" x14ac:dyDescent="0.4">
      <c r="P1305" s="1"/>
      <c r="T1305" s="2"/>
    </row>
    <row r="1306" spans="16:20" x14ac:dyDescent="0.4">
      <c r="P1306" s="1"/>
      <c r="T1306" s="2"/>
    </row>
    <row r="1307" spans="16:20" x14ac:dyDescent="0.4">
      <c r="P1307" s="1"/>
      <c r="T1307" s="2"/>
    </row>
    <row r="1308" spans="16:20" x14ac:dyDescent="0.4">
      <c r="P1308" s="1"/>
      <c r="Q1308" s="1"/>
      <c r="T1308" s="2"/>
    </row>
    <row r="1309" spans="16:20" x14ac:dyDescent="0.4">
      <c r="P1309" s="1"/>
      <c r="Q1309" s="1"/>
      <c r="T1309" s="2"/>
    </row>
    <row r="1310" spans="16:20" x14ac:dyDescent="0.4">
      <c r="P1310" s="1"/>
      <c r="Q1310" s="1"/>
      <c r="T1310" s="2"/>
    </row>
    <row r="1311" spans="16:20" x14ac:dyDescent="0.4">
      <c r="P1311" s="1"/>
      <c r="Q1311" s="1"/>
      <c r="T1311" s="2"/>
    </row>
    <row r="1315" spans="16:20" x14ac:dyDescent="0.4">
      <c r="P1315" s="1"/>
      <c r="Q1315" s="1"/>
      <c r="T1315" s="2"/>
    </row>
    <row r="1317" spans="16:20" x14ac:dyDescent="0.4">
      <c r="P1317" s="1"/>
      <c r="Q1317" s="1"/>
      <c r="T1317" s="2"/>
    </row>
    <row r="1318" spans="16:20" x14ac:dyDescent="0.4">
      <c r="P1318" s="1"/>
      <c r="Q1318" s="1"/>
      <c r="T1318" s="2"/>
    </row>
    <row r="1319" spans="16:20" x14ac:dyDescent="0.4">
      <c r="P1319" s="1"/>
      <c r="Q1319" s="1"/>
      <c r="T1319" s="2"/>
    </row>
    <row r="1320" spans="16:20" x14ac:dyDescent="0.4">
      <c r="T1320" s="2"/>
    </row>
    <row r="1321" spans="16:20" x14ac:dyDescent="0.4">
      <c r="P1321" s="1"/>
      <c r="T1321" s="2"/>
    </row>
    <row r="1322" spans="16:20" x14ac:dyDescent="0.4">
      <c r="P1322" s="1"/>
      <c r="Q1322" s="1"/>
      <c r="T1322" s="2"/>
    </row>
    <row r="1323" spans="16:20" x14ac:dyDescent="0.4">
      <c r="P1323" s="1"/>
      <c r="Q1323" s="1"/>
      <c r="T1323" s="2"/>
    </row>
    <row r="1324" spans="16:20" x14ac:dyDescent="0.4">
      <c r="P1324" s="1"/>
      <c r="Q1324" s="1"/>
      <c r="T1324" s="2"/>
    </row>
    <row r="1325" spans="16:20" x14ac:dyDescent="0.4">
      <c r="P1325" s="1"/>
      <c r="Q1325" s="1"/>
      <c r="T1325" s="2"/>
    </row>
    <row r="1326" spans="16:20" x14ac:dyDescent="0.4">
      <c r="P1326" s="1"/>
      <c r="Q1326" s="1"/>
      <c r="T1326" s="2"/>
    </row>
    <row r="1327" spans="16:20" x14ac:dyDescent="0.4">
      <c r="P1327" s="1"/>
      <c r="T1327" s="2"/>
    </row>
    <row r="1328" spans="16:20" x14ac:dyDescent="0.4">
      <c r="P1328" s="1"/>
      <c r="Q1328" s="1"/>
      <c r="T1328" s="2"/>
    </row>
    <row r="1330" spans="16:20" x14ac:dyDescent="0.4">
      <c r="P1330" s="1"/>
      <c r="T1330" s="2"/>
    </row>
    <row r="1331" spans="16:20" x14ac:dyDescent="0.4">
      <c r="P1331" s="1"/>
      <c r="T1331" s="2"/>
    </row>
    <row r="1332" spans="16:20" x14ac:dyDescent="0.4">
      <c r="P1332" s="1"/>
      <c r="Q1332" s="1"/>
      <c r="T1332" s="2"/>
    </row>
    <row r="1333" spans="16:20" x14ac:dyDescent="0.4">
      <c r="P1333" s="1"/>
      <c r="Q1333" s="1"/>
      <c r="T1333" s="2"/>
    </row>
    <row r="1334" spans="16:20" x14ac:dyDescent="0.4">
      <c r="P1334" s="1"/>
      <c r="Q1334" s="1"/>
      <c r="T1334" s="2"/>
    </row>
    <row r="1335" spans="16:20" x14ac:dyDescent="0.4">
      <c r="P1335" s="1"/>
      <c r="Q1335" s="1"/>
      <c r="T1335" s="2"/>
    </row>
    <row r="1336" spans="16:20" x14ac:dyDescent="0.4">
      <c r="P1336" s="1"/>
      <c r="Q1336" s="1"/>
      <c r="T1336" s="2"/>
    </row>
    <row r="1337" spans="16:20" x14ac:dyDescent="0.4">
      <c r="P1337" s="1"/>
      <c r="Q1337" s="1"/>
      <c r="T1337" s="2"/>
    </row>
    <row r="1338" spans="16:20" x14ac:dyDescent="0.4">
      <c r="P1338" s="1"/>
      <c r="Q1338" s="1"/>
      <c r="T1338" s="2"/>
    </row>
    <row r="1339" spans="16:20" x14ac:dyDescent="0.4">
      <c r="P1339" s="1"/>
      <c r="Q1339" s="1"/>
      <c r="T1339" s="2"/>
    </row>
    <row r="1340" spans="16:20" x14ac:dyDescent="0.4">
      <c r="P1340" s="1"/>
      <c r="T1340" s="2"/>
    </row>
    <row r="1341" spans="16:20" x14ac:dyDescent="0.4">
      <c r="P1341" s="1"/>
      <c r="T1341" s="2"/>
    </row>
    <row r="1342" spans="16:20" x14ac:dyDescent="0.4">
      <c r="P1342" s="1"/>
      <c r="Q1342" s="1"/>
      <c r="T1342" s="2"/>
    </row>
    <row r="1343" spans="16:20" x14ac:dyDescent="0.4">
      <c r="P1343" s="1"/>
      <c r="Q1343" s="1"/>
      <c r="T1343" s="2"/>
    </row>
    <row r="1344" spans="16:20" x14ac:dyDescent="0.4">
      <c r="P1344" s="1"/>
      <c r="Q1344" s="1"/>
      <c r="T1344" s="2"/>
    </row>
    <row r="1345" spans="16:20" x14ac:dyDescent="0.4">
      <c r="P1345" s="1"/>
      <c r="Q1345" s="1"/>
      <c r="T1345" s="2"/>
    </row>
    <row r="1346" spans="16:20" x14ac:dyDescent="0.4">
      <c r="P1346" s="1"/>
      <c r="T1346" s="2"/>
    </row>
    <row r="1347" spans="16:20" x14ac:dyDescent="0.4">
      <c r="P1347" s="1"/>
      <c r="Q1347" s="1"/>
      <c r="T1347" s="2"/>
    </row>
    <row r="1348" spans="16:20" x14ac:dyDescent="0.4">
      <c r="P1348" s="1"/>
      <c r="T1348" s="2"/>
    </row>
    <row r="1349" spans="16:20" x14ac:dyDescent="0.4">
      <c r="P1349" s="1"/>
      <c r="Q1349" s="1"/>
      <c r="T1349" s="2"/>
    </row>
    <row r="1350" spans="16:20" x14ac:dyDescent="0.4">
      <c r="P1350" s="1"/>
      <c r="T1350" s="2"/>
    </row>
    <row r="1351" spans="16:20" x14ac:dyDescent="0.4">
      <c r="P1351" s="1"/>
      <c r="T1351" s="2"/>
    </row>
    <row r="1352" spans="16:20" x14ac:dyDescent="0.4">
      <c r="P1352" s="1"/>
      <c r="Q1352" s="1"/>
      <c r="T1352" s="2"/>
    </row>
    <row r="1353" spans="16:20" x14ac:dyDescent="0.4">
      <c r="P1353" s="1"/>
      <c r="Q1353" s="1"/>
      <c r="T1353" s="2"/>
    </row>
    <row r="1354" spans="16:20" x14ac:dyDescent="0.4">
      <c r="P1354" s="1"/>
      <c r="Q1354" s="1"/>
      <c r="T1354" s="2"/>
    </row>
    <row r="1355" spans="16:20" x14ac:dyDescent="0.4">
      <c r="P1355" s="1"/>
      <c r="Q1355" s="1"/>
      <c r="T1355" s="2"/>
    </row>
    <row r="1356" spans="16:20" x14ac:dyDescent="0.4">
      <c r="P1356" s="1"/>
      <c r="Q1356" s="1"/>
      <c r="T1356" s="2"/>
    </row>
    <row r="1357" spans="16:20" x14ac:dyDescent="0.4">
      <c r="P1357" s="1"/>
      <c r="Q1357" s="1"/>
      <c r="T1357" s="2"/>
    </row>
    <row r="1358" spans="16:20" x14ac:dyDescent="0.4">
      <c r="P1358" s="1"/>
      <c r="Q1358" s="1"/>
      <c r="T1358" s="2"/>
    </row>
    <row r="1359" spans="16:20" x14ac:dyDescent="0.4">
      <c r="P1359" s="1"/>
      <c r="T1359" s="2"/>
    </row>
    <row r="1360" spans="16:20" x14ac:dyDescent="0.4">
      <c r="P1360" s="1"/>
      <c r="T1360" s="2"/>
    </row>
    <row r="1361" spans="16:20" x14ac:dyDescent="0.4">
      <c r="P1361" s="1"/>
      <c r="T1361" s="2"/>
    </row>
    <row r="1362" spans="16:20" x14ac:dyDescent="0.4">
      <c r="P1362" s="1"/>
      <c r="Q1362" s="1"/>
      <c r="T1362" s="2"/>
    </row>
    <row r="1363" spans="16:20" x14ac:dyDescent="0.4">
      <c r="P1363" s="1"/>
      <c r="Q1363" s="1"/>
      <c r="T1363" s="2"/>
    </row>
    <row r="1364" spans="16:20" x14ac:dyDescent="0.4">
      <c r="P1364" s="1"/>
      <c r="Q1364" s="1"/>
      <c r="T1364" s="2"/>
    </row>
    <row r="1365" spans="16:20" x14ac:dyDescent="0.4">
      <c r="P1365" s="1"/>
      <c r="Q1365" s="1"/>
      <c r="T1365" s="2"/>
    </row>
    <row r="1366" spans="16:20" x14ac:dyDescent="0.4">
      <c r="P1366" s="1"/>
      <c r="Q1366" s="1"/>
      <c r="T1366" s="2"/>
    </row>
    <row r="1367" spans="16:20" x14ac:dyDescent="0.4">
      <c r="P1367" s="1"/>
      <c r="Q1367" s="1"/>
      <c r="T1367" s="2"/>
    </row>
    <row r="1368" spans="16:20" x14ac:dyDescent="0.4">
      <c r="P1368" s="1"/>
      <c r="T1368" s="2"/>
    </row>
    <row r="1369" spans="16:20" x14ac:dyDescent="0.4">
      <c r="P1369" s="1"/>
      <c r="Q1369" s="1"/>
      <c r="T1369" s="2"/>
    </row>
    <row r="1370" spans="16:20" x14ac:dyDescent="0.4">
      <c r="P1370" s="1"/>
      <c r="T1370" s="2"/>
    </row>
    <row r="1371" spans="16:20" x14ac:dyDescent="0.4">
      <c r="P1371" s="1"/>
      <c r="T1371" s="2"/>
    </row>
    <row r="1372" spans="16:20" x14ac:dyDescent="0.4">
      <c r="P1372" s="1"/>
      <c r="Q1372" s="1"/>
      <c r="T1372" s="2"/>
    </row>
    <row r="1373" spans="16:20" x14ac:dyDescent="0.4">
      <c r="P1373" s="1"/>
      <c r="Q1373" s="1"/>
      <c r="T1373" s="2"/>
    </row>
    <row r="1374" spans="16:20" x14ac:dyDescent="0.4">
      <c r="P1374" s="1"/>
      <c r="Q1374" s="1"/>
      <c r="T1374" s="2"/>
    </row>
    <row r="1375" spans="16:20" x14ac:dyDescent="0.4">
      <c r="P1375" s="1"/>
      <c r="Q1375" s="1"/>
      <c r="T1375" s="2"/>
    </row>
    <row r="1376" spans="16:20" x14ac:dyDescent="0.4">
      <c r="P1376" s="1"/>
      <c r="Q1376" s="1"/>
      <c r="T1376" s="2"/>
    </row>
    <row r="1377" spans="16:20" x14ac:dyDescent="0.4">
      <c r="P1377" s="1"/>
      <c r="T1377" s="2"/>
    </row>
    <row r="1378" spans="16:20" x14ac:dyDescent="0.4">
      <c r="P1378" s="1"/>
      <c r="Q1378" s="1"/>
      <c r="T1378" s="2"/>
    </row>
    <row r="1380" spans="16:20" x14ac:dyDescent="0.4">
      <c r="P1380" s="1"/>
      <c r="T1380" s="2"/>
    </row>
    <row r="1381" spans="16:20" x14ac:dyDescent="0.4">
      <c r="P1381" s="1"/>
      <c r="T1381" s="2"/>
    </row>
    <row r="1382" spans="16:20" x14ac:dyDescent="0.4">
      <c r="P1382" s="1"/>
      <c r="Q1382" s="1"/>
      <c r="T1382" s="2"/>
    </row>
    <row r="1383" spans="16:20" x14ac:dyDescent="0.4">
      <c r="P1383" s="1"/>
      <c r="Q1383" s="1"/>
      <c r="T1383" s="2"/>
    </row>
    <row r="1384" spans="16:20" x14ac:dyDescent="0.4">
      <c r="P1384" s="1"/>
      <c r="Q1384" s="1"/>
      <c r="T1384" s="2"/>
    </row>
    <row r="1385" spans="16:20" x14ac:dyDescent="0.4">
      <c r="P1385" s="1"/>
      <c r="Q1385" s="1"/>
      <c r="T1385" s="2"/>
    </row>
    <row r="1386" spans="16:20" x14ac:dyDescent="0.4">
      <c r="P1386" s="1"/>
      <c r="T1386" s="2"/>
    </row>
    <row r="1387" spans="16:20" x14ac:dyDescent="0.4">
      <c r="P1387" s="1"/>
      <c r="Q1387" s="1"/>
      <c r="T1387" s="2"/>
    </row>
    <row r="1388" spans="16:20" x14ac:dyDescent="0.4">
      <c r="P1388" s="1"/>
      <c r="Q1388" s="1"/>
      <c r="T1388" s="2"/>
    </row>
    <row r="1389" spans="16:20" x14ac:dyDescent="0.4">
      <c r="P1389" s="1"/>
      <c r="Q1389" s="1"/>
      <c r="T1389" s="2"/>
    </row>
    <row r="1390" spans="16:20" x14ac:dyDescent="0.4">
      <c r="P1390" s="1"/>
      <c r="T1390" s="2"/>
    </row>
    <row r="1391" spans="16:20" x14ac:dyDescent="0.4">
      <c r="P1391" s="1"/>
      <c r="T1391" s="2"/>
    </row>
    <row r="1392" spans="16:20" x14ac:dyDescent="0.4">
      <c r="P1392" s="1"/>
      <c r="Q1392" s="1"/>
      <c r="T1392" s="2"/>
    </row>
    <row r="1393" spans="16:20" x14ac:dyDescent="0.4">
      <c r="P1393" s="1"/>
      <c r="Q1393" s="1"/>
      <c r="T1393" s="2"/>
    </row>
    <row r="1394" spans="16:20" x14ac:dyDescent="0.4">
      <c r="P1394" s="1"/>
      <c r="Q1394" s="1"/>
      <c r="T1394" s="2"/>
    </row>
    <row r="1395" spans="16:20" x14ac:dyDescent="0.4">
      <c r="P1395" s="1"/>
      <c r="Q1395" s="1"/>
      <c r="T1395" s="2"/>
    </row>
    <row r="1397" spans="16:20" x14ac:dyDescent="0.4">
      <c r="P1397" s="1"/>
      <c r="Q1397" s="1"/>
      <c r="T1397" s="2"/>
    </row>
    <row r="1398" spans="16:20" x14ac:dyDescent="0.4">
      <c r="P1398" s="1"/>
      <c r="Q1398" s="1"/>
      <c r="T1398" s="2"/>
    </row>
    <row r="1399" spans="16:20" x14ac:dyDescent="0.4">
      <c r="P1399" s="1"/>
      <c r="Q1399" s="1"/>
      <c r="T1399" s="2"/>
    </row>
    <row r="1400" spans="16:20" x14ac:dyDescent="0.4">
      <c r="P1400" s="1"/>
      <c r="T1400" s="2"/>
    </row>
    <row r="1401" spans="16:20" x14ac:dyDescent="0.4">
      <c r="P1401" s="1"/>
      <c r="T1401" s="2"/>
    </row>
    <row r="1402" spans="16:20" x14ac:dyDescent="0.4">
      <c r="P1402" s="1"/>
      <c r="Q1402" s="1"/>
      <c r="T1402" s="2"/>
    </row>
    <row r="1403" spans="16:20" x14ac:dyDescent="0.4">
      <c r="P1403" s="1"/>
      <c r="Q1403" s="1"/>
      <c r="T1403" s="2"/>
    </row>
    <row r="1404" spans="16:20" x14ac:dyDescent="0.4">
      <c r="P1404" s="1"/>
      <c r="Q1404" s="1"/>
      <c r="T1404" s="2"/>
    </row>
    <row r="1405" spans="16:20" x14ac:dyDescent="0.4">
      <c r="P1405" s="1"/>
      <c r="Q1405" s="1"/>
      <c r="T1405" s="2"/>
    </row>
    <row r="1406" spans="16:20" x14ac:dyDescent="0.4">
      <c r="Q1406" s="1"/>
    </row>
    <row r="1408" spans="16:20" x14ac:dyDescent="0.4">
      <c r="P1408" s="1"/>
      <c r="Q1408" s="1"/>
      <c r="T1408" s="2"/>
    </row>
    <row r="1409" spans="16:20" x14ac:dyDescent="0.4">
      <c r="P1409" s="1"/>
      <c r="T1409" s="2"/>
    </row>
    <row r="1410" spans="16:20" x14ac:dyDescent="0.4">
      <c r="P1410" s="1"/>
      <c r="T1410" s="2"/>
    </row>
    <row r="1411" spans="16:20" x14ac:dyDescent="0.4">
      <c r="P1411" s="1"/>
      <c r="T1411" s="2"/>
    </row>
    <row r="1412" spans="16:20" x14ac:dyDescent="0.4">
      <c r="P1412" s="1"/>
      <c r="Q1412" s="1"/>
      <c r="T1412" s="2"/>
    </row>
    <row r="1413" spans="16:20" x14ac:dyDescent="0.4">
      <c r="P1413" s="1"/>
      <c r="Q1413" s="1"/>
      <c r="T1413" s="2"/>
    </row>
    <row r="1414" spans="16:20" x14ac:dyDescent="0.4">
      <c r="P1414" s="1"/>
      <c r="Q1414" s="1"/>
      <c r="T1414" s="2"/>
    </row>
    <row r="1415" spans="16:20" x14ac:dyDescent="0.4">
      <c r="P1415" s="1"/>
      <c r="Q1415" s="1"/>
      <c r="T1415" s="2"/>
    </row>
    <row r="1416" spans="16:20" x14ac:dyDescent="0.4">
      <c r="P1416" s="1"/>
      <c r="Q1416" s="1"/>
      <c r="T1416" s="2"/>
    </row>
    <row r="1417" spans="16:20" x14ac:dyDescent="0.4">
      <c r="P1417" s="1"/>
      <c r="Q1417" s="1"/>
      <c r="T1417" s="2"/>
    </row>
    <row r="1418" spans="16:20" x14ac:dyDescent="0.4">
      <c r="P1418" s="1"/>
      <c r="T1418" s="2"/>
    </row>
    <row r="1419" spans="16:20" x14ac:dyDescent="0.4">
      <c r="P1419" s="1"/>
      <c r="Q1419" s="1"/>
      <c r="T1419" s="2"/>
    </row>
    <row r="1420" spans="16:20" x14ac:dyDescent="0.4">
      <c r="P1420" s="1"/>
      <c r="T1420" s="2"/>
    </row>
    <row r="1421" spans="16:20" x14ac:dyDescent="0.4">
      <c r="P1421" s="1"/>
      <c r="T1421" s="2"/>
    </row>
    <row r="1422" spans="16:20" x14ac:dyDescent="0.4">
      <c r="P1422" s="1"/>
      <c r="Q1422" s="1"/>
      <c r="T1422" s="2"/>
    </row>
    <row r="1423" spans="16:20" x14ac:dyDescent="0.4">
      <c r="P1423" s="1"/>
      <c r="Q1423" s="1"/>
      <c r="T1423" s="2"/>
    </row>
    <row r="1424" spans="16:20" x14ac:dyDescent="0.4">
      <c r="P1424" s="1"/>
      <c r="Q1424" s="1"/>
      <c r="T1424" s="2"/>
    </row>
    <row r="1425" spans="16:20" x14ac:dyDescent="0.4">
      <c r="P1425" s="1"/>
      <c r="Q1425" s="1"/>
      <c r="T1425" s="2"/>
    </row>
    <row r="1426" spans="16:20" x14ac:dyDescent="0.4">
      <c r="Q1426" s="1"/>
    </row>
    <row r="1427" spans="16:20" x14ac:dyDescent="0.4">
      <c r="P1427" s="1"/>
      <c r="T1427" s="2"/>
    </row>
    <row r="1430" spans="16:20" x14ac:dyDescent="0.4">
      <c r="P1430" s="1"/>
      <c r="T1430" s="2"/>
    </row>
    <row r="1431" spans="16:20" x14ac:dyDescent="0.4">
      <c r="P1431" s="1"/>
      <c r="T1431" s="2"/>
    </row>
    <row r="1432" spans="16:20" x14ac:dyDescent="0.4">
      <c r="P1432" s="1"/>
      <c r="Q1432" s="1"/>
      <c r="T1432" s="2"/>
    </row>
    <row r="1433" spans="16:20" x14ac:dyDescent="0.4">
      <c r="P1433" s="1"/>
      <c r="Q1433" s="1"/>
      <c r="T1433" s="2"/>
    </row>
    <row r="1434" spans="16:20" x14ac:dyDescent="0.4">
      <c r="P1434" s="1"/>
      <c r="Q1434" s="1"/>
      <c r="T1434" s="2"/>
    </row>
    <row r="1435" spans="16:20" x14ac:dyDescent="0.4">
      <c r="P1435" s="1"/>
      <c r="Q1435" s="1"/>
      <c r="T1435" s="2"/>
    </row>
    <row r="1436" spans="16:20" x14ac:dyDescent="0.4">
      <c r="P1436" s="1"/>
      <c r="Q1436" s="1"/>
      <c r="T1436" s="2"/>
    </row>
    <row r="1437" spans="16:20" x14ac:dyDescent="0.4">
      <c r="P1437" s="1"/>
      <c r="Q1437" s="1"/>
      <c r="T1437" s="2"/>
    </row>
    <row r="1438" spans="16:20" x14ac:dyDescent="0.4">
      <c r="P1438" s="1"/>
      <c r="Q1438" s="1"/>
      <c r="T1438" s="2"/>
    </row>
    <row r="1439" spans="16:20" x14ac:dyDescent="0.4">
      <c r="P1439" s="1"/>
      <c r="Q1439" s="1"/>
      <c r="T1439" s="2"/>
    </row>
    <row r="1440" spans="16:20" x14ac:dyDescent="0.4">
      <c r="P1440" s="1"/>
      <c r="T1440" s="2"/>
    </row>
    <row r="1441" spans="16:20" x14ac:dyDescent="0.4">
      <c r="P1441" s="1"/>
      <c r="T1441" s="2"/>
    </row>
    <row r="1442" spans="16:20" x14ac:dyDescent="0.4">
      <c r="P1442" s="1"/>
      <c r="Q1442" s="1"/>
      <c r="T1442" s="2"/>
    </row>
    <row r="1443" spans="16:20" x14ac:dyDescent="0.4">
      <c r="P1443" s="1"/>
      <c r="Q1443" s="1"/>
      <c r="T1443" s="2"/>
    </row>
    <row r="1444" spans="16:20" x14ac:dyDescent="0.4">
      <c r="P1444" s="1"/>
      <c r="Q1444" s="1"/>
      <c r="T1444" s="2"/>
    </row>
    <row r="1445" spans="16:20" x14ac:dyDescent="0.4">
      <c r="P1445" s="1"/>
      <c r="Q1445" s="1"/>
      <c r="T1445" s="2"/>
    </row>
    <row r="1446" spans="16:20" x14ac:dyDescent="0.4">
      <c r="Q1446" s="1"/>
    </row>
    <row r="1447" spans="16:20" x14ac:dyDescent="0.4">
      <c r="P1447" s="1"/>
      <c r="Q1447" s="1"/>
      <c r="T1447" s="2"/>
    </row>
    <row r="1449" spans="16:20" x14ac:dyDescent="0.4">
      <c r="P1449" s="1"/>
      <c r="Q1449" s="1"/>
      <c r="T1449" s="2"/>
    </row>
    <row r="1450" spans="16:20" x14ac:dyDescent="0.4">
      <c r="T1450" s="2"/>
    </row>
    <row r="1451" spans="16:20" x14ac:dyDescent="0.4">
      <c r="P1451" s="1"/>
      <c r="T1451" s="2"/>
    </row>
    <row r="1452" spans="16:20" x14ac:dyDescent="0.4">
      <c r="P1452" s="1"/>
      <c r="Q1452" s="1"/>
      <c r="T1452" s="2"/>
    </row>
    <row r="1453" spans="16:20" x14ac:dyDescent="0.4">
      <c r="P1453" s="1"/>
      <c r="Q1453" s="1"/>
      <c r="T1453" s="2"/>
    </row>
    <row r="1454" spans="16:20" x14ac:dyDescent="0.4">
      <c r="P1454" s="1"/>
      <c r="Q1454" s="1"/>
      <c r="T1454" s="2"/>
    </row>
    <row r="1455" spans="16:20" x14ac:dyDescent="0.4">
      <c r="P1455" s="1"/>
      <c r="Q1455" s="1"/>
      <c r="T1455" s="2"/>
    </row>
    <row r="1456" spans="16:20" x14ac:dyDescent="0.4">
      <c r="P1456" s="1"/>
      <c r="T1456" s="2"/>
    </row>
    <row r="1458" spans="16:20" x14ac:dyDescent="0.4">
      <c r="P1458" s="1"/>
      <c r="Q1458" s="1"/>
      <c r="T1458" s="2"/>
    </row>
    <row r="1459" spans="16:20" x14ac:dyDescent="0.4">
      <c r="P1459" s="1"/>
      <c r="T1459" s="2"/>
    </row>
    <row r="1460" spans="16:20" x14ac:dyDescent="0.4">
      <c r="P1460" s="1"/>
      <c r="T1460" s="2"/>
    </row>
    <row r="1461" spans="16:20" x14ac:dyDescent="0.4">
      <c r="P1461" s="1"/>
      <c r="T1461" s="2"/>
    </row>
    <row r="1462" spans="16:20" x14ac:dyDescent="0.4">
      <c r="P1462" s="1"/>
      <c r="Q1462" s="1"/>
      <c r="T1462" s="2"/>
    </row>
    <row r="1463" spans="16:20" x14ac:dyDescent="0.4">
      <c r="P1463" s="1"/>
      <c r="Q1463" s="1"/>
      <c r="T1463" s="2"/>
    </row>
    <row r="1464" spans="16:20" x14ac:dyDescent="0.4">
      <c r="P1464" s="1"/>
      <c r="Q1464" s="1"/>
      <c r="T1464" s="2"/>
    </row>
    <row r="1465" spans="16:20" x14ac:dyDescent="0.4">
      <c r="P1465" s="1"/>
      <c r="Q1465" s="1"/>
      <c r="T1465" s="2"/>
    </row>
    <row r="1467" spans="16:20" x14ac:dyDescent="0.4">
      <c r="P1467" s="1"/>
      <c r="Q1467" s="1"/>
      <c r="T1467" s="2"/>
    </row>
    <row r="1468" spans="16:20" x14ac:dyDescent="0.4">
      <c r="P1468" s="1"/>
      <c r="Q1468" s="1"/>
      <c r="T1468" s="2"/>
    </row>
    <row r="1469" spans="16:20" x14ac:dyDescent="0.4">
      <c r="P1469" s="1"/>
      <c r="Q1469" s="1"/>
      <c r="T1469" s="2"/>
    </row>
    <row r="1470" spans="16:20" x14ac:dyDescent="0.4">
      <c r="P1470" s="1"/>
      <c r="T1470" s="2"/>
    </row>
    <row r="1471" spans="16:20" x14ac:dyDescent="0.4">
      <c r="T1471" s="2"/>
    </row>
    <row r="1472" spans="16:20" x14ac:dyDescent="0.4">
      <c r="P1472" s="1"/>
      <c r="Q1472" s="1"/>
      <c r="T1472" s="2"/>
    </row>
    <row r="1473" spans="16:20" x14ac:dyDescent="0.4">
      <c r="P1473" s="1"/>
      <c r="Q1473" s="1"/>
      <c r="T1473" s="2"/>
    </row>
    <row r="1474" spans="16:20" x14ac:dyDescent="0.4">
      <c r="P1474" s="1"/>
      <c r="Q1474" s="1"/>
      <c r="T1474" s="2"/>
    </row>
    <row r="1475" spans="16:20" x14ac:dyDescent="0.4">
      <c r="P1475" s="1"/>
      <c r="Q1475" s="1"/>
      <c r="T1475" s="2"/>
    </row>
    <row r="1476" spans="16:20" x14ac:dyDescent="0.4">
      <c r="P1476" s="1"/>
      <c r="Q1476" s="1"/>
      <c r="T1476" s="2"/>
    </row>
    <row r="1477" spans="16:20" x14ac:dyDescent="0.4">
      <c r="P1477" s="1"/>
      <c r="Q1477" s="1"/>
      <c r="T1477" s="2"/>
    </row>
    <row r="1478" spans="16:20" x14ac:dyDescent="0.4">
      <c r="P1478" s="1"/>
      <c r="Q1478" s="1"/>
      <c r="T1478" s="2"/>
    </row>
    <row r="1480" spans="16:20" x14ac:dyDescent="0.4">
      <c r="P1480" s="1"/>
      <c r="T1480" s="2"/>
    </row>
    <row r="1481" spans="16:20" x14ac:dyDescent="0.4">
      <c r="P1481" s="1"/>
      <c r="T1481" s="2"/>
    </row>
    <row r="1482" spans="16:20" x14ac:dyDescent="0.4">
      <c r="P1482" s="1"/>
      <c r="Q1482" s="1"/>
      <c r="T1482" s="2"/>
    </row>
    <row r="1483" spans="16:20" x14ac:dyDescent="0.4">
      <c r="P1483" s="1"/>
      <c r="Q1483" s="1"/>
      <c r="T1483" s="2"/>
    </row>
    <row r="1484" spans="16:20" x14ac:dyDescent="0.4">
      <c r="P1484" s="1"/>
      <c r="Q1484" s="1"/>
      <c r="T1484" s="2"/>
    </row>
    <row r="1485" spans="16:20" x14ac:dyDescent="0.4">
      <c r="P1485" s="1"/>
      <c r="Q1485" s="1"/>
      <c r="T1485" s="2"/>
    </row>
    <row r="1486" spans="16:20" x14ac:dyDescent="0.4">
      <c r="P1486" s="1"/>
      <c r="T1486" s="2"/>
    </row>
    <row r="1487" spans="16:20" x14ac:dyDescent="0.4">
      <c r="P1487" s="1"/>
      <c r="Q1487" s="1"/>
      <c r="T1487" s="2"/>
    </row>
    <row r="1488" spans="16:20" x14ac:dyDescent="0.4">
      <c r="P1488" s="1"/>
      <c r="Q1488" s="1"/>
      <c r="T1488" s="2"/>
    </row>
    <row r="1489" spans="16:20" x14ac:dyDescent="0.4">
      <c r="P1489" s="1"/>
      <c r="Q1489" s="1"/>
      <c r="T1489" s="2"/>
    </row>
    <row r="1490" spans="16:20" x14ac:dyDescent="0.4">
      <c r="P1490" s="1"/>
      <c r="T1490" s="2"/>
    </row>
    <row r="1491" spans="16:20" x14ac:dyDescent="0.4">
      <c r="P1491" s="1"/>
      <c r="T1491" s="2"/>
    </row>
    <row r="1492" spans="16:20" x14ac:dyDescent="0.4">
      <c r="P1492" s="1"/>
      <c r="Q1492" s="1"/>
      <c r="T1492" s="2"/>
    </row>
    <row r="1493" spans="16:20" x14ac:dyDescent="0.4">
      <c r="P1493" s="1"/>
      <c r="Q1493" s="1"/>
      <c r="T1493" s="2"/>
    </row>
    <row r="1494" spans="16:20" x14ac:dyDescent="0.4">
      <c r="P1494" s="1"/>
      <c r="Q1494" s="1"/>
      <c r="T1494" s="2"/>
    </row>
    <row r="1495" spans="16:20" x14ac:dyDescent="0.4">
      <c r="P1495" s="1"/>
      <c r="Q1495" s="1"/>
      <c r="T1495" s="2"/>
    </row>
    <row r="1497" spans="16:20" x14ac:dyDescent="0.4">
      <c r="P1497" s="1"/>
      <c r="Q1497" s="1"/>
      <c r="T1497" s="2"/>
    </row>
    <row r="1499" spans="16:20" x14ac:dyDescent="0.4">
      <c r="P1499" s="1"/>
      <c r="Q1499" s="1"/>
      <c r="T1499" s="2"/>
    </row>
    <row r="1500" spans="16:20" x14ac:dyDescent="0.4">
      <c r="P1500" s="1"/>
      <c r="T1500" s="2"/>
    </row>
    <row r="1501" spans="16:20" x14ac:dyDescent="0.4">
      <c r="P1501" s="1"/>
      <c r="T1501" s="2"/>
    </row>
    <row r="1502" spans="16:20" x14ac:dyDescent="0.4">
      <c r="P1502" s="1"/>
      <c r="Q1502" s="1"/>
      <c r="T1502" s="2"/>
    </row>
    <row r="1503" spans="16:20" x14ac:dyDescent="0.4">
      <c r="P1503" s="1"/>
      <c r="Q1503" s="1"/>
      <c r="T1503" s="2"/>
    </row>
    <row r="1504" spans="16:20" x14ac:dyDescent="0.4">
      <c r="P1504" s="1"/>
      <c r="Q1504" s="1"/>
      <c r="T1504" s="2"/>
    </row>
    <row r="1505" spans="16:20" x14ac:dyDescent="0.4">
      <c r="P1505" s="1"/>
      <c r="Q1505" s="1"/>
      <c r="T1505" s="2"/>
    </row>
    <row r="1506" spans="16:20" x14ac:dyDescent="0.4">
      <c r="P1506" s="1"/>
      <c r="Q1506" s="1"/>
      <c r="T1506" s="2"/>
    </row>
    <row r="1508" spans="16:20" x14ac:dyDescent="0.4">
      <c r="P1508" s="1"/>
      <c r="Q1508" s="1"/>
      <c r="T1508" s="2"/>
    </row>
    <row r="1509" spans="16:20" x14ac:dyDescent="0.4">
      <c r="P1509" s="1"/>
      <c r="T1509" s="2"/>
    </row>
    <row r="1510" spans="16:20" x14ac:dyDescent="0.4">
      <c r="P1510" s="1"/>
      <c r="T1510" s="2"/>
    </row>
    <row r="1511" spans="16:20" x14ac:dyDescent="0.4">
      <c r="P1511" s="1"/>
      <c r="T1511" s="2"/>
    </row>
    <row r="1512" spans="16:20" x14ac:dyDescent="0.4">
      <c r="P1512" s="1"/>
      <c r="Q1512" s="1"/>
      <c r="T1512" s="2"/>
    </row>
    <row r="1513" spans="16:20" x14ac:dyDescent="0.4">
      <c r="P1513" s="1"/>
      <c r="Q1513" s="1"/>
      <c r="T1513" s="2"/>
    </row>
    <row r="1514" spans="16:20" x14ac:dyDescent="0.4">
      <c r="P1514" s="1"/>
      <c r="Q1514" s="1"/>
      <c r="T1514" s="2"/>
    </row>
    <row r="1515" spans="16:20" x14ac:dyDescent="0.4">
      <c r="P1515" s="1"/>
      <c r="Q1515" s="1"/>
      <c r="T1515" s="2"/>
    </row>
    <row r="1516" spans="16:20" x14ac:dyDescent="0.4">
      <c r="P1516" s="1"/>
      <c r="Q1516" s="1"/>
      <c r="T1516" s="2"/>
    </row>
    <row r="1517" spans="16:20" x14ac:dyDescent="0.4">
      <c r="P1517" s="1"/>
      <c r="Q1517" s="1"/>
      <c r="T1517" s="2"/>
    </row>
    <row r="1518" spans="16:20" x14ac:dyDescent="0.4">
      <c r="P1518" s="1"/>
      <c r="Q1518" s="1"/>
      <c r="T1518" s="2"/>
    </row>
    <row r="1519" spans="16:20" x14ac:dyDescent="0.4">
      <c r="P1519" s="1"/>
      <c r="Q1519" s="1"/>
      <c r="T1519" s="2"/>
    </row>
    <row r="1520" spans="16:20" x14ac:dyDescent="0.4">
      <c r="P1520" s="1"/>
      <c r="T1520" s="2"/>
    </row>
    <row r="1521" spans="16:20" x14ac:dyDescent="0.4">
      <c r="P1521" s="1"/>
      <c r="T1521" s="2"/>
    </row>
    <row r="1522" spans="16:20" x14ac:dyDescent="0.4">
      <c r="P1522" s="1"/>
      <c r="Q1522" s="1"/>
      <c r="T1522" s="2"/>
    </row>
    <row r="1523" spans="16:20" x14ac:dyDescent="0.4">
      <c r="P1523" s="1"/>
      <c r="Q1523" s="1"/>
      <c r="T1523" s="2"/>
    </row>
    <row r="1524" spans="16:20" x14ac:dyDescent="0.4">
      <c r="P1524" s="1"/>
      <c r="Q1524" s="1"/>
      <c r="T1524" s="2"/>
    </row>
    <row r="1525" spans="16:20" x14ac:dyDescent="0.4">
      <c r="P1525" s="1"/>
      <c r="Q1525" s="1"/>
      <c r="T1525" s="2"/>
    </row>
    <row r="1526" spans="16:20" x14ac:dyDescent="0.4">
      <c r="P1526" s="1"/>
      <c r="Q1526" s="1"/>
      <c r="T1526" s="2"/>
    </row>
    <row r="1527" spans="16:20" x14ac:dyDescent="0.4">
      <c r="P1527" s="1"/>
      <c r="T1527" s="2"/>
    </row>
    <row r="1528" spans="16:20" x14ac:dyDescent="0.4">
      <c r="P1528" s="1"/>
      <c r="Q1528" s="1"/>
      <c r="T1528" s="2"/>
    </row>
    <row r="1530" spans="16:20" x14ac:dyDescent="0.4">
      <c r="P1530" s="1"/>
      <c r="T1530" s="2"/>
    </row>
    <row r="1531" spans="16:20" x14ac:dyDescent="0.4">
      <c r="P1531" s="1"/>
      <c r="T1531" s="2"/>
    </row>
    <row r="1532" spans="16:20" x14ac:dyDescent="0.4">
      <c r="P1532" s="1"/>
      <c r="Q1532" s="1"/>
      <c r="T1532" s="2"/>
    </row>
    <row r="1533" spans="16:20" x14ac:dyDescent="0.4">
      <c r="P1533" s="1"/>
      <c r="Q1533" s="1"/>
      <c r="T1533" s="2"/>
    </row>
    <row r="1534" spans="16:20" x14ac:dyDescent="0.4">
      <c r="P1534" s="1"/>
      <c r="Q1534" s="1"/>
      <c r="T1534" s="2"/>
    </row>
    <row r="1535" spans="16:20" x14ac:dyDescent="0.4">
      <c r="P1535" s="1"/>
      <c r="Q1535" s="1"/>
      <c r="T1535" s="2"/>
    </row>
    <row r="1536" spans="16:20" x14ac:dyDescent="0.4">
      <c r="P1536" s="1"/>
      <c r="Q1536" s="1"/>
      <c r="T1536" s="2"/>
    </row>
    <row r="1537" spans="16:20" x14ac:dyDescent="0.4">
      <c r="P1537" s="1"/>
      <c r="Q1537" s="1"/>
      <c r="T1537" s="2"/>
    </row>
    <row r="1538" spans="16:20" x14ac:dyDescent="0.4">
      <c r="P1538" s="1"/>
      <c r="Q1538" s="1"/>
      <c r="T1538" s="2"/>
    </row>
    <row r="1539" spans="16:20" x14ac:dyDescent="0.4">
      <c r="P1539" s="1"/>
      <c r="Q1539" s="1"/>
      <c r="T1539" s="2"/>
    </row>
    <row r="1540" spans="16:20" x14ac:dyDescent="0.4">
      <c r="P1540" s="1"/>
      <c r="T1540" s="2"/>
    </row>
    <row r="1541" spans="16:20" x14ac:dyDescent="0.4">
      <c r="P1541" s="1"/>
      <c r="T1541" s="2"/>
    </row>
    <row r="1542" spans="16:20" x14ac:dyDescent="0.4">
      <c r="P1542" s="1"/>
      <c r="Q1542" s="1"/>
      <c r="T1542" s="2"/>
    </row>
    <row r="1543" spans="16:20" x14ac:dyDescent="0.4">
      <c r="P1543" s="1"/>
      <c r="Q1543" s="1"/>
      <c r="T1543" s="2"/>
    </row>
    <row r="1544" spans="16:20" x14ac:dyDescent="0.4">
      <c r="P1544" s="1"/>
      <c r="Q1544" s="1"/>
      <c r="T1544" s="2"/>
    </row>
    <row r="1545" spans="16:20" x14ac:dyDescent="0.4">
      <c r="P1545" s="1"/>
      <c r="Q1545" s="1"/>
      <c r="T1545" s="2"/>
    </row>
    <row r="1546" spans="16:20" x14ac:dyDescent="0.4">
      <c r="P1546" s="1"/>
      <c r="Q1546" s="1"/>
      <c r="T1546" s="2"/>
    </row>
    <row r="1547" spans="16:20" x14ac:dyDescent="0.4">
      <c r="P1547" s="1"/>
      <c r="Q1547" s="1"/>
      <c r="T1547" s="2"/>
    </row>
    <row r="1548" spans="16:20" x14ac:dyDescent="0.4">
      <c r="P1548" s="1"/>
      <c r="T1548" s="2"/>
    </row>
    <row r="1549" spans="16:20" x14ac:dyDescent="0.4">
      <c r="P1549" s="1"/>
      <c r="Q1549" s="1"/>
      <c r="T1549" s="2"/>
    </row>
    <row r="1550" spans="16:20" x14ac:dyDescent="0.4">
      <c r="P1550" s="1"/>
      <c r="T1550" s="2"/>
    </row>
    <row r="1551" spans="16:20" x14ac:dyDescent="0.4">
      <c r="P1551" s="1"/>
      <c r="T1551" s="2"/>
    </row>
    <row r="1552" spans="16:20" x14ac:dyDescent="0.4">
      <c r="P1552" s="1"/>
      <c r="Q1552" s="1"/>
      <c r="T1552" s="2"/>
    </row>
    <row r="1553" spans="16:20" x14ac:dyDescent="0.4">
      <c r="P1553" s="1"/>
      <c r="Q1553" s="1"/>
      <c r="T1553" s="2"/>
    </row>
    <row r="1554" spans="16:20" x14ac:dyDescent="0.4">
      <c r="P1554" s="1"/>
      <c r="Q1554" s="1"/>
      <c r="T1554" s="2"/>
    </row>
    <row r="1555" spans="16:20" x14ac:dyDescent="0.4">
      <c r="P1555" s="1"/>
      <c r="Q1555" s="1"/>
      <c r="T1555" s="2"/>
    </row>
    <row r="1557" spans="16:20" x14ac:dyDescent="0.4">
      <c r="P1557" s="1"/>
      <c r="Q1557" s="1"/>
      <c r="T1557" s="2"/>
    </row>
    <row r="1558" spans="16:20" x14ac:dyDescent="0.4">
      <c r="P1558" s="1"/>
      <c r="Q1558" s="1"/>
      <c r="T1558" s="2"/>
    </row>
    <row r="1559" spans="16:20" x14ac:dyDescent="0.4">
      <c r="P1559" s="1"/>
      <c r="T1559" s="2"/>
    </row>
    <row r="1560" spans="16:20" x14ac:dyDescent="0.4">
      <c r="P1560" s="1"/>
      <c r="T1560" s="2"/>
    </row>
    <row r="1561" spans="16:20" x14ac:dyDescent="0.4">
      <c r="P1561" s="1"/>
      <c r="T1561" s="2"/>
    </row>
    <row r="1562" spans="16:20" x14ac:dyDescent="0.4">
      <c r="P1562" s="1"/>
      <c r="Q1562" s="1"/>
      <c r="T1562" s="2"/>
    </row>
    <row r="1563" spans="16:20" x14ac:dyDescent="0.4">
      <c r="P1563" s="1"/>
      <c r="Q1563" s="1"/>
      <c r="T1563" s="2"/>
    </row>
    <row r="1564" spans="16:20" x14ac:dyDescent="0.4">
      <c r="P1564" s="1"/>
      <c r="Q1564" s="1"/>
      <c r="T1564" s="2"/>
    </row>
    <row r="1565" spans="16:20" x14ac:dyDescent="0.4">
      <c r="P1565" s="1"/>
      <c r="Q1565" s="1"/>
      <c r="T1565" s="2"/>
    </row>
    <row r="1566" spans="16:20" x14ac:dyDescent="0.4">
      <c r="P1566" s="1"/>
      <c r="Q1566" s="1"/>
      <c r="T1566" s="2"/>
    </row>
    <row r="1567" spans="16:20" x14ac:dyDescent="0.4">
      <c r="P1567" s="1"/>
      <c r="Q1567" s="1"/>
      <c r="T1567" s="2"/>
    </row>
    <row r="1568" spans="16:20" x14ac:dyDescent="0.4">
      <c r="P1568" s="1"/>
      <c r="T1568" s="2"/>
    </row>
    <row r="1569" spans="16:20" x14ac:dyDescent="0.4">
      <c r="P1569" s="1"/>
      <c r="Q1569" s="1"/>
      <c r="T1569" s="2"/>
    </row>
    <row r="1570" spans="16:20" x14ac:dyDescent="0.4">
      <c r="P1570" s="1"/>
      <c r="T1570" s="2"/>
    </row>
    <row r="1571" spans="16:20" x14ac:dyDescent="0.4">
      <c r="P1571" s="1"/>
      <c r="T1571" s="2"/>
    </row>
    <row r="1572" spans="16:20" x14ac:dyDescent="0.4">
      <c r="P1572" s="1"/>
      <c r="Q1572" s="1"/>
      <c r="T1572" s="2"/>
    </row>
    <row r="1573" spans="16:20" x14ac:dyDescent="0.4">
      <c r="P1573" s="1"/>
      <c r="Q1573" s="1"/>
      <c r="T1573" s="2"/>
    </row>
    <row r="1574" spans="16:20" x14ac:dyDescent="0.4">
      <c r="P1574" s="1"/>
      <c r="Q1574" s="1"/>
      <c r="T1574" s="2"/>
    </row>
    <row r="1575" spans="16:20" x14ac:dyDescent="0.4">
      <c r="P1575" s="1"/>
      <c r="Q1575" s="1"/>
      <c r="T1575" s="2"/>
    </row>
    <row r="1576" spans="16:20" x14ac:dyDescent="0.4">
      <c r="P1576" s="1"/>
      <c r="Q1576" s="1"/>
      <c r="T1576" s="2"/>
    </row>
    <row r="1577" spans="16:20" x14ac:dyDescent="0.4">
      <c r="P1577" s="1"/>
      <c r="T1577" s="2"/>
    </row>
    <row r="1578" spans="16:20" x14ac:dyDescent="0.4">
      <c r="P1578" s="1"/>
      <c r="Q1578" s="1"/>
      <c r="T1578" s="2"/>
    </row>
    <row r="1580" spans="16:20" x14ac:dyDescent="0.4">
      <c r="P1580" s="1"/>
      <c r="T1580" s="2"/>
    </row>
    <row r="1581" spans="16:20" x14ac:dyDescent="0.4">
      <c r="P1581" s="1"/>
      <c r="T1581" s="2"/>
    </row>
    <row r="1582" spans="16:20" x14ac:dyDescent="0.4">
      <c r="P1582" s="1"/>
      <c r="Q1582" s="1"/>
      <c r="T1582" s="2"/>
    </row>
    <row r="1583" spans="16:20" x14ac:dyDescent="0.4">
      <c r="P1583" s="1"/>
      <c r="Q1583" s="1"/>
      <c r="T1583" s="2"/>
    </row>
    <row r="1584" spans="16:20" x14ac:dyDescent="0.4">
      <c r="P1584" s="1"/>
      <c r="Q1584" s="1"/>
      <c r="T1584" s="2"/>
    </row>
    <row r="1585" spans="16:20" x14ac:dyDescent="0.4">
      <c r="P1585" s="1"/>
      <c r="Q1585" s="1"/>
      <c r="T1585" s="2"/>
    </row>
    <row r="1586" spans="16:20" x14ac:dyDescent="0.4">
      <c r="P1586" s="1"/>
      <c r="Q1586" s="1"/>
      <c r="T1586" s="2"/>
    </row>
    <row r="1587" spans="16:20" x14ac:dyDescent="0.4">
      <c r="P1587" s="1"/>
      <c r="Q1587" s="1"/>
      <c r="T1587" s="2"/>
    </row>
    <row r="1588" spans="16:20" x14ac:dyDescent="0.4">
      <c r="P1588" s="1"/>
      <c r="Q1588" s="1"/>
      <c r="T1588" s="2"/>
    </row>
    <row r="1589" spans="16:20" x14ac:dyDescent="0.4">
      <c r="P1589" s="1"/>
      <c r="Q1589" s="1"/>
      <c r="T1589" s="2"/>
    </row>
    <row r="1590" spans="16:20" x14ac:dyDescent="0.4">
      <c r="P1590" s="1"/>
      <c r="T1590" s="2"/>
    </row>
    <row r="1591" spans="16:20" x14ac:dyDescent="0.4">
      <c r="P1591" s="1"/>
      <c r="T1591" s="2"/>
    </row>
    <row r="1592" spans="16:20" x14ac:dyDescent="0.4">
      <c r="P1592" s="1"/>
      <c r="Q1592" s="1"/>
      <c r="T1592" s="2"/>
    </row>
    <row r="1593" spans="16:20" x14ac:dyDescent="0.4">
      <c r="P1593" s="1"/>
      <c r="Q1593" s="1"/>
      <c r="T1593" s="2"/>
    </row>
    <row r="1594" spans="16:20" x14ac:dyDescent="0.4">
      <c r="P1594" s="1"/>
      <c r="Q1594" s="1"/>
      <c r="T1594" s="2"/>
    </row>
    <row r="1595" spans="16:20" x14ac:dyDescent="0.4">
      <c r="P1595" s="1"/>
      <c r="Q1595" s="1"/>
      <c r="T1595" s="2"/>
    </row>
    <row r="1596" spans="16:20" x14ac:dyDescent="0.4">
      <c r="P1596" s="1"/>
      <c r="Q1596" s="1"/>
      <c r="T1596" s="2"/>
    </row>
    <row r="1597" spans="16:20" x14ac:dyDescent="0.4">
      <c r="P1597" s="1"/>
      <c r="Q1597" s="1"/>
      <c r="T1597" s="2"/>
    </row>
    <row r="1598" spans="16:20" x14ac:dyDescent="0.4">
      <c r="P1598" s="1"/>
      <c r="Q1598" s="1"/>
      <c r="T1598" s="2"/>
    </row>
    <row r="1599" spans="16:20" x14ac:dyDescent="0.4">
      <c r="P1599" s="1"/>
      <c r="Q1599" s="1"/>
      <c r="T1599" s="2"/>
    </row>
    <row r="1600" spans="16:20" x14ac:dyDescent="0.4">
      <c r="P1600" s="1"/>
      <c r="T1600" s="2"/>
    </row>
    <row r="1601" spans="16:20" x14ac:dyDescent="0.4">
      <c r="P1601" s="1"/>
      <c r="T1601" s="2"/>
    </row>
    <row r="1602" spans="16:20" x14ac:dyDescent="0.4">
      <c r="P1602" s="1"/>
      <c r="Q1602" s="1"/>
      <c r="T1602" s="2"/>
    </row>
    <row r="1603" spans="16:20" x14ac:dyDescent="0.4">
      <c r="P1603" s="1"/>
      <c r="Q1603" s="1"/>
      <c r="T1603" s="2"/>
    </row>
    <row r="1604" spans="16:20" x14ac:dyDescent="0.4">
      <c r="P1604" s="1"/>
      <c r="Q1604" s="1"/>
      <c r="T1604" s="2"/>
    </row>
    <row r="1605" spans="16:20" x14ac:dyDescent="0.4">
      <c r="P1605" s="1"/>
      <c r="Q1605" s="1"/>
      <c r="T1605" s="2"/>
    </row>
    <row r="1606" spans="16:20" x14ac:dyDescent="0.4">
      <c r="P1606" s="1"/>
      <c r="T1606" s="2"/>
    </row>
    <row r="1608" spans="16:20" x14ac:dyDescent="0.4">
      <c r="P1608" s="1"/>
      <c r="Q1608" s="1"/>
      <c r="T1608" s="2"/>
    </row>
    <row r="1609" spans="16:20" x14ac:dyDescent="0.4">
      <c r="P1609" s="1"/>
      <c r="T1609" s="2"/>
    </row>
    <row r="1610" spans="16:20" x14ac:dyDescent="0.4">
      <c r="P1610" s="1"/>
      <c r="T1610" s="2"/>
    </row>
    <row r="1611" spans="16:20" x14ac:dyDescent="0.4">
      <c r="P1611" s="1"/>
      <c r="T1611" s="2"/>
    </row>
    <row r="1612" spans="16:20" x14ac:dyDescent="0.4">
      <c r="P1612" s="1"/>
      <c r="Q1612" s="1"/>
      <c r="T1612" s="2"/>
    </row>
    <row r="1613" spans="16:20" x14ac:dyDescent="0.4">
      <c r="P1613" s="1"/>
      <c r="Q1613" s="1"/>
      <c r="T1613" s="2"/>
    </row>
    <row r="1614" spans="16:20" x14ac:dyDescent="0.4">
      <c r="P1614" s="1"/>
      <c r="Q1614" s="1"/>
      <c r="T1614" s="2"/>
    </row>
    <row r="1615" spans="16:20" x14ac:dyDescent="0.4">
      <c r="P1615" s="1"/>
      <c r="Q1615" s="1"/>
      <c r="T1615" s="2"/>
    </row>
    <row r="1617" spans="16:20" x14ac:dyDescent="0.4">
      <c r="P1617" s="1"/>
      <c r="Q1617" s="1"/>
      <c r="T1617" s="2"/>
    </row>
    <row r="1618" spans="16:20" x14ac:dyDescent="0.4">
      <c r="P1618" s="1"/>
      <c r="T1618" s="2"/>
    </row>
    <row r="1619" spans="16:20" x14ac:dyDescent="0.4">
      <c r="P1619" s="1"/>
      <c r="Q1619" s="1"/>
      <c r="T1619" s="2"/>
    </row>
    <row r="1620" spans="16:20" x14ac:dyDescent="0.4">
      <c r="P1620" s="1"/>
      <c r="T1620" s="2"/>
    </row>
    <row r="1621" spans="16:20" x14ac:dyDescent="0.4">
      <c r="P1621" s="1"/>
      <c r="T1621" s="2"/>
    </row>
    <row r="1622" spans="16:20" x14ac:dyDescent="0.4">
      <c r="P1622" s="1"/>
      <c r="Q1622" s="1"/>
      <c r="T1622" s="2"/>
    </row>
    <row r="1623" spans="16:20" x14ac:dyDescent="0.4">
      <c r="P1623" s="1"/>
      <c r="Q1623" s="1"/>
      <c r="T1623" s="2"/>
    </row>
    <row r="1624" spans="16:20" x14ac:dyDescent="0.4">
      <c r="P1624" s="1"/>
      <c r="Q1624" s="1"/>
      <c r="T1624" s="2"/>
    </row>
    <row r="1625" spans="16:20" x14ac:dyDescent="0.4">
      <c r="P1625" s="1"/>
      <c r="Q1625" s="1"/>
      <c r="T1625" s="2"/>
    </row>
    <row r="1626" spans="16:20" x14ac:dyDescent="0.4">
      <c r="P1626" s="1"/>
      <c r="Q1626" s="1"/>
      <c r="T1626" s="2"/>
    </row>
    <row r="1627" spans="16:20" x14ac:dyDescent="0.4">
      <c r="P1627" s="1"/>
      <c r="T1627" s="2"/>
    </row>
    <row r="1630" spans="16:20" x14ac:dyDescent="0.4">
      <c r="P1630" s="1"/>
      <c r="T1630" s="2"/>
    </row>
    <row r="1631" spans="16:20" x14ac:dyDescent="0.4">
      <c r="P1631" s="1"/>
      <c r="T1631" s="2"/>
    </row>
    <row r="1632" spans="16:20" x14ac:dyDescent="0.4">
      <c r="P1632" s="1"/>
      <c r="Q1632" s="1"/>
      <c r="T1632" s="2"/>
    </row>
    <row r="1633" spans="16:20" x14ac:dyDescent="0.4">
      <c r="P1633" s="1"/>
      <c r="Q1633" s="1"/>
      <c r="T1633" s="2"/>
    </row>
    <row r="1634" spans="16:20" x14ac:dyDescent="0.4">
      <c r="P1634" s="1"/>
      <c r="Q1634" s="1"/>
      <c r="T1634" s="2"/>
    </row>
    <row r="1635" spans="16:20" x14ac:dyDescent="0.4">
      <c r="P1635" s="1"/>
      <c r="Q1635" s="1"/>
      <c r="T1635" s="2"/>
    </row>
    <row r="1636" spans="16:20" x14ac:dyDescent="0.4">
      <c r="P1636" s="1"/>
      <c r="Q1636" s="1"/>
      <c r="T1636" s="2"/>
    </row>
    <row r="1637" spans="16:20" x14ac:dyDescent="0.4">
      <c r="P1637" s="1"/>
      <c r="Q1637" s="1"/>
      <c r="T1637" s="2"/>
    </row>
    <row r="1638" spans="16:20" x14ac:dyDescent="0.4">
      <c r="P1638" s="1"/>
      <c r="Q1638" s="1"/>
      <c r="T1638" s="2"/>
    </row>
    <row r="1639" spans="16:20" x14ac:dyDescent="0.4">
      <c r="P1639" s="1"/>
      <c r="Q1639" s="1"/>
      <c r="T1639" s="2"/>
    </row>
    <row r="1640" spans="16:20" x14ac:dyDescent="0.4">
      <c r="P1640" s="1"/>
      <c r="T1640" s="2"/>
    </row>
    <row r="1641" spans="16:20" x14ac:dyDescent="0.4">
      <c r="P1641" s="1"/>
      <c r="T1641" s="2"/>
    </row>
    <row r="1642" spans="16:20" x14ac:dyDescent="0.4">
      <c r="P1642" s="1"/>
      <c r="Q1642" s="1"/>
      <c r="T1642" s="2"/>
    </row>
    <row r="1643" spans="16:20" x14ac:dyDescent="0.4">
      <c r="P1643" s="1"/>
      <c r="Q1643" s="1"/>
      <c r="T1643" s="2"/>
    </row>
    <row r="1644" spans="16:20" x14ac:dyDescent="0.4">
      <c r="P1644" s="1"/>
      <c r="Q1644" s="1"/>
      <c r="T1644" s="2"/>
    </row>
    <row r="1645" spans="16:20" x14ac:dyDescent="0.4">
      <c r="P1645" s="1"/>
      <c r="Q1645" s="1"/>
      <c r="T1645" s="2"/>
    </row>
    <row r="1646" spans="16:20" x14ac:dyDescent="0.4">
      <c r="P1646" s="1"/>
      <c r="Q1646" s="1"/>
      <c r="T1646" s="2"/>
    </row>
    <row r="1647" spans="16:20" x14ac:dyDescent="0.4">
      <c r="P1647" s="1"/>
      <c r="Q1647" s="1"/>
      <c r="T1647" s="2"/>
    </row>
    <row r="1649" spans="16:20" x14ac:dyDescent="0.4">
      <c r="P1649" s="1"/>
      <c r="Q1649" s="1"/>
      <c r="T1649" s="2"/>
    </row>
    <row r="1650" spans="16:20" x14ac:dyDescent="0.4">
      <c r="P1650" s="1"/>
      <c r="T1650" s="2"/>
    </row>
    <row r="1651" spans="16:20" x14ac:dyDescent="0.4">
      <c r="P1651" s="1"/>
      <c r="T1651" s="2"/>
    </row>
    <row r="1652" spans="16:20" x14ac:dyDescent="0.4">
      <c r="P1652" s="1"/>
      <c r="Q1652" s="1"/>
      <c r="T1652" s="2"/>
    </row>
    <row r="1653" spans="16:20" x14ac:dyDescent="0.4">
      <c r="P1653" s="1"/>
      <c r="Q1653" s="1"/>
      <c r="T1653" s="2"/>
    </row>
    <row r="1654" spans="16:20" x14ac:dyDescent="0.4">
      <c r="P1654" s="1"/>
      <c r="Q1654" s="1"/>
      <c r="T1654" s="2"/>
    </row>
    <row r="1655" spans="16:20" x14ac:dyDescent="0.4">
      <c r="P1655" s="1"/>
      <c r="Q1655" s="1"/>
      <c r="T1655" s="2"/>
    </row>
    <row r="1658" spans="16:20" x14ac:dyDescent="0.4">
      <c r="P1658" s="1"/>
      <c r="Q1658" s="1"/>
      <c r="T1658" s="2"/>
    </row>
    <row r="1659" spans="16:20" x14ac:dyDescent="0.4">
      <c r="P1659" s="1"/>
      <c r="T1659" s="2"/>
    </row>
    <row r="1660" spans="16:20" x14ac:dyDescent="0.4">
      <c r="P1660" s="1"/>
      <c r="T1660" s="2"/>
    </row>
    <row r="1661" spans="16:20" x14ac:dyDescent="0.4">
      <c r="P1661" s="1"/>
      <c r="T1661" s="2"/>
    </row>
    <row r="1662" spans="16:20" x14ac:dyDescent="0.4">
      <c r="P1662" s="1"/>
      <c r="Q1662" s="1"/>
      <c r="T1662" s="2"/>
    </row>
    <row r="1663" spans="16:20" x14ac:dyDescent="0.4">
      <c r="P1663" s="1"/>
      <c r="Q1663" s="1"/>
      <c r="T1663" s="2"/>
    </row>
    <row r="1664" spans="16:20" x14ac:dyDescent="0.4">
      <c r="P1664" s="1"/>
      <c r="Q1664" s="1"/>
      <c r="T1664" s="2"/>
    </row>
    <row r="1665" spans="16:20" x14ac:dyDescent="0.4">
      <c r="P1665" s="1"/>
      <c r="Q1665" s="1"/>
      <c r="T1665" s="2"/>
    </row>
    <row r="1666" spans="16:20" x14ac:dyDescent="0.4">
      <c r="P1666" s="1"/>
      <c r="Q1666" s="1"/>
      <c r="T1666" s="2"/>
    </row>
    <row r="1667" spans="16:20" x14ac:dyDescent="0.4">
      <c r="P1667" s="1"/>
      <c r="Q1667" s="1"/>
      <c r="T1667" s="2"/>
    </row>
    <row r="1668" spans="16:20" x14ac:dyDescent="0.4">
      <c r="P1668" s="1"/>
      <c r="Q1668" s="1"/>
      <c r="T1668" s="2"/>
    </row>
    <row r="1669" spans="16:20" x14ac:dyDescent="0.4">
      <c r="P1669" s="1"/>
      <c r="Q1669" s="1"/>
      <c r="T1669" s="2"/>
    </row>
    <row r="1670" spans="16:20" x14ac:dyDescent="0.4">
      <c r="P1670" s="1"/>
      <c r="T1670" s="2"/>
    </row>
    <row r="1671" spans="16:20" x14ac:dyDescent="0.4">
      <c r="P1671" s="1"/>
      <c r="T1671" s="2"/>
    </row>
    <row r="1672" spans="16:20" x14ac:dyDescent="0.4">
      <c r="P1672" s="1"/>
      <c r="Q1672" s="1"/>
      <c r="T1672" s="2"/>
    </row>
    <row r="1673" spans="16:20" x14ac:dyDescent="0.4">
      <c r="P1673" s="1"/>
      <c r="Q1673" s="1"/>
      <c r="T1673" s="2"/>
    </row>
    <row r="1674" spans="16:20" x14ac:dyDescent="0.4">
      <c r="P1674" s="1"/>
      <c r="Q1674" s="1"/>
      <c r="T1674" s="2"/>
    </row>
    <row r="1675" spans="16:20" x14ac:dyDescent="0.4">
      <c r="P1675" s="1"/>
      <c r="Q1675" s="1"/>
      <c r="T1675" s="2"/>
    </row>
    <row r="1677" spans="16:20" x14ac:dyDescent="0.4">
      <c r="P1677" s="1"/>
      <c r="Q1677" s="1"/>
      <c r="T1677" s="2"/>
    </row>
    <row r="1678" spans="16:20" x14ac:dyDescent="0.4">
      <c r="P1678" s="1"/>
      <c r="Q1678" s="1"/>
      <c r="T1678" s="2"/>
    </row>
    <row r="1680" spans="16:20" x14ac:dyDescent="0.4">
      <c r="P1680" s="1"/>
      <c r="T1680" s="2"/>
    </row>
    <row r="1681" spans="16:20" x14ac:dyDescent="0.4">
      <c r="P1681" s="1"/>
      <c r="T1681" s="2"/>
    </row>
    <row r="1682" spans="16:20" x14ac:dyDescent="0.4">
      <c r="P1682" s="1"/>
      <c r="Q1682" s="1"/>
      <c r="T1682" s="2"/>
    </row>
    <row r="1683" spans="16:20" x14ac:dyDescent="0.4">
      <c r="P1683" s="1"/>
      <c r="Q1683" s="1"/>
      <c r="T1683" s="2"/>
    </row>
    <row r="1684" spans="16:20" x14ac:dyDescent="0.4">
      <c r="P1684" s="1"/>
      <c r="Q1684" s="1"/>
      <c r="T1684" s="2"/>
    </row>
    <row r="1685" spans="16:20" x14ac:dyDescent="0.4">
      <c r="P1685" s="1"/>
      <c r="Q1685" s="1"/>
      <c r="T1685" s="2"/>
    </row>
    <row r="1687" spans="16:20" x14ac:dyDescent="0.4">
      <c r="P1687" s="1"/>
      <c r="Q1687" s="1"/>
      <c r="T1687" s="2"/>
    </row>
    <row r="1688" spans="16:20" x14ac:dyDescent="0.4">
      <c r="P1688" s="1"/>
      <c r="Q1688" s="1"/>
      <c r="T1688" s="2"/>
    </row>
    <row r="1689" spans="16:20" x14ac:dyDescent="0.4">
      <c r="P1689" s="1"/>
      <c r="Q1689" s="1"/>
      <c r="T1689" s="2"/>
    </row>
    <row r="1690" spans="16:20" x14ac:dyDescent="0.4">
      <c r="P1690" s="1"/>
      <c r="T1690" s="2"/>
    </row>
    <row r="1691" spans="16:20" x14ac:dyDescent="0.4">
      <c r="P1691" s="1"/>
      <c r="T1691" s="2"/>
    </row>
    <row r="1692" spans="16:20" x14ac:dyDescent="0.4">
      <c r="P1692" s="1"/>
      <c r="Q1692" s="1"/>
      <c r="T1692" s="2"/>
    </row>
    <row r="1693" spans="16:20" x14ac:dyDescent="0.4">
      <c r="P1693" s="1"/>
      <c r="Q1693" s="1"/>
      <c r="T1693" s="2"/>
    </row>
    <row r="1694" spans="16:20" x14ac:dyDescent="0.4">
      <c r="P1694" s="1"/>
      <c r="Q1694" s="1"/>
      <c r="T1694" s="2"/>
    </row>
    <row r="1695" spans="16:20" x14ac:dyDescent="0.4">
      <c r="P1695" s="1"/>
      <c r="Q1695" s="1"/>
      <c r="T1695" s="2"/>
    </row>
    <row r="1697" spans="16:20" x14ac:dyDescent="0.4">
      <c r="P1697" s="1"/>
      <c r="Q1697" s="1"/>
      <c r="T1697" s="2"/>
    </row>
    <row r="1699" spans="16:20" x14ac:dyDescent="0.4">
      <c r="P1699" s="1"/>
      <c r="Q1699" s="1"/>
      <c r="T1699" s="2"/>
    </row>
    <row r="1700" spans="16:20" x14ac:dyDescent="0.4">
      <c r="P1700" s="1"/>
      <c r="T1700" s="2"/>
    </row>
    <row r="1701" spans="16:20" x14ac:dyDescent="0.4">
      <c r="P1701" s="1"/>
      <c r="T1701" s="2"/>
    </row>
    <row r="1702" spans="16:20" x14ac:dyDescent="0.4">
      <c r="P1702" s="1"/>
      <c r="Q1702" s="1"/>
      <c r="T1702" s="2"/>
    </row>
    <row r="1703" spans="16:20" x14ac:dyDescent="0.4">
      <c r="P1703" s="1"/>
      <c r="Q1703" s="1"/>
      <c r="T1703" s="2"/>
    </row>
    <row r="1704" spans="16:20" x14ac:dyDescent="0.4">
      <c r="P1704" s="1"/>
      <c r="Q1704" s="1"/>
      <c r="T1704" s="2"/>
    </row>
    <row r="1705" spans="16:20" x14ac:dyDescent="0.4">
      <c r="P1705" s="1"/>
      <c r="Q1705" s="1"/>
      <c r="T1705" s="2"/>
    </row>
    <row r="1706" spans="16:20" x14ac:dyDescent="0.4">
      <c r="P1706" s="1"/>
      <c r="Q1706" s="1"/>
      <c r="T1706" s="2"/>
    </row>
    <row r="1708" spans="16:20" x14ac:dyDescent="0.4">
      <c r="P1708" s="1"/>
      <c r="Q1708" s="1"/>
      <c r="T1708" s="2"/>
    </row>
    <row r="1709" spans="16:20" x14ac:dyDescent="0.4">
      <c r="T1709" s="2"/>
    </row>
    <row r="1710" spans="16:20" x14ac:dyDescent="0.4">
      <c r="P1710" s="1"/>
      <c r="T1710" s="2"/>
    </row>
    <row r="1711" spans="16:20" x14ac:dyDescent="0.4">
      <c r="P1711" s="1"/>
      <c r="T1711" s="2"/>
    </row>
    <row r="1712" spans="16:20" x14ac:dyDescent="0.4">
      <c r="P1712" s="1"/>
      <c r="Q1712" s="1"/>
      <c r="T1712" s="2"/>
    </row>
    <row r="1713" spans="16:20" x14ac:dyDescent="0.4">
      <c r="P1713" s="1"/>
      <c r="Q1713" s="1"/>
      <c r="T1713" s="2"/>
    </row>
    <row r="1714" spans="16:20" x14ac:dyDescent="0.4">
      <c r="P1714" s="1"/>
      <c r="Q1714" s="1"/>
      <c r="T1714" s="2"/>
    </row>
    <row r="1715" spans="16:20" x14ac:dyDescent="0.4">
      <c r="P1715" s="1"/>
      <c r="Q1715" s="1"/>
      <c r="T1715" s="2"/>
    </row>
    <row r="1717" spans="16:20" x14ac:dyDescent="0.4">
      <c r="P1717" s="1"/>
      <c r="Q1717" s="1"/>
      <c r="T1717" s="2"/>
    </row>
    <row r="1718" spans="16:20" x14ac:dyDescent="0.4">
      <c r="P1718" s="1"/>
      <c r="Q1718" s="1"/>
      <c r="T1718" s="2"/>
    </row>
    <row r="1719" spans="16:20" x14ac:dyDescent="0.4">
      <c r="P1719" s="1"/>
      <c r="Q1719" s="1"/>
      <c r="T1719" s="2"/>
    </row>
    <row r="1720" spans="16:20" x14ac:dyDescent="0.4">
      <c r="P1720" s="1"/>
      <c r="T1720" s="2"/>
    </row>
    <row r="1721" spans="16:20" x14ac:dyDescent="0.4">
      <c r="P1721" s="1"/>
      <c r="T1721" s="2"/>
    </row>
    <row r="1722" spans="16:20" x14ac:dyDescent="0.4">
      <c r="P1722" s="1"/>
      <c r="Q1722" s="1"/>
      <c r="T1722" s="2"/>
    </row>
    <row r="1723" spans="16:20" x14ac:dyDescent="0.4">
      <c r="P1723" s="1"/>
      <c r="Q1723" s="1"/>
      <c r="T1723" s="2"/>
    </row>
    <row r="1724" spans="16:20" x14ac:dyDescent="0.4">
      <c r="P1724" s="1"/>
      <c r="Q1724" s="1"/>
      <c r="T1724" s="2"/>
    </row>
    <row r="1725" spans="16:20" x14ac:dyDescent="0.4">
      <c r="P1725" s="1"/>
      <c r="Q1725" s="1"/>
      <c r="T1725" s="2"/>
    </row>
    <row r="1726" spans="16:20" x14ac:dyDescent="0.4">
      <c r="P1726" s="1"/>
      <c r="Q1726" s="1"/>
      <c r="T1726" s="2"/>
    </row>
    <row r="1727" spans="16:20" x14ac:dyDescent="0.4">
      <c r="P1727" s="1"/>
      <c r="T1727" s="2"/>
    </row>
    <row r="1728" spans="16:20" x14ac:dyDescent="0.4">
      <c r="P1728" s="1"/>
      <c r="Q1728" s="1"/>
      <c r="T1728" s="2"/>
    </row>
    <row r="1730" spans="16:20" x14ac:dyDescent="0.4">
      <c r="P1730" s="1"/>
      <c r="T1730" s="2"/>
    </row>
    <row r="1731" spans="16:20" x14ac:dyDescent="0.4">
      <c r="P1731" s="1"/>
      <c r="T1731" s="2"/>
    </row>
    <row r="1732" spans="16:20" x14ac:dyDescent="0.4">
      <c r="P1732" s="1"/>
      <c r="Q1732" s="1"/>
      <c r="T1732" s="2"/>
    </row>
    <row r="1733" spans="16:20" x14ac:dyDescent="0.4">
      <c r="P1733" s="1"/>
      <c r="Q1733" s="1"/>
      <c r="T1733" s="2"/>
    </row>
    <row r="1734" spans="16:20" x14ac:dyDescent="0.4">
      <c r="P1734" s="1"/>
      <c r="Q1734" s="1"/>
      <c r="T1734" s="2"/>
    </row>
    <row r="1735" spans="16:20" x14ac:dyDescent="0.4">
      <c r="P1735" s="1"/>
      <c r="Q1735" s="1"/>
      <c r="T1735" s="2"/>
    </row>
    <row r="1737" spans="16:20" x14ac:dyDescent="0.4">
      <c r="P1737" s="1"/>
      <c r="Q1737" s="1"/>
      <c r="T1737" s="2"/>
    </row>
    <row r="1738" spans="16:20" x14ac:dyDescent="0.4">
      <c r="P1738" s="1"/>
      <c r="Q1738" s="1"/>
      <c r="T1738" s="2"/>
    </row>
    <row r="1739" spans="16:20" x14ac:dyDescent="0.4">
      <c r="P1739" s="1"/>
      <c r="Q1739" s="1"/>
      <c r="T1739" s="2"/>
    </row>
    <row r="1740" spans="16:20" x14ac:dyDescent="0.4">
      <c r="P1740" s="1"/>
      <c r="T1740" s="2"/>
    </row>
    <row r="1741" spans="16:20" x14ac:dyDescent="0.4">
      <c r="T1741" s="2"/>
    </row>
    <row r="1742" spans="16:20" x14ac:dyDescent="0.4">
      <c r="P1742" s="1"/>
      <c r="Q1742" s="1"/>
      <c r="T1742" s="2"/>
    </row>
    <row r="1743" spans="16:20" x14ac:dyDescent="0.4">
      <c r="P1743" s="1"/>
      <c r="Q1743" s="1"/>
      <c r="T1743" s="2"/>
    </row>
    <row r="1744" spans="16:20" x14ac:dyDescent="0.4">
      <c r="P1744" s="1"/>
      <c r="Q1744" s="1"/>
      <c r="T1744" s="2"/>
    </row>
    <row r="1745" spans="16:20" x14ac:dyDescent="0.4">
      <c r="P1745" s="1"/>
      <c r="Q1745" s="1"/>
      <c r="T1745" s="2"/>
    </row>
    <row r="1746" spans="16:20" x14ac:dyDescent="0.4">
      <c r="P1746" s="1"/>
      <c r="Q1746" s="1"/>
      <c r="T1746" s="2"/>
    </row>
    <row r="1747" spans="16:20" x14ac:dyDescent="0.4">
      <c r="P1747" s="1"/>
      <c r="Q1747" s="1"/>
      <c r="T1747" s="2"/>
    </row>
    <row r="1748" spans="16:20" x14ac:dyDescent="0.4">
      <c r="P1748" s="1"/>
      <c r="T1748" s="2"/>
    </row>
    <row r="1749" spans="16:20" x14ac:dyDescent="0.4">
      <c r="P1749" s="1"/>
      <c r="Q1749" s="1"/>
      <c r="T1749" s="2"/>
    </row>
    <row r="1750" spans="16:20" x14ac:dyDescent="0.4">
      <c r="P1750" s="1"/>
      <c r="T1750" s="2"/>
    </row>
    <row r="1751" spans="16:20" x14ac:dyDescent="0.4">
      <c r="P1751" s="1"/>
      <c r="T1751" s="2"/>
    </row>
    <row r="1752" spans="16:20" x14ac:dyDescent="0.4">
      <c r="P1752" s="1"/>
      <c r="Q1752" s="1"/>
      <c r="T1752" s="2"/>
    </row>
    <row r="1753" spans="16:20" x14ac:dyDescent="0.4">
      <c r="P1753" s="1"/>
      <c r="Q1753" s="1"/>
      <c r="T1753" s="2"/>
    </row>
    <row r="1754" spans="16:20" x14ac:dyDescent="0.4">
      <c r="P1754" s="1"/>
      <c r="Q1754" s="1"/>
      <c r="T1754" s="2"/>
    </row>
    <row r="1755" spans="16:20" x14ac:dyDescent="0.4">
      <c r="P1755" s="1"/>
      <c r="Q1755" s="1"/>
      <c r="T1755" s="2"/>
    </row>
    <row r="1756" spans="16:20" x14ac:dyDescent="0.4">
      <c r="P1756" s="1"/>
      <c r="T1756" s="2"/>
    </row>
    <row r="1757" spans="16:20" x14ac:dyDescent="0.4">
      <c r="P1757" s="1"/>
      <c r="Q1757" s="1"/>
      <c r="T1757" s="2"/>
    </row>
    <row r="1758" spans="16:20" x14ac:dyDescent="0.4">
      <c r="P1758" s="1"/>
      <c r="Q1758" s="1"/>
      <c r="T1758" s="2"/>
    </row>
    <row r="1759" spans="16:20" x14ac:dyDescent="0.4">
      <c r="P1759" s="1"/>
      <c r="T1759" s="2"/>
    </row>
    <row r="1760" spans="16:20" x14ac:dyDescent="0.4">
      <c r="P1760" s="1"/>
      <c r="T1760" s="2"/>
    </row>
    <row r="1761" spans="16:20" x14ac:dyDescent="0.4">
      <c r="P1761" s="1"/>
      <c r="T1761" s="2"/>
    </row>
    <row r="1762" spans="16:20" x14ac:dyDescent="0.4">
      <c r="P1762" s="1"/>
      <c r="Q1762" s="1"/>
      <c r="T1762" s="2"/>
    </row>
    <row r="1763" spans="16:20" x14ac:dyDescent="0.4">
      <c r="P1763" s="1"/>
      <c r="Q1763" s="1"/>
      <c r="T1763" s="2"/>
    </row>
    <row r="1764" spans="16:20" x14ac:dyDescent="0.4">
      <c r="P1764" s="1"/>
      <c r="Q1764" s="1"/>
      <c r="T1764" s="2"/>
    </row>
    <row r="1765" spans="16:20" x14ac:dyDescent="0.4">
      <c r="P1765" s="1"/>
      <c r="Q1765" s="1"/>
      <c r="T1765" s="2"/>
    </row>
    <row r="1766" spans="16:20" x14ac:dyDescent="0.4">
      <c r="P1766" s="1"/>
      <c r="Q1766" s="1"/>
      <c r="T1766" s="2"/>
    </row>
    <row r="1767" spans="16:20" x14ac:dyDescent="0.4">
      <c r="P1767" s="1"/>
      <c r="Q1767" s="1"/>
      <c r="T1767" s="2"/>
    </row>
    <row r="1768" spans="16:20" x14ac:dyDescent="0.4">
      <c r="P1768" s="1"/>
      <c r="T1768" s="2"/>
    </row>
    <row r="1769" spans="16:20" x14ac:dyDescent="0.4">
      <c r="P1769" s="1"/>
      <c r="Q1769" s="1"/>
      <c r="T1769" s="2"/>
    </row>
    <row r="1770" spans="16:20" x14ac:dyDescent="0.4">
      <c r="P1770" s="1"/>
      <c r="T1770" s="2"/>
    </row>
    <row r="1771" spans="16:20" x14ac:dyDescent="0.4">
      <c r="P1771" s="1"/>
      <c r="T1771" s="2"/>
    </row>
    <row r="1772" spans="16:20" x14ac:dyDescent="0.4">
      <c r="P1772" s="1"/>
      <c r="Q1772" s="1"/>
      <c r="T1772" s="2"/>
    </row>
    <row r="1773" spans="16:20" x14ac:dyDescent="0.4">
      <c r="P1773" s="1"/>
      <c r="Q1773" s="1"/>
      <c r="T1773" s="2"/>
    </row>
    <row r="1774" spans="16:20" x14ac:dyDescent="0.4">
      <c r="P1774" s="1"/>
      <c r="Q1774" s="1"/>
      <c r="T1774" s="2"/>
    </row>
    <row r="1775" spans="16:20" x14ac:dyDescent="0.4">
      <c r="P1775" s="1"/>
      <c r="Q1775" s="1"/>
      <c r="T1775" s="2"/>
    </row>
    <row r="1777" spans="16:20" x14ac:dyDescent="0.4">
      <c r="P1777" s="1"/>
      <c r="T1777" s="2"/>
    </row>
    <row r="1778" spans="16:20" x14ac:dyDescent="0.4">
      <c r="P1778" s="1"/>
      <c r="Q1778" s="1"/>
      <c r="T1778" s="2"/>
    </row>
    <row r="1780" spans="16:20" x14ac:dyDescent="0.4">
      <c r="P1780" s="1"/>
      <c r="T1780" s="2"/>
    </row>
    <row r="1781" spans="16:20" x14ac:dyDescent="0.4">
      <c r="P1781" s="1"/>
      <c r="T1781" s="2"/>
    </row>
    <row r="1782" spans="16:20" x14ac:dyDescent="0.4">
      <c r="P1782" s="1"/>
      <c r="Q1782" s="1"/>
      <c r="T1782" s="2"/>
    </row>
    <row r="1783" spans="16:20" x14ac:dyDescent="0.4">
      <c r="P1783" s="1"/>
      <c r="Q1783" s="1"/>
      <c r="T1783" s="2"/>
    </row>
    <row r="1784" spans="16:20" x14ac:dyDescent="0.4">
      <c r="P1784" s="1"/>
      <c r="Q1784" s="1"/>
      <c r="T1784" s="2"/>
    </row>
    <row r="1785" spans="16:20" x14ac:dyDescent="0.4">
      <c r="P1785" s="1"/>
      <c r="Q1785" s="1"/>
      <c r="T1785" s="2"/>
    </row>
    <row r="1786" spans="16:20" x14ac:dyDescent="0.4">
      <c r="P1786" s="1"/>
      <c r="Q1786" s="1"/>
      <c r="T1786" s="2"/>
    </row>
    <row r="1787" spans="16:20" x14ac:dyDescent="0.4">
      <c r="P1787" s="1"/>
      <c r="Q1787" s="1"/>
      <c r="T1787" s="2"/>
    </row>
    <row r="1788" spans="16:20" x14ac:dyDescent="0.4">
      <c r="P1788" s="1"/>
      <c r="Q1788" s="1"/>
      <c r="T1788" s="2"/>
    </row>
    <row r="1789" spans="16:20" x14ac:dyDescent="0.4">
      <c r="P1789" s="1"/>
      <c r="Q1789" s="1"/>
      <c r="T1789" s="2"/>
    </row>
    <row r="1790" spans="16:20" x14ac:dyDescent="0.4">
      <c r="P1790" s="1"/>
      <c r="T1790" s="2"/>
    </row>
    <row r="1791" spans="16:20" x14ac:dyDescent="0.4">
      <c r="P1791" s="1"/>
      <c r="T1791" s="2"/>
    </row>
    <row r="1792" spans="16:20" x14ac:dyDescent="0.4">
      <c r="P1792" s="1"/>
      <c r="Q1792" s="1"/>
      <c r="T1792" s="2"/>
    </row>
    <row r="1793" spans="16:20" x14ac:dyDescent="0.4">
      <c r="P1793" s="1"/>
      <c r="Q1793" s="1"/>
      <c r="T1793" s="2"/>
    </row>
    <row r="1794" spans="16:20" x14ac:dyDescent="0.4">
      <c r="P1794" s="1"/>
      <c r="Q1794" s="1"/>
      <c r="T1794" s="2"/>
    </row>
    <row r="1795" spans="16:20" x14ac:dyDescent="0.4">
      <c r="P1795" s="1"/>
      <c r="Q1795" s="1"/>
      <c r="T1795" s="2"/>
    </row>
    <row r="1796" spans="16:20" x14ac:dyDescent="0.4">
      <c r="P1796" s="1"/>
      <c r="Q1796" s="1"/>
      <c r="T1796" s="2"/>
    </row>
    <row r="1797" spans="16:20" x14ac:dyDescent="0.4">
      <c r="P1797" s="1"/>
      <c r="Q1797" s="1"/>
      <c r="T1797" s="2"/>
    </row>
    <row r="1798" spans="16:20" x14ac:dyDescent="0.4">
      <c r="P1798" s="1"/>
      <c r="Q1798" s="1"/>
      <c r="T1798" s="2"/>
    </row>
    <row r="1799" spans="16:20" x14ac:dyDescent="0.4">
      <c r="P1799" s="1"/>
      <c r="Q1799" s="1"/>
      <c r="T1799" s="2"/>
    </row>
    <row r="1800" spans="16:20" x14ac:dyDescent="0.4">
      <c r="P1800" s="1"/>
      <c r="T1800" s="2"/>
    </row>
    <row r="1801" spans="16:20" x14ac:dyDescent="0.4">
      <c r="P1801" s="1"/>
      <c r="T1801" s="2"/>
    </row>
    <row r="1802" spans="16:20" x14ac:dyDescent="0.4">
      <c r="P1802" s="1"/>
      <c r="Q1802" s="1"/>
      <c r="T1802" s="2"/>
    </row>
    <row r="1803" spans="16:20" x14ac:dyDescent="0.4">
      <c r="P1803" s="1"/>
      <c r="Q1803" s="1"/>
      <c r="T1803" s="2"/>
    </row>
    <row r="1804" spans="16:20" x14ac:dyDescent="0.4">
      <c r="P1804" s="1"/>
      <c r="Q1804" s="1"/>
      <c r="T1804" s="2"/>
    </row>
    <row r="1805" spans="16:20" x14ac:dyDescent="0.4">
      <c r="P1805" s="1"/>
      <c r="Q1805" s="1"/>
      <c r="T1805" s="2"/>
    </row>
    <row r="1806" spans="16:20" x14ac:dyDescent="0.4">
      <c r="T1806" s="2"/>
    </row>
    <row r="1808" spans="16:20" x14ac:dyDescent="0.4">
      <c r="P1808" s="1"/>
      <c r="Q1808" s="1"/>
      <c r="T1808" s="2"/>
    </row>
    <row r="1809" spans="16:20" x14ac:dyDescent="0.4">
      <c r="P1809" s="1"/>
      <c r="T1809" s="2"/>
    </row>
    <row r="1810" spans="16:20" x14ac:dyDescent="0.4">
      <c r="P1810" s="1"/>
      <c r="T1810" s="2"/>
    </row>
    <row r="1811" spans="16:20" x14ac:dyDescent="0.4">
      <c r="P1811" s="1"/>
      <c r="T1811" s="2"/>
    </row>
    <row r="1812" spans="16:20" x14ac:dyDescent="0.4">
      <c r="P1812" s="1"/>
      <c r="Q1812" s="1"/>
      <c r="T1812" s="2"/>
    </row>
    <row r="1813" spans="16:20" x14ac:dyDescent="0.4">
      <c r="P1813" s="1"/>
      <c r="Q1813" s="1"/>
      <c r="T1813" s="2"/>
    </row>
    <row r="1814" spans="16:20" x14ac:dyDescent="0.4">
      <c r="P1814" s="1"/>
      <c r="Q1814" s="1"/>
      <c r="T1814" s="2"/>
    </row>
    <row r="1815" spans="16:20" x14ac:dyDescent="0.4">
      <c r="P1815" s="1"/>
      <c r="Q1815" s="1"/>
      <c r="T1815" s="2"/>
    </row>
    <row r="1817" spans="16:20" x14ac:dyDescent="0.4">
      <c r="P1817" s="1"/>
      <c r="Q1817" s="1"/>
      <c r="T1817" s="2"/>
    </row>
    <row r="1818" spans="16:20" x14ac:dyDescent="0.4">
      <c r="T1818" s="2"/>
    </row>
    <row r="1819" spans="16:20" x14ac:dyDescent="0.4">
      <c r="P1819" s="1"/>
      <c r="Q1819" s="1"/>
      <c r="T1819" s="2"/>
    </row>
    <row r="1820" spans="16:20" x14ac:dyDescent="0.4">
      <c r="P1820" s="1"/>
      <c r="T1820" s="2"/>
    </row>
    <row r="1821" spans="16:20" x14ac:dyDescent="0.4">
      <c r="P1821" s="1"/>
      <c r="T1821" s="2"/>
    </row>
    <row r="1822" spans="16:20" x14ac:dyDescent="0.4">
      <c r="P1822" s="1"/>
      <c r="Q1822" s="1"/>
      <c r="T1822" s="2"/>
    </row>
    <row r="1823" spans="16:20" x14ac:dyDescent="0.4">
      <c r="P1823" s="1"/>
      <c r="Q1823" s="1"/>
      <c r="T1823" s="2"/>
    </row>
    <row r="1824" spans="16:20" x14ac:dyDescent="0.4">
      <c r="P1824" s="1"/>
      <c r="Q1824" s="1"/>
      <c r="T1824" s="2"/>
    </row>
    <row r="1825" spans="16:20" x14ac:dyDescent="0.4">
      <c r="P1825" s="1"/>
      <c r="Q1825" s="1"/>
      <c r="T1825" s="2"/>
    </row>
    <row r="1826" spans="16:20" x14ac:dyDescent="0.4">
      <c r="P1826" s="1"/>
      <c r="Q1826" s="1"/>
      <c r="T1826" s="2"/>
    </row>
    <row r="1827" spans="16:20" x14ac:dyDescent="0.4">
      <c r="P1827" s="1"/>
      <c r="T1827" s="2"/>
    </row>
    <row r="1830" spans="16:20" x14ac:dyDescent="0.4">
      <c r="P1830" s="1"/>
      <c r="T1830" s="2"/>
    </row>
    <row r="1831" spans="16:20" x14ac:dyDescent="0.4">
      <c r="P1831" s="1"/>
      <c r="T1831" s="2"/>
    </row>
    <row r="1832" spans="16:20" x14ac:dyDescent="0.4">
      <c r="P1832" s="1"/>
      <c r="Q1832" s="1"/>
      <c r="T1832" s="2"/>
    </row>
    <row r="1833" spans="16:20" x14ac:dyDescent="0.4">
      <c r="P1833" s="1"/>
      <c r="Q1833" s="1"/>
      <c r="T1833" s="2"/>
    </row>
    <row r="1834" spans="16:20" x14ac:dyDescent="0.4">
      <c r="P1834" s="1"/>
      <c r="Q1834" s="1"/>
      <c r="T1834" s="2"/>
    </row>
    <row r="1835" spans="16:20" x14ac:dyDescent="0.4">
      <c r="P1835" s="1"/>
      <c r="Q1835" s="1"/>
      <c r="T1835" s="2"/>
    </row>
    <row r="1837" spans="16:20" x14ac:dyDescent="0.4">
      <c r="P1837" s="1"/>
      <c r="Q1837" s="1"/>
      <c r="T1837" s="2"/>
    </row>
    <row r="1838" spans="16:20" x14ac:dyDescent="0.4">
      <c r="P1838" s="1"/>
      <c r="Q1838" s="1"/>
      <c r="T1838" s="2"/>
    </row>
    <row r="1839" spans="16:20" x14ac:dyDescent="0.4">
      <c r="P1839" s="1"/>
      <c r="Q1839" s="1"/>
      <c r="T1839" s="2"/>
    </row>
    <row r="1841" spans="16:20" x14ac:dyDescent="0.4">
      <c r="T1841" s="2"/>
    </row>
    <row r="1842" spans="16:20" x14ac:dyDescent="0.4">
      <c r="P1842" s="1"/>
      <c r="Q1842" s="1"/>
      <c r="T1842" s="2"/>
    </row>
    <row r="1843" spans="16:20" x14ac:dyDescent="0.4">
      <c r="P1843" s="1"/>
      <c r="Q1843" s="1"/>
      <c r="T1843" s="2"/>
    </row>
    <row r="1844" spans="16:20" x14ac:dyDescent="0.4">
      <c r="P1844" s="1"/>
      <c r="Q1844" s="1"/>
      <c r="T1844" s="2"/>
    </row>
    <row r="1845" spans="16:20" x14ac:dyDescent="0.4">
      <c r="P1845" s="1"/>
      <c r="Q1845" s="1"/>
      <c r="T1845" s="2"/>
    </row>
    <row r="1846" spans="16:20" x14ac:dyDescent="0.4">
      <c r="P1846" s="1"/>
      <c r="Q1846" s="1"/>
      <c r="T1846" s="2"/>
    </row>
    <row r="1847" spans="16:20" x14ac:dyDescent="0.4">
      <c r="P1847" s="1"/>
      <c r="Q1847" s="1"/>
      <c r="T1847" s="2"/>
    </row>
    <row r="1849" spans="16:20" x14ac:dyDescent="0.4">
      <c r="P1849" s="1"/>
      <c r="Q1849" s="1"/>
      <c r="T1849" s="2"/>
    </row>
    <row r="1851" spans="16:20" x14ac:dyDescent="0.4">
      <c r="P1851" s="1"/>
      <c r="T1851" s="2"/>
    </row>
    <row r="1852" spans="16:20" x14ac:dyDescent="0.4">
      <c r="P1852" s="1"/>
      <c r="Q1852" s="1"/>
      <c r="T1852" s="2"/>
    </row>
    <row r="1853" spans="16:20" x14ac:dyDescent="0.4">
      <c r="P1853" s="1"/>
      <c r="Q1853" s="1"/>
      <c r="T1853" s="2"/>
    </row>
    <row r="1854" spans="16:20" x14ac:dyDescent="0.4">
      <c r="P1854" s="1"/>
      <c r="Q1854" s="1"/>
      <c r="T1854" s="2"/>
    </row>
    <row r="1855" spans="16:20" x14ac:dyDescent="0.4">
      <c r="P1855" s="1"/>
      <c r="Q1855" s="1"/>
      <c r="T1855" s="2"/>
    </row>
    <row r="1856" spans="16:20" x14ac:dyDescent="0.4">
      <c r="P1856" s="1"/>
      <c r="T1856" s="2"/>
    </row>
    <row r="1858" spans="16:20" x14ac:dyDescent="0.4">
      <c r="P1858" s="1"/>
      <c r="Q1858" s="1"/>
      <c r="T1858" s="2"/>
    </row>
    <row r="1859" spans="16:20" x14ac:dyDescent="0.4">
      <c r="P1859" s="1"/>
      <c r="T1859" s="2"/>
    </row>
    <row r="1861" spans="16:20" x14ac:dyDescent="0.4">
      <c r="P1861" s="1"/>
      <c r="T1861" s="2"/>
    </row>
    <row r="1862" spans="16:20" x14ac:dyDescent="0.4">
      <c r="P1862" s="1"/>
      <c r="Q1862" s="1"/>
      <c r="T1862" s="2"/>
    </row>
    <row r="1863" spans="16:20" x14ac:dyDescent="0.4">
      <c r="P1863" s="1"/>
      <c r="Q1863" s="1"/>
      <c r="T1863" s="2"/>
    </row>
    <row r="1864" spans="16:20" x14ac:dyDescent="0.4">
      <c r="P1864" s="1"/>
      <c r="Q1864" s="1"/>
      <c r="T1864" s="2"/>
    </row>
    <row r="1865" spans="16:20" x14ac:dyDescent="0.4">
      <c r="P1865" s="1"/>
      <c r="Q1865" s="1"/>
      <c r="T1865" s="2"/>
    </row>
    <row r="1866" spans="16:20" x14ac:dyDescent="0.4">
      <c r="P1866" s="1"/>
      <c r="Q1866" s="1"/>
      <c r="T1866" s="2"/>
    </row>
    <row r="1867" spans="16:20" x14ac:dyDescent="0.4">
      <c r="P1867" s="1"/>
      <c r="Q1867" s="1"/>
      <c r="T1867" s="2"/>
    </row>
    <row r="1868" spans="16:20" x14ac:dyDescent="0.4">
      <c r="P1868" s="1"/>
      <c r="Q1868" s="1"/>
      <c r="T1868" s="2"/>
    </row>
    <row r="1869" spans="16:20" x14ac:dyDescent="0.4">
      <c r="P1869" s="1"/>
      <c r="Q1869" s="1"/>
      <c r="T1869" s="2"/>
    </row>
    <row r="1871" spans="16:20" x14ac:dyDescent="0.4">
      <c r="P1871" s="1"/>
      <c r="T1871" s="2"/>
    </row>
    <row r="1872" spans="16:20" x14ac:dyDescent="0.4">
      <c r="P1872" s="1"/>
      <c r="Q1872" s="1"/>
      <c r="T1872" s="2"/>
    </row>
    <row r="1873" spans="16:20" x14ac:dyDescent="0.4">
      <c r="P1873" s="1"/>
      <c r="Q1873" s="1"/>
      <c r="T1873" s="2"/>
    </row>
    <row r="1874" spans="16:20" x14ac:dyDescent="0.4">
      <c r="P1874" s="1"/>
      <c r="Q1874" s="1"/>
      <c r="T1874" s="2"/>
    </row>
    <row r="1875" spans="16:20" x14ac:dyDescent="0.4">
      <c r="P1875" s="1"/>
      <c r="Q1875" s="1"/>
      <c r="T1875" s="2"/>
    </row>
    <row r="1876" spans="16:20" x14ac:dyDescent="0.4">
      <c r="P1876" s="1"/>
      <c r="Q1876" s="1"/>
      <c r="T1876" s="2"/>
    </row>
    <row r="1877" spans="16:20" x14ac:dyDescent="0.4">
      <c r="P1877" s="1"/>
      <c r="Q1877" s="1"/>
      <c r="T1877" s="2"/>
    </row>
    <row r="1878" spans="16:20" x14ac:dyDescent="0.4">
      <c r="P1878" s="1"/>
      <c r="Q1878" s="1"/>
      <c r="T1878" s="2"/>
    </row>
    <row r="1881" spans="16:20" x14ac:dyDescent="0.4">
      <c r="P1881" s="1"/>
      <c r="T1881" s="2"/>
    </row>
    <row r="1882" spans="16:20" x14ac:dyDescent="0.4">
      <c r="P1882" s="1"/>
      <c r="Q1882" s="1"/>
      <c r="T1882" s="2"/>
    </row>
    <row r="1883" spans="16:20" x14ac:dyDescent="0.4">
      <c r="P1883" s="1"/>
      <c r="Q1883" s="1"/>
      <c r="T1883" s="2"/>
    </row>
    <row r="1884" spans="16:20" x14ac:dyDescent="0.4">
      <c r="P1884" s="1"/>
      <c r="Q1884" s="1"/>
      <c r="T1884" s="2"/>
    </row>
    <row r="1885" spans="16:20" x14ac:dyDescent="0.4">
      <c r="P1885" s="1"/>
      <c r="Q1885" s="1"/>
      <c r="T1885" s="2"/>
    </row>
    <row r="1887" spans="16:20" x14ac:dyDescent="0.4">
      <c r="P1887" s="1"/>
      <c r="Q1887" s="1"/>
      <c r="T1887" s="2"/>
    </row>
    <row r="1888" spans="16:20" x14ac:dyDescent="0.4">
      <c r="P1888" s="1"/>
      <c r="Q1888" s="1"/>
      <c r="T1888" s="2"/>
    </row>
    <row r="1889" spans="16:20" x14ac:dyDescent="0.4">
      <c r="P1889" s="1"/>
      <c r="Q1889" s="1"/>
      <c r="T1889" s="2"/>
    </row>
    <row r="1891" spans="16:20" x14ac:dyDescent="0.4">
      <c r="P1891" s="1"/>
      <c r="T1891" s="2"/>
    </row>
    <row r="1892" spans="16:20" x14ac:dyDescent="0.4">
      <c r="P1892" s="1"/>
      <c r="Q1892" s="1"/>
      <c r="T1892" s="2"/>
    </row>
    <row r="1893" spans="16:20" x14ac:dyDescent="0.4">
      <c r="P1893" s="1"/>
      <c r="Q1893" s="1"/>
      <c r="T1893" s="2"/>
    </row>
    <row r="1894" spans="16:20" x14ac:dyDescent="0.4">
      <c r="P1894" s="1"/>
      <c r="Q1894" s="1"/>
      <c r="T1894" s="2"/>
    </row>
    <row r="1895" spans="16:20" x14ac:dyDescent="0.4">
      <c r="P1895" s="1"/>
      <c r="Q1895" s="1"/>
      <c r="T1895" s="2"/>
    </row>
    <row r="1896" spans="16:20" x14ac:dyDescent="0.4">
      <c r="P1896" s="1"/>
      <c r="Q1896" s="1"/>
      <c r="T1896" s="2"/>
    </row>
    <row r="1897" spans="16:20" x14ac:dyDescent="0.4">
      <c r="P1897" s="1"/>
      <c r="Q1897" s="1"/>
      <c r="T1897" s="2"/>
    </row>
    <row r="1899" spans="16:20" x14ac:dyDescent="0.4">
      <c r="P1899" s="1"/>
      <c r="Q1899" s="1"/>
      <c r="T1899" s="2"/>
    </row>
    <row r="1901" spans="16:20" x14ac:dyDescent="0.4">
      <c r="P1901" s="1"/>
      <c r="T1901" s="2"/>
    </row>
    <row r="1902" spans="16:20" x14ac:dyDescent="0.4">
      <c r="P1902" s="1"/>
      <c r="Q1902" s="1"/>
      <c r="T1902" s="2"/>
    </row>
    <row r="1903" spans="16:20" x14ac:dyDescent="0.4">
      <c r="P1903" s="1"/>
      <c r="Q1903" s="1"/>
      <c r="T1903" s="2"/>
    </row>
    <row r="1904" spans="16:20" x14ac:dyDescent="0.4">
      <c r="P1904" s="1"/>
      <c r="Q1904" s="1"/>
      <c r="T1904" s="2"/>
    </row>
    <row r="1905" spans="16:20" x14ac:dyDescent="0.4">
      <c r="P1905" s="1"/>
      <c r="Q1905" s="1"/>
      <c r="T1905" s="2"/>
    </row>
    <row r="1908" spans="16:20" x14ac:dyDescent="0.4">
      <c r="P1908" s="1"/>
      <c r="Q1908" s="1"/>
      <c r="T1908" s="2"/>
    </row>
    <row r="1909" spans="16:20" x14ac:dyDescent="0.4">
      <c r="P1909" s="1"/>
      <c r="T1909" s="2"/>
    </row>
    <row r="1911" spans="16:20" x14ac:dyDescent="0.4">
      <c r="P1911" s="1"/>
      <c r="T1911" s="2"/>
    </row>
    <row r="1912" spans="16:20" x14ac:dyDescent="0.4">
      <c r="P1912" s="1"/>
      <c r="Q1912" s="1"/>
      <c r="T1912" s="2"/>
    </row>
    <row r="1913" spans="16:20" x14ac:dyDescent="0.4">
      <c r="P1913" s="1"/>
      <c r="Q1913" s="1"/>
      <c r="T1913" s="2"/>
    </row>
    <row r="1914" spans="16:20" x14ac:dyDescent="0.4">
      <c r="P1914" s="1"/>
      <c r="Q1914" s="1"/>
      <c r="T1914" s="2"/>
    </row>
    <row r="1915" spans="16:20" x14ac:dyDescent="0.4">
      <c r="P1915" s="1"/>
      <c r="Q1915" s="1"/>
      <c r="T1915" s="2"/>
    </row>
    <row r="1916" spans="16:20" x14ac:dyDescent="0.4">
      <c r="P1916" s="1"/>
      <c r="Q1916" s="1"/>
      <c r="T1916" s="2"/>
    </row>
    <row r="1917" spans="16:20" x14ac:dyDescent="0.4">
      <c r="P1917" s="1"/>
      <c r="Q1917" s="1"/>
      <c r="T1917" s="2"/>
    </row>
    <row r="1918" spans="16:20" x14ac:dyDescent="0.4">
      <c r="P1918" s="1"/>
      <c r="Q1918" s="1"/>
      <c r="T1918" s="2"/>
    </row>
    <row r="1919" spans="16:20" x14ac:dyDescent="0.4">
      <c r="P1919" s="1"/>
      <c r="Q1919" s="1"/>
      <c r="T1919" s="2"/>
    </row>
    <row r="1921" spans="16:20" x14ac:dyDescent="0.4">
      <c r="P1921" s="1"/>
      <c r="T1921" s="2"/>
    </row>
    <row r="1922" spans="16:20" x14ac:dyDescent="0.4">
      <c r="P1922" s="1"/>
      <c r="Q1922" s="1"/>
      <c r="T1922" s="2"/>
    </row>
    <row r="1923" spans="16:20" x14ac:dyDescent="0.4">
      <c r="P1923" s="1"/>
      <c r="Q1923" s="1"/>
      <c r="T1923" s="2"/>
    </row>
    <row r="1924" spans="16:20" x14ac:dyDescent="0.4">
      <c r="P1924" s="1"/>
      <c r="Q1924" s="1"/>
      <c r="T1924" s="2"/>
    </row>
    <row r="1925" spans="16:20" x14ac:dyDescent="0.4">
      <c r="P1925" s="1"/>
      <c r="Q1925" s="1"/>
      <c r="T1925" s="2"/>
    </row>
    <row r="1926" spans="16:20" x14ac:dyDescent="0.4">
      <c r="P1926" s="1"/>
      <c r="Q1926" s="1"/>
      <c r="T1926" s="2"/>
    </row>
    <row r="1928" spans="16:20" x14ac:dyDescent="0.4">
      <c r="P1928" s="1"/>
      <c r="T1928" s="2"/>
    </row>
    <row r="1931" spans="16:20" x14ac:dyDescent="0.4">
      <c r="P1931" s="1"/>
      <c r="Q1931" s="1"/>
      <c r="T1931" s="2"/>
    </row>
    <row r="1932" spans="16:20" x14ac:dyDescent="0.4">
      <c r="P1932" s="1"/>
      <c r="Q1932" s="1"/>
      <c r="T1932" s="2"/>
    </row>
    <row r="1933" spans="16:20" x14ac:dyDescent="0.4">
      <c r="P1933" s="1"/>
      <c r="Q1933" s="1"/>
      <c r="T1933" s="2"/>
    </row>
    <row r="1935" spans="16:20" x14ac:dyDescent="0.4">
      <c r="P1935" s="1"/>
      <c r="Q1935" s="1"/>
      <c r="T1935" s="2"/>
    </row>
    <row r="1938" spans="16:20" x14ac:dyDescent="0.4">
      <c r="P1938" s="1"/>
      <c r="Q1938" s="1"/>
      <c r="T1938" s="2"/>
    </row>
    <row r="1939" spans="16:20" x14ac:dyDescent="0.4">
      <c r="P1939" s="1"/>
      <c r="Q1939" s="1"/>
      <c r="T1939" s="2"/>
    </row>
    <row r="1940" spans="16:20" x14ac:dyDescent="0.4">
      <c r="T1940" s="2"/>
    </row>
    <row r="1943" spans="16:20" x14ac:dyDescent="0.4">
      <c r="Q1943" s="1"/>
      <c r="T1943" s="2"/>
    </row>
    <row r="1944" spans="16:20" x14ac:dyDescent="0.4">
      <c r="Q1944" s="1"/>
    </row>
    <row r="1945" spans="16:20" x14ac:dyDescent="0.4">
      <c r="P1945" s="1"/>
      <c r="Q1945" s="1"/>
      <c r="T1945" s="2"/>
    </row>
    <row r="1946" spans="16:20" x14ac:dyDescent="0.4">
      <c r="P1946" s="1"/>
      <c r="Q1946" s="1"/>
      <c r="T1946" s="2"/>
    </row>
    <row r="1947" spans="16:20" x14ac:dyDescent="0.4">
      <c r="P1947" s="1"/>
      <c r="Q1947" s="1"/>
      <c r="T1947" s="2"/>
    </row>
    <row r="1950" spans="16:20" x14ac:dyDescent="0.4">
      <c r="Q1950" s="1"/>
      <c r="T1950" s="2"/>
    </row>
    <row r="1951" spans="16:20" x14ac:dyDescent="0.4">
      <c r="Q1951" s="1"/>
    </row>
    <row r="1952" spans="16:20" x14ac:dyDescent="0.4">
      <c r="P1952" s="1"/>
      <c r="Q1952" s="1"/>
      <c r="T1952" s="2"/>
    </row>
    <row r="1957" spans="16:20" x14ac:dyDescent="0.4">
      <c r="Q1957" s="1"/>
      <c r="T1957" s="2"/>
    </row>
    <row r="1958" spans="16:20" x14ac:dyDescent="0.4">
      <c r="Q1958" s="1"/>
    </row>
    <row r="1959" spans="16:20" x14ac:dyDescent="0.4">
      <c r="P1959" s="1"/>
      <c r="T1959" s="2"/>
    </row>
    <row r="1961" spans="16:20" x14ac:dyDescent="0.4">
      <c r="P1961" s="1"/>
      <c r="Q1961" s="1"/>
      <c r="T1961" s="2"/>
    </row>
    <row r="1962" spans="16:20" x14ac:dyDescent="0.4">
      <c r="P1962" s="1"/>
      <c r="Q1962" s="1"/>
      <c r="T1962" s="2"/>
    </row>
    <row r="1965" spans="16:20" x14ac:dyDescent="0.4">
      <c r="P1965" s="1"/>
      <c r="Q1965" s="1"/>
      <c r="T1965" s="2"/>
    </row>
    <row r="1969" spans="16:20" x14ac:dyDescent="0.4">
      <c r="P1969" s="1"/>
      <c r="Q1969" s="1"/>
      <c r="T1969" s="2"/>
    </row>
    <row r="1970" spans="16:20" x14ac:dyDescent="0.4">
      <c r="P1970" s="1"/>
      <c r="T1970" s="2"/>
    </row>
    <row r="1971" spans="16:20" x14ac:dyDescent="0.4">
      <c r="P1971" s="1"/>
      <c r="Q1971" s="1"/>
      <c r="T1971" s="2"/>
    </row>
    <row r="1972" spans="16:20" x14ac:dyDescent="0.4">
      <c r="P1972" s="1"/>
      <c r="T1972" s="2"/>
    </row>
    <row r="1973" spans="16:20" x14ac:dyDescent="0.4">
      <c r="P1973" s="1"/>
      <c r="Q1973" s="1"/>
      <c r="T1973" s="2"/>
    </row>
    <row r="1974" spans="16:20" x14ac:dyDescent="0.4">
      <c r="T1974" s="2"/>
    </row>
    <row r="1976" spans="16:20" x14ac:dyDescent="0.4">
      <c r="P1976" s="1"/>
      <c r="T1976" s="2"/>
    </row>
    <row r="1977" spans="16:20" x14ac:dyDescent="0.4">
      <c r="P1977" s="1"/>
      <c r="Q1977" s="1"/>
      <c r="T1977" s="2"/>
    </row>
    <row r="1978" spans="16:20" x14ac:dyDescent="0.4">
      <c r="P1978" s="1"/>
      <c r="T1978" s="2"/>
    </row>
    <row r="1979" spans="16:20" x14ac:dyDescent="0.4">
      <c r="P1979" s="1"/>
      <c r="T1979" s="2"/>
    </row>
    <row r="1980" spans="16:20" x14ac:dyDescent="0.4">
      <c r="P1980" s="1"/>
      <c r="T1980" s="2"/>
    </row>
    <row r="1981" spans="16:20" x14ac:dyDescent="0.4">
      <c r="P1981" s="1"/>
      <c r="Q1981" s="1"/>
      <c r="T1981" s="2"/>
    </row>
    <row r="1982" spans="16:20" x14ac:dyDescent="0.4">
      <c r="P1982" s="1"/>
      <c r="T1982" s="2"/>
    </row>
    <row r="1983" spans="16:20" x14ac:dyDescent="0.4">
      <c r="P1983" s="1"/>
      <c r="Q1983" s="1"/>
      <c r="T1983" s="2"/>
    </row>
    <row r="1984" spans="16:20" x14ac:dyDescent="0.4">
      <c r="T1984" s="2"/>
    </row>
    <row r="1985" spans="16:20" x14ac:dyDescent="0.4">
      <c r="P1985" s="1"/>
      <c r="Q1985" s="1"/>
      <c r="T1985" s="2"/>
    </row>
    <row r="1986" spans="16:20" x14ac:dyDescent="0.4">
      <c r="P1986" s="1"/>
      <c r="T1986" s="2"/>
    </row>
    <row r="1987" spans="16:20" x14ac:dyDescent="0.4">
      <c r="P1987" s="1"/>
      <c r="Q1987" s="1"/>
      <c r="T1987" s="2"/>
    </row>
    <row r="1988" spans="16:20" x14ac:dyDescent="0.4">
      <c r="P1988" s="1"/>
      <c r="T1988" s="2"/>
    </row>
    <row r="1989" spans="16:20" x14ac:dyDescent="0.4">
      <c r="T1989" s="2"/>
    </row>
    <row r="1990" spans="16:20" x14ac:dyDescent="0.4">
      <c r="P1990" s="1"/>
      <c r="T1990" s="2"/>
    </row>
    <row r="1991" spans="16:20" x14ac:dyDescent="0.4">
      <c r="P1991" s="1"/>
      <c r="Q1991" s="1"/>
      <c r="T1991" s="2"/>
    </row>
    <row r="1992" spans="16:20" x14ac:dyDescent="0.4">
      <c r="P1992" s="1"/>
      <c r="T1992" s="2"/>
    </row>
    <row r="1993" spans="16:20" x14ac:dyDescent="0.4">
      <c r="P1993" s="1"/>
      <c r="Q1993" s="1"/>
      <c r="T1993" s="2"/>
    </row>
    <row r="1994" spans="16:20" x14ac:dyDescent="0.4">
      <c r="P1994" s="1"/>
      <c r="T1994" s="2"/>
    </row>
    <row r="1996" spans="16:20" x14ac:dyDescent="0.4">
      <c r="P1996" s="1"/>
      <c r="T1996" s="2"/>
    </row>
    <row r="1997" spans="16:20" x14ac:dyDescent="0.4">
      <c r="P1997" s="1"/>
      <c r="Q1997" s="1"/>
      <c r="T1997" s="2"/>
    </row>
    <row r="1998" spans="16:20" x14ac:dyDescent="0.4">
      <c r="P1998" s="1"/>
      <c r="T1998" s="2"/>
    </row>
    <row r="1999" spans="16:20" x14ac:dyDescent="0.4">
      <c r="P1999" s="1"/>
      <c r="T1999" s="2"/>
    </row>
    <row r="2000" spans="16:20" x14ac:dyDescent="0.4">
      <c r="P2000" s="1"/>
      <c r="T2000" s="2"/>
    </row>
    <row r="2001" spans="16:20" x14ac:dyDescent="0.4">
      <c r="P2001" s="1"/>
      <c r="Q2001" s="1"/>
      <c r="T2001" s="2"/>
    </row>
    <row r="2002" spans="16:20" x14ac:dyDescent="0.4">
      <c r="P2002" s="1"/>
      <c r="T2002" s="2"/>
    </row>
    <row r="2003" spans="16:20" x14ac:dyDescent="0.4">
      <c r="P2003" s="1"/>
      <c r="Q2003" s="1"/>
      <c r="T2003" s="2"/>
    </row>
    <row r="2004" spans="16:20" x14ac:dyDescent="0.4">
      <c r="P2004" s="1"/>
      <c r="T2004" s="2"/>
    </row>
    <row r="2006" spans="16:20" x14ac:dyDescent="0.4">
      <c r="P2006" s="1"/>
      <c r="T2006" s="2"/>
    </row>
    <row r="2007" spans="16:20" x14ac:dyDescent="0.4">
      <c r="P2007" s="1"/>
      <c r="Q2007" s="1"/>
      <c r="T2007" s="2"/>
    </row>
    <row r="2008" spans="16:20" x14ac:dyDescent="0.4">
      <c r="P2008" s="1"/>
      <c r="T2008" s="2"/>
    </row>
    <row r="2009" spans="16:20" x14ac:dyDescent="0.4">
      <c r="P2009" s="1"/>
      <c r="Q2009" s="1"/>
      <c r="T2009" s="2"/>
    </row>
    <row r="2010" spans="16:20" x14ac:dyDescent="0.4">
      <c r="P2010" s="1"/>
      <c r="T2010" s="2"/>
    </row>
    <row r="2011" spans="16:20" x14ac:dyDescent="0.4">
      <c r="P2011" s="1"/>
      <c r="Q2011" s="1"/>
      <c r="T2011" s="2"/>
    </row>
    <row r="2012" spans="16:20" x14ac:dyDescent="0.4">
      <c r="P2012" s="1"/>
      <c r="T2012" s="2"/>
    </row>
    <row r="2013" spans="16:20" x14ac:dyDescent="0.4">
      <c r="P2013" s="1"/>
      <c r="Q2013" s="1"/>
      <c r="T2013" s="2"/>
    </row>
    <row r="2014" spans="16:20" x14ac:dyDescent="0.4">
      <c r="P2014" s="1"/>
      <c r="T2014" s="2"/>
    </row>
    <row r="2016" spans="16:20" x14ac:dyDescent="0.4">
      <c r="P2016" s="1"/>
      <c r="T2016" s="2"/>
    </row>
    <row r="2017" spans="16:20" x14ac:dyDescent="0.4">
      <c r="P2017" s="1"/>
      <c r="Q2017" s="1"/>
      <c r="T2017" s="2"/>
    </row>
    <row r="2018" spans="16:20" x14ac:dyDescent="0.4">
      <c r="P2018" s="1"/>
      <c r="T2018" s="2"/>
    </row>
    <row r="2019" spans="16:20" x14ac:dyDescent="0.4">
      <c r="P2019" s="1"/>
      <c r="T2019" s="2"/>
    </row>
    <row r="2020" spans="16:20" x14ac:dyDescent="0.4">
      <c r="P2020" s="1"/>
      <c r="T2020" s="2"/>
    </row>
    <row r="2021" spans="16:20" x14ac:dyDescent="0.4">
      <c r="P2021" s="1"/>
      <c r="Q2021" s="1"/>
      <c r="T2021" s="2"/>
    </row>
    <row r="2022" spans="16:20" x14ac:dyDescent="0.4">
      <c r="P2022" s="1"/>
      <c r="T2022" s="2"/>
    </row>
    <row r="2023" spans="16:20" x14ac:dyDescent="0.4">
      <c r="P2023" s="1"/>
      <c r="Q2023" s="1"/>
      <c r="T2023" s="2"/>
    </row>
    <row r="2024" spans="16:20" x14ac:dyDescent="0.4">
      <c r="P2024" s="1"/>
      <c r="T2024" s="2"/>
    </row>
    <row r="2025" spans="16:20" x14ac:dyDescent="0.4">
      <c r="P2025" s="1"/>
      <c r="Q2025" s="1"/>
      <c r="T2025" s="2"/>
    </row>
    <row r="2026" spans="16:20" x14ac:dyDescent="0.4">
      <c r="P2026" s="1"/>
      <c r="T2026" s="2"/>
    </row>
    <row r="2027" spans="16:20" x14ac:dyDescent="0.4">
      <c r="P2027" s="1"/>
      <c r="Q2027" s="1"/>
      <c r="T2027" s="2"/>
    </row>
    <row r="2028" spans="16:20" x14ac:dyDescent="0.4">
      <c r="P2028" s="1"/>
      <c r="T2028" s="2"/>
    </row>
    <row r="2029" spans="16:20" x14ac:dyDescent="0.4">
      <c r="P2029" s="1"/>
      <c r="T2029" s="2"/>
    </row>
    <row r="2030" spans="16:20" x14ac:dyDescent="0.4">
      <c r="P2030" s="1"/>
      <c r="T2030" s="2"/>
    </row>
    <row r="2031" spans="16:20" x14ac:dyDescent="0.4">
      <c r="P2031" s="1"/>
      <c r="Q2031" s="1"/>
      <c r="T2031" s="2"/>
    </row>
    <row r="2032" spans="16:20" x14ac:dyDescent="0.4">
      <c r="T2032" s="2"/>
    </row>
    <row r="2033" spans="16:20" x14ac:dyDescent="0.4">
      <c r="P2033" s="1"/>
      <c r="Q2033" s="1"/>
      <c r="T2033" s="2"/>
    </row>
    <row r="2034" spans="16:20" x14ac:dyDescent="0.4">
      <c r="P2034" s="1"/>
      <c r="T2034" s="2"/>
    </row>
    <row r="2036" spans="16:20" x14ac:dyDescent="0.4">
      <c r="P2036" s="1"/>
      <c r="T2036" s="2"/>
    </row>
    <row r="2037" spans="16:20" x14ac:dyDescent="0.4">
      <c r="P2037" s="1"/>
      <c r="Q2037" s="1"/>
      <c r="T2037" s="2"/>
    </row>
    <row r="2038" spans="16:20" x14ac:dyDescent="0.4">
      <c r="P2038" s="1"/>
      <c r="T2038" s="2"/>
    </row>
    <row r="2039" spans="16:20" x14ac:dyDescent="0.4">
      <c r="P2039" s="1"/>
      <c r="T2039" s="2"/>
    </row>
    <row r="2040" spans="16:20" x14ac:dyDescent="0.4">
      <c r="P2040" s="1"/>
      <c r="T2040" s="2"/>
    </row>
    <row r="2041" spans="16:20" x14ac:dyDescent="0.4">
      <c r="P2041" s="1"/>
      <c r="Q2041" s="1"/>
      <c r="T2041" s="2"/>
    </row>
    <row r="2042" spans="16:20" x14ac:dyDescent="0.4">
      <c r="P2042" s="1"/>
      <c r="T2042" s="2"/>
    </row>
    <row r="2043" spans="16:20" x14ac:dyDescent="0.4">
      <c r="P2043" s="1"/>
      <c r="Q2043" s="1"/>
      <c r="T2043" s="2"/>
    </row>
    <row r="2044" spans="16:20" x14ac:dyDescent="0.4">
      <c r="P2044" s="1"/>
      <c r="T2044" s="2"/>
    </row>
    <row r="2046" spans="16:20" x14ac:dyDescent="0.4">
      <c r="P2046" s="1"/>
      <c r="T2046" s="2"/>
    </row>
    <row r="2047" spans="16:20" x14ac:dyDescent="0.4">
      <c r="P2047" s="1"/>
      <c r="Q2047" s="1"/>
      <c r="T2047" s="2"/>
    </row>
    <row r="2048" spans="16:20" x14ac:dyDescent="0.4">
      <c r="P2048" s="1"/>
      <c r="T2048" s="2"/>
    </row>
    <row r="2049" spans="16:20" x14ac:dyDescent="0.4">
      <c r="P2049" s="1"/>
      <c r="Q2049" s="1"/>
      <c r="T2049" s="2"/>
    </row>
    <row r="2050" spans="16:20" x14ac:dyDescent="0.4">
      <c r="P2050" s="1"/>
      <c r="T2050" s="2"/>
    </row>
    <row r="2051" spans="16:20" x14ac:dyDescent="0.4">
      <c r="P2051" s="1"/>
      <c r="Q2051" s="1"/>
      <c r="T2051" s="2"/>
    </row>
    <row r="2052" spans="16:20" x14ac:dyDescent="0.4">
      <c r="P2052" s="1"/>
      <c r="T2052" s="2"/>
    </row>
    <row r="2053" spans="16:20" x14ac:dyDescent="0.4">
      <c r="P2053" s="1"/>
      <c r="Q2053" s="1"/>
      <c r="T2053" s="2"/>
    </row>
    <row r="2054" spans="16:20" x14ac:dyDescent="0.4">
      <c r="P2054" s="1"/>
      <c r="T2054" s="2"/>
    </row>
    <row r="2056" spans="16:20" x14ac:dyDescent="0.4">
      <c r="P2056" s="1"/>
      <c r="T2056" s="2"/>
    </row>
    <row r="2057" spans="16:20" x14ac:dyDescent="0.4">
      <c r="P2057" s="1"/>
      <c r="Q2057" s="1"/>
      <c r="T2057" s="2"/>
    </row>
    <row r="2058" spans="16:20" x14ac:dyDescent="0.4">
      <c r="T2058" s="2"/>
    </row>
    <row r="2059" spans="16:20" x14ac:dyDescent="0.4">
      <c r="P2059" s="1"/>
      <c r="T2059" s="2"/>
    </row>
    <row r="2060" spans="16:20" x14ac:dyDescent="0.4">
      <c r="P2060" s="1"/>
      <c r="T2060" s="2"/>
    </row>
    <row r="2061" spans="16:20" x14ac:dyDescent="0.4">
      <c r="P2061" s="1"/>
      <c r="Q2061" s="1"/>
      <c r="T2061" s="2"/>
    </row>
    <row r="2062" spans="16:20" x14ac:dyDescent="0.4">
      <c r="P2062" s="1"/>
      <c r="T2062" s="2"/>
    </row>
    <row r="2063" spans="16:20" x14ac:dyDescent="0.4">
      <c r="P2063" s="1"/>
      <c r="Q2063" s="1"/>
      <c r="T2063" s="2"/>
    </row>
    <row r="2064" spans="16:20" x14ac:dyDescent="0.4">
      <c r="P2064" s="1"/>
      <c r="T2064" s="2"/>
    </row>
    <row r="2065" spans="16:20" x14ac:dyDescent="0.4">
      <c r="P2065" s="1"/>
      <c r="Q2065" s="1"/>
      <c r="T2065" s="2"/>
    </row>
    <row r="2066" spans="16:20" x14ac:dyDescent="0.4">
      <c r="P2066" s="1"/>
      <c r="T2066" s="2"/>
    </row>
    <row r="2067" spans="16:20" x14ac:dyDescent="0.4">
      <c r="P2067" s="1"/>
      <c r="Q2067" s="1"/>
      <c r="T2067" s="2"/>
    </row>
    <row r="2068" spans="16:20" x14ac:dyDescent="0.4">
      <c r="P2068" s="1"/>
      <c r="T2068" s="2"/>
    </row>
    <row r="2069" spans="16:20" x14ac:dyDescent="0.4">
      <c r="P2069" s="1"/>
      <c r="T2069" s="2"/>
    </row>
    <row r="2070" spans="16:20" x14ac:dyDescent="0.4">
      <c r="P2070" s="1"/>
      <c r="T2070" s="2"/>
    </row>
    <row r="2071" spans="16:20" x14ac:dyDescent="0.4">
      <c r="P2071" s="1"/>
      <c r="Q2071" s="1"/>
      <c r="T2071" s="2"/>
    </row>
    <row r="2072" spans="16:20" x14ac:dyDescent="0.4">
      <c r="P2072" s="1"/>
      <c r="T2072" s="2"/>
    </row>
    <row r="2073" spans="16:20" x14ac:dyDescent="0.4">
      <c r="P2073" s="1"/>
      <c r="Q2073" s="1"/>
      <c r="T2073" s="2"/>
    </row>
    <row r="2074" spans="16:20" x14ac:dyDescent="0.4">
      <c r="P2074" s="1"/>
      <c r="T2074" s="2"/>
    </row>
    <row r="2076" spans="16:20" x14ac:dyDescent="0.4">
      <c r="P2076" s="1"/>
      <c r="T2076" s="2"/>
    </row>
    <row r="2077" spans="16:20" x14ac:dyDescent="0.4">
      <c r="P2077" s="1"/>
      <c r="Q2077" s="1"/>
      <c r="T2077" s="2"/>
    </row>
    <row r="2078" spans="16:20" x14ac:dyDescent="0.4">
      <c r="P2078" s="1"/>
      <c r="T2078" s="2"/>
    </row>
    <row r="2079" spans="16:20" x14ac:dyDescent="0.4">
      <c r="P2079" s="1"/>
      <c r="T2079" s="2"/>
    </row>
    <row r="2080" spans="16:20" x14ac:dyDescent="0.4">
      <c r="P2080" s="1"/>
      <c r="T2080" s="2"/>
    </row>
    <row r="2081" spans="16:20" x14ac:dyDescent="0.4">
      <c r="P2081" s="1"/>
      <c r="Q2081" s="1"/>
      <c r="T2081" s="2"/>
    </row>
    <row r="2082" spans="16:20" x14ac:dyDescent="0.4">
      <c r="P2082" s="1"/>
      <c r="T2082" s="2"/>
    </row>
    <row r="2083" spans="16:20" x14ac:dyDescent="0.4">
      <c r="P2083" s="1"/>
      <c r="Q2083" s="1"/>
      <c r="T2083" s="2"/>
    </row>
    <row r="2084" spans="16:20" x14ac:dyDescent="0.4">
      <c r="P2084" s="1"/>
      <c r="T2084" s="2"/>
    </row>
    <row r="2086" spans="16:20" x14ac:dyDescent="0.4">
      <c r="P2086" s="1"/>
      <c r="T2086" s="2"/>
    </row>
    <row r="2087" spans="16:20" x14ac:dyDescent="0.4">
      <c r="P2087" s="1"/>
      <c r="Q2087" s="1"/>
      <c r="T2087" s="2"/>
    </row>
    <row r="2088" spans="16:20" x14ac:dyDescent="0.4">
      <c r="P2088" s="1"/>
      <c r="T2088" s="2"/>
    </row>
    <row r="2089" spans="16:20" x14ac:dyDescent="0.4">
      <c r="P2089" s="1"/>
      <c r="Q2089" s="1"/>
      <c r="T2089" s="2"/>
    </row>
    <row r="2090" spans="16:20" x14ac:dyDescent="0.4">
      <c r="P2090" s="1"/>
      <c r="T2090" s="2"/>
    </row>
    <row r="2092" spans="16:20" x14ac:dyDescent="0.4">
      <c r="P2092" s="1"/>
      <c r="T2092" s="2"/>
    </row>
    <row r="2093" spans="16:20" x14ac:dyDescent="0.4">
      <c r="P2093" s="1"/>
      <c r="Q2093" s="1"/>
      <c r="T2093" s="2"/>
    </row>
    <row r="2094" spans="16:20" x14ac:dyDescent="0.4">
      <c r="P2094" s="1"/>
      <c r="T2094" s="2"/>
    </row>
    <row r="2095" spans="16:20" x14ac:dyDescent="0.4">
      <c r="P2095" s="1"/>
      <c r="Q2095" s="1"/>
      <c r="T2095" s="2"/>
    </row>
    <row r="2096" spans="16:20" x14ac:dyDescent="0.4">
      <c r="P2096" s="1"/>
      <c r="T2096" s="2"/>
    </row>
    <row r="2097" spans="16:20" x14ac:dyDescent="0.4">
      <c r="P2097" s="1"/>
      <c r="T2097" s="2"/>
    </row>
    <row r="2098" spans="16:20" x14ac:dyDescent="0.4">
      <c r="P2098" s="1"/>
      <c r="T2098" s="2"/>
    </row>
    <row r="2100" spans="16:20" x14ac:dyDescent="0.4">
      <c r="P2100" s="1"/>
      <c r="T2100" s="2"/>
    </row>
    <row r="2101" spans="16:20" x14ac:dyDescent="0.4">
      <c r="P2101" s="1"/>
      <c r="Q2101" s="1"/>
      <c r="T2101" s="2"/>
    </row>
    <row r="2102" spans="16:20" x14ac:dyDescent="0.4">
      <c r="P2102" s="1"/>
      <c r="T2102" s="2"/>
    </row>
    <row r="2103" spans="16:20" x14ac:dyDescent="0.4">
      <c r="P2103" s="1"/>
      <c r="Q2103" s="1"/>
      <c r="T2103" s="2"/>
    </row>
    <row r="2104" spans="16:20" x14ac:dyDescent="0.4">
      <c r="P2104" s="1"/>
      <c r="T2104" s="2"/>
    </row>
    <row r="2105" spans="16:20" x14ac:dyDescent="0.4">
      <c r="P2105" s="1"/>
      <c r="Q2105" s="1"/>
      <c r="T2105" s="2"/>
    </row>
    <row r="2106" spans="16:20" x14ac:dyDescent="0.4">
      <c r="P2106" s="1"/>
      <c r="T2106" s="2"/>
    </row>
    <row r="2107" spans="16:20" x14ac:dyDescent="0.4">
      <c r="P2107" s="1"/>
      <c r="Q2107" s="1"/>
      <c r="T2107" s="2"/>
    </row>
    <row r="2108" spans="16:20" x14ac:dyDescent="0.4">
      <c r="P2108" s="1"/>
      <c r="T2108" s="2"/>
    </row>
    <row r="2109" spans="16:20" x14ac:dyDescent="0.4">
      <c r="P2109" s="1"/>
      <c r="Q2109" s="1"/>
      <c r="T2109" s="2"/>
    </row>
    <row r="2110" spans="16:20" x14ac:dyDescent="0.4">
      <c r="P2110" s="1"/>
      <c r="T2110" s="2"/>
    </row>
    <row r="2111" spans="16:20" x14ac:dyDescent="0.4">
      <c r="P2111" s="1"/>
      <c r="T2111" s="2"/>
    </row>
    <row r="2112" spans="16:20" x14ac:dyDescent="0.4">
      <c r="P2112" s="1"/>
      <c r="T2112" s="2"/>
    </row>
    <row r="2113" spans="16:20" x14ac:dyDescent="0.4">
      <c r="P2113" s="1"/>
      <c r="Q2113" s="1"/>
      <c r="T2113" s="2"/>
    </row>
    <row r="2114" spans="16:20" x14ac:dyDescent="0.4">
      <c r="P2114" s="1"/>
      <c r="T2114" s="2"/>
    </row>
    <row r="2115" spans="16:20" x14ac:dyDescent="0.4">
      <c r="P2115" s="1"/>
      <c r="Q2115" s="1"/>
      <c r="T2115" s="2"/>
    </row>
    <row r="2116" spans="16:20" x14ac:dyDescent="0.4">
      <c r="P2116" s="1"/>
      <c r="T2116" s="2"/>
    </row>
    <row r="2117" spans="16:20" x14ac:dyDescent="0.4">
      <c r="P2117" s="1"/>
      <c r="Q2117" s="1"/>
      <c r="T2117" s="2"/>
    </row>
    <row r="2118" spans="16:20" x14ac:dyDescent="0.4">
      <c r="P2118" s="1"/>
      <c r="T2118" s="2"/>
    </row>
    <row r="2119" spans="16:20" x14ac:dyDescent="0.4">
      <c r="P2119" s="1"/>
      <c r="Q2119" s="1"/>
      <c r="T2119" s="2"/>
    </row>
    <row r="2120" spans="16:20" x14ac:dyDescent="0.4">
      <c r="P2120" s="1"/>
      <c r="T2120" s="2"/>
    </row>
    <row r="2121" spans="16:20" x14ac:dyDescent="0.4">
      <c r="P2121" s="1"/>
      <c r="T2121" s="2"/>
    </row>
    <row r="2122" spans="16:20" x14ac:dyDescent="0.4">
      <c r="P2122" s="1"/>
      <c r="T2122" s="2"/>
    </row>
    <row r="2123" spans="16:20" x14ac:dyDescent="0.4">
      <c r="P2123" s="1"/>
      <c r="T2123" s="2"/>
    </row>
    <row r="2124" spans="16:20" x14ac:dyDescent="0.4">
      <c r="P2124" s="1"/>
      <c r="T2124" s="2"/>
    </row>
    <row r="2125" spans="16:20" x14ac:dyDescent="0.4">
      <c r="P2125" s="1"/>
      <c r="Q2125" s="1"/>
      <c r="T2125" s="2"/>
    </row>
    <row r="2126" spans="16:20" x14ac:dyDescent="0.4">
      <c r="P2126" s="1"/>
      <c r="T2126" s="2"/>
    </row>
    <row r="2128" spans="16:20" x14ac:dyDescent="0.4">
      <c r="P2128" s="1"/>
      <c r="T2128" s="2"/>
    </row>
    <row r="2129" spans="16:20" x14ac:dyDescent="0.4">
      <c r="P2129" s="1"/>
      <c r="Q2129" s="1"/>
      <c r="T2129" s="2"/>
    </row>
    <row r="2130" spans="16:20" x14ac:dyDescent="0.4">
      <c r="P2130" s="1"/>
      <c r="T2130" s="2"/>
    </row>
    <row r="2131" spans="16:20" x14ac:dyDescent="0.4">
      <c r="P2131" s="1"/>
      <c r="Q2131" s="1"/>
      <c r="T2131" s="2"/>
    </row>
    <row r="2132" spans="16:20" x14ac:dyDescent="0.4">
      <c r="P2132" s="1"/>
      <c r="T2132" s="2"/>
    </row>
    <row r="2133" spans="16:20" x14ac:dyDescent="0.4">
      <c r="P2133" s="1"/>
      <c r="Q2133" s="1"/>
      <c r="T2133" s="2"/>
    </row>
    <row r="2134" spans="16:20" x14ac:dyDescent="0.4">
      <c r="P2134" s="1"/>
      <c r="T2134" s="2"/>
    </row>
  </sheetData>
  <autoFilter ref="A2:X1177" xr:uid="{A1A65658-003C-4319-92DF-43BA8C70BA1A}">
    <filterColumn colId="5">
      <customFilters>
        <customFilter operator="notEqual" val=" "/>
      </customFilters>
    </filterColumn>
  </autoFilter>
  <sortState xmlns:xlrd2="http://schemas.microsoft.com/office/spreadsheetml/2017/richdata2" ref="A3:Y1177">
    <sortCondition ref="V3:V117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F8292-4D05-450F-A795-6786A60429BF}">
  <sheetPr filterMode="1"/>
  <dimension ref="A1:AI1177"/>
  <sheetViews>
    <sheetView zoomScale="85" zoomScaleNormal="85" workbookViewId="0">
      <pane ySplit="2" topLeftCell="A17" activePane="bottomLeft" state="frozen"/>
      <selection pane="bottomLeft" activeCell="E52" sqref="E52"/>
    </sheetView>
    <sheetView tabSelected="1" topLeftCell="C1" workbookViewId="1">
      <pane ySplit="2" topLeftCell="A1038" activePane="bottomLeft" state="frozen"/>
      <selection pane="bottomLeft" activeCell="I1053" sqref="I1053"/>
    </sheetView>
  </sheetViews>
  <sheetFormatPr defaultRowHeight="14.6" x14ac:dyDescent="0.4"/>
  <cols>
    <col min="1" max="1" width="21.53515625" bestFit="1" customWidth="1"/>
    <col min="2" max="2" width="21.53515625" customWidth="1"/>
    <col min="3" max="3" width="15.921875" bestFit="1" customWidth="1"/>
    <col min="4" max="4" width="15.4609375" bestFit="1" customWidth="1"/>
    <col min="5" max="5" width="10.765625" bestFit="1" customWidth="1"/>
    <col min="6" max="6" width="13.4609375" bestFit="1" customWidth="1"/>
    <col min="7" max="7" width="10.765625" bestFit="1" customWidth="1"/>
    <col min="8" max="8" width="9.765625" customWidth="1"/>
    <col min="9" max="9" width="16" bestFit="1" customWidth="1"/>
    <col min="10" max="10" width="63.15234375" bestFit="1" customWidth="1"/>
    <col min="11" max="11" width="15.53515625" customWidth="1"/>
    <col min="12" max="12" width="11.84375" bestFit="1" customWidth="1"/>
    <col min="13" max="13" width="11.53515625" bestFit="1" customWidth="1"/>
    <col min="14" max="14" width="11.765625" bestFit="1" customWidth="1"/>
    <col min="15" max="15" width="12.07421875" bestFit="1" customWidth="1"/>
    <col min="16" max="16" width="12.07421875" customWidth="1"/>
    <col min="17" max="17" width="14.921875" bestFit="1" customWidth="1"/>
    <col min="18" max="19" width="9.3828125" customWidth="1"/>
    <col min="20" max="20" width="11.15234375" bestFit="1" customWidth="1"/>
    <col min="21" max="21" width="12.3046875" bestFit="1" customWidth="1"/>
    <col min="28" max="28" width="12.4609375" bestFit="1" customWidth="1"/>
    <col min="32" max="33" width="11.3828125" bestFit="1" customWidth="1"/>
    <col min="35" max="35" width="11.921875" bestFit="1" customWidth="1"/>
  </cols>
  <sheetData>
    <row r="1" spans="1:35" x14ac:dyDescent="0.4">
      <c r="D1" t="s">
        <v>2315</v>
      </c>
      <c r="F1" t="s">
        <v>2316</v>
      </c>
      <c r="H1" t="s">
        <v>74</v>
      </c>
      <c r="N1" t="s">
        <v>74</v>
      </c>
      <c r="O1" t="s">
        <v>2315</v>
      </c>
      <c r="P1" t="s">
        <v>2316</v>
      </c>
      <c r="X1" t="s">
        <v>2328</v>
      </c>
      <c r="AI1" s="7">
        <v>-1E-10</v>
      </c>
    </row>
    <row r="2" spans="1:35" s="4" customFormat="1" ht="43.75" x14ac:dyDescent="0.4">
      <c r="A2" s="4" t="s">
        <v>2360</v>
      </c>
      <c r="B2" s="4" t="s">
        <v>2355</v>
      </c>
      <c r="C2" s="4" t="s">
        <v>2356</v>
      </c>
      <c r="D2" s="4" t="s">
        <v>2357</v>
      </c>
      <c r="E2" s="4" t="s">
        <v>2358</v>
      </c>
      <c r="F2" s="4" t="s">
        <v>2359</v>
      </c>
      <c r="G2" s="4" t="s">
        <v>2353</v>
      </c>
      <c r="H2" s="4" t="s">
        <v>2354</v>
      </c>
      <c r="I2" s="4" t="s">
        <v>2350</v>
      </c>
      <c r="J2" s="4" t="s">
        <v>2351</v>
      </c>
      <c r="K2" s="4" t="s">
        <v>2352</v>
      </c>
      <c r="L2" s="4" t="s">
        <v>615</v>
      </c>
      <c r="M2" s="4" t="s">
        <v>616</v>
      </c>
      <c r="N2" s="4" t="s">
        <v>2311</v>
      </c>
      <c r="O2" s="4" t="s">
        <v>2312</v>
      </c>
      <c r="P2" s="4" t="s">
        <v>2313</v>
      </c>
      <c r="Q2" s="4" t="s">
        <v>2310</v>
      </c>
      <c r="R2" s="4" t="s">
        <v>2317</v>
      </c>
      <c r="S2" s="4" t="s">
        <v>2329</v>
      </c>
      <c r="T2" s="9" t="s">
        <v>2308</v>
      </c>
      <c r="U2" s="10" t="s">
        <v>2099</v>
      </c>
      <c r="W2" t="s">
        <v>74</v>
      </c>
      <c r="X2" s="4" t="s">
        <v>2315</v>
      </c>
      <c r="Y2" s="4" t="s">
        <v>2316</v>
      </c>
      <c r="Z2" s="4" t="s">
        <v>74</v>
      </c>
      <c r="AB2" t="s">
        <v>2320</v>
      </c>
      <c r="AC2"/>
      <c r="AD2"/>
      <c r="AE2"/>
      <c r="AF2"/>
      <c r="AG2"/>
      <c r="AI2" s="8">
        <f>-AI1</f>
        <v>1E-10</v>
      </c>
    </row>
    <row r="3" spans="1:35" x14ac:dyDescent="0.4">
      <c r="A3" t="str">
        <f>MID(Taostats_CSV!C3,6,2)&amp;"/"&amp;MID(Taostats_CSV!C3,9,2)&amp;"/"&amp;LEFT(Taostats_CSV!C3,4)&amp;" "&amp;MID(Taostats_CSV!C3,12,8)</f>
        <v>12/31/2024 23:59:48</v>
      </c>
      <c r="C3" t="str">
        <f ca="1">IF(Q3,OFFSET(Taostats_CSV!$E$1,MATCH(K3&amp;D$1,Taostats_CSV!$X:$X,0)-1,0),IF(Taostats_CSV!F3="fee",IF(VALUE(Taostats_CSV!G3)&gt;0,Taostats_CSV!E3,""),""))</f>
        <v/>
      </c>
      <c r="D3" t="str">
        <f ca="1">IF(Q3,OFFSET(Taostats_CSV!$G$1,MATCH(K3&amp;D$1,Taostats_CSV!$X:$X,0)-1,0),IF(Taostats_CSV!F3="fee",IF(VALUE(Taostats_CSV!G3)&gt;0,Taostats_CSV!G3,""),""))</f>
        <v/>
      </c>
      <c r="E3" t="str">
        <f ca="1">IF(AND(Q3,P3&gt;0),OFFSET(Taostats_CSV!$E$1,MATCH(K3&amp;F$1,Taostats_CSV!$X:$X,0)-1,0),IF(LEN(F3)&gt;0,Taostats_CSV!E3,""))</f>
        <v>TAO</v>
      </c>
      <c r="F3" t="str">
        <f ca="1">TRIM(IF(AND(Q3,P3&gt;0),OFFSET(Taostats_CSV!$H$1,MATCH(K3&amp;F$1,Taostats_CSV!$X:$X,0)-1,0),IF(LEN(Taostats_CSV!H3)&gt;0,Taostats_CSV!H3,Taostats_CSV!R3)))</f>
        <v>256.530086193</v>
      </c>
      <c r="G3" t="str">
        <f ca="1">IF(AND(Q3,N3=1),OFFSET(Taostats_CSV!$E$1,MATCH(K3&amp;H$1,Taostats_CSV!$X:$X,0)-1,0),"")</f>
        <v/>
      </c>
      <c r="H3" t="str">
        <f ca="1">IF(AND(Q3,N3=1),OFFSET(Taostats_CSV!$G$1,MATCH(K3&amp;H$1,Taostats_CSV!$X:$X,0)-1,0),"")</f>
        <v/>
      </c>
      <c r="I3" t="str">
        <f ca="1">IF(AND(LEN(K3)=0,LEN(F3)&gt;0),"Income",IF(AND(O3&gt;0,P3&gt;0,C3&lt;&gt;E3),"Trade",IF(AND(NOT(Q3),Taostats_CSV!F3="fee"),'READ ME'!$C$5,"")))</f>
        <v>Income</v>
      </c>
      <c r="J3" t="str">
        <f ca="1">SUBSTITUTE(IF(LEN(I3)=0,Taostats_CSV!F3&amp;" "&amp;Taostats_CSV!J3,IF(I3="Cost","Extrinsic fee","")),"_"," ")</f>
        <v/>
      </c>
      <c r="K3" t="str">
        <f>TRIM(IF(LEN(Taostats_CSV!I3)&gt;0,Taostats_CSV!I3,""))</f>
        <v/>
      </c>
      <c r="L3" t="str">
        <f>IF(Taostats_CSV!E3&lt;&gt;"TAO",IF(LEN(F3)&gt;0,F3,IF(LEN(D3)&gt;0,D3,0))*Taostats_CSV!P3,"")</f>
        <v/>
      </c>
      <c r="M3" t="str">
        <f>IF(LEN(L3)&gt;0,"USD","")</f>
        <v/>
      </c>
      <c r="N3">
        <f>COUNTIF(Taostats_CSV!$X:$X,Taostats_CSV!$I3&amp;N$1)</f>
        <v>0</v>
      </c>
      <c r="O3">
        <f>COUNTIF(Taostats_CSV!$X:$X,Taostats_CSV!$I3&amp;O$1)</f>
        <v>0</v>
      </c>
      <c r="P3">
        <f>COUNTIF(Taostats_CSV!$X:$X,Taostats_CSV!$I3&amp;P$1)</f>
        <v>0</v>
      </c>
      <c r="Q3" t="b">
        <f>AND(O3&lt;=1,N3&lt;=1,P3&lt;=1,O3+N3+P3&gt;=2)</f>
        <v>0</v>
      </c>
      <c r="R3" t="b">
        <f>IF(LEN(K3)&gt;0,COUNTIF($K$3:K3,K3),FALSE)</f>
        <v>0</v>
      </c>
      <c r="S3" t="b">
        <f>IF(Taostats_CSV!A3=Taostats_CSV!$A$2,TRUE,Taostats_CSV!G3+Taostats_CSV!H3+Taostats_CSV!R3=0)</f>
        <v>0</v>
      </c>
      <c r="T3" t="b">
        <f>AND(NOT(S3),OR(NOT(Q3),R3=1))</f>
        <v>1</v>
      </c>
      <c r="U3" t="b" cm="1">
        <f t="array" aca="1" ref="U3" ca="1">AND(T3,OR(O3-N3&gt;1,P3&gt;1,ISERROR(A3:P3)))</f>
        <v>0</v>
      </c>
      <c r="W3" t="e">
        <f>MATCH(K3&amp;$W$2,Taostats_CSV!$X$3:$X$1167,0)</f>
        <v>#N/A</v>
      </c>
      <c r="X3" t="e">
        <f t="shared" ref="X3:X66" ca="1" si="0">VALUE(D3)</f>
        <v>#VALUE!</v>
      </c>
      <c r="Y3">
        <f t="shared" ref="Y3:Y66" ca="1" si="1">VALUE(F3)</f>
        <v>256.53008619299999</v>
      </c>
      <c r="Z3" t="e">
        <f t="shared" ref="Z3:Z66" ca="1" si="2">VALUE(H3)</f>
        <v>#VALUE!</v>
      </c>
      <c r="AB3" t="s">
        <v>2321</v>
      </c>
      <c r="AE3" t="s">
        <v>2322</v>
      </c>
      <c r="AH3" t="s">
        <v>2323</v>
      </c>
      <c r="AI3" t="s">
        <v>2326</v>
      </c>
    </row>
    <row r="4" spans="1:35" x14ac:dyDescent="0.4">
      <c r="A4" t="str">
        <f>MID(Taostats_CSV!C4,6,2)&amp;"/"&amp;MID(Taostats_CSV!C4,9,2)&amp;"/"&amp;LEFT(Taostats_CSV!C4,4)&amp;" "&amp;MID(Taostats_CSV!C4,12,8)</f>
        <v>01/01/2025 23:59:48</v>
      </c>
      <c r="C4" t="str">
        <f ca="1">IF(Q4,OFFSET(Taostats_CSV!$E$1,MATCH(K4&amp;D$1,Taostats_CSV!$X:$X,0)-1,0),IF(Taostats_CSV!F4="fee",IF(VALUE(Taostats_CSV!G4)&gt;0,Taostats_CSV!E4,""),""))</f>
        <v/>
      </c>
      <c r="D4" t="str">
        <f ca="1">IF(Q4,OFFSET(Taostats_CSV!$G$1,MATCH(K4&amp;D$1,Taostats_CSV!$X:$X,0)-1,0),IF(Taostats_CSV!F4="fee",IF(VALUE(Taostats_CSV!G4)&gt;0,Taostats_CSV!G4,""),""))</f>
        <v/>
      </c>
      <c r="E4" t="str">
        <f ca="1">IF(AND(Q4,P4&gt;0),OFFSET(Taostats_CSV!$E$1,MATCH(K4&amp;F$1,Taostats_CSV!$X:$X,0)-1,0),IF(LEN(F4)&gt;0,Taostats_CSV!E4,""))</f>
        <v>TAO</v>
      </c>
      <c r="F4" t="str">
        <f ca="1">TRIM(IF(AND(Q4,P4&gt;0),OFFSET(Taostats_CSV!$H$1,MATCH(K4&amp;F$1,Taostats_CSV!$X:$X,0)-1,0),IF(LEN(Taostats_CSV!H4)&gt;0,Taostats_CSV!H4,Taostats_CSV!R4)))</f>
        <v>0.130885389</v>
      </c>
      <c r="G4" t="str">
        <f ca="1">IF(AND(Q4,N4=1),OFFSET(Taostats_CSV!$E$1,MATCH(K4&amp;H$1,Taostats_CSV!$X:$X,0)-1,0),"")</f>
        <v/>
      </c>
      <c r="H4" t="str">
        <f ca="1">IF(AND(Q4,N4=1),OFFSET(Taostats_CSV!$G$1,MATCH(K4&amp;H$1,Taostats_CSV!$X:$X,0)-1,0),"")</f>
        <v/>
      </c>
      <c r="I4" t="str">
        <f ca="1">IF(AND(LEN(K4)=0,LEN(F4)&gt;0),"Income",IF(AND(O4&gt;0,P4&gt;0,C4&lt;&gt;E4),"Trade",IF(AND(NOT(Q4),Taostats_CSV!F4="fee"),'READ ME'!$C$5,"")))</f>
        <v>Income</v>
      </c>
      <c r="J4" t="str">
        <f ca="1">SUBSTITUTE(IF(LEN(I4)=0,Taostats_CSV!F4&amp;" "&amp;Taostats_CSV!J4,IF(I4="Cost","Extrinsic fee","")),"_"," ")</f>
        <v/>
      </c>
      <c r="K4" t="str">
        <f>TRIM(IF(LEN(Taostats_CSV!I4)&gt;0,Taostats_CSV!I4,""))</f>
        <v/>
      </c>
      <c r="L4" t="str">
        <f>IF(Taostats_CSV!E4&lt;&gt;"TAO",IF(LEN(F4)&gt;0,F4,IF(LEN(D4)&gt;0,D4,0))*Taostats_CSV!P4,"")</f>
        <v/>
      </c>
      <c r="M4" t="str">
        <f t="shared" ref="M4:M67" si="3">IF(LEN(L4)&gt;0,"USD","")</f>
        <v/>
      </c>
      <c r="N4">
        <f>COUNTIF(Taostats_CSV!$X:$X,Taostats_CSV!$I4&amp;N$1)</f>
        <v>0</v>
      </c>
      <c r="O4">
        <f>COUNTIF(Taostats_CSV!$X:$X,Taostats_CSV!$I4&amp;O$1)</f>
        <v>0</v>
      </c>
      <c r="P4">
        <f>COUNTIF(Taostats_CSV!$X:$X,Taostats_CSV!$I4&amp;P$1)</f>
        <v>0</v>
      </c>
      <c r="Q4" t="b">
        <f t="shared" ref="Q4:Q67" si="4">AND(O4&lt;=1,N4&lt;=1,P4&lt;=1,O4+N4+P4&gt;=2)</f>
        <v>0</v>
      </c>
      <c r="R4" t="b">
        <f>IF(LEN(K4)&gt;0,COUNTIF($K$3:K4,K4),FALSE)</f>
        <v>0</v>
      </c>
      <c r="S4" t="b">
        <f>IF(Taostats_CSV!A4=Taostats_CSV!$A$2,TRUE,Taostats_CSV!G4+Taostats_CSV!H4+Taostats_CSV!R4=0)</f>
        <v>0</v>
      </c>
      <c r="T4" t="b">
        <f t="shared" ref="T4:T67" si="5">AND(NOT(S4),OR(NOT(Q4),R4=1))</f>
        <v>1</v>
      </c>
      <c r="U4" t="b" cm="1">
        <f t="array" aca="1" ref="U4" ca="1">AND(T4,OR(O4-N4&gt;1,P4&gt;1,ISERROR(A4:P4)))</f>
        <v>0</v>
      </c>
      <c r="W4" t="e">
        <f>MATCH(K4&amp;$W$2,Taostats_CSV!$X$3:$X$1167,0)</f>
        <v>#N/A</v>
      </c>
      <c r="X4" t="e">
        <f t="shared" ca="1" si="0"/>
        <v>#VALUE!</v>
      </c>
      <c r="Y4">
        <f t="shared" ca="1" si="1"/>
        <v>0.13088538899999999</v>
      </c>
      <c r="Z4" t="e">
        <f t="shared" ca="1" si="2"/>
        <v>#VALUE!</v>
      </c>
      <c r="AA4" t="str" cm="1">
        <f t="array" ref="AA4:AA10">_xlfn.UNIQUE(Taostats_CSV!E2:E9994)</f>
        <v>Token</v>
      </c>
      <c r="AB4" t="s">
        <v>2315</v>
      </c>
      <c r="AC4" t="s">
        <v>2319</v>
      </c>
      <c r="AD4" t="s">
        <v>2324</v>
      </c>
      <c r="AE4" t="s">
        <v>2315</v>
      </c>
      <c r="AF4" t="s">
        <v>2316</v>
      </c>
      <c r="AG4" t="s">
        <v>2318</v>
      </c>
      <c r="AH4" t="s">
        <v>2315</v>
      </c>
      <c r="AI4" t="s">
        <v>2316</v>
      </c>
    </row>
    <row r="5" spans="1:35" x14ac:dyDescent="0.4">
      <c r="A5" t="str">
        <f>MID(Taostats_CSV!C5,6,2)&amp;"/"&amp;MID(Taostats_CSV!C5,9,2)&amp;"/"&amp;LEFT(Taostats_CSV!C5,4)&amp;" "&amp;MID(Taostats_CSV!C5,12,8)</f>
        <v>01/02/2025 23:59:48</v>
      </c>
      <c r="C5" t="str">
        <f ca="1">IF(Q5,OFFSET(Taostats_CSV!$E$1,MATCH(K5&amp;D$1,Taostats_CSV!$X:$X,0)-1,0),IF(Taostats_CSV!F5="fee",IF(VALUE(Taostats_CSV!G5)&gt;0,Taostats_CSV!E5,""),""))</f>
        <v/>
      </c>
      <c r="D5" t="str">
        <f ca="1">IF(Q5,OFFSET(Taostats_CSV!$G$1,MATCH(K5&amp;D$1,Taostats_CSV!$X:$X,0)-1,0),IF(Taostats_CSV!F5="fee",IF(VALUE(Taostats_CSV!G5)&gt;0,Taostats_CSV!G5,""),""))</f>
        <v/>
      </c>
      <c r="E5" t="str">
        <f ca="1">IF(AND(Q5,P5&gt;0),OFFSET(Taostats_CSV!$E$1,MATCH(K5&amp;F$1,Taostats_CSV!$X:$X,0)-1,0),IF(LEN(F5)&gt;0,Taostats_CSV!E5,""))</f>
        <v>TAO</v>
      </c>
      <c r="F5" t="str">
        <f ca="1">TRIM(IF(AND(Q5,P5&gt;0),OFFSET(Taostats_CSV!$H$1,MATCH(K5&amp;F$1,Taostats_CSV!$X:$X,0)-1,0),IF(LEN(Taostats_CSV!H5)&gt;0,Taostats_CSV!H5,Taostats_CSV!R5)))</f>
        <v>0.111661269</v>
      </c>
      <c r="G5" t="str">
        <f ca="1">IF(AND(Q5,N5=1),OFFSET(Taostats_CSV!$E$1,MATCH(K5&amp;H$1,Taostats_CSV!$X:$X,0)-1,0),"")</f>
        <v/>
      </c>
      <c r="H5" t="str">
        <f ca="1">IF(AND(Q5,N5=1),OFFSET(Taostats_CSV!$G$1,MATCH(K5&amp;H$1,Taostats_CSV!$X:$X,0)-1,0),"")</f>
        <v/>
      </c>
      <c r="I5" t="str">
        <f ca="1">IF(AND(LEN(K5)=0,LEN(F5)&gt;0),"Income",IF(AND(O5&gt;0,P5&gt;0,C5&lt;&gt;E5),"Trade",IF(AND(NOT(Q5),Taostats_CSV!F5="fee"),'READ ME'!$C$5,"")))</f>
        <v>Income</v>
      </c>
      <c r="J5" t="str">
        <f ca="1">SUBSTITUTE(IF(LEN(I5)=0,Taostats_CSV!F5&amp;" "&amp;Taostats_CSV!J5,IF(I5="Cost","Extrinsic fee","")),"_"," ")</f>
        <v/>
      </c>
      <c r="K5" t="str">
        <f>TRIM(IF(LEN(Taostats_CSV!I5)&gt;0,Taostats_CSV!I5,""))</f>
        <v/>
      </c>
      <c r="L5" t="str">
        <f>IF(Taostats_CSV!E5&lt;&gt;"TAO",IF(LEN(F5)&gt;0,F5,IF(LEN(D5)&gt;0,D5,0))*Taostats_CSV!P5,"")</f>
        <v/>
      </c>
      <c r="M5" t="str">
        <f t="shared" si="3"/>
        <v/>
      </c>
      <c r="N5">
        <f>COUNTIF(Taostats_CSV!$X:$X,Taostats_CSV!$I5&amp;N$1)</f>
        <v>0</v>
      </c>
      <c r="O5">
        <f>COUNTIF(Taostats_CSV!$X:$X,Taostats_CSV!$I5&amp;O$1)</f>
        <v>0</v>
      </c>
      <c r="P5">
        <f>COUNTIF(Taostats_CSV!$X:$X,Taostats_CSV!$I5&amp;P$1)</f>
        <v>0</v>
      </c>
      <c r="Q5" t="b">
        <f t="shared" si="4"/>
        <v>0</v>
      </c>
      <c r="R5" t="b">
        <f>IF(LEN(K5)&gt;0,COUNTIF($K$3:K5,K5),FALSE)</f>
        <v>0</v>
      </c>
      <c r="S5" t="b">
        <f>IF(Taostats_CSV!A5=Taostats_CSV!$A$2,TRUE,Taostats_CSV!G5+Taostats_CSV!H5+Taostats_CSV!R5=0)</f>
        <v>0</v>
      </c>
      <c r="T5" t="b">
        <f t="shared" si="5"/>
        <v>1</v>
      </c>
      <c r="U5" t="b" cm="1">
        <f t="array" aca="1" ref="U5" ca="1">AND(T5,OR(O5-N5&gt;1,P5&gt;1,ISERROR(A5:P5)))</f>
        <v>0</v>
      </c>
      <c r="W5" t="e">
        <f>MATCH(K5&amp;$W$2,Taostats_CSV!$X$3:$X$1167,0)</f>
        <v>#N/A</v>
      </c>
      <c r="X5" t="e">
        <f t="shared" ca="1" si="0"/>
        <v>#VALUE!</v>
      </c>
      <c r="Y5">
        <f t="shared" ca="1" si="1"/>
        <v>0.11166126899999999</v>
      </c>
      <c r="Z5" t="e">
        <f t="shared" ca="1" si="2"/>
        <v>#VALUE!</v>
      </c>
      <c r="AA5" t="str">
        <v>TAO</v>
      </c>
      <c r="AB5">
        <f>SUMIF(Taostats_CSV!$E:$E,AA5,Taostats_CSV!G:G)</f>
        <v>454.28461248599984</v>
      </c>
      <c r="AC5">
        <f>SUMIF(Taostats_CSV!$E:$E,AA5,Taostats_CSV!H:H)</f>
        <v>186.91962251699997</v>
      </c>
      <c r="AD5">
        <f>SUMIF(Taostats_CSV!$E:$E,AA5,Taostats_CSV!R:R)</f>
        <v>267.39838786700022</v>
      </c>
      <c r="AE5" s="4">
        <f t="shared" ref="AE5:AE36" ca="1" si="6">SUMIFS($X:$X,$C:$C,$AA5,$T:$T,TRUE)</f>
        <v>454.28299310400001</v>
      </c>
      <c r="AF5" s="4">
        <f t="shared" ref="AF5:AF36" ca="1" si="7">SUMIFS($Y:$Y,$E:$E,$AA5,$T:$T,TRUE)</f>
        <v>454.31801038400016</v>
      </c>
      <c r="AG5" s="4">
        <f t="shared" ref="AG5:AG36" ca="1" si="8">SUMIFS($H:$H,$G:$G,$AA5,$T:$T,TRUE)</f>
        <v>1.6193820000000004E-3</v>
      </c>
      <c r="AH5">
        <f ca="1">AE5+AG5-AB5</f>
        <v>0</v>
      </c>
      <c r="AI5">
        <f ca="1">AF5-AD5-AC5</f>
        <v>0</v>
      </c>
    </row>
    <row r="6" spans="1:35" x14ac:dyDescent="0.4">
      <c r="A6" t="str">
        <f>MID(Taostats_CSV!C6,6,2)&amp;"/"&amp;MID(Taostats_CSV!C6,9,2)&amp;"/"&amp;LEFT(Taostats_CSV!C6,4)&amp;" "&amp;MID(Taostats_CSV!C6,12,8)</f>
        <v>01/03/2025 23:59:48</v>
      </c>
      <c r="C6" t="str">
        <f ca="1">IF(Q6,OFFSET(Taostats_CSV!$E$1,MATCH(K6&amp;D$1,Taostats_CSV!$X:$X,0)-1,0),IF(Taostats_CSV!F6="fee",IF(VALUE(Taostats_CSV!G6)&gt;0,Taostats_CSV!E6,""),""))</f>
        <v/>
      </c>
      <c r="D6" t="str">
        <f ca="1">IF(Q6,OFFSET(Taostats_CSV!$G$1,MATCH(K6&amp;D$1,Taostats_CSV!$X:$X,0)-1,0),IF(Taostats_CSV!F6="fee",IF(VALUE(Taostats_CSV!G6)&gt;0,Taostats_CSV!G6,""),""))</f>
        <v/>
      </c>
      <c r="E6" t="str">
        <f ca="1">IF(AND(Q6,P6&gt;0),OFFSET(Taostats_CSV!$E$1,MATCH(K6&amp;F$1,Taostats_CSV!$X:$X,0)-1,0),IF(LEN(F6)&gt;0,Taostats_CSV!E6,""))</f>
        <v>TAO</v>
      </c>
      <c r="F6" t="str">
        <f ca="1">TRIM(IF(AND(Q6,P6&gt;0),OFFSET(Taostats_CSV!$H$1,MATCH(K6&amp;F$1,Taostats_CSV!$X:$X,0)-1,0),IF(LEN(Taostats_CSV!H6)&gt;0,Taostats_CSV!H6,Taostats_CSV!R6)))</f>
        <v>0.112610101</v>
      </c>
      <c r="G6" t="str">
        <f ca="1">IF(AND(Q6,N6=1),OFFSET(Taostats_CSV!$E$1,MATCH(K6&amp;H$1,Taostats_CSV!$X:$X,0)-1,0),"")</f>
        <v/>
      </c>
      <c r="H6" t="str">
        <f ca="1">IF(AND(Q6,N6=1),OFFSET(Taostats_CSV!$G$1,MATCH(K6&amp;H$1,Taostats_CSV!$X:$X,0)-1,0),"")</f>
        <v/>
      </c>
      <c r="I6" t="str">
        <f ca="1">IF(AND(LEN(K6)=0,LEN(F6)&gt;0),"Income",IF(AND(O6&gt;0,P6&gt;0,C6&lt;&gt;E6),"Trade",IF(AND(NOT(Q6),Taostats_CSV!F6="fee"),'READ ME'!$C$5,"")))</f>
        <v>Income</v>
      </c>
      <c r="J6" t="str">
        <f ca="1">SUBSTITUTE(IF(LEN(I6)=0,Taostats_CSV!F6&amp;" "&amp;Taostats_CSV!J6,IF(I6="Cost","Extrinsic fee","")),"_"," ")</f>
        <v/>
      </c>
      <c r="K6" t="str">
        <f>TRIM(IF(LEN(Taostats_CSV!I6)&gt;0,Taostats_CSV!I6,""))</f>
        <v/>
      </c>
      <c r="L6" t="str">
        <f>IF(Taostats_CSV!E6&lt;&gt;"TAO",IF(LEN(F6)&gt;0,F6,IF(LEN(D6)&gt;0,D6,0))*Taostats_CSV!P6,"")</f>
        <v/>
      </c>
      <c r="M6" t="str">
        <f t="shared" si="3"/>
        <v/>
      </c>
      <c r="N6">
        <f>COUNTIF(Taostats_CSV!$X:$X,Taostats_CSV!$I6&amp;N$1)</f>
        <v>0</v>
      </c>
      <c r="O6">
        <f>COUNTIF(Taostats_CSV!$X:$X,Taostats_CSV!$I6&amp;O$1)</f>
        <v>0</v>
      </c>
      <c r="P6">
        <f>COUNTIF(Taostats_CSV!$X:$X,Taostats_CSV!$I6&amp;P$1)</f>
        <v>0</v>
      </c>
      <c r="Q6" t="b">
        <f t="shared" si="4"/>
        <v>0</v>
      </c>
      <c r="R6" t="b">
        <f>IF(LEN(K6)&gt;0,COUNTIF($K$3:K6,K6),FALSE)</f>
        <v>0</v>
      </c>
      <c r="S6" t="b">
        <f>IF(Taostats_CSV!A6=Taostats_CSV!$A$2,TRUE,Taostats_CSV!G6+Taostats_CSV!H6+Taostats_CSV!R6=0)</f>
        <v>0</v>
      </c>
      <c r="T6" t="b">
        <f t="shared" si="5"/>
        <v>1</v>
      </c>
      <c r="U6" t="b" cm="1">
        <f t="array" aca="1" ref="U6" ca="1">AND(T6,OR(O6-N6&gt;1,P6&gt;1,ISERROR(A6:P6)))</f>
        <v>0</v>
      </c>
      <c r="W6" t="e">
        <f>MATCH(K6&amp;$W$2,Taostats_CSV!$X$3:$X$1167,0)</f>
        <v>#N/A</v>
      </c>
      <c r="X6" t="e">
        <f t="shared" ca="1" si="0"/>
        <v>#VALUE!</v>
      </c>
      <c r="Y6">
        <f t="shared" ca="1" si="1"/>
        <v>0.112610101</v>
      </c>
      <c r="Z6" t="e">
        <f t="shared" ca="1" si="2"/>
        <v>#VALUE!</v>
      </c>
      <c r="AA6" t="str">
        <v>SN3</v>
      </c>
      <c r="AB6">
        <f>SUMIF(Taostats_CSV!$E:$E,AA6,Taostats_CSV!G:G)</f>
        <v>280.060294032</v>
      </c>
      <c r="AC6">
        <f>SUMIF(Taostats_CSV!$E:$E,AA6,Taostats_CSV!H:H)</f>
        <v>201.89080664699998</v>
      </c>
      <c r="AD6">
        <f>SUMIF(Taostats_CSV!$E:$E,AA6,Taostats_CSV!R:R)</f>
        <v>78.169487384999968</v>
      </c>
      <c r="AE6" s="4">
        <f t="shared" ca="1" si="6"/>
        <v>280.060294032</v>
      </c>
      <c r="AF6" s="4">
        <f t="shared" ca="1" si="7"/>
        <v>280.06029403199977</v>
      </c>
      <c r="AG6" s="4">
        <f t="shared" ca="1" si="8"/>
        <v>0</v>
      </c>
      <c r="AH6">
        <f t="shared" ref="AH6:AH9" ca="1" si="9">AE6+AG6-AB6</f>
        <v>0</v>
      </c>
      <c r="AI6">
        <f t="shared" ref="AI6:AI9" ca="1" si="10">AF6-AD6-AC6</f>
        <v>0</v>
      </c>
    </row>
    <row r="7" spans="1:35" x14ac:dyDescent="0.4">
      <c r="A7" t="str">
        <f>MID(Taostats_CSV!C7,6,2)&amp;"/"&amp;MID(Taostats_CSV!C7,9,2)&amp;"/"&amp;LEFT(Taostats_CSV!C7,4)&amp;" "&amp;MID(Taostats_CSV!C7,12,8)</f>
        <v>01/04/2025 23:59:48</v>
      </c>
      <c r="C7" t="str">
        <f ca="1">IF(Q7,OFFSET(Taostats_CSV!$E$1,MATCH(K7&amp;D$1,Taostats_CSV!$X:$X,0)-1,0),IF(Taostats_CSV!F7="fee",IF(VALUE(Taostats_CSV!G7)&gt;0,Taostats_CSV!E7,""),""))</f>
        <v/>
      </c>
      <c r="D7" t="str">
        <f ca="1">IF(Q7,OFFSET(Taostats_CSV!$G$1,MATCH(K7&amp;D$1,Taostats_CSV!$X:$X,0)-1,0),IF(Taostats_CSV!F7="fee",IF(VALUE(Taostats_CSV!G7)&gt;0,Taostats_CSV!G7,""),""))</f>
        <v/>
      </c>
      <c r="E7" t="str">
        <f ca="1">IF(AND(Q7,P7&gt;0),OFFSET(Taostats_CSV!$E$1,MATCH(K7&amp;F$1,Taostats_CSV!$X:$X,0)-1,0),IF(LEN(F7)&gt;0,Taostats_CSV!E7,""))</f>
        <v>TAO</v>
      </c>
      <c r="F7" t="str">
        <f ca="1">TRIM(IF(AND(Q7,P7&gt;0),OFFSET(Taostats_CSV!$H$1,MATCH(K7&amp;F$1,Taostats_CSV!$X:$X,0)-1,0),IF(LEN(Taostats_CSV!H7)&gt;0,Taostats_CSV!H7,Taostats_CSV!R7)))</f>
        <v>0.111114908</v>
      </c>
      <c r="G7" t="str">
        <f ca="1">IF(AND(Q7,N7=1),OFFSET(Taostats_CSV!$E$1,MATCH(K7&amp;H$1,Taostats_CSV!$X:$X,0)-1,0),"")</f>
        <v/>
      </c>
      <c r="H7" t="str">
        <f ca="1">IF(AND(Q7,N7=1),OFFSET(Taostats_CSV!$G$1,MATCH(K7&amp;H$1,Taostats_CSV!$X:$X,0)-1,0),"")</f>
        <v/>
      </c>
      <c r="I7" t="str">
        <f ca="1">IF(AND(LEN(K7)=0,LEN(F7)&gt;0),"Income",IF(AND(O7&gt;0,P7&gt;0,C7&lt;&gt;E7),"Trade",IF(AND(NOT(Q7),Taostats_CSV!F7="fee"),'READ ME'!$C$5,"")))</f>
        <v>Income</v>
      </c>
      <c r="J7" t="str">
        <f ca="1">SUBSTITUTE(IF(LEN(I7)=0,Taostats_CSV!F7&amp;" "&amp;Taostats_CSV!J7,IF(I7="Cost","Extrinsic fee","")),"_"," ")</f>
        <v/>
      </c>
      <c r="K7" t="str">
        <f>TRIM(IF(LEN(Taostats_CSV!I7)&gt;0,Taostats_CSV!I7,""))</f>
        <v/>
      </c>
      <c r="L7" t="str">
        <f>IF(Taostats_CSV!E7&lt;&gt;"TAO",IF(LEN(F7)&gt;0,F7,IF(LEN(D7)&gt;0,D7,0))*Taostats_CSV!P7,"")</f>
        <v/>
      </c>
      <c r="M7" t="str">
        <f t="shared" si="3"/>
        <v/>
      </c>
      <c r="N7">
        <f>COUNTIF(Taostats_CSV!$X:$X,Taostats_CSV!$I7&amp;N$1)</f>
        <v>0</v>
      </c>
      <c r="O7">
        <f>COUNTIF(Taostats_CSV!$X:$X,Taostats_CSV!$I7&amp;O$1)</f>
        <v>0</v>
      </c>
      <c r="P7">
        <f>COUNTIF(Taostats_CSV!$X:$X,Taostats_CSV!$I7&amp;P$1)</f>
        <v>0</v>
      </c>
      <c r="Q7" t="b">
        <f t="shared" si="4"/>
        <v>0</v>
      </c>
      <c r="R7" t="b">
        <f>IF(LEN(K7)&gt;0,COUNTIF($K$3:K7,K7),FALSE)</f>
        <v>0</v>
      </c>
      <c r="S7" t="b">
        <f>IF(Taostats_CSV!A7=Taostats_CSV!$A$2,TRUE,Taostats_CSV!G7+Taostats_CSV!H7+Taostats_CSV!R7=0)</f>
        <v>0</v>
      </c>
      <c r="T7" t="b">
        <f t="shared" si="5"/>
        <v>1</v>
      </c>
      <c r="U7" t="b" cm="1">
        <f t="array" aca="1" ref="U7" ca="1">AND(T7,OR(O7-N7&gt;1,P7&gt;1,ISERROR(A7:P7)))</f>
        <v>0</v>
      </c>
      <c r="W7" t="e">
        <f>MATCH(K7&amp;$W$2,Taostats_CSV!$X$3:$X$1167,0)</f>
        <v>#N/A</v>
      </c>
      <c r="X7" t="e">
        <f t="shared" ca="1" si="0"/>
        <v>#VALUE!</v>
      </c>
      <c r="Y7">
        <f t="shared" ca="1" si="1"/>
        <v>0.111114908</v>
      </c>
      <c r="Z7" t="e">
        <f t="shared" ca="1" si="2"/>
        <v>#VALUE!</v>
      </c>
      <c r="AA7" t="str">
        <v>SN4</v>
      </c>
      <c r="AB7">
        <f>SUMIF(Taostats_CSV!$E:$E,AA7,Taostats_CSV!G:G)</f>
        <v>203.178281911</v>
      </c>
      <c r="AC7">
        <f>SUMIF(Taostats_CSV!$E:$E,AA7,Taostats_CSV!H:H)</f>
        <v>125.352344309</v>
      </c>
      <c r="AD7">
        <f>SUMIF(Taostats_CSV!$E:$E,AA7,Taostats_CSV!R:R)</f>
        <v>77.825937601999968</v>
      </c>
      <c r="AE7" s="4">
        <f t="shared" ca="1" si="6"/>
        <v>203.178281911</v>
      </c>
      <c r="AF7" s="4">
        <f t="shared" ca="1" si="7"/>
        <v>203.17828191099989</v>
      </c>
      <c r="AG7" s="4">
        <f t="shared" ca="1" si="8"/>
        <v>0</v>
      </c>
      <c r="AH7">
        <f t="shared" ca="1" si="9"/>
        <v>0</v>
      </c>
      <c r="AI7">
        <f t="shared" ca="1" si="10"/>
        <v>0</v>
      </c>
    </row>
    <row r="8" spans="1:35" x14ac:dyDescent="0.4">
      <c r="A8" t="str">
        <f>MID(Taostats_CSV!C8,6,2)&amp;"/"&amp;MID(Taostats_CSV!C8,9,2)&amp;"/"&amp;LEFT(Taostats_CSV!C8,4)&amp;" "&amp;MID(Taostats_CSV!C8,12,8)</f>
        <v>01/05/2025 23:59:48</v>
      </c>
      <c r="C8" t="str">
        <f ca="1">IF(Q8,OFFSET(Taostats_CSV!$E$1,MATCH(K8&amp;D$1,Taostats_CSV!$X:$X,0)-1,0),IF(Taostats_CSV!F8="fee",IF(VALUE(Taostats_CSV!G8)&gt;0,Taostats_CSV!E8,""),""))</f>
        <v/>
      </c>
      <c r="D8" t="str">
        <f ca="1">IF(Q8,OFFSET(Taostats_CSV!$G$1,MATCH(K8&amp;D$1,Taostats_CSV!$X:$X,0)-1,0),IF(Taostats_CSV!F8="fee",IF(VALUE(Taostats_CSV!G8)&gt;0,Taostats_CSV!G8,""),""))</f>
        <v/>
      </c>
      <c r="E8" t="str">
        <f ca="1">IF(AND(Q8,P8&gt;0),OFFSET(Taostats_CSV!$E$1,MATCH(K8&amp;F$1,Taostats_CSV!$X:$X,0)-1,0),IF(LEN(F8)&gt;0,Taostats_CSV!E8,""))</f>
        <v>TAO</v>
      </c>
      <c r="F8" t="str">
        <f ca="1">TRIM(IF(AND(Q8,P8&gt;0),OFFSET(Taostats_CSV!$H$1,MATCH(K8&amp;F$1,Taostats_CSV!$X:$X,0)-1,0),IF(LEN(Taostats_CSV!H8)&gt;0,Taostats_CSV!H8,Taostats_CSV!R8)))</f>
        <v>0.112642665</v>
      </c>
      <c r="G8" t="str">
        <f ca="1">IF(AND(Q8,N8=1),OFFSET(Taostats_CSV!$E$1,MATCH(K8&amp;H$1,Taostats_CSV!$X:$X,0)-1,0),"")</f>
        <v/>
      </c>
      <c r="H8" t="str">
        <f ca="1">IF(AND(Q8,N8=1),OFFSET(Taostats_CSV!$G$1,MATCH(K8&amp;H$1,Taostats_CSV!$X:$X,0)-1,0),"")</f>
        <v/>
      </c>
      <c r="I8" t="str">
        <f ca="1">IF(AND(LEN(K8)=0,LEN(F8)&gt;0),"Income",IF(AND(O8&gt;0,P8&gt;0,C8&lt;&gt;E8),"Trade",IF(AND(NOT(Q8),Taostats_CSV!F8="fee"),'READ ME'!$C$5,"")))</f>
        <v>Income</v>
      </c>
      <c r="J8" t="str">
        <f ca="1">SUBSTITUTE(IF(LEN(I8)=0,Taostats_CSV!F8&amp;" "&amp;Taostats_CSV!J8,IF(I8="Cost","Extrinsic fee","")),"_"," ")</f>
        <v/>
      </c>
      <c r="K8" t="str">
        <f>TRIM(IF(LEN(Taostats_CSV!I8)&gt;0,Taostats_CSV!I8,""))</f>
        <v/>
      </c>
      <c r="L8" t="str">
        <f>IF(Taostats_CSV!E8&lt;&gt;"TAO",IF(LEN(F8)&gt;0,F8,IF(LEN(D8)&gt;0,D8,0))*Taostats_CSV!P8,"")</f>
        <v/>
      </c>
      <c r="M8" t="str">
        <f t="shared" si="3"/>
        <v/>
      </c>
      <c r="N8">
        <f>COUNTIF(Taostats_CSV!$X:$X,Taostats_CSV!$I8&amp;N$1)</f>
        <v>0</v>
      </c>
      <c r="O8">
        <f>COUNTIF(Taostats_CSV!$X:$X,Taostats_CSV!$I8&amp;O$1)</f>
        <v>0</v>
      </c>
      <c r="P8">
        <f>COUNTIF(Taostats_CSV!$X:$X,Taostats_CSV!$I8&amp;P$1)</f>
        <v>0</v>
      </c>
      <c r="Q8" t="b">
        <f t="shared" si="4"/>
        <v>0</v>
      </c>
      <c r="R8" t="b">
        <f>IF(LEN(K8)&gt;0,COUNTIF($K$3:K8,K8),FALSE)</f>
        <v>0</v>
      </c>
      <c r="S8" t="b">
        <f>IF(Taostats_CSV!A8=Taostats_CSV!$A$2,TRUE,Taostats_CSV!G8+Taostats_CSV!H8+Taostats_CSV!R8=0)</f>
        <v>0</v>
      </c>
      <c r="T8" t="b">
        <f t="shared" si="5"/>
        <v>1</v>
      </c>
      <c r="U8" t="b" cm="1">
        <f t="array" aca="1" ref="U8" ca="1">AND(T8,OR(O8-N8&gt;1,P8&gt;1,ISERROR(A8:P8)))</f>
        <v>0</v>
      </c>
      <c r="W8" t="e">
        <f>MATCH(K8&amp;$W$2,Taostats_CSV!$X$3:$X$1167,0)</f>
        <v>#N/A</v>
      </c>
      <c r="X8" t="e">
        <f t="shared" ca="1" si="0"/>
        <v>#VALUE!</v>
      </c>
      <c r="Y8">
        <f t="shared" ca="1" si="1"/>
        <v>0.112642665</v>
      </c>
      <c r="Z8" t="e">
        <f t="shared" ca="1" si="2"/>
        <v>#VALUE!</v>
      </c>
      <c r="AA8" t="str">
        <v>SN56</v>
      </c>
      <c r="AB8">
        <f>SUMIF(Taostats_CSV!$E:$E,AA8,Taostats_CSV!G:G)</f>
        <v>176.66135557000001</v>
      </c>
      <c r="AC8">
        <f>SUMIF(Taostats_CSV!$E:$E,AA8,Taostats_CSV!H:H)</f>
        <v>129.761326833</v>
      </c>
      <c r="AD8">
        <f>SUMIF(Taostats_CSV!$E:$E,AA8,Taostats_CSV!R:R)</f>
        <v>46.900028737</v>
      </c>
      <c r="AE8" s="4">
        <f t="shared" ca="1" si="6"/>
        <v>176.66135557000001</v>
      </c>
      <c r="AF8" s="4">
        <f t="shared" ca="1" si="7"/>
        <v>176.6613555700001</v>
      </c>
      <c r="AG8" s="4">
        <f t="shared" ca="1" si="8"/>
        <v>0</v>
      </c>
      <c r="AH8">
        <f t="shared" ca="1" si="9"/>
        <v>0</v>
      </c>
      <c r="AI8">
        <f t="shared" ca="1" si="10"/>
        <v>0</v>
      </c>
    </row>
    <row r="9" spans="1:35" x14ac:dyDescent="0.4">
      <c r="A9" t="str">
        <f>MID(Taostats_CSV!C9,6,2)&amp;"/"&amp;MID(Taostats_CSV!C9,9,2)&amp;"/"&amp;LEFT(Taostats_CSV!C9,4)&amp;" "&amp;MID(Taostats_CSV!C9,12,8)</f>
        <v>01/06/2025 23:59:48</v>
      </c>
      <c r="C9" t="str">
        <f ca="1">IF(Q9,OFFSET(Taostats_CSV!$E$1,MATCH(K9&amp;D$1,Taostats_CSV!$X:$X,0)-1,0),IF(Taostats_CSV!F9="fee",IF(VALUE(Taostats_CSV!G9)&gt;0,Taostats_CSV!E9,""),""))</f>
        <v/>
      </c>
      <c r="D9" t="str">
        <f ca="1">IF(Q9,OFFSET(Taostats_CSV!$G$1,MATCH(K9&amp;D$1,Taostats_CSV!$X:$X,0)-1,0),IF(Taostats_CSV!F9="fee",IF(VALUE(Taostats_CSV!G9)&gt;0,Taostats_CSV!G9,""),""))</f>
        <v/>
      </c>
      <c r="E9" t="str">
        <f ca="1">IF(AND(Q9,P9&gt;0),OFFSET(Taostats_CSV!$E$1,MATCH(K9&amp;F$1,Taostats_CSV!$X:$X,0)-1,0),IF(LEN(F9)&gt;0,Taostats_CSV!E9,""))</f>
        <v>TAO</v>
      </c>
      <c r="F9" t="str">
        <f ca="1">TRIM(IF(AND(Q9,P9&gt;0),OFFSET(Taostats_CSV!$H$1,MATCH(K9&amp;F$1,Taostats_CSV!$X:$X,0)-1,0),IF(LEN(Taostats_CSV!H9)&gt;0,Taostats_CSV!H9,Taostats_CSV!R9)))</f>
        <v>0.116219871</v>
      </c>
      <c r="G9" t="str">
        <f ca="1">IF(AND(Q9,N9=1),OFFSET(Taostats_CSV!$E$1,MATCH(K9&amp;H$1,Taostats_CSV!$X:$X,0)-1,0),"")</f>
        <v/>
      </c>
      <c r="H9" t="str">
        <f ca="1">IF(AND(Q9,N9=1),OFFSET(Taostats_CSV!$G$1,MATCH(K9&amp;H$1,Taostats_CSV!$X:$X,0)-1,0),"")</f>
        <v/>
      </c>
      <c r="I9" t="str">
        <f ca="1">IF(AND(LEN(K9)=0,LEN(F9)&gt;0),"Income",IF(AND(O9&gt;0,P9&gt;0,C9&lt;&gt;E9),"Trade",IF(AND(NOT(Q9),Taostats_CSV!F9="fee"),'READ ME'!$C$5,"")))</f>
        <v>Income</v>
      </c>
      <c r="J9" t="str">
        <f ca="1">SUBSTITUTE(IF(LEN(I9)=0,Taostats_CSV!F9&amp;" "&amp;Taostats_CSV!J9,IF(I9="Cost","Extrinsic fee","")),"_"," ")</f>
        <v/>
      </c>
      <c r="K9" t="str">
        <f>TRIM(IF(LEN(Taostats_CSV!I9)&gt;0,Taostats_CSV!I9,""))</f>
        <v/>
      </c>
      <c r="L9" t="str">
        <f>IF(Taostats_CSV!E9&lt;&gt;"TAO",IF(LEN(F9)&gt;0,F9,IF(LEN(D9)&gt;0,D9,0))*Taostats_CSV!P9,"")</f>
        <v/>
      </c>
      <c r="M9" t="str">
        <f t="shared" si="3"/>
        <v/>
      </c>
      <c r="N9">
        <f>COUNTIF(Taostats_CSV!$X:$X,Taostats_CSV!$I9&amp;N$1)</f>
        <v>0</v>
      </c>
      <c r="O9">
        <f>COUNTIF(Taostats_CSV!$X:$X,Taostats_CSV!$I9&amp;O$1)</f>
        <v>0</v>
      </c>
      <c r="P9">
        <f>COUNTIF(Taostats_CSV!$X:$X,Taostats_CSV!$I9&amp;P$1)</f>
        <v>0</v>
      </c>
      <c r="Q9" t="b">
        <f t="shared" si="4"/>
        <v>0</v>
      </c>
      <c r="R9" t="b">
        <f>IF(LEN(K9)&gt;0,COUNTIF($K$3:K9,K9),FALSE)</f>
        <v>0</v>
      </c>
      <c r="S9" t="b">
        <f>IF(Taostats_CSV!A9=Taostats_CSV!$A$2,TRUE,Taostats_CSV!G9+Taostats_CSV!H9+Taostats_CSV!R9=0)</f>
        <v>0</v>
      </c>
      <c r="T9" t="b">
        <f t="shared" si="5"/>
        <v>1</v>
      </c>
      <c r="U9" t="b" cm="1">
        <f t="array" aca="1" ref="U9" ca="1">AND(T9,OR(O9-N9&gt;1,P9&gt;1,ISERROR(A9:P9)))</f>
        <v>0</v>
      </c>
      <c r="W9" t="e">
        <f>MATCH(K9&amp;$W$2,Taostats_CSV!$X$3:$X$1167,0)</f>
        <v>#N/A</v>
      </c>
      <c r="X9" t="e">
        <f t="shared" ca="1" si="0"/>
        <v>#VALUE!</v>
      </c>
      <c r="Y9">
        <f t="shared" ca="1" si="1"/>
        <v>0.116219871</v>
      </c>
      <c r="Z9" t="e">
        <f t="shared" ca="1" si="2"/>
        <v>#VALUE!</v>
      </c>
      <c r="AA9" t="str">
        <v>SN64</v>
      </c>
      <c r="AB9">
        <f>SUMIF(Taostats_CSV!$E:$E,AA9,Taostats_CSV!G:G)</f>
        <v>92.510727415999995</v>
      </c>
      <c r="AC9">
        <f>SUMIF(Taostats_CSV!$E:$E,AA9,Taostats_CSV!H:H)</f>
        <v>66.346213203999994</v>
      </c>
      <c r="AD9">
        <f>SUMIF(Taostats_CSV!$E:$E,AA9,Taostats_CSV!R:R)</f>
        <v>26.164514212000007</v>
      </c>
      <c r="AE9" s="4">
        <f t="shared" ca="1" si="6"/>
        <v>92.510727415999995</v>
      </c>
      <c r="AF9" s="4">
        <f t="shared" ca="1" si="7"/>
        <v>92.510727415999909</v>
      </c>
      <c r="AG9" s="4">
        <f t="shared" ca="1" si="8"/>
        <v>0</v>
      </c>
      <c r="AH9">
        <f t="shared" ca="1" si="9"/>
        <v>0</v>
      </c>
      <c r="AI9">
        <f t="shared" ca="1" si="10"/>
        <v>0</v>
      </c>
    </row>
    <row r="10" spans="1:35" x14ac:dyDescent="0.4">
      <c r="A10" t="str">
        <f>MID(Taostats_CSV!C10,6,2)&amp;"/"&amp;MID(Taostats_CSV!C10,9,2)&amp;"/"&amp;LEFT(Taostats_CSV!C10,4)&amp;" "&amp;MID(Taostats_CSV!C10,12,8)</f>
        <v>01/07/2025 23:59:48</v>
      </c>
      <c r="C10" t="str">
        <f ca="1">IF(Q10,OFFSET(Taostats_CSV!$E$1,MATCH(K10&amp;D$1,Taostats_CSV!$X:$X,0)-1,0),IF(Taostats_CSV!F10="fee",IF(VALUE(Taostats_CSV!G10)&gt;0,Taostats_CSV!E10,""),""))</f>
        <v/>
      </c>
      <c r="D10" t="str">
        <f ca="1">IF(Q10,OFFSET(Taostats_CSV!$G$1,MATCH(K10&amp;D$1,Taostats_CSV!$X:$X,0)-1,0),IF(Taostats_CSV!F10="fee",IF(VALUE(Taostats_CSV!G10)&gt;0,Taostats_CSV!G10,""),""))</f>
        <v/>
      </c>
      <c r="E10" t="str">
        <f ca="1">IF(AND(Q10,P10&gt;0),OFFSET(Taostats_CSV!$E$1,MATCH(K10&amp;F$1,Taostats_CSV!$X:$X,0)-1,0),IF(LEN(F10)&gt;0,Taostats_CSV!E10,""))</f>
        <v>TAO</v>
      </c>
      <c r="F10" t="str">
        <f ca="1">TRIM(IF(AND(Q10,P10&gt;0),OFFSET(Taostats_CSV!$H$1,MATCH(K10&amp;F$1,Taostats_CSV!$X:$X,0)-1,0),IF(LEN(Taostats_CSV!H10)&gt;0,Taostats_CSV!H10,Taostats_CSV!R10)))</f>
        <v>0.117338691</v>
      </c>
      <c r="G10" t="str">
        <f ca="1">IF(AND(Q10,N10=1),OFFSET(Taostats_CSV!$E$1,MATCH(K10&amp;H$1,Taostats_CSV!$X:$X,0)-1,0),"")</f>
        <v/>
      </c>
      <c r="H10" t="str">
        <f ca="1">IF(AND(Q10,N10=1),OFFSET(Taostats_CSV!$G$1,MATCH(K10&amp;H$1,Taostats_CSV!$X:$X,0)-1,0),"")</f>
        <v/>
      </c>
      <c r="I10" t="str">
        <f ca="1">IF(AND(LEN(K10)=0,LEN(F10)&gt;0),"Income",IF(AND(O10&gt;0,P10&gt;0,C10&lt;&gt;E10),"Trade",IF(AND(NOT(Q10),Taostats_CSV!F10="fee"),'READ ME'!$C$5,"")))</f>
        <v>Income</v>
      </c>
      <c r="J10" t="str">
        <f ca="1">SUBSTITUTE(IF(LEN(I10)=0,Taostats_CSV!F10&amp;" "&amp;Taostats_CSV!J10,IF(I10="Cost","Extrinsic fee","")),"_"," ")</f>
        <v/>
      </c>
      <c r="K10" t="str">
        <f>TRIM(IF(LEN(Taostats_CSV!I10)&gt;0,Taostats_CSV!I10,""))</f>
        <v/>
      </c>
      <c r="L10" t="str">
        <f>IF(Taostats_CSV!E10&lt;&gt;"TAO",IF(LEN(F10)&gt;0,F10,IF(LEN(D10)&gt;0,D10,0))*Taostats_CSV!P10,"")</f>
        <v/>
      </c>
      <c r="M10" t="str">
        <f t="shared" si="3"/>
        <v/>
      </c>
      <c r="N10">
        <f>COUNTIF(Taostats_CSV!$X:$X,Taostats_CSV!$I10&amp;N$1)</f>
        <v>0</v>
      </c>
      <c r="O10">
        <f>COUNTIF(Taostats_CSV!$X:$X,Taostats_CSV!$I10&amp;O$1)</f>
        <v>0</v>
      </c>
      <c r="P10">
        <f>COUNTIF(Taostats_CSV!$X:$X,Taostats_CSV!$I10&amp;P$1)</f>
        <v>0</v>
      </c>
      <c r="Q10" t="b">
        <f t="shared" si="4"/>
        <v>0</v>
      </c>
      <c r="R10" t="b">
        <f>IF(LEN(K10)&gt;0,COUNTIF($K$3:K10,K10),FALSE)</f>
        <v>0</v>
      </c>
      <c r="S10" t="b">
        <f>IF(Taostats_CSV!A10=Taostats_CSV!$A$2,TRUE,Taostats_CSV!G10+Taostats_CSV!H10+Taostats_CSV!R10=0)</f>
        <v>0</v>
      </c>
      <c r="T10" t="b">
        <f t="shared" si="5"/>
        <v>1</v>
      </c>
      <c r="U10" t="b" cm="1">
        <f t="array" aca="1" ref="U10" ca="1">AND(T10,OR(O10-N10&gt;1,P10&gt;1,ISERROR(A10:P10)))</f>
        <v>0</v>
      </c>
      <c r="W10" t="e">
        <f>MATCH(K10&amp;$W$2,Taostats_CSV!$X$3:$X$1167,0)</f>
        <v>#N/A</v>
      </c>
      <c r="X10" t="e">
        <f t="shared" ca="1" si="0"/>
        <v>#VALUE!</v>
      </c>
      <c r="Y10">
        <f t="shared" ca="1" si="1"/>
        <v>0.11733869099999999</v>
      </c>
      <c r="Z10" t="e">
        <f t="shared" ca="1" si="2"/>
        <v>#VALUE!</v>
      </c>
      <c r="AA10">
        <v>0</v>
      </c>
      <c r="AB10">
        <f>SUMIF(Taostats_CSV!$E:$E,AA10,Taostats_CSV!G:G)</f>
        <v>0</v>
      </c>
      <c r="AC10">
        <f>SUMIF(Taostats_CSV!$E:$E,AA10,Taostats_CSV!H:H)</f>
        <v>0</v>
      </c>
      <c r="AD10">
        <f>SUMIF(Taostats_CSV!$E:$E,AA10,Taostats_CSV!R:R)</f>
        <v>0</v>
      </c>
      <c r="AE10" s="4">
        <f t="shared" ca="1" si="6"/>
        <v>0</v>
      </c>
      <c r="AF10" s="4">
        <f t="shared" ca="1" si="7"/>
        <v>0</v>
      </c>
      <c r="AG10" s="4">
        <f t="shared" ca="1" si="8"/>
        <v>0</v>
      </c>
      <c r="AH10">
        <f t="shared" ref="AH10:AH16" ca="1" si="11">AE10+AG10-AB10</f>
        <v>0</v>
      </c>
      <c r="AI10">
        <f t="shared" ref="AI10:AI16" ca="1" si="12">AF10-AD10-AC10</f>
        <v>0</v>
      </c>
    </row>
    <row r="11" spans="1:35" x14ac:dyDescent="0.4">
      <c r="A11" t="str">
        <f>MID(Taostats_CSV!C11,6,2)&amp;"/"&amp;MID(Taostats_CSV!C11,9,2)&amp;"/"&amp;LEFT(Taostats_CSV!C11,4)&amp;" "&amp;MID(Taostats_CSV!C11,12,8)</f>
        <v>01/08/2025 23:59:48</v>
      </c>
      <c r="C11" t="str">
        <f ca="1">IF(Q11,OFFSET(Taostats_CSV!$E$1,MATCH(K11&amp;D$1,Taostats_CSV!$X:$X,0)-1,0),IF(Taostats_CSV!F11="fee",IF(VALUE(Taostats_CSV!G11)&gt;0,Taostats_CSV!E11,""),""))</f>
        <v/>
      </c>
      <c r="D11" t="str">
        <f ca="1">IF(Q11,OFFSET(Taostats_CSV!$G$1,MATCH(K11&amp;D$1,Taostats_CSV!$X:$X,0)-1,0),IF(Taostats_CSV!F11="fee",IF(VALUE(Taostats_CSV!G11)&gt;0,Taostats_CSV!G11,""),""))</f>
        <v/>
      </c>
      <c r="E11" t="str">
        <f ca="1">IF(AND(Q11,P11&gt;0),OFFSET(Taostats_CSV!$E$1,MATCH(K11&amp;F$1,Taostats_CSV!$X:$X,0)-1,0),IF(LEN(F11)&gt;0,Taostats_CSV!E11,""))</f>
        <v>TAO</v>
      </c>
      <c r="F11" t="str">
        <f ca="1">TRIM(IF(AND(Q11,P11&gt;0),OFFSET(Taostats_CSV!$H$1,MATCH(K11&amp;F$1,Taostats_CSV!$X:$X,0)-1,0),IF(LEN(Taostats_CSV!H11)&gt;0,Taostats_CSV!H11,Taostats_CSV!R11)))</f>
        <v>0.11603302</v>
      </c>
      <c r="G11" t="str">
        <f ca="1">IF(AND(Q11,N11=1),OFFSET(Taostats_CSV!$E$1,MATCH(K11&amp;H$1,Taostats_CSV!$X:$X,0)-1,0),"")</f>
        <v/>
      </c>
      <c r="H11" t="str">
        <f ca="1">IF(AND(Q11,N11=1),OFFSET(Taostats_CSV!$G$1,MATCH(K11&amp;H$1,Taostats_CSV!$X:$X,0)-1,0),"")</f>
        <v/>
      </c>
      <c r="I11" t="str">
        <f ca="1">IF(AND(LEN(K11)=0,LEN(F11)&gt;0),"Income",IF(AND(O11&gt;0,P11&gt;0,C11&lt;&gt;E11),"Trade",IF(AND(NOT(Q11),Taostats_CSV!F11="fee"),'READ ME'!$C$5,"")))</f>
        <v>Income</v>
      </c>
      <c r="J11" t="str">
        <f ca="1">SUBSTITUTE(IF(LEN(I11)=0,Taostats_CSV!F11&amp;" "&amp;Taostats_CSV!J11,IF(I11="Cost","Extrinsic fee","")),"_"," ")</f>
        <v/>
      </c>
      <c r="K11" t="str">
        <f>TRIM(IF(LEN(Taostats_CSV!I11)&gt;0,Taostats_CSV!I11,""))</f>
        <v/>
      </c>
      <c r="L11" t="str">
        <f>IF(Taostats_CSV!E11&lt;&gt;"TAO",IF(LEN(F11)&gt;0,F11,IF(LEN(D11)&gt;0,D11,0))*Taostats_CSV!P11,"")</f>
        <v/>
      </c>
      <c r="M11" t="str">
        <f t="shared" si="3"/>
        <v/>
      </c>
      <c r="N11">
        <f>COUNTIF(Taostats_CSV!$X:$X,Taostats_CSV!$I11&amp;N$1)</f>
        <v>0</v>
      </c>
      <c r="O11">
        <f>COUNTIF(Taostats_CSV!$X:$X,Taostats_CSV!$I11&amp;O$1)</f>
        <v>0</v>
      </c>
      <c r="P11">
        <f>COUNTIF(Taostats_CSV!$X:$X,Taostats_CSV!$I11&amp;P$1)</f>
        <v>0</v>
      </c>
      <c r="Q11" t="b">
        <f t="shared" si="4"/>
        <v>0</v>
      </c>
      <c r="R11" t="b">
        <f>IF(LEN(K11)&gt;0,COUNTIF($K$3:K11,K11),FALSE)</f>
        <v>0</v>
      </c>
      <c r="S11" t="b">
        <f>IF(Taostats_CSV!A11=Taostats_CSV!$A$2,TRUE,Taostats_CSV!G11+Taostats_CSV!H11+Taostats_CSV!R11=0)</f>
        <v>0</v>
      </c>
      <c r="T11" t="b">
        <f t="shared" si="5"/>
        <v>1</v>
      </c>
      <c r="U11" t="b" cm="1">
        <f t="array" aca="1" ref="U11" ca="1">AND(T11,OR(O11-N11&gt;1,P11&gt;1,ISERROR(A11:P11)))</f>
        <v>0</v>
      </c>
      <c r="W11" t="e">
        <f>MATCH(K11&amp;$W$2,Taostats_CSV!$X$3:$X$1167,0)</f>
        <v>#N/A</v>
      </c>
      <c r="X11" t="e">
        <f t="shared" ca="1" si="0"/>
        <v>#VALUE!</v>
      </c>
      <c r="Y11">
        <f t="shared" ca="1" si="1"/>
        <v>0.11603302</v>
      </c>
      <c r="Z11" t="e">
        <f t="shared" ca="1" si="2"/>
        <v>#VALUE!</v>
      </c>
      <c r="AB11">
        <f>SUMIF(Taostats_CSV!$E:$E,AA11,Taostats_CSV!G:G)</f>
        <v>0</v>
      </c>
      <c r="AC11">
        <f>SUMIF(Taostats_CSV!$E:$E,AA11,Taostats_CSV!H:H)</f>
        <v>0</v>
      </c>
      <c r="AD11">
        <f>SUMIF(Taostats_CSV!$E:$E,AA11,Taostats_CSV!R:R)</f>
        <v>0</v>
      </c>
      <c r="AE11" s="4">
        <f t="shared" ca="1" si="6"/>
        <v>0</v>
      </c>
      <c r="AF11" s="4">
        <f t="shared" ca="1" si="7"/>
        <v>0</v>
      </c>
      <c r="AG11" s="4">
        <f t="shared" ca="1" si="8"/>
        <v>0</v>
      </c>
      <c r="AH11">
        <f t="shared" ca="1" si="11"/>
        <v>0</v>
      </c>
      <c r="AI11">
        <f t="shared" ca="1" si="12"/>
        <v>0</v>
      </c>
    </row>
    <row r="12" spans="1:35" x14ac:dyDescent="0.4">
      <c r="A12" t="str">
        <f>MID(Taostats_CSV!C12,6,2)&amp;"/"&amp;MID(Taostats_CSV!C12,9,2)&amp;"/"&amp;LEFT(Taostats_CSV!C12,4)&amp;" "&amp;MID(Taostats_CSV!C12,12,8)</f>
        <v>01/09/2025 23:59:48</v>
      </c>
      <c r="C12" t="str">
        <f ca="1">IF(Q12,OFFSET(Taostats_CSV!$E$1,MATCH(K12&amp;D$1,Taostats_CSV!$X:$X,0)-1,0),IF(Taostats_CSV!F12="fee",IF(VALUE(Taostats_CSV!G12)&gt;0,Taostats_CSV!E12,""),""))</f>
        <v/>
      </c>
      <c r="D12" t="str">
        <f ca="1">IF(Q12,OFFSET(Taostats_CSV!$G$1,MATCH(K12&amp;D$1,Taostats_CSV!$X:$X,0)-1,0),IF(Taostats_CSV!F12="fee",IF(VALUE(Taostats_CSV!G12)&gt;0,Taostats_CSV!G12,""),""))</f>
        <v/>
      </c>
      <c r="E12" t="str">
        <f ca="1">IF(AND(Q12,P12&gt;0),OFFSET(Taostats_CSV!$E$1,MATCH(K12&amp;F$1,Taostats_CSV!$X:$X,0)-1,0),IF(LEN(F12)&gt;0,Taostats_CSV!E12,""))</f>
        <v>TAO</v>
      </c>
      <c r="F12" t="str">
        <f ca="1">TRIM(IF(AND(Q12,P12&gt;0),OFFSET(Taostats_CSV!$H$1,MATCH(K12&amp;F$1,Taostats_CSV!$X:$X,0)-1,0),IF(LEN(Taostats_CSV!H12)&gt;0,Taostats_CSV!H12,Taostats_CSV!R12)))</f>
        <v>0.110048595</v>
      </c>
      <c r="G12" t="str">
        <f ca="1">IF(AND(Q12,N12=1),OFFSET(Taostats_CSV!$E$1,MATCH(K12&amp;H$1,Taostats_CSV!$X:$X,0)-1,0),"")</f>
        <v/>
      </c>
      <c r="H12" t="str">
        <f ca="1">IF(AND(Q12,N12=1),OFFSET(Taostats_CSV!$G$1,MATCH(K12&amp;H$1,Taostats_CSV!$X:$X,0)-1,0),"")</f>
        <v/>
      </c>
      <c r="I12" t="str">
        <f ca="1">IF(AND(LEN(K12)=0,LEN(F12)&gt;0),"Income",IF(AND(O12&gt;0,P12&gt;0,C12&lt;&gt;E12),"Trade",IF(AND(NOT(Q12),Taostats_CSV!F12="fee"),'READ ME'!$C$5,"")))</f>
        <v>Income</v>
      </c>
      <c r="J12" t="str">
        <f ca="1">SUBSTITUTE(IF(LEN(I12)=0,Taostats_CSV!F12&amp;" "&amp;Taostats_CSV!J12,IF(I12="Cost","Extrinsic fee","")),"_"," ")</f>
        <v/>
      </c>
      <c r="K12" t="str">
        <f>TRIM(IF(LEN(Taostats_CSV!I12)&gt;0,Taostats_CSV!I12,""))</f>
        <v/>
      </c>
      <c r="L12" t="str">
        <f>IF(Taostats_CSV!E12&lt;&gt;"TAO",IF(LEN(F12)&gt;0,F12,IF(LEN(D12)&gt;0,D12,0))*Taostats_CSV!P12,"")</f>
        <v/>
      </c>
      <c r="M12" t="str">
        <f t="shared" si="3"/>
        <v/>
      </c>
      <c r="N12">
        <f>COUNTIF(Taostats_CSV!$X:$X,Taostats_CSV!$I12&amp;N$1)</f>
        <v>0</v>
      </c>
      <c r="O12">
        <f>COUNTIF(Taostats_CSV!$X:$X,Taostats_CSV!$I12&amp;O$1)</f>
        <v>0</v>
      </c>
      <c r="P12">
        <f>COUNTIF(Taostats_CSV!$X:$X,Taostats_CSV!$I12&amp;P$1)</f>
        <v>0</v>
      </c>
      <c r="Q12" t="b">
        <f t="shared" si="4"/>
        <v>0</v>
      </c>
      <c r="R12" t="b">
        <f>IF(LEN(K12)&gt;0,COUNTIF($K$3:K12,K12),FALSE)</f>
        <v>0</v>
      </c>
      <c r="S12" t="b">
        <f>IF(Taostats_CSV!A12=Taostats_CSV!$A$2,TRUE,Taostats_CSV!G12+Taostats_CSV!H12+Taostats_CSV!R12=0)</f>
        <v>0</v>
      </c>
      <c r="T12" t="b">
        <f t="shared" si="5"/>
        <v>1</v>
      </c>
      <c r="U12" t="b" cm="1">
        <f t="array" aca="1" ref="U12" ca="1">AND(T12,OR(O12-N12&gt;1,P12&gt;1,ISERROR(A12:P12)))</f>
        <v>0</v>
      </c>
      <c r="W12" t="e">
        <f>MATCH(K12&amp;$W$2,Taostats_CSV!$X$3:$X$1167,0)</f>
        <v>#N/A</v>
      </c>
      <c r="X12" t="e">
        <f t="shared" ca="1" si="0"/>
        <v>#VALUE!</v>
      </c>
      <c r="Y12">
        <f t="shared" ca="1" si="1"/>
        <v>0.110048595</v>
      </c>
      <c r="Z12" t="e">
        <f t="shared" ca="1" si="2"/>
        <v>#VALUE!</v>
      </c>
      <c r="AB12">
        <f>SUMIF(Taostats_CSV!$E:$E,AA12,Taostats_CSV!G:G)</f>
        <v>0</v>
      </c>
      <c r="AC12">
        <f>SUMIF(Taostats_CSV!$E:$E,AA12,Taostats_CSV!H:H)</f>
        <v>0</v>
      </c>
      <c r="AD12">
        <f>SUMIF(Taostats_CSV!$E:$E,AA12,Taostats_CSV!R:R)</f>
        <v>0</v>
      </c>
      <c r="AE12" s="4">
        <f t="shared" ca="1" si="6"/>
        <v>0</v>
      </c>
      <c r="AF12" s="4">
        <f t="shared" ca="1" si="7"/>
        <v>0</v>
      </c>
      <c r="AG12" s="4">
        <f t="shared" ca="1" si="8"/>
        <v>0</v>
      </c>
      <c r="AH12">
        <f t="shared" ca="1" si="11"/>
        <v>0</v>
      </c>
      <c r="AI12">
        <f t="shared" ca="1" si="12"/>
        <v>0</v>
      </c>
    </row>
    <row r="13" spans="1:35" x14ac:dyDescent="0.4">
      <c r="A13" t="str">
        <f>MID(Taostats_CSV!C13,6,2)&amp;"/"&amp;MID(Taostats_CSV!C13,9,2)&amp;"/"&amp;LEFT(Taostats_CSV!C13,4)&amp;" "&amp;MID(Taostats_CSV!C13,12,8)</f>
        <v>01/10/2025 23:59:48</v>
      </c>
      <c r="C13" t="str">
        <f ca="1">IF(Q13,OFFSET(Taostats_CSV!$E$1,MATCH(K13&amp;D$1,Taostats_CSV!$X:$X,0)-1,0),IF(Taostats_CSV!F13="fee",IF(VALUE(Taostats_CSV!G13)&gt;0,Taostats_CSV!E13,""),""))</f>
        <v/>
      </c>
      <c r="D13" t="str">
        <f ca="1">IF(Q13,OFFSET(Taostats_CSV!$G$1,MATCH(K13&amp;D$1,Taostats_CSV!$X:$X,0)-1,0),IF(Taostats_CSV!F13="fee",IF(VALUE(Taostats_CSV!G13)&gt;0,Taostats_CSV!G13,""),""))</f>
        <v/>
      </c>
      <c r="E13" t="str">
        <f ca="1">IF(AND(Q13,P13&gt;0),OFFSET(Taostats_CSV!$E$1,MATCH(K13&amp;F$1,Taostats_CSV!$X:$X,0)-1,0),IF(LEN(F13)&gt;0,Taostats_CSV!E13,""))</f>
        <v>TAO</v>
      </c>
      <c r="F13" t="str">
        <f ca="1">TRIM(IF(AND(Q13,P13&gt;0),OFFSET(Taostats_CSV!$H$1,MATCH(K13&amp;F$1,Taostats_CSV!$X:$X,0)-1,0),IF(LEN(Taostats_CSV!H13)&gt;0,Taostats_CSV!H13,Taostats_CSV!R13)))</f>
        <v>0.110197807</v>
      </c>
      <c r="G13" t="str">
        <f ca="1">IF(AND(Q13,N13=1),OFFSET(Taostats_CSV!$E$1,MATCH(K13&amp;H$1,Taostats_CSV!$X:$X,0)-1,0),"")</f>
        <v/>
      </c>
      <c r="H13" t="str">
        <f ca="1">IF(AND(Q13,N13=1),OFFSET(Taostats_CSV!$G$1,MATCH(K13&amp;H$1,Taostats_CSV!$X:$X,0)-1,0),"")</f>
        <v/>
      </c>
      <c r="I13" t="str">
        <f ca="1">IF(AND(LEN(K13)=0,LEN(F13)&gt;0),"Income",IF(AND(O13&gt;0,P13&gt;0,C13&lt;&gt;E13),"Trade",IF(AND(NOT(Q13),Taostats_CSV!F13="fee"),'READ ME'!$C$5,"")))</f>
        <v>Income</v>
      </c>
      <c r="J13" t="str">
        <f ca="1">SUBSTITUTE(IF(LEN(I13)=0,Taostats_CSV!F13&amp;" "&amp;Taostats_CSV!J13,IF(I13="Cost","Extrinsic fee","")),"_"," ")</f>
        <v/>
      </c>
      <c r="K13" t="str">
        <f>TRIM(IF(LEN(Taostats_CSV!I13)&gt;0,Taostats_CSV!I13,""))</f>
        <v/>
      </c>
      <c r="L13" t="str">
        <f>IF(Taostats_CSV!E13&lt;&gt;"TAO",IF(LEN(F13)&gt;0,F13,IF(LEN(D13)&gt;0,D13,0))*Taostats_CSV!P13,"")</f>
        <v/>
      </c>
      <c r="M13" t="str">
        <f t="shared" si="3"/>
        <v/>
      </c>
      <c r="N13">
        <f>COUNTIF(Taostats_CSV!$X:$X,Taostats_CSV!$I13&amp;N$1)</f>
        <v>0</v>
      </c>
      <c r="O13">
        <f>COUNTIF(Taostats_CSV!$X:$X,Taostats_CSV!$I13&amp;O$1)</f>
        <v>0</v>
      </c>
      <c r="P13">
        <f>COUNTIF(Taostats_CSV!$X:$X,Taostats_CSV!$I13&amp;P$1)</f>
        <v>0</v>
      </c>
      <c r="Q13" t="b">
        <f t="shared" si="4"/>
        <v>0</v>
      </c>
      <c r="R13" t="b">
        <f>IF(LEN(K13)&gt;0,COUNTIF($K$3:K13,K13),FALSE)</f>
        <v>0</v>
      </c>
      <c r="S13" t="b">
        <f>IF(Taostats_CSV!A13=Taostats_CSV!$A$2,TRUE,Taostats_CSV!G13+Taostats_CSV!H13+Taostats_CSV!R13=0)</f>
        <v>0</v>
      </c>
      <c r="T13" t="b">
        <f t="shared" si="5"/>
        <v>1</v>
      </c>
      <c r="U13" t="b" cm="1">
        <f t="array" aca="1" ref="U13" ca="1">AND(T13,OR(O13-N13&gt;1,P13&gt;1,ISERROR(A13:P13)))</f>
        <v>0</v>
      </c>
      <c r="W13" t="e">
        <f>MATCH(K13&amp;$W$2,Taostats_CSV!$X$3:$X$1167,0)</f>
        <v>#N/A</v>
      </c>
      <c r="X13" t="e">
        <f t="shared" ca="1" si="0"/>
        <v>#VALUE!</v>
      </c>
      <c r="Y13">
        <f t="shared" ca="1" si="1"/>
        <v>0.11019780699999999</v>
      </c>
      <c r="Z13" t="e">
        <f t="shared" ca="1" si="2"/>
        <v>#VALUE!</v>
      </c>
      <c r="AB13">
        <f>SUMIF(Taostats_CSV!$E:$E,AA13,Taostats_CSV!G:G)</f>
        <v>0</v>
      </c>
      <c r="AC13">
        <f>SUMIF(Taostats_CSV!$E:$E,AA13,Taostats_CSV!H:H)</f>
        <v>0</v>
      </c>
      <c r="AD13">
        <f>SUMIF(Taostats_CSV!$E:$E,AA13,Taostats_CSV!R:R)</f>
        <v>0</v>
      </c>
      <c r="AE13" s="4">
        <f t="shared" ca="1" si="6"/>
        <v>0</v>
      </c>
      <c r="AF13" s="4">
        <f t="shared" ca="1" si="7"/>
        <v>0</v>
      </c>
      <c r="AG13" s="4">
        <f t="shared" ca="1" si="8"/>
        <v>0</v>
      </c>
      <c r="AH13">
        <f t="shared" ca="1" si="11"/>
        <v>0</v>
      </c>
      <c r="AI13">
        <f t="shared" ca="1" si="12"/>
        <v>0</v>
      </c>
    </row>
    <row r="14" spans="1:35" x14ac:dyDescent="0.4">
      <c r="A14" t="str">
        <f>MID(Taostats_CSV!C14,6,2)&amp;"/"&amp;MID(Taostats_CSV!C14,9,2)&amp;"/"&amp;LEFT(Taostats_CSV!C14,4)&amp;" "&amp;MID(Taostats_CSV!C14,12,8)</f>
        <v>01/11/2025 23:59:48</v>
      </c>
      <c r="C14" t="str">
        <f ca="1">IF(Q14,OFFSET(Taostats_CSV!$E$1,MATCH(K14&amp;D$1,Taostats_CSV!$X:$X,0)-1,0),IF(Taostats_CSV!F14="fee",IF(VALUE(Taostats_CSV!G14)&gt;0,Taostats_CSV!E14,""),""))</f>
        <v/>
      </c>
      <c r="D14" t="str">
        <f ca="1">IF(Q14,OFFSET(Taostats_CSV!$G$1,MATCH(K14&amp;D$1,Taostats_CSV!$X:$X,0)-1,0),IF(Taostats_CSV!F14="fee",IF(VALUE(Taostats_CSV!G14)&gt;0,Taostats_CSV!G14,""),""))</f>
        <v/>
      </c>
      <c r="E14" t="str">
        <f ca="1">IF(AND(Q14,P14&gt;0),OFFSET(Taostats_CSV!$E$1,MATCH(K14&amp;F$1,Taostats_CSV!$X:$X,0)-1,0),IF(LEN(F14)&gt;0,Taostats_CSV!E14,""))</f>
        <v>TAO</v>
      </c>
      <c r="F14" t="str">
        <f ca="1">TRIM(IF(AND(Q14,P14&gt;0),OFFSET(Taostats_CSV!$H$1,MATCH(K14&amp;F$1,Taostats_CSV!$X:$X,0)-1,0),IF(LEN(Taostats_CSV!H14)&gt;0,Taostats_CSV!H14,Taostats_CSV!R14)))</f>
        <v>0.112062363</v>
      </c>
      <c r="G14" t="str">
        <f ca="1">IF(AND(Q14,N14=1),OFFSET(Taostats_CSV!$E$1,MATCH(K14&amp;H$1,Taostats_CSV!$X:$X,0)-1,0),"")</f>
        <v/>
      </c>
      <c r="H14" t="str">
        <f ca="1">IF(AND(Q14,N14=1),OFFSET(Taostats_CSV!$G$1,MATCH(K14&amp;H$1,Taostats_CSV!$X:$X,0)-1,0),"")</f>
        <v/>
      </c>
      <c r="I14" t="str">
        <f ca="1">IF(AND(LEN(K14)=0,LEN(F14)&gt;0),"Income",IF(AND(O14&gt;0,P14&gt;0,C14&lt;&gt;E14),"Trade",IF(AND(NOT(Q14),Taostats_CSV!F14="fee"),'READ ME'!$C$5,"")))</f>
        <v>Income</v>
      </c>
      <c r="J14" t="str">
        <f ca="1">SUBSTITUTE(IF(LEN(I14)=0,Taostats_CSV!F14&amp;" "&amp;Taostats_CSV!J14,IF(I14="Cost","Extrinsic fee","")),"_"," ")</f>
        <v/>
      </c>
      <c r="K14" t="str">
        <f>TRIM(IF(LEN(Taostats_CSV!I14)&gt;0,Taostats_CSV!I14,""))</f>
        <v/>
      </c>
      <c r="L14" t="str">
        <f>IF(Taostats_CSV!E14&lt;&gt;"TAO",IF(LEN(F14)&gt;0,F14,IF(LEN(D14)&gt;0,D14,0))*Taostats_CSV!P14,"")</f>
        <v/>
      </c>
      <c r="M14" t="str">
        <f t="shared" si="3"/>
        <v/>
      </c>
      <c r="N14">
        <f>COUNTIF(Taostats_CSV!$X:$X,Taostats_CSV!$I14&amp;N$1)</f>
        <v>0</v>
      </c>
      <c r="O14">
        <f>COUNTIF(Taostats_CSV!$X:$X,Taostats_CSV!$I14&amp;O$1)</f>
        <v>0</v>
      </c>
      <c r="P14">
        <f>COUNTIF(Taostats_CSV!$X:$X,Taostats_CSV!$I14&amp;P$1)</f>
        <v>0</v>
      </c>
      <c r="Q14" t="b">
        <f t="shared" si="4"/>
        <v>0</v>
      </c>
      <c r="R14" t="b">
        <f>IF(LEN(K14)&gt;0,COUNTIF($K$3:K14,K14),FALSE)</f>
        <v>0</v>
      </c>
      <c r="S14" t="b">
        <f>IF(Taostats_CSV!A14=Taostats_CSV!$A$2,TRUE,Taostats_CSV!G14+Taostats_CSV!H14+Taostats_CSV!R14=0)</f>
        <v>0</v>
      </c>
      <c r="T14" t="b">
        <f t="shared" si="5"/>
        <v>1</v>
      </c>
      <c r="U14" t="b" cm="1">
        <f t="array" aca="1" ref="U14" ca="1">AND(T14,OR(O14-N14&gt;1,P14&gt;1,ISERROR(A14:P14)))</f>
        <v>0</v>
      </c>
      <c r="W14" t="e">
        <f>MATCH(K14&amp;$W$2,Taostats_CSV!$X$3:$X$1167,0)</f>
        <v>#N/A</v>
      </c>
      <c r="X14" t="e">
        <f t="shared" ca="1" si="0"/>
        <v>#VALUE!</v>
      </c>
      <c r="Y14">
        <f t="shared" ca="1" si="1"/>
        <v>0.112062363</v>
      </c>
      <c r="Z14" t="e">
        <f t="shared" ca="1" si="2"/>
        <v>#VALUE!</v>
      </c>
      <c r="AB14">
        <f>SUMIF(Taostats_CSV!$E:$E,AA14,Taostats_CSV!G:G)</f>
        <v>0</v>
      </c>
      <c r="AC14">
        <f>SUMIF(Taostats_CSV!$E:$E,AA14,Taostats_CSV!H:H)</f>
        <v>0</v>
      </c>
      <c r="AD14">
        <f>SUMIF(Taostats_CSV!$E:$E,AA14,Taostats_CSV!R:R)</f>
        <v>0</v>
      </c>
      <c r="AE14" s="4">
        <f t="shared" ca="1" si="6"/>
        <v>0</v>
      </c>
      <c r="AF14" s="4">
        <f t="shared" ca="1" si="7"/>
        <v>0</v>
      </c>
      <c r="AG14" s="4">
        <f t="shared" ca="1" si="8"/>
        <v>0</v>
      </c>
      <c r="AH14">
        <f t="shared" ca="1" si="11"/>
        <v>0</v>
      </c>
      <c r="AI14">
        <f t="shared" ca="1" si="12"/>
        <v>0</v>
      </c>
    </row>
    <row r="15" spans="1:35" x14ac:dyDescent="0.4">
      <c r="A15" t="str">
        <f>MID(Taostats_CSV!C15,6,2)&amp;"/"&amp;MID(Taostats_CSV!C15,9,2)&amp;"/"&amp;LEFT(Taostats_CSV!C15,4)&amp;" "&amp;MID(Taostats_CSV!C15,12,8)</f>
        <v>01/12/2025 23:59:48</v>
      </c>
      <c r="C15" t="str">
        <f ca="1">IF(Q15,OFFSET(Taostats_CSV!$E$1,MATCH(K15&amp;D$1,Taostats_CSV!$X:$X,0)-1,0),IF(Taostats_CSV!F15="fee",IF(VALUE(Taostats_CSV!G15)&gt;0,Taostats_CSV!E15,""),""))</f>
        <v/>
      </c>
      <c r="D15" t="str">
        <f ca="1">IF(Q15,OFFSET(Taostats_CSV!$G$1,MATCH(K15&amp;D$1,Taostats_CSV!$X:$X,0)-1,0),IF(Taostats_CSV!F15="fee",IF(VALUE(Taostats_CSV!G15)&gt;0,Taostats_CSV!G15,""),""))</f>
        <v/>
      </c>
      <c r="E15" t="str">
        <f ca="1">IF(AND(Q15,P15&gt;0),OFFSET(Taostats_CSV!$E$1,MATCH(K15&amp;F$1,Taostats_CSV!$X:$X,0)-1,0),IF(LEN(F15)&gt;0,Taostats_CSV!E15,""))</f>
        <v>TAO</v>
      </c>
      <c r="F15" t="str">
        <f ca="1">TRIM(IF(AND(Q15,P15&gt;0),OFFSET(Taostats_CSV!$H$1,MATCH(K15&amp;F$1,Taostats_CSV!$X:$X,0)-1,0),IF(LEN(Taostats_CSV!H15)&gt;0,Taostats_CSV!H15,Taostats_CSV!R15)))</f>
        <v>0.111740714</v>
      </c>
      <c r="G15" t="str">
        <f ca="1">IF(AND(Q15,N15=1),OFFSET(Taostats_CSV!$E$1,MATCH(K15&amp;H$1,Taostats_CSV!$X:$X,0)-1,0),"")</f>
        <v/>
      </c>
      <c r="H15" t="str">
        <f ca="1">IF(AND(Q15,N15=1),OFFSET(Taostats_CSV!$G$1,MATCH(K15&amp;H$1,Taostats_CSV!$X:$X,0)-1,0),"")</f>
        <v/>
      </c>
      <c r="I15" t="str">
        <f ca="1">IF(AND(LEN(K15)=0,LEN(F15)&gt;0),"Income",IF(AND(O15&gt;0,P15&gt;0,C15&lt;&gt;E15),"Trade",IF(AND(NOT(Q15),Taostats_CSV!F15="fee"),'READ ME'!$C$5,"")))</f>
        <v>Income</v>
      </c>
      <c r="J15" t="str">
        <f ca="1">SUBSTITUTE(IF(LEN(I15)=0,Taostats_CSV!F15&amp;" "&amp;Taostats_CSV!J15,IF(I15="Cost","Extrinsic fee","")),"_"," ")</f>
        <v/>
      </c>
      <c r="K15" t="str">
        <f>TRIM(IF(LEN(Taostats_CSV!I15)&gt;0,Taostats_CSV!I15,""))</f>
        <v/>
      </c>
      <c r="L15" t="str">
        <f>IF(Taostats_CSV!E15&lt;&gt;"TAO",IF(LEN(F15)&gt;0,F15,IF(LEN(D15)&gt;0,D15,0))*Taostats_CSV!P15,"")</f>
        <v/>
      </c>
      <c r="M15" t="str">
        <f t="shared" si="3"/>
        <v/>
      </c>
      <c r="N15">
        <f>COUNTIF(Taostats_CSV!$X:$X,Taostats_CSV!$I15&amp;N$1)</f>
        <v>0</v>
      </c>
      <c r="O15">
        <f>COUNTIF(Taostats_CSV!$X:$X,Taostats_CSV!$I15&amp;O$1)</f>
        <v>0</v>
      </c>
      <c r="P15">
        <f>COUNTIF(Taostats_CSV!$X:$X,Taostats_CSV!$I15&amp;P$1)</f>
        <v>0</v>
      </c>
      <c r="Q15" t="b">
        <f t="shared" si="4"/>
        <v>0</v>
      </c>
      <c r="R15" t="b">
        <f>IF(LEN(K15)&gt;0,COUNTIF($K$3:K15,K15),FALSE)</f>
        <v>0</v>
      </c>
      <c r="S15" t="b">
        <f>IF(Taostats_CSV!A15=Taostats_CSV!$A$2,TRUE,Taostats_CSV!G15+Taostats_CSV!H15+Taostats_CSV!R15=0)</f>
        <v>0</v>
      </c>
      <c r="T15" t="b">
        <f t="shared" si="5"/>
        <v>1</v>
      </c>
      <c r="U15" t="b" cm="1">
        <f t="array" aca="1" ref="U15" ca="1">AND(T15,OR(O15-N15&gt;1,P15&gt;1,ISERROR(A15:P15)))</f>
        <v>0</v>
      </c>
      <c r="W15" t="e">
        <f>MATCH(K15&amp;$W$2,Taostats_CSV!$X$3:$X$1167,0)</f>
        <v>#N/A</v>
      </c>
      <c r="X15" t="e">
        <f t="shared" ca="1" si="0"/>
        <v>#VALUE!</v>
      </c>
      <c r="Y15">
        <f t="shared" ca="1" si="1"/>
        <v>0.111740714</v>
      </c>
      <c r="Z15" t="e">
        <f t="shared" ca="1" si="2"/>
        <v>#VALUE!</v>
      </c>
      <c r="AB15">
        <f>SUMIF(Taostats_CSV!$E:$E,AA15,Taostats_CSV!G:G)</f>
        <v>0</v>
      </c>
      <c r="AC15">
        <f>SUMIF(Taostats_CSV!$E:$E,AA15,Taostats_CSV!H:H)</f>
        <v>0</v>
      </c>
      <c r="AD15">
        <f>SUMIF(Taostats_CSV!$E:$E,AA15,Taostats_CSV!R:R)</f>
        <v>0</v>
      </c>
      <c r="AE15" s="4">
        <f t="shared" ca="1" si="6"/>
        <v>0</v>
      </c>
      <c r="AF15" s="4">
        <f t="shared" ca="1" si="7"/>
        <v>0</v>
      </c>
      <c r="AG15" s="4">
        <f t="shared" ca="1" si="8"/>
        <v>0</v>
      </c>
      <c r="AH15">
        <f t="shared" ca="1" si="11"/>
        <v>0</v>
      </c>
      <c r="AI15">
        <f t="shared" ca="1" si="12"/>
        <v>0</v>
      </c>
    </row>
    <row r="16" spans="1:35" x14ac:dyDescent="0.4">
      <c r="A16" t="str">
        <f>MID(Taostats_CSV!C16,6,2)&amp;"/"&amp;MID(Taostats_CSV!C16,9,2)&amp;"/"&amp;LEFT(Taostats_CSV!C16,4)&amp;" "&amp;MID(Taostats_CSV!C16,12,8)</f>
        <v>01/13/2025 23:59:48</v>
      </c>
      <c r="C16" t="str">
        <f ca="1">IF(Q16,OFFSET(Taostats_CSV!$E$1,MATCH(K16&amp;D$1,Taostats_CSV!$X:$X,0)-1,0),IF(Taostats_CSV!F16="fee",IF(VALUE(Taostats_CSV!G16)&gt;0,Taostats_CSV!E16,""),""))</f>
        <v/>
      </c>
      <c r="D16" t="str">
        <f ca="1">IF(Q16,OFFSET(Taostats_CSV!$G$1,MATCH(K16&amp;D$1,Taostats_CSV!$X:$X,0)-1,0),IF(Taostats_CSV!F16="fee",IF(VALUE(Taostats_CSV!G16)&gt;0,Taostats_CSV!G16,""),""))</f>
        <v/>
      </c>
      <c r="E16" t="str">
        <f ca="1">IF(AND(Q16,P16&gt;0),OFFSET(Taostats_CSV!$E$1,MATCH(K16&amp;F$1,Taostats_CSV!$X:$X,0)-1,0),IF(LEN(F16)&gt;0,Taostats_CSV!E16,""))</f>
        <v>TAO</v>
      </c>
      <c r="F16" t="str">
        <f ca="1">TRIM(IF(AND(Q16,P16&gt;0),OFFSET(Taostats_CSV!$H$1,MATCH(K16&amp;F$1,Taostats_CSV!$X:$X,0)-1,0),IF(LEN(Taostats_CSV!H16)&gt;0,Taostats_CSV!H16,Taostats_CSV!R16)))</f>
        <v>0.110391721</v>
      </c>
      <c r="G16" t="str">
        <f ca="1">IF(AND(Q16,N16=1),OFFSET(Taostats_CSV!$E$1,MATCH(K16&amp;H$1,Taostats_CSV!$X:$X,0)-1,0),"")</f>
        <v/>
      </c>
      <c r="H16" t="str">
        <f ca="1">IF(AND(Q16,N16=1),OFFSET(Taostats_CSV!$G$1,MATCH(K16&amp;H$1,Taostats_CSV!$X:$X,0)-1,0),"")</f>
        <v/>
      </c>
      <c r="I16" t="str">
        <f ca="1">IF(AND(LEN(K16)=0,LEN(F16)&gt;0),"Income",IF(AND(O16&gt;0,P16&gt;0,C16&lt;&gt;E16),"Trade",IF(AND(NOT(Q16),Taostats_CSV!F16="fee"),'READ ME'!$C$5,"")))</f>
        <v>Income</v>
      </c>
      <c r="J16" t="str">
        <f ca="1">SUBSTITUTE(IF(LEN(I16)=0,Taostats_CSV!F16&amp;" "&amp;Taostats_CSV!J16,IF(I16="Cost","Extrinsic fee","")),"_"," ")</f>
        <v/>
      </c>
      <c r="K16" t="str">
        <f>TRIM(IF(LEN(Taostats_CSV!I16)&gt;0,Taostats_CSV!I16,""))</f>
        <v/>
      </c>
      <c r="L16" t="str">
        <f>IF(Taostats_CSV!E16&lt;&gt;"TAO",IF(LEN(F16)&gt;0,F16,IF(LEN(D16)&gt;0,D16,0))*Taostats_CSV!P16,"")</f>
        <v/>
      </c>
      <c r="M16" t="str">
        <f t="shared" si="3"/>
        <v/>
      </c>
      <c r="N16">
        <f>COUNTIF(Taostats_CSV!$X:$X,Taostats_CSV!$I16&amp;N$1)</f>
        <v>0</v>
      </c>
      <c r="O16">
        <f>COUNTIF(Taostats_CSV!$X:$X,Taostats_CSV!$I16&amp;O$1)</f>
        <v>0</v>
      </c>
      <c r="P16">
        <f>COUNTIF(Taostats_CSV!$X:$X,Taostats_CSV!$I16&amp;P$1)</f>
        <v>0</v>
      </c>
      <c r="Q16" t="b">
        <f t="shared" si="4"/>
        <v>0</v>
      </c>
      <c r="R16" t="b">
        <f>IF(LEN(K16)&gt;0,COUNTIF($K$3:K16,K16),FALSE)</f>
        <v>0</v>
      </c>
      <c r="S16" t="b">
        <f>IF(Taostats_CSV!A16=Taostats_CSV!$A$2,TRUE,Taostats_CSV!G16+Taostats_CSV!H16+Taostats_CSV!R16=0)</f>
        <v>0</v>
      </c>
      <c r="T16" t="b">
        <f t="shared" si="5"/>
        <v>1</v>
      </c>
      <c r="U16" t="b" cm="1">
        <f t="array" aca="1" ref="U16" ca="1">AND(T16,OR(O16-N16&gt;1,P16&gt;1,ISERROR(A16:P16)))</f>
        <v>0</v>
      </c>
      <c r="W16" t="e">
        <f>MATCH(K16&amp;$W$2,Taostats_CSV!$X$3:$X$1167,0)</f>
        <v>#N/A</v>
      </c>
      <c r="X16" t="e">
        <f t="shared" ca="1" si="0"/>
        <v>#VALUE!</v>
      </c>
      <c r="Y16">
        <f t="shared" ca="1" si="1"/>
        <v>0.110391721</v>
      </c>
      <c r="Z16" t="e">
        <f t="shared" ca="1" si="2"/>
        <v>#VALUE!</v>
      </c>
      <c r="AB16">
        <f>SUMIF(Taostats_CSV!$E:$E,AA16,Taostats_CSV!G:G)</f>
        <v>0</v>
      </c>
      <c r="AC16">
        <f>SUMIF(Taostats_CSV!$E:$E,AA16,Taostats_CSV!H:H)</f>
        <v>0</v>
      </c>
      <c r="AD16">
        <f>SUMIF(Taostats_CSV!$E:$E,AA16,Taostats_CSV!R:R)</f>
        <v>0</v>
      </c>
      <c r="AE16" s="4">
        <f t="shared" ca="1" si="6"/>
        <v>0</v>
      </c>
      <c r="AF16" s="4">
        <f t="shared" ca="1" si="7"/>
        <v>0</v>
      </c>
      <c r="AG16" s="4">
        <f t="shared" ca="1" si="8"/>
        <v>0</v>
      </c>
      <c r="AH16">
        <f t="shared" ca="1" si="11"/>
        <v>0</v>
      </c>
      <c r="AI16">
        <f t="shared" ca="1" si="12"/>
        <v>0</v>
      </c>
    </row>
    <row r="17" spans="1:35" x14ac:dyDescent="0.4">
      <c r="A17" t="str">
        <f>MID(Taostats_CSV!C17,6,2)&amp;"/"&amp;MID(Taostats_CSV!C17,9,2)&amp;"/"&amp;LEFT(Taostats_CSV!C17,4)&amp;" "&amp;MID(Taostats_CSV!C17,12,8)</f>
        <v>01/14/2025 23:59:48</v>
      </c>
      <c r="C17" t="str">
        <f ca="1">IF(Q17,OFFSET(Taostats_CSV!$E$1,MATCH(K17&amp;D$1,Taostats_CSV!$X:$X,0)-1,0),IF(Taostats_CSV!F17="fee",IF(VALUE(Taostats_CSV!G17)&gt;0,Taostats_CSV!E17,""),""))</f>
        <v/>
      </c>
      <c r="D17" t="str">
        <f ca="1">IF(Q17,OFFSET(Taostats_CSV!$G$1,MATCH(K17&amp;D$1,Taostats_CSV!$X:$X,0)-1,0),IF(Taostats_CSV!F17="fee",IF(VALUE(Taostats_CSV!G17)&gt;0,Taostats_CSV!G17,""),""))</f>
        <v/>
      </c>
      <c r="E17" t="str">
        <f ca="1">IF(AND(Q17,P17&gt;0),OFFSET(Taostats_CSV!$E$1,MATCH(K17&amp;F$1,Taostats_CSV!$X:$X,0)-1,0),IF(LEN(F17)&gt;0,Taostats_CSV!E17,""))</f>
        <v>TAO</v>
      </c>
      <c r="F17" t="str">
        <f ca="1">TRIM(IF(AND(Q17,P17&gt;0),OFFSET(Taostats_CSV!$H$1,MATCH(K17&amp;F$1,Taostats_CSV!$X:$X,0)-1,0),IF(LEN(Taostats_CSV!H17)&gt;0,Taostats_CSV!H17,Taostats_CSV!R17)))</f>
        <v>0.108992796</v>
      </c>
      <c r="G17" t="str">
        <f ca="1">IF(AND(Q17,N17=1),OFFSET(Taostats_CSV!$E$1,MATCH(K17&amp;H$1,Taostats_CSV!$X:$X,0)-1,0),"")</f>
        <v/>
      </c>
      <c r="H17" t="str">
        <f ca="1">IF(AND(Q17,N17=1),OFFSET(Taostats_CSV!$G$1,MATCH(K17&amp;H$1,Taostats_CSV!$X:$X,0)-1,0),"")</f>
        <v/>
      </c>
      <c r="I17" t="str">
        <f ca="1">IF(AND(LEN(K17)=0,LEN(F17)&gt;0),"Income",IF(AND(O17&gt;0,P17&gt;0,C17&lt;&gt;E17),"Trade",IF(AND(NOT(Q17),Taostats_CSV!F17="fee"),'READ ME'!$C$5,"")))</f>
        <v>Income</v>
      </c>
      <c r="J17" t="str">
        <f ca="1">SUBSTITUTE(IF(LEN(I17)=0,Taostats_CSV!F17&amp;" "&amp;Taostats_CSV!J17,IF(I17="Cost","Extrinsic fee","")),"_"," ")</f>
        <v/>
      </c>
      <c r="K17" t="str">
        <f>TRIM(IF(LEN(Taostats_CSV!I17)&gt;0,Taostats_CSV!I17,""))</f>
        <v/>
      </c>
      <c r="L17" t="str">
        <f>IF(Taostats_CSV!E17&lt;&gt;"TAO",IF(LEN(F17)&gt;0,F17,IF(LEN(D17)&gt;0,D17,0))*Taostats_CSV!P17,"")</f>
        <v/>
      </c>
      <c r="M17" t="str">
        <f t="shared" si="3"/>
        <v/>
      </c>
      <c r="N17">
        <f>COUNTIF(Taostats_CSV!$X:$X,Taostats_CSV!$I17&amp;N$1)</f>
        <v>0</v>
      </c>
      <c r="O17">
        <f>COUNTIF(Taostats_CSV!$X:$X,Taostats_CSV!$I17&amp;O$1)</f>
        <v>0</v>
      </c>
      <c r="P17">
        <f>COUNTIF(Taostats_CSV!$X:$X,Taostats_CSV!$I17&amp;P$1)</f>
        <v>0</v>
      </c>
      <c r="Q17" t="b">
        <f t="shared" si="4"/>
        <v>0</v>
      </c>
      <c r="R17" t="b">
        <f>IF(LEN(K17)&gt;0,COUNTIF($K$3:K17,K17),FALSE)</f>
        <v>0</v>
      </c>
      <c r="S17" t="b">
        <f>IF(Taostats_CSV!A17=Taostats_CSV!$A$2,TRUE,Taostats_CSV!G17+Taostats_CSV!H17+Taostats_CSV!R17=0)</f>
        <v>0</v>
      </c>
      <c r="T17" t="b">
        <f t="shared" si="5"/>
        <v>1</v>
      </c>
      <c r="U17" t="b" cm="1">
        <f t="array" aca="1" ref="U17" ca="1">AND(T17,OR(O17-N17&gt;1,P17&gt;1,ISERROR(A17:P17)))</f>
        <v>0</v>
      </c>
      <c r="W17" t="e">
        <f>MATCH(K17&amp;$W$2,Taostats_CSV!$X$3:$X$1167,0)</f>
        <v>#N/A</v>
      </c>
      <c r="X17" t="e">
        <f t="shared" ca="1" si="0"/>
        <v>#VALUE!</v>
      </c>
      <c r="Y17">
        <f t="shared" ca="1" si="1"/>
        <v>0.108992796</v>
      </c>
      <c r="Z17" t="e">
        <f t="shared" ca="1" si="2"/>
        <v>#VALUE!</v>
      </c>
      <c r="AB17">
        <f>SUMIF(Taostats_CSV!$E:$E,AA17,Taostats_CSV!G:G)</f>
        <v>0</v>
      </c>
      <c r="AC17">
        <f>SUMIF(Taostats_CSV!$E:$E,AA17,Taostats_CSV!H:H)</f>
        <v>0</v>
      </c>
      <c r="AD17">
        <f>SUMIF(Taostats_CSV!$E:$E,AA17,Taostats_CSV!R:R)</f>
        <v>0</v>
      </c>
      <c r="AE17" s="4">
        <f t="shared" ca="1" si="6"/>
        <v>0</v>
      </c>
      <c r="AF17" s="4">
        <f t="shared" ca="1" si="7"/>
        <v>0</v>
      </c>
      <c r="AG17" s="4">
        <f t="shared" ca="1" si="8"/>
        <v>0</v>
      </c>
      <c r="AH17">
        <f t="shared" ref="AH17:AH53" ca="1" si="13">AE17+AG17-AB17</f>
        <v>0</v>
      </c>
      <c r="AI17">
        <f t="shared" ref="AI17:AI53" ca="1" si="14">AF17-AD17-AC17</f>
        <v>0</v>
      </c>
    </row>
    <row r="18" spans="1:35" x14ac:dyDescent="0.4">
      <c r="A18" t="str">
        <f>MID(Taostats_CSV!C18,6,2)&amp;"/"&amp;MID(Taostats_CSV!C18,9,2)&amp;"/"&amp;LEFT(Taostats_CSV!C18,4)&amp;" "&amp;MID(Taostats_CSV!C18,12,8)</f>
        <v>01/15/2025 23:59:48</v>
      </c>
      <c r="C18" t="str">
        <f ca="1">IF(Q18,OFFSET(Taostats_CSV!$E$1,MATCH(K18&amp;D$1,Taostats_CSV!$X:$X,0)-1,0),IF(Taostats_CSV!F18="fee",IF(VALUE(Taostats_CSV!G18)&gt;0,Taostats_CSV!E18,""),""))</f>
        <v/>
      </c>
      <c r="D18" t="str">
        <f ca="1">IF(Q18,OFFSET(Taostats_CSV!$G$1,MATCH(K18&amp;D$1,Taostats_CSV!$X:$X,0)-1,0),IF(Taostats_CSV!F18="fee",IF(VALUE(Taostats_CSV!G18)&gt;0,Taostats_CSV!G18,""),""))</f>
        <v/>
      </c>
      <c r="E18" t="str">
        <f ca="1">IF(AND(Q18,P18&gt;0),OFFSET(Taostats_CSV!$E$1,MATCH(K18&amp;F$1,Taostats_CSV!$X:$X,0)-1,0),IF(LEN(F18)&gt;0,Taostats_CSV!E18,""))</f>
        <v>TAO</v>
      </c>
      <c r="F18" t="str">
        <f ca="1">TRIM(IF(AND(Q18,P18&gt;0),OFFSET(Taostats_CSV!$H$1,MATCH(K18&amp;F$1,Taostats_CSV!$X:$X,0)-1,0),IF(LEN(Taostats_CSV!H18)&gt;0,Taostats_CSV!H18,Taostats_CSV!R18)))</f>
        <v>0.108729499</v>
      </c>
      <c r="G18" t="str">
        <f ca="1">IF(AND(Q18,N18=1),OFFSET(Taostats_CSV!$E$1,MATCH(K18&amp;H$1,Taostats_CSV!$X:$X,0)-1,0),"")</f>
        <v/>
      </c>
      <c r="H18" t="str">
        <f ca="1">IF(AND(Q18,N18=1),OFFSET(Taostats_CSV!$G$1,MATCH(K18&amp;H$1,Taostats_CSV!$X:$X,0)-1,0),"")</f>
        <v/>
      </c>
      <c r="I18" t="str">
        <f ca="1">IF(AND(LEN(K18)=0,LEN(F18)&gt;0),"Income",IF(AND(O18&gt;0,P18&gt;0,C18&lt;&gt;E18),"Trade",IF(AND(NOT(Q18),Taostats_CSV!F18="fee"),'READ ME'!$C$5,"")))</f>
        <v>Income</v>
      </c>
      <c r="J18" t="str">
        <f ca="1">SUBSTITUTE(IF(LEN(I18)=0,Taostats_CSV!F18&amp;" "&amp;Taostats_CSV!J18,IF(I18="Cost","Extrinsic fee","")),"_"," ")</f>
        <v/>
      </c>
      <c r="K18" t="str">
        <f>TRIM(IF(LEN(Taostats_CSV!I18)&gt;0,Taostats_CSV!I18,""))</f>
        <v/>
      </c>
      <c r="L18" t="str">
        <f>IF(Taostats_CSV!E18&lt;&gt;"TAO",IF(LEN(F18)&gt;0,F18,IF(LEN(D18)&gt;0,D18,0))*Taostats_CSV!P18,"")</f>
        <v/>
      </c>
      <c r="M18" t="str">
        <f t="shared" si="3"/>
        <v/>
      </c>
      <c r="N18">
        <f>COUNTIF(Taostats_CSV!$X:$X,Taostats_CSV!$I18&amp;N$1)</f>
        <v>0</v>
      </c>
      <c r="O18">
        <f>COUNTIF(Taostats_CSV!$X:$X,Taostats_CSV!$I18&amp;O$1)</f>
        <v>0</v>
      </c>
      <c r="P18">
        <f>COUNTIF(Taostats_CSV!$X:$X,Taostats_CSV!$I18&amp;P$1)</f>
        <v>0</v>
      </c>
      <c r="Q18" t="b">
        <f t="shared" si="4"/>
        <v>0</v>
      </c>
      <c r="R18" t="b">
        <f>IF(LEN(K18)&gt;0,COUNTIF($K$3:K18,K18),FALSE)</f>
        <v>0</v>
      </c>
      <c r="S18" t="b">
        <f>IF(Taostats_CSV!A18=Taostats_CSV!$A$2,TRUE,Taostats_CSV!G18+Taostats_CSV!H18+Taostats_CSV!R18=0)</f>
        <v>0</v>
      </c>
      <c r="T18" t="b">
        <f t="shared" si="5"/>
        <v>1</v>
      </c>
      <c r="U18" t="b" cm="1">
        <f t="array" aca="1" ref="U18" ca="1">AND(T18,OR(O18-N18&gt;1,P18&gt;1,ISERROR(A18:P18)))</f>
        <v>0</v>
      </c>
      <c r="W18" t="e">
        <f>MATCH(K18&amp;$W$2,Taostats_CSV!$X$3:$X$1167,0)</f>
        <v>#N/A</v>
      </c>
      <c r="X18" t="e">
        <f t="shared" ca="1" si="0"/>
        <v>#VALUE!</v>
      </c>
      <c r="Y18">
        <f t="shared" ca="1" si="1"/>
        <v>0.10872949899999999</v>
      </c>
      <c r="Z18" t="e">
        <f t="shared" ca="1" si="2"/>
        <v>#VALUE!</v>
      </c>
      <c r="AB18">
        <f>SUMIF(Taostats_CSV!$E:$E,AA18,Taostats_CSV!G:G)</f>
        <v>0</v>
      </c>
      <c r="AC18">
        <f>SUMIF(Taostats_CSV!$E:$E,AA18,Taostats_CSV!H:H)</f>
        <v>0</v>
      </c>
      <c r="AD18">
        <f>SUMIF(Taostats_CSV!$E:$E,AA18,Taostats_CSV!R:R)</f>
        <v>0</v>
      </c>
      <c r="AE18" s="4">
        <f t="shared" ca="1" si="6"/>
        <v>0</v>
      </c>
      <c r="AF18" s="4">
        <f t="shared" ca="1" si="7"/>
        <v>0</v>
      </c>
      <c r="AG18" s="4">
        <f t="shared" ca="1" si="8"/>
        <v>0</v>
      </c>
      <c r="AH18">
        <f t="shared" ca="1" si="13"/>
        <v>0</v>
      </c>
      <c r="AI18">
        <f t="shared" ca="1" si="14"/>
        <v>0</v>
      </c>
    </row>
    <row r="19" spans="1:35" x14ac:dyDescent="0.4">
      <c r="A19" t="str">
        <f>MID(Taostats_CSV!C19,6,2)&amp;"/"&amp;MID(Taostats_CSV!C19,9,2)&amp;"/"&amp;LEFT(Taostats_CSV!C19,4)&amp;" "&amp;MID(Taostats_CSV!C19,12,8)</f>
        <v>01/16/2025 23:59:48</v>
      </c>
      <c r="C19" t="str">
        <f ca="1">IF(Q19,OFFSET(Taostats_CSV!$E$1,MATCH(K19&amp;D$1,Taostats_CSV!$X:$X,0)-1,0),IF(Taostats_CSV!F19="fee",IF(VALUE(Taostats_CSV!G19)&gt;0,Taostats_CSV!E19,""),""))</f>
        <v/>
      </c>
      <c r="D19" t="str">
        <f ca="1">IF(Q19,OFFSET(Taostats_CSV!$G$1,MATCH(K19&amp;D$1,Taostats_CSV!$X:$X,0)-1,0),IF(Taostats_CSV!F19="fee",IF(VALUE(Taostats_CSV!G19)&gt;0,Taostats_CSV!G19,""),""))</f>
        <v/>
      </c>
      <c r="E19" t="str">
        <f ca="1">IF(AND(Q19,P19&gt;0),OFFSET(Taostats_CSV!$E$1,MATCH(K19&amp;F$1,Taostats_CSV!$X:$X,0)-1,0),IF(LEN(F19)&gt;0,Taostats_CSV!E19,""))</f>
        <v>TAO</v>
      </c>
      <c r="F19" t="str">
        <f ca="1">TRIM(IF(AND(Q19,P19&gt;0),OFFSET(Taostats_CSV!$H$1,MATCH(K19&amp;F$1,Taostats_CSV!$X:$X,0)-1,0),IF(LEN(Taostats_CSV!H19)&gt;0,Taostats_CSV!H19,Taostats_CSV!R19)))</f>
        <v>0.108907057</v>
      </c>
      <c r="G19" t="str">
        <f ca="1">IF(AND(Q19,N19=1),OFFSET(Taostats_CSV!$E$1,MATCH(K19&amp;H$1,Taostats_CSV!$X:$X,0)-1,0),"")</f>
        <v/>
      </c>
      <c r="H19" t="str">
        <f ca="1">IF(AND(Q19,N19=1),OFFSET(Taostats_CSV!$G$1,MATCH(K19&amp;H$1,Taostats_CSV!$X:$X,0)-1,0),"")</f>
        <v/>
      </c>
      <c r="I19" t="str">
        <f ca="1">IF(AND(LEN(K19)=0,LEN(F19)&gt;0),"Income",IF(AND(O19&gt;0,P19&gt;0,C19&lt;&gt;E19),"Trade",IF(AND(NOT(Q19),Taostats_CSV!F19="fee"),'READ ME'!$C$5,"")))</f>
        <v>Income</v>
      </c>
      <c r="J19" t="str">
        <f ca="1">SUBSTITUTE(IF(LEN(I19)=0,Taostats_CSV!F19&amp;" "&amp;Taostats_CSV!J19,IF(I19="Cost","Extrinsic fee","")),"_"," ")</f>
        <v/>
      </c>
      <c r="K19" t="str">
        <f>TRIM(IF(LEN(Taostats_CSV!I19)&gt;0,Taostats_CSV!I19,""))</f>
        <v/>
      </c>
      <c r="L19" t="str">
        <f>IF(Taostats_CSV!E19&lt;&gt;"TAO",IF(LEN(F19)&gt;0,F19,IF(LEN(D19)&gt;0,D19,0))*Taostats_CSV!P19,"")</f>
        <v/>
      </c>
      <c r="M19" t="str">
        <f t="shared" si="3"/>
        <v/>
      </c>
      <c r="N19">
        <f>COUNTIF(Taostats_CSV!$X:$X,Taostats_CSV!$I19&amp;N$1)</f>
        <v>0</v>
      </c>
      <c r="O19">
        <f>COUNTIF(Taostats_CSV!$X:$X,Taostats_CSV!$I19&amp;O$1)</f>
        <v>0</v>
      </c>
      <c r="P19">
        <f>COUNTIF(Taostats_CSV!$X:$X,Taostats_CSV!$I19&amp;P$1)</f>
        <v>0</v>
      </c>
      <c r="Q19" t="b">
        <f t="shared" si="4"/>
        <v>0</v>
      </c>
      <c r="R19" t="b">
        <f>IF(LEN(K19)&gt;0,COUNTIF($K$3:K19,K19),FALSE)</f>
        <v>0</v>
      </c>
      <c r="S19" t="b">
        <f>IF(Taostats_CSV!A19=Taostats_CSV!$A$2,TRUE,Taostats_CSV!G19+Taostats_CSV!H19+Taostats_CSV!R19=0)</f>
        <v>0</v>
      </c>
      <c r="T19" t="b">
        <f t="shared" si="5"/>
        <v>1</v>
      </c>
      <c r="U19" t="b" cm="1">
        <f t="array" aca="1" ref="U19" ca="1">AND(T19,OR(O19-N19&gt;1,P19&gt;1,ISERROR(A19:P19)))</f>
        <v>0</v>
      </c>
      <c r="W19" t="e">
        <f>MATCH(K19&amp;$W$2,Taostats_CSV!$X$3:$X$1167,0)</f>
        <v>#N/A</v>
      </c>
      <c r="X19" t="e">
        <f t="shared" ca="1" si="0"/>
        <v>#VALUE!</v>
      </c>
      <c r="Y19">
        <f t="shared" ca="1" si="1"/>
        <v>0.108907057</v>
      </c>
      <c r="Z19" t="e">
        <f t="shared" ca="1" si="2"/>
        <v>#VALUE!</v>
      </c>
      <c r="AB19">
        <f>SUMIF(Taostats_CSV!$E:$E,AA19,Taostats_CSV!G:G)</f>
        <v>0</v>
      </c>
      <c r="AC19">
        <f>SUMIF(Taostats_CSV!$E:$E,AA19,Taostats_CSV!H:H)</f>
        <v>0</v>
      </c>
      <c r="AD19">
        <f>SUMIF(Taostats_CSV!$E:$E,AA19,Taostats_CSV!R:R)</f>
        <v>0</v>
      </c>
      <c r="AE19" s="4">
        <f t="shared" ca="1" si="6"/>
        <v>0</v>
      </c>
      <c r="AF19" s="4">
        <f t="shared" ca="1" si="7"/>
        <v>0</v>
      </c>
      <c r="AG19" s="4">
        <f t="shared" ca="1" si="8"/>
        <v>0</v>
      </c>
      <c r="AH19">
        <f t="shared" ca="1" si="13"/>
        <v>0</v>
      </c>
      <c r="AI19">
        <f t="shared" ca="1" si="14"/>
        <v>0</v>
      </c>
    </row>
    <row r="20" spans="1:35" x14ac:dyDescent="0.4">
      <c r="A20" t="str">
        <f>MID(Taostats_CSV!C20,6,2)&amp;"/"&amp;MID(Taostats_CSV!C20,9,2)&amp;"/"&amp;LEFT(Taostats_CSV!C20,4)&amp;" "&amp;MID(Taostats_CSV!C20,12,8)</f>
        <v>01/17/2025 23:59:48</v>
      </c>
      <c r="C20" t="str">
        <f ca="1">IF(Q20,OFFSET(Taostats_CSV!$E$1,MATCH(K20&amp;D$1,Taostats_CSV!$X:$X,0)-1,0),IF(Taostats_CSV!F20="fee",IF(VALUE(Taostats_CSV!G20)&gt;0,Taostats_CSV!E20,""),""))</f>
        <v/>
      </c>
      <c r="D20" t="str">
        <f ca="1">IF(Q20,OFFSET(Taostats_CSV!$G$1,MATCH(K20&amp;D$1,Taostats_CSV!$X:$X,0)-1,0),IF(Taostats_CSV!F20="fee",IF(VALUE(Taostats_CSV!G20)&gt;0,Taostats_CSV!G20,""),""))</f>
        <v/>
      </c>
      <c r="E20" t="str">
        <f ca="1">IF(AND(Q20,P20&gt;0),OFFSET(Taostats_CSV!$E$1,MATCH(K20&amp;F$1,Taostats_CSV!$X:$X,0)-1,0),IF(LEN(F20)&gt;0,Taostats_CSV!E20,""))</f>
        <v>TAO</v>
      </c>
      <c r="F20" t="str">
        <f ca="1">TRIM(IF(AND(Q20,P20&gt;0),OFFSET(Taostats_CSV!$H$1,MATCH(K20&amp;F$1,Taostats_CSV!$X:$X,0)-1,0),IF(LEN(Taostats_CSV!H20)&gt;0,Taostats_CSV!H20,Taostats_CSV!R20)))</f>
        <v>0.11169907</v>
      </c>
      <c r="G20" t="str">
        <f ca="1">IF(AND(Q20,N20=1),OFFSET(Taostats_CSV!$E$1,MATCH(K20&amp;H$1,Taostats_CSV!$X:$X,0)-1,0),"")</f>
        <v/>
      </c>
      <c r="H20" t="str">
        <f ca="1">IF(AND(Q20,N20=1),OFFSET(Taostats_CSV!$G$1,MATCH(K20&amp;H$1,Taostats_CSV!$X:$X,0)-1,0),"")</f>
        <v/>
      </c>
      <c r="I20" t="str">
        <f ca="1">IF(AND(LEN(K20)=0,LEN(F20)&gt;0),"Income",IF(AND(O20&gt;0,P20&gt;0,C20&lt;&gt;E20),"Trade",IF(AND(NOT(Q20),Taostats_CSV!F20="fee"),'READ ME'!$C$5,"")))</f>
        <v>Income</v>
      </c>
      <c r="J20" t="str">
        <f ca="1">SUBSTITUTE(IF(LEN(I20)=0,Taostats_CSV!F20&amp;" "&amp;Taostats_CSV!J20,IF(I20="Cost","Extrinsic fee","")),"_"," ")</f>
        <v/>
      </c>
      <c r="K20" t="str">
        <f>TRIM(IF(LEN(Taostats_CSV!I20)&gt;0,Taostats_CSV!I20,""))</f>
        <v/>
      </c>
      <c r="L20" t="str">
        <f>IF(Taostats_CSV!E20&lt;&gt;"TAO",IF(LEN(F20)&gt;0,F20,IF(LEN(D20)&gt;0,D20,0))*Taostats_CSV!P20,"")</f>
        <v/>
      </c>
      <c r="M20" t="str">
        <f t="shared" si="3"/>
        <v/>
      </c>
      <c r="N20">
        <f>COUNTIF(Taostats_CSV!$X:$X,Taostats_CSV!$I20&amp;N$1)</f>
        <v>0</v>
      </c>
      <c r="O20">
        <f>COUNTIF(Taostats_CSV!$X:$X,Taostats_CSV!$I20&amp;O$1)</f>
        <v>0</v>
      </c>
      <c r="P20">
        <f>COUNTIF(Taostats_CSV!$X:$X,Taostats_CSV!$I20&amp;P$1)</f>
        <v>0</v>
      </c>
      <c r="Q20" t="b">
        <f t="shared" si="4"/>
        <v>0</v>
      </c>
      <c r="R20" t="b">
        <f>IF(LEN(K20)&gt;0,COUNTIF($K$3:K20,K20),FALSE)</f>
        <v>0</v>
      </c>
      <c r="S20" t="b">
        <f>IF(Taostats_CSV!A20=Taostats_CSV!$A$2,TRUE,Taostats_CSV!G20+Taostats_CSV!H20+Taostats_CSV!R20=0)</f>
        <v>0</v>
      </c>
      <c r="T20" t="b">
        <f t="shared" si="5"/>
        <v>1</v>
      </c>
      <c r="U20" t="b" cm="1">
        <f t="array" aca="1" ref="U20" ca="1">AND(T20,OR(O20-N20&gt;1,P20&gt;1,ISERROR(A20:P20)))</f>
        <v>0</v>
      </c>
      <c r="W20" t="e">
        <f>MATCH(K20&amp;$W$2,Taostats_CSV!$X$3:$X$1167,0)</f>
        <v>#N/A</v>
      </c>
      <c r="X20" t="e">
        <f t="shared" ca="1" si="0"/>
        <v>#VALUE!</v>
      </c>
      <c r="Y20">
        <f t="shared" ca="1" si="1"/>
        <v>0.11169907</v>
      </c>
      <c r="Z20" t="e">
        <f t="shared" ca="1" si="2"/>
        <v>#VALUE!</v>
      </c>
      <c r="AB20">
        <f>SUMIF(Taostats_CSV!$E:$E,AA20,Taostats_CSV!G:G)</f>
        <v>0</v>
      </c>
      <c r="AC20">
        <f>SUMIF(Taostats_CSV!$E:$E,AA20,Taostats_CSV!H:H)</f>
        <v>0</v>
      </c>
      <c r="AD20">
        <f>SUMIF(Taostats_CSV!$E:$E,AA20,Taostats_CSV!R:R)</f>
        <v>0</v>
      </c>
      <c r="AE20" s="4">
        <f t="shared" ca="1" si="6"/>
        <v>0</v>
      </c>
      <c r="AF20" s="4">
        <f t="shared" ca="1" si="7"/>
        <v>0</v>
      </c>
      <c r="AG20" s="4">
        <f t="shared" ca="1" si="8"/>
        <v>0</v>
      </c>
      <c r="AH20">
        <f t="shared" ca="1" si="13"/>
        <v>0</v>
      </c>
      <c r="AI20">
        <f t="shared" ca="1" si="14"/>
        <v>0</v>
      </c>
    </row>
    <row r="21" spans="1:35" x14ac:dyDescent="0.4">
      <c r="A21" t="str">
        <f>MID(Taostats_CSV!C21,6,2)&amp;"/"&amp;MID(Taostats_CSV!C21,9,2)&amp;"/"&amp;LEFT(Taostats_CSV!C21,4)&amp;" "&amp;MID(Taostats_CSV!C21,12,8)</f>
        <v>01/18/2025 23:59:48</v>
      </c>
      <c r="C21" t="str">
        <f ca="1">IF(Q21,OFFSET(Taostats_CSV!$E$1,MATCH(K21&amp;D$1,Taostats_CSV!$X:$X,0)-1,0),IF(Taostats_CSV!F21="fee",IF(VALUE(Taostats_CSV!G21)&gt;0,Taostats_CSV!E21,""),""))</f>
        <v/>
      </c>
      <c r="D21" t="str">
        <f ca="1">IF(Q21,OFFSET(Taostats_CSV!$G$1,MATCH(K21&amp;D$1,Taostats_CSV!$X:$X,0)-1,0),IF(Taostats_CSV!F21="fee",IF(VALUE(Taostats_CSV!G21)&gt;0,Taostats_CSV!G21,""),""))</f>
        <v/>
      </c>
      <c r="E21" t="str">
        <f ca="1">IF(AND(Q21,P21&gt;0),OFFSET(Taostats_CSV!$E$1,MATCH(K21&amp;F$1,Taostats_CSV!$X:$X,0)-1,0),IF(LEN(F21)&gt;0,Taostats_CSV!E21,""))</f>
        <v>TAO</v>
      </c>
      <c r="F21" t="str">
        <f ca="1">TRIM(IF(AND(Q21,P21&gt;0),OFFSET(Taostats_CSV!$H$1,MATCH(K21&amp;F$1,Taostats_CSV!$X:$X,0)-1,0),IF(LEN(Taostats_CSV!H21)&gt;0,Taostats_CSV!H21,Taostats_CSV!R21)))</f>
        <v>0.115134308</v>
      </c>
      <c r="G21" t="str">
        <f ca="1">IF(AND(Q21,N21=1),OFFSET(Taostats_CSV!$E$1,MATCH(K21&amp;H$1,Taostats_CSV!$X:$X,0)-1,0),"")</f>
        <v/>
      </c>
      <c r="H21" t="str">
        <f ca="1">IF(AND(Q21,N21=1),OFFSET(Taostats_CSV!$G$1,MATCH(K21&amp;H$1,Taostats_CSV!$X:$X,0)-1,0),"")</f>
        <v/>
      </c>
      <c r="I21" t="str">
        <f ca="1">IF(AND(LEN(K21)=0,LEN(F21)&gt;0),"Income",IF(AND(O21&gt;0,P21&gt;0,C21&lt;&gt;E21),"Trade",IF(AND(NOT(Q21),Taostats_CSV!F21="fee"),'READ ME'!$C$5,"")))</f>
        <v>Income</v>
      </c>
      <c r="J21" t="str">
        <f ca="1">SUBSTITUTE(IF(LEN(I21)=0,Taostats_CSV!F21&amp;" "&amp;Taostats_CSV!J21,IF(I21="Cost","Extrinsic fee","")),"_"," ")</f>
        <v/>
      </c>
      <c r="K21" t="str">
        <f>TRIM(IF(LEN(Taostats_CSV!I21)&gt;0,Taostats_CSV!I21,""))</f>
        <v/>
      </c>
      <c r="L21" t="str">
        <f>IF(Taostats_CSV!E21&lt;&gt;"TAO",IF(LEN(F21)&gt;0,F21,IF(LEN(D21)&gt;0,D21,0))*Taostats_CSV!P21,"")</f>
        <v/>
      </c>
      <c r="M21" t="str">
        <f t="shared" si="3"/>
        <v/>
      </c>
      <c r="N21">
        <f>COUNTIF(Taostats_CSV!$X:$X,Taostats_CSV!$I21&amp;N$1)</f>
        <v>0</v>
      </c>
      <c r="O21">
        <f>COUNTIF(Taostats_CSV!$X:$X,Taostats_CSV!$I21&amp;O$1)</f>
        <v>0</v>
      </c>
      <c r="P21">
        <f>COUNTIF(Taostats_CSV!$X:$X,Taostats_CSV!$I21&amp;P$1)</f>
        <v>0</v>
      </c>
      <c r="Q21" t="b">
        <f t="shared" si="4"/>
        <v>0</v>
      </c>
      <c r="R21" t="b">
        <f>IF(LEN(K21)&gt;0,COUNTIF($K$3:K21,K21),FALSE)</f>
        <v>0</v>
      </c>
      <c r="S21" t="b">
        <f>IF(Taostats_CSV!A21=Taostats_CSV!$A$2,TRUE,Taostats_CSV!G21+Taostats_CSV!H21+Taostats_CSV!R21=0)</f>
        <v>0</v>
      </c>
      <c r="T21" t="b">
        <f t="shared" si="5"/>
        <v>1</v>
      </c>
      <c r="U21" t="b" cm="1">
        <f t="array" aca="1" ref="U21" ca="1">AND(T21,OR(O21-N21&gt;1,P21&gt;1,ISERROR(A21:P21)))</f>
        <v>0</v>
      </c>
      <c r="W21" t="e">
        <f>MATCH(K21&amp;$W$2,Taostats_CSV!$X$3:$X$1167,0)</f>
        <v>#N/A</v>
      </c>
      <c r="X21" t="e">
        <f t="shared" ca="1" si="0"/>
        <v>#VALUE!</v>
      </c>
      <c r="Y21">
        <f t="shared" ca="1" si="1"/>
        <v>0.115134308</v>
      </c>
      <c r="Z21" t="e">
        <f t="shared" ca="1" si="2"/>
        <v>#VALUE!</v>
      </c>
      <c r="AB21">
        <f>SUMIF(Taostats_CSV!$E:$E,AA21,Taostats_CSV!G:G)</f>
        <v>0</v>
      </c>
      <c r="AC21">
        <f>SUMIF(Taostats_CSV!$E:$E,AA21,Taostats_CSV!H:H)</f>
        <v>0</v>
      </c>
      <c r="AD21">
        <f>SUMIF(Taostats_CSV!$E:$E,AA21,Taostats_CSV!R:R)</f>
        <v>0</v>
      </c>
      <c r="AE21" s="4">
        <f t="shared" ca="1" si="6"/>
        <v>0</v>
      </c>
      <c r="AF21" s="4">
        <f t="shared" ca="1" si="7"/>
        <v>0</v>
      </c>
      <c r="AG21" s="4">
        <f t="shared" ca="1" si="8"/>
        <v>0</v>
      </c>
      <c r="AH21">
        <f t="shared" ca="1" si="13"/>
        <v>0</v>
      </c>
      <c r="AI21">
        <f t="shared" ca="1" si="14"/>
        <v>0</v>
      </c>
    </row>
    <row r="22" spans="1:35" x14ac:dyDescent="0.4">
      <c r="A22" t="str">
        <f>MID(Taostats_CSV!C22,6,2)&amp;"/"&amp;MID(Taostats_CSV!C22,9,2)&amp;"/"&amp;LEFT(Taostats_CSV!C22,4)&amp;" "&amp;MID(Taostats_CSV!C22,12,8)</f>
        <v>01/19/2025 23:59:48</v>
      </c>
      <c r="C22" t="str">
        <f ca="1">IF(Q22,OFFSET(Taostats_CSV!$E$1,MATCH(K22&amp;D$1,Taostats_CSV!$X:$X,0)-1,0),IF(Taostats_CSV!F22="fee",IF(VALUE(Taostats_CSV!G22)&gt;0,Taostats_CSV!E22,""),""))</f>
        <v/>
      </c>
      <c r="D22" t="str">
        <f ca="1">IF(Q22,OFFSET(Taostats_CSV!$G$1,MATCH(K22&amp;D$1,Taostats_CSV!$X:$X,0)-1,0),IF(Taostats_CSV!F22="fee",IF(VALUE(Taostats_CSV!G22)&gt;0,Taostats_CSV!G22,""),""))</f>
        <v/>
      </c>
      <c r="E22" t="str">
        <f ca="1">IF(AND(Q22,P22&gt;0),OFFSET(Taostats_CSV!$E$1,MATCH(K22&amp;F$1,Taostats_CSV!$X:$X,0)-1,0),IF(LEN(F22)&gt;0,Taostats_CSV!E22,""))</f>
        <v>TAO</v>
      </c>
      <c r="F22" t="str">
        <f ca="1">TRIM(IF(AND(Q22,P22&gt;0),OFFSET(Taostats_CSV!$H$1,MATCH(K22&amp;F$1,Taostats_CSV!$X:$X,0)-1,0),IF(LEN(Taostats_CSV!H22)&gt;0,Taostats_CSV!H22,Taostats_CSV!R22)))</f>
        <v>0.114470059</v>
      </c>
      <c r="G22" t="str">
        <f ca="1">IF(AND(Q22,N22=1),OFFSET(Taostats_CSV!$E$1,MATCH(K22&amp;H$1,Taostats_CSV!$X:$X,0)-1,0),"")</f>
        <v/>
      </c>
      <c r="H22" t="str">
        <f ca="1">IF(AND(Q22,N22=1),OFFSET(Taostats_CSV!$G$1,MATCH(K22&amp;H$1,Taostats_CSV!$X:$X,0)-1,0),"")</f>
        <v/>
      </c>
      <c r="I22" t="str">
        <f ca="1">IF(AND(LEN(K22)=0,LEN(F22)&gt;0),"Income",IF(AND(O22&gt;0,P22&gt;0,C22&lt;&gt;E22),"Trade",IF(AND(NOT(Q22),Taostats_CSV!F22="fee"),'READ ME'!$C$5,"")))</f>
        <v>Income</v>
      </c>
      <c r="J22" t="str">
        <f ca="1">SUBSTITUTE(IF(LEN(I22)=0,Taostats_CSV!F22&amp;" "&amp;Taostats_CSV!J22,IF(I22="Cost","Extrinsic fee","")),"_"," ")</f>
        <v/>
      </c>
      <c r="K22" t="str">
        <f>TRIM(IF(LEN(Taostats_CSV!I22)&gt;0,Taostats_CSV!I22,""))</f>
        <v/>
      </c>
      <c r="L22" t="str">
        <f>IF(Taostats_CSV!E22&lt;&gt;"TAO",IF(LEN(F22)&gt;0,F22,IF(LEN(D22)&gt;0,D22,0))*Taostats_CSV!P22,"")</f>
        <v/>
      </c>
      <c r="M22" t="str">
        <f t="shared" si="3"/>
        <v/>
      </c>
      <c r="N22">
        <f>COUNTIF(Taostats_CSV!$X:$X,Taostats_CSV!$I22&amp;N$1)</f>
        <v>0</v>
      </c>
      <c r="O22">
        <f>COUNTIF(Taostats_CSV!$X:$X,Taostats_CSV!$I22&amp;O$1)</f>
        <v>0</v>
      </c>
      <c r="P22">
        <f>COUNTIF(Taostats_CSV!$X:$X,Taostats_CSV!$I22&amp;P$1)</f>
        <v>0</v>
      </c>
      <c r="Q22" t="b">
        <f t="shared" si="4"/>
        <v>0</v>
      </c>
      <c r="R22" t="b">
        <f>IF(LEN(K22)&gt;0,COUNTIF($K$3:K22,K22),FALSE)</f>
        <v>0</v>
      </c>
      <c r="S22" t="b">
        <f>IF(Taostats_CSV!A22=Taostats_CSV!$A$2,TRUE,Taostats_CSV!G22+Taostats_CSV!H22+Taostats_CSV!R22=0)</f>
        <v>0</v>
      </c>
      <c r="T22" t="b">
        <f t="shared" si="5"/>
        <v>1</v>
      </c>
      <c r="U22" t="b" cm="1">
        <f t="array" aca="1" ref="U22" ca="1">AND(T22,OR(O22-N22&gt;1,P22&gt;1,ISERROR(A22:P22)))</f>
        <v>0</v>
      </c>
      <c r="W22" t="e">
        <f>MATCH(K22&amp;$W$2,Taostats_CSV!$X$3:$X$1167,0)</f>
        <v>#N/A</v>
      </c>
      <c r="X22" t="e">
        <f t="shared" ca="1" si="0"/>
        <v>#VALUE!</v>
      </c>
      <c r="Y22">
        <f t="shared" ca="1" si="1"/>
        <v>0.114470059</v>
      </c>
      <c r="Z22" t="e">
        <f t="shared" ca="1" si="2"/>
        <v>#VALUE!</v>
      </c>
      <c r="AB22">
        <f>SUMIF(Taostats_CSV!$E:$E,AA22,Taostats_CSV!G:G)</f>
        <v>0</v>
      </c>
      <c r="AC22">
        <f>SUMIF(Taostats_CSV!$E:$E,AA22,Taostats_CSV!H:H)</f>
        <v>0</v>
      </c>
      <c r="AD22">
        <f>SUMIF(Taostats_CSV!$E:$E,AA22,Taostats_CSV!R:R)</f>
        <v>0</v>
      </c>
      <c r="AE22" s="4">
        <f t="shared" ca="1" si="6"/>
        <v>0</v>
      </c>
      <c r="AF22" s="4">
        <f t="shared" ca="1" si="7"/>
        <v>0</v>
      </c>
      <c r="AG22" s="4">
        <f t="shared" ca="1" si="8"/>
        <v>0</v>
      </c>
      <c r="AH22">
        <f t="shared" ca="1" si="13"/>
        <v>0</v>
      </c>
      <c r="AI22">
        <f t="shared" ca="1" si="14"/>
        <v>0</v>
      </c>
    </row>
    <row r="23" spans="1:35" x14ac:dyDescent="0.4">
      <c r="A23" t="str">
        <f>MID(Taostats_CSV!C23,6,2)&amp;"/"&amp;MID(Taostats_CSV!C23,9,2)&amp;"/"&amp;LEFT(Taostats_CSV!C23,4)&amp;" "&amp;MID(Taostats_CSV!C23,12,8)</f>
        <v>01/20/2025 23:59:48</v>
      </c>
      <c r="C23" t="str">
        <f ca="1">IF(Q23,OFFSET(Taostats_CSV!$E$1,MATCH(K23&amp;D$1,Taostats_CSV!$X:$X,0)-1,0),IF(Taostats_CSV!F23="fee",IF(VALUE(Taostats_CSV!G23)&gt;0,Taostats_CSV!E23,""),""))</f>
        <v/>
      </c>
      <c r="D23" t="str">
        <f ca="1">IF(Q23,OFFSET(Taostats_CSV!$G$1,MATCH(K23&amp;D$1,Taostats_CSV!$X:$X,0)-1,0),IF(Taostats_CSV!F23="fee",IF(VALUE(Taostats_CSV!G23)&gt;0,Taostats_CSV!G23,""),""))</f>
        <v/>
      </c>
      <c r="E23" t="str">
        <f ca="1">IF(AND(Q23,P23&gt;0),OFFSET(Taostats_CSV!$E$1,MATCH(K23&amp;F$1,Taostats_CSV!$X:$X,0)-1,0),IF(LEN(F23)&gt;0,Taostats_CSV!E23,""))</f>
        <v>TAO</v>
      </c>
      <c r="F23" t="str">
        <f ca="1">TRIM(IF(AND(Q23,P23&gt;0),OFFSET(Taostats_CSV!$H$1,MATCH(K23&amp;F$1,Taostats_CSV!$X:$X,0)-1,0),IF(LEN(Taostats_CSV!H23)&gt;0,Taostats_CSV!H23,Taostats_CSV!R23)))</f>
        <v>0.118359836</v>
      </c>
      <c r="G23" t="str">
        <f ca="1">IF(AND(Q23,N23=1),OFFSET(Taostats_CSV!$E$1,MATCH(K23&amp;H$1,Taostats_CSV!$X:$X,0)-1,0),"")</f>
        <v/>
      </c>
      <c r="H23" t="str">
        <f ca="1">IF(AND(Q23,N23=1),OFFSET(Taostats_CSV!$G$1,MATCH(K23&amp;H$1,Taostats_CSV!$X:$X,0)-1,0),"")</f>
        <v/>
      </c>
      <c r="I23" t="str">
        <f ca="1">IF(AND(LEN(K23)=0,LEN(F23)&gt;0),"Income",IF(AND(O23&gt;0,P23&gt;0,C23&lt;&gt;E23),"Trade",IF(AND(NOT(Q23),Taostats_CSV!F23="fee"),'READ ME'!$C$5,"")))</f>
        <v>Income</v>
      </c>
      <c r="J23" t="str">
        <f ca="1">SUBSTITUTE(IF(LEN(I23)=0,Taostats_CSV!F23&amp;" "&amp;Taostats_CSV!J23,IF(I23="Cost","Extrinsic fee","")),"_"," ")</f>
        <v/>
      </c>
      <c r="K23" t="str">
        <f>TRIM(IF(LEN(Taostats_CSV!I23)&gt;0,Taostats_CSV!I23,""))</f>
        <v/>
      </c>
      <c r="L23" t="str">
        <f>IF(Taostats_CSV!E23&lt;&gt;"TAO",IF(LEN(F23)&gt;0,F23,IF(LEN(D23)&gt;0,D23,0))*Taostats_CSV!P23,"")</f>
        <v/>
      </c>
      <c r="M23" t="str">
        <f t="shared" si="3"/>
        <v/>
      </c>
      <c r="N23">
        <f>COUNTIF(Taostats_CSV!$X:$X,Taostats_CSV!$I23&amp;N$1)</f>
        <v>0</v>
      </c>
      <c r="O23">
        <f>COUNTIF(Taostats_CSV!$X:$X,Taostats_CSV!$I23&amp;O$1)</f>
        <v>0</v>
      </c>
      <c r="P23">
        <f>COUNTIF(Taostats_CSV!$X:$X,Taostats_CSV!$I23&amp;P$1)</f>
        <v>0</v>
      </c>
      <c r="Q23" t="b">
        <f t="shared" si="4"/>
        <v>0</v>
      </c>
      <c r="R23" t="b">
        <f>IF(LEN(K23)&gt;0,COUNTIF($K$3:K23,K23),FALSE)</f>
        <v>0</v>
      </c>
      <c r="S23" t="b">
        <f>IF(Taostats_CSV!A23=Taostats_CSV!$A$2,TRUE,Taostats_CSV!G23+Taostats_CSV!H23+Taostats_CSV!R23=0)</f>
        <v>0</v>
      </c>
      <c r="T23" t="b">
        <f t="shared" si="5"/>
        <v>1</v>
      </c>
      <c r="U23" t="b" cm="1">
        <f t="array" aca="1" ref="U23" ca="1">AND(T23,OR(O23-N23&gt;1,P23&gt;1,ISERROR(A23:P23)))</f>
        <v>0</v>
      </c>
      <c r="W23" t="e">
        <f>MATCH(K23&amp;$W$2,Taostats_CSV!$X$3:$X$1167,0)</f>
        <v>#N/A</v>
      </c>
      <c r="X23" t="e">
        <f t="shared" ca="1" si="0"/>
        <v>#VALUE!</v>
      </c>
      <c r="Y23">
        <f t="shared" ca="1" si="1"/>
        <v>0.118359836</v>
      </c>
      <c r="Z23" t="e">
        <f t="shared" ca="1" si="2"/>
        <v>#VALUE!</v>
      </c>
      <c r="AB23">
        <f>SUMIF(Taostats_CSV!$E:$E,AA23,Taostats_CSV!G:G)</f>
        <v>0</v>
      </c>
      <c r="AC23">
        <f>SUMIF(Taostats_CSV!$E:$E,AA23,Taostats_CSV!H:H)</f>
        <v>0</v>
      </c>
      <c r="AD23">
        <f>SUMIF(Taostats_CSV!$E:$E,AA23,Taostats_CSV!R:R)</f>
        <v>0</v>
      </c>
      <c r="AE23" s="4">
        <f t="shared" ca="1" si="6"/>
        <v>0</v>
      </c>
      <c r="AF23" s="4">
        <f t="shared" ca="1" si="7"/>
        <v>0</v>
      </c>
      <c r="AG23" s="4">
        <f t="shared" ca="1" si="8"/>
        <v>0</v>
      </c>
      <c r="AH23">
        <f t="shared" ca="1" si="13"/>
        <v>0</v>
      </c>
      <c r="AI23">
        <f t="shared" ca="1" si="14"/>
        <v>0</v>
      </c>
    </row>
    <row r="24" spans="1:35" x14ac:dyDescent="0.4">
      <c r="A24" t="str">
        <f>MID(Taostats_CSV!C24,6,2)&amp;"/"&amp;MID(Taostats_CSV!C24,9,2)&amp;"/"&amp;LEFT(Taostats_CSV!C24,4)&amp;" "&amp;MID(Taostats_CSV!C24,12,8)</f>
        <v>01/21/2025 23:59:48</v>
      </c>
      <c r="C24" t="str">
        <f ca="1">IF(Q24,OFFSET(Taostats_CSV!$E$1,MATCH(K24&amp;D$1,Taostats_CSV!$X:$X,0)-1,0),IF(Taostats_CSV!F24="fee",IF(VALUE(Taostats_CSV!G24)&gt;0,Taostats_CSV!E24,""),""))</f>
        <v/>
      </c>
      <c r="D24" t="str">
        <f ca="1">IF(Q24,OFFSET(Taostats_CSV!$G$1,MATCH(K24&amp;D$1,Taostats_CSV!$X:$X,0)-1,0),IF(Taostats_CSV!F24="fee",IF(VALUE(Taostats_CSV!G24)&gt;0,Taostats_CSV!G24,""),""))</f>
        <v/>
      </c>
      <c r="E24" t="str">
        <f ca="1">IF(AND(Q24,P24&gt;0),OFFSET(Taostats_CSV!$E$1,MATCH(K24&amp;F$1,Taostats_CSV!$X:$X,0)-1,0),IF(LEN(F24)&gt;0,Taostats_CSV!E24,""))</f>
        <v>TAO</v>
      </c>
      <c r="F24" t="str">
        <f ca="1">TRIM(IF(AND(Q24,P24&gt;0),OFFSET(Taostats_CSV!$H$1,MATCH(K24&amp;F$1,Taostats_CSV!$X:$X,0)-1,0),IF(LEN(Taostats_CSV!H24)&gt;0,Taostats_CSV!H24,Taostats_CSV!R24)))</f>
        <v>0.12719171</v>
      </c>
      <c r="G24" t="str">
        <f ca="1">IF(AND(Q24,N24=1),OFFSET(Taostats_CSV!$E$1,MATCH(K24&amp;H$1,Taostats_CSV!$X:$X,0)-1,0),"")</f>
        <v/>
      </c>
      <c r="H24" t="str">
        <f ca="1">IF(AND(Q24,N24=1),OFFSET(Taostats_CSV!$G$1,MATCH(K24&amp;H$1,Taostats_CSV!$X:$X,0)-1,0),"")</f>
        <v/>
      </c>
      <c r="I24" t="str">
        <f ca="1">IF(AND(LEN(K24)=0,LEN(F24)&gt;0),"Income",IF(AND(O24&gt;0,P24&gt;0,C24&lt;&gt;E24),"Trade",IF(AND(NOT(Q24),Taostats_CSV!F24="fee"),'READ ME'!$C$5,"")))</f>
        <v>Income</v>
      </c>
      <c r="J24" t="str">
        <f ca="1">SUBSTITUTE(IF(LEN(I24)=0,Taostats_CSV!F24&amp;" "&amp;Taostats_CSV!J24,IF(I24="Cost","Extrinsic fee","")),"_"," ")</f>
        <v/>
      </c>
      <c r="K24" t="str">
        <f>TRIM(IF(LEN(Taostats_CSV!I24)&gt;0,Taostats_CSV!I24,""))</f>
        <v/>
      </c>
      <c r="L24" t="str">
        <f>IF(Taostats_CSV!E24&lt;&gt;"TAO",IF(LEN(F24)&gt;0,F24,IF(LEN(D24)&gt;0,D24,0))*Taostats_CSV!P24,"")</f>
        <v/>
      </c>
      <c r="M24" t="str">
        <f t="shared" si="3"/>
        <v/>
      </c>
      <c r="N24">
        <f>COUNTIF(Taostats_CSV!$X:$X,Taostats_CSV!$I24&amp;N$1)</f>
        <v>0</v>
      </c>
      <c r="O24">
        <f>COUNTIF(Taostats_CSV!$X:$X,Taostats_CSV!$I24&amp;O$1)</f>
        <v>0</v>
      </c>
      <c r="P24">
        <f>COUNTIF(Taostats_CSV!$X:$X,Taostats_CSV!$I24&amp;P$1)</f>
        <v>0</v>
      </c>
      <c r="Q24" t="b">
        <f t="shared" si="4"/>
        <v>0</v>
      </c>
      <c r="R24" t="b">
        <f>IF(LEN(K24)&gt;0,COUNTIF($K$3:K24,K24),FALSE)</f>
        <v>0</v>
      </c>
      <c r="S24" t="b">
        <f>IF(Taostats_CSV!A24=Taostats_CSV!$A$2,TRUE,Taostats_CSV!G24+Taostats_CSV!H24+Taostats_CSV!R24=0)</f>
        <v>0</v>
      </c>
      <c r="T24" t="b">
        <f t="shared" si="5"/>
        <v>1</v>
      </c>
      <c r="U24" t="b" cm="1">
        <f t="array" aca="1" ref="U24" ca="1">AND(T24,OR(O24-N24&gt;1,P24&gt;1,ISERROR(A24:P24)))</f>
        <v>0</v>
      </c>
      <c r="W24" t="e">
        <f>MATCH(K24&amp;$W$2,Taostats_CSV!$X$3:$X$1167,0)</f>
        <v>#N/A</v>
      </c>
      <c r="X24" t="e">
        <f t="shared" ca="1" si="0"/>
        <v>#VALUE!</v>
      </c>
      <c r="Y24">
        <f t="shared" ca="1" si="1"/>
        <v>0.12719171000000001</v>
      </c>
      <c r="Z24" t="e">
        <f t="shared" ca="1" si="2"/>
        <v>#VALUE!</v>
      </c>
      <c r="AB24">
        <f>SUMIF(Taostats_CSV!$E:$E,AA24,Taostats_CSV!G:G)</f>
        <v>0</v>
      </c>
      <c r="AC24">
        <f>SUMIF(Taostats_CSV!$E:$E,AA24,Taostats_CSV!H:H)</f>
        <v>0</v>
      </c>
      <c r="AD24">
        <f>SUMIF(Taostats_CSV!$E:$E,AA24,Taostats_CSV!R:R)</f>
        <v>0</v>
      </c>
      <c r="AE24" s="4">
        <f t="shared" ca="1" si="6"/>
        <v>0</v>
      </c>
      <c r="AF24" s="4">
        <f t="shared" ca="1" si="7"/>
        <v>0</v>
      </c>
      <c r="AG24" s="4">
        <f t="shared" ca="1" si="8"/>
        <v>0</v>
      </c>
      <c r="AH24">
        <f t="shared" ca="1" si="13"/>
        <v>0</v>
      </c>
      <c r="AI24">
        <f t="shared" ca="1" si="14"/>
        <v>0</v>
      </c>
    </row>
    <row r="25" spans="1:35" x14ac:dyDescent="0.4">
      <c r="A25" t="str">
        <f>MID(Taostats_CSV!C25,6,2)&amp;"/"&amp;MID(Taostats_CSV!C25,9,2)&amp;"/"&amp;LEFT(Taostats_CSV!C25,4)&amp;" "&amp;MID(Taostats_CSV!C25,12,8)</f>
        <v>01/22/2025 23:59:48</v>
      </c>
      <c r="C25" t="str">
        <f ca="1">IF(Q25,OFFSET(Taostats_CSV!$E$1,MATCH(K25&amp;D$1,Taostats_CSV!$X:$X,0)-1,0),IF(Taostats_CSV!F25="fee",IF(VALUE(Taostats_CSV!G25)&gt;0,Taostats_CSV!E25,""),""))</f>
        <v/>
      </c>
      <c r="D25" t="str">
        <f ca="1">IF(Q25,OFFSET(Taostats_CSV!$G$1,MATCH(K25&amp;D$1,Taostats_CSV!$X:$X,0)-1,0),IF(Taostats_CSV!F25="fee",IF(VALUE(Taostats_CSV!G25)&gt;0,Taostats_CSV!G25,""),""))</f>
        <v/>
      </c>
      <c r="E25" t="str">
        <f ca="1">IF(AND(Q25,P25&gt;0),OFFSET(Taostats_CSV!$E$1,MATCH(K25&amp;F$1,Taostats_CSV!$X:$X,0)-1,0),IF(LEN(F25)&gt;0,Taostats_CSV!E25,""))</f>
        <v>TAO</v>
      </c>
      <c r="F25" t="str">
        <f ca="1">TRIM(IF(AND(Q25,P25&gt;0),OFFSET(Taostats_CSV!$H$1,MATCH(K25&amp;F$1,Taostats_CSV!$X:$X,0)-1,0),IF(LEN(Taostats_CSV!H25)&gt;0,Taostats_CSV!H25,Taostats_CSV!R25)))</f>
        <v>0.115852111</v>
      </c>
      <c r="G25" t="str">
        <f ca="1">IF(AND(Q25,N25=1),OFFSET(Taostats_CSV!$E$1,MATCH(K25&amp;H$1,Taostats_CSV!$X:$X,0)-1,0),"")</f>
        <v/>
      </c>
      <c r="H25" t="str">
        <f ca="1">IF(AND(Q25,N25=1),OFFSET(Taostats_CSV!$G$1,MATCH(K25&amp;H$1,Taostats_CSV!$X:$X,0)-1,0),"")</f>
        <v/>
      </c>
      <c r="I25" t="str">
        <f ca="1">IF(AND(LEN(K25)=0,LEN(F25)&gt;0),"Income",IF(AND(O25&gt;0,P25&gt;0,C25&lt;&gt;E25),"Trade",IF(AND(NOT(Q25),Taostats_CSV!F25="fee"),'READ ME'!$C$5,"")))</f>
        <v>Income</v>
      </c>
      <c r="J25" t="str">
        <f ca="1">SUBSTITUTE(IF(LEN(I25)=0,Taostats_CSV!F25&amp;" "&amp;Taostats_CSV!J25,IF(I25="Cost","Extrinsic fee","")),"_"," ")</f>
        <v/>
      </c>
      <c r="K25" t="str">
        <f>TRIM(IF(LEN(Taostats_CSV!I25)&gt;0,Taostats_CSV!I25,""))</f>
        <v/>
      </c>
      <c r="L25" t="str">
        <f>IF(Taostats_CSV!E25&lt;&gt;"TAO",IF(LEN(F25)&gt;0,F25,IF(LEN(D25)&gt;0,D25,0))*Taostats_CSV!P25,"")</f>
        <v/>
      </c>
      <c r="M25" t="str">
        <f t="shared" si="3"/>
        <v/>
      </c>
      <c r="N25">
        <f>COUNTIF(Taostats_CSV!$X:$X,Taostats_CSV!$I25&amp;N$1)</f>
        <v>0</v>
      </c>
      <c r="O25">
        <f>COUNTIF(Taostats_CSV!$X:$X,Taostats_CSV!$I25&amp;O$1)</f>
        <v>0</v>
      </c>
      <c r="P25">
        <f>COUNTIF(Taostats_CSV!$X:$X,Taostats_CSV!$I25&amp;P$1)</f>
        <v>0</v>
      </c>
      <c r="Q25" t="b">
        <f t="shared" si="4"/>
        <v>0</v>
      </c>
      <c r="R25" t="b">
        <f>IF(LEN(K25)&gt;0,COUNTIF($K$3:K25,K25),FALSE)</f>
        <v>0</v>
      </c>
      <c r="S25" t="b">
        <f>IF(Taostats_CSV!A25=Taostats_CSV!$A$2,TRUE,Taostats_CSV!G25+Taostats_CSV!H25+Taostats_CSV!R25=0)</f>
        <v>0</v>
      </c>
      <c r="T25" t="b">
        <f t="shared" si="5"/>
        <v>1</v>
      </c>
      <c r="U25" t="b" cm="1">
        <f t="array" aca="1" ref="U25" ca="1">AND(T25,OR(O25-N25&gt;1,P25&gt;1,ISERROR(A25:P25)))</f>
        <v>0</v>
      </c>
      <c r="W25" t="e">
        <f>MATCH(K25&amp;$W$2,Taostats_CSV!$X$3:$X$1167,0)</f>
        <v>#N/A</v>
      </c>
      <c r="X25" t="e">
        <f t="shared" ca="1" si="0"/>
        <v>#VALUE!</v>
      </c>
      <c r="Y25">
        <f t="shared" ca="1" si="1"/>
        <v>0.11585211099999999</v>
      </c>
      <c r="Z25" t="e">
        <f t="shared" ca="1" si="2"/>
        <v>#VALUE!</v>
      </c>
      <c r="AB25">
        <f>SUMIF(Taostats_CSV!$E:$E,AA25,Taostats_CSV!G:G)</f>
        <v>0</v>
      </c>
      <c r="AC25">
        <f>SUMIF(Taostats_CSV!$E:$E,AA25,Taostats_CSV!H:H)</f>
        <v>0</v>
      </c>
      <c r="AD25">
        <f>SUMIF(Taostats_CSV!$E:$E,AA25,Taostats_CSV!R:R)</f>
        <v>0</v>
      </c>
      <c r="AE25" s="4">
        <f t="shared" ca="1" si="6"/>
        <v>0</v>
      </c>
      <c r="AF25" s="4">
        <f t="shared" ca="1" si="7"/>
        <v>0</v>
      </c>
      <c r="AG25" s="4">
        <f t="shared" ca="1" si="8"/>
        <v>0</v>
      </c>
      <c r="AH25">
        <f t="shared" ca="1" si="13"/>
        <v>0</v>
      </c>
      <c r="AI25">
        <f t="shared" ca="1" si="14"/>
        <v>0</v>
      </c>
    </row>
    <row r="26" spans="1:35" x14ac:dyDescent="0.4">
      <c r="A26" t="str">
        <f>MID(Taostats_CSV!C26,6,2)&amp;"/"&amp;MID(Taostats_CSV!C26,9,2)&amp;"/"&amp;LEFT(Taostats_CSV!C26,4)&amp;" "&amp;MID(Taostats_CSV!C26,12,8)</f>
        <v>01/23/2025 23:59:48</v>
      </c>
      <c r="C26" t="str">
        <f ca="1">IF(Q26,OFFSET(Taostats_CSV!$E$1,MATCH(K26&amp;D$1,Taostats_CSV!$X:$X,0)-1,0),IF(Taostats_CSV!F26="fee",IF(VALUE(Taostats_CSV!G26)&gt;0,Taostats_CSV!E26,""),""))</f>
        <v/>
      </c>
      <c r="D26" t="str">
        <f ca="1">IF(Q26,OFFSET(Taostats_CSV!$G$1,MATCH(K26&amp;D$1,Taostats_CSV!$X:$X,0)-1,0),IF(Taostats_CSV!F26="fee",IF(VALUE(Taostats_CSV!G26)&gt;0,Taostats_CSV!G26,""),""))</f>
        <v/>
      </c>
      <c r="E26" t="str">
        <f ca="1">IF(AND(Q26,P26&gt;0),OFFSET(Taostats_CSV!$E$1,MATCH(K26&amp;F$1,Taostats_CSV!$X:$X,0)-1,0),IF(LEN(F26)&gt;0,Taostats_CSV!E26,""))</f>
        <v>TAO</v>
      </c>
      <c r="F26" t="str">
        <f ca="1">TRIM(IF(AND(Q26,P26&gt;0),OFFSET(Taostats_CSV!$H$1,MATCH(K26&amp;F$1,Taostats_CSV!$X:$X,0)-1,0),IF(LEN(Taostats_CSV!H26)&gt;0,Taostats_CSV!H26,Taostats_CSV!R26)))</f>
        <v>0.11396705</v>
      </c>
      <c r="G26" t="str">
        <f ca="1">IF(AND(Q26,N26=1),OFFSET(Taostats_CSV!$E$1,MATCH(K26&amp;H$1,Taostats_CSV!$X:$X,0)-1,0),"")</f>
        <v/>
      </c>
      <c r="H26" t="str">
        <f ca="1">IF(AND(Q26,N26=1),OFFSET(Taostats_CSV!$G$1,MATCH(K26&amp;H$1,Taostats_CSV!$X:$X,0)-1,0),"")</f>
        <v/>
      </c>
      <c r="I26" t="str">
        <f ca="1">IF(AND(LEN(K26)=0,LEN(F26)&gt;0),"Income",IF(AND(O26&gt;0,P26&gt;0,C26&lt;&gt;E26),"Trade",IF(AND(NOT(Q26),Taostats_CSV!F26="fee"),'READ ME'!$C$5,"")))</f>
        <v>Income</v>
      </c>
      <c r="J26" t="str">
        <f ca="1">SUBSTITUTE(IF(LEN(I26)=0,Taostats_CSV!F26&amp;" "&amp;Taostats_CSV!J26,IF(I26="Cost","Extrinsic fee","")),"_"," ")</f>
        <v/>
      </c>
      <c r="K26" t="str">
        <f>TRIM(IF(LEN(Taostats_CSV!I26)&gt;0,Taostats_CSV!I26,""))</f>
        <v/>
      </c>
      <c r="L26" t="str">
        <f>IF(Taostats_CSV!E26&lt;&gt;"TAO",IF(LEN(F26)&gt;0,F26,IF(LEN(D26)&gt;0,D26,0))*Taostats_CSV!P26,"")</f>
        <v/>
      </c>
      <c r="M26" t="str">
        <f t="shared" si="3"/>
        <v/>
      </c>
      <c r="N26">
        <f>COUNTIF(Taostats_CSV!$X:$X,Taostats_CSV!$I26&amp;N$1)</f>
        <v>0</v>
      </c>
      <c r="O26">
        <f>COUNTIF(Taostats_CSV!$X:$X,Taostats_CSV!$I26&amp;O$1)</f>
        <v>0</v>
      </c>
      <c r="P26">
        <f>COUNTIF(Taostats_CSV!$X:$X,Taostats_CSV!$I26&amp;P$1)</f>
        <v>0</v>
      </c>
      <c r="Q26" t="b">
        <f t="shared" si="4"/>
        <v>0</v>
      </c>
      <c r="R26" t="b">
        <f>IF(LEN(K26)&gt;0,COUNTIF($K$3:K26,K26),FALSE)</f>
        <v>0</v>
      </c>
      <c r="S26" t="b">
        <f>IF(Taostats_CSV!A26=Taostats_CSV!$A$2,TRUE,Taostats_CSV!G26+Taostats_CSV!H26+Taostats_CSV!R26=0)</f>
        <v>0</v>
      </c>
      <c r="T26" t="b">
        <f t="shared" si="5"/>
        <v>1</v>
      </c>
      <c r="U26" t="b" cm="1">
        <f t="array" aca="1" ref="U26" ca="1">AND(T26,OR(O26-N26&gt;1,P26&gt;1,ISERROR(A26:P26)))</f>
        <v>0</v>
      </c>
      <c r="W26" t="e">
        <f>MATCH(K26&amp;$W$2,Taostats_CSV!$X$3:$X$1167,0)</f>
        <v>#N/A</v>
      </c>
      <c r="X26" t="e">
        <f t="shared" ca="1" si="0"/>
        <v>#VALUE!</v>
      </c>
      <c r="Y26">
        <f t="shared" ca="1" si="1"/>
        <v>0.11396705</v>
      </c>
      <c r="Z26" t="e">
        <f t="shared" ca="1" si="2"/>
        <v>#VALUE!</v>
      </c>
      <c r="AB26">
        <f>SUMIF(Taostats_CSV!$E:$E,AA26,Taostats_CSV!G:G)</f>
        <v>0</v>
      </c>
      <c r="AC26">
        <f>SUMIF(Taostats_CSV!$E:$E,AA26,Taostats_CSV!H:H)</f>
        <v>0</v>
      </c>
      <c r="AD26">
        <f>SUMIF(Taostats_CSV!$E:$E,AA26,Taostats_CSV!R:R)</f>
        <v>0</v>
      </c>
      <c r="AE26" s="4">
        <f t="shared" ca="1" si="6"/>
        <v>0</v>
      </c>
      <c r="AF26" s="4">
        <f t="shared" ca="1" si="7"/>
        <v>0</v>
      </c>
      <c r="AG26" s="4">
        <f t="shared" ca="1" si="8"/>
        <v>0</v>
      </c>
      <c r="AH26">
        <f t="shared" ca="1" si="13"/>
        <v>0</v>
      </c>
      <c r="AI26">
        <f t="shared" ca="1" si="14"/>
        <v>0</v>
      </c>
    </row>
    <row r="27" spans="1:35" x14ac:dyDescent="0.4">
      <c r="A27" t="str">
        <f>MID(Taostats_CSV!C27,6,2)&amp;"/"&amp;MID(Taostats_CSV!C27,9,2)&amp;"/"&amp;LEFT(Taostats_CSV!C27,4)&amp;" "&amp;MID(Taostats_CSV!C27,12,8)</f>
        <v>01/24/2025 23:59:48</v>
      </c>
      <c r="C27" t="str">
        <f ca="1">IF(Q27,OFFSET(Taostats_CSV!$E$1,MATCH(K27&amp;D$1,Taostats_CSV!$X:$X,0)-1,0),IF(Taostats_CSV!F27="fee",IF(VALUE(Taostats_CSV!G27)&gt;0,Taostats_CSV!E27,""),""))</f>
        <v/>
      </c>
      <c r="D27" t="str">
        <f ca="1">IF(Q27,OFFSET(Taostats_CSV!$G$1,MATCH(K27&amp;D$1,Taostats_CSV!$X:$X,0)-1,0),IF(Taostats_CSV!F27="fee",IF(VALUE(Taostats_CSV!G27)&gt;0,Taostats_CSV!G27,""),""))</f>
        <v/>
      </c>
      <c r="E27" t="str">
        <f ca="1">IF(AND(Q27,P27&gt;0),OFFSET(Taostats_CSV!$E$1,MATCH(K27&amp;F$1,Taostats_CSV!$X:$X,0)-1,0),IF(LEN(F27)&gt;0,Taostats_CSV!E27,""))</f>
        <v>TAO</v>
      </c>
      <c r="F27" t="str">
        <f ca="1">TRIM(IF(AND(Q27,P27&gt;0),OFFSET(Taostats_CSV!$H$1,MATCH(K27&amp;F$1,Taostats_CSV!$X:$X,0)-1,0),IF(LEN(Taostats_CSV!H27)&gt;0,Taostats_CSV!H27,Taostats_CSV!R27)))</f>
        <v>0.115144192</v>
      </c>
      <c r="G27" t="str">
        <f ca="1">IF(AND(Q27,N27=1),OFFSET(Taostats_CSV!$E$1,MATCH(K27&amp;H$1,Taostats_CSV!$X:$X,0)-1,0),"")</f>
        <v/>
      </c>
      <c r="H27" t="str">
        <f ca="1">IF(AND(Q27,N27=1),OFFSET(Taostats_CSV!$G$1,MATCH(K27&amp;H$1,Taostats_CSV!$X:$X,0)-1,0),"")</f>
        <v/>
      </c>
      <c r="I27" t="str">
        <f ca="1">IF(AND(LEN(K27)=0,LEN(F27)&gt;0),"Income",IF(AND(O27&gt;0,P27&gt;0,C27&lt;&gt;E27),"Trade",IF(AND(NOT(Q27),Taostats_CSV!F27="fee"),'READ ME'!$C$5,"")))</f>
        <v>Income</v>
      </c>
      <c r="J27" t="str">
        <f ca="1">SUBSTITUTE(IF(LEN(I27)=0,Taostats_CSV!F27&amp;" "&amp;Taostats_CSV!J27,IF(I27="Cost","Extrinsic fee","")),"_"," ")</f>
        <v/>
      </c>
      <c r="K27" t="str">
        <f>TRIM(IF(LEN(Taostats_CSV!I27)&gt;0,Taostats_CSV!I27,""))</f>
        <v/>
      </c>
      <c r="L27" t="str">
        <f>IF(Taostats_CSV!E27&lt;&gt;"TAO",IF(LEN(F27)&gt;0,F27,IF(LEN(D27)&gt;0,D27,0))*Taostats_CSV!P27,"")</f>
        <v/>
      </c>
      <c r="M27" t="str">
        <f t="shared" si="3"/>
        <v/>
      </c>
      <c r="N27">
        <f>COUNTIF(Taostats_CSV!$X:$X,Taostats_CSV!$I27&amp;N$1)</f>
        <v>0</v>
      </c>
      <c r="O27">
        <f>COUNTIF(Taostats_CSV!$X:$X,Taostats_CSV!$I27&amp;O$1)</f>
        <v>0</v>
      </c>
      <c r="P27">
        <f>COUNTIF(Taostats_CSV!$X:$X,Taostats_CSV!$I27&amp;P$1)</f>
        <v>0</v>
      </c>
      <c r="Q27" t="b">
        <f t="shared" si="4"/>
        <v>0</v>
      </c>
      <c r="R27" t="b">
        <f>IF(LEN(K27)&gt;0,COUNTIF($K$3:K27,K27),FALSE)</f>
        <v>0</v>
      </c>
      <c r="S27" t="b">
        <f>IF(Taostats_CSV!A27=Taostats_CSV!$A$2,TRUE,Taostats_CSV!G27+Taostats_CSV!H27+Taostats_CSV!R27=0)</f>
        <v>0</v>
      </c>
      <c r="T27" t="b">
        <f t="shared" si="5"/>
        <v>1</v>
      </c>
      <c r="U27" t="b" cm="1">
        <f t="array" aca="1" ref="U27" ca="1">AND(T27,OR(O27-N27&gt;1,P27&gt;1,ISERROR(A27:P27)))</f>
        <v>0</v>
      </c>
      <c r="W27" t="e">
        <f>MATCH(K27&amp;$W$2,Taostats_CSV!$X$3:$X$1167,0)</f>
        <v>#N/A</v>
      </c>
      <c r="X27" t="e">
        <f t="shared" ca="1" si="0"/>
        <v>#VALUE!</v>
      </c>
      <c r="Y27">
        <f t="shared" ca="1" si="1"/>
        <v>0.11514419200000001</v>
      </c>
      <c r="Z27" t="e">
        <f t="shared" ca="1" si="2"/>
        <v>#VALUE!</v>
      </c>
      <c r="AB27">
        <f>SUMIF(Taostats_CSV!$E:$E,AA27,Taostats_CSV!G:G)</f>
        <v>0</v>
      </c>
      <c r="AC27">
        <f>SUMIF(Taostats_CSV!$E:$E,AA27,Taostats_CSV!H:H)</f>
        <v>0</v>
      </c>
      <c r="AD27">
        <f>SUMIF(Taostats_CSV!$E:$E,AA27,Taostats_CSV!R:R)</f>
        <v>0</v>
      </c>
      <c r="AE27" s="4">
        <f t="shared" ca="1" si="6"/>
        <v>0</v>
      </c>
      <c r="AF27" s="4">
        <f t="shared" ca="1" si="7"/>
        <v>0</v>
      </c>
      <c r="AG27" s="4">
        <f t="shared" ca="1" si="8"/>
        <v>0</v>
      </c>
      <c r="AH27">
        <f t="shared" ca="1" si="13"/>
        <v>0</v>
      </c>
      <c r="AI27">
        <f t="shared" ca="1" si="14"/>
        <v>0</v>
      </c>
    </row>
    <row r="28" spans="1:35" x14ac:dyDescent="0.4">
      <c r="A28" t="str">
        <f>MID(Taostats_CSV!C28,6,2)&amp;"/"&amp;MID(Taostats_CSV!C28,9,2)&amp;"/"&amp;LEFT(Taostats_CSV!C28,4)&amp;" "&amp;MID(Taostats_CSV!C28,12,8)</f>
        <v>01/25/2025 23:59:48</v>
      </c>
      <c r="C28" t="str">
        <f ca="1">IF(Q28,OFFSET(Taostats_CSV!$E$1,MATCH(K28&amp;D$1,Taostats_CSV!$X:$X,0)-1,0),IF(Taostats_CSV!F28="fee",IF(VALUE(Taostats_CSV!G28)&gt;0,Taostats_CSV!E28,""),""))</f>
        <v/>
      </c>
      <c r="D28" t="str">
        <f ca="1">IF(Q28,OFFSET(Taostats_CSV!$G$1,MATCH(K28&amp;D$1,Taostats_CSV!$X:$X,0)-1,0),IF(Taostats_CSV!F28="fee",IF(VALUE(Taostats_CSV!G28)&gt;0,Taostats_CSV!G28,""),""))</f>
        <v/>
      </c>
      <c r="E28" t="str">
        <f ca="1">IF(AND(Q28,P28&gt;0),OFFSET(Taostats_CSV!$E$1,MATCH(K28&amp;F$1,Taostats_CSV!$X:$X,0)-1,0),IF(LEN(F28)&gt;0,Taostats_CSV!E28,""))</f>
        <v>TAO</v>
      </c>
      <c r="F28" t="str">
        <f ca="1">TRIM(IF(AND(Q28,P28&gt;0),OFFSET(Taostats_CSV!$H$1,MATCH(K28&amp;F$1,Taostats_CSV!$X:$X,0)-1,0),IF(LEN(Taostats_CSV!H28)&gt;0,Taostats_CSV!H28,Taostats_CSV!R28)))</f>
        <v>0.11713619</v>
      </c>
      <c r="G28" t="str">
        <f ca="1">IF(AND(Q28,N28=1),OFFSET(Taostats_CSV!$E$1,MATCH(K28&amp;H$1,Taostats_CSV!$X:$X,0)-1,0),"")</f>
        <v/>
      </c>
      <c r="H28" t="str">
        <f ca="1">IF(AND(Q28,N28=1),OFFSET(Taostats_CSV!$G$1,MATCH(K28&amp;H$1,Taostats_CSV!$X:$X,0)-1,0),"")</f>
        <v/>
      </c>
      <c r="I28" t="str">
        <f ca="1">IF(AND(LEN(K28)=0,LEN(F28)&gt;0),"Income",IF(AND(O28&gt;0,P28&gt;0,C28&lt;&gt;E28),"Trade",IF(AND(NOT(Q28),Taostats_CSV!F28="fee"),'READ ME'!$C$5,"")))</f>
        <v>Income</v>
      </c>
      <c r="J28" t="str">
        <f ca="1">SUBSTITUTE(IF(LEN(I28)=0,Taostats_CSV!F28&amp;" "&amp;Taostats_CSV!J28,IF(I28="Cost","Extrinsic fee","")),"_"," ")</f>
        <v/>
      </c>
      <c r="K28" t="str">
        <f>TRIM(IF(LEN(Taostats_CSV!I28)&gt;0,Taostats_CSV!I28,""))</f>
        <v/>
      </c>
      <c r="L28" t="str">
        <f>IF(Taostats_CSV!E28&lt;&gt;"TAO",IF(LEN(F28)&gt;0,F28,IF(LEN(D28)&gt;0,D28,0))*Taostats_CSV!P28,"")</f>
        <v/>
      </c>
      <c r="M28" t="str">
        <f t="shared" si="3"/>
        <v/>
      </c>
      <c r="N28">
        <f>COUNTIF(Taostats_CSV!$X:$X,Taostats_CSV!$I28&amp;N$1)</f>
        <v>0</v>
      </c>
      <c r="O28">
        <f>COUNTIF(Taostats_CSV!$X:$X,Taostats_CSV!$I28&amp;O$1)</f>
        <v>0</v>
      </c>
      <c r="P28">
        <f>COUNTIF(Taostats_CSV!$X:$X,Taostats_CSV!$I28&amp;P$1)</f>
        <v>0</v>
      </c>
      <c r="Q28" t="b">
        <f t="shared" si="4"/>
        <v>0</v>
      </c>
      <c r="R28" t="b">
        <f>IF(LEN(K28)&gt;0,COUNTIF($K$3:K28,K28),FALSE)</f>
        <v>0</v>
      </c>
      <c r="S28" t="b">
        <f>IF(Taostats_CSV!A28=Taostats_CSV!$A$2,TRUE,Taostats_CSV!G28+Taostats_CSV!H28+Taostats_CSV!R28=0)</f>
        <v>0</v>
      </c>
      <c r="T28" t="b">
        <f t="shared" si="5"/>
        <v>1</v>
      </c>
      <c r="U28" t="b" cm="1">
        <f t="array" aca="1" ref="U28" ca="1">AND(T28,OR(O28-N28&gt;1,P28&gt;1,ISERROR(A28:P28)))</f>
        <v>0</v>
      </c>
      <c r="W28" t="e">
        <f>MATCH(K28&amp;$W$2,Taostats_CSV!$X$3:$X$1167,0)</f>
        <v>#N/A</v>
      </c>
      <c r="X28" t="e">
        <f t="shared" ca="1" si="0"/>
        <v>#VALUE!</v>
      </c>
      <c r="Y28">
        <f t="shared" ca="1" si="1"/>
        <v>0.11713619</v>
      </c>
      <c r="Z28" t="e">
        <f t="shared" ca="1" si="2"/>
        <v>#VALUE!</v>
      </c>
      <c r="AB28">
        <f>SUMIF(Taostats_CSV!$E:$E,AA28,Taostats_CSV!G:G)</f>
        <v>0</v>
      </c>
      <c r="AC28">
        <f>SUMIF(Taostats_CSV!$E:$E,AA28,Taostats_CSV!H:H)</f>
        <v>0</v>
      </c>
      <c r="AD28">
        <f>SUMIF(Taostats_CSV!$E:$E,AA28,Taostats_CSV!R:R)</f>
        <v>0</v>
      </c>
      <c r="AE28" s="4">
        <f t="shared" ca="1" si="6"/>
        <v>0</v>
      </c>
      <c r="AF28" s="4">
        <f t="shared" ca="1" si="7"/>
        <v>0</v>
      </c>
      <c r="AG28" s="4">
        <f t="shared" ca="1" si="8"/>
        <v>0</v>
      </c>
      <c r="AH28">
        <f t="shared" ca="1" si="13"/>
        <v>0</v>
      </c>
      <c r="AI28">
        <f t="shared" ca="1" si="14"/>
        <v>0</v>
      </c>
    </row>
    <row r="29" spans="1:35" x14ac:dyDescent="0.4">
      <c r="A29" t="str">
        <f>MID(Taostats_CSV!C29,6,2)&amp;"/"&amp;MID(Taostats_CSV!C29,9,2)&amp;"/"&amp;LEFT(Taostats_CSV!C29,4)&amp;" "&amp;MID(Taostats_CSV!C29,12,8)</f>
        <v>01/26/2025 23:59:48</v>
      </c>
      <c r="C29" t="str">
        <f ca="1">IF(Q29,OFFSET(Taostats_CSV!$E$1,MATCH(K29&amp;D$1,Taostats_CSV!$X:$X,0)-1,0),IF(Taostats_CSV!F29="fee",IF(VALUE(Taostats_CSV!G29)&gt;0,Taostats_CSV!E29,""),""))</f>
        <v/>
      </c>
      <c r="D29" t="str">
        <f ca="1">IF(Q29,OFFSET(Taostats_CSV!$G$1,MATCH(K29&amp;D$1,Taostats_CSV!$X:$X,0)-1,0),IF(Taostats_CSV!F29="fee",IF(VALUE(Taostats_CSV!G29)&gt;0,Taostats_CSV!G29,""),""))</f>
        <v/>
      </c>
      <c r="E29" t="str">
        <f ca="1">IF(AND(Q29,P29&gt;0),OFFSET(Taostats_CSV!$E$1,MATCH(K29&amp;F$1,Taostats_CSV!$X:$X,0)-1,0),IF(LEN(F29)&gt;0,Taostats_CSV!E29,""))</f>
        <v>TAO</v>
      </c>
      <c r="F29" t="str">
        <f ca="1">TRIM(IF(AND(Q29,P29&gt;0),OFFSET(Taostats_CSV!$H$1,MATCH(K29&amp;F$1,Taostats_CSV!$X:$X,0)-1,0),IF(LEN(Taostats_CSV!H29)&gt;0,Taostats_CSV!H29,Taostats_CSV!R29)))</f>
        <v>0.117182671</v>
      </c>
      <c r="G29" t="str">
        <f ca="1">IF(AND(Q29,N29=1),OFFSET(Taostats_CSV!$E$1,MATCH(K29&amp;H$1,Taostats_CSV!$X:$X,0)-1,0),"")</f>
        <v/>
      </c>
      <c r="H29" t="str">
        <f ca="1">IF(AND(Q29,N29=1),OFFSET(Taostats_CSV!$G$1,MATCH(K29&amp;H$1,Taostats_CSV!$X:$X,0)-1,0),"")</f>
        <v/>
      </c>
      <c r="I29" t="str">
        <f ca="1">IF(AND(LEN(K29)=0,LEN(F29)&gt;0),"Income",IF(AND(O29&gt;0,P29&gt;0,C29&lt;&gt;E29),"Trade",IF(AND(NOT(Q29),Taostats_CSV!F29="fee"),'READ ME'!$C$5,"")))</f>
        <v>Income</v>
      </c>
      <c r="J29" t="str">
        <f ca="1">SUBSTITUTE(IF(LEN(I29)=0,Taostats_CSV!F29&amp;" "&amp;Taostats_CSV!J29,IF(I29="Cost","Extrinsic fee","")),"_"," ")</f>
        <v/>
      </c>
      <c r="K29" t="str">
        <f>TRIM(IF(LEN(Taostats_CSV!I29)&gt;0,Taostats_CSV!I29,""))</f>
        <v/>
      </c>
      <c r="L29" t="str">
        <f>IF(Taostats_CSV!E29&lt;&gt;"TAO",IF(LEN(F29)&gt;0,F29,IF(LEN(D29)&gt;0,D29,0))*Taostats_CSV!P29,"")</f>
        <v/>
      </c>
      <c r="M29" t="str">
        <f t="shared" si="3"/>
        <v/>
      </c>
      <c r="N29">
        <f>COUNTIF(Taostats_CSV!$X:$X,Taostats_CSV!$I29&amp;N$1)</f>
        <v>0</v>
      </c>
      <c r="O29">
        <f>COUNTIF(Taostats_CSV!$X:$X,Taostats_CSV!$I29&amp;O$1)</f>
        <v>0</v>
      </c>
      <c r="P29">
        <f>COUNTIF(Taostats_CSV!$X:$X,Taostats_CSV!$I29&amp;P$1)</f>
        <v>0</v>
      </c>
      <c r="Q29" t="b">
        <f t="shared" si="4"/>
        <v>0</v>
      </c>
      <c r="R29" t="b">
        <f>IF(LEN(K29)&gt;0,COUNTIF($K$3:K29,K29),FALSE)</f>
        <v>0</v>
      </c>
      <c r="S29" t="b">
        <f>IF(Taostats_CSV!A29=Taostats_CSV!$A$2,TRUE,Taostats_CSV!G29+Taostats_CSV!H29+Taostats_CSV!R29=0)</f>
        <v>0</v>
      </c>
      <c r="T29" t="b">
        <f t="shared" si="5"/>
        <v>1</v>
      </c>
      <c r="U29" t="b" cm="1">
        <f t="array" aca="1" ref="U29" ca="1">AND(T29,OR(O29-N29&gt;1,P29&gt;1,ISERROR(A29:P29)))</f>
        <v>0</v>
      </c>
      <c r="W29" t="e">
        <f>MATCH(K29&amp;$W$2,Taostats_CSV!$X$3:$X$1167,0)</f>
        <v>#N/A</v>
      </c>
      <c r="X29" t="e">
        <f t="shared" ca="1" si="0"/>
        <v>#VALUE!</v>
      </c>
      <c r="Y29">
        <f t="shared" ca="1" si="1"/>
        <v>0.117182671</v>
      </c>
      <c r="Z29" t="e">
        <f t="shared" ca="1" si="2"/>
        <v>#VALUE!</v>
      </c>
      <c r="AB29">
        <f>SUMIF(Taostats_CSV!$E:$E,AA29,Taostats_CSV!G:G)</f>
        <v>0</v>
      </c>
      <c r="AC29">
        <f>SUMIF(Taostats_CSV!$E:$E,AA29,Taostats_CSV!H:H)</f>
        <v>0</v>
      </c>
      <c r="AD29">
        <f>SUMIF(Taostats_CSV!$E:$E,AA29,Taostats_CSV!R:R)</f>
        <v>0</v>
      </c>
      <c r="AE29" s="4">
        <f t="shared" ca="1" si="6"/>
        <v>0</v>
      </c>
      <c r="AF29" s="4">
        <f t="shared" ca="1" si="7"/>
        <v>0</v>
      </c>
      <c r="AG29" s="4">
        <f t="shared" ca="1" si="8"/>
        <v>0</v>
      </c>
      <c r="AH29">
        <f t="shared" ca="1" si="13"/>
        <v>0</v>
      </c>
      <c r="AI29">
        <f t="shared" ca="1" si="14"/>
        <v>0</v>
      </c>
    </row>
    <row r="30" spans="1:35" x14ac:dyDescent="0.4">
      <c r="A30" t="str">
        <f>MID(Taostats_CSV!C30,6,2)&amp;"/"&amp;MID(Taostats_CSV!C30,9,2)&amp;"/"&amp;LEFT(Taostats_CSV!C30,4)&amp;" "&amp;MID(Taostats_CSV!C30,12,8)</f>
        <v>01/27/2025 23:59:48</v>
      </c>
      <c r="C30" t="str">
        <f ca="1">IF(Q30,OFFSET(Taostats_CSV!$E$1,MATCH(K30&amp;D$1,Taostats_CSV!$X:$X,0)-1,0),IF(Taostats_CSV!F30="fee",IF(VALUE(Taostats_CSV!G30)&gt;0,Taostats_CSV!E30,""),""))</f>
        <v/>
      </c>
      <c r="D30" t="str">
        <f ca="1">IF(Q30,OFFSET(Taostats_CSV!$G$1,MATCH(K30&amp;D$1,Taostats_CSV!$X:$X,0)-1,0),IF(Taostats_CSV!F30="fee",IF(VALUE(Taostats_CSV!G30)&gt;0,Taostats_CSV!G30,""),""))</f>
        <v/>
      </c>
      <c r="E30" t="str">
        <f ca="1">IF(AND(Q30,P30&gt;0),OFFSET(Taostats_CSV!$E$1,MATCH(K30&amp;F$1,Taostats_CSV!$X:$X,0)-1,0),IF(LEN(F30)&gt;0,Taostats_CSV!E30,""))</f>
        <v>TAO</v>
      </c>
      <c r="F30" t="str">
        <f ca="1">TRIM(IF(AND(Q30,P30&gt;0),OFFSET(Taostats_CSV!$H$1,MATCH(K30&amp;F$1,Taostats_CSV!$X:$X,0)-1,0),IF(LEN(Taostats_CSV!H30)&gt;0,Taostats_CSV!H30,Taostats_CSV!R30)))</f>
        <v>0.119416085</v>
      </c>
      <c r="G30" t="str">
        <f ca="1">IF(AND(Q30,N30=1),OFFSET(Taostats_CSV!$E$1,MATCH(K30&amp;H$1,Taostats_CSV!$X:$X,0)-1,0),"")</f>
        <v/>
      </c>
      <c r="H30" t="str">
        <f ca="1">IF(AND(Q30,N30=1),OFFSET(Taostats_CSV!$G$1,MATCH(K30&amp;H$1,Taostats_CSV!$X:$X,0)-1,0),"")</f>
        <v/>
      </c>
      <c r="I30" t="str">
        <f ca="1">IF(AND(LEN(K30)=0,LEN(F30)&gt;0),"Income",IF(AND(O30&gt;0,P30&gt;0,C30&lt;&gt;E30),"Trade",IF(AND(NOT(Q30),Taostats_CSV!F30="fee"),'READ ME'!$C$5,"")))</f>
        <v>Income</v>
      </c>
      <c r="J30" t="str">
        <f ca="1">SUBSTITUTE(IF(LEN(I30)=0,Taostats_CSV!F30&amp;" "&amp;Taostats_CSV!J30,IF(I30="Cost","Extrinsic fee","")),"_"," ")</f>
        <v/>
      </c>
      <c r="K30" t="str">
        <f>TRIM(IF(LEN(Taostats_CSV!I30)&gt;0,Taostats_CSV!I30,""))</f>
        <v/>
      </c>
      <c r="L30" t="str">
        <f>IF(Taostats_CSV!E30&lt;&gt;"TAO",IF(LEN(F30)&gt;0,F30,IF(LEN(D30)&gt;0,D30,0))*Taostats_CSV!P30,"")</f>
        <v/>
      </c>
      <c r="M30" t="str">
        <f t="shared" si="3"/>
        <v/>
      </c>
      <c r="N30">
        <f>COUNTIF(Taostats_CSV!$X:$X,Taostats_CSV!$I30&amp;N$1)</f>
        <v>0</v>
      </c>
      <c r="O30">
        <f>COUNTIF(Taostats_CSV!$X:$X,Taostats_CSV!$I30&amp;O$1)</f>
        <v>0</v>
      </c>
      <c r="P30">
        <f>COUNTIF(Taostats_CSV!$X:$X,Taostats_CSV!$I30&amp;P$1)</f>
        <v>0</v>
      </c>
      <c r="Q30" t="b">
        <f t="shared" si="4"/>
        <v>0</v>
      </c>
      <c r="R30" t="b">
        <f>IF(LEN(K30)&gt;0,COUNTIF($K$3:K30,K30),FALSE)</f>
        <v>0</v>
      </c>
      <c r="S30" t="b">
        <f>IF(Taostats_CSV!A30=Taostats_CSV!$A$2,TRUE,Taostats_CSV!G30+Taostats_CSV!H30+Taostats_CSV!R30=0)</f>
        <v>0</v>
      </c>
      <c r="T30" t="b">
        <f t="shared" si="5"/>
        <v>1</v>
      </c>
      <c r="U30" t="b" cm="1">
        <f t="array" aca="1" ref="U30" ca="1">AND(T30,OR(O30-N30&gt;1,P30&gt;1,ISERROR(A30:P30)))</f>
        <v>0</v>
      </c>
      <c r="W30" t="e">
        <f>MATCH(K30&amp;$W$2,Taostats_CSV!$X$3:$X$1167,0)</f>
        <v>#N/A</v>
      </c>
      <c r="X30" t="e">
        <f t="shared" ca="1" si="0"/>
        <v>#VALUE!</v>
      </c>
      <c r="Y30">
        <f t="shared" ca="1" si="1"/>
        <v>0.11941608500000001</v>
      </c>
      <c r="Z30" t="e">
        <f t="shared" ca="1" si="2"/>
        <v>#VALUE!</v>
      </c>
      <c r="AB30">
        <f>SUMIF(Taostats_CSV!$E:$E,AA30,Taostats_CSV!G:G)</f>
        <v>0</v>
      </c>
      <c r="AC30">
        <f>SUMIF(Taostats_CSV!$E:$E,AA30,Taostats_CSV!H:H)</f>
        <v>0</v>
      </c>
      <c r="AD30">
        <f>SUMIF(Taostats_CSV!$E:$E,AA30,Taostats_CSV!R:R)</f>
        <v>0</v>
      </c>
      <c r="AE30" s="4">
        <f t="shared" ca="1" si="6"/>
        <v>0</v>
      </c>
      <c r="AF30" s="4">
        <f t="shared" ca="1" si="7"/>
        <v>0</v>
      </c>
      <c r="AG30" s="4">
        <f t="shared" ca="1" si="8"/>
        <v>0</v>
      </c>
      <c r="AH30">
        <f t="shared" ca="1" si="13"/>
        <v>0</v>
      </c>
      <c r="AI30">
        <f t="shared" ca="1" si="14"/>
        <v>0</v>
      </c>
    </row>
    <row r="31" spans="1:35" x14ac:dyDescent="0.4">
      <c r="A31" t="str">
        <f>MID(Taostats_CSV!C31,6,2)&amp;"/"&amp;MID(Taostats_CSV!C31,9,2)&amp;"/"&amp;LEFT(Taostats_CSV!C31,4)&amp;" "&amp;MID(Taostats_CSV!C31,12,8)</f>
        <v>01/28/2025 23:59:48</v>
      </c>
      <c r="C31" t="str">
        <f ca="1">IF(Q31,OFFSET(Taostats_CSV!$E$1,MATCH(K31&amp;D$1,Taostats_CSV!$X:$X,0)-1,0),IF(Taostats_CSV!F31="fee",IF(VALUE(Taostats_CSV!G31)&gt;0,Taostats_CSV!E31,""),""))</f>
        <v/>
      </c>
      <c r="D31" t="str">
        <f ca="1">IF(Q31,OFFSET(Taostats_CSV!$G$1,MATCH(K31&amp;D$1,Taostats_CSV!$X:$X,0)-1,0),IF(Taostats_CSV!F31="fee",IF(VALUE(Taostats_CSV!G31)&gt;0,Taostats_CSV!G31,""),""))</f>
        <v/>
      </c>
      <c r="E31" t="str">
        <f ca="1">IF(AND(Q31,P31&gt;0),OFFSET(Taostats_CSV!$E$1,MATCH(K31&amp;F$1,Taostats_CSV!$X:$X,0)-1,0),IF(LEN(F31)&gt;0,Taostats_CSV!E31,""))</f>
        <v>TAO</v>
      </c>
      <c r="F31" t="str">
        <f ca="1">TRIM(IF(AND(Q31,P31&gt;0),OFFSET(Taostats_CSV!$H$1,MATCH(K31&amp;F$1,Taostats_CSV!$X:$X,0)-1,0),IF(LEN(Taostats_CSV!H31)&gt;0,Taostats_CSV!H31,Taostats_CSV!R31)))</f>
        <v>0.119705306</v>
      </c>
      <c r="G31" t="str">
        <f ca="1">IF(AND(Q31,N31=1),OFFSET(Taostats_CSV!$E$1,MATCH(K31&amp;H$1,Taostats_CSV!$X:$X,0)-1,0),"")</f>
        <v/>
      </c>
      <c r="H31" t="str">
        <f ca="1">IF(AND(Q31,N31=1),OFFSET(Taostats_CSV!$G$1,MATCH(K31&amp;H$1,Taostats_CSV!$X:$X,0)-1,0),"")</f>
        <v/>
      </c>
      <c r="I31" t="str">
        <f ca="1">IF(AND(LEN(K31)=0,LEN(F31)&gt;0),"Income",IF(AND(O31&gt;0,P31&gt;0,C31&lt;&gt;E31),"Trade",IF(AND(NOT(Q31),Taostats_CSV!F31="fee"),'READ ME'!$C$5,"")))</f>
        <v>Income</v>
      </c>
      <c r="J31" t="str">
        <f ca="1">SUBSTITUTE(IF(LEN(I31)=0,Taostats_CSV!F31&amp;" "&amp;Taostats_CSV!J31,IF(I31="Cost","Extrinsic fee","")),"_"," ")</f>
        <v/>
      </c>
      <c r="K31" t="str">
        <f>TRIM(IF(LEN(Taostats_CSV!I31)&gt;0,Taostats_CSV!I31,""))</f>
        <v/>
      </c>
      <c r="L31" t="str">
        <f>IF(Taostats_CSV!E31&lt;&gt;"TAO",IF(LEN(F31)&gt;0,F31,IF(LEN(D31)&gt;0,D31,0))*Taostats_CSV!P31,"")</f>
        <v/>
      </c>
      <c r="M31" t="str">
        <f t="shared" si="3"/>
        <v/>
      </c>
      <c r="N31">
        <f>COUNTIF(Taostats_CSV!$X:$X,Taostats_CSV!$I31&amp;N$1)</f>
        <v>0</v>
      </c>
      <c r="O31">
        <f>COUNTIF(Taostats_CSV!$X:$X,Taostats_CSV!$I31&amp;O$1)</f>
        <v>0</v>
      </c>
      <c r="P31">
        <f>COUNTIF(Taostats_CSV!$X:$X,Taostats_CSV!$I31&amp;P$1)</f>
        <v>0</v>
      </c>
      <c r="Q31" t="b">
        <f t="shared" si="4"/>
        <v>0</v>
      </c>
      <c r="R31" t="b">
        <f>IF(LEN(K31)&gt;0,COUNTIF($K$3:K31,K31),FALSE)</f>
        <v>0</v>
      </c>
      <c r="S31" t="b">
        <f>IF(Taostats_CSV!A31=Taostats_CSV!$A$2,TRUE,Taostats_CSV!G31+Taostats_CSV!H31+Taostats_CSV!R31=0)</f>
        <v>0</v>
      </c>
      <c r="T31" t="b">
        <f t="shared" si="5"/>
        <v>1</v>
      </c>
      <c r="U31" t="b" cm="1">
        <f t="array" aca="1" ref="U31" ca="1">AND(T31,OR(O31-N31&gt;1,P31&gt;1,ISERROR(A31:P31)))</f>
        <v>0</v>
      </c>
      <c r="W31" t="e">
        <f>MATCH(K31&amp;$W$2,Taostats_CSV!$X$3:$X$1167,0)</f>
        <v>#N/A</v>
      </c>
      <c r="X31" t="e">
        <f t="shared" ca="1" si="0"/>
        <v>#VALUE!</v>
      </c>
      <c r="Y31">
        <f t="shared" ca="1" si="1"/>
        <v>0.119705306</v>
      </c>
      <c r="Z31" t="e">
        <f t="shared" ca="1" si="2"/>
        <v>#VALUE!</v>
      </c>
      <c r="AB31">
        <f>SUMIF(Taostats_CSV!$E:$E,AA31,Taostats_CSV!G:G)</f>
        <v>0</v>
      </c>
      <c r="AC31">
        <f>SUMIF(Taostats_CSV!$E:$E,AA31,Taostats_CSV!H:H)</f>
        <v>0</v>
      </c>
      <c r="AD31">
        <f>SUMIF(Taostats_CSV!$E:$E,AA31,Taostats_CSV!R:R)</f>
        <v>0</v>
      </c>
      <c r="AE31" s="4">
        <f t="shared" ca="1" si="6"/>
        <v>0</v>
      </c>
      <c r="AF31" s="4">
        <f t="shared" ca="1" si="7"/>
        <v>0</v>
      </c>
      <c r="AG31" s="4">
        <f t="shared" ca="1" si="8"/>
        <v>0</v>
      </c>
      <c r="AH31">
        <f t="shared" ca="1" si="13"/>
        <v>0</v>
      </c>
      <c r="AI31">
        <f t="shared" ca="1" si="14"/>
        <v>0</v>
      </c>
    </row>
    <row r="32" spans="1:35" x14ac:dyDescent="0.4">
      <c r="A32" t="str">
        <f>MID(Taostats_CSV!C32,6,2)&amp;"/"&amp;MID(Taostats_CSV!C32,9,2)&amp;"/"&amp;LEFT(Taostats_CSV!C32,4)&amp;" "&amp;MID(Taostats_CSV!C32,12,8)</f>
        <v>01/29/2025 23:59:48</v>
      </c>
      <c r="C32" t="str">
        <f ca="1">IF(Q32,OFFSET(Taostats_CSV!$E$1,MATCH(K32&amp;D$1,Taostats_CSV!$X:$X,0)-1,0),IF(Taostats_CSV!F32="fee",IF(VALUE(Taostats_CSV!G32)&gt;0,Taostats_CSV!E32,""),""))</f>
        <v/>
      </c>
      <c r="D32" t="str">
        <f ca="1">IF(Q32,OFFSET(Taostats_CSV!$G$1,MATCH(K32&amp;D$1,Taostats_CSV!$X:$X,0)-1,0),IF(Taostats_CSV!F32="fee",IF(VALUE(Taostats_CSV!G32)&gt;0,Taostats_CSV!G32,""),""))</f>
        <v/>
      </c>
      <c r="E32" t="str">
        <f ca="1">IF(AND(Q32,P32&gt;0),OFFSET(Taostats_CSV!$E$1,MATCH(K32&amp;F$1,Taostats_CSV!$X:$X,0)-1,0),IF(LEN(F32)&gt;0,Taostats_CSV!E32,""))</f>
        <v>TAO</v>
      </c>
      <c r="F32" t="str">
        <f ca="1">TRIM(IF(AND(Q32,P32&gt;0),OFFSET(Taostats_CSV!$H$1,MATCH(K32&amp;F$1,Taostats_CSV!$X:$X,0)-1,0),IF(LEN(Taostats_CSV!H32)&gt;0,Taostats_CSV!H32,Taostats_CSV!R32)))</f>
        <v>0.113259164</v>
      </c>
      <c r="G32" t="str">
        <f ca="1">IF(AND(Q32,N32=1),OFFSET(Taostats_CSV!$E$1,MATCH(K32&amp;H$1,Taostats_CSV!$X:$X,0)-1,0),"")</f>
        <v/>
      </c>
      <c r="H32" t="str">
        <f ca="1">IF(AND(Q32,N32=1),OFFSET(Taostats_CSV!$G$1,MATCH(K32&amp;H$1,Taostats_CSV!$X:$X,0)-1,0),"")</f>
        <v/>
      </c>
      <c r="I32" t="str">
        <f ca="1">IF(AND(LEN(K32)=0,LEN(F32)&gt;0),"Income",IF(AND(O32&gt;0,P32&gt;0,C32&lt;&gt;E32),"Trade",IF(AND(NOT(Q32),Taostats_CSV!F32="fee"),'READ ME'!$C$5,"")))</f>
        <v>Income</v>
      </c>
      <c r="J32" t="str">
        <f ca="1">SUBSTITUTE(IF(LEN(I32)=0,Taostats_CSV!F32&amp;" "&amp;Taostats_CSV!J32,IF(I32="Cost","Extrinsic fee","")),"_"," ")</f>
        <v/>
      </c>
      <c r="K32" t="str">
        <f>TRIM(IF(LEN(Taostats_CSV!I32)&gt;0,Taostats_CSV!I32,""))</f>
        <v/>
      </c>
      <c r="L32" t="str">
        <f>IF(Taostats_CSV!E32&lt;&gt;"TAO",IF(LEN(F32)&gt;0,F32,IF(LEN(D32)&gt;0,D32,0))*Taostats_CSV!P32,"")</f>
        <v/>
      </c>
      <c r="M32" t="str">
        <f t="shared" si="3"/>
        <v/>
      </c>
      <c r="N32">
        <f>COUNTIF(Taostats_CSV!$X:$X,Taostats_CSV!$I32&amp;N$1)</f>
        <v>0</v>
      </c>
      <c r="O32">
        <f>COUNTIF(Taostats_CSV!$X:$X,Taostats_CSV!$I32&amp;O$1)</f>
        <v>0</v>
      </c>
      <c r="P32">
        <f>COUNTIF(Taostats_CSV!$X:$X,Taostats_CSV!$I32&amp;P$1)</f>
        <v>0</v>
      </c>
      <c r="Q32" t="b">
        <f t="shared" si="4"/>
        <v>0</v>
      </c>
      <c r="R32" t="b">
        <f>IF(LEN(K32)&gt;0,COUNTIF($K$3:K32,K32),FALSE)</f>
        <v>0</v>
      </c>
      <c r="S32" t="b">
        <f>IF(Taostats_CSV!A32=Taostats_CSV!$A$2,TRUE,Taostats_CSV!G32+Taostats_CSV!H32+Taostats_CSV!R32=0)</f>
        <v>0</v>
      </c>
      <c r="T32" t="b">
        <f t="shared" si="5"/>
        <v>1</v>
      </c>
      <c r="U32" t="b" cm="1">
        <f t="array" aca="1" ref="U32" ca="1">AND(T32,OR(O32-N32&gt;1,P32&gt;1,ISERROR(A32:P32)))</f>
        <v>0</v>
      </c>
      <c r="W32" t="e">
        <f>MATCH(K32&amp;$W$2,Taostats_CSV!$X$3:$X$1167,0)</f>
        <v>#N/A</v>
      </c>
      <c r="X32" t="e">
        <f t="shared" ca="1" si="0"/>
        <v>#VALUE!</v>
      </c>
      <c r="Y32">
        <f t="shared" ca="1" si="1"/>
        <v>0.113259164</v>
      </c>
      <c r="Z32" t="e">
        <f t="shared" ca="1" si="2"/>
        <v>#VALUE!</v>
      </c>
      <c r="AB32">
        <f>SUMIF(Taostats_CSV!$E:$E,AA32,Taostats_CSV!G:G)</f>
        <v>0</v>
      </c>
      <c r="AC32">
        <f>SUMIF(Taostats_CSV!$E:$E,AA32,Taostats_CSV!H:H)</f>
        <v>0</v>
      </c>
      <c r="AD32">
        <f>SUMIF(Taostats_CSV!$E:$E,AA32,Taostats_CSV!R:R)</f>
        <v>0</v>
      </c>
      <c r="AE32" s="4">
        <f t="shared" ca="1" si="6"/>
        <v>0</v>
      </c>
      <c r="AF32" s="4">
        <f t="shared" ca="1" si="7"/>
        <v>0</v>
      </c>
      <c r="AG32" s="4">
        <f t="shared" ca="1" si="8"/>
        <v>0</v>
      </c>
      <c r="AH32">
        <f t="shared" ca="1" si="13"/>
        <v>0</v>
      </c>
      <c r="AI32">
        <f t="shared" ca="1" si="14"/>
        <v>0</v>
      </c>
    </row>
    <row r="33" spans="1:35" x14ac:dyDescent="0.4">
      <c r="A33" t="str">
        <f>MID(Taostats_CSV!C33,6,2)&amp;"/"&amp;MID(Taostats_CSV!C33,9,2)&amp;"/"&amp;LEFT(Taostats_CSV!C33,4)&amp;" "&amp;MID(Taostats_CSV!C33,12,8)</f>
        <v>01/30/2025 23:59:48</v>
      </c>
      <c r="C33" t="str">
        <f ca="1">IF(Q33,OFFSET(Taostats_CSV!$E$1,MATCH(K33&amp;D$1,Taostats_CSV!$X:$X,0)-1,0),IF(Taostats_CSV!F33="fee",IF(VALUE(Taostats_CSV!G33)&gt;0,Taostats_CSV!E33,""),""))</f>
        <v/>
      </c>
      <c r="D33" t="str">
        <f ca="1">IF(Q33,OFFSET(Taostats_CSV!$G$1,MATCH(K33&amp;D$1,Taostats_CSV!$X:$X,0)-1,0),IF(Taostats_CSV!F33="fee",IF(VALUE(Taostats_CSV!G33)&gt;0,Taostats_CSV!G33,""),""))</f>
        <v/>
      </c>
      <c r="E33" t="str">
        <f ca="1">IF(AND(Q33,P33&gt;0),OFFSET(Taostats_CSV!$E$1,MATCH(K33&amp;F$1,Taostats_CSV!$X:$X,0)-1,0),IF(LEN(F33)&gt;0,Taostats_CSV!E33,""))</f>
        <v>TAO</v>
      </c>
      <c r="F33" t="str">
        <f ca="1">TRIM(IF(AND(Q33,P33&gt;0),OFFSET(Taostats_CSV!$H$1,MATCH(K33&amp;F$1,Taostats_CSV!$X:$X,0)-1,0),IF(LEN(Taostats_CSV!H33)&gt;0,Taostats_CSV!H33,Taostats_CSV!R33)))</f>
        <v>0.11638804</v>
      </c>
      <c r="G33" t="str">
        <f ca="1">IF(AND(Q33,N33=1),OFFSET(Taostats_CSV!$E$1,MATCH(K33&amp;H$1,Taostats_CSV!$X:$X,0)-1,0),"")</f>
        <v/>
      </c>
      <c r="H33" t="str">
        <f ca="1">IF(AND(Q33,N33=1),OFFSET(Taostats_CSV!$G$1,MATCH(K33&amp;H$1,Taostats_CSV!$X:$X,0)-1,0),"")</f>
        <v/>
      </c>
      <c r="I33" t="str">
        <f ca="1">IF(AND(LEN(K33)=0,LEN(F33)&gt;0),"Income",IF(AND(O33&gt;0,P33&gt;0,C33&lt;&gt;E33),"Trade",IF(AND(NOT(Q33),Taostats_CSV!F33="fee"),'READ ME'!$C$5,"")))</f>
        <v>Income</v>
      </c>
      <c r="J33" t="str">
        <f ca="1">SUBSTITUTE(IF(LEN(I33)=0,Taostats_CSV!F33&amp;" "&amp;Taostats_CSV!J33,IF(I33="Cost","Extrinsic fee","")),"_"," ")</f>
        <v/>
      </c>
      <c r="K33" t="str">
        <f>TRIM(IF(LEN(Taostats_CSV!I33)&gt;0,Taostats_CSV!I33,""))</f>
        <v/>
      </c>
      <c r="L33" t="str">
        <f>IF(Taostats_CSV!E33&lt;&gt;"TAO",IF(LEN(F33)&gt;0,F33,IF(LEN(D33)&gt;0,D33,0))*Taostats_CSV!P33,"")</f>
        <v/>
      </c>
      <c r="M33" t="str">
        <f t="shared" si="3"/>
        <v/>
      </c>
      <c r="N33">
        <f>COUNTIF(Taostats_CSV!$X:$X,Taostats_CSV!$I33&amp;N$1)</f>
        <v>0</v>
      </c>
      <c r="O33">
        <f>COUNTIF(Taostats_CSV!$X:$X,Taostats_CSV!$I33&amp;O$1)</f>
        <v>0</v>
      </c>
      <c r="P33">
        <f>COUNTIF(Taostats_CSV!$X:$X,Taostats_CSV!$I33&amp;P$1)</f>
        <v>0</v>
      </c>
      <c r="Q33" t="b">
        <f t="shared" si="4"/>
        <v>0</v>
      </c>
      <c r="R33" t="b">
        <f>IF(LEN(K33)&gt;0,COUNTIF($K$3:K33,K33),FALSE)</f>
        <v>0</v>
      </c>
      <c r="S33" t="b">
        <f>IF(Taostats_CSV!A33=Taostats_CSV!$A$2,TRUE,Taostats_CSV!G33+Taostats_CSV!H33+Taostats_CSV!R33=0)</f>
        <v>0</v>
      </c>
      <c r="T33" t="b">
        <f t="shared" si="5"/>
        <v>1</v>
      </c>
      <c r="U33" t="b" cm="1">
        <f t="array" aca="1" ref="U33" ca="1">AND(T33,OR(O33-N33&gt;1,P33&gt;1,ISERROR(A33:P33)))</f>
        <v>0</v>
      </c>
      <c r="W33" t="e">
        <f>MATCH(K33&amp;$W$2,Taostats_CSV!$X$3:$X$1167,0)</f>
        <v>#N/A</v>
      </c>
      <c r="X33" t="e">
        <f t="shared" ca="1" si="0"/>
        <v>#VALUE!</v>
      </c>
      <c r="Y33">
        <f t="shared" ca="1" si="1"/>
        <v>0.11638804</v>
      </c>
      <c r="Z33" t="e">
        <f t="shared" ca="1" si="2"/>
        <v>#VALUE!</v>
      </c>
      <c r="AB33">
        <f>SUMIF(Taostats_CSV!$E:$E,AA33,Taostats_CSV!G:G)</f>
        <v>0</v>
      </c>
      <c r="AC33">
        <f>SUMIF(Taostats_CSV!$E:$E,AA33,Taostats_CSV!H:H)</f>
        <v>0</v>
      </c>
      <c r="AD33">
        <f>SUMIF(Taostats_CSV!$E:$E,AA33,Taostats_CSV!R:R)</f>
        <v>0</v>
      </c>
      <c r="AE33" s="4">
        <f t="shared" ca="1" si="6"/>
        <v>0</v>
      </c>
      <c r="AF33" s="4">
        <f t="shared" ca="1" si="7"/>
        <v>0</v>
      </c>
      <c r="AG33" s="4">
        <f t="shared" ca="1" si="8"/>
        <v>0</v>
      </c>
      <c r="AH33">
        <f t="shared" ca="1" si="13"/>
        <v>0</v>
      </c>
      <c r="AI33">
        <f t="shared" ca="1" si="14"/>
        <v>0</v>
      </c>
    </row>
    <row r="34" spans="1:35" x14ac:dyDescent="0.4">
      <c r="A34" t="str">
        <f>MID(Taostats_CSV!C34,6,2)&amp;"/"&amp;MID(Taostats_CSV!C34,9,2)&amp;"/"&amp;LEFT(Taostats_CSV!C34,4)&amp;" "&amp;MID(Taostats_CSV!C34,12,8)</f>
        <v>01/31/2025 23:59:48</v>
      </c>
      <c r="C34" t="str">
        <f ca="1">IF(Q34,OFFSET(Taostats_CSV!$E$1,MATCH(K34&amp;D$1,Taostats_CSV!$X:$X,0)-1,0),IF(Taostats_CSV!F34="fee",IF(VALUE(Taostats_CSV!G34)&gt;0,Taostats_CSV!E34,""),""))</f>
        <v/>
      </c>
      <c r="D34" t="str">
        <f ca="1">IF(Q34,OFFSET(Taostats_CSV!$G$1,MATCH(K34&amp;D$1,Taostats_CSV!$X:$X,0)-1,0),IF(Taostats_CSV!F34="fee",IF(VALUE(Taostats_CSV!G34)&gt;0,Taostats_CSV!G34,""),""))</f>
        <v/>
      </c>
      <c r="E34" t="str">
        <f ca="1">IF(AND(Q34,P34&gt;0),OFFSET(Taostats_CSV!$E$1,MATCH(K34&amp;F$1,Taostats_CSV!$X:$X,0)-1,0),IF(LEN(F34)&gt;0,Taostats_CSV!E34,""))</f>
        <v>TAO</v>
      </c>
      <c r="F34" t="str">
        <f ca="1">TRIM(IF(AND(Q34,P34&gt;0),OFFSET(Taostats_CSV!$H$1,MATCH(K34&amp;F$1,Taostats_CSV!$X:$X,0)-1,0),IF(LEN(Taostats_CSV!H34)&gt;0,Taostats_CSV!H34,Taostats_CSV!R34)))</f>
        <v>0.119340447</v>
      </c>
      <c r="G34" t="str">
        <f ca="1">IF(AND(Q34,N34=1),OFFSET(Taostats_CSV!$E$1,MATCH(K34&amp;H$1,Taostats_CSV!$X:$X,0)-1,0),"")</f>
        <v/>
      </c>
      <c r="H34" t="str">
        <f ca="1">IF(AND(Q34,N34=1),OFFSET(Taostats_CSV!$G$1,MATCH(K34&amp;H$1,Taostats_CSV!$X:$X,0)-1,0),"")</f>
        <v/>
      </c>
      <c r="I34" t="str">
        <f ca="1">IF(AND(LEN(K34)=0,LEN(F34)&gt;0),"Income",IF(AND(O34&gt;0,P34&gt;0,C34&lt;&gt;E34),"Trade",IF(AND(NOT(Q34),Taostats_CSV!F34="fee"),'READ ME'!$C$5,"")))</f>
        <v>Income</v>
      </c>
      <c r="J34" t="str">
        <f ca="1">SUBSTITUTE(IF(LEN(I34)=0,Taostats_CSV!F34&amp;" "&amp;Taostats_CSV!J34,IF(I34="Cost","Extrinsic fee","")),"_"," ")</f>
        <v/>
      </c>
      <c r="K34" t="str">
        <f>TRIM(IF(LEN(Taostats_CSV!I34)&gt;0,Taostats_CSV!I34,""))</f>
        <v/>
      </c>
      <c r="L34" t="str">
        <f>IF(Taostats_CSV!E34&lt;&gt;"TAO",IF(LEN(F34)&gt;0,F34,IF(LEN(D34)&gt;0,D34,0))*Taostats_CSV!P34,"")</f>
        <v/>
      </c>
      <c r="M34" t="str">
        <f t="shared" si="3"/>
        <v/>
      </c>
      <c r="N34">
        <f>COUNTIF(Taostats_CSV!$X:$X,Taostats_CSV!$I34&amp;N$1)</f>
        <v>0</v>
      </c>
      <c r="O34">
        <f>COUNTIF(Taostats_CSV!$X:$X,Taostats_CSV!$I34&amp;O$1)</f>
        <v>0</v>
      </c>
      <c r="P34">
        <f>COUNTIF(Taostats_CSV!$X:$X,Taostats_CSV!$I34&amp;P$1)</f>
        <v>0</v>
      </c>
      <c r="Q34" t="b">
        <f t="shared" si="4"/>
        <v>0</v>
      </c>
      <c r="R34" t="b">
        <f>IF(LEN(K34)&gt;0,COUNTIF($K$3:K34,K34),FALSE)</f>
        <v>0</v>
      </c>
      <c r="S34" t="b">
        <f>IF(Taostats_CSV!A34=Taostats_CSV!$A$2,TRUE,Taostats_CSV!G34+Taostats_CSV!H34+Taostats_CSV!R34=0)</f>
        <v>0</v>
      </c>
      <c r="T34" t="b">
        <f t="shared" si="5"/>
        <v>1</v>
      </c>
      <c r="U34" t="b" cm="1">
        <f t="array" aca="1" ref="U34" ca="1">AND(T34,OR(O34-N34&gt;1,P34&gt;1,ISERROR(A34:P34)))</f>
        <v>0</v>
      </c>
      <c r="W34" t="e">
        <f>MATCH(K34&amp;$W$2,Taostats_CSV!$X$3:$X$1167,0)</f>
        <v>#N/A</v>
      </c>
      <c r="X34" t="e">
        <f t="shared" ca="1" si="0"/>
        <v>#VALUE!</v>
      </c>
      <c r="Y34">
        <f t="shared" ca="1" si="1"/>
        <v>0.119340447</v>
      </c>
      <c r="Z34" t="e">
        <f t="shared" ca="1" si="2"/>
        <v>#VALUE!</v>
      </c>
      <c r="AB34">
        <f>SUMIF(Taostats_CSV!$E:$E,AA34,Taostats_CSV!G:G)</f>
        <v>0</v>
      </c>
      <c r="AC34">
        <f>SUMIF(Taostats_CSV!$E:$E,AA34,Taostats_CSV!H:H)</f>
        <v>0</v>
      </c>
      <c r="AD34">
        <f>SUMIF(Taostats_CSV!$E:$E,AA34,Taostats_CSV!R:R)</f>
        <v>0</v>
      </c>
      <c r="AE34" s="4">
        <f t="shared" ca="1" si="6"/>
        <v>0</v>
      </c>
      <c r="AF34" s="4">
        <f t="shared" ca="1" si="7"/>
        <v>0</v>
      </c>
      <c r="AG34" s="4">
        <f t="shared" ca="1" si="8"/>
        <v>0</v>
      </c>
      <c r="AH34">
        <f t="shared" ca="1" si="13"/>
        <v>0</v>
      </c>
      <c r="AI34">
        <f t="shared" ca="1" si="14"/>
        <v>0</v>
      </c>
    </row>
    <row r="35" spans="1:35" x14ac:dyDescent="0.4">
      <c r="A35" t="str">
        <f>MID(Taostats_CSV!C35,6,2)&amp;"/"&amp;MID(Taostats_CSV!C35,9,2)&amp;"/"&amp;LEFT(Taostats_CSV!C35,4)&amp;" "&amp;MID(Taostats_CSV!C35,12,8)</f>
        <v>02/01/2025 23:59:48</v>
      </c>
      <c r="C35" t="str">
        <f ca="1">IF(Q35,OFFSET(Taostats_CSV!$E$1,MATCH(K35&amp;D$1,Taostats_CSV!$X:$X,0)-1,0),IF(Taostats_CSV!F35="fee",IF(VALUE(Taostats_CSV!G35)&gt;0,Taostats_CSV!E35,""),""))</f>
        <v/>
      </c>
      <c r="D35" t="str">
        <f ca="1">IF(Q35,OFFSET(Taostats_CSV!$G$1,MATCH(K35&amp;D$1,Taostats_CSV!$X:$X,0)-1,0),IF(Taostats_CSV!F35="fee",IF(VALUE(Taostats_CSV!G35)&gt;0,Taostats_CSV!G35,""),""))</f>
        <v/>
      </c>
      <c r="E35" t="str">
        <f ca="1">IF(AND(Q35,P35&gt;0),OFFSET(Taostats_CSV!$E$1,MATCH(K35&amp;F$1,Taostats_CSV!$X:$X,0)-1,0),IF(LEN(F35)&gt;0,Taostats_CSV!E35,""))</f>
        <v>TAO</v>
      </c>
      <c r="F35" t="str">
        <f ca="1">TRIM(IF(AND(Q35,P35&gt;0),OFFSET(Taostats_CSV!$H$1,MATCH(K35&amp;F$1,Taostats_CSV!$X:$X,0)-1,0),IF(LEN(Taostats_CSV!H35)&gt;0,Taostats_CSV!H35,Taostats_CSV!R35)))</f>
        <v>0.119228538</v>
      </c>
      <c r="G35" t="str">
        <f ca="1">IF(AND(Q35,N35=1),OFFSET(Taostats_CSV!$E$1,MATCH(K35&amp;H$1,Taostats_CSV!$X:$X,0)-1,0),"")</f>
        <v/>
      </c>
      <c r="H35" t="str">
        <f ca="1">IF(AND(Q35,N35=1),OFFSET(Taostats_CSV!$G$1,MATCH(K35&amp;H$1,Taostats_CSV!$X:$X,0)-1,0),"")</f>
        <v/>
      </c>
      <c r="I35" t="str">
        <f ca="1">IF(AND(LEN(K35)=0,LEN(F35)&gt;0),"Income",IF(AND(O35&gt;0,P35&gt;0,C35&lt;&gt;E35),"Trade",IF(AND(NOT(Q35),Taostats_CSV!F35="fee"),'READ ME'!$C$5,"")))</f>
        <v>Income</v>
      </c>
      <c r="J35" t="str">
        <f ca="1">SUBSTITUTE(IF(LEN(I35)=0,Taostats_CSV!F35&amp;" "&amp;Taostats_CSV!J35,IF(I35="Cost","Extrinsic fee","")),"_"," ")</f>
        <v/>
      </c>
      <c r="K35" t="str">
        <f>TRIM(IF(LEN(Taostats_CSV!I35)&gt;0,Taostats_CSV!I35,""))</f>
        <v/>
      </c>
      <c r="L35" t="str">
        <f>IF(Taostats_CSV!E35&lt;&gt;"TAO",IF(LEN(F35)&gt;0,F35,IF(LEN(D35)&gt;0,D35,0))*Taostats_CSV!P35,"")</f>
        <v/>
      </c>
      <c r="M35" t="str">
        <f t="shared" si="3"/>
        <v/>
      </c>
      <c r="N35">
        <f>COUNTIF(Taostats_CSV!$X:$X,Taostats_CSV!$I35&amp;N$1)</f>
        <v>0</v>
      </c>
      <c r="O35">
        <f>COUNTIF(Taostats_CSV!$X:$X,Taostats_CSV!$I35&amp;O$1)</f>
        <v>0</v>
      </c>
      <c r="P35">
        <f>COUNTIF(Taostats_CSV!$X:$X,Taostats_CSV!$I35&amp;P$1)</f>
        <v>0</v>
      </c>
      <c r="Q35" t="b">
        <f t="shared" si="4"/>
        <v>0</v>
      </c>
      <c r="R35" t="b">
        <f>IF(LEN(K35)&gt;0,COUNTIF($K$3:K35,K35),FALSE)</f>
        <v>0</v>
      </c>
      <c r="S35" t="b">
        <f>IF(Taostats_CSV!A35=Taostats_CSV!$A$2,TRUE,Taostats_CSV!G35+Taostats_CSV!H35+Taostats_CSV!R35=0)</f>
        <v>0</v>
      </c>
      <c r="T35" t="b">
        <f t="shared" si="5"/>
        <v>1</v>
      </c>
      <c r="U35" t="b" cm="1">
        <f t="array" aca="1" ref="U35" ca="1">AND(T35,OR(O35-N35&gt;1,P35&gt;1,ISERROR(A35:P35)))</f>
        <v>0</v>
      </c>
      <c r="W35" t="e">
        <f>MATCH(K35&amp;$W$2,Taostats_CSV!$X$3:$X$1167,0)</f>
        <v>#N/A</v>
      </c>
      <c r="X35" t="e">
        <f t="shared" ca="1" si="0"/>
        <v>#VALUE!</v>
      </c>
      <c r="Y35">
        <f t="shared" ca="1" si="1"/>
        <v>0.119228538</v>
      </c>
      <c r="Z35" t="e">
        <f t="shared" ca="1" si="2"/>
        <v>#VALUE!</v>
      </c>
      <c r="AB35">
        <f>SUMIF(Taostats_CSV!$E:$E,AA35,Taostats_CSV!G:G)</f>
        <v>0</v>
      </c>
      <c r="AC35">
        <f>SUMIF(Taostats_CSV!$E:$E,AA35,Taostats_CSV!H:H)</f>
        <v>0</v>
      </c>
      <c r="AD35">
        <f>SUMIF(Taostats_CSV!$E:$E,AA35,Taostats_CSV!R:R)</f>
        <v>0</v>
      </c>
      <c r="AE35" s="4">
        <f t="shared" ca="1" si="6"/>
        <v>0</v>
      </c>
      <c r="AF35" s="4">
        <f t="shared" ca="1" si="7"/>
        <v>0</v>
      </c>
      <c r="AG35" s="4">
        <f t="shared" ca="1" si="8"/>
        <v>0</v>
      </c>
      <c r="AH35">
        <f t="shared" ca="1" si="13"/>
        <v>0</v>
      </c>
      <c r="AI35">
        <f t="shared" ca="1" si="14"/>
        <v>0</v>
      </c>
    </row>
    <row r="36" spans="1:35" x14ac:dyDescent="0.4">
      <c r="A36" t="str">
        <f>MID(Taostats_CSV!C36,6,2)&amp;"/"&amp;MID(Taostats_CSV!C36,9,2)&amp;"/"&amp;LEFT(Taostats_CSV!C36,4)&amp;" "&amp;MID(Taostats_CSV!C36,12,8)</f>
        <v>02/02/2025 23:59:48</v>
      </c>
      <c r="C36" t="str">
        <f ca="1">IF(Q36,OFFSET(Taostats_CSV!$E$1,MATCH(K36&amp;D$1,Taostats_CSV!$X:$X,0)-1,0),IF(Taostats_CSV!F36="fee",IF(VALUE(Taostats_CSV!G36)&gt;0,Taostats_CSV!E36,""),""))</f>
        <v/>
      </c>
      <c r="D36" t="str">
        <f ca="1">IF(Q36,OFFSET(Taostats_CSV!$G$1,MATCH(K36&amp;D$1,Taostats_CSV!$X:$X,0)-1,0),IF(Taostats_CSV!F36="fee",IF(VALUE(Taostats_CSV!G36)&gt;0,Taostats_CSV!G36,""),""))</f>
        <v/>
      </c>
      <c r="E36" t="str">
        <f ca="1">IF(AND(Q36,P36&gt;0),OFFSET(Taostats_CSV!$E$1,MATCH(K36&amp;F$1,Taostats_CSV!$X:$X,0)-1,0),IF(LEN(F36)&gt;0,Taostats_CSV!E36,""))</f>
        <v>TAO</v>
      </c>
      <c r="F36" t="str">
        <f ca="1">TRIM(IF(AND(Q36,P36&gt;0),OFFSET(Taostats_CSV!$H$1,MATCH(K36&amp;F$1,Taostats_CSV!$X:$X,0)-1,0),IF(LEN(Taostats_CSV!H36)&gt;0,Taostats_CSV!H36,Taostats_CSV!R36)))</f>
        <v>0.117784529</v>
      </c>
      <c r="G36" t="str">
        <f ca="1">IF(AND(Q36,N36=1),OFFSET(Taostats_CSV!$E$1,MATCH(K36&amp;H$1,Taostats_CSV!$X:$X,0)-1,0),"")</f>
        <v/>
      </c>
      <c r="H36" t="str">
        <f ca="1">IF(AND(Q36,N36=1),OFFSET(Taostats_CSV!$G$1,MATCH(K36&amp;H$1,Taostats_CSV!$X:$X,0)-1,0),"")</f>
        <v/>
      </c>
      <c r="I36" t="str">
        <f ca="1">IF(AND(LEN(K36)=0,LEN(F36)&gt;0),"Income",IF(AND(O36&gt;0,P36&gt;0,C36&lt;&gt;E36),"Trade",IF(AND(NOT(Q36),Taostats_CSV!F36="fee"),'READ ME'!$C$5,"")))</f>
        <v>Income</v>
      </c>
      <c r="J36" t="str">
        <f ca="1">SUBSTITUTE(IF(LEN(I36)=0,Taostats_CSV!F36&amp;" "&amp;Taostats_CSV!J36,IF(I36="Cost","Extrinsic fee","")),"_"," ")</f>
        <v/>
      </c>
      <c r="K36" t="str">
        <f>TRIM(IF(LEN(Taostats_CSV!I36)&gt;0,Taostats_CSV!I36,""))</f>
        <v/>
      </c>
      <c r="L36" t="str">
        <f>IF(Taostats_CSV!E36&lt;&gt;"TAO",IF(LEN(F36)&gt;0,F36,IF(LEN(D36)&gt;0,D36,0))*Taostats_CSV!P36,"")</f>
        <v/>
      </c>
      <c r="M36" t="str">
        <f t="shared" si="3"/>
        <v/>
      </c>
      <c r="N36">
        <f>COUNTIF(Taostats_CSV!$X:$X,Taostats_CSV!$I36&amp;N$1)</f>
        <v>0</v>
      </c>
      <c r="O36">
        <f>COUNTIF(Taostats_CSV!$X:$X,Taostats_CSV!$I36&amp;O$1)</f>
        <v>0</v>
      </c>
      <c r="P36">
        <f>COUNTIF(Taostats_CSV!$X:$X,Taostats_CSV!$I36&amp;P$1)</f>
        <v>0</v>
      </c>
      <c r="Q36" t="b">
        <f t="shared" si="4"/>
        <v>0</v>
      </c>
      <c r="R36" t="b">
        <f>IF(LEN(K36)&gt;0,COUNTIF($K$3:K36,K36),FALSE)</f>
        <v>0</v>
      </c>
      <c r="S36" t="b">
        <f>IF(Taostats_CSV!A36=Taostats_CSV!$A$2,TRUE,Taostats_CSV!G36+Taostats_CSV!H36+Taostats_CSV!R36=0)</f>
        <v>0</v>
      </c>
      <c r="T36" t="b">
        <f t="shared" si="5"/>
        <v>1</v>
      </c>
      <c r="U36" t="b" cm="1">
        <f t="array" aca="1" ref="U36" ca="1">AND(T36,OR(O36-N36&gt;1,P36&gt;1,ISERROR(A36:P36)))</f>
        <v>0</v>
      </c>
      <c r="W36" t="e">
        <f>MATCH(K36&amp;$W$2,Taostats_CSV!$X$3:$X$1167,0)</f>
        <v>#N/A</v>
      </c>
      <c r="X36" t="e">
        <f t="shared" ca="1" si="0"/>
        <v>#VALUE!</v>
      </c>
      <c r="Y36">
        <f t="shared" ca="1" si="1"/>
        <v>0.117784529</v>
      </c>
      <c r="Z36" t="e">
        <f t="shared" ca="1" si="2"/>
        <v>#VALUE!</v>
      </c>
      <c r="AB36">
        <f>SUMIF(Taostats_CSV!$E:$E,AA36,Taostats_CSV!G:G)</f>
        <v>0</v>
      </c>
      <c r="AC36">
        <f>SUMIF(Taostats_CSV!$E:$E,AA36,Taostats_CSV!H:H)</f>
        <v>0</v>
      </c>
      <c r="AD36">
        <f>SUMIF(Taostats_CSV!$E:$E,AA36,Taostats_CSV!R:R)</f>
        <v>0</v>
      </c>
      <c r="AE36" s="4">
        <f t="shared" ca="1" si="6"/>
        <v>0</v>
      </c>
      <c r="AF36" s="4">
        <f t="shared" ca="1" si="7"/>
        <v>0</v>
      </c>
      <c r="AG36" s="4">
        <f t="shared" ca="1" si="8"/>
        <v>0</v>
      </c>
      <c r="AH36">
        <f t="shared" ca="1" si="13"/>
        <v>0</v>
      </c>
      <c r="AI36">
        <f t="shared" ca="1" si="14"/>
        <v>0</v>
      </c>
    </row>
    <row r="37" spans="1:35" x14ac:dyDescent="0.4">
      <c r="A37" t="str">
        <f>MID(Taostats_CSV!C37,6,2)&amp;"/"&amp;MID(Taostats_CSV!C37,9,2)&amp;"/"&amp;LEFT(Taostats_CSV!C37,4)&amp;" "&amp;MID(Taostats_CSV!C37,12,8)</f>
        <v>02/03/2025 23:59:48</v>
      </c>
      <c r="C37" t="str">
        <f ca="1">IF(Q37,OFFSET(Taostats_CSV!$E$1,MATCH(K37&amp;D$1,Taostats_CSV!$X:$X,0)-1,0),IF(Taostats_CSV!F37="fee",IF(VALUE(Taostats_CSV!G37)&gt;0,Taostats_CSV!E37,""),""))</f>
        <v/>
      </c>
      <c r="D37" t="str">
        <f ca="1">IF(Q37,OFFSET(Taostats_CSV!$G$1,MATCH(K37&amp;D$1,Taostats_CSV!$X:$X,0)-1,0),IF(Taostats_CSV!F37="fee",IF(VALUE(Taostats_CSV!G37)&gt;0,Taostats_CSV!G37,""),""))</f>
        <v/>
      </c>
      <c r="E37" t="str">
        <f ca="1">IF(AND(Q37,P37&gt;0),OFFSET(Taostats_CSV!$E$1,MATCH(K37&amp;F$1,Taostats_CSV!$X:$X,0)-1,0),IF(LEN(F37)&gt;0,Taostats_CSV!E37,""))</f>
        <v>TAO</v>
      </c>
      <c r="F37" t="str">
        <f ca="1">TRIM(IF(AND(Q37,P37&gt;0),OFFSET(Taostats_CSV!$H$1,MATCH(K37&amp;F$1,Taostats_CSV!$X:$X,0)-1,0),IF(LEN(Taostats_CSV!H37)&gt;0,Taostats_CSV!H37,Taostats_CSV!R37)))</f>
        <v>0.12029826</v>
      </c>
      <c r="G37" t="str">
        <f ca="1">IF(AND(Q37,N37=1),OFFSET(Taostats_CSV!$E$1,MATCH(K37&amp;H$1,Taostats_CSV!$X:$X,0)-1,0),"")</f>
        <v/>
      </c>
      <c r="H37" t="str">
        <f ca="1">IF(AND(Q37,N37=1),OFFSET(Taostats_CSV!$G$1,MATCH(K37&amp;H$1,Taostats_CSV!$X:$X,0)-1,0),"")</f>
        <v/>
      </c>
      <c r="I37" t="str">
        <f ca="1">IF(AND(LEN(K37)=0,LEN(F37)&gt;0),"Income",IF(AND(O37&gt;0,P37&gt;0,C37&lt;&gt;E37),"Trade",IF(AND(NOT(Q37),Taostats_CSV!F37="fee"),'READ ME'!$C$5,"")))</f>
        <v>Income</v>
      </c>
      <c r="J37" t="str">
        <f ca="1">SUBSTITUTE(IF(LEN(I37)=0,Taostats_CSV!F37&amp;" "&amp;Taostats_CSV!J37,IF(I37="Cost","Extrinsic fee","")),"_"," ")</f>
        <v/>
      </c>
      <c r="K37" t="str">
        <f>TRIM(IF(LEN(Taostats_CSV!I37)&gt;0,Taostats_CSV!I37,""))</f>
        <v/>
      </c>
      <c r="L37" t="str">
        <f>IF(Taostats_CSV!E37&lt;&gt;"TAO",IF(LEN(F37)&gt;0,F37,IF(LEN(D37)&gt;0,D37,0))*Taostats_CSV!P37,"")</f>
        <v/>
      </c>
      <c r="M37" t="str">
        <f t="shared" si="3"/>
        <v/>
      </c>
      <c r="N37">
        <f>COUNTIF(Taostats_CSV!$X:$X,Taostats_CSV!$I37&amp;N$1)</f>
        <v>0</v>
      </c>
      <c r="O37">
        <f>COUNTIF(Taostats_CSV!$X:$X,Taostats_CSV!$I37&amp;O$1)</f>
        <v>0</v>
      </c>
      <c r="P37">
        <f>COUNTIF(Taostats_CSV!$X:$X,Taostats_CSV!$I37&amp;P$1)</f>
        <v>0</v>
      </c>
      <c r="Q37" t="b">
        <f t="shared" si="4"/>
        <v>0</v>
      </c>
      <c r="R37" t="b">
        <f>IF(LEN(K37)&gt;0,COUNTIF($K$3:K37,K37),FALSE)</f>
        <v>0</v>
      </c>
      <c r="S37" t="b">
        <f>IF(Taostats_CSV!A37=Taostats_CSV!$A$2,TRUE,Taostats_CSV!G37+Taostats_CSV!H37+Taostats_CSV!R37=0)</f>
        <v>0</v>
      </c>
      <c r="T37" t="b">
        <f t="shared" si="5"/>
        <v>1</v>
      </c>
      <c r="U37" t="b" cm="1">
        <f t="array" aca="1" ref="U37" ca="1">AND(T37,OR(O37-N37&gt;1,P37&gt;1,ISERROR(A37:P37)))</f>
        <v>0</v>
      </c>
      <c r="W37" t="e">
        <f>MATCH(K37&amp;$W$2,Taostats_CSV!$X$3:$X$1167,0)</f>
        <v>#N/A</v>
      </c>
      <c r="X37" t="e">
        <f t="shared" ca="1" si="0"/>
        <v>#VALUE!</v>
      </c>
      <c r="Y37">
        <f t="shared" ca="1" si="1"/>
        <v>0.12029826</v>
      </c>
      <c r="Z37" t="e">
        <f t="shared" ca="1" si="2"/>
        <v>#VALUE!</v>
      </c>
      <c r="AB37">
        <f>SUMIF(Taostats_CSV!$E:$E,AA37,Taostats_CSV!G:G)</f>
        <v>0</v>
      </c>
      <c r="AC37">
        <f>SUMIF(Taostats_CSV!$E:$E,AA37,Taostats_CSV!H:H)</f>
        <v>0</v>
      </c>
      <c r="AD37">
        <f>SUMIF(Taostats_CSV!$E:$E,AA37,Taostats_CSV!R:R)</f>
        <v>0</v>
      </c>
      <c r="AE37" s="4">
        <f t="shared" ref="AE37:AE53" ca="1" si="15">SUMIFS($X:$X,$C:$C,$AA37,$T:$T,TRUE)</f>
        <v>0</v>
      </c>
      <c r="AF37" s="4">
        <f t="shared" ref="AF37:AF53" ca="1" si="16">SUMIFS($Y:$Y,$E:$E,$AA37,$T:$T,TRUE)</f>
        <v>0</v>
      </c>
      <c r="AG37" s="4">
        <f t="shared" ref="AG37:AG53" ca="1" si="17">SUMIFS($H:$H,$G:$G,$AA37,$T:$T,TRUE)</f>
        <v>0</v>
      </c>
      <c r="AH37">
        <f t="shared" ca="1" si="13"/>
        <v>0</v>
      </c>
      <c r="AI37">
        <f t="shared" ca="1" si="14"/>
        <v>0</v>
      </c>
    </row>
    <row r="38" spans="1:35" x14ac:dyDescent="0.4">
      <c r="A38" t="str">
        <f>MID(Taostats_CSV!C38,6,2)&amp;"/"&amp;MID(Taostats_CSV!C38,9,2)&amp;"/"&amp;LEFT(Taostats_CSV!C38,4)&amp;" "&amp;MID(Taostats_CSV!C38,12,8)</f>
        <v>02/04/2025 23:59:48</v>
      </c>
      <c r="C38" t="str">
        <f ca="1">IF(Q38,OFFSET(Taostats_CSV!$E$1,MATCH(K38&amp;D$1,Taostats_CSV!$X:$X,0)-1,0),IF(Taostats_CSV!F38="fee",IF(VALUE(Taostats_CSV!G38)&gt;0,Taostats_CSV!E38,""),""))</f>
        <v/>
      </c>
      <c r="D38" t="str">
        <f ca="1">IF(Q38,OFFSET(Taostats_CSV!$G$1,MATCH(K38&amp;D$1,Taostats_CSV!$X:$X,0)-1,0),IF(Taostats_CSV!F38="fee",IF(VALUE(Taostats_CSV!G38)&gt;0,Taostats_CSV!G38,""),""))</f>
        <v/>
      </c>
      <c r="E38" t="str">
        <f ca="1">IF(AND(Q38,P38&gt;0),OFFSET(Taostats_CSV!$E$1,MATCH(K38&amp;F$1,Taostats_CSV!$X:$X,0)-1,0),IF(LEN(F38)&gt;0,Taostats_CSV!E38,""))</f>
        <v>TAO</v>
      </c>
      <c r="F38" t="str">
        <f ca="1">TRIM(IF(AND(Q38,P38&gt;0),OFFSET(Taostats_CSV!$H$1,MATCH(K38&amp;F$1,Taostats_CSV!$X:$X,0)-1,0),IF(LEN(Taostats_CSV!H38)&gt;0,Taostats_CSV!H38,Taostats_CSV!R38)))</f>
        <v>0.117648683</v>
      </c>
      <c r="G38" t="str">
        <f ca="1">IF(AND(Q38,N38=1),OFFSET(Taostats_CSV!$E$1,MATCH(K38&amp;H$1,Taostats_CSV!$X:$X,0)-1,0),"")</f>
        <v/>
      </c>
      <c r="H38" t="str">
        <f ca="1">IF(AND(Q38,N38=1),OFFSET(Taostats_CSV!$G$1,MATCH(K38&amp;H$1,Taostats_CSV!$X:$X,0)-1,0),"")</f>
        <v/>
      </c>
      <c r="I38" t="str">
        <f ca="1">IF(AND(LEN(K38)=0,LEN(F38)&gt;0),"Income",IF(AND(O38&gt;0,P38&gt;0,C38&lt;&gt;E38),"Trade",IF(AND(NOT(Q38),Taostats_CSV!F38="fee"),'READ ME'!$C$5,"")))</f>
        <v>Income</v>
      </c>
      <c r="J38" t="str">
        <f ca="1">SUBSTITUTE(IF(LEN(I38)=0,Taostats_CSV!F38&amp;" "&amp;Taostats_CSV!J38,IF(I38="Cost","Extrinsic fee","")),"_"," ")</f>
        <v/>
      </c>
      <c r="K38" t="str">
        <f>TRIM(IF(LEN(Taostats_CSV!I38)&gt;0,Taostats_CSV!I38,""))</f>
        <v/>
      </c>
      <c r="L38" t="str">
        <f>IF(Taostats_CSV!E38&lt;&gt;"TAO",IF(LEN(F38)&gt;0,F38,IF(LEN(D38)&gt;0,D38,0))*Taostats_CSV!P38,"")</f>
        <v/>
      </c>
      <c r="M38" t="str">
        <f t="shared" si="3"/>
        <v/>
      </c>
      <c r="N38">
        <f>COUNTIF(Taostats_CSV!$X:$X,Taostats_CSV!$I38&amp;N$1)</f>
        <v>0</v>
      </c>
      <c r="O38">
        <f>COUNTIF(Taostats_CSV!$X:$X,Taostats_CSV!$I38&amp;O$1)</f>
        <v>0</v>
      </c>
      <c r="P38">
        <f>COUNTIF(Taostats_CSV!$X:$X,Taostats_CSV!$I38&amp;P$1)</f>
        <v>0</v>
      </c>
      <c r="Q38" t="b">
        <f t="shared" si="4"/>
        <v>0</v>
      </c>
      <c r="R38" t="b">
        <f>IF(LEN(K38)&gt;0,COUNTIF($K$3:K38,K38),FALSE)</f>
        <v>0</v>
      </c>
      <c r="S38" t="b">
        <f>IF(Taostats_CSV!A38=Taostats_CSV!$A$2,TRUE,Taostats_CSV!G38+Taostats_CSV!H38+Taostats_CSV!R38=0)</f>
        <v>0</v>
      </c>
      <c r="T38" t="b">
        <f t="shared" si="5"/>
        <v>1</v>
      </c>
      <c r="U38" t="b" cm="1">
        <f t="array" aca="1" ref="U38" ca="1">AND(T38,OR(O38-N38&gt;1,P38&gt;1,ISERROR(A38:P38)))</f>
        <v>0</v>
      </c>
      <c r="W38" t="e">
        <f>MATCH(K38&amp;$W$2,Taostats_CSV!$X$3:$X$1167,0)</f>
        <v>#N/A</v>
      </c>
      <c r="X38" t="e">
        <f t="shared" ca="1" si="0"/>
        <v>#VALUE!</v>
      </c>
      <c r="Y38">
        <f t="shared" ca="1" si="1"/>
        <v>0.117648683</v>
      </c>
      <c r="Z38" t="e">
        <f t="shared" ca="1" si="2"/>
        <v>#VALUE!</v>
      </c>
      <c r="AB38">
        <f>SUMIF(Taostats_CSV!$E:$E,AA38,Taostats_CSV!G:G)</f>
        <v>0</v>
      </c>
      <c r="AC38">
        <f>SUMIF(Taostats_CSV!$E:$E,AA38,Taostats_CSV!H:H)</f>
        <v>0</v>
      </c>
      <c r="AD38">
        <f>SUMIF(Taostats_CSV!$E:$E,AA38,Taostats_CSV!R:R)</f>
        <v>0</v>
      </c>
      <c r="AE38" s="4">
        <f t="shared" ca="1" si="15"/>
        <v>0</v>
      </c>
      <c r="AF38" s="4">
        <f t="shared" ca="1" si="16"/>
        <v>0</v>
      </c>
      <c r="AG38" s="4">
        <f t="shared" ca="1" si="17"/>
        <v>0</v>
      </c>
      <c r="AH38">
        <f t="shared" ca="1" si="13"/>
        <v>0</v>
      </c>
      <c r="AI38">
        <f t="shared" ca="1" si="14"/>
        <v>0</v>
      </c>
    </row>
    <row r="39" spans="1:35" x14ac:dyDescent="0.4">
      <c r="A39" t="str">
        <f>MID(Taostats_CSV!C39,6,2)&amp;"/"&amp;MID(Taostats_CSV!C39,9,2)&amp;"/"&amp;LEFT(Taostats_CSV!C39,4)&amp;" "&amp;MID(Taostats_CSV!C39,12,8)</f>
        <v>02/05/2025 23:59:48</v>
      </c>
      <c r="C39" t="str">
        <f ca="1">IF(Q39,OFFSET(Taostats_CSV!$E$1,MATCH(K39&amp;D$1,Taostats_CSV!$X:$X,0)-1,0),IF(Taostats_CSV!F39="fee",IF(VALUE(Taostats_CSV!G39)&gt;0,Taostats_CSV!E39,""),""))</f>
        <v/>
      </c>
      <c r="D39" t="str">
        <f ca="1">IF(Q39,OFFSET(Taostats_CSV!$G$1,MATCH(K39&amp;D$1,Taostats_CSV!$X:$X,0)-1,0),IF(Taostats_CSV!F39="fee",IF(VALUE(Taostats_CSV!G39)&gt;0,Taostats_CSV!G39,""),""))</f>
        <v/>
      </c>
      <c r="E39" t="str">
        <f ca="1">IF(AND(Q39,P39&gt;0),OFFSET(Taostats_CSV!$E$1,MATCH(K39&amp;F$1,Taostats_CSV!$X:$X,0)-1,0),IF(LEN(F39)&gt;0,Taostats_CSV!E39,""))</f>
        <v>TAO</v>
      </c>
      <c r="F39" t="str">
        <f ca="1">TRIM(IF(AND(Q39,P39&gt;0),OFFSET(Taostats_CSV!$H$1,MATCH(K39&amp;F$1,Taostats_CSV!$X:$X,0)-1,0),IF(LEN(Taostats_CSV!H39)&gt;0,Taostats_CSV!H39,Taostats_CSV!R39)))</f>
        <v>0.116017072</v>
      </c>
      <c r="G39" t="str">
        <f ca="1">IF(AND(Q39,N39=1),OFFSET(Taostats_CSV!$E$1,MATCH(K39&amp;H$1,Taostats_CSV!$X:$X,0)-1,0),"")</f>
        <v/>
      </c>
      <c r="H39" t="str">
        <f ca="1">IF(AND(Q39,N39=1),OFFSET(Taostats_CSV!$G$1,MATCH(K39&amp;H$1,Taostats_CSV!$X:$X,0)-1,0),"")</f>
        <v/>
      </c>
      <c r="I39" t="str">
        <f ca="1">IF(AND(LEN(K39)=0,LEN(F39)&gt;0),"Income",IF(AND(O39&gt;0,P39&gt;0,C39&lt;&gt;E39),"Trade",IF(AND(NOT(Q39),Taostats_CSV!F39="fee"),'READ ME'!$C$5,"")))</f>
        <v>Income</v>
      </c>
      <c r="J39" t="str">
        <f ca="1">SUBSTITUTE(IF(LEN(I39)=0,Taostats_CSV!F39&amp;" "&amp;Taostats_CSV!J39,IF(I39="Cost","Extrinsic fee","")),"_"," ")</f>
        <v/>
      </c>
      <c r="K39" t="str">
        <f>TRIM(IF(LEN(Taostats_CSV!I39)&gt;0,Taostats_CSV!I39,""))</f>
        <v/>
      </c>
      <c r="L39" t="str">
        <f>IF(Taostats_CSV!E39&lt;&gt;"TAO",IF(LEN(F39)&gt;0,F39,IF(LEN(D39)&gt;0,D39,0))*Taostats_CSV!P39,"")</f>
        <v/>
      </c>
      <c r="M39" t="str">
        <f t="shared" si="3"/>
        <v/>
      </c>
      <c r="N39">
        <f>COUNTIF(Taostats_CSV!$X:$X,Taostats_CSV!$I39&amp;N$1)</f>
        <v>0</v>
      </c>
      <c r="O39">
        <f>COUNTIF(Taostats_CSV!$X:$X,Taostats_CSV!$I39&amp;O$1)</f>
        <v>0</v>
      </c>
      <c r="P39">
        <f>COUNTIF(Taostats_CSV!$X:$X,Taostats_CSV!$I39&amp;P$1)</f>
        <v>0</v>
      </c>
      <c r="Q39" t="b">
        <f t="shared" si="4"/>
        <v>0</v>
      </c>
      <c r="R39" t="b">
        <f>IF(LEN(K39)&gt;0,COUNTIF($K$3:K39,K39),FALSE)</f>
        <v>0</v>
      </c>
      <c r="S39" t="b">
        <f>IF(Taostats_CSV!A39=Taostats_CSV!$A$2,TRUE,Taostats_CSV!G39+Taostats_CSV!H39+Taostats_CSV!R39=0)</f>
        <v>0</v>
      </c>
      <c r="T39" t="b">
        <f t="shared" si="5"/>
        <v>1</v>
      </c>
      <c r="U39" t="b" cm="1">
        <f t="array" aca="1" ref="U39" ca="1">AND(T39,OR(O39-N39&gt;1,P39&gt;1,ISERROR(A39:P39)))</f>
        <v>0</v>
      </c>
      <c r="W39" t="e">
        <f>MATCH(K39&amp;$W$2,Taostats_CSV!$X$3:$X$1167,0)</f>
        <v>#N/A</v>
      </c>
      <c r="X39" t="e">
        <f t="shared" ca="1" si="0"/>
        <v>#VALUE!</v>
      </c>
      <c r="Y39">
        <f t="shared" ca="1" si="1"/>
        <v>0.116017072</v>
      </c>
      <c r="Z39" t="e">
        <f t="shared" ca="1" si="2"/>
        <v>#VALUE!</v>
      </c>
      <c r="AB39">
        <f>SUMIF(Taostats_CSV!$E:$E,AA39,Taostats_CSV!G:G)</f>
        <v>0</v>
      </c>
      <c r="AC39">
        <f>SUMIF(Taostats_CSV!$E:$E,AA39,Taostats_CSV!H:H)</f>
        <v>0</v>
      </c>
      <c r="AD39">
        <f>SUMIF(Taostats_CSV!$E:$E,AA39,Taostats_CSV!R:R)</f>
        <v>0</v>
      </c>
      <c r="AE39" s="4">
        <f t="shared" ca="1" si="15"/>
        <v>0</v>
      </c>
      <c r="AF39" s="4">
        <f t="shared" ca="1" si="16"/>
        <v>0</v>
      </c>
      <c r="AG39" s="4">
        <f t="shared" ca="1" si="17"/>
        <v>0</v>
      </c>
      <c r="AH39">
        <f t="shared" ca="1" si="13"/>
        <v>0</v>
      </c>
      <c r="AI39">
        <f t="shared" ca="1" si="14"/>
        <v>0</v>
      </c>
    </row>
    <row r="40" spans="1:35" x14ac:dyDescent="0.4">
      <c r="A40" t="str">
        <f>MID(Taostats_CSV!C40,6,2)&amp;"/"&amp;MID(Taostats_CSV!C40,9,2)&amp;"/"&amp;LEFT(Taostats_CSV!C40,4)&amp;" "&amp;MID(Taostats_CSV!C40,12,8)</f>
        <v>02/06/2025 23:59:48</v>
      </c>
      <c r="C40" t="str">
        <f ca="1">IF(Q40,OFFSET(Taostats_CSV!$E$1,MATCH(K40&amp;D$1,Taostats_CSV!$X:$X,0)-1,0),IF(Taostats_CSV!F40="fee",IF(VALUE(Taostats_CSV!G40)&gt;0,Taostats_CSV!E40,""),""))</f>
        <v/>
      </c>
      <c r="D40" t="str">
        <f ca="1">IF(Q40,OFFSET(Taostats_CSV!$G$1,MATCH(K40&amp;D$1,Taostats_CSV!$X:$X,0)-1,0),IF(Taostats_CSV!F40="fee",IF(VALUE(Taostats_CSV!G40)&gt;0,Taostats_CSV!G40,""),""))</f>
        <v/>
      </c>
      <c r="E40" t="str">
        <f ca="1">IF(AND(Q40,P40&gt;0),OFFSET(Taostats_CSV!$E$1,MATCH(K40&amp;F$1,Taostats_CSV!$X:$X,0)-1,0),IF(LEN(F40)&gt;0,Taostats_CSV!E40,""))</f>
        <v>TAO</v>
      </c>
      <c r="F40" t="str">
        <f ca="1">TRIM(IF(AND(Q40,P40&gt;0),OFFSET(Taostats_CSV!$H$1,MATCH(K40&amp;F$1,Taostats_CSV!$X:$X,0)-1,0),IF(LEN(Taostats_CSV!H40)&gt;0,Taostats_CSV!H40,Taostats_CSV!R40)))</f>
        <v>0.122706684</v>
      </c>
      <c r="G40" t="str">
        <f ca="1">IF(AND(Q40,N40=1),OFFSET(Taostats_CSV!$E$1,MATCH(K40&amp;H$1,Taostats_CSV!$X:$X,0)-1,0),"")</f>
        <v/>
      </c>
      <c r="H40" t="str">
        <f ca="1">IF(AND(Q40,N40=1),OFFSET(Taostats_CSV!$G$1,MATCH(K40&amp;H$1,Taostats_CSV!$X:$X,0)-1,0),"")</f>
        <v/>
      </c>
      <c r="I40" t="str">
        <f ca="1">IF(AND(LEN(K40)=0,LEN(F40)&gt;0),"Income",IF(AND(O40&gt;0,P40&gt;0,C40&lt;&gt;E40),"Trade",IF(AND(NOT(Q40),Taostats_CSV!F40="fee"),'READ ME'!$C$5,"")))</f>
        <v>Income</v>
      </c>
      <c r="J40" t="str">
        <f ca="1">SUBSTITUTE(IF(LEN(I40)=0,Taostats_CSV!F40&amp;" "&amp;Taostats_CSV!J40,IF(I40="Cost","Extrinsic fee","")),"_"," ")</f>
        <v/>
      </c>
      <c r="K40" t="str">
        <f>TRIM(IF(LEN(Taostats_CSV!I40)&gt;0,Taostats_CSV!I40,""))</f>
        <v/>
      </c>
      <c r="L40" t="str">
        <f>IF(Taostats_CSV!E40&lt;&gt;"TAO",IF(LEN(F40)&gt;0,F40,IF(LEN(D40)&gt;0,D40,0))*Taostats_CSV!P40,"")</f>
        <v/>
      </c>
      <c r="M40" t="str">
        <f t="shared" si="3"/>
        <v/>
      </c>
      <c r="N40">
        <f>COUNTIF(Taostats_CSV!$X:$X,Taostats_CSV!$I40&amp;N$1)</f>
        <v>0</v>
      </c>
      <c r="O40">
        <f>COUNTIF(Taostats_CSV!$X:$X,Taostats_CSV!$I40&amp;O$1)</f>
        <v>0</v>
      </c>
      <c r="P40">
        <f>COUNTIF(Taostats_CSV!$X:$X,Taostats_CSV!$I40&amp;P$1)</f>
        <v>0</v>
      </c>
      <c r="Q40" t="b">
        <f t="shared" si="4"/>
        <v>0</v>
      </c>
      <c r="R40" t="b">
        <f>IF(LEN(K40)&gt;0,COUNTIF($K$3:K40,K40),FALSE)</f>
        <v>0</v>
      </c>
      <c r="S40" t="b">
        <f>IF(Taostats_CSV!A40=Taostats_CSV!$A$2,TRUE,Taostats_CSV!G40+Taostats_CSV!H40+Taostats_CSV!R40=0)</f>
        <v>0</v>
      </c>
      <c r="T40" t="b">
        <f t="shared" si="5"/>
        <v>1</v>
      </c>
      <c r="U40" t="b" cm="1">
        <f t="array" aca="1" ref="U40" ca="1">AND(T40,OR(O40-N40&gt;1,P40&gt;1,ISERROR(A40:P40)))</f>
        <v>0</v>
      </c>
      <c r="W40" t="e">
        <f>MATCH(K40&amp;$W$2,Taostats_CSV!$X$3:$X$1167,0)</f>
        <v>#N/A</v>
      </c>
      <c r="X40" t="e">
        <f t="shared" ca="1" si="0"/>
        <v>#VALUE!</v>
      </c>
      <c r="Y40">
        <f t="shared" ca="1" si="1"/>
        <v>0.122706684</v>
      </c>
      <c r="Z40" t="e">
        <f t="shared" ca="1" si="2"/>
        <v>#VALUE!</v>
      </c>
      <c r="AB40">
        <f>SUMIF(Taostats_CSV!$E:$E,AA40,Taostats_CSV!G:G)</f>
        <v>0</v>
      </c>
      <c r="AC40">
        <f>SUMIF(Taostats_CSV!$E:$E,AA40,Taostats_CSV!H:H)</f>
        <v>0</v>
      </c>
      <c r="AD40">
        <f>SUMIF(Taostats_CSV!$E:$E,AA40,Taostats_CSV!R:R)</f>
        <v>0</v>
      </c>
      <c r="AE40" s="4">
        <f t="shared" ca="1" si="15"/>
        <v>0</v>
      </c>
      <c r="AF40" s="4">
        <f t="shared" ca="1" si="16"/>
        <v>0</v>
      </c>
      <c r="AG40" s="4">
        <f t="shared" ca="1" si="17"/>
        <v>0</v>
      </c>
      <c r="AH40">
        <f t="shared" ca="1" si="13"/>
        <v>0</v>
      </c>
      <c r="AI40">
        <f t="shared" ca="1" si="14"/>
        <v>0</v>
      </c>
    </row>
    <row r="41" spans="1:35" x14ac:dyDescent="0.4">
      <c r="A41" t="str">
        <f>MID(Taostats_CSV!C41,6,2)&amp;"/"&amp;MID(Taostats_CSV!C41,9,2)&amp;"/"&amp;LEFT(Taostats_CSV!C41,4)&amp;" "&amp;MID(Taostats_CSV!C41,12,8)</f>
        <v>02/07/2025 23:59:48</v>
      </c>
      <c r="C41" t="str">
        <f ca="1">IF(Q41,OFFSET(Taostats_CSV!$E$1,MATCH(K41&amp;D$1,Taostats_CSV!$X:$X,0)-1,0),IF(Taostats_CSV!F41="fee",IF(VALUE(Taostats_CSV!G41)&gt;0,Taostats_CSV!E41,""),""))</f>
        <v/>
      </c>
      <c r="D41" t="str">
        <f ca="1">IF(Q41,OFFSET(Taostats_CSV!$G$1,MATCH(K41&amp;D$1,Taostats_CSV!$X:$X,0)-1,0),IF(Taostats_CSV!F41="fee",IF(VALUE(Taostats_CSV!G41)&gt;0,Taostats_CSV!G41,""),""))</f>
        <v/>
      </c>
      <c r="E41" t="str">
        <f ca="1">IF(AND(Q41,P41&gt;0),OFFSET(Taostats_CSV!$E$1,MATCH(K41&amp;F$1,Taostats_CSV!$X:$X,0)-1,0),IF(LEN(F41)&gt;0,Taostats_CSV!E41,""))</f>
        <v>TAO</v>
      </c>
      <c r="F41" t="str">
        <f ca="1">TRIM(IF(AND(Q41,P41&gt;0),OFFSET(Taostats_CSV!$H$1,MATCH(K41&amp;F$1,Taostats_CSV!$X:$X,0)-1,0),IF(LEN(Taostats_CSV!H41)&gt;0,Taostats_CSV!H41,Taostats_CSV!R41)))</f>
        <v>0.123171177</v>
      </c>
      <c r="G41" t="str">
        <f ca="1">IF(AND(Q41,N41=1),OFFSET(Taostats_CSV!$E$1,MATCH(K41&amp;H$1,Taostats_CSV!$X:$X,0)-1,0),"")</f>
        <v/>
      </c>
      <c r="H41" t="str">
        <f ca="1">IF(AND(Q41,N41=1),OFFSET(Taostats_CSV!$G$1,MATCH(K41&amp;H$1,Taostats_CSV!$X:$X,0)-1,0),"")</f>
        <v/>
      </c>
      <c r="I41" t="str">
        <f ca="1">IF(AND(LEN(K41)=0,LEN(F41)&gt;0),"Income",IF(AND(O41&gt;0,P41&gt;0,C41&lt;&gt;E41),"Trade",IF(AND(NOT(Q41),Taostats_CSV!F41="fee"),'READ ME'!$C$5,"")))</f>
        <v>Income</v>
      </c>
      <c r="J41" t="str">
        <f ca="1">SUBSTITUTE(IF(LEN(I41)=0,Taostats_CSV!F41&amp;" "&amp;Taostats_CSV!J41,IF(I41="Cost","Extrinsic fee","")),"_"," ")</f>
        <v/>
      </c>
      <c r="K41" t="str">
        <f>TRIM(IF(LEN(Taostats_CSV!I41)&gt;0,Taostats_CSV!I41,""))</f>
        <v/>
      </c>
      <c r="L41" t="str">
        <f>IF(Taostats_CSV!E41&lt;&gt;"TAO",IF(LEN(F41)&gt;0,F41,IF(LEN(D41)&gt;0,D41,0))*Taostats_CSV!P41,"")</f>
        <v/>
      </c>
      <c r="M41" t="str">
        <f t="shared" si="3"/>
        <v/>
      </c>
      <c r="N41">
        <f>COUNTIF(Taostats_CSV!$X:$X,Taostats_CSV!$I41&amp;N$1)</f>
        <v>0</v>
      </c>
      <c r="O41">
        <f>COUNTIF(Taostats_CSV!$X:$X,Taostats_CSV!$I41&amp;O$1)</f>
        <v>0</v>
      </c>
      <c r="P41">
        <f>COUNTIF(Taostats_CSV!$X:$X,Taostats_CSV!$I41&amp;P$1)</f>
        <v>0</v>
      </c>
      <c r="Q41" t="b">
        <f t="shared" si="4"/>
        <v>0</v>
      </c>
      <c r="R41" t="b">
        <f>IF(LEN(K41)&gt;0,COUNTIF($K$3:K41,K41),FALSE)</f>
        <v>0</v>
      </c>
      <c r="S41" t="b">
        <f>IF(Taostats_CSV!A41=Taostats_CSV!$A$2,TRUE,Taostats_CSV!G41+Taostats_CSV!H41+Taostats_CSV!R41=0)</f>
        <v>0</v>
      </c>
      <c r="T41" t="b">
        <f t="shared" si="5"/>
        <v>1</v>
      </c>
      <c r="U41" t="b" cm="1">
        <f t="array" aca="1" ref="U41" ca="1">AND(T41,OR(O41-N41&gt;1,P41&gt;1,ISERROR(A41:P41)))</f>
        <v>0</v>
      </c>
      <c r="W41" t="e">
        <f>MATCH(K41&amp;$W$2,Taostats_CSV!$X$3:$X$1167,0)</f>
        <v>#N/A</v>
      </c>
      <c r="X41" t="e">
        <f t="shared" ca="1" si="0"/>
        <v>#VALUE!</v>
      </c>
      <c r="Y41">
        <f t="shared" ca="1" si="1"/>
        <v>0.12317117700000001</v>
      </c>
      <c r="Z41" t="e">
        <f t="shared" ca="1" si="2"/>
        <v>#VALUE!</v>
      </c>
      <c r="AB41">
        <f>SUMIF(Taostats_CSV!$E:$E,AA41,Taostats_CSV!G:G)</f>
        <v>0</v>
      </c>
      <c r="AC41">
        <f>SUMIF(Taostats_CSV!$E:$E,AA41,Taostats_CSV!H:H)</f>
        <v>0</v>
      </c>
      <c r="AD41">
        <f>SUMIF(Taostats_CSV!$E:$E,AA41,Taostats_CSV!R:R)</f>
        <v>0</v>
      </c>
      <c r="AE41" s="4">
        <f t="shared" ca="1" si="15"/>
        <v>0</v>
      </c>
      <c r="AF41" s="4">
        <f t="shared" ca="1" si="16"/>
        <v>0</v>
      </c>
      <c r="AG41" s="4">
        <f t="shared" ca="1" si="17"/>
        <v>0</v>
      </c>
      <c r="AH41">
        <f t="shared" ca="1" si="13"/>
        <v>0</v>
      </c>
      <c r="AI41">
        <f t="shared" ca="1" si="14"/>
        <v>0</v>
      </c>
    </row>
    <row r="42" spans="1:35" x14ac:dyDescent="0.4">
      <c r="A42" t="str">
        <f>MID(Taostats_CSV!C42,6,2)&amp;"/"&amp;MID(Taostats_CSV!C42,9,2)&amp;"/"&amp;LEFT(Taostats_CSV!C42,4)&amp;" "&amp;MID(Taostats_CSV!C42,12,8)</f>
        <v>02/08/2025 23:59:48</v>
      </c>
      <c r="C42" t="str">
        <f ca="1">IF(Q42,OFFSET(Taostats_CSV!$E$1,MATCH(K42&amp;D$1,Taostats_CSV!$X:$X,0)-1,0),IF(Taostats_CSV!F42="fee",IF(VALUE(Taostats_CSV!G42)&gt;0,Taostats_CSV!E42,""),""))</f>
        <v/>
      </c>
      <c r="D42" t="str">
        <f ca="1">IF(Q42,OFFSET(Taostats_CSV!$G$1,MATCH(K42&amp;D$1,Taostats_CSV!$X:$X,0)-1,0),IF(Taostats_CSV!F42="fee",IF(VALUE(Taostats_CSV!G42)&gt;0,Taostats_CSV!G42,""),""))</f>
        <v/>
      </c>
      <c r="E42" t="str">
        <f ca="1">IF(AND(Q42,P42&gt;0),OFFSET(Taostats_CSV!$E$1,MATCH(K42&amp;F$1,Taostats_CSV!$X:$X,0)-1,0),IF(LEN(F42)&gt;0,Taostats_CSV!E42,""))</f>
        <v>TAO</v>
      </c>
      <c r="F42" t="str">
        <f ca="1">TRIM(IF(AND(Q42,P42&gt;0),OFFSET(Taostats_CSV!$H$1,MATCH(K42&amp;F$1,Taostats_CSV!$X:$X,0)-1,0),IF(LEN(Taostats_CSV!H42)&gt;0,Taostats_CSV!H42,Taostats_CSV!R42)))</f>
        <v>0.126012539</v>
      </c>
      <c r="G42" t="str">
        <f ca="1">IF(AND(Q42,N42=1),OFFSET(Taostats_CSV!$E$1,MATCH(K42&amp;H$1,Taostats_CSV!$X:$X,0)-1,0),"")</f>
        <v/>
      </c>
      <c r="H42" t="str">
        <f ca="1">IF(AND(Q42,N42=1),OFFSET(Taostats_CSV!$G$1,MATCH(K42&amp;H$1,Taostats_CSV!$X:$X,0)-1,0),"")</f>
        <v/>
      </c>
      <c r="I42" t="str">
        <f ca="1">IF(AND(LEN(K42)=0,LEN(F42)&gt;0),"Income",IF(AND(O42&gt;0,P42&gt;0,C42&lt;&gt;E42),"Trade",IF(AND(NOT(Q42),Taostats_CSV!F42="fee"),'READ ME'!$C$5,"")))</f>
        <v>Income</v>
      </c>
      <c r="J42" t="str">
        <f ca="1">SUBSTITUTE(IF(LEN(I42)=0,Taostats_CSV!F42&amp;" "&amp;Taostats_CSV!J42,IF(I42="Cost","Extrinsic fee","")),"_"," ")</f>
        <v/>
      </c>
      <c r="K42" t="str">
        <f>TRIM(IF(LEN(Taostats_CSV!I42)&gt;0,Taostats_CSV!I42,""))</f>
        <v/>
      </c>
      <c r="L42" t="str">
        <f>IF(Taostats_CSV!E42&lt;&gt;"TAO",IF(LEN(F42)&gt;0,F42,IF(LEN(D42)&gt;0,D42,0))*Taostats_CSV!P42,"")</f>
        <v/>
      </c>
      <c r="M42" t="str">
        <f t="shared" si="3"/>
        <v/>
      </c>
      <c r="N42">
        <f>COUNTIF(Taostats_CSV!$X:$X,Taostats_CSV!$I42&amp;N$1)</f>
        <v>0</v>
      </c>
      <c r="O42">
        <f>COUNTIF(Taostats_CSV!$X:$X,Taostats_CSV!$I42&amp;O$1)</f>
        <v>0</v>
      </c>
      <c r="P42">
        <f>COUNTIF(Taostats_CSV!$X:$X,Taostats_CSV!$I42&amp;P$1)</f>
        <v>0</v>
      </c>
      <c r="Q42" t="b">
        <f t="shared" si="4"/>
        <v>0</v>
      </c>
      <c r="R42" t="b">
        <f>IF(LEN(K42)&gt;0,COUNTIF($K$3:K42,K42),FALSE)</f>
        <v>0</v>
      </c>
      <c r="S42" t="b">
        <f>IF(Taostats_CSV!A42=Taostats_CSV!$A$2,TRUE,Taostats_CSV!G42+Taostats_CSV!H42+Taostats_CSV!R42=0)</f>
        <v>0</v>
      </c>
      <c r="T42" t="b">
        <f t="shared" si="5"/>
        <v>1</v>
      </c>
      <c r="U42" t="b" cm="1">
        <f t="array" aca="1" ref="U42" ca="1">AND(T42,OR(O42-N42&gt;1,P42&gt;1,ISERROR(A42:P42)))</f>
        <v>0</v>
      </c>
      <c r="W42" t="e">
        <f>MATCH(K42&amp;$W$2,Taostats_CSV!$X$3:$X$1167,0)</f>
        <v>#N/A</v>
      </c>
      <c r="X42" t="e">
        <f t="shared" ca="1" si="0"/>
        <v>#VALUE!</v>
      </c>
      <c r="Y42">
        <f t="shared" ca="1" si="1"/>
        <v>0.12601253900000001</v>
      </c>
      <c r="Z42" t="e">
        <f t="shared" ca="1" si="2"/>
        <v>#VALUE!</v>
      </c>
      <c r="AB42">
        <f>SUMIF(Taostats_CSV!$E:$E,AA42,Taostats_CSV!G:G)</f>
        <v>0</v>
      </c>
      <c r="AC42">
        <f>SUMIF(Taostats_CSV!$E:$E,AA42,Taostats_CSV!H:H)</f>
        <v>0</v>
      </c>
      <c r="AD42">
        <f>SUMIF(Taostats_CSV!$E:$E,AA42,Taostats_CSV!R:R)</f>
        <v>0</v>
      </c>
      <c r="AE42" s="4">
        <f t="shared" ca="1" si="15"/>
        <v>0</v>
      </c>
      <c r="AF42" s="4">
        <f t="shared" ca="1" si="16"/>
        <v>0</v>
      </c>
      <c r="AG42" s="4">
        <f t="shared" ca="1" si="17"/>
        <v>0</v>
      </c>
      <c r="AH42">
        <f t="shared" ca="1" si="13"/>
        <v>0</v>
      </c>
      <c r="AI42">
        <f t="shared" ca="1" si="14"/>
        <v>0</v>
      </c>
    </row>
    <row r="43" spans="1:35" x14ac:dyDescent="0.4">
      <c r="A43" t="str">
        <f>MID(Taostats_CSV!C43,6,2)&amp;"/"&amp;MID(Taostats_CSV!C43,9,2)&amp;"/"&amp;LEFT(Taostats_CSV!C43,4)&amp;" "&amp;MID(Taostats_CSV!C43,12,8)</f>
        <v>02/09/2025 23:59:48</v>
      </c>
      <c r="C43" t="str">
        <f ca="1">IF(Q43,OFFSET(Taostats_CSV!$E$1,MATCH(K43&amp;D$1,Taostats_CSV!$X:$X,0)-1,0),IF(Taostats_CSV!F43="fee",IF(VALUE(Taostats_CSV!G43)&gt;0,Taostats_CSV!E43,""),""))</f>
        <v/>
      </c>
      <c r="D43" t="str">
        <f ca="1">IF(Q43,OFFSET(Taostats_CSV!$G$1,MATCH(K43&amp;D$1,Taostats_CSV!$X:$X,0)-1,0),IF(Taostats_CSV!F43="fee",IF(VALUE(Taostats_CSV!G43)&gt;0,Taostats_CSV!G43,""),""))</f>
        <v/>
      </c>
      <c r="E43" t="str">
        <f ca="1">IF(AND(Q43,P43&gt;0),OFFSET(Taostats_CSV!$E$1,MATCH(K43&amp;F$1,Taostats_CSV!$X:$X,0)-1,0),IF(LEN(F43)&gt;0,Taostats_CSV!E43,""))</f>
        <v>TAO</v>
      </c>
      <c r="F43" t="str">
        <f ca="1">TRIM(IF(AND(Q43,P43&gt;0),OFFSET(Taostats_CSV!$H$1,MATCH(K43&amp;F$1,Taostats_CSV!$X:$X,0)-1,0),IF(LEN(Taostats_CSV!H43)&gt;0,Taostats_CSV!H43,Taostats_CSV!R43)))</f>
        <v>0.125612874</v>
      </c>
      <c r="G43" t="str">
        <f ca="1">IF(AND(Q43,N43=1),OFFSET(Taostats_CSV!$E$1,MATCH(K43&amp;H$1,Taostats_CSV!$X:$X,0)-1,0),"")</f>
        <v/>
      </c>
      <c r="H43" t="str">
        <f ca="1">IF(AND(Q43,N43=1),OFFSET(Taostats_CSV!$G$1,MATCH(K43&amp;H$1,Taostats_CSV!$X:$X,0)-1,0),"")</f>
        <v/>
      </c>
      <c r="I43" t="str">
        <f ca="1">IF(AND(LEN(K43)=0,LEN(F43)&gt;0),"Income",IF(AND(O43&gt;0,P43&gt;0,C43&lt;&gt;E43),"Trade",IF(AND(NOT(Q43),Taostats_CSV!F43="fee"),'READ ME'!$C$5,"")))</f>
        <v>Income</v>
      </c>
      <c r="J43" t="str">
        <f ca="1">SUBSTITUTE(IF(LEN(I43)=0,Taostats_CSV!F43&amp;" "&amp;Taostats_CSV!J43,IF(I43="Cost","Extrinsic fee","")),"_"," ")</f>
        <v/>
      </c>
      <c r="K43" t="str">
        <f>TRIM(IF(LEN(Taostats_CSV!I43)&gt;0,Taostats_CSV!I43,""))</f>
        <v/>
      </c>
      <c r="L43" t="str">
        <f>IF(Taostats_CSV!E43&lt;&gt;"TAO",IF(LEN(F43)&gt;0,F43,IF(LEN(D43)&gt;0,D43,0))*Taostats_CSV!P43,"")</f>
        <v/>
      </c>
      <c r="M43" t="str">
        <f t="shared" si="3"/>
        <v/>
      </c>
      <c r="N43">
        <f>COUNTIF(Taostats_CSV!$X:$X,Taostats_CSV!$I43&amp;N$1)</f>
        <v>0</v>
      </c>
      <c r="O43">
        <f>COUNTIF(Taostats_CSV!$X:$X,Taostats_CSV!$I43&amp;O$1)</f>
        <v>0</v>
      </c>
      <c r="P43">
        <f>COUNTIF(Taostats_CSV!$X:$X,Taostats_CSV!$I43&amp;P$1)</f>
        <v>0</v>
      </c>
      <c r="Q43" t="b">
        <f t="shared" si="4"/>
        <v>0</v>
      </c>
      <c r="R43" t="b">
        <f>IF(LEN(K43)&gt;0,COUNTIF($K$3:K43,K43),FALSE)</f>
        <v>0</v>
      </c>
      <c r="S43" t="b">
        <f>IF(Taostats_CSV!A43=Taostats_CSV!$A$2,TRUE,Taostats_CSV!G43+Taostats_CSV!H43+Taostats_CSV!R43=0)</f>
        <v>0</v>
      </c>
      <c r="T43" t="b">
        <f t="shared" si="5"/>
        <v>1</v>
      </c>
      <c r="U43" t="b" cm="1">
        <f t="array" aca="1" ref="U43" ca="1">AND(T43,OR(O43-N43&gt;1,P43&gt;1,ISERROR(A43:P43)))</f>
        <v>0</v>
      </c>
      <c r="W43" t="e">
        <f>MATCH(K43&amp;$W$2,Taostats_CSV!$X$3:$X$1167,0)</f>
        <v>#N/A</v>
      </c>
      <c r="X43" t="e">
        <f t="shared" ca="1" si="0"/>
        <v>#VALUE!</v>
      </c>
      <c r="Y43">
        <f t="shared" ca="1" si="1"/>
        <v>0.12561287400000001</v>
      </c>
      <c r="Z43" t="e">
        <f t="shared" ca="1" si="2"/>
        <v>#VALUE!</v>
      </c>
      <c r="AB43">
        <f>SUMIF(Taostats_CSV!$E:$E,AA43,Taostats_CSV!G:G)</f>
        <v>0</v>
      </c>
      <c r="AC43">
        <f>SUMIF(Taostats_CSV!$E:$E,AA43,Taostats_CSV!H:H)</f>
        <v>0</v>
      </c>
      <c r="AD43">
        <f>SUMIF(Taostats_CSV!$E:$E,AA43,Taostats_CSV!R:R)</f>
        <v>0</v>
      </c>
      <c r="AE43" s="4">
        <f t="shared" ca="1" si="15"/>
        <v>0</v>
      </c>
      <c r="AF43" s="4">
        <f t="shared" ca="1" si="16"/>
        <v>0</v>
      </c>
      <c r="AG43" s="4">
        <f t="shared" ca="1" si="17"/>
        <v>0</v>
      </c>
      <c r="AH43">
        <f t="shared" ca="1" si="13"/>
        <v>0</v>
      </c>
      <c r="AI43">
        <f t="shared" ca="1" si="14"/>
        <v>0</v>
      </c>
    </row>
    <row r="44" spans="1:35" x14ac:dyDescent="0.4">
      <c r="A44" t="str">
        <f>MID(Taostats_CSV!C44,6,2)&amp;"/"&amp;MID(Taostats_CSV!C44,9,2)&amp;"/"&amp;LEFT(Taostats_CSV!C44,4)&amp;" "&amp;MID(Taostats_CSV!C44,12,8)</f>
        <v>02/10/2025 23:59:48</v>
      </c>
      <c r="C44" t="str">
        <f ca="1">IF(Q44,OFFSET(Taostats_CSV!$E$1,MATCH(K44&amp;D$1,Taostats_CSV!$X:$X,0)-1,0),IF(Taostats_CSV!F44="fee",IF(VALUE(Taostats_CSV!G44)&gt;0,Taostats_CSV!E44,""),""))</f>
        <v/>
      </c>
      <c r="D44" t="str">
        <f ca="1">IF(Q44,OFFSET(Taostats_CSV!$G$1,MATCH(K44&amp;D$1,Taostats_CSV!$X:$X,0)-1,0),IF(Taostats_CSV!F44="fee",IF(VALUE(Taostats_CSV!G44)&gt;0,Taostats_CSV!G44,""),""))</f>
        <v/>
      </c>
      <c r="E44" t="str">
        <f ca="1">IF(AND(Q44,P44&gt;0),OFFSET(Taostats_CSV!$E$1,MATCH(K44&amp;F$1,Taostats_CSV!$X:$X,0)-1,0),IF(LEN(F44)&gt;0,Taostats_CSV!E44,""))</f>
        <v>TAO</v>
      </c>
      <c r="F44" t="str">
        <f ca="1">TRIM(IF(AND(Q44,P44&gt;0),OFFSET(Taostats_CSV!$H$1,MATCH(K44&amp;F$1,Taostats_CSV!$X:$X,0)-1,0),IF(LEN(Taostats_CSV!H44)&gt;0,Taostats_CSV!H44,Taostats_CSV!R44)))</f>
        <v>0.128529512</v>
      </c>
      <c r="G44" t="str">
        <f ca="1">IF(AND(Q44,N44=1),OFFSET(Taostats_CSV!$E$1,MATCH(K44&amp;H$1,Taostats_CSV!$X:$X,0)-1,0),"")</f>
        <v/>
      </c>
      <c r="H44" t="str">
        <f ca="1">IF(AND(Q44,N44=1),OFFSET(Taostats_CSV!$G$1,MATCH(K44&amp;H$1,Taostats_CSV!$X:$X,0)-1,0),"")</f>
        <v/>
      </c>
      <c r="I44" t="str">
        <f ca="1">IF(AND(LEN(K44)=0,LEN(F44)&gt;0),"Income",IF(AND(O44&gt;0,P44&gt;0,C44&lt;&gt;E44),"Trade",IF(AND(NOT(Q44),Taostats_CSV!F44="fee"),'READ ME'!$C$5,"")))</f>
        <v>Income</v>
      </c>
      <c r="J44" t="str">
        <f ca="1">SUBSTITUTE(IF(LEN(I44)=0,Taostats_CSV!F44&amp;" "&amp;Taostats_CSV!J44,IF(I44="Cost","Extrinsic fee","")),"_"," ")</f>
        <v/>
      </c>
      <c r="K44" t="str">
        <f>TRIM(IF(LEN(Taostats_CSV!I44)&gt;0,Taostats_CSV!I44,""))</f>
        <v/>
      </c>
      <c r="L44" t="str">
        <f>IF(Taostats_CSV!E44&lt;&gt;"TAO",IF(LEN(F44)&gt;0,F44,IF(LEN(D44)&gt;0,D44,0))*Taostats_CSV!P44,"")</f>
        <v/>
      </c>
      <c r="M44" t="str">
        <f t="shared" si="3"/>
        <v/>
      </c>
      <c r="N44">
        <f>COUNTIF(Taostats_CSV!$X:$X,Taostats_CSV!$I44&amp;N$1)</f>
        <v>0</v>
      </c>
      <c r="O44">
        <f>COUNTIF(Taostats_CSV!$X:$X,Taostats_CSV!$I44&amp;O$1)</f>
        <v>0</v>
      </c>
      <c r="P44">
        <f>COUNTIF(Taostats_CSV!$X:$X,Taostats_CSV!$I44&amp;P$1)</f>
        <v>0</v>
      </c>
      <c r="Q44" t="b">
        <f t="shared" si="4"/>
        <v>0</v>
      </c>
      <c r="R44" t="b">
        <f>IF(LEN(K44)&gt;0,COUNTIF($K$3:K44,K44),FALSE)</f>
        <v>0</v>
      </c>
      <c r="S44" t="b">
        <f>IF(Taostats_CSV!A44=Taostats_CSV!$A$2,TRUE,Taostats_CSV!G44+Taostats_CSV!H44+Taostats_CSV!R44=0)</f>
        <v>0</v>
      </c>
      <c r="T44" t="b">
        <f t="shared" si="5"/>
        <v>1</v>
      </c>
      <c r="U44" t="b" cm="1">
        <f t="array" aca="1" ref="U44" ca="1">AND(T44,OR(O44-N44&gt;1,P44&gt;1,ISERROR(A44:P44)))</f>
        <v>0</v>
      </c>
      <c r="W44" t="e">
        <f>MATCH(K44&amp;$W$2,Taostats_CSV!$X$3:$X$1167,0)</f>
        <v>#N/A</v>
      </c>
      <c r="X44" t="e">
        <f t="shared" ca="1" si="0"/>
        <v>#VALUE!</v>
      </c>
      <c r="Y44">
        <f t="shared" ca="1" si="1"/>
        <v>0.12852951200000001</v>
      </c>
      <c r="Z44" t="e">
        <f t="shared" ca="1" si="2"/>
        <v>#VALUE!</v>
      </c>
      <c r="AB44">
        <f>SUMIF(Taostats_CSV!$E:$E,AA44,Taostats_CSV!G:G)</f>
        <v>0</v>
      </c>
      <c r="AC44">
        <f>SUMIF(Taostats_CSV!$E:$E,AA44,Taostats_CSV!H:H)</f>
        <v>0</v>
      </c>
      <c r="AD44">
        <f>SUMIF(Taostats_CSV!$E:$E,AA44,Taostats_CSV!R:R)</f>
        <v>0</v>
      </c>
      <c r="AE44" s="4">
        <f t="shared" ca="1" si="15"/>
        <v>0</v>
      </c>
      <c r="AF44" s="4">
        <f t="shared" ca="1" si="16"/>
        <v>0</v>
      </c>
      <c r="AG44" s="4">
        <f t="shared" ca="1" si="17"/>
        <v>0</v>
      </c>
      <c r="AH44">
        <f t="shared" ca="1" si="13"/>
        <v>0</v>
      </c>
      <c r="AI44">
        <f t="shared" ca="1" si="14"/>
        <v>0</v>
      </c>
    </row>
    <row r="45" spans="1:35" x14ac:dyDescent="0.4">
      <c r="A45" t="str">
        <f>MID(Taostats_CSV!C45,6,2)&amp;"/"&amp;MID(Taostats_CSV!C45,9,2)&amp;"/"&amp;LEFT(Taostats_CSV!C45,4)&amp;" "&amp;MID(Taostats_CSV!C45,12,8)</f>
        <v>02/11/2025 23:59:48</v>
      </c>
      <c r="C45" t="str">
        <f ca="1">IF(Q45,OFFSET(Taostats_CSV!$E$1,MATCH(K45&amp;D$1,Taostats_CSV!$X:$X,0)-1,0),IF(Taostats_CSV!F45="fee",IF(VALUE(Taostats_CSV!G45)&gt;0,Taostats_CSV!E45,""),""))</f>
        <v/>
      </c>
      <c r="D45" t="str">
        <f ca="1">IF(Q45,OFFSET(Taostats_CSV!$G$1,MATCH(K45&amp;D$1,Taostats_CSV!$X:$X,0)-1,0),IF(Taostats_CSV!F45="fee",IF(VALUE(Taostats_CSV!G45)&gt;0,Taostats_CSV!G45,""),""))</f>
        <v/>
      </c>
      <c r="E45" t="str">
        <f ca="1">IF(AND(Q45,P45&gt;0),OFFSET(Taostats_CSV!$E$1,MATCH(K45&amp;F$1,Taostats_CSV!$X:$X,0)-1,0),IF(LEN(F45)&gt;0,Taostats_CSV!E45,""))</f>
        <v>TAO</v>
      </c>
      <c r="F45" t="str">
        <f ca="1">TRIM(IF(AND(Q45,P45&gt;0),OFFSET(Taostats_CSV!$H$1,MATCH(K45&amp;F$1,Taostats_CSV!$X:$X,0)-1,0),IF(LEN(Taostats_CSV!H45)&gt;0,Taostats_CSV!H45,Taostats_CSV!R45)))</f>
        <v>0.125608923</v>
      </c>
      <c r="G45" t="str">
        <f ca="1">IF(AND(Q45,N45=1),OFFSET(Taostats_CSV!$E$1,MATCH(K45&amp;H$1,Taostats_CSV!$X:$X,0)-1,0),"")</f>
        <v/>
      </c>
      <c r="H45" t="str">
        <f ca="1">IF(AND(Q45,N45=1),OFFSET(Taostats_CSV!$G$1,MATCH(K45&amp;H$1,Taostats_CSV!$X:$X,0)-1,0),"")</f>
        <v/>
      </c>
      <c r="I45" t="str">
        <f ca="1">IF(AND(LEN(K45)=0,LEN(F45)&gt;0),"Income",IF(AND(O45&gt;0,P45&gt;0,C45&lt;&gt;E45),"Trade",IF(AND(NOT(Q45),Taostats_CSV!F45="fee"),'READ ME'!$C$5,"")))</f>
        <v>Income</v>
      </c>
      <c r="J45" t="str">
        <f ca="1">SUBSTITUTE(IF(LEN(I45)=0,Taostats_CSV!F45&amp;" "&amp;Taostats_CSV!J45,IF(I45="Cost","Extrinsic fee","")),"_"," ")</f>
        <v/>
      </c>
      <c r="K45" t="str">
        <f>TRIM(IF(LEN(Taostats_CSV!I45)&gt;0,Taostats_CSV!I45,""))</f>
        <v/>
      </c>
      <c r="L45" t="str">
        <f>IF(Taostats_CSV!E45&lt;&gt;"TAO",IF(LEN(F45)&gt;0,F45,IF(LEN(D45)&gt;0,D45,0))*Taostats_CSV!P45,"")</f>
        <v/>
      </c>
      <c r="M45" t="str">
        <f t="shared" si="3"/>
        <v/>
      </c>
      <c r="N45">
        <f>COUNTIF(Taostats_CSV!$X:$X,Taostats_CSV!$I45&amp;N$1)</f>
        <v>0</v>
      </c>
      <c r="O45">
        <f>COUNTIF(Taostats_CSV!$X:$X,Taostats_CSV!$I45&amp;O$1)</f>
        <v>0</v>
      </c>
      <c r="P45">
        <f>COUNTIF(Taostats_CSV!$X:$X,Taostats_CSV!$I45&amp;P$1)</f>
        <v>0</v>
      </c>
      <c r="Q45" t="b">
        <f t="shared" si="4"/>
        <v>0</v>
      </c>
      <c r="R45" t="b">
        <f>IF(LEN(K45)&gt;0,COUNTIF($K$3:K45,K45),FALSE)</f>
        <v>0</v>
      </c>
      <c r="S45" t="b">
        <f>IF(Taostats_CSV!A45=Taostats_CSV!$A$2,TRUE,Taostats_CSV!G45+Taostats_CSV!H45+Taostats_CSV!R45=0)</f>
        <v>0</v>
      </c>
      <c r="T45" t="b">
        <f t="shared" si="5"/>
        <v>1</v>
      </c>
      <c r="U45" t="b" cm="1">
        <f t="array" aca="1" ref="U45" ca="1">AND(T45,OR(O45-N45&gt;1,P45&gt;1,ISERROR(A45:P45)))</f>
        <v>0</v>
      </c>
      <c r="W45" t="e">
        <f>MATCH(K45&amp;$W$2,Taostats_CSV!$X$3:$X$1167,0)</f>
        <v>#N/A</v>
      </c>
      <c r="X45" t="e">
        <f t="shared" ca="1" si="0"/>
        <v>#VALUE!</v>
      </c>
      <c r="Y45">
        <f t="shared" ca="1" si="1"/>
        <v>0.12560892300000001</v>
      </c>
      <c r="Z45" t="e">
        <f t="shared" ca="1" si="2"/>
        <v>#VALUE!</v>
      </c>
      <c r="AB45">
        <f>SUMIF(Taostats_CSV!$E:$E,AA45,Taostats_CSV!G:G)</f>
        <v>0</v>
      </c>
      <c r="AC45">
        <f>SUMIF(Taostats_CSV!$E:$E,AA45,Taostats_CSV!H:H)</f>
        <v>0</v>
      </c>
      <c r="AD45">
        <f>SUMIF(Taostats_CSV!$E:$E,AA45,Taostats_CSV!R:R)</f>
        <v>0</v>
      </c>
      <c r="AE45" s="4">
        <f t="shared" ca="1" si="15"/>
        <v>0</v>
      </c>
      <c r="AF45" s="4">
        <f t="shared" ca="1" si="16"/>
        <v>0</v>
      </c>
      <c r="AG45" s="4">
        <f t="shared" ca="1" si="17"/>
        <v>0</v>
      </c>
      <c r="AH45">
        <f t="shared" ca="1" si="13"/>
        <v>0</v>
      </c>
      <c r="AI45">
        <f t="shared" ca="1" si="14"/>
        <v>0</v>
      </c>
    </row>
    <row r="46" spans="1:35" x14ac:dyDescent="0.4">
      <c r="A46" t="str">
        <f>MID(Taostats_CSV!C46,6,2)&amp;"/"&amp;MID(Taostats_CSV!C46,9,2)&amp;"/"&amp;LEFT(Taostats_CSV!C46,4)&amp;" "&amp;MID(Taostats_CSV!C46,12,8)</f>
        <v>02/12/2025 23:59:48</v>
      </c>
      <c r="C46" t="str">
        <f ca="1">IF(Q46,OFFSET(Taostats_CSV!$E$1,MATCH(K46&amp;D$1,Taostats_CSV!$X:$X,0)-1,0),IF(Taostats_CSV!F46="fee",IF(VALUE(Taostats_CSV!G46)&gt;0,Taostats_CSV!E46,""),""))</f>
        <v/>
      </c>
      <c r="D46" t="str">
        <f ca="1">IF(Q46,OFFSET(Taostats_CSV!$G$1,MATCH(K46&amp;D$1,Taostats_CSV!$X:$X,0)-1,0),IF(Taostats_CSV!F46="fee",IF(VALUE(Taostats_CSV!G46)&gt;0,Taostats_CSV!G46,""),""))</f>
        <v/>
      </c>
      <c r="E46" t="str">
        <f ca="1">IF(AND(Q46,P46&gt;0),OFFSET(Taostats_CSV!$E$1,MATCH(K46&amp;F$1,Taostats_CSV!$X:$X,0)-1,0),IF(LEN(F46)&gt;0,Taostats_CSV!E46,""))</f>
        <v>TAO</v>
      </c>
      <c r="F46" t="str">
        <f ca="1">TRIM(IF(AND(Q46,P46&gt;0),OFFSET(Taostats_CSV!$H$1,MATCH(K46&amp;F$1,Taostats_CSV!$X:$X,0)-1,0),IF(LEN(Taostats_CSV!H46)&gt;0,Taostats_CSV!H46,Taostats_CSV!R46)))</f>
        <v>0.129047785</v>
      </c>
      <c r="G46" t="str">
        <f ca="1">IF(AND(Q46,N46=1),OFFSET(Taostats_CSV!$E$1,MATCH(K46&amp;H$1,Taostats_CSV!$X:$X,0)-1,0),"")</f>
        <v/>
      </c>
      <c r="H46" t="str">
        <f ca="1">IF(AND(Q46,N46=1),OFFSET(Taostats_CSV!$G$1,MATCH(K46&amp;H$1,Taostats_CSV!$X:$X,0)-1,0),"")</f>
        <v/>
      </c>
      <c r="I46" t="str">
        <f ca="1">IF(AND(LEN(K46)=0,LEN(F46)&gt;0),"Income",IF(AND(O46&gt;0,P46&gt;0,C46&lt;&gt;E46),"Trade",IF(AND(NOT(Q46),Taostats_CSV!F46="fee"),'READ ME'!$C$5,"")))</f>
        <v>Income</v>
      </c>
      <c r="J46" t="str">
        <f ca="1">SUBSTITUTE(IF(LEN(I46)=0,Taostats_CSV!F46&amp;" "&amp;Taostats_CSV!J46,IF(I46="Cost","Extrinsic fee","")),"_"," ")</f>
        <v/>
      </c>
      <c r="K46" t="str">
        <f>TRIM(IF(LEN(Taostats_CSV!I46)&gt;0,Taostats_CSV!I46,""))</f>
        <v/>
      </c>
      <c r="L46" t="str">
        <f>IF(Taostats_CSV!E46&lt;&gt;"TAO",IF(LEN(F46)&gt;0,F46,IF(LEN(D46)&gt;0,D46,0))*Taostats_CSV!P46,"")</f>
        <v/>
      </c>
      <c r="M46" t="str">
        <f t="shared" si="3"/>
        <v/>
      </c>
      <c r="N46">
        <f>COUNTIF(Taostats_CSV!$X:$X,Taostats_CSV!$I46&amp;N$1)</f>
        <v>0</v>
      </c>
      <c r="O46">
        <f>COUNTIF(Taostats_CSV!$X:$X,Taostats_CSV!$I46&amp;O$1)</f>
        <v>0</v>
      </c>
      <c r="P46">
        <f>COUNTIF(Taostats_CSV!$X:$X,Taostats_CSV!$I46&amp;P$1)</f>
        <v>0</v>
      </c>
      <c r="Q46" t="b">
        <f t="shared" si="4"/>
        <v>0</v>
      </c>
      <c r="R46" t="b">
        <f>IF(LEN(K46)&gt;0,COUNTIF($K$3:K46,K46),FALSE)</f>
        <v>0</v>
      </c>
      <c r="S46" t="b">
        <f>IF(Taostats_CSV!A46=Taostats_CSV!$A$2,TRUE,Taostats_CSV!G46+Taostats_CSV!H46+Taostats_CSV!R46=0)</f>
        <v>0</v>
      </c>
      <c r="T46" t="b">
        <f t="shared" si="5"/>
        <v>1</v>
      </c>
      <c r="U46" t="b" cm="1">
        <f t="array" aca="1" ref="U46" ca="1">AND(T46,OR(O46-N46&gt;1,P46&gt;1,ISERROR(A46:P46)))</f>
        <v>0</v>
      </c>
      <c r="W46" t="e">
        <f>MATCH(K46&amp;$W$2,Taostats_CSV!$X$3:$X$1167,0)</f>
        <v>#N/A</v>
      </c>
      <c r="X46" t="e">
        <f t="shared" ca="1" si="0"/>
        <v>#VALUE!</v>
      </c>
      <c r="Y46">
        <f t="shared" ca="1" si="1"/>
        <v>0.129047785</v>
      </c>
      <c r="Z46" t="e">
        <f t="shared" ca="1" si="2"/>
        <v>#VALUE!</v>
      </c>
      <c r="AB46">
        <f>SUMIF(Taostats_CSV!$E:$E,AA46,Taostats_CSV!G:G)</f>
        <v>0</v>
      </c>
      <c r="AC46">
        <f>SUMIF(Taostats_CSV!$E:$E,AA46,Taostats_CSV!H:H)</f>
        <v>0</v>
      </c>
      <c r="AD46">
        <f>SUMIF(Taostats_CSV!$E:$E,AA46,Taostats_CSV!R:R)</f>
        <v>0</v>
      </c>
      <c r="AE46" s="4">
        <f t="shared" ca="1" si="15"/>
        <v>0</v>
      </c>
      <c r="AF46" s="4">
        <f t="shared" ca="1" si="16"/>
        <v>0</v>
      </c>
      <c r="AG46" s="4">
        <f t="shared" ca="1" si="17"/>
        <v>0</v>
      </c>
      <c r="AH46">
        <f t="shared" ca="1" si="13"/>
        <v>0</v>
      </c>
      <c r="AI46">
        <f t="shared" ca="1" si="14"/>
        <v>0</v>
      </c>
    </row>
    <row r="47" spans="1:35" x14ac:dyDescent="0.4">
      <c r="A47" t="str">
        <f>MID(Taostats_CSV!C47,6,2)&amp;"/"&amp;MID(Taostats_CSV!C47,9,2)&amp;"/"&amp;LEFT(Taostats_CSV!C47,4)&amp;" "&amp;MID(Taostats_CSV!C47,12,8)</f>
        <v>02/13/2025 23:59:48</v>
      </c>
      <c r="C47" t="str">
        <f ca="1">IF(Q47,OFFSET(Taostats_CSV!$E$1,MATCH(K47&amp;D$1,Taostats_CSV!$X:$X,0)-1,0),IF(Taostats_CSV!F47="fee",IF(VALUE(Taostats_CSV!G47)&gt;0,Taostats_CSV!E47,""),""))</f>
        <v/>
      </c>
      <c r="D47" t="str">
        <f ca="1">IF(Q47,OFFSET(Taostats_CSV!$G$1,MATCH(K47&amp;D$1,Taostats_CSV!$X:$X,0)-1,0),IF(Taostats_CSV!F47="fee",IF(VALUE(Taostats_CSV!G47)&gt;0,Taostats_CSV!G47,""),""))</f>
        <v/>
      </c>
      <c r="E47" t="str">
        <f ca="1">IF(AND(Q47,P47&gt;0),OFFSET(Taostats_CSV!$E$1,MATCH(K47&amp;F$1,Taostats_CSV!$X:$X,0)-1,0),IF(LEN(F47)&gt;0,Taostats_CSV!E47,""))</f>
        <v>TAO</v>
      </c>
      <c r="F47" t="str">
        <f ca="1">TRIM(IF(AND(Q47,P47&gt;0),OFFSET(Taostats_CSV!$H$1,MATCH(K47&amp;F$1,Taostats_CSV!$X:$X,0)-1,0),IF(LEN(Taostats_CSV!H47)&gt;0,Taostats_CSV!H47,Taostats_CSV!R47)))</f>
        <v>0.104900189</v>
      </c>
      <c r="G47" t="str">
        <f ca="1">IF(AND(Q47,N47=1),OFFSET(Taostats_CSV!$E$1,MATCH(K47&amp;H$1,Taostats_CSV!$X:$X,0)-1,0),"")</f>
        <v/>
      </c>
      <c r="H47" t="str">
        <f ca="1">IF(AND(Q47,N47=1),OFFSET(Taostats_CSV!$G$1,MATCH(K47&amp;H$1,Taostats_CSV!$X:$X,0)-1,0),"")</f>
        <v/>
      </c>
      <c r="I47" t="str">
        <f ca="1">IF(AND(LEN(K47)=0,LEN(F47)&gt;0),"Income",IF(AND(O47&gt;0,P47&gt;0,C47&lt;&gt;E47),"Trade",IF(AND(NOT(Q47),Taostats_CSV!F47="fee"),'READ ME'!$C$5,"")))</f>
        <v>Income</v>
      </c>
      <c r="J47" t="str">
        <f ca="1">SUBSTITUTE(IF(LEN(I47)=0,Taostats_CSV!F47&amp;" "&amp;Taostats_CSV!J47,IF(I47="Cost","Extrinsic fee","")),"_"," ")</f>
        <v/>
      </c>
      <c r="K47" t="str">
        <f>TRIM(IF(LEN(Taostats_CSV!I47)&gt;0,Taostats_CSV!I47,""))</f>
        <v/>
      </c>
      <c r="L47" t="str">
        <f>IF(Taostats_CSV!E47&lt;&gt;"TAO",IF(LEN(F47)&gt;0,F47,IF(LEN(D47)&gt;0,D47,0))*Taostats_CSV!P47,"")</f>
        <v/>
      </c>
      <c r="M47" t="str">
        <f t="shared" si="3"/>
        <v/>
      </c>
      <c r="N47">
        <f>COUNTIF(Taostats_CSV!$X:$X,Taostats_CSV!$I47&amp;N$1)</f>
        <v>0</v>
      </c>
      <c r="O47">
        <f>COUNTIF(Taostats_CSV!$X:$X,Taostats_CSV!$I47&amp;O$1)</f>
        <v>0</v>
      </c>
      <c r="P47">
        <f>COUNTIF(Taostats_CSV!$X:$X,Taostats_CSV!$I47&amp;P$1)</f>
        <v>0</v>
      </c>
      <c r="Q47" t="b">
        <f t="shared" si="4"/>
        <v>0</v>
      </c>
      <c r="R47" t="b">
        <f>IF(LEN(K47)&gt;0,COUNTIF($K$3:K47,K47),FALSE)</f>
        <v>0</v>
      </c>
      <c r="S47" t="b">
        <f>IF(Taostats_CSV!A47=Taostats_CSV!$A$2,TRUE,Taostats_CSV!G47+Taostats_CSV!H47+Taostats_CSV!R47=0)</f>
        <v>0</v>
      </c>
      <c r="T47" t="b">
        <f t="shared" si="5"/>
        <v>1</v>
      </c>
      <c r="U47" t="b" cm="1">
        <f t="array" aca="1" ref="U47" ca="1">AND(T47,OR(O47-N47&gt;1,P47&gt;1,ISERROR(A47:P47)))</f>
        <v>0</v>
      </c>
      <c r="W47" t="e">
        <f>MATCH(K47&amp;$W$2,Taostats_CSV!$X$3:$X$1167,0)</f>
        <v>#N/A</v>
      </c>
      <c r="X47" t="e">
        <f t="shared" ca="1" si="0"/>
        <v>#VALUE!</v>
      </c>
      <c r="Y47">
        <f t="shared" ca="1" si="1"/>
        <v>0.104900189</v>
      </c>
      <c r="Z47" t="e">
        <f t="shared" ca="1" si="2"/>
        <v>#VALUE!</v>
      </c>
      <c r="AB47">
        <f>SUMIF(Taostats_CSV!$E:$E,AA47,Taostats_CSV!G:G)</f>
        <v>0</v>
      </c>
      <c r="AC47">
        <f>SUMIF(Taostats_CSV!$E:$E,AA47,Taostats_CSV!H:H)</f>
        <v>0</v>
      </c>
      <c r="AD47">
        <f>SUMIF(Taostats_CSV!$E:$E,AA47,Taostats_CSV!R:R)</f>
        <v>0</v>
      </c>
      <c r="AE47" s="4">
        <f t="shared" ca="1" si="15"/>
        <v>0</v>
      </c>
      <c r="AF47" s="4">
        <f t="shared" ca="1" si="16"/>
        <v>0</v>
      </c>
      <c r="AG47" s="4">
        <f t="shared" ca="1" si="17"/>
        <v>0</v>
      </c>
      <c r="AH47">
        <f t="shared" ca="1" si="13"/>
        <v>0</v>
      </c>
      <c r="AI47">
        <f t="shared" ca="1" si="14"/>
        <v>0</v>
      </c>
    </row>
    <row r="48" spans="1:35" x14ac:dyDescent="0.4">
      <c r="A48" t="str">
        <f>MID(Taostats_CSV!C48,6,2)&amp;"/"&amp;MID(Taostats_CSV!C48,9,2)&amp;"/"&amp;LEFT(Taostats_CSV!C48,4)&amp;" "&amp;MID(Taostats_CSV!C48,12,8)</f>
        <v>02/14/2025 23:59:48</v>
      </c>
      <c r="C48" t="str">
        <f ca="1">IF(Q48,OFFSET(Taostats_CSV!$E$1,MATCH(K48&amp;D$1,Taostats_CSV!$X:$X,0)-1,0),IF(Taostats_CSV!F48="fee",IF(VALUE(Taostats_CSV!G48)&gt;0,Taostats_CSV!E48,""),""))</f>
        <v/>
      </c>
      <c r="D48" t="str">
        <f ca="1">IF(Q48,OFFSET(Taostats_CSV!$G$1,MATCH(K48&amp;D$1,Taostats_CSV!$X:$X,0)-1,0),IF(Taostats_CSV!F48="fee",IF(VALUE(Taostats_CSV!G48)&gt;0,Taostats_CSV!G48,""),""))</f>
        <v/>
      </c>
      <c r="E48" t="str">
        <f ca="1">IF(AND(Q48,P48&gt;0),OFFSET(Taostats_CSV!$E$1,MATCH(K48&amp;F$1,Taostats_CSV!$X:$X,0)-1,0),IF(LEN(F48)&gt;0,Taostats_CSV!E48,""))</f>
        <v>TAO</v>
      </c>
      <c r="F48" t="str">
        <f ca="1">TRIM(IF(AND(Q48,P48&gt;0),OFFSET(Taostats_CSV!$H$1,MATCH(K48&amp;F$1,Taostats_CSV!$X:$X,0)-1,0),IF(LEN(Taostats_CSV!H48)&gt;0,Taostats_CSV!H48,Taostats_CSV!R48)))</f>
        <v>0.320673433</v>
      </c>
      <c r="G48" t="str">
        <f ca="1">IF(AND(Q48,N48=1),OFFSET(Taostats_CSV!$E$1,MATCH(K48&amp;H$1,Taostats_CSV!$X:$X,0)-1,0),"")</f>
        <v/>
      </c>
      <c r="H48" t="str">
        <f ca="1">IF(AND(Q48,N48=1),OFFSET(Taostats_CSV!$G$1,MATCH(K48&amp;H$1,Taostats_CSV!$X:$X,0)-1,0),"")</f>
        <v/>
      </c>
      <c r="I48" t="str">
        <f ca="1">IF(AND(LEN(K48)=0,LEN(F48)&gt;0),"Income",IF(AND(O48&gt;0,P48&gt;0,C48&lt;&gt;E48),"Trade",IF(AND(NOT(Q48),Taostats_CSV!F48="fee"),'READ ME'!$C$5,"")))</f>
        <v>Income</v>
      </c>
      <c r="J48" t="str">
        <f ca="1">SUBSTITUTE(IF(LEN(I48)=0,Taostats_CSV!F48&amp;" "&amp;Taostats_CSV!J48,IF(I48="Cost","Extrinsic fee","")),"_"," ")</f>
        <v/>
      </c>
      <c r="K48" t="str">
        <f>TRIM(IF(LEN(Taostats_CSV!I48)&gt;0,Taostats_CSV!I48,""))</f>
        <v/>
      </c>
      <c r="L48" t="str">
        <f>IF(Taostats_CSV!E48&lt;&gt;"TAO",IF(LEN(F48)&gt;0,F48,IF(LEN(D48)&gt;0,D48,0))*Taostats_CSV!P48,"")</f>
        <v/>
      </c>
      <c r="M48" t="str">
        <f t="shared" si="3"/>
        <v/>
      </c>
      <c r="N48">
        <f>COUNTIF(Taostats_CSV!$X:$X,Taostats_CSV!$I48&amp;N$1)</f>
        <v>0</v>
      </c>
      <c r="O48">
        <f>COUNTIF(Taostats_CSV!$X:$X,Taostats_CSV!$I48&amp;O$1)</f>
        <v>0</v>
      </c>
      <c r="P48">
        <f>COUNTIF(Taostats_CSV!$X:$X,Taostats_CSV!$I48&amp;P$1)</f>
        <v>0</v>
      </c>
      <c r="Q48" t="b">
        <f t="shared" si="4"/>
        <v>0</v>
      </c>
      <c r="R48" t="b">
        <f>IF(LEN(K48)&gt;0,COUNTIF($K$3:K48,K48),FALSE)</f>
        <v>0</v>
      </c>
      <c r="S48" t="b">
        <f>IF(Taostats_CSV!A48=Taostats_CSV!$A$2,TRUE,Taostats_CSV!G48+Taostats_CSV!H48+Taostats_CSV!R48=0)</f>
        <v>0</v>
      </c>
      <c r="T48" t="b">
        <f t="shared" si="5"/>
        <v>1</v>
      </c>
      <c r="U48" t="b" cm="1">
        <f t="array" aca="1" ref="U48" ca="1">AND(T48,OR(O48-N48&gt;1,P48&gt;1,ISERROR(A48:P48)))</f>
        <v>0</v>
      </c>
      <c r="W48" t="e">
        <f>MATCH(K48&amp;$W$2,Taostats_CSV!$X$3:$X$1167,0)</f>
        <v>#N/A</v>
      </c>
      <c r="X48" t="e">
        <f t="shared" ca="1" si="0"/>
        <v>#VALUE!</v>
      </c>
      <c r="Y48">
        <f t="shared" ca="1" si="1"/>
        <v>0.32067343300000001</v>
      </c>
      <c r="Z48" t="e">
        <f t="shared" ca="1" si="2"/>
        <v>#VALUE!</v>
      </c>
      <c r="AB48">
        <f>SUMIF(Taostats_CSV!$E:$E,AA48,Taostats_CSV!G:G)</f>
        <v>0</v>
      </c>
      <c r="AC48">
        <f>SUMIF(Taostats_CSV!$E:$E,AA48,Taostats_CSV!H:H)</f>
        <v>0</v>
      </c>
      <c r="AD48">
        <f>SUMIF(Taostats_CSV!$E:$E,AA48,Taostats_CSV!R:R)</f>
        <v>0</v>
      </c>
      <c r="AE48" s="4">
        <f t="shared" ca="1" si="15"/>
        <v>0</v>
      </c>
      <c r="AF48" s="4">
        <f t="shared" ca="1" si="16"/>
        <v>0</v>
      </c>
      <c r="AG48" s="4">
        <f t="shared" ca="1" si="17"/>
        <v>0</v>
      </c>
      <c r="AH48">
        <f t="shared" ca="1" si="13"/>
        <v>0</v>
      </c>
      <c r="AI48">
        <f t="shared" ca="1" si="14"/>
        <v>0</v>
      </c>
    </row>
    <row r="49" spans="1:35" x14ac:dyDescent="0.4">
      <c r="A49" t="str">
        <f>MID(Taostats_CSV!C49,6,2)&amp;"/"&amp;MID(Taostats_CSV!C49,9,2)&amp;"/"&amp;LEFT(Taostats_CSV!C49,4)&amp;" "&amp;MID(Taostats_CSV!C49,12,8)</f>
        <v>02/15/2025 23:59:48</v>
      </c>
      <c r="C49" t="str">
        <f ca="1">IF(Q49,OFFSET(Taostats_CSV!$E$1,MATCH(K49&amp;D$1,Taostats_CSV!$X:$X,0)-1,0),IF(Taostats_CSV!F49="fee",IF(VALUE(Taostats_CSV!G49)&gt;0,Taostats_CSV!E49,""),""))</f>
        <v/>
      </c>
      <c r="D49" t="str">
        <f ca="1">IF(Q49,OFFSET(Taostats_CSV!$G$1,MATCH(K49&amp;D$1,Taostats_CSV!$X:$X,0)-1,0),IF(Taostats_CSV!F49="fee",IF(VALUE(Taostats_CSV!G49)&gt;0,Taostats_CSV!G49,""),""))</f>
        <v/>
      </c>
      <c r="E49" t="str">
        <f ca="1">IF(AND(Q49,P49&gt;0),OFFSET(Taostats_CSV!$E$1,MATCH(K49&amp;F$1,Taostats_CSV!$X:$X,0)-1,0),IF(LEN(F49)&gt;0,Taostats_CSV!E49,""))</f>
        <v>TAO</v>
      </c>
      <c r="F49" t="str">
        <f ca="1">TRIM(IF(AND(Q49,P49&gt;0),OFFSET(Taostats_CSV!$H$1,MATCH(K49&amp;F$1,Taostats_CSV!$X:$X,0)-1,0),IF(LEN(Taostats_CSV!H49)&gt;0,Taostats_CSV!H49,Taostats_CSV!R49)))</f>
        <v>0.180900481</v>
      </c>
      <c r="G49" t="str">
        <f ca="1">IF(AND(Q49,N49=1),OFFSET(Taostats_CSV!$E$1,MATCH(K49&amp;H$1,Taostats_CSV!$X:$X,0)-1,0),"")</f>
        <v/>
      </c>
      <c r="H49" t="str">
        <f ca="1">IF(AND(Q49,N49=1),OFFSET(Taostats_CSV!$G$1,MATCH(K49&amp;H$1,Taostats_CSV!$X:$X,0)-1,0),"")</f>
        <v/>
      </c>
      <c r="I49" t="str">
        <f ca="1">IF(AND(LEN(K49)=0,LEN(F49)&gt;0),"Income",IF(AND(O49&gt;0,P49&gt;0,C49&lt;&gt;E49),"Trade",IF(AND(NOT(Q49),Taostats_CSV!F49="fee"),'READ ME'!$C$5,"")))</f>
        <v>Income</v>
      </c>
      <c r="J49" t="str">
        <f ca="1">SUBSTITUTE(IF(LEN(I49)=0,Taostats_CSV!F49&amp;" "&amp;Taostats_CSV!J49,IF(I49="Cost","Extrinsic fee","")),"_"," ")</f>
        <v/>
      </c>
      <c r="K49" t="str">
        <f>TRIM(IF(LEN(Taostats_CSV!I49)&gt;0,Taostats_CSV!I49,""))</f>
        <v/>
      </c>
      <c r="L49" t="str">
        <f>IF(Taostats_CSV!E49&lt;&gt;"TAO",IF(LEN(F49)&gt;0,F49,IF(LEN(D49)&gt;0,D49,0))*Taostats_CSV!P49,"")</f>
        <v/>
      </c>
      <c r="M49" t="str">
        <f t="shared" si="3"/>
        <v/>
      </c>
      <c r="N49">
        <f>COUNTIF(Taostats_CSV!$X:$X,Taostats_CSV!$I49&amp;N$1)</f>
        <v>0</v>
      </c>
      <c r="O49">
        <f>COUNTIF(Taostats_CSV!$X:$X,Taostats_CSV!$I49&amp;O$1)</f>
        <v>0</v>
      </c>
      <c r="P49">
        <f>COUNTIF(Taostats_CSV!$X:$X,Taostats_CSV!$I49&amp;P$1)</f>
        <v>0</v>
      </c>
      <c r="Q49" t="b">
        <f t="shared" si="4"/>
        <v>0</v>
      </c>
      <c r="R49" t="b">
        <f>IF(LEN(K49)&gt;0,COUNTIF($K$3:K49,K49),FALSE)</f>
        <v>0</v>
      </c>
      <c r="S49" t="b">
        <f>IF(Taostats_CSV!A49=Taostats_CSV!$A$2,TRUE,Taostats_CSV!G49+Taostats_CSV!H49+Taostats_CSV!R49=0)</f>
        <v>0</v>
      </c>
      <c r="T49" t="b">
        <f t="shared" si="5"/>
        <v>1</v>
      </c>
      <c r="U49" t="b" cm="1">
        <f t="array" aca="1" ref="U49" ca="1">AND(T49,OR(O49-N49&gt;1,P49&gt;1,ISERROR(A49:P49)))</f>
        <v>0</v>
      </c>
      <c r="W49" t="e">
        <f>MATCH(K49&amp;$W$2,Taostats_CSV!$X$3:$X$1167,0)</f>
        <v>#N/A</v>
      </c>
      <c r="X49" t="e">
        <f t="shared" ca="1" si="0"/>
        <v>#VALUE!</v>
      </c>
      <c r="Y49">
        <f t="shared" ca="1" si="1"/>
        <v>0.180900481</v>
      </c>
      <c r="Z49" t="e">
        <f t="shared" ca="1" si="2"/>
        <v>#VALUE!</v>
      </c>
      <c r="AB49">
        <f>SUMIF(Taostats_CSV!$E:$E,AA49,Taostats_CSV!G:G)</f>
        <v>0</v>
      </c>
      <c r="AC49">
        <f>SUMIF(Taostats_CSV!$E:$E,AA49,Taostats_CSV!H:H)</f>
        <v>0</v>
      </c>
      <c r="AD49">
        <f>SUMIF(Taostats_CSV!$E:$E,AA49,Taostats_CSV!R:R)</f>
        <v>0</v>
      </c>
      <c r="AE49" s="4">
        <f t="shared" ca="1" si="15"/>
        <v>0</v>
      </c>
      <c r="AF49" s="4">
        <f t="shared" ca="1" si="16"/>
        <v>0</v>
      </c>
      <c r="AG49" s="4">
        <f t="shared" ca="1" si="17"/>
        <v>0</v>
      </c>
      <c r="AH49">
        <f t="shared" ca="1" si="13"/>
        <v>0</v>
      </c>
      <c r="AI49">
        <f t="shared" ca="1" si="14"/>
        <v>0</v>
      </c>
    </row>
    <row r="50" spans="1:35" x14ac:dyDescent="0.4">
      <c r="A50" t="str">
        <f>MID(Taostats_CSV!C50,6,2)&amp;"/"&amp;MID(Taostats_CSV!C50,9,2)&amp;"/"&amp;LEFT(Taostats_CSV!C50,4)&amp;" "&amp;MID(Taostats_CSV!C50,12,8)</f>
        <v>02/16/2025 23:59:48</v>
      </c>
      <c r="C50" t="str">
        <f ca="1">IF(Q50,OFFSET(Taostats_CSV!$E$1,MATCH(K50&amp;D$1,Taostats_CSV!$X:$X,0)-1,0),IF(Taostats_CSV!F50="fee",IF(VALUE(Taostats_CSV!G50)&gt;0,Taostats_CSV!E50,""),""))</f>
        <v/>
      </c>
      <c r="D50" t="str">
        <f ca="1">IF(Q50,OFFSET(Taostats_CSV!$G$1,MATCH(K50&amp;D$1,Taostats_CSV!$X:$X,0)-1,0),IF(Taostats_CSV!F50="fee",IF(VALUE(Taostats_CSV!G50)&gt;0,Taostats_CSV!G50,""),""))</f>
        <v/>
      </c>
      <c r="E50" t="str">
        <f ca="1">IF(AND(Q50,P50&gt;0),OFFSET(Taostats_CSV!$E$1,MATCH(K50&amp;F$1,Taostats_CSV!$X:$X,0)-1,0),IF(LEN(F50)&gt;0,Taostats_CSV!E50,""))</f>
        <v>TAO</v>
      </c>
      <c r="F50" t="str">
        <f ca="1">TRIM(IF(AND(Q50,P50&gt;0),OFFSET(Taostats_CSV!$H$1,MATCH(K50&amp;F$1,Taostats_CSV!$X:$X,0)-1,0),IF(LEN(Taostats_CSV!H50)&gt;0,Taostats_CSV!H50,Taostats_CSV!R50)))</f>
        <v>0.131794196</v>
      </c>
      <c r="G50" t="str">
        <f ca="1">IF(AND(Q50,N50=1),OFFSET(Taostats_CSV!$E$1,MATCH(K50&amp;H$1,Taostats_CSV!$X:$X,0)-1,0),"")</f>
        <v/>
      </c>
      <c r="H50" t="str">
        <f ca="1">IF(AND(Q50,N50=1),OFFSET(Taostats_CSV!$G$1,MATCH(K50&amp;H$1,Taostats_CSV!$X:$X,0)-1,0),"")</f>
        <v/>
      </c>
      <c r="I50" t="str">
        <f ca="1">IF(AND(LEN(K50)=0,LEN(F50)&gt;0),"Income",IF(AND(O50&gt;0,P50&gt;0,C50&lt;&gt;E50),"Trade",IF(AND(NOT(Q50),Taostats_CSV!F50="fee"),'READ ME'!$C$5,"")))</f>
        <v>Income</v>
      </c>
      <c r="J50" t="str">
        <f ca="1">SUBSTITUTE(IF(LEN(I50)=0,Taostats_CSV!F50&amp;" "&amp;Taostats_CSV!J50,IF(I50="Cost","Extrinsic fee","")),"_"," ")</f>
        <v/>
      </c>
      <c r="K50" t="str">
        <f>TRIM(IF(LEN(Taostats_CSV!I50)&gt;0,Taostats_CSV!I50,""))</f>
        <v/>
      </c>
      <c r="L50" t="str">
        <f>IF(Taostats_CSV!E50&lt;&gt;"TAO",IF(LEN(F50)&gt;0,F50,IF(LEN(D50)&gt;0,D50,0))*Taostats_CSV!P50,"")</f>
        <v/>
      </c>
      <c r="M50" t="str">
        <f t="shared" si="3"/>
        <v/>
      </c>
      <c r="N50">
        <f>COUNTIF(Taostats_CSV!$X:$X,Taostats_CSV!$I50&amp;N$1)</f>
        <v>0</v>
      </c>
      <c r="O50">
        <f>COUNTIF(Taostats_CSV!$X:$X,Taostats_CSV!$I50&amp;O$1)</f>
        <v>0</v>
      </c>
      <c r="P50">
        <f>COUNTIF(Taostats_CSV!$X:$X,Taostats_CSV!$I50&amp;P$1)</f>
        <v>0</v>
      </c>
      <c r="Q50" t="b">
        <f t="shared" si="4"/>
        <v>0</v>
      </c>
      <c r="R50" t="b">
        <f>IF(LEN(K50)&gt;0,COUNTIF($K$3:K50,K50),FALSE)</f>
        <v>0</v>
      </c>
      <c r="S50" t="b">
        <f>IF(Taostats_CSV!A50=Taostats_CSV!$A$2,TRUE,Taostats_CSV!G50+Taostats_CSV!H50+Taostats_CSV!R50=0)</f>
        <v>0</v>
      </c>
      <c r="T50" t="b">
        <f t="shared" si="5"/>
        <v>1</v>
      </c>
      <c r="U50" t="b" cm="1">
        <f t="array" aca="1" ref="U50" ca="1">AND(T50,OR(O50-N50&gt;1,P50&gt;1,ISERROR(A50:P50)))</f>
        <v>0</v>
      </c>
      <c r="W50" t="e">
        <f>MATCH(K50&amp;$W$2,Taostats_CSV!$X$3:$X$1167,0)</f>
        <v>#N/A</v>
      </c>
      <c r="X50" t="e">
        <f t="shared" ca="1" si="0"/>
        <v>#VALUE!</v>
      </c>
      <c r="Y50">
        <f t="shared" ca="1" si="1"/>
        <v>0.131794196</v>
      </c>
      <c r="Z50" t="e">
        <f t="shared" ca="1" si="2"/>
        <v>#VALUE!</v>
      </c>
      <c r="AB50">
        <f>SUMIF(Taostats_CSV!$E:$E,AA50,Taostats_CSV!G:G)</f>
        <v>0</v>
      </c>
      <c r="AC50">
        <f>SUMIF(Taostats_CSV!$E:$E,AA50,Taostats_CSV!H:H)</f>
        <v>0</v>
      </c>
      <c r="AD50">
        <f>SUMIF(Taostats_CSV!$E:$E,AA50,Taostats_CSV!R:R)</f>
        <v>0</v>
      </c>
      <c r="AE50" s="4">
        <f t="shared" ca="1" si="15"/>
        <v>0</v>
      </c>
      <c r="AF50" s="4">
        <f t="shared" ca="1" si="16"/>
        <v>0</v>
      </c>
      <c r="AG50" s="4">
        <f t="shared" ca="1" si="17"/>
        <v>0</v>
      </c>
      <c r="AH50">
        <f t="shared" ca="1" si="13"/>
        <v>0</v>
      </c>
      <c r="AI50">
        <f t="shared" ca="1" si="14"/>
        <v>0</v>
      </c>
    </row>
    <row r="51" spans="1:35" x14ac:dyDescent="0.4">
      <c r="A51" t="str">
        <f>MID(Taostats_CSV!C51,6,2)&amp;"/"&amp;MID(Taostats_CSV!C51,9,2)&amp;"/"&amp;LEFT(Taostats_CSV!C51,4)&amp;" "&amp;MID(Taostats_CSV!C51,12,8)</f>
        <v>02/17/2025 23:59:48</v>
      </c>
      <c r="C51" t="str">
        <f ca="1">IF(Q51,OFFSET(Taostats_CSV!$E$1,MATCH(K51&amp;D$1,Taostats_CSV!$X:$X,0)-1,0),IF(Taostats_CSV!F51="fee",IF(VALUE(Taostats_CSV!G51)&gt;0,Taostats_CSV!E51,""),""))</f>
        <v/>
      </c>
      <c r="D51" t="str">
        <f ca="1">IF(Q51,OFFSET(Taostats_CSV!$G$1,MATCH(K51&amp;D$1,Taostats_CSV!$X:$X,0)-1,0),IF(Taostats_CSV!F51="fee",IF(VALUE(Taostats_CSV!G51)&gt;0,Taostats_CSV!G51,""),""))</f>
        <v/>
      </c>
      <c r="E51" t="str">
        <f ca="1">IF(AND(Q51,P51&gt;0),OFFSET(Taostats_CSV!$E$1,MATCH(K51&amp;F$1,Taostats_CSV!$X:$X,0)-1,0),IF(LEN(F51)&gt;0,Taostats_CSV!E51,""))</f>
        <v>TAO</v>
      </c>
      <c r="F51" t="str">
        <f ca="1">TRIM(IF(AND(Q51,P51&gt;0),OFFSET(Taostats_CSV!$H$1,MATCH(K51&amp;F$1,Taostats_CSV!$X:$X,0)-1,0),IF(LEN(Taostats_CSV!H51)&gt;0,Taostats_CSV!H51,Taostats_CSV!R51)))</f>
        <v>0.137139391</v>
      </c>
      <c r="G51" t="str">
        <f ca="1">IF(AND(Q51,N51=1),OFFSET(Taostats_CSV!$E$1,MATCH(K51&amp;H$1,Taostats_CSV!$X:$X,0)-1,0),"")</f>
        <v/>
      </c>
      <c r="H51" t="str">
        <f ca="1">IF(AND(Q51,N51=1),OFFSET(Taostats_CSV!$G$1,MATCH(K51&amp;H$1,Taostats_CSV!$X:$X,0)-1,0),"")</f>
        <v/>
      </c>
      <c r="I51" t="str">
        <f ca="1">IF(AND(LEN(K51)=0,LEN(F51)&gt;0),"Income",IF(AND(O51&gt;0,P51&gt;0,C51&lt;&gt;E51),"Trade",IF(AND(NOT(Q51),Taostats_CSV!F51="fee"),'READ ME'!$C$5,"")))</f>
        <v>Income</v>
      </c>
      <c r="J51" t="str">
        <f ca="1">SUBSTITUTE(IF(LEN(I51)=0,Taostats_CSV!F51&amp;" "&amp;Taostats_CSV!J51,IF(I51="Cost","Extrinsic fee","")),"_"," ")</f>
        <v/>
      </c>
      <c r="K51" t="str">
        <f>TRIM(IF(LEN(Taostats_CSV!I51)&gt;0,Taostats_CSV!I51,""))</f>
        <v/>
      </c>
      <c r="L51" t="str">
        <f>IF(Taostats_CSV!E51&lt;&gt;"TAO",IF(LEN(F51)&gt;0,F51,IF(LEN(D51)&gt;0,D51,0))*Taostats_CSV!P51,"")</f>
        <v/>
      </c>
      <c r="M51" t="str">
        <f t="shared" si="3"/>
        <v/>
      </c>
      <c r="N51">
        <f>COUNTIF(Taostats_CSV!$X:$X,Taostats_CSV!$I51&amp;N$1)</f>
        <v>0</v>
      </c>
      <c r="O51">
        <f>COUNTIF(Taostats_CSV!$X:$X,Taostats_CSV!$I51&amp;O$1)</f>
        <v>0</v>
      </c>
      <c r="P51">
        <f>COUNTIF(Taostats_CSV!$X:$X,Taostats_CSV!$I51&amp;P$1)</f>
        <v>0</v>
      </c>
      <c r="Q51" t="b">
        <f t="shared" si="4"/>
        <v>0</v>
      </c>
      <c r="R51" t="b">
        <f>IF(LEN(K51)&gt;0,COUNTIF($K$3:K51,K51),FALSE)</f>
        <v>0</v>
      </c>
      <c r="S51" t="b">
        <f>IF(Taostats_CSV!A51=Taostats_CSV!$A$2,TRUE,Taostats_CSV!G51+Taostats_CSV!H51+Taostats_CSV!R51=0)</f>
        <v>0</v>
      </c>
      <c r="T51" t="b">
        <f t="shared" si="5"/>
        <v>1</v>
      </c>
      <c r="U51" t="b" cm="1">
        <f t="array" aca="1" ref="U51" ca="1">AND(T51,OR(O51-N51&gt;1,P51&gt;1,ISERROR(A51:P51)))</f>
        <v>0</v>
      </c>
      <c r="W51" t="e">
        <f>MATCH(K51&amp;$W$2,Taostats_CSV!$X$3:$X$1167,0)</f>
        <v>#N/A</v>
      </c>
      <c r="X51" t="e">
        <f t="shared" ca="1" si="0"/>
        <v>#VALUE!</v>
      </c>
      <c r="Y51">
        <f t="shared" ca="1" si="1"/>
        <v>0.137139391</v>
      </c>
      <c r="Z51" t="e">
        <f t="shared" ca="1" si="2"/>
        <v>#VALUE!</v>
      </c>
      <c r="AB51">
        <f>SUMIF(Taostats_CSV!$E:$E,AA51,Taostats_CSV!G:G)</f>
        <v>0</v>
      </c>
      <c r="AC51">
        <f>SUMIF(Taostats_CSV!$E:$E,AA51,Taostats_CSV!H:H)</f>
        <v>0</v>
      </c>
      <c r="AD51">
        <f>SUMIF(Taostats_CSV!$E:$E,AA51,Taostats_CSV!R:R)</f>
        <v>0</v>
      </c>
      <c r="AE51" s="4">
        <f t="shared" ca="1" si="15"/>
        <v>0</v>
      </c>
      <c r="AF51" s="4">
        <f t="shared" ca="1" si="16"/>
        <v>0</v>
      </c>
      <c r="AG51" s="4">
        <f t="shared" ca="1" si="17"/>
        <v>0</v>
      </c>
      <c r="AH51">
        <f t="shared" ca="1" si="13"/>
        <v>0</v>
      </c>
      <c r="AI51">
        <f t="shared" ca="1" si="14"/>
        <v>0</v>
      </c>
    </row>
    <row r="52" spans="1:35" x14ac:dyDescent="0.4">
      <c r="A52" t="str">
        <f>MID(Taostats_CSV!C52,6,2)&amp;"/"&amp;MID(Taostats_CSV!C52,9,2)&amp;"/"&amp;LEFT(Taostats_CSV!C52,4)&amp;" "&amp;MID(Taostats_CSV!C52,12,8)</f>
        <v>02/18/2025 23:59:48</v>
      </c>
      <c r="C52" t="str">
        <f ca="1">IF(Q52,OFFSET(Taostats_CSV!$E$1,MATCH(K52&amp;D$1,Taostats_CSV!$X:$X,0)-1,0),IF(Taostats_CSV!F52="fee",IF(VALUE(Taostats_CSV!G52)&gt;0,Taostats_CSV!E52,""),""))</f>
        <v/>
      </c>
      <c r="D52" t="str">
        <f ca="1">IF(Q52,OFFSET(Taostats_CSV!$G$1,MATCH(K52&amp;D$1,Taostats_CSV!$X:$X,0)-1,0),IF(Taostats_CSV!F52="fee",IF(VALUE(Taostats_CSV!G52)&gt;0,Taostats_CSV!G52,""),""))</f>
        <v/>
      </c>
      <c r="E52" t="str">
        <f ca="1">IF(AND(Q52,P52&gt;0),OFFSET(Taostats_CSV!$E$1,MATCH(K52&amp;F$1,Taostats_CSV!$X:$X,0)-1,0),IF(LEN(F52)&gt;0,Taostats_CSV!E52,""))</f>
        <v>TAO</v>
      </c>
      <c r="F52" t="str">
        <f ca="1">TRIM(IF(AND(Q52,P52&gt;0),OFFSET(Taostats_CSV!$H$1,MATCH(K52&amp;F$1,Taostats_CSV!$X:$X,0)-1,0),IF(LEN(Taostats_CSV!H52)&gt;0,Taostats_CSV!H52,Taostats_CSV!R52)))</f>
        <v>0.176510952</v>
      </c>
      <c r="G52" t="str">
        <f ca="1">IF(AND(Q52,N52=1),OFFSET(Taostats_CSV!$E$1,MATCH(K52&amp;H$1,Taostats_CSV!$X:$X,0)-1,0),"")</f>
        <v/>
      </c>
      <c r="H52" t="str">
        <f ca="1">IF(AND(Q52,N52=1),OFFSET(Taostats_CSV!$G$1,MATCH(K52&amp;H$1,Taostats_CSV!$X:$X,0)-1,0),"")</f>
        <v/>
      </c>
      <c r="I52" t="str">
        <f ca="1">IF(AND(LEN(K52)=0,LEN(F52)&gt;0),"Income",IF(AND(O52&gt;0,P52&gt;0,C52&lt;&gt;E52),"Trade",IF(AND(NOT(Q52),Taostats_CSV!F52="fee"),'READ ME'!$C$5,"")))</f>
        <v>Income</v>
      </c>
      <c r="J52" t="str">
        <f ca="1">SUBSTITUTE(IF(LEN(I52)=0,Taostats_CSV!F52&amp;" "&amp;Taostats_CSV!J52,IF(I52="Cost","Extrinsic fee","")),"_"," ")</f>
        <v/>
      </c>
      <c r="K52" t="str">
        <f>TRIM(IF(LEN(Taostats_CSV!I52)&gt;0,Taostats_CSV!I52,""))</f>
        <v/>
      </c>
      <c r="L52" t="str">
        <f>IF(Taostats_CSV!E52&lt;&gt;"TAO",IF(LEN(F52)&gt;0,F52,IF(LEN(D52)&gt;0,D52,0))*Taostats_CSV!P52,"")</f>
        <v/>
      </c>
      <c r="M52" t="str">
        <f t="shared" si="3"/>
        <v/>
      </c>
      <c r="N52">
        <f>COUNTIF(Taostats_CSV!$X:$X,Taostats_CSV!$I52&amp;N$1)</f>
        <v>0</v>
      </c>
      <c r="O52">
        <f>COUNTIF(Taostats_CSV!$X:$X,Taostats_CSV!$I52&amp;O$1)</f>
        <v>0</v>
      </c>
      <c r="P52">
        <f>COUNTIF(Taostats_CSV!$X:$X,Taostats_CSV!$I52&amp;P$1)</f>
        <v>0</v>
      </c>
      <c r="Q52" t="b">
        <f t="shared" si="4"/>
        <v>0</v>
      </c>
      <c r="R52" t="b">
        <f>IF(LEN(K52)&gt;0,COUNTIF($K$3:K52,K52),FALSE)</f>
        <v>0</v>
      </c>
      <c r="S52" t="b">
        <f>IF(Taostats_CSV!A52=Taostats_CSV!$A$2,TRUE,Taostats_CSV!G52+Taostats_CSV!H52+Taostats_CSV!R52=0)</f>
        <v>0</v>
      </c>
      <c r="T52" t="b">
        <f t="shared" si="5"/>
        <v>1</v>
      </c>
      <c r="U52" t="b" cm="1">
        <f t="array" aca="1" ref="U52" ca="1">AND(T52,OR(O52-N52&gt;1,P52&gt;1,ISERROR(A52:P52)))</f>
        <v>0</v>
      </c>
      <c r="W52" t="e">
        <f>MATCH(K52&amp;$W$2,Taostats_CSV!$X$3:$X$1167,0)</f>
        <v>#N/A</v>
      </c>
      <c r="X52" t="e">
        <f t="shared" ca="1" si="0"/>
        <v>#VALUE!</v>
      </c>
      <c r="Y52">
        <f t="shared" ca="1" si="1"/>
        <v>0.176510952</v>
      </c>
      <c r="Z52" t="e">
        <f t="shared" ca="1" si="2"/>
        <v>#VALUE!</v>
      </c>
      <c r="AB52">
        <f>SUMIF(Taostats_CSV!$E:$E,AA52,Taostats_CSV!G:G)</f>
        <v>0</v>
      </c>
      <c r="AC52">
        <f>SUMIF(Taostats_CSV!$E:$E,AA52,Taostats_CSV!H:H)</f>
        <v>0</v>
      </c>
      <c r="AD52">
        <f>SUMIF(Taostats_CSV!$E:$E,AA52,Taostats_CSV!R:R)</f>
        <v>0</v>
      </c>
      <c r="AE52" s="4">
        <f t="shared" ca="1" si="15"/>
        <v>0</v>
      </c>
      <c r="AF52" s="4">
        <f t="shared" ca="1" si="16"/>
        <v>0</v>
      </c>
      <c r="AG52" s="4">
        <f t="shared" ca="1" si="17"/>
        <v>0</v>
      </c>
      <c r="AH52">
        <f t="shared" ca="1" si="13"/>
        <v>0</v>
      </c>
      <c r="AI52">
        <f t="shared" ca="1" si="14"/>
        <v>0</v>
      </c>
    </row>
    <row r="53" spans="1:35" x14ac:dyDescent="0.4">
      <c r="A53" t="str">
        <f>MID(Taostats_CSV!C53,6,2)&amp;"/"&amp;MID(Taostats_CSV!C53,9,2)&amp;"/"&amp;LEFT(Taostats_CSV!C53,4)&amp;" "&amp;MID(Taostats_CSV!C53,12,8)</f>
        <v>02/19/2025 23:59:48</v>
      </c>
      <c r="C53" t="str">
        <f ca="1">IF(Q53,OFFSET(Taostats_CSV!$E$1,MATCH(K53&amp;D$1,Taostats_CSV!$X:$X,0)-1,0),IF(Taostats_CSV!F53="fee",IF(VALUE(Taostats_CSV!G53)&gt;0,Taostats_CSV!E53,""),""))</f>
        <v/>
      </c>
      <c r="D53" t="str">
        <f ca="1">IF(Q53,OFFSET(Taostats_CSV!$G$1,MATCH(K53&amp;D$1,Taostats_CSV!$X:$X,0)-1,0),IF(Taostats_CSV!F53="fee",IF(VALUE(Taostats_CSV!G53)&gt;0,Taostats_CSV!G53,""),""))</f>
        <v/>
      </c>
      <c r="E53" t="str">
        <f ca="1">IF(AND(Q53,P53&gt;0),OFFSET(Taostats_CSV!$E$1,MATCH(K53&amp;F$1,Taostats_CSV!$X:$X,0)-1,0),IF(LEN(F53)&gt;0,Taostats_CSV!E53,""))</f>
        <v>TAO</v>
      </c>
      <c r="F53" t="str">
        <f ca="1">TRIM(IF(AND(Q53,P53&gt;0),OFFSET(Taostats_CSV!$H$1,MATCH(K53&amp;F$1,Taostats_CSV!$X:$X,0)-1,0),IF(LEN(Taostats_CSV!H53)&gt;0,Taostats_CSV!H53,Taostats_CSV!R53)))</f>
        <v>0.336360716</v>
      </c>
      <c r="G53" t="str">
        <f ca="1">IF(AND(Q53,N53=1),OFFSET(Taostats_CSV!$E$1,MATCH(K53&amp;H$1,Taostats_CSV!$X:$X,0)-1,0),"")</f>
        <v/>
      </c>
      <c r="H53" t="str">
        <f ca="1">IF(AND(Q53,N53=1),OFFSET(Taostats_CSV!$G$1,MATCH(K53&amp;H$1,Taostats_CSV!$X:$X,0)-1,0),"")</f>
        <v/>
      </c>
      <c r="I53" t="str">
        <f ca="1">IF(AND(LEN(K53)=0,LEN(F53)&gt;0),"Income",IF(AND(O53&gt;0,P53&gt;0,C53&lt;&gt;E53),"Trade",IF(AND(NOT(Q53),Taostats_CSV!F53="fee"),'READ ME'!$C$5,"")))</f>
        <v>Income</v>
      </c>
      <c r="J53" t="str">
        <f ca="1">SUBSTITUTE(IF(LEN(I53)=0,Taostats_CSV!F53&amp;" "&amp;Taostats_CSV!J53,IF(I53="Cost","Extrinsic fee","")),"_"," ")</f>
        <v/>
      </c>
      <c r="K53" t="str">
        <f>TRIM(IF(LEN(Taostats_CSV!I53)&gt;0,Taostats_CSV!I53,""))</f>
        <v/>
      </c>
      <c r="L53" t="str">
        <f>IF(Taostats_CSV!E53&lt;&gt;"TAO",IF(LEN(F53)&gt;0,F53,IF(LEN(D53)&gt;0,D53,0))*Taostats_CSV!P53,"")</f>
        <v/>
      </c>
      <c r="M53" t="str">
        <f t="shared" si="3"/>
        <v/>
      </c>
      <c r="N53">
        <f>COUNTIF(Taostats_CSV!$X:$X,Taostats_CSV!$I53&amp;N$1)</f>
        <v>0</v>
      </c>
      <c r="O53">
        <f>COUNTIF(Taostats_CSV!$X:$X,Taostats_CSV!$I53&amp;O$1)</f>
        <v>0</v>
      </c>
      <c r="P53">
        <f>COUNTIF(Taostats_CSV!$X:$X,Taostats_CSV!$I53&amp;P$1)</f>
        <v>0</v>
      </c>
      <c r="Q53" t="b">
        <f t="shared" si="4"/>
        <v>0</v>
      </c>
      <c r="R53" t="b">
        <f>IF(LEN(K53)&gt;0,COUNTIF($K$3:K53,K53),FALSE)</f>
        <v>0</v>
      </c>
      <c r="S53" t="b">
        <f>IF(Taostats_CSV!A53=Taostats_CSV!$A$2,TRUE,Taostats_CSV!G53+Taostats_CSV!H53+Taostats_CSV!R53=0)</f>
        <v>0</v>
      </c>
      <c r="T53" t="b">
        <f t="shared" si="5"/>
        <v>1</v>
      </c>
      <c r="U53" t="b" cm="1">
        <f t="array" aca="1" ref="U53" ca="1">AND(T53,OR(O53-N53&gt;1,P53&gt;1,ISERROR(A53:P53)))</f>
        <v>0</v>
      </c>
      <c r="W53" t="e">
        <f>MATCH(K53&amp;$W$2,Taostats_CSV!$X$3:$X$1167,0)</f>
        <v>#N/A</v>
      </c>
      <c r="X53" t="e">
        <f t="shared" ca="1" si="0"/>
        <v>#VALUE!</v>
      </c>
      <c r="Y53">
        <f t="shared" ca="1" si="1"/>
        <v>0.336360716</v>
      </c>
      <c r="Z53" t="e">
        <f t="shared" ca="1" si="2"/>
        <v>#VALUE!</v>
      </c>
      <c r="AB53">
        <f>SUMIF(Taostats_CSV!$E:$E,AA53,Taostats_CSV!G:G)</f>
        <v>0</v>
      </c>
      <c r="AC53">
        <f>SUMIF(Taostats_CSV!$E:$E,AA53,Taostats_CSV!H:H)</f>
        <v>0</v>
      </c>
      <c r="AD53">
        <f>SUMIF(Taostats_CSV!$E:$E,AA53,Taostats_CSV!R:R)</f>
        <v>0</v>
      </c>
      <c r="AE53" s="4">
        <f t="shared" ca="1" si="15"/>
        <v>0</v>
      </c>
      <c r="AF53" s="4">
        <f t="shared" ca="1" si="16"/>
        <v>0</v>
      </c>
      <c r="AG53" s="4">
        <f t="shared" ca="1" si="17"/>
        <v>0</v>
      </c>
      <c r="AH53">
        <f t="shared" ca="1" si="13"/>
        <v>0</v>
      </c>
      <c r="AI53">
        <f t="shared" ca="1" si="14"/>
        <v>0</v>
      </c>
    </row>
    <row r="54" spans="1:35" x14ac:dyDescent="0.4">
      <c r="A54" t="str">
        <f>MID(Taostats_CSV!C54,6,2)&amp;"/"&amp;MID(Taostats_CSV!C54,9,2)&amp;"/"&amp;LEFT(Taostats_CSV!C54,4)&amp;" "&amp;MID(Taostats_CSV!C54,12,8)</f>
        <v>02/20/2025 23:59:48</v>
      </c>
      <c r="C54" t="str">
        <f ca="1">IF(Q54,OFFSET(Taostats_CSV!$E$1,MATCH(K54&amp;D$1,Taostats_CSV!$X:$X,0)-1,0),IF(Taostats_CSV!F54="fee",IF(VALUE(Taostats_CSV!G54)&gt;0,Taostats_CSV!E54,""),""))</f>
        <v/>
      </c>
      <c r="D54" t="str">
        <f ca="1">IF(Q54,OFFSET(Taostats_CSV!$G$1,MATCH(K54&amp;D$1,Taostats_CSV!$X:$X,0)-1,0),IF(Taostats_CSV!F54="fee",IF(VALUE(Taostats_CSV!G54)&gt;0,Taostats_CSV!G54,""),""))</f>
        <v/>
      </c>
      <c r="E54" t="str">
        <f ca="1">IF(AND(Q54,P54&gt;0),OFFSET(Taostats_CSV!$E$1,MATCH(K54&amp;F$1,Taostats_CSV!$X:$X,0)-1,0),IF(LEN(F54)&gt;0,Taostats_CSV!E54,""))</f>
        <v>TAO</v>
      </c>
      <c r="F54" t="str">
        <f ca="1">TRIM(IF(AND(Q54,P54&gt;0),OFFSET(Taostats_CSV!$H$1,MATCH(K54&amp;F$1,Taostats_CSV!$X:$X,0)-1,0),IF(LEN(Taostats_CSV!H54)&gt;0,Taostats_CSV!H54,Taostats_CSV!R54)))</f>
        <v>0.225686011</v>
      </c>
      <c r="G54" t="str">
        <f ca="1">IF(AND(Q54,N54=1),OFFSET(Taostats_CSV!$E$1,MATCH(K54&amp;H$1,Taostats_CSV!$X:$X,0)-1,0),"")</f>
        <v/>
      </c>
      <c r="H54" t="str">
        <f ca="1">IF(AND(Q54,N54=1),OFFSET(Taostats_CSV!$G$1,MATCH(K54&amp;H$1,Taostats_CSV!$X:$X,0)-1,0),"")</f>
        <v/>
      </c>
      <c r="I54" t="str">
        <f ca="1">IF(AND(LEN(K54)=0,LEN(F54)&gt;0),"Income",IF(AND(O54&gt;0,P54&gt;0,C54&lt;&gt;E54),"Trade",IF(AND(NOT(Q54),Taostats_CSV!F54="fee"),'READ ME'!$C$5,"")))</f>
        <v>Income</v>
      </c>
      <c r="J54" t="str">
        <f ca="1">SUBSTITUTE(IF(LEN(I54)=0,Taostats_CSV!F54&amp;" "&amp;Taostats_CSV!J54,IF(I54="Cost","Extrinsic fee","")),"_"," ")</f>
        <v/>
      </c>
      <c r="K54" t="str">
        <f>TRIM(IF(LEN(Taostats_CSV!I54)&gt;0,Taostats_CSV!I54,""))</f>
        <v/>
      </c>
      <c r="L54" t="str">
        <f>IF(Taostats_CSV!E54&lt;&gt;"TAO",IF(LEN(F54)&gt;0,F54,IF(LEN(D54)&gt;0,D54,0))*Taostats_CSV!P54,"")</f>
        <v/>
      </c>
      <c r="M54" t="str">
        <f t="shared" si="3"/>
        <v/>
      </c>
      <c r="N54">
        <f>COUNTIF(Taostats_CSV!$X:$X,Taostats_CSV!$I54&amp;N$1)</f>
        <v>0</v>
      </c>
      <c r="O54">
        <f>COUNTIF(Taostats_CSV!$X:$X,Taostats_CSV!$I54&amp;O$1)</f>
        <v>0</v>
      </c>
      <c r="P54">
        <f>COUNTIF(Taostats_CSV!$X:$X,Taostats_CSV!$I54&amp;P$1)</f>
        <v>0</v>
      </c>
      <c r="Q54" t="b">
        <f t="shared" si="4"/>
        <v>0</v>
      </c>
      <c r="R54" t="b">
        <f>IF(LEN(K54)&gt;0,COUNTIF($K$3:K54,K54),FALSE)</f>
        <v>0</v>
      </c>
      <c r="S54" t="b">
        <f>IF(Taostats_CSV!A54=Taostats_CSV!$A$2,TRUE,Taostats_CSV!G54+Taostats_CSV!H54+Taostats_CSV!R54=0)</f>
        <v>0</v>
      </c>
      <c r="T54" t="b">
        <f t="shared" si="5"/>
        <v>1</v>
      </c>
      <c r="U54" t="b" cm="1">
        <f t="array" aca="1" ref="U54" ca="1">AND(T54,OR(O54-N54&gt;1,P54&gt;1,ISERROR(A54:P54)))</f>
        <v>0</v>
      </c>
      <c r="W54" t="e">
        <f>MATCH(K54&amp;$W$2,Taostats_CSV!$X$3:$X$1167,0)</f>
        <v>#N/A</v>
      </c>
      <c r="X54" t="e">
        <f t="shared" ca="1" si="0"/>
        <v>#VALUE!</v>
      </c>
      <c r="Y54">
        <f t="shared" ca="1" si="1"/>
        <v>0.22568601099999999</v>
      </c>
      <c r="Z54" t="e">
        <f t="shared" ca="1" si="2"/>
        <v>#VALUE!</v>
      </c>
    </row>
    <row r="55" spans="1:35" x14ac:dyDescent="0.4">
      <c r="A55" t="str">
        <f>MID(Taostats_CSV!C55,6,2)&amp;"/"&amp;MID(Taostats_CSV!C55,9,2)&amp;"/"&amp;LEFT(Taostats_CSV!C55,4)&amp;" "&amp;MID(Taostats_CSV!C55,12,8)</f>
        <v>02/21/2025 23:59:48</v>
      </c>
      <c r="C55" t="str">
        <f ca="1">IF(Q55,OFFSET(Taostats_CSV!$E$1,MATCH(K55&amp;D$1,Taostats_CSV!$X:$X,0)-1,0),IF(Taostats_CSV!F55="fee",IF(VALUE(Taostats_CSV!G55)&gt;0,Taostats_CSV!E55,""),""))</f>
        <v/>
      </c>
      <c r="D55" t="str">
        <f ca="1">IF(Q55,OFFSET(Taostats_CSV!$G$1,MATCH(K55&amp;D$1,Taostats_CSV!$X:$X,0)-1,0),IF(Taostats_CSV!F55="fee",IF(VALUE(Taostats_CSV!G55)&gt;0,Taostats_CSV!G55,""),""))</f>
        <v/>
      </c>
      <c r="E55" t="str">
        <f ca="1">IF(AND(Q55,P55&gt;0),OFFSET(Taostats_CSV!$E$1,MATCH(K55&amp;F$1,Taostats_CSV!$X:$X,0)-1,0),IF(LEN(F55)&gt;0,Taostats_CSV!E55,""))</f>
        <v>TAO</v>
      </c>
      <c r="F55" t="str">
        <f ca="1">TRIM(IF(AND(Q55,P55&gt;0),OFFSET(Taostats_CSV!$H$1,MATCH(K55&amp;F$1,Taostats_CSV!$X:$X,0)-1,0),IF(LEN(Taostats_CSV!H55)&gt;0,Taostats_CSV!H55,Taostats_CSV!R55)))</f>
        <v>0.230621099</v>
      </c>
      <c r="G55" t="str">
        <f ca="1">IF(AND(Q55,N55=1),OFFSET(Taostats_CSV!$E$1,MATCH(K55&amp;H$1,Taostats_CSV!$X:$X,0)-1,0),"")</f>
        <v/>
      </c>
      <c r="H55" t="str">
        <f ca="1">IF(AND(Q55,N55=1),OFFSET(Taostats_CSV!$G$1,MATCH(K55&amp;H$1,Taostats_CSV!$X:$X,0)-1,0),"")</f>
        <v/>
      </c>
      <c r="I55" t="str">
        <f ca="1">IF(AND(LEN(K55)=0,LEN(F55)&gt;0),"Income",IF(AND(O55&gt;0,P55&gt;0,C55&lt;&gt;E55),"Trade",IF(AND(NOT(Q55),Taostats_CSV!F55="fee"),'READ ME'!$C$5,"")))</f>
        <v>Income</v>
      </c>
      <c r="J55" t="str">
        <f ca="1">SUBSTITUTE(IF(LEN(I55)=0,Taostats_CSV!F55&amp;" "&amp;Taostats_CSV!J55,IF(I55="Cost","Extrinsic fee","")),"_"," ")</f>
        <v/>
      </c>
      <c r="K55" t="str">
        <f>TRIM(IF(LEN(Taostats_CSV!I55)&gt;0,Taostats_CSV!I55,""))</f>
        <v/>
      </c>
      <c r="L55" t="str">
        <f>IF(Taostats_CSV!E55&lt;&gt;"TAO",IF(LEN(F55)&gt;0,F55,IF(LEN(D55)&gt;0,D55,0))*Taostats_CSV!P55,"")</f>
        <v/>
      </c>
      <c r="M55" t="str">
        <f t="shared" si="3"/>
        <v/>
      </c>
      <c r="N55">
        <f>COUNTIF(Taostats_CSV!$X:$X,Taostats_CSV!$I55&amp;N$1)</f>
        <v>0</v>
      </c>
      <c r="O55">
        <f>COUNTIF(Taostats_CSV!$X:$X,Taostats_CSV!$I55&amp;O$1)</f>
        <v>0</v>
      </c>
      <c r="P55">
        <f>COUNTIF(Taostats_CSV!$X:$X,Taostats_CSV!$I55&amp;P$1)</f>
        <v>0</v>
      </c>
      <c r="Q55" t="b">
        <f t="shared" si="4"/>
        <v>0</v>
      </c>
      <c r="R55" t="b">
        <f>IF(LEN(K55)&gt;0,COUNTIF($K$3:K55,K55),FALSE)</f>
        <v>0</v>
      </c>
      <c r="S55" t="b">
        <f>IF(Taostats_CSV!A55=Taostats_CSV!$A$2,TRUE,Taostats_CSV!G55+Taostats_CSV!H55+Taostats_CSV!R55=0)</f>
        <v>0</v>
      </c>
      <c r="T55" t="b">
        <f t="shared" si="5"/>
        <v>1</v>
      </c>
      <c r="U55" t="b" cm="1">
        <f t="array" aca="1" ref="U55" ca="1">AND(T55,OR(O55-N55&gt;1,P55&gt;1,ISERROR(A55:P55)))</f>
        <v>0</v>
      </c>
      <c r="W55" t="e">
        <f>MATCH(K55&amp;$W$2,Taostats_CSV!$X$3:$X$1167,0)</f>
        <v>#N/A</v>
      </c>
      <c r="X55" t="e">
        <f t="shared" ca="1" si="0"/>
        <v>#VALUE!</v>
      </c>
      <c r="Y55">
        <f t="shared" ca="1" si="1"/>
        <v>0.230621099</v>
      </c>
      <c r="Z55" t="e">
        <f t="shared" ca="1" si="2"/>
        <v>#VALUE!</v>
      </c>
    </row>
    <row r="56" spans="1:35" x14ac:dyDescent="0.4">
      <c r="A56" t="str">
        <f>MID(Taostats_CSV!C56,6,2)&amp;"/"&amp;MID(Taostats_CSV!C56,9,2)&amp;"/"&amp;LEFT(Taostats_CSV!C56,4)&amp;" "&amp;MID(Taostats_CSV!C56,12,8)</f>
        <v>02/22/2025 23:59:48</v>
      </c>
      <c r="C56" t="str">
        <f ca="1">IF(Q56,OFFSET(Taostats_CSV!$E$1,MATCH(K56&amp;D$1,Taostats_CSV!$X:$X,0)-1,0),IF(Taostats_CSV!F56="fee",IF(VALUE(Taostats_CSV!G56)&gt;0,Taostats_CSV!E56,""),""))</f>
        <v/>
      </c>
      <c r="D56" t="str">
        <f ca="1">IF(Q56,OFFSET(Taostats_CSV!$G$1,MATCH(K56&amp;D$1,Taostats_CSV!$X:$X,0)-1,0),IF(Taostats_CSV!F56="fee",IF(VALUE(Taostats_CSV!G56)&gt;0,Taostats_CSV!G56,""),""))</f>
        <v/>
      </c>
      <c r="E56" t="str">
        <f ca="1">IF(AND(Q56,P56&gt;0),OFFSET(Taostats_CSV!$E$1,MATCH(K56&amp;F$1,Taostats_CSV!$X:$X,0)-1,0),IF(LEN(F56)&gt;0,Taostats_CSV!E56,""))</f>
        <v>TAO</v>
      </c>
      <c r="F56" t="str">
        <f ca="1">TRIM(IF(AND(Q56,P56&gt;0),OFFSET(Taostats_CSV!$H$1,MATCH(K56&amp;F$1,Taostats_CSV!$X:$X,0)-1,0),IF(LEN(Taostats_CSV!H56)&gt;0,Taostats_CSV!H56,Taostats_CSV!R56)))</f>
        <v>0.225027386</v>
      </c>
      <c r="G56" t="str">
        <f ca="1">IF(AND(Q56,N56=1),OFFSET(Taostats_CSV!$E$1,MATCH(K56&amp;H$1,Taostats_CSV!$X:$X,0)-1,0),"")</f>
        <v/>
      </c>
      <c r="H56" t="str">
        <f ca="1">IF(AND(Q56,N56=1),OFFSET(Taostats_CSV!$G$1,MATCH(K56&amp;H$1,Taostats_CSV!$X:$X,0)-1,0),"")</f>
        <v/>
      </c>
      <c r="I56" t="str">
        <f ca="1">IF(AND(LEN(K56)=0,LEN(F56)&gt;0),"Income",IF(AND(O56&gt;0,P56&gt;0,C56&lt;&gt;E56),"Trade",IF(AND(NOT(Q56),Taostats_CSV!F56="fee"),'READ ME'!$C$5,"")))</f>
        <v>Income</v>
      </c>
      <c r="J56" t="str">
        <f ca="1">SUBSTITUTE(IF(LEN(I56)=0,Taostats_CSV!F56&amp;" "&amp;Taostats_CSV!J56,IF(I56="Cost","Extrinsic fee","")),"_"," ")</f>
        <v/>
      </c>
      <c r="K56" t="str">
        <f>TRIM(IF(LEN(Taostats_CSV!I56)&gt;0,Taostats_CSV!I56,""))</f>
        <v/>
      </c>
      <c r="L56" t="str">
        <f>IF(Taostats_CSV!E56&lt;&gt;"TAO",IF(LEN(F56)&gt;0,F56,IF(LEN(D56)&gt;0,D56,0))*Taostats_CSV!P56,"")</f>
        <v/>
      </c>
      <c r="M56" t="str">
        <f t="shared" si="3"/>
        <v/>
      </c>
      <c r="N56">
        <f>COUNTIF(Taostats_CSV!$X:$X,Taostats_CSV!$I56&amp;N$1)</f>
        <v>0</v>
      </c>
      <c r="O56">
        <f>COUNTIF(Taostats_CSV!$X:$X,Taostats_CSV!$I56&amp;O$1)</f>
        <v>0</v>
      </c>
      <c r="P56">
        <f>COUNTIF(Taostats_CSV!$X:$X,Taostats_CSV!$I56&amp;P$1)</f>
        <v>0</v>
      </c>
      <c r="Q56" t="b">
        <f t="shared" si="4"/>
        <v>0</v>
      </c>
      <c r="R56" t="b">
        <f>IF(LEN(K56)&gt;0,COUNTIF($K$3:K56,K56),FALSE)</f>
        <v>0</v>
      </c>
      <c r="S56" t="b">
        <f>IF(Taostats_CSV!A56=Taostats_CSV!$A$2,TRUE,Taostats_CSV!G56+Taostats_CSV!H56+Taostats_CSV!R56=0)</f>
        <v>0</v>
      </c>
      <c r="T56" t="b">
        <f t="shared" si="5"/>
        <v>1</v>
      </c>
      <c r="U56" t="b" cm="1">
        <f t="array" aca="1" ref="U56" ca="1">AND(T56,OR(O56-N56&gt;1,P56&gt;1,ISERROR(A56:P56)))</f>
        <v>0</v>
      </c>
      <c r="W56" t="e">
        <f>MATCH(K56&amp;$W$2,Taostats_CSV!$X$3:$X$1167,0)</f>
        <v>#N/A</v>
      </c>
      <c r="X56" t="e">
        <f t="shared" ca="1" si="0"/>
        <v>#VALUE!</v>
      </c>
      <c r="Y56">
        <f t="shared" ca="1" si="1"/>
        <v>0.225027386</v>
      </c>
      <c r="Z56" t="e">
        <f t="shared" ca="1" si="2"/>
        <v>#VALUE!</v>
      </c>
    </row>
    <row r="57" spans="1:35" x14ac:dyDescent="0.4">
      <c r="A57" t="str">
        <f>MID(Taostats_CSV!C57,6,2)&amp;"/"&amp;MID(Taostats_CSV!C57,9,2)&amp;"/"&amp;LEFT(Taostats_CSV!C57,4)&amp;" "&amp;MID(Taostats_CSV!C57,12,8)</f>
        <v>02/23/2025 23:59:48</v>
      </c>
      <c r="C57" t="str">
        <f ca="1">IF(Q57,OFFSET(Taostats_CSV!$E$1,MATCH(K57&amp;D$1,Taostats_CSV!$X:$X,0)-1,0),IF(Taostats_CSV!F57="fee",IF(VALUE(Taostats_CSV!G57)&gt;0,Taostats_CSV!E57,""),""))</f>
        <v/>
      </c>
      <c r="D57" t="str">
        <f ca="1">IF(Q57,OFFSET(Taostats_CSV!$G$1,MATCH(K57&amp;D$1,Taostats_CSV!$X:$X,0)-1,0),IF(Taostats_CSV!F57="fee",IF(VALUE(Taostats_CSV!G57)&gt;0,Taostats_CSV!G57,""),""))</f>
        <v/>
      </c>
      <c r="E57" t="str">
        <f ca="1">IF(AND(Q57,P57&gt;0),OFFSET(Taostats_CSV!$E$1,MATCH(K57&amp;F$1,Taostats_CSV!$X:$X,0)-1,0),IF(LEN(F57)&gt;0,Taostats_CSV!E57,""))</f>
        <v>TAO</v>
      </c>
      <c r="F57" t="str">
        <f ca="1">TRIM(IF(AND(Q57,P57&gt;0),OFFSET(Taostats_CSV!$H$1,MATCH(K57&amp;F$1,Taostats_CSV!$X:$X,0)-1,0),IF(LEN(Taostats_CSV!H57)&gt;0,Taostats_CSV!H57,Taostats_CSV!R57)))</f>
        <v>0.206899526</v>
      </c>
      <c r="G57" t="str">
        <f ca="1">IF(AND(Q57,N57=1),OFFSET(Taostats_CSV!$E$1,MATCH(K57&amp;H$1,Taostats_CSV!$X:$X,0)-1,0),"")</f>
        <v/>
      </c>
      <c r="H57" t="str">
        <f ca="1">IF(AND(Q57,N57=1),OFFSET(Taostats_CSV!$G$1,MATCH(K57&amp;H$1,Taostats_CSV!$X:$X,0)-1,0),"")</f>
        <v/>
      </c>
      <c r="I57" t="str">
        <f ca="1">IF(AND(LEN(K57)=0,LEN(F57)&gt;0),"Income",IF(AND(O57&gt;0,P57&gt;0,C57&lt;&gt;E57),"Trade",IF(AND(NOT(Q57),Taostats_CSV!F57="fee"),'READ ME'!$C$5,"")))</f>
        <v>Income</v>
      </c>
      <c r="J57" t="str">
        <f ca="1">SUBSTITUTE(IF(LEN(I57)=0,Taostats_CSV!F57&amp;" "&amp;Taostats_CSV!J57,IF(I57="Cost","Extrinsic fee","")),"_"," ")</f>
        <v/>
      </c>
      <c r="K57" t="str">
        <f>TRIM(IF(LEN(Taostats_CSV!I57)&gt;0,Taostats_CSV!I57,""))</f>
        <v/>
      </c>
      <c r="L57" t="str">
        <f>IF(Taostats_CSV!E57&lt;&gt;"TAO",IF(LEN(F57)&gt;0,F57,IF(LEN(D57)&gt;0,D57,0))*Taostats_CSV!P57,"")</f>
        <v/>
      </c>
      <c r="M57" t="str">
        <f t="shared" si="3"/>
        <v/>
      </c>
      <c r="N57">
        <f>COUNTIF(Taostats_CSV!$X:$X,Taostats_CSV!$I57&amp;N$1)</f>
        <v>0</v>
      </c>
      <c r="O57">
        <f>COUNTIF(Taostats_CSV!$X:$X,Taostats_CSV!$I57&amp;O$1)</f>
        <v>0</v>
      </c>
      <c r="P57">
        <f>COUNTIF(Taostats_CSV!$X:$X,Taostats_CSV!$I57&amp;P$1)</f>
        <v>0</v>
      </c>
      <c r="Q57" t="b">
        <f t="shared" si="4"/>
        <v>0</v>
      </c>
      <c r="R57" t="b">
        <f>IF(LEN(K57)&gt;0,COUNTIF($K$3:K57,K57),FALSE)</f>
        <v>0</v>
      </c>
      <c r="S57" t="b">
        <f>IF(Taostats_CSV!A57=Taostats_CSV!$A$2,TRUE,Taostats_CSV!G57+Taostats_CSV!H57+Taostats_CSV!R57=0)</f>
        <v>0</v>
      </c>
      <c r="T57" t="b">
        <f t="shared" si="5"/>
        <v>1</v>
      </c>
      <c r="U57" t="b" cm="1">
        <f t="array" aca="1" ref="U57" ca="1">AND(T57,OR(O57-N57&gt;1,P57&gt;1,ISERROR(A57:P57)))</f>
        <v>0</v>
      </c>
      <c r="W57" t="e">
        <f>MATCH(K57&amp;$W$2,Taostats_CSV!$X$3:$X$1167,0)</f>
        <v>#N/A</v>
      </c>
      <c r="X57" t="e">
        <f t="shared" ca="1" si="0"/>
        <v>#VALUE!</v>
      </c>
      <c r="Y57">
        <f t="shared" ca="1" si="1"/>
        <v>0.206899526</v>
      </c>
      <c r="Z57" t="e">
        <f t="shared" ca="1" si="2"/>
        <v>#VALUE!</v>
      </c>
    </row>
    <row r="58" spans="1:35" x14ac:dyDescent="0.4">
      <c r="A58" t="str">
        <f>MID(Taostats_CSV!C58,6,2)&amp;"/"&amp;MID(Taostats_CSV!C58,9,2)&amp;"/"&amp;LEFT(Taostats_CSV!C58,4)&amp;" "&amp;MID(Taostats_CSV!C58,12,8)</f>
        <v>02/24/2025 23:59:48</v>
      </c>
      <c r="C58" t="str">
        <f ca="1">IF(Q58,OFFSET(Taostats_CSV!$E$1,MATCH(K58&amp;D$1,Taostats_CSV!$X:$X,0)-1,0),IF(Taostats_CSV!F58="fee",IF(VALUE(Taostats_CSV!G58)&gt;0,Taostats_CSV!E58,""),""))</f>
        <v/>
      </c>
      <c r="D58" t="str">
        <f ca="1">IF(Q58,OFFSET(Taostats_CSV!$G$1,MATCH(K58&amp;D$1,Taostats_CSV!$X:$X,0)-1,0),IF(Taostats_CSV!F58="fee",IF(VALUE(Taostats_CSV!G58)&gt;0,Taostats_CSV!G58,""),""))</f>
        <v/>
      </c>
      <c r="E58" t="str">
        <f ca="1">IF(AND(Q58,P58&gt;0),OFFSET(Taostats_CSV!$E$1,MATCH(K58&amp;F$1,Taostats_CSV!$X:$X,0)-1,0),IF(LEN(F58)&gt;0,Taostats_CSV!E58,""))</f>
        <v>TAO</v>
      </c>
      <c r="F58" t="str">
        <f ca="1">TRIM(IF(AND(Q58,P58&gt;0),OFFSET(Taostats_CSV!$H$1,MATCH(K58&amp;F$1,Taostats_CSV!$X:$X,0)-1,0),IF(LEN(Taostats_CSV!H58)&gt;0,Taostats_CSV!H58,Taostats_CSV!R58)))</f>
        <v>0.171833937</v>
      </c>
      <c r="G58" t="str">
        <f ca="1">IF(AND(Q58,N58=1),OFFSET(Taostats_CSV!$E$1,MATCH(K58&amp;H$1,Taostats_CSV!$X:$X,0)-1,0),"")</f>
        <v/>
      </c>
      <c r="H58" t="str">
        <f ca="1">IF(AND(Q58,N58=1),OFFSET(Taostats_CSV!$G$1,MATCH(K58&amp;H$1,Taostats_CSV!$X:$X,0)-1,0),"")</f>
        <v/>
      </c>
      <c r="I58" t="str">
        <f ca="1">IF(AND(LEN(K58)=0,LEN(F58)&gt;0),"Income",IF(AND(O58&gt;0,P58&gt;0,C58&lt;&gt;E58),"Trade",IF(AND(NOT(Q58),Taostats_CSV!F58="fee"),'READ ME'!$C$5,"")))</f>
        <v>Income</v>
      </c>
      <c r="J58" t="str">
        <f ca="1">SUBSTITUTE(IF(LEN(I58)=0,Taostats_CSV!F58&amp;" "&amp;Taostats_CSV!J58,IF(I58="Cost","Extrinsic fee","")),"_"," ")</f>
        <v/>
      </c>
      <c r="K58" t="str">
        <f>TRIM(IF(LEN(Taostats_CSV!I58)&gt;0,Taostats_CSV!I58,""))</f>
        <v/>
      </c>
      <c r="L58" t="str">
        <f>IF(Taostats_CSV!E58&lt;&gt;"TAO",IF(LEN(F58)&gt;0,F58,IF(LEN(D58)&gt;0,D58,0))*Taostats_CSV!P58,"")</f>
        <v/>
      </c>
      <c r="M58" t="str">
        <f t="shared" si="3"/>
        <v/>
      </c>
      <c r="N58">
        <f>COUNTIF(Taostats_CSV!$X:$X,Taostats_CSV!$I58&amp;N$1)</f>
        <v>0</v>
      </c>
      <c r="O58">
        <f>COUNTIF(Taostats_CSV!$X:$X,Taostats_CSV!$I58&amp;O$1)</f>
        <v>0</v>
      </c>
      <c r="P58">
        <f>COUNTIF(Taostats_CSV!$X:$X,Taostats_CSV!$I58&amp;P$1)</f>
        <v>0</v>
      </c>
      <c r="Q58" t="b">
        <f t="shared" si="4"/>
        <v>0</v>
      </c>
      <c r="R58" t="b">
        <f>IF(LEN(K58)&gt;0,COUNTIF($K$3:K58,K58),FALSE)</f>
        <v>0</v>
      </c>
      <c r="S58" t="b">
        <f>IF(Taostats_CSV!A58=Taostats_CSV!$A$2,TRUE,Taostats_CSV!G58+Taostats_CSV!H58+Taostats_CSV!R58=0)</f>
        <v>0</v>
      </c>
      <c r="T58" t="b">
        <f t="shared" si="5"/>
        <v>1</v>
      </c>
      <c r="U58" t="b" cm="1">
        <f t="array" aca="1" ref="U58" ca="1">AND(T58,OR(O58-N58&gt;1,P58&gt;1,ISERROR(A58:P58)))</f>
        <v>0</v>
      </c>
      <c r="W58" t="e">
        <f>MATCH(K58&amp;$W$2,Taostats_CSV!$X$3:$X$1167,0)</f>
        <v>#N/A</v>
      </c>
      <c r="X58" t="e">
        <f t="shared" ca="1" si="0"/>
        <v>#VALUE!</v>
      </c>
      <c r="Y58">
        <f t="shared" ca="1" si="1"/>
        <v>0.17183393699999999</v>
      </c>
      <c r="Z58" t="e">
        <f t="shared" ca="1" si="2"/>
        <v>#VALUE!</v>
      </c>
    </row>
    <row r="59" spans="1:35" x14ac:dyDescent="0.4">
      <c r="A59" t="str">
        <f>MID(Taostats_CSV!C59,6,2)&amp;"/"&amp;MID(Taostats_CSV!C59,9,2)&amp;"/"&amp;LEFT(Taostats_CSV!C59,4)&amp;" "&amp;MID(Taostats_CSV!C59,12,8)</f>
        <v>02/25/2025 23:59:48</v>
      </c>
      <c r="C59" t="str">
        <f ca="1">IF(Q59,OFFSET(Taostats_CSV!$E$1,MATCH(K59&amp;D$1,Taostats_CSV!$X:$X,0)-1,0),IF(Taostats_CSV!F59="fee",IF(VALUE(Taostats_CSV!G59)&gt;0,Taostats_CSV!E59,""),""))</f>
        <v/>
      </c>
      <c r="D59" t="str">
        <f ca="1">IF(Q59,OFFSET(Taostats_CSV!$G$1,MATCH(K59&amp;D$1,Taostats_CSV!$X:$X,0)-1,0),IF(Taostats_CSV!F59="fee",IF(VALUE(Taostats_CSV!G59)&gt;0,Taostats_CSV!G59,""),""))</f>
        <v/>
      </c>
      <c r="E59" t="str">
        <f ca="1">IF(AND(Q59,P59&gt;0),OFFSET(Taostats_CSV!$E$1,MATCH(K59&amp;F$1,Taostats_CSV!$X:$X,0)-1,0),IF(LEN(F59)&gt;0,Taostats_CSV!E59,""))</f>
        <v>TAO</v>
      </c>
      <c r="F59" t="str">
        <f ca="1">TRIM(IF(AND(Q59,P59&gt;0),OFFSET(Taostats_CSV!$H$1,MATCH(K59&amp;F$1,Taostats_CSV!$X:$X,0)-1,0),IF(LEN(Taostats_CSV!H59)&gt;0,Taostats_CSV!H59,Taostats_CSV!R59)))</f>
        <v>0.15202322</v>
      </c>
      <c r="G59" t="str">
        <f ca="1">IF(AND(Q59,N59=1),OFFSET(Taostats_CSV!$E$1,MATCH(K59&amp;H$1,Taostats_CSV!$X:$X,0)-1,0),"")</f>
        <v/>
      </c>
      <c r="H59" t="str">
        <f ca="1">IF(AND(Q59,N59=1),OFFSET(Taostats_CSV!$G$1,MATCH(K59&amp;H$1,Taostats_CSV!$X:$X,0)-1,0),"")</f>
        <v/>
      </c>
      <c r="I59" t="str">
        <f ca="1">IF(AND(LEN(K59)=0,LEN(F59)&gt;0),"Income",IF(AND(O59&gt;0,P59&gt;0,C59&lt;&gt;E59),"Trade",IF(AND(NOT(Q59),Taostats_CSV!F59="fee"),'READ ME'!$C$5,"")))</f>
        <v>Income</v>
      </c>
      <c r="J59" t="str">
        <f ca="1">SUBSTITUTE(IF(LEN(I59)=0,Taostats_CSV!F59&amp;" "&amp;Taostats_CSV!J59,IF(I59="Cost","Extrinsic fee","")),"_"," ")</f>
        <v/>
      </c>
      <c r="K59" t="str">
        <f>TRIM(IF(LEN(Taostats_CSV!I59)&gt;0,Taostats_CSV!I59,""))</f>
        <v/>
      </c>
      <c r="L59" t="str">
        <f>IF(Taostats_CSV!E59&lt;&gt;"TAO",IF(LEN(F59)&gt;0,F59,IF(LEN(D59)&gt;0,D59,0))*Taostats_CSV!P59,"")</f>
        <v/>
      </c>
      <c r="M59" t="str">
        <f t="shared" si="3"/>
        <v/>
      </c>
      <c r="N59">
        <f>COUNTIF(Taostats_CSV!$X:$X,Taostats_CSV!$I59&amp;N$1)</f>
        <v>0</v>
      </c>
      <c r="O59">
        <f>COUNTIF(Taostats_CSV!$X:$X,Taostats_CSV!$I59&amp;O$1)</f>
        <v>0</v>
      </c>
      <c r="P59">
        <f>COUNTIF(Taostats_CSV!$X:$X,Taostats_CSV!$I59&amp;P$1)</f>
        <v>0</v>
      </c>
      <c r="Q59" t="b">
        <f t="shared" si="4"/>
        <v>0</v>
      </c>
      <c r="R59" t="b">
        <f>IF(LEN(K59)&gt;0,COUNTIF($K$3:K59,K59),FALSE)</f>
        <v>0</v>
      </c>
      <c r="S59" t="b">
        <f>IF(Taostats_CSV!A59=Taostats_CSV!$A$2,TRUE,Taostats_CSV!G59+Taostats_CSV!H59+Taostats_CSV!R59=0)</f>
        <v>0</v>
      </c>
      <c r="T59" t="b">
        <f t="shared" si="5"/>
        <v>1</v>
      </c>
      <c r="U59" t="b" cm="1">
        <f t="array" aca="1" ref="U59" ca="1">AND(T59,OR(O59-N59&gt;1,P59&gt;1,ISERROR(A59:P59)))</f>
        <v>0</v>
      </c>
      <c r="W59" t="e">
        <f>MATCH(K59&amp;$W$2,Taostats_CSV!$X$3:$X$1167,0)</f>
        <v>#N/A</v>
      </c>
      <c r="X59" t="e">
        <f t="shared" ca="1" si="0"/>
        <v>#VALUE!</v>
      </c>
      <c r="Y59">
        <f t="shared" ca="1" si="1"/>
        <v>0.15202321999999999</v>
      </c>
      <c r="Z59" t="e">
        <f t="shared" ca="1" si="2"/>
        <v>#VALUE!</v>
      </c>
    </row>
    <row r="60" spans="1:35" x14ac:dyDescent="0.4">
      <c r="A60" t="str">
        <f>MID(Taostats_CSV!C60,6,2)&amp;"/"&amp;MID(Taostats_CSV!C60,9,2)&amp;"/"&amp;LEFT(Taostats_CSV!C60,4)&amp;" "&amp;MID(Taostats_CSV!C60,12,8)</f>
        <v>02/26/2025 14:09:12</v>
      </c>
      <c r="C60" t="str">
        <f ca="1">IF(Q60,OFFSET(Taostats_CSV!$E$1,MATCH(K60&amp;D$1,Taostats_CSV!$X:$X,0)-1,0),IF(Taostats_CSV!F60="fee",IF(VALUE(Taostats_CSV!G60)&gt;0,Taostats_CSV!E60,""),""))</f>
        <v>TAO</v>
      </c>
      <c r="D60">
        <f ca="1">IF(Q60,OFFSET(Taostats_CSV!$G$1,MATCH(K60&amp;D$1,Taostats_CSV!$X:$X,0)-1,0),IF(Taostats_CSV!F60="fee",IF(VALUE(Taostats_CSV!G60)&gt;0,Taostats_CSV!G60,""),""))</f>
        <v>1</v>
      </c>
      <c r="E60" t="str">
        <f ca="1">IF(AND(Q60,P60&gt;0),OFFSET(Taostats_CSV!$E$1,MATCH(K60&amp;F$1,Taostats_CSV!$X:$X,0)-1,0),IF(LEN(F60)&gt;0,Taostats_CSV!E60,""))</f>
        <v/>
      </c>
      <c r="F60" t="str">
        <f ca="1">TRIM(IF(AND(Q60,P60&gt;0),OFFSET(Taostats_CSV!$H$1,MATCH(K60&amp;F$1,Taostats_CSV!$X:$X,0)-1,0),IF(LEN(Taostats_CSV!H60)&gt;0,Taostats_CSV!H60,Taostats_CSV!R60)))</f>
        <v/>
      </c>
      <c r="G60" t="str">
        <f ca="1">IF(AND(Q60,N60=1),OFFSET(Taostats_CSV!$E$1,MATCH(K60&amp;H$1,Taostats_CSV!$X:$X,0)-1,0),"")</f>
        <v>TAO</v>
      </c>
      <c r="H60">
        <f ca="1">IF(AND(Q60,N60=1),OFFSET(Taostats_CSV!$G$1,MATCH(K60&amp;H$1,Taostats_CSV!$X:$X,0)-1,0),"")</f>
        <v>1.3526099999999999E-4</v>
      </c>
      <c r="I60" t="str">
        <f ca="1">IF(AND(LEN(K60)=0,LEN(F60)&gt;0),"Income",IF(AND(O60&gt;0,P60&gt;0,C60&lt;&gt;E60),"Trade",IF(AND(NOT(Q60),Taostats_CSV!F60="fee"),'READ ME'!$C$5,"")))</f>
        <v/>
      </c>
      <c r="J60" t="str">
        <f ca="1">SUBSTITUTE(IF(LEN(I60)=0,Taostats_CSV!F60&amp;" "&amp;Taostats_CSV!J60,IF(I60="Cost","Extrinsic fee","")),"_"," ")</f>
        <v>fee Balances.transfer keep alive</v>
      </c>
      <c r="K60" t="str">
        <f>TRIM(IF(LEN(Taostats_CSV!I60)&gt;0,Taostats_CSV!I60,""))</f>
        <v>5011678-0003</v>
      </c>
      <c r="L60" t="str">
        <f>IF(Taostats_CSV!E60&lt;&gt;"TAO",IF(LEN(F60)&gt;0,F60,IF(LEN(D60)&gt;0,D60,0))*Taostats_CSV!P60,"")</f>
        <v/>
      </c>
      <c r="M60" t="str">
        <f t="shared" si="3"/>
        <v/>
      </c>
      <c r="N60">
        <f>COUNTIF(Taostats_CSV!$X:$X,Taostats_CSV!$I60&amp;N$1)</f>
        <v>1</v>
      </c>
      <c r="O60">
        <f>COUNTIF(Taostats_CSV!$X:$X,Taostats_CSV!$I60&amp;O$1)</f>
        <v>1</v>
      </c>
      <c r="P60">
        <f>COUNTIF(Taostats_CSV!$X:$X,Taostats_CSV!$I60&amp;P$1)</f>
        <v>0</v>
      </c>
      <c r="Q60" t="b">
        <f t="shared" si="4"/>
        <v>1</v>
      </c>
      <c r="R60">
        <f>IF(LEN(K60)&gt;0,COUNTIF($K$3:K60,K60),FALSE)</f>
        <v>1</v>
      </c>
      <c r="S60" t="b">
        <f>IF(Taostats_CSV!A60=Taostats_CSV!$A$2,TRUE,Taostats_CSV!G60+Taostats_CSV!H60+Taostats_CSV!R60=0)</f>
        <v>0</v>
      </c>
      <c r="T60" t="b">
        <f t="shared" si="5"/>
        <v>1</v>
      </c>
      <c r="U60" t="b" cm="1">
        <f t="array" aca="1" ref="U60" ca="1">AND(T60,OR(O60-N60&gt;1,P60&gt;1,ISERROR(A60:P60)))</f>
        <v>0</v>
      </c>
      <c r="W60" t="e">
        <f>MATCH(K60&amp;F$1,Taostats_CSV!$X:$X,0)-1</f>
        <v>#N/A</v>
      </c>
      <c r="X60">
        <f t="shared" ca="1" si="0"/>
        <v>1</v>
      </c>
      <c r="Y60" t="e">
        <f t="shared" ca="1" si="1"/>
        <v>#VALUE!</v>
      </c>
      <c r="Z60">
        <f t="shared" ca="1" si="2"/>
        <v>1.3526099999999999E-4</v>
      </c>
    </row>
    <row r="61" spans="1:35" hidden="1" x14ac:dyDescent="0.4">
      <c r="A61" t="str">
        <f>MID(Taostats_CSV!C61,6,2)&amp;"/"&amp;MID(Taostats_CSV!C61,9,2)&amp;"/"&amp;LEFT(Taostats_CSV!C61,4)&amp;" "&amp;MID(Taostats_CSV!C61,12,8)</f>
        <v>02/26/2025 14:09:12</v>
      </c>
      <c r="C61" t="str">
        <f ca="1">IF(Q61,OFFSET(Taostats_CSV!$E$1,MATCH(K61&amp;D$1,Taostats_CSV!$X:$X,0)-1,0),IF(Taostats_CSV!F61="fee","",IF(VALUE(Taostats_CSV!G61)&gt;0,Taostats_CSV!E61,"")))</f>
        <v>TAO</v>
      </c>
      <c r="D61">
        <f ca="1">IF(Q61,OFFSET(Taostats_CSV!$G$1,MATCH(K61&amp;D$1,Taostats_CSV!$X:$X,0)-1,0),IF(Taostats_CSV!F61="fee","",IF(VALUE(Taostats_CSV!G61)&gt;0,Taostats_CSV!G61,"")))</f>
        <v>1</v>
      </c>
      <c r="E61" t="str">
        <f ca="1">IF(AND(Q61,P61&gt;0),OFFSET(Taostats_CSV!$E$1,MATCH(K61&amp;F$1,Taostats_CSV!$X:$X,0)-1,0),IF(LEN(F61)&gt;0,Taostats_CSV!E61,""))</f>
        <v/>
      </c>
      <c r="F61" t="str">
        <f ca="1">TRIM(IF(AND(Q61,P61&gt;0),OFFSET(Taostats_CSV!$H$1,MATCH(K61&amp;F$1,Taostats_CSV!$X:$X,0)-1,0),IF(LEN(Taostats_CSV!H61)&gt;0,Taostats_CSV!H61,Taostats_CSV!R61)))</f>
        <v/>
      </c>
      <c r="G61" t="str">
        <f ca="1">IF(AND(Q61,N61=1),OFFSET(Taostats_CSV!$E$1,MATCH(K61&amp;H$1,Taostats_CSV!$X:$X,0)-1,0),IF(Taostats_CSV!F61="fee",Taostats_CSV!E61,""))</f>
        <v>TAO</v>
      </c>
      <c r="H61">
        <f ca="1">IF(AND(Q61,N61=1),OFFSET(Taostats_CSV!$G$1,MATCH(K61&amp;H$1,Taostats_CSV!$X:$X,0)-1,0),IF(Taostats_CSV!F61="fee",Taostats_CSV!G61,""))</f>
        <v>1.3526099999999999E-4</v>
      </c>
      <c r="I61" t="str">
        <f ca="1">IF(AND(LEN(K61)=0,LEN(F61)&gt;0),"Income",IF(AND(O61&gt;0,P61&gt;0,C61&lt;&gt;E61),"Trade",IF(AND(NOT(Q61),Taostats_CSV!F61="fee"),'READ ME'!$C$5,"")))</f>
        <v/>
      </c>
      <c r="J61" t="str">
        <f ca="1">SUBSTITUTE(IF(LEN(I61)=0,Taostats_CSV!F61&amp;" "&amp;Taostats_CSV!J61,IF(I61="Cost","Extrinsic fee","")),"_"," ")</f>
        <v>transfer out 5HbnKZMzGk3GT3mpWZgKuQHq3CC8LeW2tbNq1FkBLQhzUX6L</v>
      </c>
      <c r="K61" t="str">
        <f>TRIM(IF(LEN(Taostats_CSV!I61)&gt;0,Taostats_CSV!I61,""))</f>
        <v>5011678-0003</v>
      </c>
      <c r="L61" t="str">
        <f>IF(Taostats_CSV!E61&lt;&gt;"TAO",IF(LEN(F61)&gt;0,F61,IF(LEN(D61)&gt;0,D61,0))*Taostats_CSV!P61,"")</f>
        <v/>
      </c>
      <c r="M61" t="str">
        <f t="shared" si="3"/>
        <v/>
      </c>
      <c r="N61">
        <f>COUNTIF(Taostats_CSV!$X:$X,Taostats_CSV!$I61&amp;N$1)</f>
        <v>1</v>
      </c>
      <c r="O61">
        <f>COUNTIF(Taostats_CSV!$X:$X,Taostats_CSV!$I61&amp;O$1)</f>
        <v>1</v>
      </c>
      <c r="P61">
        <f>COUNTIF(Taostats_CSV!$X:$X,Taostats_CSV!$I61&amp;P$1)</f>
        <v>0</v>
      </c>
      <c r="Q61" t="b">
        <f t="shared" si="4"/>
        <v>1</v>
      </c>
      <c r="R61">
        <f>IF(LEN(K61)&gt;0,COUNTIF($K$3:K61,K61),FALSE)</f>
        <v>2</v>
      </c>
      <c r="S61" t="b">
        <f>IF(Taostats_CSV!A61=Taostats_CSV!$A$2,TRUE,Taostats_CSV!G61+Taostats_CSV!H61+Taostats_CSV!R61=0)</f>
        <v>0</v>
      </c>
      <c r="T61" t="b">
        <f t="shared" si="5"/>
        <v>0</v>
      </c>
      <c r="U61" t="b" cm="1">
        <f t="array" aca="1" ref="U61" ca="1">AND(T61,OR(O61-N61&gt;1,P61&gt;1,ISERROR(A61:P61)))</f>
        <v>0</v>
      </c>
      <c r="W61">
        <f>MATCH(K61&amp;$W$2,Taostats_CSV!$X$3:$X$1167,0)</f>
        <v>58</v>
      </c>
      <c r="X61">
        <f t="shared" ca="1" si="0"/>
        <v>1</v>
      </c>
      <c r="Y61" t="e">
        <f t="shared" ca="1" si="1"/>
        <v>#VALUE!</v>
      </c>
      <c r="Z61">
        <f t="shared" ca="1" si="2"/>
        <v>1.3526099999999999E-4</v>
      </c>
    </row>
    <row r="62" spans="1:35" x14ac:dyDescent="0.4">
      <c r="A62" t="str">
        <f>MID(Taostats_CSV!C62,6,2)&amp;"/"&amp;MID(Taostats_CSV!C62,9,2)&amp;"/"&amp;LEFT(Taostats_CSV!C62,4)&amp;" "&amp;MID(Taostats_CSV!C62,12,8)</f>
        <v>02/26/2025 14:32:12</v>
      </c>
      <c r="C62" t="str">
        <f ca="1">IF(Q62,OFFSET(Taostats_CSV!$E$1,MATCH(K62&amp;D$1,Taostats_CSV!$X:$X,0)-1,0),IF(Taostats_CSV!F62="fee",IF(VALUE(Taostats_CSV!G62)&gt;0,Taostats_CSV!E62,""),""))</f>
        <v>TAO</v>
      </c>
      <c r="D62">
        <f ca="1">IF(Q62,OFFSET(Taostats_CSV!$G$1,MATCH(K62&amp;D$1,Taostats_CSV!$X:$X,0)-1,0),IF(Taostats_CSV!F62="fee",IF(VALUE(Taostats_CSV!G62)&gt;0,Taostats_CSV!G62,""),""))</f>
        <v>5.0000000000000002E-5</v>
      </c>
      <c r="E62" t="str">
        <f ca="1">IF(AND(Q62,P62&gt;0),OFFSET(Taostats_CSV!$E$1,MATCH(K62&amp;F$1,Taostats_CSV!$X:$X,0)-1,0),IF(LEN(F62)&gt;0,Taostats_CSV!E62,""))</f>
        <v/>
      </c>
      <c r="F62" t="str">
        <f ca="1">TRIM(IF(AND(Q62,P62&gt;0),OFFSET(Taostats_CSV!$H$1,MATCH(K62&amp;F$1,Taostats_CSV!$X:$X,0)-1,0),IF(LEN(Taostats_CSV!H62)&gt;0,Taostats_CSV!H62,Taostats_CSV!R62)))</f>
        <v/>
      </c>
      <c r="G62" t="str">
        <f ca="1">IF(AND(Q62,N62=1),OFFSET(Taostats_CSV!$E$1,MATCH(K62&amp;H$1,Taostats_CSV!$X:$X,0)-1,0),"")</f>
        <v/>
      </c>
      <c r="H62" t="str">
        <f ca="1">IF(AND(Q62,N62=1),OFFSET(Taostats_CSV!$G$1,MATCH(K62&amp;H$1,Taostats_CSV!$X:$X,0)-1,0),"")</f>
        <v/>
      </c>
      <c r="I62" t="str">
        <f ca="1">IF(AND(LEN(K62)=0,LEN(F62)&gt;0),"Income",IF(AND(O62&gt;0,P62&gt;0,C62&lt;&gt;E62),"Trade",IF(AND(NOT(Q62),Taostats_CSV!F62="fee"),'READ ME'!$C$5,"")))</f>
        <v>Merchant Payment</v>
      </c>
      <c r="J62" t="str">
        <f ca="1">SUBSTITUTE(IF(LEN(I62)=0,Taostats_CSV!F62&amp;" "&amp;Taostats_CSV!J62,IF(I62="Cost","Extrinsic fee","")),"_"," ")</f>
        <v/>
      </c>
      <c r="K62" t="str">
        <f>TRIM(IF(LEN(Taostats_CSV!I62)&gt;0,Taostats_CSV!I62,""))</f>
        <v>5011793-0005</v>
      </c>
      <c r="L62" t="str">
        <f>IF(Taostats_CSV!E62&lt;&gt;"TAO",IF(LEN(F62)&gt;0,F62,IF(LEN(D62)&gt;0,D62,0))*Taostats_CSV!P62,"")</f>
        <v/>
      </c>
      <c r="M62" t="str">
        <f t="shared" si="3"/>
        <v/>
      </c>
      <c r="N62">
        <f>COUNTIF(Taostats_CSV!$X:$X,Taostats_CSV!$I62&amp;N$1)</f>
        <v>1</v>
      </c>
      <c r="O62">
        <f>COUNTIF(Taostats_CSV!$X:$X,Taostats_CSV!$I62&amp;O$1)</f>
        <v>0</v>
      </c>
      <c r="P62">
        <f>COUNTIF(Taostats_CSV!$X:$X,Taostats_CSV!$I62&amp;P$1)</f>
        <v>0</v>
      </c>
      <c r="Q62" t="b">
        <f t="shared" si="4"/>
        <v>0</v>
      </c>
      <c r="R62">
        <f>IF(LEN(K62)&gt;0,COUNTIF($K$3:K62,K62),FALSE)</f>
        <v>1</v>
      </c>
      <c r="S62" t="b">
        <f>IF(Taostats_CSV!A62=Taostats_CSV!$A$2,TRUE,Taostats_CSV!G62+Taostats_CSV!H62+Taostats_CSV!R62=0)</f>
        <v>0</v>
      </c>
      <c r="T62" t="b">
        <f t="shared" si="5"/>
        <v>1</v>
      </c>
      <c r="U62" t="b" cm="1">
        <f t="array" aca="1" ref="U62" ca="1">AND(T62,OR(O62-N62&gt;1,P62&gt;1,ISERROR(A62:P62)))</f>
        <v>0</v>
      </c>
      <c r="W62">
        <f>MATCH(K62&amp;$W$2,Taostats_CSV!$X$3:$X$1167,0)</f>
        <v>60</v>
      </c>
      <c r="X62">
        <f t="shared" ca="1" si="0"/>
        <v>5.0000000000000002E-5</v>
      </c>
      <c r="Y62" t="e">
        <f t="shared" ca="1" si="1"/>
        <v>#VALUE!</v>
      </c>
      <c r="Z62" t="e">
        <f t="shared" ca="1" si="2"/>
        <v>#VALUE!</v>
      </c>
    </row>
    <row r="63" spans="1:35" x14ac:dyDescent="0.4">
      <c r="A63" t="str">
        <f>MID(Taostats_CSV!C63,6,2)&amp;"/"&amp;MID(Taostats_CSV!C63,9,2)&amp;"/"&amp;LEFT(Taostats_CSV!C63,4)&amp;" "&amp;MID(Taostats_CSV!C63,12,8)</f>
        <v>02/26/2025 18:27:24</v>
      </c>
      <c r="C63" t="str">
        <f ca="1">IF(Q63,OFFSET(Taostats_CSV!$E$1,MATCH(K63&amp;D$1,Taostats_CSV!$X:$X,0)-1,0),IF(Taostats_CSV!F63="fee",IF(VALUE(Taostats_CSV!G63)&gt;0,Taostats_CSV!E63,""),""))</f>
        <v>TAO</v>
      </c>
      <c r="D63">
        <f ca="1">IF(Q63,OFFSET(Taostats_CSV!$G$1,MATCH(K63&amp;D$1,Taostats_CSV!$X:$X,0)-1,0),IF(Taostats_CSV!F63="fee",IF(VALUE(Taostats_CSV!G63)&gt;0,Taostats_CSV!G63,""),""))</f>
        <v>5.0000000000000002E-5</v>
      </c>
      <c r="E63" t="str">
        <f ca="1">IF(AND(Q63,P63&gt;0),OFFSET(Taostats_CSV!$E$1,MATCH(K63&amp;F$1,Taostats_CSV!$X:$X,0)-1,0),IF(LEN(F63)&gt;0,Taostats_CSV!E63,""))</f>
        <v/>
      </c>
      <c r="F63" t="str">
        <f ca="1">TRIM(IF(AND(Q63,P63&gt;0),OFFSET(Taostats_CSV!$H$1,MATCH(K63&amp;F$1,Taostats_CSV!$X:$X,0)-1,0),IF(LEN(Taostats_CSV!H63)&gt;0,Taostats_CSV!H63,Taostats_CSV!R63)))</f>
        <v/>
      </c>
      <c r="G63" t="str">
        <f ca="1">IF(AND(Q63,N63=1),OFFSET(Taostats_CSV!$E$1,MATCH(K63&amp;H$1,Taostats_CSV!$X:$X,0)-1,0),"")</f>
        <v/>
      </c>
      <c r="H63" t="str">
        <f ca="1">IF(AND(Q63,N63=1),OFFSET(Taostats_CSV!$G$1,MATCH(K63&amp;H$1,Taostats_CSV!$X:$X,0)-1,0),"")</f>
        <v/>
      </c>
      <c r="I63" t="str">
        <f ca="1">IF(AND(LEN(K63)=0,LEN(F63)&gt;0),"Income",IF(AND(O63&gt;0,P63&gt;0,C63&lt;&gt;E63),"Trade",IF(AND(NOT(Q63),Taostats_CSV!F63="fee"),'READ ME'!$C$5,"")))</f>
        <v>Merchant Payment</v>
      </c>
      <c r="J63" t="str">
        <f ca="1">SUBSTITUTE(IF(LEN(I63)=0,Taostats_CSV!F63&amp;" "&amp;Taostats_CSV!J63,IF(I63="Cost","Extrinsic fee","")),"_"," ")</f>
        <v/>
      </c>
      <c r="K63" t="str">
        <f>TRIM(IF(LEN(Taostats_CSV!I63)&gt;0,Taostats_CSV!I63,""))</f>
        <v>5012969-0007</v>
      </c>
      <c r="L63" t="str">
        <f>IF(Taostats_CSV!E63&lt;&gt;"TAO",IF(LEN(F63)&gt;0,F63,IF(LEN(D63)&gt;0,D63,0))*Taostats_CSV!P63,"")</f>
        <v/>
      </c>
      <c r="M63" t="str">
        <f t="shared" si="3"/>
        <v/>
      </c>
      <c r="N63">
        <f>COUNTIF(Taostats_CSV!$X:$X,Taostats_CSV!$I63&amp;N$1)</f>
        <v>1</v>
      </c>
      <c r="O63">
        <f>COUNTIF(Taostats_CSV!$X:$X,Taostats_CSV!$I63&amp;O$1)</f>
        <v>0</v>
      </c>
      <c r="P63">
        <f>COUNTIF(Taostats_CSV!$X:$X,Taostats_CSV!$I63&amp;P$1)</f>
        <v>0</v>
      </c>
      <c r="Q63" t="b">
        <f t="shared" si="4"/>
        <v>0</v>
      </c>
      <c r="R63">
        <f>IF(LEN(K63)&gt;0,COUNTIF($K$3:K63,K63),FALSE)</f>
        <v>1</v>
      </c>
      <c r="S63" t="b">
        <f>IF(Taostats_CSV!A63=Taostats_CSV!$A$2,TRUE,Taostats_CSV!G63+Taostats_CSV!H63+Taostats_CSV!R63=0)</f>
        <v>0</v>
      </c>
      <c r="T63" t="b">
        <f t="shared" si="5"/>
        <v>1</v>
      </c>
      <c r="U63" t="b" cm="1">
        <f t="array" aca="1" ref="U63" ca="1">AND(T63,OR(O63-N63&gt;1,P63&gt;1,ISERROR(A63:P63)))</f>
        <v>0</v>
      </c>
      <c r="W63">
        <f>MATCH(K63&amp;$W$2,Taostats_CSV!$X$3:$X$1167,0)</f>
        <v>61</v>
      </c>
      <c r="X63">
        <f t="shared" ca="1" si="0"/>
        <v>5.0000000000000002E-5</v>
      </c>
      <c r="Y63" t="e">
        <f t="shared" ca="1" si="1"/>
        <v>#VALUE!</v>
      </c>
      <c r="Z63" t="e">
        <f t="shared" ca="1" si="2"/>
        <v>#VALUE!</v>
      </c>
    </row>
    <row r="64" spans="1:35" x14ac:dyDescent="0.4">
      <c r="A64" t="str">
        <f>MID(Taostats_CSV!C64,6,2)&amp;"/"&amp;MID(Taostats_CSV!C64,9,2)&amp;"/"&amp;LEFT(Taostats_CSV!C64,4)&amp;" "&amp;MID(Taostats_CSV!C64,12,8)</f>
        <v>02/26/2025 18:28:36</v>
      </c>
      <c r="C64" t="str">
        <f ca="1">IF(Q64,OFFSET(Taostats_CSV!$E$1,MATCH(K64&amp;D$1,Taostats_CSV!$X:$X,0)-1,0),IF(Taostats_CSV!F64="fee",IF(VALUE(Taostats_CSV!G64)&gt;0,Taostats_CSV!E64,""),""))</f>
        <v>TAO</v>
      </c>
      <c r="D64">
        <f ca="1">IF(Q64,OFFSET(Taostats_CSV!$G$1,MATCH(K64&amp;D$1,Taostats_CSV!$X:$X,0)-1,0),IF(Taostats_CSV!F64="fee",IF(VALUE(Taostats_CSV!G64)&gt;0,Taostats_CSV!G64,""),""))</f>
        <v>10</v>
      </c>
      <c r="E64" t="str">
        <f ca="1">IF(AND(Q64,P64&gt;0),OFFSET(Taostats_CSV!$E$1,MATCH(K64&amp;F$1,Taostats_CSV!$X:$X,0)-1,0),IF(LEN(F64)&gt;0,Taostats_CSV!E64,""))</f>
        <v/>
      </c>
      <c r="F64" t="str">
        <f ca="1">TRIM(IF(AND(Q64,P64&gt;0),OFFSET(Taostats_CSV!$H$1,MATCH(K64&amp;F$1,Taostats_CSV!$X:$X,0)-1,0),IF(LEN(Taostats_CSV!H64)&gt;0,Taostats_CSV!H64,Taostats_CSV!R64)))</f>
        <v/>
      </c>
      <c r="G64" t="str">
        <f ca="1">IF(AND(Q64,N64=1),OFFSET(Taostats_CSV!$E$1,MATCH(K64&amp;H$1,Taostats_CSV!$X:$X,0)-1,0),"")</f>
        <v>TAO</v>
      </c>
      <c r="H64">
        <f ca="1">IF(AND(Q64,N64=1),OFFSET(Taostats_CSV!$G$1,MATCH(K64&amp;H$1,Taostats_CSV!$X:$X,0)-1,0),"")</f>
        <v>1.35263E-4</v>
      </c>
      <c r="I64" t="str">
        <f ca="1">IF(AND(LEN(K64)=0,LEN(F64)&gt;0),"Income",IF(AND(O64&gt;0,P64&gt;0,C64&lt;&gt;E64),"Trade",IF(AND(NOT(Q64),Taostats_CSV!F64="fee"),'READ ME'!$C$5,"")))</f>
        <v/>
      </c>
      <c r="J64" t="str">
        <f ca="1">SUBSTITUTE(IF(LEN(I64)=0,Taostats_CSV!F64&amp;" "&amp;Taostats_CSV!J64,IF(I64="Cost","Extrinsic fee","")),"_"," ")</f>
        <v>fee Balances.transfer keep alive</v>
      </c>
      <c r="K64" t="str">
        <f>TRIM(IF(LEN(Taostats_CSV!I64)&gt;0,Taostats_CSV!I64,""))</f>
        <v>5012975-0006</v>
      </c>
      <c r="L64" t="str">
        <f>IF(Taostats_CSV!E64&lt;&gt;"TAO",IF(LEN(F64)&gt;0,F64,IF(LEN(D64)&gt;0,D64,0))*Taostats_CSV!P64,"")</f>
        <v/>
      </c>
      <c r="M64" t="str">
        <f t="shared" si="3"/>
        <v/>
      </c>
      <c r="N64">
        <f>COUNTIF(Taostats_CSV!$X:$X,Taostats_CSV!$I64&amp;N$1)</f>
        <v>1</v>
      </c>
      <c r="O64">
        <f>COUNTIF(Taostats_CSV!$X:$X,Taostats_CSV!$I64&amp;O$1)</f>
        <v>1</v>
      </c>
      <c r="P64">
        <f>COUNTIF(Taostats_CSV!$X:$X,Taostats_CSV!$I64&amp;P$1)</f>
        <v>0</v>
      </c>
      <c r="Q64" t="b">
        <f t="shared" si="4"/>
        <v>1</v>
      </c>
      <c r="R64">
        <f>IF(LEN(K64)&gt;0,COUNTIF($K$3:K64,K64),FALSE)</f>
        <v>1</v>
      </c>
      <c r="S64" t="b">
        <f>IF(Taostats_CSV!A64=Taostats_CSV!$A$2,TRUE,Taostats_CSV!G64+Taostats_CSV!H64+Taostats_CSV!R64=0)</f>
        <v>0</v>
      </c>
      <c r="T64" t="b">
        <f t="shared" si="5"/>
        <v>1</v>
      </c>
      <c r="U64" t="b" cm="1">
        <f t="array" aca="1" ref="U64" ca="1">AND(T64,OR(O64-N64&gt;1,P64&gt;1,ISERROR(A64:P64)))</f>
        <v>0</v>
      </c>
      <c r="W64">
        <f>MATCH(K64&amp;$W$2,Taostats_CSV!$X$3:$X$1167,0)</f>
        <v>62</v>
      </c>
      <c r="X64">
        <f t="shared" ca="1" si="0"/>
        <v>10</v>
      </c>
      <c r="Y64" t="e">
        <f t="shared" ca="1" si="1"/>
        <v>#VALUE!</v>
      </c>
      <c r="Z64">
        <f t="shared" ca="1" si="2"/>
        <v>1.35263E-4</v>
      </c>
    </row>
    <row r="65" spans="1:26" hidden="1" x14ac:dyDescent="0.4">
      <c r="A65" t="str">
        <f>MID(Taostats_CSV!C65,6,2)&amp;"/"&amp;MID(Taostats_CSV!C65,9,2)&amp;"/"&amp;LEFT(Taostats_CSV!C65,4)&amp;" "&amp;MID(Taostats_CSV!C65,12,8)</f>
        <v>02/26/2025 18:28:36</v>
      </c>
      <c r="C65" t="str">
        <f ca="1">IF(Q65,OFFSET(Taostats_CSV!$E$1,MATCH(K65&amp;D$1,Taostats_CSV!$X:$X,0)-1,0),IF(Taostats_CSV!F65="fee","",IF(VALUE(Taostats_CSV!G65)&gt;0,Taostats_CSV!E65,"")))</f>
        <v>TAO</v>
      </c>
      <c r="D65">
        <f ca="1">IF(Q65,OFFSET(Taostats_CSV!$G$1,MATCH(K65&amp;D$1,Taostats_CSV!$X:$X,0)-1,0),IF(Taostats_CSV!F65="fee","",IF(VALUE(Taostats_CSV!G65)&gt;0,Taostats_CSV!G65,"")))</f>
        <v>10</v>
      </c>
      <c r="E65" t="str">
        <f ca="1">IF(AND(Q65,P65&gt;0),OFFSET(Taostats_CSV!$E$1,MATCH(K65&amp;F$1,Taostats_CSV!$X:$X,0)-1,0),IF(LEN(F65)&gt;0,Taostats_CSV!E65,""))</f>
        <v/>
      </c>
      <c r="F65" t="str">
        <f ca="1">TRIM(IF(AND(Q65,P65&gt;0),OFFSET(Taostats_CSV!$H$1,MATCH(K65&amp;F$1,Taostats_CSV!$X:$X,0)-1,0),IF(LEN(Taostats_CSV!H65)&gt;0,Taostats_CSV!H65,Taostats_CSV!R65)))</f>
        <v/>
      </c>
      <c r="G65" t="str">
        <f ca="1">IF(AND(Q65,N65=1),OFFSET(Taostats_CSV!$E$1,MATCH(K65&amp;H$1,Taostats_CSV!$X:$X,0)-1,0),IF(Taostats_CSV!F65="fee",Taostats_CSV!E65,""))</f>
        <v>TAO</v>
      </c>
      <c r="H65">
        <f ca="1">IF(AND(Q65,N65=1),OFFSET(Taostats_CSV!$G$1,MATCH(K65&amp;H$1,Taostats_CSV!$X:$X,0)-1,0),IF(Taostats_CSV!F65="fee",Taostats_CSV!G65,""))</f>
        <v>1.35263E-4</v>
      </c>
      <c r="I65" t="str">
        <f ca="1">IF(AND(LEN(K65)=0,LEN(F65)&gt;0),"Income",IF(AND(O65&gt;0,P65&gt;0,C65&lt;&gt;E65),"Trade",IF(AND(NOT(Q65),Taostats_CSV!F65="fee"),'READ ME'!$C$5,"")))</f>
        <v/>
      </c>
      <c r="J65" t="str">
        <f ca="1">SUBSTITUTE(IF(LEN(I65)=0,Taostats_CSV!F65&amp;" "&amp;Taostats_CSV!J65,IF(I65="Cost","Extrinsic fee","")),"_"," ")</f>
        <v>transfer out 5HbnKZMzGk3GT3mpWZgKuQHq3CC8LeW2tbNq1FkBLQhzUX6L</v>
      </c>
      <c r="K65" t="str">
        <f>TRIM(IF(LEN(Taostats_CSV!I65)&gt;0,Taostats_CSV!I65,""))</f>
        <v>5012975-0006</v>
      </c>
      <c r="L65" t="str">
        <f>IF(Taostats_CSV!E65&lt;&gt;"TAO",IF(LEN(F65)&gt;0,F65,IF(LEN(D65)&gt;0,D65,0))*Taostats_CSV!P65,"")</f>
        <v/>
      </c>
      <c r="M65" t="str">
        <f t="shared" si="3"/>
        <v/>
      </c>
      <c r="N65">
        <f>COUNTIF(Taostats_CSV!$X:$X,Taostats_CSV!$I65&amp;N$1)</f>
        <v>1</v>
      </c>
      <c r="O65">
        <f>COUNTIF(Taostats_CSV!$X:$X,Taostats_CSV!$I65&amp;O$1)</f>
        <v>1</v>
      </c>
      <c r="P65">
        <f>COUNTIF(Taostats_CSV!$X:$X,Taostats_CSV!$I65&amp;P$1)</f>
        <v>0</v>
      </c>
      <c r="Q65" t="b">
        <f t="shared" si="4"/>
        <v>1</v>
      </c>
      <c r="R65">
        <f>IF(LEN(K65)&gt;0,COUNTIF($K$3:K65,K65),FALSE)</f>
        <v>2</v>
      </c>
      <c r="S65" t="b">
        <f>IF(Taostats_CSV!A65=Taostats_CSV!$A$2,TRUE,Taostats_CSV!G65+Taostats_CSV!H65+Taostats_CSV!R65=0)</f>
        <v>0</v>
      </c>
      <c r="T65" t="b">
        <f t="shared" si="5"/>
        <v>0</v>
      </c>
      <c r="U65" t="b" cm="1">
        <f t="array" aca="1" ref="U65" ca="1">AND(T65,OR(O65-N65&gt;1,P65&gt;1,ISERROR(A65:P65)))</f>
        <v>0</v>
      </c>
      <c r="W65">
        <f>MATCH(K65&amp;$W$2,Taostats_CSV!$X$3:$X$1167,0)</f>
        <v>62</v>
      </c>
      <c r="X65">
        <f t="shared" ca="1" si="0"/>
        <v>10</v>
      </c>
      <c r="Y65" t="e">
        <f t="shared" ca="1" si="1"/>
        <v>#VALUE!</v>
      </c>
      <c r="Z65">
        <f t="shared" ca="1" si="2"/>
        <v>1.35263E-4</v>
      </c>
    </row>
    <row r="66" spans="1:26" x14ac:dyDescent="0.4">
      <c r="A66" t="str">
        <f>MID(Taostats_CSV!C66,6,2)&amp;"/"&amp;MID(Taostats_CSV!C66,9,2)&amp;"/"&amp;LEFT(Taostats_CSV!C66,4)&amp;" "&amp;MID(Taostats_CSV!C66,12,8)</f>
        <v>02/26/2025 18:30:36</v>
      </c>
      <c r="C66" t="str">
        <f ca="1">IF(Q66,OFFSET(Taostats_CSV!$E$1,MATCH(K66&amp;D$1,Taostats_CSV!$X:$X,0)-1,0),IF(Taostats_CSV!F66="fee",IF(VALUE(Taostats_CSV!G66)&gt;0,Taostats_CSV!E66,""),""))</f>
        <v>TAO</v>
      </c>
      <c r="D66">
        <f ca="1">IF(Q66,OFFSET(Taostats_CSV!$G$1,MATCH(K66&amp;D$1,Taostats_CSV!$X:$X,0)-1,0),IF(Taostats_CSV!F66="fee",IF(VALUE(Taostats_CSV!G66)&gt;0,Taostats_CSV!G66,""),""))</f>
        <v>5.0000000000000002E-5</v>
      </c>
      <c r="E66" t="str">
        <f ca="1">IF(AND(Q66,P66&gt;0),OFFSET(Taostats_CSV!$E$1,MATCH(K66&amp;F$1,Taostats_CSV!$X:$X,0)-1,0),IF(LEN(F66)&gt;0,Taostats_CSV!E66,""))</f>
        <v/>
      </c>
      <c r="F66" t="str">
        <f ca="1">TRIM(IF(AND(Q66,P66&gt;0),OFFSET(Taostats_CSV!$H$1,MATCH(K66&amp;F$1,Taostats_CSV!$X:$X,0)-1,0),IF(LEN(Taostats_CSV!H66)&gt;0,Taostats_CSV!H66,Taostats_CSV!R66)))</f>
        <v/>
      </c>
      <c r="G66" t="str">
        <f ca="1">IF(AND(Q66,N66=1),OFFSET(Taostats_CSV!$E$1,MATCH(K66&amp;H$1,Taostats_CSV!$X:$X,0)-1,0),"")</f>
        <v/>
      </c>
      <c r="H66" t="str">
        <f ca="1">IF(AND(Q66,N66=1),OFFSET(Taostats_CSV!$G$1,MATCH(K66&amp;H$1,Taostats_CSV!$X:$X,0)-1,0),"")</f>
        <v/>
      </c>
      <c r="I66" t="str">
        <f ca="1">IF(AND(LEN(K66)=0,LEN(F66)&gt;0),"Income",IF(AND(O66&gt;0,P66&gt;0,C66&lt;&gt;E66),"Trade",IF(AND(NOT(Q66),Taostats_CSV!F66="fee"),'READ ME'!$C$5,"")))</f>
        <v>Merchant Payment</v>
      </c>
      <c r="J66" t="str">
        <f ca="1">SUBSTITUTE(IF(LEN(I66)=0,Taostats_CSV!F66&amp;" "&amp;Taostats_CSV!J66,IF(I66="Cost","Extrinsic fee","")),"_"," ")</f>
        <v/>
      </c>
      <c r="K66" t="str">
        <f>TRIM(IF(LEN(Taostats_CSV!I66)&gt;0,Taostats_CSV!I66,""))</f>
        <v>5012985-0004</v>
      </c>
      <c r="L66" t="str">
        <f>IF(Taostats_CSV!E66&lt;&gt;"TAO",IF(LEN(F66)&gt;0,F66,IF(LEN(D66)&gt;0,D66,0))*Taostats_CSV!P66,"")</f>
        <v/>
      </c>
      <c r="M66" t="str">
        <f t="shared" si="3"/>
        <v/>
      </c>
      <c r="N66">
        <f>COUNTIF(Taostats_CSV!$X:$X,Taostats_CSV!$I66&amp;N$1)</f>
        <v>1</v>
      </c>
      <c r="O66">
        <f>COUNTIF(Taostats_CSV!$X:$X,Taostats_CSV!$I66&amp;O$1)</f>
        <v>0</v>
      </c>
      <c r="P66">
        <f>COUNTIF(Taostats_CSV!$X:$X,Taostats_CSV!$I66&amp;P$1)</f>
        <v>0</v>
      </c>
      <c r="Q66" t="b">
        <f t="shared" si="4"/>
        <v>0</v>
      </c>
      <c r="R66">
        <f>IF(LEN(K66)&gt;0,COUNTIF($K$3:K66,K66),FALSE)</f>
        <v>1</v>
      </c>
      <c r="S66" t="b">
        <f>IF(Taostats_CSV!A66=Taostats_CSV!$A$2,TRUE,Taostats_CSV!G66+Taostats_CSV!H66+Taostats_CSV!R66=0)</f>
        <v>0</v>
      </c>
      <c r="T66" t="b">
        <f t="shared" si="5"/>
        <v>1</v>
      </c>
      <c r="U66" t="b" cm="1">
        <f t="array" aca="1" ref="U66" ca="1">AND(T66,OR(O66-N66&gt;1,P66&gt;1,ISERROR(A66:P66)))</f>
        <v>0</v>
      </c>
      <c r="W66">
        <f>MATCH(K66&amp;$W$2,Taostats_CSV!$X$3:$X$1167,0)</f>
        <v>64</v>
      </c>
      <c r="X66">
        <f t="shared" ca="1" si="0"/>
        <v>5.0000000000000002E-5</v>
      </c>
      <c r="Y66" t="e">
        <f t="shared" ca="1" si="1"/>
        <v>#VALUE!</v>
      </c>
      <c r="Z66" t="e">
        <f t="shared" ca="1" si="2"/>
        <v>#VALUE!</v>
      </c>
    </row>
    <row r="67" spans="1:26" x14ac:dyDescent="0.4">
      <c r="A67" t="str">
        <f>MID(Taostats_CSV!C67,6,2)&amp;"/"&amp;MID(Taostats_CSV!C67,9,2)&amp;"/"&amp;LEFT(Taostats_CSV!C67,4)&amp;" "&amp;MID(Taostats_CSV!C67,12,8)</f>
        <v>02/26/2025 18:31:36</v>
      </c>
      <c r="C67" t="str">
        <f ca="1">IF(Q67,OFFSET(Taostats_CSV!$E$1,MATCH(K67&amp;D$1,Taostats_CSV!$X:$X,0)-1,0),IF(Taostats_CSV!F67="fee",IF(VALUE(Taostats_CSV!G67)&gt;0,Taostats_CSV!E67,""),""))</f>
        <v>TAO</v>
      </c>
      <c r="D67">
        <f ca="1">IF(Q67,OFFSET(Taostats_CSV!$G$1,MATCH(K67&amp;D$1,Taostats_CSV!$X:$X,0)-1,0),IF(Taostats_CSV!F67="fee",IF(VALUE(Taostats_CSV!G67)&gt;0,Taostats_CSV!G67,""),""))</f>
        <v>30</v>
      </c>
      <c r="E67" t="str">
        <f ca="1">IF(AND(Q67,P67&gt;0),OFFSET(Taostats_CSV!$E$1,MATCH(K67&amp;F$1,Taostats_CSV!$X:$X,0)-1,0),IF(LEN(F67)&gt;0,Taostats_CSV!E67,""))</f>
        <v/>
      </c>
      <c r="F67" t="str">
        <f ca="1">TRIM(IF(AND(Q67,P67&gt;0),OFFSET(Taostats_CSV!$H$1,MATCH(K67&amp;F$1,Taostats_CSV!$X:$X,0)-1,0),IF(LEN(Taostats_CSV!H67)&gt;0,Taostats_CSV!H67,Taostats_CSV!R67)))</f>
        <v/>
      </c>
      <c r="G67" t="str">
        <f ca="1">IF(AND(Q67,N67=1),OFFSET(Taostats_CSV!$E$1,MATCH(K67&amp;H$1,Taostats_CSV!$X:$X,0)-1,0),"")</f>
        <v>TAO</v>
      </c>
      <c r="H67">
        <f ca="1">IF(AND(Q67,N67=1),OFFSET(Taostats_CSV!$G$1,MATCH(K67&amp;H$1,Taostats_CSV!$X:$X,0)-1,0),"")</f>
        <v>1.35263E-4</v>
      </c>
      <c r="I67" t="str">
        <f ca="1">IF(AND(LEN(K67)=0,LEN(F67)&gt;0),"Income",IF(AND(O67&gt;0,P67&gt;0,C67&lt;&gt;E67),"Trade",IF(AND(NOT(Q67),Taostats_CSV!F67="fee"),'READ ME'!$C$5,"")))</f>
        <v/>
      </c>
      <c r="J67" t="str">
        <f ca="1">SUBSTITUTE(IF(LEN(I67)=0,Taostats_CSV!F67&amp;" "&amp;Taostats_CSV!J67,IF(I67="Cost","Extrinsic fee","")),"_"," ")</f>
        <v>fee Balances.transfer keep alive</v>
      </c>
      <c r="K67" t="str">
        <f>TRIM(IF(LEN(Taostats_CSV!I67)&gt;0,Taostats_CSV!I67,""))</f>
        <v>5012990-0005</v>
      </c>
      <c r="L67" t="str">
        <f>IF(Taostats_CSV!E67&lt;&gt;"TAO",IF(LEN(F67)&gt;0,F67,IF(LEN(D67)&gt;0,D67,0))*Taostats_CSV!P67,"")</f>
        <v/>
      </c>
      <c r="M67" t="str">
        <f t="shared" si="3"/>
        <v/>
      </c>
      <c r="N67">
        <f>COUNTIF(Taostats_CSV!$X:$X,Taostats_CSV!$I67&amp;N$1)</f>
        <v>1</v>
      </c>
      <c r="O67">
        <f>COUNTIF(Taostats_CSV!$X:$X,Taostats_CSV!$I67&amp;O$1)</f>
        <v>1</v>
      </c>
      <c r="P67">
        <f>COUNTIF(Taostats_CSV!$X:$X,Taostats_CSV!$I67&amp;P$1)</f>
        <v>0</v>
      </c>
      <c r="Q67" t="b">
        <f t="shared" si="4"/>
        <v>1</v>
      </c>
      <c r="R67">
        <f>IF(LEN(K67)&gt;0,COUNTIF($K$3:K67,K67),FALSE)</f>
        <v>1</v>
      </c>
      <c r="S67" t="b">
        <f>IF(Taostats_CSV!A67=Taostats_CSV!$A$2,TRUE,Taostats_CSV!G67+Taostats_CSV!H67+Taostats_CSV!R67=0)</f>
        <v>0</v>
      </c>
      <c r="T67" t="b">
        <f t="shared" si="5"/>
        <v>1</v>
      </c>
      <c r="U67" t="b" cm="1">
        <f t="array" aca="1" ref="U67" ca="1">AND(T67,OR(O67-N67&gt;1,P67&gt;1,ISERROR(A67:P67)))</f>
        <v>0</v>
      </c>
      <c r="W67">
        <f>MATCH(K67&amp;$W$2,Taostats_CSV!$X$3:$X$1167,0)</f>
        <v>65</v>
      </c>
      <c r="X67">
        <f t="shared" ref="X67:X130" ca="1" si="18">VALUE(D67)</f>
        <v>30</v>
      </c>
      <c r="Y67" t="e">
        <f t="shared" ref="Y67:Y130" ca="1" si="19">VALUE(F67)</f>
        <v>#VALUE!</v>
      </c>
      <c r="Z67">
        <f t="shared" ref="Z67:Z130" ca="1" si="20">VALUE(H67)</f>
        <v>1.35263E-4</v>
      </c>
    </row>
    <row r="68" spans="1:26" hidden="1" x14ac:dyDescent="0.4">
      <c r="A68" t="str">
        <f>MID(Taostats_CSV!C68,6,2)&amp;"/"&amp;MID(Taostats_CSV!C68,9,2)&amp;"/"&amp;LEFT(Taostats_CSV!C68,4)&amp;" "&amp;MID(Taostats_CSV!C68,12,8)</f>
        <v>02/26/2025 18:31:36</v>
      </c>
      <c r="C68" t="str">
        <f ca="1">IF(Q68,OFFSET(Taostats_CSV!$E$1,MATCH(K68&amp;D$1,Taostats_CSV!$X:$X,0)-1,0),IF(Taostats_CSV!F68="fee","",IF(VALUE(Taostats_CSV!G68)&gt;0,Taostats_CSV!E68,"")))</f>
        <v>TAO</v>
      </c>
      <c r="D68">
        <f ca="1">IF(Q68,OFFSET(Taostats_CSV!$G$1,MATCH(K68&amp;D$1,Taostats_CSV!$X:$X,0)-1,0),IF(Taostats_CSV!F68="fee","",IF(VALUE(Taostats_CSV!G68)&gt;0,Taostats_CSV!G68,"")))</f>
        <v>30</v>
      </c>
      <c r="E68" t="str">
        <f ca="1">IF(AND(Q68,P68&gt;0),OFFSET(Taostats_CSV!$E$1,MATCH(K68&amp;F$1,Taostats_CSV!$X:$X,0)-1,0),IF(LEN(F68)&gt;0,Taostats_CSV!E68,""))</f>
        <v/>
      </c>
      <c r="F68" t="str">
        <f ca="1">TRIM(IF(AND(Q68,P68&gt;0),OFFSET(Taostats_CSV!$H$1,MATCH(K68&amp;F$1,Taostats_CSV!$X:$X,0)-1,0),IF(LEN(Taostats_CSV!H68)&gt;0,Taostats_CSV!H68,Taostats_CSV!R68)))</f>
        <v/>
      </c>
      <c r="G68" t="str">
        <f ca="1">IF(AND(Q68,N68=1),OFFSET(Taostats_CSV!$E$1,MATCH(K68&amp;H$1,Taostats_CSV!$X:$X,0)-1,0),IF(Taostats_CSV!F68="fee",Taostats_CSV!E68,""))</f>
        <v>TAO</v>
      </c>
      <c r="H68">
        <f ca="1">IF(AND(Q68,N68=1),OFFSET(Taostats_CSV!$G$1,MATCH(K68&amp;H$1,Taostats_CSV!$X:$X,0)-1,0),IF(Taostats_CSV!F68="fee",Taostats_CSV!G68,""))</f>
        <v>1.35263E-4</v>
      </c>
      <c r="I68" t="str">
        <f ca="1">IF(AND(LEN(K68)=0,LEN(F68)&gt;0),"Income",IF(AND(O68&gt;0,P68&gt;0,C68&lt;&gt;E68),"Trade",IF(AND(NOT(Q68),Taostats_CSV!F68="fee"),'READ ME'!$C$5,"")))</f>
        <v/>
      </c>
      <c r="J68" t="str">
        <f ca="1">SUBSTITUTE(IF(LEN(I68)=0,Taostats_CSV!F68&amp;" "&amp;Taostats_CSV!J68,IF(I68="Cost","Extrinsic fee","")),"_"," ")</f>
        <v>transfer out 5HbnKZMzGk3GT3mpWZgKuQHq3CC8LeW2tbNq1FkBLQhzUX6L</v>
      </c>
      <c r="K68" t="str">
        <f>TRIM(IF(LEN(Taostats_CSV!I68)&gt;0,Taostats_CSV!I68,""))</f>
        <v>5012990-0005</v>
      </c>
      <c r="L68" t="str">
        <f>IF(Taostats_CSV!E68&lt;&gt;"TAO",IF(LEN(F68)&gt;0,F68,IF(LEN(D68)&gt;0,D68,0))*Taostats_CSV!P68,"")</f>
        <v/>
      </c>
      <c r="M68" t="str">
        <f t="shared" ref="M68:M131" si="21">IF(LEN(L68)&gt;0,"USD","")</f>
        <v/>
      </c>
      <c r="N68">
        <f>COUNTIF(Taostats_CSV!$X:$X,Taostats_CSV!$I68&amp;N$1)</f>
        <v>1</v>
      </c>
      <c r="O68">
        <f>COUNTIF(Taostats_CSV!$X:$X,Taostats_CSV!$I68&amp;O$1)</f>
        <v>1</v>
      </c>
      <c r="P68">
        <f>COUNTIF(Taostats_CSV!$X:$X,Taostats_CSV!$I68&amp;P$1)</f>
        <v>0</v>
      </c>
      <c r="Q68" t="b">
        <f t="shared" ref="Q68:Q131" si="22">AND(O68&lt;=1,N68&lt;=1,P68&lt;=1,O68+N68+P68&gt;=2)</f>
        <v>1</v>
      </c>
      <c r="R68">
        <f>IF(LEN(K68)&gt;0,COUNTIF($K$3:K68,K68),FALSE)</f>
        <v>2</v>
      </c>
      <c r="S68" t="b">
        <f>IF(Taostats_CSV!A68=Taostats_CSV!$A$2,TRUE,Taostats_CSV!G68+Taostats_CSV!H68+Taostats_CSV!R68=0)</f>
        <v>0</v>
      </c>
      <c r="T68" t="b">
        <f t="shared" ref="T68:T131" si="23">AND(NOT(S68),OR(NOT(Q68),R68=1))</f>
        <v>0</v>
      </c>
      <c r="U68" t="b" cm="1">
        <f t="array" aca="1" ref="U68" ca="1">AND(T68,OR(O68-N68&gt;1,P68&gt;1,ISERROR(A68:P68)))</f>
        <v>0</v>
      </c>
      <c r="W68">
        <f>MATCH(K68&amp;$W$2,Taostats_CSV!$X$3:$X$1167,0)</f>
        <v>65</v>
      </c>
      <c r="X68">
        <f t="shared" ca="1" si="18"/>
        <v>30</v>
      </c>
      <c r="Y68" t="e">
        <f t="shared" ca="1" si="19"/>
        <v>#VALUE!</v>
      </c>
      <c r="Z68">
        <f t="shared" ca="1" si="20"/>
        <v>1.35263E-4</v>
      </c>
    </row>
    <row r="69" spans="1:26" x14ac:dyDescent="0.4">
      <c r="A69" t="str">
        <f>MID(Taostats_CSV!C69,6,2)&amp;"/"&amp;MID(Taostats_CSV!C69,9,2)&amp;"/"&amp;LEFT(Taostats_CSV!C69,4)&amp;" "&amp;MID(Taostats_CSV!C69,12,8)</f>
        <v>02/26/2025 18:34:48</v>
      </c>
      <c r="C69" t="str">
        <f ca="1">IF(Q69,OFFSET(Taostats_CSV!$E$1,MATCH(K69&amp;D$1,Taostats_CSV!$X:$X,0)-1,0),IF(Taostats_CSV!F69="fee",IF(VALUE(Taostats_CSV!G69)&gt;0,Taostats_CSV!E69,""),""))</f>
        <v>TAO</v>
      </c>
      <c r="D69">
        <f ca="1">IF(Q69,OFFSET(Taostats_CSV!$G$1,MATCH(K69&amp;D$1,Taostats_CSV!$X:$X,0)-1,0),IF(Taostats_CSV!F69="fee",IF(VALUE(Taostats_CSV!G69)&gt;0,Taostats_CSV!G69,""),""))</f>
        <v>5.0000000000000002E-5</v>
      </c>
      <c r="E69" t="str">
        <f ca="1">IF(AND(Q69,P69&gt;0),OFFSET(Taostats_CSV!$E$1,MATCH(K69&amp;F$1,Taostats_CSV!$X:$X,0)-1,0),IF(LEN(F69)&gt;0,Taostats_CSV!E69,""))</f>
        <v/>
      </c>
      <c r="F69" t="str">
        <f ca="1">TRIM(IF(AND(Q69,P69&gt;0),OFFSET(Taostats_CSV!$H$1,MATCH(K69&amp;F$1,Taostats_CSV!$X:$X,0)-1,0),IF(LEN(Taostats_CSV!H69)&gt;0,Taostats_CSV!H69,Taostats_CSV!R69)))</f>
        <v/>
      </c>
      <c r="G69" t="str">
        <f ca="1">IF(AND(Q69,N69=1),OFFSET(Taostats_CSV!$E$1,MATCH(K69&amp;H$1,Taostats_CSV!$X:$X,0)-1,0),"")</f>
        <v/>
      </c>
      <c r="H69" t="str">
        <f ca="1">IF(AND(Q69,N69=1),OFFSET(Taostats_CSV!$G$1,MATCH(K69&amp;H$1,Taostats_CSV!$X:$X,0)-1,0),"")</f>
        <v/>
      </c>
      <c r="I69" t="str">
        <f ca="1">IF(AND(LEN(K69)=0,LEN(F69)&gt;0),"Income",IF(AND(O69&gt;0,P69&gt;0,C69&lt;&gt;E69),"Trade",IF(AND(NOT(Q69),Taostats_CSV!F69="fee"),'READ ME'!$C$5,"")))</f>
        <v>Merchant Payment</v>
      </c>
      <c r="J69" t="str">
        <f ca="1">SUBSTITUTE(IF(LEN(I69)=0,Taostats_CSV!F69&amp;" "&amp;Taostats_CSV!J69,IF(I69="Cost","Extrinsic fee","")),"_"," ")</f>
        <v/>
      </c>
      <c r="K69" t="str">
        <f>TRIM(IF(LEN(Taostats_CSV!I69)&gt;0,Taostats_CSV!I69,""))</f>
        <v>5013006-0007</v>
      </c>
      <c r="L69" t="str">
        <f>IF(Taostats_CSV!E69&lt;&gt;"TAO",IF(LEN(F69)&gt;0,F69,IF(LEN(D69)&gt;0,D69,0))*Taostats_CSV!P69,"")</f>
        <v/>
      </c>
      <c r="M69" t="str">
        <f t="shared" si="21"/>
        <v/>
      </c>
      <c r="N69">
        <f>COUNTIF(Taostats_CSV!$X:$X,Taostats_CSV!$I69&amp;N$1)</f>
        <v>1</v>
      </c>
      <c r="O69">
        <f>COUNTIF(Taostats_CSV!$X:$X,Taostats_CSV!$I69&amp;O$1)</f>
        <v>0</v>
      </c>
      <c r="P69">
        <f>COUNTIF(Taostats_CSV!$X:$X,Taostats_CSV!$I69&amp;P$1)</f>
        <v>0</v>
      </c>
      <c r="Q69" t="b">
        <f t="shared" si="22"/>
        <v>0</v>
      </c>
      <c r="R69">
        <f>IF(LEN(K69)&gt;0,COUNTIF($K$3:K69,K69),FALSE)</f>
        <v>1</v>
      </c>
      <c r="S69" t="b">
        <f>IF(Taostats_CSV!A69=Taostats_CSV!$A$2,TRUE,Taostats_CSV!G69+Taostats_CSV!H69+Taostats_CSV!R69=0)</f>
        <v>0</v>
      </c>
      <c r="T69" t="b">
        <f t="shared" si="23"/>
        <v>1</v>
      </c>
      <c r="U69" t="b" cm="1">
        <f t="array" aca="1" ref="U69" ca="1">AND(T69,OR(O69-N69&gt;1,P69&gt;1,ISERROR(A69:P69)))</f>
        <v>0</v>
      </c>
      <c r="W69">
        <f>MATCH(K69&amp;$W$2,Taostats_CSV!$X$3:$X$1167,0)</f>
        <v>67</v>
      </c>
      <c r="X69">
        <f t="shared" ca="1" si="18"/>
        <v>5.0000000000000002E-5</v>
      </c>
      <c r="Y69" t="e">
        <f t="shared" ca="1" si="19"/>
        <v>#VALUE!</v>
      </c>
      <c r="Z69" t="e">
        <f t="shared" ca="1" si="20"/>
        <v>#VALUE!</v>
      </c>
    </row>
    <row r="70" spans="1:26" x14ac:dyDescent="0.4">
      <c r="A70" t="str">
        <f>MID(Taostats_CSV!C70,6,2)&amp;"/"&amp;MID(Taostats_CSV!C70,9,2)&amp;"/"&amp;LEFT(Taostats_CSV!C70,4)&amp;" "&amp;MID(Taostats_CSV!C70,12,8)</f>
        <v>02/26/2025 18:35:24</v>
      </c>
      <c r="C70" t="str">
        <f ca="1">IF(Q70,OFFSET(Taostats_CSV!$E$1,MATCH(K70&amp;D$1,Taostats_CSV!$X:$X,0)-1,0),IF(Taostats_CSV!F70="fee",IF(VALUE(Taostats_CSV!G70)&gt;0,Taostats_CSV!E70,""),""))</f>
        <v>TAO</v>
      </c>
      <c r="D70">
        <f ca="1">IF(Q70,OFFSET(Taostats_CSV!$G$1,MATCH(K70&amp;D$1,Taostats_CSV!$X:$X,0)-1,0),IF(Taostats_CSV!F70="fee",IF(VALUE(Taostats_CSV!G70)&gt;0,Taostats_CSV!G70,""),""))</f>
        <v>22.78</v>
      </c>
      <c r="E70" t="str">
        <f ca="1">IF(AND(Q70,P70&gt;0),OFFSET(Taostats_CSV!$E$1,MATCH(K70&amp;F$1,Taostats_CSV!$X:$X,0)-1,0),IF(LEN(F70)&gt;0,Taostats_CSV!E70,""))</f>
        <v/>
      </c>
      <c r="F70" t="str">
        <f ca="1">TRIM(IF(AND(Q70,P70&gt;0),OFFSET(Taostats_CSV!$H$1,MATCH(K70&amp;F$1,Taostats_CSV!$X:$X,0)-1,0),IF(LEN(Taostats_CSV!H70)&gt;0,Taostats_CSV!H70,Taostats_CSV!R70)))</f>
        <v/>
      </c>
      <c r="G70" t="str">
        <f ca="1">IF(AND(Q70,N70=1),OFFSET(Taostats_CSV!$E$1,MATCH(K70&amp;H$1,Taostats_CSV!$X:$X,0)-1,0),"")</f>
        <v>TAO</v>
      </c>
      <c r="H70">
        <f ca="1">IF(AND(Q70,N70=1),OFFSET(Taostats_CSV!$G$1,MATCH(K70&amp;H$1,Taostats_CSV!$X:$X,0)-1,0),"")</f>
        <v>1.35263E-4</v>
      </c>
      <c r="I70" t="str">
        <f ca="1">IF(AND(LEN(K70)=0,LEN(F70)&gt;0),"Income",IF(AND(O70&gt;0,P70&gt;0,C70&lt;&gt;E70),"Trade",IF(AND(NOT(Q70),Taostats_CSV!F70="fee"),'READ ME'!$C$5,"")))</f>
        <v/>
      </c>
      <c r="J70" t="str">
        <f ca="1">SUBSTITUTE(IF(LEN(I70)=0,Taostats_CSV!F70&amp;" "&amp;Taostats_CSV!J70,IF(I70="Cost","Extrinsic fee","")),"_"," ")</f>
        <v>fee Balances.transfer keep alive</v>
      </c>
      <c r="K70" t="str">
        <f>TRIM(IF(LEN(Taostats_CSV!I70)&gt;0,Taostats_CSV!I70,""))</f>
        <v>5013009-0009</v>
      </c>
      <c r="L70" t="str">
        <f>IF(Taostats_CSV!E70&lt;&gt;"TAO",IF(LEN(F70)&gt;0,F70,IF(LEN(D70)&gt;0,D70,0))*Taostats_CSV!P70,"")</f>
        <v/>
      </c>
      <c r="M70" t="str">
        <f t="shared" si="21"/>
        <v/>
      </c>
      <c r="N70">
        <f>COUNTIF(Taostats_CSV!$X:$X,Taostats_CSV!$I70&amp;N$1)</f>
        <v>1</v>
      </c>
      <c r="O70">
        <f>COUNTIF(Taostats_CSV!$X:$X,Taostats_CSV!$I70&amp;O$1)</f>
        <v>1</v>
      </c>
      <c r="P70">
        <f>COUNTIF(Taostats_CSV!$X:$X,Taostats_CSV!$I70&amp;P$1)</f>
        <v>0</v>
      </c>
      <c r="Q70" t="b">
        <f t="shared" si="22"/>
        <v>1</v>
      </c>
      <c r="R70">
        <f>IF(LEN(K70)&gt;0,COUNTIF($K$3:K70,K70),FALSE)</f>
        <v>1</v>
      </c>
      <c r="S70" t="b">
        <f>IF(Taostats_CSV!A70=Taostats_CSV!$A$2,TRUE,Taostats_CSV!G70+Taostats_CSV!H70+Taostats_CSV!R70=0)</f>
        <v>0</v>
      </c>
      <c r="T70" t="b">
        <f t="shared" si="23"/>
        <v>1</v>
      </c>
      <c r="U70" t="b" cm="1">
        <f t="array" aca="1" ref="U70" ca="1">AND(T70,OR(O70-N70&gt;1,P70&gt;1,ISERROR(A70:P70)))</f>
        <v>0</v>
      </c>
      <c r="W70">
        <f>MATCH(K70&amp;$W$2,Taostats_CSV!$X$3:$X$1167,0)</f>
        <v>68</v>
      </c>
      <c r="X70">
        <f t="shared" ca="1" si="18"/>
        <v>22.78</v>
      </c>
      <c r="Y70" t="e">
        <f t="shared" ca="1" si="19"/>
        <v>#VALUE!</v>
      </c>
      <c r="Z70">
        <f t="shared" ca="1" si="20"/>
        <v>1.35263E-4</v>
      </c>
    </row>
    <row r="71" spans="1:26" hidden="1" x14ac:dyDescent="0.4">
      <c r="A71" t="str">
        <f>MID(Taostats_CSV!C71,6,2)&amp;"/"&amp;MID(Taostats_CSV!C71,9,2)&amp;"/"&amp;LEFT(Taostats_CSV!C71,4)&amp;" "&amp;MID(Taostats_CSV!C71,12,8)</f>
        <v>02/26/2025 18:35:24</v>
      </c>
      <c r="C71" t="str">
        <f ca="1">IF(Q71,OFFSET(Taostats_CSV!$E$1,MATCH(K71&amp;D$1,Taostats_CSV!$X:$X,0)-1,0),IF(Taostats_CSV!F71="fee","",IF(VALUE(Taostats_CSV!G71)&gt;0,Taostats_CSV!E71,"")))</f>
        <v>TAO</v>
      </c>
      <c r="D71">
        <f ca="1">IF(Q71,OFFSET(Taostats_CSV!$G$1,MATCH(K71&amp;D$1,Taostats_CSV!$X:$X,0)-1,0),IF(Taostats_CSV!F71="fee","",IF(VALUE(Taostats_CSV!G71)&gt;0,Taostats_CSV!G71,"")))</f>
        <v>22.78</v>
      </c>
      <c r="E71" t="str">
        <f ca="1">IF(AND(Q71,P71&gt;0),OFFSET(Taostats_CSV!$E$1,MATCH(K71&amp;F$1,Taostats_CSV!$X:$X,0)-1,0),IF(LEN(F71)&gt;0,Taostats_CSV!E71,""))</f>
        <v/>
      </c>
      <c r="F71" t="str">
        <f ca="1">TRIM(IF(AND(Q71,P71&gt;0),OFFSET(Taostats_CSV!$H$1,MATCH(K71&amp;F$1,Taostats_CSV!$X:$X,0)-1,0),IF(LEN(Taostats_CSV!H71)&gt;0,Taostats_CSV!H71,Taostats_CSV!R71)))</f>
        <v/>
      </c>
      <c r="G71" t="str">
        <f ca="1">IF(AND(Q71,N71=1),OFFSET(Taostats_CSV!$E$1,MATCH(K71&amp;H$1,Taostats_CSV!$X:$X,0)-1,0),IF(Taostats_CSV!F71="fee",Taostats_CSV!E71,""))</f>
        <v>TAO</v>
      </c>
      <c r="H71">
        <f ca="1">IF(AND(Q71,N71=1),OFFSET(Taostats_CSV!$G$1,MATCH(K71&amp;H$1,Taostats_CSV!$X:$X,0)-1,0),IF(Taostats_CSV!F71="fee",Taostats_CSV!G71,""))</f>
        <v>1.35263E-4</v>
      </c>
      <c r="I71" t="str">
        <f ca="1">IF(AND(LEN(K71)=0,LEN(F71)&gt;0),"Income",IF(AND(O71&gt;0,P71&gt;0,C71&lt;&gt;E71),"Trade",IF(AND(NOT(Q71),Taostats_CSV!F71="fee"),'READ ME'!$C$5,"")))</f>
        <v/>
      </c>
      <c r="J71" t="str">
        <f ca="1">SUBSTITUTE(IF(LEN(I71)=0,Taostats_CSV!F71&amp;" "&amp;Taostats_CSV!J71,IF(I71="Cost","Extrinsic fee","")),"_"," ")</f>
        <v>transfer out 5HbnKZMzGk3GT3mpWZgKuQHq3CC8LeW2tbNq1FkBLQhzUX6L</v>
      </c>
      <c r="K71" t="str">
        <f>TRIM(IF(LEN(Taostats_CSV!I71)&gt;0,Taostats_CSV!I71,""))</f>
        <v>5013009-0009</v>
      </c>
      <c r="L71" t="str">
        <f>IF(Taostats_CSV!E71&lt;&gt;"TAO",IF(LEN(F71)&gt;0,F71,IF(LEN(D71)&gt;0,D71,0))*Taostats_CSV!P71,"")</f>
        <v/>
      </c>
      <c r="M71" t="str">
        <f t="shared" si="21"/>
        <v/>
      </c>
      <c r="N71">
        <f>COUNTIF(Taostats_CSV!$X:$X,Taostats_CSV!$I71&amp;N$1)</f>
        <v>1</v>
      </c>
      <c r="O71">
        <f>COUNTIF(Taostats_CSV!$X:$X,Taostats_CSV!$I71&amp;O$1)</f>
        <v>1</v>
      </c>
      <c r="P71">
        <f>COUNTIF(Taostats_CSV!$X:$X,Taostats_CSV!$I71&amp;P$1)</f>
        <v>0</v>
      </c>
      <c r="Q71" t="b">
        <f t="shared" si="22"/>
        <v>1</v>
      </c>
      <c r="R71">
        <f>IF(LEN(K71)&gt;0,COUNTIF($K$3:K71,K71),FALSE)</f>
        <v>2</v>
      </c>
      <c r="S71" t="b">
        <f>IF(Taostats_CSV!A71=Taostats_CSV!$A$2,TRUE,Taostats_CSV!G71+Taostats_CSV!H71+Taostats_CSV!R71=0)</f>
        <v>0</v>
      </c>
      <c r="T71" t="b">
        <f t="shared" si="23"/>
        <v>0</v>
      </c>
      <c r="U71" t="b" cm="1">
        <f t="array" aca="1" ref="U71" ca="1">AND(T71,OR(O71-N71&gt;1,P71&gt;1,ISERROR(A71:P71)))</f>
        <v>0</v>
      </c>
      <c r="W71">
        <f>MATCH(K71&amp;$W$2,Taostats_CSV!$X$3:$X$1167,0)</f>
        <v>68</v>
      </c>
      <c r="X71">
        <f t="shared" ca="1" si="18"/>
        <v>22.78</v>
      </c>
      <c r="Y71" t="e">
        <f t="shared" ca="1" si="19"/>
        <v>#VALUE!</v>
      </c>
      <c r="Z71">
        <f t="shared" ca="1" si="20"/>
        <v>1.35263E-4</v>
      </c>
    </row>
    <row r="72" spans="1:26" x14ac:dyDescent="0.4">
      <c r="A72" t="str">
        <f>MID(Taostats_CSV!C72,6,2)&amp;"/"&amp;MID(Taostats_CSV!C72,9,2)&amp;"/"&amp;LEFT(Taostats_CSV!C72,4)&amp;" "&amp;MID(Taostats_CSV!C72,12,8)</f>
        <v>02/26/2025 23:59:48</v>
      </c>
      <c r="C72" t="str">
        <f ca="1">IF(Q72,OFFSET(Taostats_CSV!$E$1,MATCH(K72&amp;D$1,Taostats_CSV!$X:$X,0)-1,0),IF(Taostats_CSV!F72="fee",IF(VALUE(Taostats_CSV!G72)&gt;0,Taostats_CSV!E72,""),""))</f>
        <v/>
      </c>
      <c r="D72" t="str">
        <f ca="1">IF(Q72,OFFSET(Taostats_CSV!$G$1,MATCH(K72&amp;D$1,Taostats_CSV!$X:$X,0)-1,0),IF(Taostats_CSV!F72="fee",IF(VALUE(Taostats_CSV!G72)&gt;0,Taostats_CSV!G72,""),""))</f>
        <v/>
      </c>
      <c r="E72" t="str">
        <f ca="1">IF(AND(Q72,P72&gt;0),OFFSET(Taostats_CSV!$E$1,MATCH(K72&amp;F$1,Taostats_CSV!$X:$X,0)-1,0),IF(LEN(F72)&gt;0,Taostats_CSV!E72,""))</f>
        <v>TAO</v>
      </c>
      <c r="F72" t="str">
        <f ca="1">TRIM(IF(AND(Q72,P72&gt;0),OFFSET(Taostats_CSV!$H$1,MATCH(K72&amp;F$1,Taostats_CSV!$X:$X,0)-1,0),IF(LEN(Taostats_CSV!H72)&gt;0,Taostats_CSV!H72,Taostats_CSV!R72)))</f>
        <v>0.12501014</v>
      </c>
      <c r="G72" t="str">
        <f ca="1">IF(AND(Q72,N72=1),OFFSET(Taostats_CSV!$E$1,MATCH(K72&amp;H$1,Taostats_CSV!$X:$X,0)-1,0),"")</f>
        <v/>
      </c>
      <c r="H72" t="str">
        <f ca="1">IF(AND(Q72,N72=1),OFFSET(Taostats_CSV!$G$1,MATCH(K72&amp;H$1,Taostats_CSV!$X:$X,0)-1,0),"")</f>
        <v/>
      </c>
      <c r="I72" t="str">
        <f ca="1">IF(AND(LEN(K72)=0,LEN(F72)&gt;0),"Income",IF(AND(O72&gt;0,P72&gt;0,C72&lt;&gt;E72),"Trade",IF(AND(NOT(Q72),Taostats_CSV!F72="fee"),'READ ME'!$C$5,"")))</f>
        <v>Income</v>
      </c>
      <c r="J72" t="str">
        <f ca="1">SUBSTITUTE(IF(LEN(I72)=0,Taostats_CSV!F72&amp;" "&amp;Taostats_CSV!J72,IF(I72="Cost","Extrinsic fee","")),"_"," ")</f>
        <v/>
      </c>
      <c r="K72" t="str">
        <f>TRIM(IF(LEN(Taostats_CSV!I72)&gt;0,Taostats_CSV!I72,""))</f>
        <v/>
      </c>
      <c r="L72" t="str">
        <f>IF(Taostats_CSV!E72&lt;&gt;"TAO",IF(LEN(F72)&gt;0,F72,IF(LEN(D72)&gt;0,D72,0))*Taostats_CSV!P72,"")</f>
        <v/>
      </c>
      <c r="M72" t="str">
        <f t="shared" si="21"/>
        <v/>
      </c>
      <c r="N72">
        <f>COUNTIF(Taostats_CSV!$X:$X,Taostats_CSV!$I72&amp;N$1)</f>
        <v>0</v>
      </c>
      <c r="O72">
        <f>COUNTIF(Taostats_CSV!$X:$X,Taostats_CSV!$I72&amp;O$1)</f>
        <v>0</v>
      </c>
      <c r="P72">
        <f>COUNTIF(Taostats_CSV!$X:$X,Taostats_CSV!$I72&amp;P$1)</f>
        <v>0</v>
      </c>
      <c r="Q72" t="b">
        <f t="shared" si="22"/>
        <v>0</v>
      </c>
      <c r="R72" t="b">
        <f>IF(LEN(K72)&gt;0,COUNTIF($K$3:K72,K72),FALSE)</f>
        <v>0</v>
      </c>
      <c r="S72" t="b">
        <f>IF(Taostats_CSV!A72=Taostats_CSV!$A$2,TRUE,Taostats_CSV!G72+Taostats_CSV!H72+Taostats_CSV!R72=0)</f>
        <v>0</v>
      </c>
      <c r="T72" t="b">
        <f t="shared" si="23"/>
        <v>1</v>
      </c>
      <c r="U72" t="b" cm="1">
        <f t="array" aca="1" ref="U72" ca="1">AND(T72,OR(O72-N72&gt;1,P72&gt;1,ISERROR(A72:P72)))</f>
        <v>0</v>
      </c>
      <c r="W72" t="e">
        <f>MATCH(K72&amp;$W$2,Taostats_CSV!$X$3:$X$1167,0)</f>
        <v>#N/A</v>
      </c>
      <c r="X72" t="e">
        <f t="shared" ca="1" si="18"/>
        <v>#VALUE!</v>
      </c>
      <c r="Y72">
        <f t="shared" ca="1" si="19"/>
        <v>0.12501013999999999</v>
      </c>
      <c r="Z72" t="e">
        <f t="shared" ca="1" si="20"/>
        <v>#VALUE!</v>
      </c>
    </row>
    <row r="73" spans="1:26" x14ac:dyDescent="0.4">
      <c r="A73" t="str">
        <f>MID(Taostats_CSV!C73,6,2)&amp;"/"&amp;MID(Taostats_CSV!C73,9,2)&amp;"/"&amp;LEFT(Taostats_CSV!C73,4)&amp;" "&amp;MID(Taostats_CSV!C73,12,8)</f>
        <v>02/27/2025 23:59:48</v>
      </c>
      <c r="C73" t="str">
        <f ca="1">IF(Q73,OFFSET(Taostats_CSV!$E$1,MATCH(K73&amp;D$1,Taostats_CSV!$X:$X,0)-1,0),IF(Taostats_CSV!F73="fee",IF(VALUE(Taostats_CSV!G73)&gt;0,Taostats_CSV!E73,""),""))</f>
        <v/>
      </c>
      <c r="D73" t="str">
        <f ca="1">IF(Q73,OFFSET(Taostats_CSV!$G$1,MATCH(K73&amp;D$1,Taostats_CSV!$X:$X,0)-1,0),IF(Taostats_CSV!F73="fee",IF(VALUE(Taostats_CSV!G73)&gt;0,Taostats_CSV!G73,""),""))</f>
        <v/>
      </c>
      <c r="E73" t="str">
        <f ca="1">IF(AND(Q73,P73&gt;0),OFFSET(Taostats_CSV!$E$1,MATCH(K73&amp;F$1,Taostats_CSV!$X:$X,0)-1,0),IF(LEN(F73)&gt;0,Taostats_CSV!E73,""))</f>
        <v>TAO</v>
      </c>
      <c r="F73" t="str">
        <f ca="1">TRIM(IF(AND(Q73,P73&gt;0),OFFSET(Taostats_CSV!$H$1,MATCH(K73&amp;F$1,Taostats_CSV!$X:$X,0)-1,0),IF(LEN(Taostats_CSV!H73)&gt;0,Taostats_CSV!H73,Taostats_CSV!R73)))</f>
        <v>0.097794089</v>
      </c>
      <c r="G73" t="str">
        <f ca="1">IF(AND(Q73,N73=1),OFFSET(Taostats_CSV!$E$1,MATCH(K73&amp;H$1,Taostats_CSV!$X:$X,0)-1,0),"")</f>
        <v/>
      </c>
      <c r="H73" t="str">
        <f ca="1">IF(AND(Q73,N73=1),OFFSET(Taostats_CSV!$G$1,MATCH(K73&amp;H$1,Taostats_CSV!$X:$X,0)-1,0),"")</f>
        <v/>
      </c>
      <c r="I73" t="str">
        <f ca="1">IF(AND(LEN(K73)=0,LEN(F73)&gt;0),"Income",IF(AND(O73&gt;0,P73&gt;0,C73&lt;&gt;E73),"Trade",IF(AND(NOT(Q73),Taostats_CSV!F73="fee"),'READ ME'!$C$5,"")))</f>
        <v>Income</v>
      </c>
      <c r="J73" t="str">
        <f ca="1">SUBSTITUTE(IF(LEN(I73)=0,Taostats_CSV!F73&amp;" "&amp;Taostats_CSV!J73,IF(I73="Cost","Extrinsic fee","")),"_"," ")</f>
        <v/>
      </c>
      <c r="K73" t="str">
        <f>TRIM(IF(LEN(Taostats_CSV!I73)&gt;0,Taostats_CSV!I73,""))</f>
        <v/>
      </c>
      <c r="L73" t="str">
        <f>IF(Taostats_CSV!E73&lt;&gt;"TAO",IF(LEN(F73)&gt;0,F73,IF(LEN(D73)&gt;0,D73,0))*Taostats_CSV!P73,"")</f>
        <v/>
      </c>
      <c r="M73" t="str">
        <f t="shared" si="21"/>
        <v/>
      </c>
      <c r="N73">
        <f>COUNTIF(Taostats_CSV!$X:$X,Taostats_CSV!$I73&amp;N$1)</f>
        <v>0</v>
      </c>
      <c r="O73">
        <f>COUNTIF(Taostats_CSV!$X:$X,Taostats_CSV!$I73&amp;O$1)</f>
        <v>0</v>
      </c>
      <c r="P73">
        <f>COUNTIF(Taostats_CSV!$X:$X,Taostats_CSV!$I73&amp;P$1)</f>
        <v>0</v>
      </c>
      <c r="Q73" t="b">
        <f t="shared" si="22"/>
        <v>0</v>
      </c>
      <c r="R73" t="b">
        <f>IF(LEN(K73)&gt;0,COUNTIF($K$3:K73,K73),FALSE)</f>
        <v>0</v>
      </c>
      <c r="S73" t="b">
        <f>IF(Taostats_CSV!A73=Taostats_CSV!$A$2,TRUE,Taostats_CSV!G73+Taostats_CSV!H73+Taostats_CSV!R73=0)</f>
        <v>0</v>
      </c>
      <c r="T73" t="b">
        <f t="shared" si="23"/>
        <v>1</v>
      </c>
      <c r="U73" t="b" cm="1">
        <f t="array" aca="1" ref="U73" ca="1">AND(T73,OR(O73-N73&gt;1,P73&gt;1,ISERROR(A73:P73)))</f>
        <v>0</v>
      </c>
      <c r="W73" t="e">
        <f>MATCH(K73&amp;$W$2,Taostats_CSV!$X$3:$X$1167,0)</f>
        <v>#N/A</v>
      </c>
      <c r="X73" t="e">
        <f t="shared" ca="1" si="18"/>
        <v>#VALUE!</v>
      </c>
      <c r="Y73">
        <f t="shared" ca="1" si="19"/>
        <v>9.7794089000000001E-2</v>
      </c>
      <c r="Z73" t="e">
        <f t="shared" ca="1" si="20"/>
        <v>#VALUE!</v>
      </c>
    </row>
    <row r="74" spans="1:26" x14ac:dyDescent="0.4">
      <c r="A74" t="str">
        <f>MID(Taostats_CSV!C74,6,2)&amp;"/"&amp;MID(Taostats_CSV!C74,9,2)&amp;"/"&amp;LEFT(Taostats_CSV!C74,4)&amp;" "&amp;MID(Taostats_CSV!C74,12,8)</f>
        <v>02/28/2025 23:59:48</v>
      </c>
      <c r="C74" t="str">
        <f ca="1">IF(Q74,OFFSET(Taostats_CSV!$E$1,MATCH(K74&amp;D$1,Taostats_CSV!$X:$X,0)-1,0),IF(Taostats_CSV!F74="fee",IF(VALUE(Taostats_CSV!G74)&gt;0,Taostats_CSV!E74,""),""))</f>
        <v/>
      </c>
      <c r="D74" t="str">
        <f ca="1">IF(Q74,OFFSET(Taostats_CSV!$G$1,MATCH(K74&amp;D$1,Taostats_CSV!$X:$X,0)-1,0),IF(Taostats_CSV!F74="fee",IF(VALUE(Taostats_CSV!G74)&gt;0,Taostats_CSV!G74,""),""))</f>
        <v/>
      </c>
      <c r="E74" t="str">
        <f ca="1">IF(AND(Q74,P74&gt;0),OFFSET(Taostats_CSV!$E$1,MATCH(K74&amp;F$1,Taostats_CSV!$X:$X,0)-1,0),IF(LEN(F74)&gt;0,Taostats_CSV!E74,""))</f>
        <v>TAO</v>
      </c>
      <c r="F74" t="str">
        <f ca="1">TRIM(IF(AND(Q74,P74&gt;0),OFFSET(Taostats_CSV!$H$1,MATCH(K74&amp;F$1,Taostats_CSV!$X:$X,0)-1,0),IF(LEN(Taostats_CSV!H74)&gt;0,Taostats_CSV!H74,Taostats_CSV!R74)))</f>
        <v>0.09431049</v>
      </c>
      <c r="G74" t="str">
        <f ca="1">IF(AND(Q74,N74=1),OFFSET(Taostats_CSV!$E$1,MATCH(K74&amp;H$1,Taostats_CSV!$X:$X,0)-1,0),"")</f>
        <v/>
      </c>
      <c r="H74" t="str">
        <f ca="1">IF(AND(Q74,N74=1),OFFSET(Taostats_CSV!$G$1,MATCH(K74&amp;H$1,Taostats_CSV!$X:$X,0)-1,0),"")</f>
        <v/>
      </c>
      <c r="I74" t="str">
        <f ca="1">IF(AND(LEN(K74)=0,LEN(F74)&gt;0),"Income",IF(AND(O74&gt;0,P74&gt;0,C74&lt;&gt;E74),"Trade",IF(AND(NOT(Q74),Taostats_CSV!F74="fee"),'READ ME'!$C$5,"")))</f>
        <v>Income</v>
      </c>
      <c r="J74" t="str">
        <f ca="1">SUBSTITUTE(IF(LEN(I74)=0,Taostats_CSV!F74&amp;" "&amp;Taostats_CSV!J74,IF(I74="Cost","Extrinsic fee","")),"_"," ")</f>
        <v/>
      </c>
      <c r="K74" t="str">
        <f>TRIM(IF(LEN(Taostats_CSV!I74)&gt;0,Taostats_CSV!I74,""))</f>
        <v/>
      </c>
      <c r="L74" t="str">
        <f>IF(Taostats_CSV!E74&lt;&gt;"TAO",IF(LEN(F74)&gt;0,F74,IF(LEN(D74)&gt;0,D74,0))*Taostats_CSV!P74,"")</f>
        <v/>
      </c>
      <c r="M74" t="str">
        <f t="shared" si="21"/>
        <v/>
      </c>
      <c r="N74">
        <f>COUNTIF(Taostats_CSV!$X:$X,Taostats_CSV!$I74&amp;N$1)</f>
        <v>0</v>
      </c>
      <c r="O74">
        <f>COUNTIF(Taostats_CSV!$X:$X,Taostats_CSV!$I74&amp;O$1)</f>
        <v>0</v>
      </c>
      <c r="P74">
        <f>COUNTIF(Taostats_CSV!$X:$X,Taostats_CSV!$I74&amp;P$1)</f>
        <v>0</v>
      </c>
      <c r="Q74" t="b">
        <f t="shared" si="22"/>
        <v>0</v>
      </c>
      <c r="R74" t="b">
        <f>IF(LEN(K74)&gt;0,COUNTIF($K$3:K74,K74),FALSE)</f>
        <v>0</v>
      </c>
      <c r="S74" t="b">
        <f>IF(Taostats_CSV!A74=Taostats_CSV!$A$2,TRUE,Taostats_CSV!G74+Taostats_CSV!H74+Taostats_CSV!R74=0)</f>
        <v>0</v>
      </c>
      <c r="T74" t="b">
        <f t="shared" si="23"/>
        <v>1</v>
      </c>
      <c r="U74" t="b" cm="1">
        <f t="array" aca="1" ref="U74" ca="1">AND(T74,OR(O74-N74&gt;1,P74&gt;1,ISERROR(A74:P74)))</f>
        <v>0</v>
      </c>
      <c r="W74" t="e">
        <f>MATCH(K74&amp;$W$2,Taostats_CSV!$X$3:$X$1167,0)</f>
        <v>#N/A</v>
      </c>
      <c r="X74" t="e">
        <f t="shared" ca="1" si="18"/>
        <v>#VALUE!</v>
      </c>
      <c r="Y74">
        <f t="shared" ca="1" si="19"/>
        <v>9.4310489999999997E-2</v>
      </c>
      <c r="Z74" t="e">
        <f t="shared" ca="1" si="20"/>
        <v>#VALUE!</v>
      </c>
    </row>
    <row r="75" spans="1:26" x14ac:dyDescent="0.4">
      <c r="A75" t="str">
        <f>MID(Taostats_CSV!C75,6,2)&amp;"/"&amp;MID(Taostats_CSV!C75,9,2)&amp;"/"&amp;LEFT(Taostats_CSV!C75,4)&amp;" "&amp;MID(Taostats_CSV!C75,12,8)</f>
        <v>03/01/2025 23:59:48</v>
      </c>
      <c r="C75" t="str">
        <f ca="1">IF(Q75,OFFSET(Taostats_CSV!$E$1,MATCH(K75&amp;D$1,Taostats_CSV!$X:$X,0)-1,0),IF(Taostats_CSV!F75="fee",IF(VALUE(Taostats_CSV!G75)&gt;0,Taostats_CSV!E75,""),""))</f>
        <v/>
      </c>
      <c r="D75" t="str">
        <f ca="1">IF(Q75,OFFSET(Taostats_CSV!$G$1,MATCH(K75&amp;D$1,Taostats_CSV!$X:$X,0)-1,0),IF(Taostats_CSV!F75="fee",IF(VALUE(Taostats_CSV!G75)&gt;0,Taostats_CSV!G75,""),""))</f>
        <v/>
      </c>
      <c r="E75" t="str">
        <f ca="1">IF(AND(Q75,P75&gt;0),OFFSET(Taostats_CSV!$E$1,MATCH(K75&amp;F$1,Taostats_CSV!$X:$X,0)-1,0),IF(LEN(F75)&gt;0,Taostats_CSV!E75,""))</f>
        <v>TAO</v>
      </c>
      <c r="F75" t="str">
        <f ca="1">TRIM(IF(AND(Q75,P75&gt;0),OFFSET(Taostats_CSV!$H$1,MATCH(K75&amp;F$1,Taostats_CSV!$X:$X,0)-1,0),IF(LEN(Taostats_CSV!H75)&gt;0,Taostats_CSV!H75,Taostats_CSV!R75)))</f>
        <v>0.101545834</v>
      </c>
      <c r="G75" t="str">
        <f ca="1">IF(AND(Q75,N75=1),OFFSET(Taostats_CSV!$E$1,MATCH(K75&amp;H$1,Taostats_CSV!$X:$X,0)-1,0),"")</f>
        <v/>
      </c>
      <c r="H75" t="str">
        <f ca="1">IF(AND(Q75,N75=1),OFFSET(Taostats_CSV!$G$1,MATCH(K75&amp;H$1,Taostats_CSV!$X:$X,0)-1,0),"")</f>
        <v/>
      </c>
      <c r="I75" t="str">
        <f ca="1">IF(AND(LEN(K75)=0,LEN(F75)&gt;0),"Income",IF(AND(O75&gt;0,P75&gt;0,C75&lt;&gt;E75),"Trade",IF(AND(NOT(Q75),Taostats_CSV!F75="fee"),'READ ME'!$C$5,"")))</f>
        <v>Income</v>
      </c>
      <c r="J75" t="str">
        <f ca="1">SUBSTITUTE(IF(LEN(I75)=0,Taostats_CSV!F75&amp;" "&amp;Taostats_CSV!J75,IF(I75="Cost","Extrinsic fee","")),"_"," ")</f>
        <v/>
      </c>
      <c r="K75" t="str">
        <f>TRIM(IF(LEN(Taostats_CSV!I75)&gt;0,Taostats_CSV!I75,""))</f>
        <v/>
      </c>
      <c r="L75" t="str">
        <f>IF(Taostats_CSV!E75&lt;&gt;"TAO",IF(LEN(F75)&gt;0,F75,IF(LEN(D75)&gt;0,D75,0))*Taostats_CSV!P75,"")</f>
        <v/>
      </c>
      <c r="M75" t="str">
        <f t="shared" si="21"/>
        <v/>
      </c>
      <c r="N75">
        <f>COUNTIF(Taostats_CSV!$X:$X,Taostats_CSV!$I75&amp;N$1)</f>
        <v>0</v>
      </c>
      <c r="O75">
        <f>COUNTIF(Taostats_CSV!$X:$X,Taostats_CSV!$I75&amp;O$1)</f>
        <v>0</v>
      </c>
      <c r="P75">
        <f>COUNTIF(Taostats_CSV!$X:$X,Taostats_CSV!$I75&amp;P$1)</f>
        <v>0</v>
      </c>
      <c r="Q75" t="b">
        <f t="shared" si="22"/>
        <v>0</v>
      </c>
      <c r="R75" t="b">
        <f>IF(LEN(K75)&gt;0,COUNTIF($K$3:K75,K75),FALSE)</f>
        <v>0</v>
      </c>
      <c r="S75" t="b">
        <f>IF(Taostats_CSV!A75=Taostats_CSV!$A$2,TRUE,Taostats_CSV!G75+Taostats_CSV!H75+Taostats_CSV!R75=0)</f>
        <v>0</v>
      </c>
      <c r="T75" t="b">
        <f t="shared" si="23"/>
        <v>1</v>
      </c>
      <c r="U75" t="b" cm="1">
        <f t="array" aca="1" ref="U75" ca="1">AND(T75,OR(O75-N75&gt;1,P75&gt;1,ISERROR(A75:P75)))</f>
        <v>0</v>
      </c>
      <c r="W75" t="e">
        <f>MATCH(K75&amp;$W$2,Taostats_CSV!$X$3:$X$1167,0)</f>
        <v>#N/A</v>
      </c>
      <c r="X75" t="e">
        <f t="shared" ca="1" si="18"/>
        <v>#VALUE!</v>
      </c>
      <c r="Y75">
        <f t="shared" ca="1" si="19"/>
        <v>0.101545834</v>
      </c>
      <c r="Z75" t="e">
        <f t="shared" ca="1" si="20"/>
        <v>#VALUE!</v>
      </c>
    </row>
    <row r="76" spans="1:26" x14ac:dyDescent="0.4">
      <c r="A76" t="str">
        <f>MID(Taostats_CSV!C76,6,2)&amp;"/"&amp;MID(Taostats_CSV!C76,9,2)&amp;"/"&amp;LEFT(Taostats_CSV!C76,4)&amp;" "&amp;MID(Taostats_CSV!C76,12,8)</f>
        <v>03/02/2025 23:59:48</v>
      </c>
      <c r="C76" t="str">
        <f ca="1">IF(Q76,OFFSET(Taostats_CSV!$E$1,MATCH(K76&amp;D$1,Taostats_CSV!$X:$X,0)-1,0),IF(Taostats_CSV!F76="fee",IF(VALUE(Taostats_CSV!G76)&gt;0,Taostats_CSV!E76,""),""))</f>
        <v/>
      </c>
      <c r="D76" t="str">
        <f ca="1">IF(Q76,OFFSET(Taostats_CSV!$G$1,MATCH(K76&amp;D$1,Taostats_CSV!$X:$X,0)-1,0),IF(Taostats_CSV!F76="fee",IF(VALUE(Taostats_CSV!G76)&gt;0,Taostats_CSV!G76,""),""))</f>
        <v/>
      </c>
      <c r="E76" t="str">
        <f ca="1">IF(AND(Q76,P76&gt;0),OFFSET(Taostats_CSV!$E$1,MATCH(K76&amp;F$1,Taostats_CSV!$X:$X,0)-1,0),IF(LEN(F76)&gt;0,Taostats_CSV!E76,""))</f>
        <v>TAO</v>
      </c>
      <c r="F76" t="str">
        <f ca="1">TRIM(IF(AND(Q76,P76&gt;0),OFFSET(Taostats_CSV!$H$1,MATCH(K76&amp;F$1,Taostats_CSV!$X:$X,0)-1,0),IF(LEN(Taostats_CSV!H76)&gt;0,Taostats_CSV!H76,Taostats_CSV!R76)))</f>
        <v>0.100197688</v>
      </c>
      <c r="G76" t="str">
        <f ca="1">IF(AND(Q76,N76=1),OFFSET(Taostats_CSV!$E$1,MATCH(K76&amp;H$1,Taostats_CSV!$X:$X,0)-1,0),"")</f>
        <v/>
      </c>
      <c r="H76" t="str">
        <f ca="1">IF(AND(Q76,N76=1),OFFSET(Taostats_CSV!$G$1,MATCH(K76&amp;H$1,Taostats_CSV!$X:$X,0)-1,0),"")</f>
        <v/>
      </c>
      <c r="I76" t="str">
        <f ca="1">IF(AND(LEN(K76)=0,LEN(F76)&gt;0),"Income",IF(AND(O76&gt;0,P76&gt;0,C76&lt;&gt;E76),"Trade",IF(AND(NOT(Q76),Taostats_CSV!F76="fee"),'READ ME'!$C$5,"")))</f>
        <v>Income</v>
      </c>
      <c r="J76" t="str">
        <f ca="1">SUBSTITUTE(IF(LEN(I76)=0,Taostats_CSV!F76&amp;" "&amp;Taostats_CSV!J76,IF(I76="Cost","Extrinsic fee","")),"_"," ")</f>
        <v/>
      </c>
      <c r="K76" t="str">
        <f>TRIM(IF(LEN(Taostats_CSV!I76)&gt;0,Taostats_CSV!I76,""))</f>
        <v/>
      </c>
      <c r="L76" t="str">
        <f>IF(Taostats_CSV!E76&lt;&gt;"TAO",IF(LEN(F76)&gt;0,F76,IF(LEN(D76)&gt;0,D76,0))*Taostats_CSV!P76,"")</f>
        <v/>
      </c>
      <c r="M76" t="str">
        <f t="shared" si="21"/>
        <v/>
      </c>
      <c r="N76">
        <f>COUNTIF(Taostats_CSV!$X:$X,Taostats_CSV!$I76&amp;N$1)</f>
        <v>0</v>
      </c>
      <c r="O76">
        <f>COUNTIF(Taostats_CSV!$X:$X,Taostats_CSV!$I76&amp;O$1)</f>
        <v>0</v>
      </c>
      <c r="P76">
        <f>COUNTIF(Taostats_CSV!$X:$X,Taostats_CSV!$I76&amp;P$1)</f>
        <v>0</v>
      </c>
      <c r="Q76" t="b">
        <f t="shared" si="22"/>
        <v>0</v>
      </c>
      <c r="R76" t="b">
        <f>IF(LEN(K76)&gt;0,COUNTIF($K$3:K76,K76),FALSE)</f>
        <v>0</v>
      </c>
      <c r="S76" t="b">
        <f>IF(Taostats_CSV!A76=Taostats_CSV!$A$2,TRUE,Taostats_CSV!G76+Taostats_CSV!H76+Taostats_CSV!R76=0)</f>
        <v>0</v>
      </c>
      <c r="T76" t="b">
        <f t="shared" si="23"/>
        <v>1</v>
      </c>
      <c r="U76" t="b" cm="1">
        <f t="array" aca="1" ref="U76" ca="1">AND(T76,OR(O76-N76&gt;1,P76&gt;1,ISERROR(A76:P76)))</f>
        <v>0</v>
      </c>
      <c r="W76" t="e">
        <f>MATCH(K76&amp;$W$2,Taostats_CSV!$X$3:$X$1167,0)</f>
        <v>#N/A</v>
      </c>
      <c r="X76" t="e">
        <f t="shared" ca="1" si="18"/>
        <v>#VALUE!</v>
      </c>
      <c r="Y76">
        <f t="shared" ca="1" si="19"/>
        <v>0.10019768799999999</v>
      </c>
      <c r="Z76" t="e">
        <f t="shared" ca="1" si="20"/>
        <v>#VALUE!</v>
      </c>
    </row>
    <row r="77" spans="1:26" x14ac:dyDescent="0.4">
      <c r="A77" t="str">
        <f>MID(Taostats_CSV!C77,6,2)&amp;"/"&amp;MID(Taostats_CSV!C77,9,2)&amp;"/"&amp;LEFT(Taostats_CSV!C77,4)&amp;" "&amp;MID(Taostats_CSV!C77,12,8)</f>
        <v>03/03/2025 23:59:48</v>
      </c>
      <c r="C77" t="str">
        <f ca="1">IF(Q77,OFFSET(Taostats_CSV!$E$1,MATCH(K77&amp;D$1,Taostats_CSV!$X:$X,0)-1,0),IF(Taostats_CSV!F77="fee",IF(VALUE(Taostats_CSV!G77)&gt;0,Taostats_CSV!E77,""),""))</f>
        <v/>
      </c>
      <c r="D77" t="str">
        <f ca="1">IF(Q77,OFFSET(Taostats_CSV!$G$1,MATCH(K77&amp;D$1,Taostats_CSV!$X:$X,0)-1,0),IF(Taostats_CSV!F77="fee",IF(VALUE(Taostats_CSV!G77)&gt;0,Taostats_CSV!G77,""),""))</f>
        <v/>
      </c>
      <c r="E77" t="str">
        <f ca="1">IF(AND(Q77,P77&gt;0),OFFSET(Taostats_CSV!$E$1,MATCH(K77&amp;F$1,Taostats_CSV!$X:$X,0)-1,0),IF(LEN(F77)&gt;0,Taostats_CSV!E77,""))</f>
        <v>TAO</v>
      </c>
      <c r="F77" t="str">
        <f ca="1">TRIM(IF(AND(Q77,P77&gt;0),OFFSET(Taostats_CSV!$H$1,MATCH(K77&amp;F$1,Taostats_CSV!$X:$X,0)-1,0),IF(LEN(Taostats_CSV!H77)&gt;0,Taostats_CSV!H77,Taostats_CSV!R77)))</f>
        <v>0.107518346</v>
      </c>
      <c r="G77" t="str">
        <f ca="1">IF(AND(Q77,N77=1),OFFSET(Taostats_CSV!$E$1,MATCH(K77&amp;H$1,Taostats_CSV!$X:$X,0)-1,0),"")</f>
        <v/>
      </c>
      <c r="H77" t="str">
        <f ca="1">IF(AND(Q77,N77=1),OFFSET(Taostats_CSV!$G$1,MATCH(K77&amp;H$1,Taostats_CSV!$X:$X,0)-1,0),"")</f>
        <v/>
      </c>
      <c r="I77" t="str">
        <f ca="1">IF(AND(LEN(K77)=0,LEN(F77)&gt;0),"Income",IF(AND(O77&gt;0,P77&gt;0,C77&lt;&gt;E77),"Trade",IF(AND(NOT(Q77),Taostats_CSV!F77="fee"),'READ ME'!$C$5,"")))</f>
        <v>Income</v>
      </c>
      <c r="J77" t="str">
        <f ca="1">SUBSTITUTE(IF(LEN(I77)=0,Taostats_CSV!F77&amp;" "&amp;Taostats_CSV!J77,IF(I77="Cost","Extrinsic fee","")),"_"," ")</f>
        <v/>
      </c>
      <c r="K77" t="str">
        <f>TRIM(IF(LEN(Taostats_CSV!I77)&gt;0,Taostats_CSV!I77,""))</f>
        <v/>
      </c>
      <c r="L77" t="str">
        <f>IF(Taostats_CSV!E77&lt;&gt;"TAO",IF(LEN(F77)&gt;0,F77,IF(LEN(D77)&gt;0,D77,0))*Taostats_CSV!P77,"")</f>
        <v/>
      </c>
      <c r="M77" t="str">
        <f t="shared" si="21"/>
        <v/>
      </c>
      <c r="N77">
        <f>COUNTIF(Taostats_CSV!$X:$X,Taostats_CSV!$I77&amp;N$1)</f>
        <v>0</v>
      </c>
      <c r="O77">
        <f>COUNTIF(Taostats_CSV!$X:$X,Taostats_CSV!$I77&amp;O$1)</f>
        <v>0</v>
      </c>
      <c r="P77">
        <f>COUNTIF(Taostats_CSV!$X:$X,Taostats_CSV!$I77&amp;P$1)</f>
        <v>0</v>
      </c>
      <c r="Q77" t="b">
        <f t="shared" si="22"/>
        <v>0</v>
      </c>
      <c r="R77" t="b">
        <f>IF(LEN(K77)&gt;0,COUNTIF($K$3:K77,K77),FALSE)</f>
        <v>0</v>
      </c>
      <c r="S77" t="b">
        <f>IF(Taostats_CSV!A77=Taostats_CSV!$A$2,TRUE,Taostats_CSV!G77+Taostats_CSV!H77+Taostats_CSV!R77=0)</f>
        <v>0</v>
      </c>
      <c r="T77" t="b">
        <f t="shared" si="23"/>
        <v>1</v>
      </c>
      <c r="U77" t="b" cm="1">
        <f t="array" aca="1" ref="U77" ca="1">AND(T77,OR(O77-N77&gt;1,P77&gt;1,ISERROR(A77:P77)))</f>
        <v>0</v>
      </c>
      <c r="W77" t="e">
        <f>MATCH(K77&amp;$W$2,Taostats_CSV!$X$3:$X$1167,0)</f>
        <v>#N/A</v>
      </c>
      <c r="X77" t="e">
        <f t="shared" ca="1" si="18"/>
        <v>#VALUE!</v>
      </c>
      <c r="Y77">
        <f t="shared" ca="1" si="19"/>
        <v>0.107518346</v>
      </c>
      <c r="Z77" t="e">
        <f t="shared" ca="1" si="20"/>
        <v>#VALUE!</v>
      </c>
    </row>
    <row r="78" spans="1:26" x14ac:dyDescent="0.4">
      <c r="A78" t="str">
        <f>MID(Taostats_CSV!C78,6,2)&amp;"/"&amp;MID(Taostats_CSV!C78,9,2)&amp;"/"&amp;LEFT(Taostats_CSV!C78,4)&amp;" "&amp;MID(Taostats_CSV!C78,12,8)</f>
        <v>03/04/2025 16:46:36</v>
      </c>
      <c r="C78" t="str">
        <f ca="1">IF(Q78,OFFSET(Taostats_CSV!$E$1,MATCH(K78&amp;D$1,Taostats_CSV!$X:$X,0)-1,0),IF(Taostats_CSV!F78="fee",IF(VALUE(Taostats_CSV!G78)&gt;0,Taostats_CSV!E78,""),""))</f>
        <v>TAO</v>
      </c>
      <c r="D78">
        <f ca="1">IF(Q78,OFFSET(Taostats_CSV!$G$1,MATCH(K78&amp;D$1,Taostats_CSV!$X:$X,0)-1,0),IF(Taostats_CSV!F78="fee",IF(VALUE(Taostats_CSV!G78)&gt;0,Taostats_CSV!G78,""),""))</f>
        <v>5.0000000000000002E-5</v>
      </c>
      <c r="E78" t="str">
        <f ca="1">IF(AND(Q78,P78&gt;0),OFFSET(Taostats_CSV!$E$1,MATCH(K78&amp;F$1,Taostats_CSV!$X:$X,0)-1,0),IF(LEN(F78)&gt;0,Taostats_CSV!E78,""))</f>
        <v/>
      </c>
      <c r="F78" t="str">
        <f ca="1">TRIM(IF(AND(Q78,P78&gt;0),OFFSET(Taostats_CSV!$H$1,MATCH(K78&amp;F$1,Taostats_CSV!$X:$X,0)-1,0),IF(LEN(Taostats_CSV!H78)&gt;0,Taostats_CSV!H78,Taostats_CSV!R78)))</f>
        <v/>
      </c>
      <c r="G78" t="str">
        <f ca="1">IF(AND(Q78,N78=1),OFFSET(Taostats_CSV!$E$1,MATCH(K78&amp;H$1,Taostats_CSV!$X:$X,0)-1,0),"")</f>
        <v/>
      </c>
      <c r="H78" t="str">
        <f ca="1">IF(AND(Q78,N78=1),OFFSET(Taostats_CSV!$G$1,MATCH(K78&amp;H$1,Taostats_CSV!$X:$X,0)-1,0),"")</f>
        <v/>
      </c>
      <c r="I78" t="str">
        <f ca="1">IF(AND(LEN(K78)=0,LEN(F78)&gt;0),"Income",IF(AND(O78&gt;0,P78&gt;0,C78&lt;&gt;E78),"Trade",IF(AND(NOT(Q78),Taostats_CSV!F78="fee"),'READ ME'!$C$5,"")))</f>
        <v>Merchant Payment</v>
      </c>
      <c r="J78" t="str">
        <f ca="1">SUBSTITUTE(IF(LEN(I78)=0,Taostats_CSV!F78&amp;" "&amp;Taostats_CSV!J78,IF(I78="Cost","Extrinsic fee","")),"_"," ")</f>
        <v/>
      </c>
      <c r="K78" t="str">
        <f>TRIM(IF(LEN(Taostats_CSV!I78)&gt;0,Taostats_CSV!I78,""))</f>
        <v>5055665-0003</v>
      </c>
      <c r="L78" t="str">
        <f>IF(Taostats_CSV!E78&lt;&gt;"TAO",IF(LEN(F78)&gt;0,F78,IF(LEN(D78)&gt;0,D78,0))*Taostats_CSV!P78,"")</f>
        <v/>
      </c>
      <c r="M78" t="str">
        <f t="shared" si="21"/>
        <v/>
      </c>
      <c r="N78">
        <f>COUNTIF(Taostats_CSV!$X:$X,Taostats_CSV!$I78&amp;N$1)</f>
        <v>1</v>
      </c>
      <c r="O78">
        <f>COUNTIF(Taostats_CSV!$X:$X,Taostats_CSV!$I78&amp;O$1)</f>
        <v>0</v>
      </c>
      <c r="P78">
        <f>COUNTIF(Taostats_CSV!$X:$X,Taostats_CSV!$I78&amp;P$1)</f>
        <v>0</v>
      </c>
      <c r="Q78" t="b">
        <f t="shared" si="22"/>
        <v>0</v>
      </c>
      <c r="R78">
        <f>IF(LEN(K78)&gt;0,COUNTIF($K$3:K78,K78),FALSE)</f>
        <v>1</v>
      </c>
      <c r="S78" t="b">
        <f>IF(Taostats_CSV!A78=Taostats_CSV!$A$2,TRUE,Taostats_CSV!G78+Taostats_CSV!H78+Taostats_CSV!R78=0)</f>
        <v>0</v>
      </c>
      <c r="T78" t="b">
        <f t="shared" si="23"/>
        <v>1</v>
      </c>
      <c r="U78" t="b" cm="1">
        <f t="array" aca="1" ref="U78" ca="1">AND(T78,OR(O78-N78&gt;1,P78&gt;1,ISERROR(A78:P78)))</f>
        <v>0</v>
      </c>
      <c r="W78">
        <f>MATCH(K78&amp;$W$2,Taostats_CSV!$X$3:$X$1167,0)</f>
        <v>76</v>
      </c>
      <c r="X78">
        <f t="shared" ca="1" si="18"/>
        <v>5.0000000000000002E-5</v>
      </c>
      <c r="Y78" t="e">
        <f t="shared" ca="1" si="19"/>
        <v>#VALUE!</v>
      </c>
      <c r="Z78" t="e">
        <f t="shared" ca="1" si="20"/>
        <v>#VALUE!</v>
      </c>
    </row>
    <row r="79" spans="1:26" x14ac:dyDescent="0.4">
      <c r="A79" t="str">
        <f>MID(Taostats_CSV!C79,6,2)&amp;"/"&amp;MID(Taostats_CSV!C79,9,2)&amp;"/"&amp;LEFT(Taostats_CSV!C79,4)&amp;" "&amp;MID(Taostats_CSV!C79,12,8)</f>
        <v>03/04/2025 16:47:36</v>
      </c>
      <c r="C79" t="str">
        <f ca="1">IF(Q79,OFFSET(Taostats_CSV!$E$1,MATCH(K79&amp;D$1,Taostats_CSV!$X:$X,0)-1,0),IF(Taostats_CSV!F79="fee",IF(VALUE(Taostats_CSV!G79)&gt;0,Taostats_CSV!E79,""),""))</f>
        <v>TAO</v>
      </c>
      <c r="D79">
        <f ca="1">IF(Q79,OFFSET(Taostats_CSV!$G$1,MATCH(K79&amp;D$1,Taostats_CSV!$X:$X,0)-1,0),IF(Taostats_CSV!F79="fee",IF(VALUE(Taostats_CSV!G79)&gt;0,Taostats_CSV!G79,""),""))</f>
        <v>50</v>
      </c>
      <c r="E79" t="str">
        <f ca="1">IF(AND(Q79,P79&gt;0),OFFSET(Taostats_CSV!$E$1,MATCH(K79&amp;F$1,Taostats_CSV!$X:$X,0)-1,0),IF(LEN(F79)&gt;0,Taostats_CSV!E79,""))</f>
        <v/>
      </c>
      <c r="F79" t="str">
        <f ca="1">TRIM(IF(AND(Q79,P79&gt;0),OFFSET(Taostats_CSV!$H$1,MATCH(K79&amp;F$1,Taostats_CSV!$X:$X,0)-1,0),IF(LEN(Taostats_CSV!H79)&gt;0,Taostats_CSV!H79,Taostats_CSV!R79)))</f>
        <v/>
      </c>
      <c r="G79" t="str">
        <f ca="1">IF(AND(Q79,N79=1),OFFSET(Taostats_CSV!$E$1,MATCH(K79&amp;H$1,Taostats_CSV!$X:$X,0)-1,0),"")</f>
        <v>TAO</v>
      </c>
      <c r="H79">
        <f ca="1">IF(AND(Q79,N79=1),OFFSET(Taostats_CSV!$G$1,MATCH(K79&amp;H$1,Taostats_CSV!$X:$X,0)-1,0),"")</f>
        <v>1.35263E-4</v>
      </c>
      <c r="I79" t="str">
        <f ca="1">IF(AND(LEN(K79)=0,LEN(F79)&gt;0),"Income",IF(AND(O79&gt;0,P79&gt;0,C79&lt;&gt;E79),"Trade",IF(AND(NOT(Q79),Taostats_CSV!F79="fee"),'READ ME'!$C$5,"")))</f>
        <v/>
      </c>
      <c r="J79" t="str">
        <f ca="1">SUBSTITUTE(IF(LEN(I79)=0,Taostats_CSV!F79&amp;" "&amp;Taostats_CSV!J79,IF(I79="Cost","Extrinsic fee","")),"_"," ")</f>
        <v>fee Balances.transfer keep alive</v>
      </c>
      <c r="K79" t="str">
        <f>TRIM(IF(LEN(Taostats_CSV!I79)&gt;0,Taostats_CSV!I79,""))</f>
        <v>5055670-0007</v>
      </c>
      <c r="L79" t="str">
        <f>IF(Taostats_CSV!E79&lt;&gt;"TAO",IF(LEN(F79)&gt;0,F79,IF(LEN(D79)&gt;0,D79,0))*Taostats_CSV!P79,"")</f>
        <v/>
      </c>
      <c r="M79" t="str">
        <f t="shared" si="21"/>
        <v/>
      </c>
      <c r="N79">
        <f>COUNTIF(Taostats_CSV!$X:$X,Taostats_CSV!$I79&amp;N$1)</f>
        <v>1</v>
      </c>
      <c r="O79">
        <f>COUNTIF(Taostats_CSV!$X:$X,Taostats_CSV!$I79&amp;O$1)</f>
        <v>1</v>
      </c>
      <c r="P79">
        <f>COUNTIF(Taostats_CSV!$X:$X,Taostats_CSV!$I79&amp;P$1)</f>
        <v>0</v>
      </c>
      <c r="Q79" t="b">
        <f t="shared" si="22"/>
        <v>1</v>
      </c>
      <c r="R79">
        <f>IF(LEN(K79)&gt;0,COUNTIF($K$3:K79,K79),FALSE)</f>
        <v>1</v>
      </c>
      <c r="S79" t="b">
        <f>IF(Taostats_CSV!A79=Taostats_CSV!$A$2,TRUE,Taostats_CSV!G79+Taostats_CSV!H79+Taostats_CSV!R79=0)</f>
        <v>0</v>
      </c>
      <c r="T79" t="b">
        <f t="shared" si="23"/>
        <v>1</v>
      </c>
      <c r="U79" t="b" cm="1">
        <f t="array" aca="1" ref="U79" ca="1">AND(T79,OR(O79-N79&gt;1,P79&gt;1,ISERROR(A79:P79)))</f>
        <v>0</v>
      </c>
      <c r="W79">
        <f>MATCH(K79&amp;$W$2,Taostats_CSV!$X$3:$X$1167,0)</f>
        <v>77</v>
      </c>
      <c r="X79">
        <f t="shared" ca="1" si="18"/>
        <v>50</v>
      </c>
      <c r="Y79" t="e">
        <f t="shared" ca="1" si="19"/>
        <v>#VALUE!</v>
      </c>
      <c r="Z79">
        <f t="shared" ca="1" si="20"/>
        <v>1.35263E-4</v>
      </c>
    </row>
    <row r="80" spans="1:26" hidden="1" x14ac:dyDescent="0.4">
      <c r="A80" t="str">
        <f>MID(Taostats_CSV!C80,6,2)&amp;"/"&amp;MID(Taostats_CSV!C80,9,2)&amp;"/"&amp;LEFT(Taostats_CSV!C80,4)&amp;" "&amp;MID(Taostats_CSV!C80,12,8)</f>
        <v>03/04/2025 16:47:36</v>
      </c>
      <c r="C80" t="str">
        <f ca="1">IF(Q80,OFFSET(Taostats_CSV!$E$1,MATCH(K80&amp;D$1,Taostats_CSV!$X:$X,0)-1,0),IF(Taostats_CSV!F80="fee","",IF(VALUE(Taostats_CSV!G80)&gt;0,Taostats_CSV!E80,"")))</f>
        <v>TAO</v>
      </c>
      <c r="D80">
        <f ca="1">IF(Q80,OFFSET(Taostats_CSV!$G$1,MATCH(K80&amp;D$1,Taostats_CSV!$X:$X,0)-1,0),IF(Taostats_CSV!F80="fee","",IF(VALUE(Taostats_CSV!G80)&gt;0,Taostats_CSV!G80,"")))</f>
        <v>50</v>
      </c>
      <c r="E80" t="str">
        <f ca="1">IF(AND(Q80,P80&gt;0),OFFSET(Taostats_CSV!$E$1,MATCH(K80&amp;F$1,Taostats_CSV!$X:$X,0)-1,0),IF(LEN(F80)&gt;0,Taostats_CSV!E80,""))</f>
        <v/>
      </c>
      <c r="F80" t="str">
        <f ca="1">TRIM(IF(AND(Q80,P80&gt;0),OFFSET(Taostats_CSV!$H$1,MATCH(K80&amp;F$1,Taostats_CSV!$X:$X,0)-1,0),IF(LEN(Taostats_CSV!H80)&gt;0,Taostats_CSV!H80,Taostats_CSV!R80)))</f>
        <v/>
      </c>
      <c r="G80" t="str">
        <f ca="1">IF(AND(Q80,N80=1),OFFSET(Taostats_CSV!$E$1,MATCH(K80&amp;H$1,Taostats_CSV!$X:$X,0)-1,0),IF(Taostats_CSV!F80="fee",Taostats_CSV!E80,""))</f>
        <v>TAO</v>
      </c>
      <c r="H80">
        <f ca="1">IF(AND(Q80,N80=1),OFFSET(Taostats_CSV!$G$1,MATCH(K80&amp;H$1,Taostats_CSV!$X:$X,0)-1,0),IF(Taostats_CSV!F80="fee",Taostats_CSV!G80,""))</f>
        <v>1.35263E-4</v>
      </c>
      <c r="I80" t="str">
        <f ca="1">IF(AND(LEN(K80)=0,LEN(F80)&gt;0),"Income",IF(AND(O80&gt;0,P80&gt;0,C80&lt;&gt;E80),"Trade",IF(AND(NOT(Q80),Taostats_CSV!F80="fee"),'READ ME'!$C$5,"")))</f>
        <v/>
      </c>
      <c r="J80" t="str">
        <f ca="1">SUBSTITUTE(IF(LEN(I80)=0,Taostats_CSV!F80&amp;" "&amp;Taostats_CSV!J80,IF(I80="Cost","Extrinsic fee","")),"_"," ")</f>
        <v>transfer out 5HbnKZMzGk3GT3mpWZgKuQHq3CC8LeW2tbNq1FkBLQhzUX6L</v>
      </c>
      <c r="K80" t="str">
        <f>TRIM(IF(LEN(Taostats_CSV!I80)&gt;0,Taostats_CSV!I80,""))</f>
        <v>5055670-0007</v>
      </c>
      <c r="L80" t="str">
        <f>IF(Taostats_CSV!E80&lt;&gt;"TAO",IF(LEN(F80)&gt;0,F80,IF(LEN(D80)&gt;0,D80,0))*Taostats_CSV!P80,"")</f>
        <v/>
      </c>
      <c r="M80" t="str">
        <f t="shared" si="21"/>
        <v/>
      </c>
      <c r="N80">
        <f>COUNTIF(Taostats_CSV!$X:$X,Taostats_CSV!$I80&amp;N$1)</f>
        <v>1</v>
      </c>
      <c r="O80">
        <f>COUNTIF(Taostats_CSV!$X:$X,Taostats_CSV!$I80&amp;O$1)</f>
        <v>1</v>
      </c>
      <c r="P80">
        <f>COUNTIF(Taostats_CSV!$X:$X,Taostats_CSV!$I80&amp;P$1)</f>
        <v>0</v>
      </c>
      <c r="Q80" t="b">
        <f t="shared" si="22"/>
        <v>1</v>
      </c>
      <c r="R80">
        <f>IF(LEN(K80)&gt;0,COUNTIF($K$3:K80,K80),FALSE)</f>
        <v>2</v>
      </c>
      <c r="S80" t="b">
        <f>IF(Taostats_CSV!A80=Taostats_CSV!$A$2,TRUE,Taostats_CSV!G80+Taostats_CSV!H80+Taostats_CSV!R80=0)</f>
        <v>0</v>
      </c>
      <c r="T80" t="b">
        <f t="shared" si="23"/>
        <v>0</v>
      </c>
      <c r="U80" t="b" cm="1">
        <f t="array" aca="1" ref="U80" ca="1">AND(T80,OR(O80-N80&gt;1,P80&gt;1,ISERROR(A80:P80)))</f>
        <v>0</v>
      </c>
      <c r="W80">
        <f>MATCH(K80&amp;$W$2,Taostats_CSV!$X$3:$X$1167,0)</f>
        <v>77</v>
      </c>
      <c r="X80">
        <f t="shared" ca="1" si="18"/>
        <v>50</v>
      </c>
      <c r="Y80" t="e">
        <f t="shared" ca="1" si="19"/>
        <v>#VALUE!</v>
      </c>
      <c r="Z80">
        <f t="shared" ca="1" si="20"/>
        <v>1.35263E-4</v>
      </c>
    </row>
    <row r="81" spans="1:26" x14ac:dyDescent="0.4">
      <c r="A81" t="str">
        <f>MID(Taostats_CSV!C81,6,2)&amp;"/"&amp;MID(Taostats_CSV!C81,9,2)&amp;"/"&amp;LEFT(Taostats_CSV!C81,4)&amp;" "&amp;MID(Taostats_CSV!C81,12,8)</f>
        <v>03/04/2025 16:57:12</v>
      </c>
      <c r="C81" t="str">
        <f ca="1">IF(Q81,OFFSET(Taostats_CSV!$E$1,MATCH(K81&amp;D$1,Taostats_CSV!$X:$X,0)-1,0),IF(Taostats_CSV!F81="fee",IF(VALUE(Taostats_CSV!G81)&gt;0,Taostats_CSV!E81,""),""))</f>
        <v>TAO</v>
      </c>
      <c r="D81">
        <f ca="1">IF(Q81,OFFSET(Taostats_CSV!$G$1,MATCH(K81&amp;D$1,Taostats_CSV!$X:$X,0)-1,0),IF(Taostats_CSV!F81="fee",IF(VALUE(Taostats_CSV!G81)&gt;0,Taostats_CSV!G81,""),""))</f>
        <v>50</v>
      </c>
      <c r="E81" t="str">
        <f ca="1">IF(AND(Q81,P81&gt;0),OFFSET(Taostats_CSV!$E$1,MATCH(K81&amp;F$1,Taostats_CSV!$X:$X,0)-1,0),IF(LEN(F81)&gt;0,Taostats_CSV!E81,""))</f>
        <v/>
      </c>
      <c r="F81" t="str">
        <f ca="1">TRIM(IF(AND(Q81,P81&gt;0),OFFSET(Taostats_CSV!$H$1,MATCH(K81&amp;F$1,Taostats_CSV!$X:$X,0)-1,0),IF(LEN(Taostats_CSV!H81)&gt;0,Taostats_CSV!H81,Taostats_CSV!R81)))</f>
        <v/>
      </c>
      <c r="G81" t="str">
        <f ca="1">IF(AND(Q81,N81=1),OFFSET(Taostats_CSV!$E$1,MATCH(K81&amp;H$1,Taostats_CSV!$X:$X,0)-1,0),"")</f>
        <v>TAO</v>
      </c>
      <c r="H81">
        <f ca="1">IF(AND(Q81,N81=1),OFFSET(Taostats_CSV!$G$1,MATCH(K81&amp;H$1,Taostats_CSV!$X:$X,0)-1,0),"")</f>
        <v>1.35263E-4</v>
      </c>
      <c r="I81" t="str">
        <f ca="1">IF(AND(LEN(K81)=0,LEN(F81)&gt;0),"Income",IF(AND(O81&gt;0,P81&gt;0,C81&lt;&gt;E81),"Trade",IF(AND(NOT(Q81),Taostats_CSV!F81="fee"),'READ ME'!$C$5,"")))</f>
        <v/>
      </c>
      <c r="J81" t="str">
        <f ca="1">SUBSTITUTE(IF(LEN(I81)=0,Taostats_CSV!F81&amp;" "&amp;Taostats_CSV!J81,IF(I81="Cost","Extrinsic fee","")),"_"," ")</f>
        <v>fee Balances.transfer keep alive</v>
      </c>
      <c r="K81" t="str">
        <f>TRIM(IF(LEN(Taostats_CSV!I81)&gt;0,Taostats_CSV!I81,""))</f>
        <v>5055718-0007</v>
      </c>
      <c r="L81" t="str">
        <f>IF(Taostats_CSV!E81&lt;&gt;"TAO",IF(LEN(F81)&gt;0,F81,IF(LEN(D81)&gt;0,D81,0))*Taostats_CSV!P81,"")</f>
        <v/>
      </c>
      <c r="M81" t="str">
        <f t="shared" si="21"/>
        <v/>
      </c>
      <c r="N81">
        <f>COUNTIF(Taostats_CSV!$X:$X,Taostats_CSV!$I81&amp;N$1)</f>
        <v>1</v>
      </c>
      <c r="O81">
        <f>COUNTIF(Taostats_CSV!$X:$X,Taostats_CSV!$I81&amp;O$1)</f>
        <v>1</v>
      </c>
      <c r="P81">
        <f>COUNTIF(Taostats_CSV!$X:$X,Taostats_CSV!$I81&amp;P$1)</f>
        <v>0</v>
      </c>
      <c r="Q81" t="b">
        <f t="shared" si="22"/>
        <v>1</v>
      </c>
      <c r="R81">
        <f>IF(LEN(K81)&gt;0,COUNTIF($K$3:K81,K81),FALSE)</f>
        <v>1</v>
      </c>
      <c r="S81" t="b">
        <f>IF(Taostats_CSV!A81=Taostats_CSV!$A$2,TRUE,Taostats_CSV!G81+Taostats_CSV!H81+Taostats_CSV!R81=0)</f>
        <v>0</v>
      </c>
      <c r="T81" t="b">
        <f t="shared" si="23"/>
        <v>1</v>
      </c>
      <c r="U81" t="b" cm="1">
        <f t="array" aca="1" ref="U81" ca="1">AND(T81,OR(O81-N81&gt;1,P81&gt;1,ISERROR(A81:P81)))</f>
        <v>0</v>
      </c>
      <c r="W81">
        <f>MATCH(K81&amp;$W$2,Taostats_CSV!$X$3:$X$1167,0)</f>
        <v>79</v>
      </c>
      <c r="X81">
        <f t="shared" ca="1" si="18"/>
        <v>50</v>
      </c>
      <c r="Y81" t="e">
        <f t="shared" ca="1" si="19"/>
        <v>#VALUE!</v>
      </c>
      <c r="Z81">
        <f t="shared" ca="1" si="20"/>
        <v>1.35263E-4</v>
      </c>
    </row>
    <row r="82" spans="1:26" hidden="1" x14ac:dyDescent="0.4">
      <c r="A82" t="str">
        <f>MID(Taostats_CSV!C82,6,2)&amp;"/"&amp;MID(Taostats_CSV!C82,9,2)&amp;"/"&amp;LEFT(Taostats_CSV!C82,4)&amp;" "&amp;MID(Taostats_CSV!C82,12,8)</f>
        <v>03/04/2025 16:57:12</v>
      </c>
      <c r="C82" t="str">
        <f ca="1">IF(Q82,OFFSET(Taostats_CSV!$E$1,MATCH(K82&amp;D$1,Taostats_CSV!$X:$X,0)-1,0),IF(Taostats_CSV!F82="fee","",IF(VALUE(Taostats_CSV!G82)&gt;0,Taostats_CSV!E82,"")))</f>
        <v>TAO</v>
      </c>
      <c r="D82">
        <f ca="1">IF(Q82,OFFSET(Taostats_CSV!$G$1,MATCH(K82&amp;D$1,Taostats_CSV!$X:$X,0)-1,0),IF(Taostats_CSV!F82="fee","",IF(VALUE(Taostats_CSV!G82)&gt;0,Taostats_CSV!G82,"")))</f>
        <v>50</v>
      </c>
      <c r="E82" t="str">
        <f ca="1">IF(AND(Q82,P82&gt;0),OFFSET(Taostats_CSV!$E$1,MATCH(K82&amp;F$1,Taostats_CSV!$X:$X,0)-1,0),IF(LEN(F82)&gt;0,Taostats_CSV!E82,""))</f>
        <v/>
      </c>
      <c r="F82" t="str">
        <f ca="1">TRIM(IF(AND(Q82,P82&gt;0),OFFSET(Taostats_CSV!$H$1,MATCH(K82&amp;F$1,Taostats_CSV!$X:$X,0)-1,0),IF(LEN(Taostats_CSV!H82)&gt;0,Taostats_CSV!H82,Taostats_CSV!R82)))</f>
        <v/>
      </c>
      <c r="G82" t="str">
        <f ca="1">IF(AND(Q82,N82=1),OFFSET(Taostats_CSV!$E$1,MATCH(K82&amp;H$1,Taostats_CSV!$X:$X,0)-1,0),IF(Taostats_CSV!F82="fee",Taostats_CSV!E82,""))</f>
        <v>TAO</v>
      </c>
      <c r="H82">
        <f ca="1">IF(AND(Q82,N82=1),OFFSET(Taostats_CSV!$G$1,MATCH(K82&amp;H$1,Taostats_CSV!$X:$X,0)-1,0),IF(Taostats_CSV!F82="fee",Taostats_CSV!G82,""))</f>
        <v>1.35263E-4</v>
      </c>
      <c r="I82" t="str">
        <f ca="1">IF(AND(LEN(K82)=0,LEN(F82)&gt;0),"Income",IF(AND(O82&gt;0,P82&gt;0,C82&lt;&gt;E82),"Trade",IF(AND(NOT(Q82),Taostats_CSV!F82="fee"),'READ ME'!$C$5,"")))</f>
        <v/>
      </c>
      <c r="J82" t="str">
        <f ca="1">SUBSTITUTE(IF(LEN(I82)=0,Taostats_CSV!F82&amp;" "&amp;Taostats_CSV!J82,IF(I82="Cost","Extrinsic fee","")),"_"," ")</f>
        <v>transfer out 5HbnKZMzGk3GT3mpWZgKuQHq3CC8LeW2tbNq1FkBLQhzUX6L</v>
      </c>
      <c r="K82" t="str">
        <f>TRIM(IF(LEN(Taostats_CSV!I82)&gt;0,Taostats_CSV!I82,""))</f>
        <v>5055718-0007</v>
      </c>
      <c r="L82" t="str">
        <f>IF(Taostats_CSV!E82&lt;&gt;"TAO",IF(LEN(F82)&gt;0,F82,IF(LEN(D82)&gt;0,D82,0))*Taostats_CSV!P82,"")</f>
        <v/>
      </c>
      <c r="M82" t="str">
        <f t="shared" si="21"/>
        <v/>
      </c>
      <c r="N82">
        <f>COUNTIF(Taostats_CSV!$X:$X,Taostats_CSV!$I82&amp;N$1)</f>
        <v>1</v>
      </c>
      <c r="O82">
        <f>COUNTIF(Taostats_CSV!$X:$X,Taostats_CSV!$I82&amp;O$1)</f>
        <v>1</v>
      </c>
      <c r="P82">
        <f>COUNTIF(Taostats_CSV!$X:$X,Taostats_CSV!$I82&amp;P$1)</f>
        <v>0</v>
      </c>
      <c r="Q82" t="b">
        <f t="shared" si="22"/>
        <v>1</v>
      </c>
      <c r="R82">
        <f>IF(LEN(K82)&gt;0,COUNTIF($K$3:K82,K82),FALSE)</f>
        <v>2</v>
      </c>
      <c r="S82" t="b">
        <f>IF(Taostats_CSV!A82=Taostats_CSV!$A$2,TRUE,Taostats_CSV!G82+Taostats_CSV!H82+Taostats_CSV!R82=0)</f>
        <v>0</v>
      </c>
      <c r="T82" t="b">
        <f t="shared" si="23"/>
        <v>0</v>
      </c>
      <c r="U82" t="b" cm="1">
        <f t="array" aca="1" ref="U82" ca="1">AND(T82,OR(O82-N82&gt;1,P82&gt;1,ISERROR(A82:P82)))</f>
        <v>0</v>
      </c>
      <c r="W82">
        <f>MATCH(K82&amp;$W$2,Taostats_CSV!$X$3:$X$1167,0)</f>
        <v>79</v>
      </c>
      <c r="X82">
        <f t="shared" ca="1" si="18"/>
        <v>50</v>
      </c>
      <c r="Y82" t="e">
        <f t="shared" ca="1" si="19"/>
        <v>#VALUE!</v>
      </c>
      <c r="Z82">
        <f t="shared" ca="1" si="20"/>
        <v>1.35263E-4</v>
      </c>
    </row>
    <row r="83" spans="1:26" x14ac:dyDescent="0.4">
      <c r="A83" t="str">
        <f>MID(Taostats_CSV!C83,6,2)&amp;"/"&amp;MID(Taostats_CSV!C83,9,2)&amp;"/"&amp;LEFT(Taostats_CSV!C83,4)&amp;" "&amp;MID(Taostats_CSV!C83,12,8)</f>
        <v>03/04/2025 23:59:48</v>
      </c>
      <c r="C83" t="str">
        <f ca="1">IF(Q83,OFFSET(Taostats_CSV!$E$1,MATCH(K83&amp;D$1,Taostats_CSV!$X:$X,0)-1,0),IF(Taostats_CSV!F83="fee",IF(VALUE(Taostats_CSV!G83)&gt;0,Taostats_CSV!E83,""),""))</f>
        <v/>
      </c>
      <c r="D83" t="str">
        <f ca="1">IF(Q83,OFFSET(Taostats_CSV!$G$1,MATCH(K83&amp;D$1,Taostats_CSV!$X:$X,0)-1,0),IF(Taostats_CSV!F83="fee",IF(VALUE(Taostats_CSV!G83)&gt;0,Taostats_CSV!G83,""),""))</f>
        <v/>
      </c>
      <c r="E83" t="str">
        <f ca="1">IF(AND(Q83,P83&gt;0),OFFSET(Taostats_CSV!$E$1,MATCH(K83&amp;F$1,Taostats_CSV!$X:$X,0)-1,0),IF(LEN(F83)&gt;0,Taostats_CSV!E83,""))</f>
        <v>TAO</v>
      </c>
      <c r="F83" t="str">
        <f ca="1">TRIM(IF(AND(Q83,P83&gt;0),OFFSET(Taostats_CSV!$H$1,MATCH(K83&amp;F$1,Taostats_CSV!$X:$X,0)-1,0),IF(LEN(Taostats_CSV!H83)&gt;0,Taostats_CSV!H83,Taostats_CSV!R83)))</f>
        <v>0.101763446</v>
      </c>
      <c r="G83" t="str">
        <f ca="1">IF(AND(Q83,N83=1),OFFSET(Taostats_CSV!$E$1,MATCH(K83&amp;H$1,Taostats_CSV!$X:$X,0)-1,0),"")</f>
        <v/>
      </c>
      <c r="H83" t="str">
        <f ca="1">IF(AND(Q83,N83=1),OFFSET(Taostats_CSV!$G$1,MATCH(K83&amp;H$1,Taostats_CSV!$X:$X,0)-1,0),"")</f>
        <v/>
      </c>
      <c r="I83" t="str">
        <f ca="1">IF(AND(LEN(K83)=0,LEN(F83)&gt;0),"Income",IF(AND(O83&gt;0,P83&gt;0,C83&lt;&gt;E83),"Trade",IF(AND(NOT(Q83),Taostats_CSV!F83="fee"),'READ ME'!$C$5,"")))</f>
        <v>Income</v>
      </c>
      <c r="J83" t="str">
        <f ca="1">SUBSTITUTE(IF(LEN(I83)=0,Taostats_CSV!F83&amp;" "&amp;Taostats_CSV!J83,IF(I83="Cost","Extrinsic fee","")),"_"," ")</f>
        <v/>
      </c>
      <c r="K83" t="str">
        <f>TRIM(IF(LEN(Taostats_CSV!I83)&gt;0,Taostats_CSV!I83,""))</f>
        <v/>
      </c>
      <c r="L83" t="str">
        <f>IF(Taostats_CSV!E83&lt;&gt;"TAO",IF(LEN(F83)&gt;0,F83,IF(LEN(D83)&gt;0,D83,0))*Taostats_CSV!P83,"")</f>
        <v/>
      </c>
      <c r="M83" t="str">
        <f t="shared" si="21"/>
        <v/>
      </c>
      <c r="N83">
        <f>COUNTIF(Taostats_CSV!$X:$X,Taostats_CSV!$I83&amp;N$1)</f>
        <v>0</v>
      </c>
      <c r="O83">
        <f>COUNTIF(Taostats_CSV!$X:$X,Taostats_CSV!$I83&amp;O$1)</f>
        <v>0</v>
      </c>
      <c r="P83">
        <f>COUNTIF(Taostats_CSV!$X:$X,Taostats_CSV!$I83&amp;P$1)</f>
        <v>0</v>
      </c>
      <c r="Q83" t="b">
        <f t="shared" si="22"/>
        <v>0</v>
      </c>
      <c r="R83" t="b">
        <f>IF(LEN(K83)&gt;0,COUNTIF($K$3:K83,K83),FALSE)</f>
        <v>0</v>
      </c>
      <c r="S83" t="b">
        <f>IF(Taostats_CSV!A83=Taostats_CSV!$A$2,TRUE,Taostats_CSV!G83+Taostats_CSV!H83+Taostats_CSV!R83=0)</f>
        <v>0</v>
      </c>
      <c r="T83" t="b">
        <f t="shared" si="23"/>
        <v>1</v>
      </c>
      <c r="U83" t="b" cm="1">
        <f t="array" aca="1" ref="U83" ca="1">AND(T83,OR(O83-N83&gt;1,P83&gt;1,ISERROR(A83:P83)))</f>
        <v>0</v>
      </c>
      <c r="W83" t="e">
        <f>MATCH(K83&amp;$W$2,Taostats_CSV!$X$3:$X$1167,0)</f>
        <v>#N/A</v>
      </c>
      <c r="X83" t="e">
        <f t="shared" ca="1" si="18"/>
        <v>#VALUE!</v>
      </c>
      <c r="Y83">
        <f t="shared" ca="1" si="19"/>
        <v>0.10176344599999999</v>
      </c>
      <c r="Z83" t="e">
        <f t="shared" ca="1" si="20"/>
        <v>#VALUE!</v>
      </c>
    </row>
    <row r="84" spans="1:26" x14ac:dyDescent="0.4">
      <c r="A84" t="str">
        <f>MID(Taostats_CSV!C84,6,2)&amp;"/"&amp;MID(Taostats_CSV!C84,9,2)&amp;"/"&amp;LEFT(Taostats_CSV!C84,4)&amp;" "&amp;MID(Taostats_CSV!C84,12,8)</f>
        <v>03/05/2025 23:59:48</v>
      </c>
      <c r="C84" t="str">
        <f ca="1">IF(Q84,OFFSET(Taostats_CSV!$E$1,MATCH(K84&amp;D$1,Taostats_CSV!$X:$X,0)-1,0),IF(Taostats_CSV!F84="fee",IF(VALUE(Taostats_CSV!G84)&gt;0,Taostats_CSV!E84,""),""))</f>
        <v/>
      </c>
      <c r="D84" t="str">
        <f ca="1">IF(Q84,OFFSET(Taostats_CSV!$G$1,MATCH(K84&amp;D$1,Taostats_CSV!$X:$X,0)-1,0),IF(Taostats_CSV!F84="fee",IF(VALUE(Taostats_CSV!G84)&gt;0,Taostats_CSV!G84,""),""))</f>
        <v/>
      </c>
      <c r="E84" t="str">
        <f ca="1">IF(AND(Q84,P84&gt;0),OFFSET(Taostats_CSV!$E$1,MATCH(K84&amp;F$1,Taostats_CSV!$X:$X,0)-1,0),IF(LEN(F84)&gt;0,Taostats_CSV!E84,""))</f>
        <v>TAO</v>
      </c>
      <c r="F84" t="str">
        <f ca="1">TRIM(IF(AND(Q84,P84&gt;0),OFFSET(Taostats_CSV!$H$1,MATCH(K84&amp;F$1,Taostats_CSV!$X:$X,0)-1,0),IF(LEN(Taostats_CSV!H84)&gt;0,Taostats_CSV!H84,Taostats_CSV!R84)))</f>
        <v>0.063845141</v>
      </c>
      <c r="G84" t="str">
        <f ca="1">IF(AND(Q84,N84=1),OFFSET(Taostats_CSV!$E$1,MATCH(K84&amp;H$1,Taostats_CSV!$X:$X,0)-1,0),"")</f>
        <v/>
      </c>
      <c r="H84" t="str">
        <f ca="1">IF(AND(Q84,N84=1),OFFSET(Taostats_CSV!$G$1,MATCH(K84&amp;H$1,Taostats_CSV!$X:$X,0)-1,0),"")</f>
        <v/>
      </c>
      <c r="I84" t="str">
        <f ca="1">IF(AND(LEN(K84)=0,LEN(F84)&gt;0),"Income",IF(AND(O84&gt;0,P84&gt;0,C84&lt;&gt;E84),"Trade",IF(AND(NOT(Q84),Taostats_CSV!F84="fee"),'READ ME'!$C$5,"")))</f>
        <v>Income</v>
      </c>
      <c r="J84" t="str">
        <f ca="1">SUBSTITUTE(IF(LEN(I84)=0,Taostats_CSV!F84&amp;" "&amp;Taostats_CSV!J84,IF(I84="Cost","Extrinsic fee","")),"_"," ")</f>
        <v/>
      </c>
      <c r="K84" t="str">
        <f>TRIM(IF(LEN(Taostats_CSV!I84)&gt;0,Taostats_CSV!I84,""))</f>
        <v/>
      </c>
      <c r="L84" t="str">
        <f>IF(Taostats_CSV!E84&lt;&gt;"TAO",IF(LEN(F84)&gt;0,F84,IF(LEN(D84)&gt;0,D84,0))*Taostats_CSV!P84,"")</f>
        <v/>
      </c>
      <c r="M84" t="str">
        <f t="shared" si="21"/>
        <v/>
      </c>
      <c r="N84">
        <f>COUNTIF(Taostats_CSV!$X:$X,Taostats_CSV!$I84&amp;N$1)</f>
        <v>0</v>
      </c>
      <c r="O84">
        <f>COUNTIF(Taostats_CSV!$X:$X,Taostats_CSV!$I84&amp;O$1)</f>
        <v>0</v>
      </c>
      <c r="P84">
        <f>COUNTIF(Taostats_CSV!$X:$X,Taostats_CSV!$I84&amp;P$1)</f>
        <v>0</v>
      </c>
      <c r="Q84" t="b">
        <f t="shared" si="22"/>
        <v>0</v>
      </c>
      <c r="R84" t="b">
        <f>IF(LEN(K84)&gt;0,COUNTIF($K$3:K84,K84),FALSE)</f>
        <v>0</v>
      </c>
      <c r="S84" t="b">
        <f>IF(Taostats_CSV!A84=Taostats_CSV!$A$2,TRUE,Taostats_CSV!G84+Taostats_CSV!H84+Taostats_CSV!R84=0)</f>
        <v>0</v>
      </c>
      <c r="T84" t="b">
        <f t="shared" si="23"/>
        <v>1</v>
      </c>
      <c r="U84" t="b" cm="1">
        <f t="array" aca="1" ref="U84" ca="1">AND(T84,OR(O84-N84&gt;1,P84&gt;1,ISERROR(A84:P84)))</f>
        <v>0</v>
      </c>
      <c r="W84" t="e">
        <f>MATCH(K84&amp;$W$2,Taostats_CSV!$X$3:$X$1167,0)</f>
        <v>#N/A</v>
      </c>
      <c r="X84" t="e">
        <f t="shared" ca="1" si="18"/>
        <v>#VALUE!</v>
      </c>
      <c r="Y84">
        <f t="shared" ca="1" si="19"/>
        <v>6.3845140999999994E-2</v>
      </c>
      <c r="Z84" t="e">
        <f t="shared" ca="1" si="20"/>
        <v>#VALUE!</v>
      </c>
    </row>
    <row r="85" spans="1:26" x14ac:dyDescent="0.4">
      <c r="A85" t="str">
        <f>MID(Taostats_CSV!C85,6,2)&amp;"/"&amp;MID(Taostats_CSV!C85,9,2)&amp;"/"&amp;LEFT(Taostats_CSV!C85,4)&amp;" "&amp;MID(Taostats_CSV!C85,12,8)</f>
        <v>03/06/2025 23:59:48</v>
      </c>
      <c r="C85" t="str">
        <f ca="1">IF(Q85,OFFSET(Taostats_CSV!$E$1,MATCH(K85&amp;D$1,Taostats_CSV!$X:$X,0)-1,0),IF(Taostats_CSV!F85="fee",IF(VALUE(Taostats_CSV!G85)&gt;0,Taostats_CSV!E85,""),""))</f>
        <v/>
      </c>
      <c r="D85" t="str">
        <f ca="1">IF(Q85,OFFSET(Taostats_CSV!$G$1,MATCH(K85&amp;D$1,Taostats_CSV!$X:$X,0)-1,0),IF(Taostats_CSV!F85="fee",IF(VALUE(Taostats_CSV!G85)&gt;0,Taostats_CSV!G85,""),""))</f>
        <v/>
      </c>
      <c r="E85" t="str">
        <f ca="1">IF(AND(Q85,P85&gt;0),OFFSET(Taostats_CSV!$E$1,MATCH(K85&amp;F$1,Taostats_CSV!$X:$X,0)-1,0),IF(LEN(F85)&gt;0,Taostats_CSV!E85,""))</f>
        <v>TAO</v>
      </c>
      <c r="F85" t="str">
        <f ca="1">TRIM(IF(AND(Q85,P85&gt;0),OFFSET(Taostats_CSV!$H$1,MATCH(K85&amp;F$1,Taostats_CSV!$X:$X,0)-1,0),IF(LEN(Taostats_CSV!H85)&gt;0,Taostats_CSV!H85,Taostats_CSV!R85)))</f>
        <v>0.062255145</v>
      </c>
      <c r="G85" t="str">
        <f ca="1">IF(AND(Q85,N85=1),OFFSET(Taostats_CSV!$E$1,MATCH(K85&amp;H$1,Taostats_CSV!$X:$X,0)-1,0),"")</f>
        <v/>
      </c>
      <c r="H85" t="str">
        <f ca="1">IF(AND(Q85,N85=1),OFFSET(Taostats_CSV!$G$1,MATCH(K85&amp;H$1,Taostats_CSV!$X:$X,0)-1,0),"")</f>
        <v/>
      </c>
      <c r="I85" t="str">
        <f ca="1">IF(AND(LEN(K85)=0,LEN(F85)&gt;0),"Income",IF(AND(O85&gt;0,P85&gt;0,C85&lt;&gt;E85),"Trade",IF(AND(NOT(Q85),Taostats_CSV!F85="fee"),'READ ME'!$C$5,"")))</f>
        <v>Income</v>
      </c>
      <c r="J85" t="str">
        <f ca="1">SUBSTITUTE(IF(LEN(I85)=0,Taostats_CSV!F85&amp;" "&amp;Taostats_CSV!J85,IF(I85="Cost","Extrinsic fee","")),"_"," ")</f>
        <v/>
      </c>
      <c r="K85" t="str">
        <f>TRIM(IF(LEN(Taostats_CSV!I85)&gt;0,Taostats_CSV!I85,""))</f>
        <v/>
      </c>
      <c r="L85" t="str">
        <f>IF(Taostats_CSV!E85&lt;&gt;"TAO",IF(LEN(F85)&gt;0,F85,IF(LEN(D85)&gt;0,D85,0))*Taostats_CSV!P85,"")</f>
        <v/>
      </c>
      <c r="M85" t="str">
        <f t="shared" si="21"/>
        <v/>
      </c>
      <c r="N85">
        <f>COUNTIF(Taostats_CSV!$X:$X,Taostats_CSV!$I85&amp;N$1)</f>
        <v>0</v>
      </c>
      <c r="O85">
        <f>COUNTIF(Taostats_CSV!$X:$X,Taostats_CSV!$I85&amp;O$1)</f>
        <v>0</v>
      </c>
      <c r="P85">
        <f>COUNTIF(Taostats_CSV!$X:$X,Taostats_CSV!$I85&amp;P$1)</f>
        <v>0</v>
      </c>
      <c r="Q85" t="b">
        <f t="shared" si="22"/>
        <v>0</v>
      </c>
      <c r="R85" t="b">
        <f>IF(LEN(K85)&gt;0,COUNTIF($K$3:K85,K85),FALSE)</f>
        <v>0</v>
      </c>
      <c r="S85" t="b">
        <f>IF(Taostats_CSV!A85=Taostats_CSV!$A$2,TRUE,Taostats_CSV!G85+Taostats_CSV!H85+Taostats_CSV!R85=0)</f>
        <v>0</v>
      </c>
      <c r="T85" t="b">
        <f t="shared" si="23"/>
        <v>1</v>
      </c>
      <c r="U85" t="b" cm="1">
        <f t="array" aca="1" ref="U85" ca="1">AND(T85,OR(O85-N85&gt;1,P85&gt;1,ISERROR(A85:P85)))</f>
        <v>0</v>
      </c>
      <c r="W85" t="e">
        <f>MATCH(K85&amp;$W$2,Taostats_CSV!$X$3:$X$1167,0)</f>
        <v>#N/A</v>
      </c>
      <c r="X85" t="e">
        <f t="shared" ca="1" si="18"/>
        <v>#VALUE!</v>
      </c>
      <c r="Y85">
        <f t="shared" ca="1" si="19"/>
        <v>6.2255144999999998E-2</v>
      </c>
      <c r="Z85" t="e">
        <f t="shared" ca="1" si="20"/>
        <v>#VALUE!</v>
      </c>
    </row>
    <row r="86" spans="1:26" x14ac:dyDescent="0.4">
      <c r="A86" t="str">
        <f>MID(Taostats_CSV!C86,6,2)&amp;"/"&amp;MID(Taostats_CSV!C86,9,2)&amp;"/"&amp;LEFT(Taostats_CSV!C86,4)&amp;" "&amp;MID(Taostats_CSV!C86,12,8)</f>
        <v>03/07/2025 23:59:48</v>
      </c>
      <c r="C86" t="str">
        <f ca="1">IF(Q86,OFFSET(Taostats_CSV!$E$1,MATCH(K86&amp;D$1,Taostats_CSV!$X:$X,0)-1,0),IF(Taostats_CSV!F86="fee",IF(VALUE(Taostats_CSV!G86)&gt;0,Taostats_CSV!E86,""),""))</f>
        <v/>
      </c>
      <c r="D86" t="str">
        <f ca="1">IF(Q86,OFFSET(Taostats_CSV!$G$1,MATCH(K86&amp;D$1,Taostats_CSV!$X:$X,0)-1,0),IF(Taostats_CSV!F86="fee",IF(VALUE(Taostats_CSV!G86)&gt;0,Taostats_CSV!G86,""),""))</f>
        <v/>
      </c>
      <c r="E86" t="str">
        <f ca="1">IF(AND(Q86,P86&gt;0),OFFSET(Taostats_CSV!$E$1,MATCH(K86&amp;F$1,Taostats_CSV!$X:$X,0)-1,0),IF(LEN(F86)&gt;0,Taostats_CSV!E86,""))</f>
        <v>TAO</v>
      </c>
      <c r="F86" t="str">
        <f ca="1">TRIM(IF(AND(Q86,P86&gt;0),OFFSET(Taostats_CSV!$H$1,MATCH(K86&amp;F$1,Taostats_CSV!$X:$X,0)-1,0),IF(LEN(Taostats_CSV!H86)&gt;0,Taostats_CSV!H86,Taostats_CSV!R86)))</f>
        <v>0.06197379</v>
      </c>
      <c r="G86" t="str">
        <f ca="1">IF(AND(Q86,N86=1),OFFSET(Taostats_CSV!$E$1,MATCH(K86&amp;H$1,Taostats_CSV!$X:$X,0)-1,0),"")</f>
        <v/>
      </c>
      <c r="H86" t="str">
        <f ca="1">IF(AND(Q86,N86=1),OFFSET(Taostats_CSV!$G$1,MATCH(K86&amp;H$1,Taostats_CSV!$X:$X,0)-1,0),"")</f>
        <v/>
      </c>
      <c r="I86" t="str">
        <f ca="1">IF(AND(LEN(K86)=0,LEN(F86)&gt;0),"Income",IF(AND(O86&gt;0,P86&gt;0,C86&lt;&gt;E86),"Trade",IF(AND(NOT(Q86),Taostats_CSV!F86="fee"),'READ ME'!$C$5,"")))</f>
        <v>Income</v>
      </c>
      <c r="J86" t="str">
        <f ca="1">SUBSTITUTE(IF(LEN(I86)=0,Taostats_CSV!F86&amp;" "&amp;Taostats_CSV!J86,IF(I86="Cost","Extrinsic fee","")),"_"," ")</f>
        <v/>
      </c>
      <c r="K86" t="str">
        <f>TRIM(IF(LEN(Taostats_CSV!I86)&gt;0,Taostats_CSV!I86,""))</f>
        <v/>
      </c>
      <c r="L86" t="str">
        <f>IF(Taostats_CSV!E86&lt;&gt;"TAO",IF(LEN(F86)&gt;0,F86,IF(LEN(D86)&gt;0,D86,0))*Taostats_CSV!P86,"")</f>
        <v/>
      </c>
      <c r="M86" t="str">
        <f t="shared" si="21"/>
        <v/>
      </c>
      <c r="N86">
        <f>COUNTIF(Taostats_CSV!$X:$X,Taostats_CSV!$I86&amp;N$1)</f>
        <v>0</v>
      </c>
      <c r="O86">
        <f>COUNTIF(Taostats_CSV!$X:$X,Taostats_CSV!$I86&amp;O$1)</f>
        <v>0</v>
      </c>
      <c r="P86">
        <f>COUNTIF(Taostats_CSV!$X:$X,Taostats_CSV!$I86&amp;P$1)</f>
        <v>0</v>
      </c>
      <c r="Q86" t="b">
        <f t="shared" si="22"/>
        <v>0</v>
      </c>
      <c r="R86" t="b">
        <f>IF(LEN(K86)&gt;0,COUNTIF($K$3:K86,K86),FALSE)</f>
        <v>0</v>
      </c>
      <c r="S86" t="b">
        <f>IF(Taostats_CSV!A86=Taostats_CSV!$A$2,TRUE,Taostats_CSV!G86+Taostats_CSV!H86+Taostats_CSV!R86=0)</f>
        <v>0</v>
      </c>
      <c r="T86" t="b">
        <f t="shared" si="23"/>
        <v>1</v>
      </c>
      <c r="U86" t="b" cm="1">
        <f t="array" aca="1" ref="U86" ca="1">AND(T86,OR(O86-N86&gt;1,P86&gt;1,ISERROR(A86:P86)))</f>
        <v>0</v>
      </c>
      <c r="W86" t="e">
        <f>MATCH(K86&amp;$W$2,Taostats_CSV!$X$3:$X$1167,0)</f>
        <v>#N/A</v>
      </c>
      <c r="X86" t="e">
        <f t="shared" ca="1" si="18"/>
        <v>#VALUE!</v>
      </c>
      <c r="Y86">
        <f t="shared" ca="1" si="19"/>
        <v>6.1973790000000001E-2</v>
      </c>
      <c r="Z86" t="e">
        <f t="shared" ca="1" si="20"/>
        <v>#VALUE!</v>
      </c>
    </row>
    <row r="87" spans="1:26" x14ac:dyDescent="0.4">
      <c r="A87" t="str">
        <f>MID(Taostats_CSV!C87,6,2)&amp;"/"&amp;MID(Taostats_CSV!C87,9,2)&amp;"/"&amp;LEFT(Taostats_CSV!C87,4)&amp;" "&amp;MID(Taostats_CSV!C87,12,8)</f>
        <v>03/08/2025 23:59:48</v>
      </c>
      <c r="C87" t="str">
        <f ca="1">IF(Q87,OFFSET(Taostats_CSV!$E$1,MATCH(K87&amp;D$1,Taostats_CSV!$X:$X,0)-1,0),IF(Taostats_CSV!F87="fee",IF(VALUE(Taostats_CSV!G87)&gt;0,Taostats_CSV!E87,""),""))</f>
        <v/>
      </c>
      <c r="D87" t="str">
        <f ca="1">IF(Q87,OFFSET(Taostats_CSV!$G$1,MATCH(K87&amp;D$1,Taostats_CSV!$X:$X,0)-1,0),IF(Taostats_CSV!F87="fee",IF(VALUE(Taostats_CSV!G87)&gt;0,Taostats_CSV!G87,""),""))</f>
        <v/>
      </c>
      <c r="E87" t="str">
        <f ca="1">IF(AND(Q87,P87&gt;0),OFFSET(Taostats_CSV!$E$1,MATCH(K87&amp;F$1,Taostats_CSV!$X:$X,0)-1,0),IF(LEN(F87)&gt;0,Taostats_CSV!E87,""))</f>
        <v>TAO</v>
      </c>
      <c r="F87" t="str">
        <f ca="1">TRIM(IF(AND(Q87,P87&gt;0),OFFSET(Taostats_CSV!$H$1,MATCH(K87&amp;F$1,Taostats_CSV!$X:$X,0)-1,0),IF(LEN(Taostats_CSV!H87)&gt;0,Taostats_CSV!H87,Taostats_CSV!R87)))</f>
        <v>0.061367857</v>
      </c>
      <c r="G87" t="str">
        <f ca="1">IF(AND(Q87,N87=1),OFFSET(Taostats_CSV!$E$1,MATCH(K87&amp;H$1,Taostats_CSV!$X:$X,0)-1,0),"")</f>
        <v/>
      </c>
      <c r="H87" t="str">
        <f ca="1">IF(AND(Q87,N87=1),OFFSET(Taostats_CSV!$G$1,MATCH(K87&amp;H$1,Taostats_CSV!$X:$X,0)-1,0),"")</f>
        <v/>
      </c>
      <c r="I87" t="str">
        <f ca="1">IF(AND(LEN(K87)=0,LEN(F87)&gt;0),"Income",IF(AND(O87&gt;0,P87&gt;0,C87&lt;&gt;E87),"Trade",IF(AND(NOT(Q87),Taostats_CSV!F87="fee"),'READ ME'!$C$5,"")))</f>
        <v>Income</v>
      </c>
      <c r="J87" t="str">
        <f ca="1">SUBSTITUTE(IF(LEN(I87)=0,Taostats_CSV!F87&amp;" "&amp;Taostats_CSV!J87,IF(I87="Cost","Extrinsic fee","")),"_"," ")</f>
        <v/>
      </c>
      <c r="K87" t="str">
        <f>TRIM(IF(LEN(Taostats_CSV!I87)&gt;0,Taostats_CSV!I87,""))</f>
        <v/>
      </c>
      <c r="L87" t="str">
        <f>IF(Taostats_CSV!E87&lt;&gt;"TAO",IF(LEN(F87)&gt;0,F87,IF(LEN(D87)&gt;0,D87,0))*Taostats_CSV!P87,"")</f>
        <v/>
      </c>
      <c r="M87" t="str">
        <f t="shared" si="21"/>
        <v/>
      </c>
      <c r="N87">
        <f>COUNTIF(Taostats_CSV!$X:$X,Taostats_CSV!$I87&amp;N$1)</f>
        <v>0</v>
      </c>
      <c r="O87">
        <f>COUNTIF(Taostats_CSV!$X:$X,Taostats_CSV!$I87&amp;O$1)</f>
        <v>0</v>
      </c>
      <c r="P87">
        <f>COUNTIF(Taostats_CSV!$X:$X,Taostats_CSV!$I87&amp;P$1)</f>
        <v>0</v>
      </c>
      <c r="Q87" t="b">
        <f t="shared" si="22"/>
        <v>0</v>
      </c>
      <c r="R87" t="b">
        <f>IF(LEN(K87)&gt;0,COUNTIF($K$3:K87,K87),FALSE)</f>
        <v>0</v>
      </c>
      <c r="S87" t="b">
        <f>IF(Taostats_CSV!A87=Taostats_CSV!$A$2,TRUE,Taostats_CSV!G87+Taostats_CSV!H87+Taostats_CSV!R87=0)</f>
        <v>0</v>
      </c>
      <c r="T87" t="b">
        <f t="shared" si="23"/>
        <v>1</v>
      </c>
      <c r="U87" t="b" cm="1">
        <f t="array" aca="1" ref="U87" ca="1">AND(T87,OR(O87-N87&gt;1,P87&gt;1,ISERROR(A87:P87)))</f>
        <v>0</v>
      </c>
      <c r="W87" t="e">
        <f>MATCH(K87&amp;$W$2,Taostats_CSV!$X$3:$X$1167,0)</f>
        <v>#N/A</v>
      </c>
      <c r="X87" t="e">
        <f t="shared" ca="1" si="18"/>
        <v>#VALUE!</v>
      </c>
      <c r="Y87">
        <f t="shared" ca="1" si="19"/>
        <v>6.1367856999999998E-2</v>
      </c>
      <c r="Z87" t="e">
        <f t="shared" ca="1" si="20"/>
        <v>#VALUE!</v>
      </c>
    </row>
    <row r="88" spans="1:26" x14ac:dyDescent="0.4">
      <c r="A88" t="str">
        <f>MID(Taostats_CSV!C88,6,2)&amp;"/"&amp;MID(Taostats_CSV!C88,9,2)&amp;"/"&amp;LEFT(Taostats_CSV!C88,4)&amp;" "&amp;MID(Taostats_CSV!C88,12,8)</f>
        <v>03/09/2025 23:59:48</v>
      </c>
      <c r="C88" t="str">
        <f ca="1">IF(Q88,OFFSET(Taostats_CSV!$E$1,MATCH(K88&amp;D$1,Taostats_CSV!$X:$X,0)-1,0),IF(Taostats_CSV!F88="fee",IF(VALUE(Taostats_CSV!G88)&gt;0,Taostats_CSV!E88,""),""))</f>
        <v/>
      </c>
      <c r="D88" t="str">
        <f ca="1">IF(Q88,OFFSET(Taostats_CSV!$G$1,MATCH(K88&amp;D$1,Taostats_CSV!$X:$X,0)-1,0),IF(Taostats_CSV!F88="fee",IF(VALUE(Taostats_CSV!G88)&gt;0,Taostats_CSV!G88,""),""))</f>
        <v/>
      </c>
      <c r="E88" t="str">
        <f ca="1">IF(AND(Q88,P88&gt;0),OFFSET(Taostats_CSV!$E$1,MATCH(K88&amp;F$1,Taostats_CSV!$X:$X,0)-1,0),IF(LEN(F88)&gt;0,Taostats_CSV!E88,""))</f>
        <v>TAO</v>
      </c>
      <c r="F88" t="str">
        <f ca="1">TRIM(IF(AND(Q88,P88&gt;0),OFFSET(Taostats_CSV!$H$1,MATCH(K88&amp;F$1,Taostats_CSV!$X:$X,0)-1,0),IF(LEN(Taostats_CSV!H88)&gt;0,Taostats_CSV!H88,Taostats_CSV!R88)))</f>
        <v>0.061593839</v>
      </c>
      <c r="G88" t="str">
        <f ca="1">IF(AND(Q88,N88=1),OFFSET(Taostats_CSV!$E$1,MATCH(K88&amp;H$1,Taostats_CSV!$X:$X,0)-1,0),"")</f>
        <v/>
      </c>
      <c r="H88" t="str">
        <f ca="1">IF(AND(Q88,N88=1),OFFSET(Taostats_CSV!$G$1,MATCH(K88&amp;H$1,Taostats_CSV!$X:$X,0)-1,0),"")</f>
        <v/>
      </c>
      <c r="I88" t="str">
        <f ca="1">IF(AND(LEN(K88)=0,LEN(F88)&gt;0),"Income",IF(AND(O88&gt;0,P88&gt;0,C88&lt;&gt;E88),"Trade",IF(AND(NOT(Q88),Taostats_CSV!F88="fee"),'READ ME'!$C$5,"")))</f>
        <v>Income</v>
      </c>
      <c r="J88" t="str">
        <f ca="1">SUBSTITUTE(IF(LEN(I88)=0,Taostats_CSV!F88&amp;" "&amp;Taostats_CSV!J88,IF(I88="Cost","Extrinsic fee","")),"_"," ")</f>
        <v/>
      </c>
      <c r="K88" t="str">
        <f>TRIM(IF(LEN(Taostats_CSV!I88)&gt;0,Taostats_CSV!I88,""))</f>
        <v/>
      </c>
      <c r="L88" t="str">
        <f>IF(Taostats_CSV!E88&lt;&gt;"TAO",IF(LEN(F88)&gt;0,F88,IF(LEN(D88)&gt;0,D88,0))*Taostats_CSV!P88,"")</f>
        <v/>
      </c>
      <c r="M88" t="str">
        <f t="shared" si="21"/>
        <v/>
      </c>
      <c r="N88">
        <f>COUNTIF(Taostats_CSV!$X:$X,Taostats_CSV!$I88&amp;N$1)</f>
        <v>0</v>
      </c>
      <c r="O88">
        <f>COUNTIF(Taostats_CSV!$X:$X,Taostats_CSV!$I88&amp;O$1)</f>
        <v>0</v>
      </c>
      <c r="P88">
        <f>COUNTIF(Taostats_CSV!$X:$X,Taostats_CSV!$I88&amp;P$1)</f>
        <v>0</v>
      </c>
      <c r="Q88" t="b">
        <f t="shared" si="22"/>
        <v>0</v>
      </c>
      <c r="R88" t="b">
        <f>IF(LEN(K88)&gt;0,COUNTIF($K$3:K88,K88),FALSE)</f>
        <v>0</v>
      </c>
      <c r="S88" t="b">
        <f>IF(Taostats_CSV!A88=Taostats_CSV!$A$2,TRUE,Taostats_CSV!G88+Taostats_CSV!H88+Taostats_CSV!R88=0)</f>
        <v>0</v>
      </c>
      <c r="T88" t="b">
        <f t="shared" si="23"/>
        <v>1</v>
      </c>
      <c r="U88" t="b" cm="1">
        <f t="array" aca="1" ref="U88" ca="1">AND(T88,OR(O88-N88&gt;1,P88&gt;1,ISERROR(A88:P88)))</f>
        <v>0</v>
      </c>
      <c r="W88" t="e">
        <f>MATCH(K88&amp;$W$2,Taostats_CSV!$X$3:$X$1167,0)</f>
        <v>#N/A</v>
      </c>
      <c r="X88" t="e">
        <f t="shared" ca="1" si="18"/>
        <v>#VALUE!</v>
      </c>
      <c r="Y88">
        <f t="shared" ca="1" si="19"/>
        <v>6.1593838999999997E-2</v>
      </c>
      <c r="Z88" t="e">
        <f t="shared" ca="1" si="20"/>
        <v>#VALUE!</v>
      </c>
    </row>
    <row r="89" spans="1:26" x14ac:dyDescent="0.4">
      <c r="A89" t="str">
        <f>MID(Taostats_CSV!C89,6,2)&amp;"/"&amp;MID(Taostats_CSV!C89,9,2)&amp;"/"&amp;LEFT(Taostats_CSV!C89,4)&amp;" "&amp;MID(Taostats_CSV!C89,12,8)</f>
        <v>03/10/2025 23:59:48</v>
      </c>
      <c r="C89" t="str">
        <f ca="1">IF(Q89,OFFSET(Taostats_CSV!$E$1,MATCH(K89&amp;D$1,Taostats_CSV!$X:$X,0)-1,0),IF(Taostats_CSV!F89="fee",IF(VALUE(Taostats_CSV!G89)&gt;0,Taostats_CSV!E89,""),""))</f>
        <v/>
      </c>
      <c r="D89" t="str">
        <f ca="1">IF(Q89,OFFSET(Taostats_CSV!$G$1,MATCH(K89&amp;D$1,Taostats_CSV!$X:$X,0)-1,0),IF(Taostats_CSV!F89="fee",IF(VALUE(Taostats_CSV!G89)&gt;0,Taostats_CSV!G89,""),""))</f>
        <v/>
      </c>
      <c r="E89" t="str">
        <f ca="1">IF(AND(Q89,P89&gt;0),OFFSET(Taostats_CSV!$E$1,MATCH(K89&amp;F$1,Taostats_CSV!$X:$X,0)-1,0),IF(LEN(F89)&gt;0,Taostats_CSV!E89,""))</f>
        <v>TAO</v>
      </c>
      <c r="F89" t="str">
        <f ca="1">TRIM(IF(AND(Q89,P89&gt;0),OFFSET(Taostats_CSV!$H$1,MATCH(K89&amp;F$1,Taostats_CSV!$X:$X,0)-1,0),IF(LEN(Taostats_CSV!H89)&gt;0,Taostats_CSV!H89,Taostats_CSV!R89)))</f>
        <v>0.057860691</v>
      </c>
      <c r="G89" t="str">
        <f ca="1">IF(AND(Q89,N89=1),OFFSET(Taostats_CSV!$E$1,MATCH(K89&amp;H$1,Taostats_CSV!$X:$X,0)-1,0),"")</f>
        <v/>
      </c>
      <c r="H89" t="str">
        <f ca="1">IF(AND(Q89,N89=1),OFFSET(Taostats_CSV!$G$1,MATCH(K89&amp;H$1,Taostats_CSV!$X:$X,0)-1,0),"")</f>
        <v/>
      </c>
      <c r="I89" t="str">
        <f ca="1">IF(AND(LEN(K89)=0,LEN(F89)&gt;0),"Income",IF(AND(O89&gt;0,P89&gt;0,C89&lt;&gt;E89),"Trade",IF(AND(NOT(Q89),Taostats_CSV!F89="fee"),'READ ME'!$C$5,"")))</f>
        <v>Income</v>
      </c>
      <c r="J89" t="str">
        <f ca="1">SUBSTITUTE(IF(LEN(I89)=0,Taostats_CSV!F89&amp;" "&amp;Taostats_CSV!J89,IF(I89="Cost","Extrinsic fee","")),"_"," ")</f>
        <v/>
      </c>
      <c r="K89" t="str">
        <f>TRIM(IF(LEN(Taostats_CSV!I89)&gt;0,Taostats_CSV!I89,""))</f>
        <v/>
      </c>
      <c r="L89" t="str">
        <f>IF(Taostats_CSV!E89&lt;&gt;"TAO",IF(LEN(F89)&gt;0,F89,IF(LEN(D89)&gt;0,D89,0))*Taostats_CSV!P89,"")</f>
        <v/>
      </c>
      <c r="M89" t="str">
        <f t="shared" si="21"/>
        <v/>
      </c>
      <c r="N89">
        <f>COUNTIF(Taostats_CSV!$X:$X,Taostats_CSV!$I89&amp;N$1)</f>
        <v>0</v>
      </c>
      <c r="O89">
        <f>COUNTIF(Taostats_CSV!$X:$X,Taostats_CSV!$I89&amp;O$1)</f>
        <v>0</v>
      </c>
      <c r="P89">
        <f>COUNTIF(Taostats_CSV!$X:$X,Taostats_CSV!$I89&amp;P$1)</f>
        <v>0</v>
      </c>
      <c r="Q89" t="b">
        <f t="shared" si="22"/>
        <v>0</v>
      </c>
      <c r="R89" t="b">
        <f>IF(LEN(K89)&gt;0,COUNTIF($K$3:K89,K89),FALSE)</f>
        <v>0</v>
      </c>
      <c r="S89" t="b">
        <f>IF(Taostats_CSV!A89=Taostats_CSV!$A$2,TRUE,Taostats_CSV!G89+Taostats_CSV!H89+Taostats_CSV!R89=0)</f>
        <v>0</v>
      </c>
      <c r="T89" t="b">
        <f t="shared" si="23"/>
        <v>1</v>
      </c>
      <c r="U89" t="b" cm="1">
        <f t="array" aca="1" ref="U89" ca="1">AND(T89,OR(O89-N89&gt;1,P89&gt;1,ISERROR(A89:P89)))</f>
        <v>0</v>
      </c>
      <c r="W89" t="e">
        <f>MATCH(K89&amp;$W$2,Taostats_CSV!$X$3:$X$1167,0)</f>
        <v>#N/A</v>
      </c>
      <c r="X89" t="e">
        <f t="shared" ca="1" si="18"/>
        <v>#VALUE!</v>
      </c>
      <c r="Y89">
        <f t="shared" ca="1" si="19"/>
        <v>5.7860690999999999E-2</v>
      </c>
      <c r="Z89" t="e">
        <f t="shared" ca="1" si="20"/>
        <v>#VALUE!</v>
      </c>
    </row>
    <row r="90" spans="1:26" x14ac:dyDescent="0.4">
      <c r="A90" t="str">
        <f>MID(Taostats_CSV!C90,6,2)&amp;"/"&amp;MID(Taostats_CSV!C90,9,2)&amp;"/"&amp;LEFT(Taostats_CSV!C90,4)&amp;" "&amp;MID(Taostats_CSV!C90,12,8)</f>
        <v>03/11/2025 23:59:48</v>
      </c>
      <c r="C90" t="str">
        <f ca="1">IF(Q90,OFFSET(Taostats_CSV!$E$1,MATCH(K90&amp;D$1,Taostats_CSV!$X:$X,0)-1,0),IF(Taostats_CSV!F90="fee",IF(VALUE(Taostats_CSV!G90)&gt;0,Taostats_CSV!E90,""),""))</f>
        <v/>
      </c>
      <c r="D90" t="str">
        <f ca="1">IF(Q90,OFFSET(Taostats_CSV!$G$1,MATCH(K90&amp;D$1,Taostats_CSV!$X:$X,0)-1,0),IF(Taostats_CSV!F90="fee",IF(VALUE(Taostats_CSV!G90)&gt;0,Taostats_CSV!G90,""),""))</f>
        <v/>
      </c>
      <c r="E90" t="str">
        <f ca="1">IF(AND(Q90,P90&gt;0),OFFSET(Taostats_CSV!$E$1,MATCH(K90&amp;F$1,Taostats_CSV!$X:$X,0)-1,0),IF(LEN(F90)&gt;0,Taostats_CSV!E90,""))</f>
        <v>TAO</v>
      </c>
      <c r="F90" t="str">
        <f ca="1">TRIM(IF(AND(Q90,P90&gt;0),OFFSET(Taostats_CSV!$H$1,MATCH(K90&amp;F$1,Taostats_CSV!$X:$X,0)-1,0),IF(LEN(Taostats_CSV!H90)&gt;0,Taostats_CSV!H90,Taostats_CSV!R90)))</f>
        <v>0.052396977</v>
      </c>
      <c r="G90" t="str">
        <f ca="1">IF(AND(Q90,N90=1),OFFSET(Taostats_CSV!$E$1,MATCH(K90&amp;H$1,Taostats_CSV!$X:$X,0)-1,0),"")</f>
        <v/>
      </c>
      <c r="H90" t="str">
        <f ca="1">IF(AND(Q90,N90=1),OFFSET(Taostats_CSV!$G$1,MATCH(K90&amp;H$1,Taostats_CSV!$X:$X,0)-1,0),"")</f>
        <v/>
      </c>
      <c r="I90" t="str">
        <f ca="1">IF(AND(LEN(K90)=0,LEN(F90)&gt;0),"Income",IF(AND(O90&gt;0,P90&gt;0,C90&lt;&gt;E90),"Trade",IF(AND(NOT(Q90),Taostats_CSV!F90="fee"),'READ ME'!$C$5,"")))</f>
        <v>Income</v>
      </c>
      <c r="J90" t="str">
        <f ca="1">SUBSTITUTE(IF(LEN(I90)=0,Taostats_CSV!F90&amp;" "&amp;Taostats_CSV!J90,IF(I90="Cost","Extrinsic fee","")),"_"," ")</f>
        <v/>
      </c>
      <c r="K90" t="str">
        <f>TRIM(IF(LEN(Taostats_CSV!I90)&gt;0,Taostats_CSV!I90,""))</f>
        <v/>
      </c>
      <c r="L90" t="str">
        <f>IF(Taostats_CSV!E90&lt;&gt;"TAO",IF(LEN(F90)&gt;0,F90,IF(LEN(D90)&gt;0,D90,0))*Taostats_CSV!P90,"")</f>
        <v/>
      </c>
      <c r="M90" t="str">
        <f t="shared" si="21"/>
        <v/>
      </c>
      <c r="N90">
        <f>COUNTIF(Taostats_CSV!$X:$X,Taostats_CSV!$I90&amp;N$1)</f>
        <v>0</v>
      </c>
      <c r="O90">
        <f>COUNTIF(Taostats_CSV!$X:$X,Taostats_CSV!$I90&amp;O$1)</f>
        <v>0</v>
      </c>
      <c r="P90">
        <f>COUNTIF(Taostats_CSV!$X:$X,Taostats_CSV!$I90&amp;P$1)</f>
        <v>0</v>
      </c>
      <c r="Q90" t="b">
        <f t="shared" si="22"/>
        <v>0</v>
      </c>
      <c r="R90" t="b">
        <f>IF(LEN(K90)&gt;0,COUNTIF($K$3:K90,K90),FALSE)</f>
        <v>0</v>
      </c>
      <c r="S90" t="b">
        <f>IF(Taostats_CSV!A90=Taostats_CSV!$A$2,TRUE,Taostats_CSV!G90+Taostats_CSV!H90+Taostats_CSV!R90=0)</f>
        <v>0</v>
      </c>
      <c r="T90" t="b">
        <f t="shared" si="23"/>
        <v>1</v>
      </c>
      <c r="U90" t="b" cm="1">
        <f t="array" aca="1" ref="U90" ca="1">AND(T90,OR(O90-N90&gt;1,P90&gt;1,ISERROR(A90:P90)))</f>
        <v>0</v>
      </c>
      <c r="W90" t="e">
        <f>MATCH(K90&amp;$W$2,Taostats_CSV!$X$3:$X$1167,0)</f>
        <v>#N/A</v>
      </c>
      <c r="X90" t="e">
        <f t="shared" ca="1" si="18"/>
        <v>#VALUE!</v>
      </c>
      <c r="Y90">
        <f t="shared" ca="1" si="19"/>
        <v>5.2396976999999997E-2</v>
      </c>
      <c r="Z90" t="e">
        <f t="shared" ca="1" si="20"/>
        <v>#VALUE!</v>
      </c>
    </row>
    <row r="91" spans="1:26" x14ac:dyDescent="0.4">
      <c r="A91" t="str">
        <f>MID(Taostats_CSV!C91,6,2)&amp;"/"&amp;MID(Taostats_CSV!C91,9,2)&amp;"/"&amp;LEFT(Taostats_CSV!C91,4)&amp;" "&amp;MID(Taostats_CSV!C91,12,8)</f>
        <v>03/12/2025 23:59:48</v>
      </c>
      <c r="C91" t="str">
        <f ca="1">IF(Q91,OFFSET(Taostats_CSV!$E$1,MATCH(K91&amp;D$1,Taostats_CSV!$X:$X,0)-1,0),IF(Taostats_CSV!F91="fee",IF(VALUE(Taostats_CSV!G91)&gt;0,Taostats_CSV!E91,""),""))</f>
        <v/>
      </c>
      <c r="D91" t="str">
        <f ca="1">IF(Q91,OFFSET(Taostats_CSV!$G$1,MATCH(K91&amp;D$1,Taostats_CSV!$X:$X,0)-1,0),IF(Taostats_CSV!F91="fee",IF(VALUE(Taostats_CSV!G91)&gt;0,Taostats_CSV!G91,""),""))</f>
        <v/>
      </c>
      <c r="E91" t="str">
        <f ca="1">IF(AND(Q91,P91&gt;0),OFFSET(Taostats_CSV!$E$1,MATCH(K91&amp;F$1,Taostats_CSV!$X:$X,0)-1,0),IF(LEN(F91)&gt;0,Taostats_CSV!E91,""))</f>
        <v>TAO</v>
      </c>
      <c r="F91" t="str">
        <f ca="1">TRIM(IF(AND(Q91,P91&gt;0),OFFSET(Taostats_CSV!$H$1,MATCH(K91&amp;F$1,Taostats_CSV!$X:$X,0)-1,0),IF(LEN(Taostats_CSV!H91)&gt;0,Taostats_CSV!H91,Taostats_CSV!R91)))</f>
        <v>0.048289917</v>
      </c>
      <c r="G91" t="str">
        <f ca="1">IF(AND(Q91,N91=1),OFFSET(Taostats_CSV!$E$1,MATCH(K91&amp;H$1,Taostats_CSV!$X:$X,0)-1,0),"")</f>
        <v/>
      </c>
      <c r="H91" t="str">
        <f ca="1">IF(AND(Q91,N91=1),OFFSET(Taostats_CSV!$G$1,MATCH(K91&amp;H$1,Taostats_CSV!$X:$X,0)-1,0),"")</f>
        <v/>
      </c>
      <c r="I91" t="str">
        <f ca="1">IF(AND(LEN(K91)=0,LEN(F91)&gt;0),"Income",IF(AND(O91&gt;0,P91&gt;0,C91&lt;&gt;E91),"Trade",IF(AND(NOT(Q91),Taostats_CSV!F91="fee"),'READ ME'!$C$5,"")))</f>
        <v>Income</v>
      </c>
      <c r="J91" t="str">
        <f ca="1">SUBSTITUTE(IF(LEN(I91)=0,Taostats_CSV!F91&amp;" "&amp;Taostats_CSV!J91,IF(I91="Cost","Extrinsic fee","")),"_"," ")</f>
        <v/>
      </c>
      <c r="K91" t="str">
        <f>TRIM(IF(LEN(Taostats_CSV!I91)&gt;0,Taostats_CSV!I91,""))</f>
        <v/>
      </c>
      <c r="L91" t="str">
        <f>IF(Taostats_CSV!E91&lt;&gt;"TAO",IF(LEN(F91)&gt;0,F91,IF(LEN(D91)&gt;0,D91,0))*Taostats_CSV!P91,"")</f>
        <v/>
      </c>
      <c r="M91" t="str">
        <f t="shared" si="21"/>
        <v/>
      </c>
      <c r="N91">
        <f>COUNTIF(Taostats_CSV!$X:$X,Taostats_CSV!$I91&amp;N$1)</f>
        <v>0</v>
      </c>
      <c r="O91">
        <f>COUNTIF(Taostats_CSV!$X:$X,Taostats_CSV!$I91&amp;O$1)</f>
        <v>0</v>
      </c>
      <c r="P91">
        <f>COUNTIF(Taostats_CSV!$X:$X,Taostats_CSV!$I91&amp;P$1)</f>
        <v>0</v>
      </c>
      <c r="Q91" t="b">
        <f t="shared" si="22"/>
        <v>0</v>
      </c>
      <c r="R91" t="b">
        <f>IF(LEN(K91)&gt;0,COUNTIF($K$3:K91,K91),FALSE)</f>
        <v>0</v>
      </c>
      <c r="S91" t="b">
        <f>IF(Taostats_CSV!A91=Taostats_CSV!$A$2,TRUE,Taostats_CSV!G91+Taostats_CSV!H91+Taostats_CSV!R91=0)</f>
        <v>0</v>
      </c>
      <c r="T91" t="b">
        <f t="shared" si="23"/>
        <v>1</v>
      </c>
      <c r="U91" t="b" cm="1">
        <f t="array" aca="1" ref="U91" ca="1">AND(T91,OR(O91-N91&gt;1,P91&gt;1,ISERROR(A91:P91)))</f>
        <v>0</v>
      </c>
      <c r="W91" t="e">
        <f>MATCH(K91&amp;$W$2,Taostats_CSV!$X$3:$X$1167,0)</f>
        <v>#N/A</v>
      </c>
      <c r="X91" t="e">
        <f t="shared" ca="1" si="18"/>
        <v>#VALUE!</v>
      </c>
      <c r="Y91">
        <f t="shared" ca="1" si="19"/>
        <v>4.8289917000000002E-2</v>
      </c>
      <c r="Z91" t="e">
        <f t="shared" ca="1" si="20"/>
        <v>#VALUE!</v>
      </c>
    </row>
    <row r="92" spans="1:26" x14ac:dyDescent="0.4">
      <c r="A92" t="str">
        <f>MID(Taostats_CSV!C92,6,2)&amp;"/"&amp;MID(Taostats_CSV!C92,9,2)&amp;"/"&amp;LEFT(Taostats_CSV!C92,4)&amp;" "&amp;MID(Taostats_CSV!C92,12,8)</f>
        <v>03/13/2025 23:59:48</v>
      </c>
      <c r="C92" t="str">
        <f ca="1">IF(Q92,OFFSET(Taostats_CSV!$E$1,MATCH(K92&amp;D$1,Taostats_CSV!$X:$X,0)-1,0),IF(Taostats_CSV!F92="fee",IF(VALUE(Taostats_CSV!G92)&gt;0,Taostats_CSV!E92,""),""))</f>
        <v/>
      </c>
      <c r="D92" t="str">
        <f ca="1">IF(Q92,OFFSET(Taostats_CSV!$G$1,MATCH(K92&amp;D$1,Taostats_CSV!$X:$X,0)-1,0),IF(Taostats_CSV!F92="fee",IF(VALUE(Taostats_CSV!G92)&gt;0,Taostats_CSV!G92,""),""))</f>
        <v/>
      </c>
      <c r="E92" t="str">
        <f ca="1">IF(AND(Q92,P92&gt;0),OFFSET(Taostats_CSV!$E$1,MATCH(K92&amp;F$1,Taostats_CSV!$X:$X,0)-1,0),IF(LEN(F92)&gt;0,Taostats_CSV!E92,""))</f>
        <v>TAO</v>
      </c>
      <c r="F92" t="str">
        <f ca="1">TRIM(IF(AND(Q92,P92&gt;0),OFFSET(Taostats_CSV!$H$1,MATCH(K92&amp;F$1,Taostats_CSV!$X:$X,0)-1,0),IF(LEN(Taostats_CSV!H92)&gt;0,Taostats_CSV!H92,Taostats_CSV!R92)))</f>
        <v>0.045447525</v>
      </c>
      <c r="G92" t="str">
        <f ca="1">IF(AND(Q92,N92=1),OFFSET(Taostats_CSV!$E$1,MATCH(K92&amp;H$1,Taostats_CSV!$X:$X,0)-1,0),"")</f>
        <v/>
      </c>
      <c r="H92" t="str">
        <f ca="1">IF(AND(Q92,N92=1),OFFSET(Taostats_CSV!$G$1,MATCH(K92&amp;H$1,Taostats_CSV!$X:$X,0)-1,0),"")</f>
        <v/>
      </c>
      <c r="I92" t="str">
        <f ca="1">IF(AND(LEN(K92)=0,LEN(F92)&gt;0),"Income",IF(AND(O92&gt;0,P92&gt;0,C92&lt;&gt;E92),"Trade",IF(AND(NOT(Q92),Taostats_CSV!F92="fee"),'READ ME'!$C$5,"")))</f>
        <v>Income</v>
      </c>
      <c r="J92" t="str">
        <f ca="1">SUBSTITUTE(IF(LEN(I92)=0,Taostats_CSV!F92&amp;" "&amp;Taostats_CSV!J92,IF(I92="Cost","Extrinsic fee","")),"_"," ")</f>
        <v/>
      </c>
      <c r="K92" t="str">
        <f>TRIM(IF(LEN(Taostats_CSV!I92)&gt;0,Taostats_CSV!I92,""))</f>
        <v/>
      </c>
      <c r="L92" t="str">
        <f>IF(Taostats_CSV!E92&lt;&gt;"TAO",IF(LEN(F92)&gt;0,F92,IF(LEN(D92)&gt;0,D92,0))*Taostats_CSV!P92,"")</f>
        <v/>
      </c>
      <c r="M92" t="str">
        <f t="shared" si="21"/>
        <v/>
      </c>
      <c r="N92">
        <f>COUNTIF(Taostats_CSV!$X:$X,Taostats_CSV!$I92&amp;N$1)</f>
        <v>0</v>
      </c>
      <c r="O92">
        <f>COUNTIF(Taostats_CSV!$X:$X,Taostats_CSV!$I92&amp;O$1)</f>
        <v>0</v>
      </c>
      <c r="P92">
        <f>COUNTIF(Taostats_CSV!$X:$X,Taostats_CSV!$I92&amp;P$1)</f>
        <v>0</v>
      </c>
      <c r="Q92" t="b">
        <f t="shared" si="22"/>
        <v>0</v>
      </c>
      <c r="R92" t="b">
        <f>IF(LEN(K92)&gt;0,COUNTIF($K$3:K92,K92),FALSE)</f>
        <v>0</v>
      </c>
      <c r="S92" t="b">
        <f>IF(Taostats_CSV!A92=Taostats_CSV!$A$2,TRUE,Taostats_CSV!G92+Taostats_CSV!H92+Taostats_CSV!R92=0)</f>
        <v>0</v>
      </c>
      <c r="T92" t="b">
        <f t="shared" si="23"/>
        <v>1</v>
      </c>
      <c r="U92" t="b" cm="1">
        <f t="array" aca="1" ref="U92" ca="1">AND(T92,OR(O92-N92&gt;1,P92&gt;1,ISERROR(A92:P92)))</f>
        <v>0</v>
      </c>
      <c r="W92" t="e">
        <f>MATCH(K92&amp;$W$2,Taostats_CSV!$X$3:$X$1167,0)</f>
        <v>#N/A</v>
      </c>
      <c r="X92" t="e">
        <f t="shared" ca="1" si="18"/>
        <v>#VALUE!</v>
      </c>
      <c r="Y92">
        <f t="shared" ca="1" si="19"/>
        <v>4.5447525000000003E-2</v>
      </c>
      <c r="Z92" t="e">
        <f t="shared" ca="1" si="20"/>
        <v>#VALUE!</v>
      </c>
    </row>
    <row r="93" spans="1:26" x14ac:dyDescent="0.4">
      <c r="A93" t="str">
        <f>MID(Taostats_CSV!C93,6,2)&amp;"/"&amp;MID(Taostats_CSV!C93,9,2)&amp;"/"&amp;LEFT(Taostats_CSV!C93,4)&amp;" "&amp;MID(Taostats_CSV!C93,12,8)</f>
        <v>03/14/2025 23:59:48</v>
      </c>
      <c r="C93" t="str">
        <f ca="1">IF(Q93,OFFSET(Taostats_CSV!$E$1,MATCH(K93&amp;D$1,Taostats_CSV!$X:$X,0)-1,0),IF(Taostats_CSV!F93="fee",IF(VALUE(Taostats_CSV!G93)&gt;0,Taostats_CSV!E93,""),""))</f>
        <v/>
      </c>
      <c r="D93" t="str">
        <f ca="1">IF(Q93,OFFSET(Taostats_CSV!$G$1,MATCH(K93&amp;D$1,Taostats_CSV!$X:$X,0)-1,0),IF(Taostats_CSV!F93="fee",IF(VALUE(Taostats_CSV!G93)&gt;0,Taostats_CSV!G93,""),""))</f>
        <v/>
      </c>
      <c r="E93" t="str">
        <f ca="1">IF(AND(Q93,P93&gt;0),OFFSET(Taostats_CSV!$E$1,MATCH(K93&amp;F$1,Taostats_CSV!$X:$X,0)-1,0),IF(LEN(F93)&gt;0,Taostats_CSV!E93,""))</f>
        <v>TAO</v>
      </c>
      <c r="F93" t="str">
        <f ca="1">TRIM(IF(AND(Q93,P93&gt;0),OFFSET(Taostats_CSV!$H$1,MATCH(K93&amp;F$1,Taostats_CSV!$X:$X,0)-1,0),IF(LEN(Taostats_CSV!H93)&gt;0,Taostats_CSV!H93,Taostats_CSV!R93)))</f>
        <v>0.043750627</v>
      </c>
      <c r="G93" t="str">
        <f ca="1">IF(AND(Q93,N93=1),OFFSET(Taostats_CSV!$E$1,MATCH(K93&amp;H$1,Taostats_CSV!$X:$X,0)-1,0),"")</f>
        <v/>
      </c>
      <c r="H93" t="str">
        <f ca="1">IF(AND(Q93,N93=1),OFFSET(Taostats_CSV!$G$1,MATCH(K93&amp;H$1,Taostats_CSV!$X:$X,0)-1,0),"")</f>
        <v/>
      </c>
      <c r="I93" t="str">
        <f ca="1">IF(AND(LEN(K93)=0,LEN(F93)&gt;0),"Income",IF(AND(O93&gt;0,P93&gt;0,C93&lt;&gt;E93),"Trade",IF(AND(NOT(Q93),Taostats_CSV!F93="fee"),'READ ME'!$C$5,"")))</f>
        <v>Income</v>
      </c>
      <c r="J93" t="str">
        <f ca="1">SUBSTITUTE(IF(LEN(I93)=0,Taostats_CSV!F93&amp;" "&amp;Taostats_CSV!J93,IF(I93="Cost","Extrinsic fee","")),"_"," ")</f>
        <v/>
      </c>
      <c r="K93" t="str">
        <f>TRIM(IF(LEN(Taostats_CSV!I93)&gt;0,Taostats_CSV!I93,""))</f>
        <v/>
      </c>
      <c r="L93" t="str">
        <f>IF(Taostats_CSV!E93&lt;&gt;"TAO",IF(LEN(F93)&gt;0,F93,IF(LEN(D93)&gt;0,D93,0))*Taostats_CSV!P93,"")</f>
        <v/>
      </c>
      <c r="M93" t="str">
        <f t="shared" si="21"/>
        <v/>
      </c>
      <c r="N93">
        <f>COUNTIF(Taostats_CSV!$X:$X,Taostats_CSV!$I93&amp;N$1)</f>
        <v>0</v>
      </c>
      <c r="O93">
        <f>COUNTIF(Taostats_CSV!$X:$X,Taostats_CSV!$I93&amp;O$1)</f>
        <v>0</v>
      </c>
      <c r="P93">
        <f>COUNTIF(Taostats_CSV!$X:$X,Taostats_CSV!$I93&amp;P$1)</f>
        <v>0</v>
      </c>
      <c r="Q93" t="b">
        <f t="shared" si="22"/>
        <v>0</v>
      </c>
      <c r="R93" t="b">
        <f>IF(LEN(K93)&gt;0,COUNTIF($K$3:K93,K93),FALSE)</f>
        <v>0</v>
      </c>
      <c r="S93" t="b">
        <f>IF(Taostats_CSV!A93=Taostats_CSV!$A$2,TRUE,Taostats_CSV!G93+Taostats_CSV!H93+Taostats_CSV!R93=0)</f>
        <v>0</v>
      </c>
      <c r="T93" t="b">
        <f t="shared" si="23"/>
        <v>1</v>
      </c>
      <c r="U93" t="b" cm="1">
        <f t="array" aca="1" ref="U93" ca="1">AND(T93,OR(O93-N93&gt;1,P93&gt;1,ISERROR(A93:P93)))</f>
        <v>0</v>
      </c>
      <c r="W93" t="e">
        <f>MATCH(K93&amp;$W$2,Taostats_CSV!$X$3:$X$1167,0)</f>
        <v>#N/A</v>
      </c>
      <c r="X93" t="e">
        <f t="shared" ca="1" si="18"/>
        <v>#VALUE!</v>
      </c>
      <c r="Y93">
        <f t="shared" ca="1" si="19"/>
        <v>4.3750627E-2</v>
      </c>
      <c r="Z93" t="e">
        <f t="shared" ca="1" si="20"/>
        <v>#VALUE!</v>
      </c>
    </row>
    <row r="94" spans="1:26" x14ac:dyDescent="0.4">
      <c r="A94" t="str">
        <f>MID(Taostats_CSV!C94,6,2)&amp;"/"&amp;MID(Taostats_CSV!C94,9,2)&amp;"/"&amp;LEFT(Taostats_CSV!C94,4)&amp;" "&amp;MID(Taostats_CSV!C94,12,8)</f>
        <v>03/15/2025 23:59:48</v>
      </c>
      <c r="C94" t="str">
        <f ca="1">IF(Q94,OFFSET(Taostats_CSV!$E$1,MATCH(K94&amp;D$1,Taostats_CSV!$X:$X,0)-1,0),IF(Taostats_CSV!F94="fee",IF(VALUE(Taostats_CSV!G94)&gt;0,Taostats_CSV!E94,""),""))</f>
        <v/>
      </c>
      <c r="D94" t="str">
        <f ca="1">IF(Q94,OFFSET(Taostats_CSV!$G$1,MATCH(K94&amp;D$1,Taostats_CSV!$X:$X,0)-1,0),IF(Taostats_CSV!F94="fee",IF(VALUE(Taostats_CSV!G94)&gt;0,Taostats_CSV!G94,""),""))</f>
        <v/>
      </c>
      <c r="E94" t="str">
        <f ca="1">IF(AND(Q94,P94&gt;0),OFFSET(Taostats_CSV!$E$1,MATCH(K94&amp;F$1,Taostats_CSV!$X:$X,0)-1,0),IF(LEN(F94)&gt;0,Taostats_CSV!E94,""))</f>
        <v>TAO</v>
      </c>
      <c r="F94" t="str">
        <f ca="1">TRIM(IF(AND(Q94,P94&gt;0),OFFSET(Taostats_CSV!$H$1,MATCH(K94&amp;F$1,Taostats_CSV!$X:$X,0)-1,0),IF(LEN(Taostats_CSV!H94)&gt;0,Taostats_CSV!H94,Taostats_CSV!R94)))</f>
        <v>0.04100522</v>
      </c>
      <c r="G94" t="str">
        <f ca="1">IF(AND(Q94,N94=1),OFFSET(Taostats_CSV!$E$1,MATCH(K94&amp;H$1,Taostats_CSV!$X:$X,0)-1,0),"")</f>
        <v/>
      </c>
      <c r="H94" t="str">
        <f ca="1">IF(AND(Q94,N94=1),OFFSET(Taostats_CSV!$G$1,MATCH(K94&amp;H$1,Taostats_CSV!$X:$X,0)-1,0),"")</f>
        <v/>
      </c>
      <c r="I94" t="str">
        <f ca="1">IF(AND(LEN(K94)=0,LEN(F94)&gt;0),"Income",IF(AND(O94&gt;0,P94&gt;0,C94&lt;&gt;E94),"Trade",IF(AND(NOT(Q94),Taostats_CSV!F94="fee"),'READ ME'!$C$5,"")))</f>
        <v>Income</v>
      </c>
      <c r="J94" t="str">
        <f ca="1">SUBSTITUTE(IF(LEN(I94)=0,Taostats_CSV!F94&amp;" "&amp;Taostats_CSV!J94,IF(I94="Cost","Extrinsic fee","")),"_"," ")</f>
        <v/>
      </c>
      <c r="K94" t="str">
        <f>TRIM(IF(LEN(Taostats_CSV!I94)&gt;0,Taostats_CSV!I94,""))</f>
        <v/>
      </c>
      <c r="L94" t="str">
        <f>IF(Taostats_CSV!E94&lt;&gt;"TAO",IF(LEN(F94)&gt;0,F94,IF(LEN(D94)&gt;0,D94,0))*Taostats_CSV!P94,"")</f>
        <v/>
      </c>
      <c r="M94" t="str">
        <f t="shared" si="21"/>
        <v/>
      </c>
      <c r="N94">
        <f>COUNTIF(Taostats_CSV!$X:$X,Taostats_CSV!$I94&amp;N$1)</f>
        <v>0</v>
      </c>
      <c r="O94">
        <f>COUNTIF(Taostats_CSV!$X:$X,Taostats_CSV!$I94&amp;O$1)</f>
        <v>0</v>
      </c>
      <c r="P94">
        <f>COUNTIF(Taostats_CSV!$X:$X,Taostats_CSV!$I94&amp;P$1)</f>
        <v>0</v>
      </c>
      <c r="Q94" t="b">
        <f t="shared" si="22"/>
        <v>0</v>
      </c>
      <c r="R94" t="b">
        <f>IF(LEN(K94)&gt;0,COUNTIF($K$3:K94,K94),FALSE)</f>
        <v>0</v>
      </c>
      <c r="S94" t="b">
        <f>IF(Taostats_CSV!A94=Taostats_CSV!$A$2,TRUE,Taostats_CSV!G94+Taostats_CSV!H94+Taostats_CSV!R94=0)</f>
        <v>0</v>
      </c>
      <c r="T94" t="b">
        <f t="shared" si="23"/>
        <v>1</v>
      </c>
      <c r="U94" t="b" cm="1">
        <f t="array" aca="1" ref="U94" ca="1">AND(T94,OR(O94-N94&gt;1,P94&gt;1,ISERROR(A94:P94)))</f>
        <v>0</v>
      </c>
      <c r="W94" t="e">
        <f>MATCH(K94&amp;$W$2,Taostats_CSV!$X$3:$X$1167,0)</f>
        <v>#N/A</v>
      </c>
      <c r="X94" t="e">
        <f t="shared" ca="1" si="18"/>
        <v>#VALUE!</v>
      </c>
      <c r="Y94">
        <f t="shared" ca="1" si="19"/>
        <v>4.1005220000000002E-2</v>
      </c>
      <c r="Z94" t="e">
        <f t="shared" ca="1" si="20"/>
        <v>#VALUE!</v>
      </c>
    </row>
    <row r="95" spans="1:26" x14ac:dyDescent="0.4">
      <c r="A95" t="str">
        <f>MID(Taostats_CSV!C95,6,2)&amp;"/"&amp;MID(Taostats_CSV!C95,9,2)&amp;"/"&amp;LEFT(Taostats_CSV!C95,4)&amp;" "&amp;MID(Taostats_CSV!C95,12,8)</f>
        <v>03/16/2025 23:59:48</v>
      </c>
      <c r="C95" t="str">
        <f ca="1">IF(Q95,OFFSET(Taostats_CSV!$E$1,MATCH(K95&amp;D$1,Taostats_CSV!$X:$X,0)-1,0),IF(Taostats_CSV!F95="fee",IF(VALUE(Taostats_CSV!G95)&gt;0,Taostats_CSV!E95,""),""))</f>
        <v/>
      </c>
      <c r="D95" t="str">
        <f ca="1">IF(Q95,OFFSET(Taostats_CSV!$G$1,MATCH(K95&amp;D$1,Taostats_CSV!$X:$X,0)-1,0),IF(Taostats_CSV!F95="fee",IF(VALUE(Taostats_CSV!G95)&gt;0,Taostats_CSV!G95,""),""))</f>
        <v/>
      </c>
      <c r="E95" t="str">
        <f ca="1">IF(AND(Q95,P95&gt;0),OFFSET(Taostats_CSV!$E$1,MATCH(K95&amp;F$1,Taostats_CSV!$X:$X,0)-1,0),IF(LEN(F95)&gt;0,Taostats_CSV!E95,""))</f>
        <v>TAO</v>
      </c>
      <c r="F95" t="str">
        <f ca="1">TRIM(IF(AND(Q95,P95&gt;0),OFFSET(Taostats_CSV!$H$1,MATCH(K95&amp;F$1,Taostats_CSV!$X:$X,0)-1,0),IF(LEN(Taostats_CSV!H95)&gt;0,Taostats_CSV!H95,Taostats_CSV!R95)))</f>
        <v>0.040952288</v>
      </c>
      <c r="G95" t="str">
        <f ca="1">IF(AND(Q95,N95=1),OFFSET(Taostats_CSV!$E$1,MATCH(K95&amp;H$1,Taostats_CSV!$X:$X,0)-1,0),"")</f>
        <v/>
      </c>
      <c r="H95" t="str">
        <f ca="1">IF(AND(Q95,N95=1),OFFSET(Taostats_CSV!$G$1,MATCH(K95&amp;H$1,Taostats_CSV!$X:$X,0)-1,0),"")</f>
        <v/>
      </c>
      <c r="I95" t="str">
        <f ca="1">IF(AND(LEN(K95)=0,LEN(F95)&gt;0),"Income",IF(AND(O95&gt;0,P95&gt;0,C95&lt;&gt;E95),"Trade",IF(AND(NOT(Q95),Taostats_CSV!F95="fee"),'READ ME'!$C$5,"")))</f>
        <v>Income</v>
      </c>
      <c r="J95" t="str">
        <f ca="1">SUBSTITUTE(IF(LEN(I95)=0,Taostats_CSV!F95&amp;" "&amp;Taostats_CSV!J95,IF(I95="Cost","Extrinsic fee","")),"_"," ")</f>
        <v/>
      </c>
      <c r="K95" t="str">
        <f>TRIM(IF(LEN(Taostats_CSV!I95)&gt;0,Taostats_CSV!I95,""))</f>
        <v/>
      </c>
      <c r="L95" t="str">
        <f>IF(Taostats_CSV!E95&lt;&gt;"TAO",IF(LEN(F95)&gt;0,F95,IF(LEN(D95)&gt;0,D95,0))*Taostats_CSV!P95,"")</f>
        <v/>
      </c>
      <c r="M95" t="str">
        <f t="shared" si="21"/>
        <v/>
      </c>
      <c r="N95">
        <f>COUNTIF(Taostats_CSV!$X:$X,Taostats_CSV!$I95&amp;N$1)</f>
        <v>0</v>
      </c>
      <c r="O95">
        <f>COUNTIF(Taostats_CSV!$X:$X,Taostats_CSV!$I95&amp;O$1)</f>
        <v>0</v>
      </c>
      <c r="P95">
        <f>COUNTIF(Taostats_CSV!$X:$X,Taostats_CSV!$I95&amp;P$1)</f>
        <v>0</v>
      </c>
      <c r="Q95" t="b">
        <f t="shared" si="22"/>
        <v>0</v>
      </c>
      <c r="R95" t="b">
        <f>IF(LEN(K95)&gt;0,COUNTIF($K$3:K95,K95),FALSE)</f>
        <v>0</v>
      </c>
      <c r="S95" t="b">
        <f>IF(Taostats_CSV!A95=Taostats_CSV!$A$2,TRUE,Taostats_CSV!G95+Taostats_CSV!H95+Taostats_CSV!R95=0)</f>
        <v>0</v>
      </c>
      <c r="T95" t="b">
        <f t="shared" si="23"/>
        <v>1</v>
      </c>
      <c r="U95" t="b" cm="1">
        <f t="array" aca="1" ref="U95" ca="1">AND(T95,OR(O95-N95&gt;1,P95&gt;1,ISERROR(A95:P95)))</f>
        <v>0</v>
      </c>
      <c r="W95" t="e">
        <f>MATCH(K95&amp;$W$2,Taostats_CSV!$X$3:$X$1167,0)</f>
        <v>#N/A</v>
      </c>
      <c r="X95" t="e">
        <f t="shared" ca="1" si="18"/>
        <v>#VALUE!</v>
      </c>
      <c r="Y95">
        <f t="shared" ca="1" si="19"/>
        <v>4.0952288000000003E-2</v>
      </c>
      <c r="Z95" t="e">
        <f t="shared" ca="1" si="20"/>
        <v>#VALUE!</v>
      </c>
    </row>
    <row r="96" spans="1:26" x14ac:dyDescent="0.4">
      <c r="A96" t="str">
        <f>MID(Taostats_CSV!C96,6,2)&amp;"/"&amp;MID(Taostats_CSV!C96,9,2)&amp;"/"&amp;LEFT(Taostats_CSV!C96,4)&amp;" "&amp;MID(Taostats_CSV!C96,12,8)</f>
        <v>03/17/2025 23:59:48</v>
      </c>
      <c r="C96" t="str">
        <f ca="1">IF(Q96,OFFSET(Taostats_CSV!$E$1,MATCH(K96&amp;D$1,Taostats_CSV!$X:$X,0)-1,0),IF(Taostats_CSV!F96="fee",IF(VALUE(Taostats_CSV!G96)&gt;0,Taostats_CSV!E96,""),""))</f>
        <v/>
      </c>
      <c r="D96" t="str">
        <f ca="1">IF(Q96,OFFSET(Taostats_CSV!$G$1,MATCH(K96&amp;D$1,Taostats_CSV!$X:$X,0)-1,0),IF(Taostats_CSV!F96="fee",IF(VALUE(Taostats_CSV!G96)&gt;0,Taostats_CSV!G96,""),""))</f>
        <v/>
      </c>
      <c r="E96" t="str">
        <f ca="1">IF(AND(Q96,P96&gt;0),OFFSET(Taostats_CSV!$E$1,MATCH(K96&amp;F$1,Taostats_CSV!$X:$X,0)-1,0),IF(LEN(F96)&gt;0,Taostats_CSV!E96,""))</f>
        <v>TAO</v>
      </c>
      <c r="F96" t="str">
        <f ca="1">TRIM(IF(AND(Q96,P96&gt;0),OFFSET(Taostats_CSV!$H$1,MATCH(K96&amp;F$1,Taostats_CSV!$X:$X,0)-1,0),IF(LEN(Taostats_CSV!H96)&gt;0,Taostats_CSV!H96,Taostats_CSV!R96)))</f>
        <v>0.040362484</v>
      </c>
      <c r="G96" t="str">
        <f ca="1">IF(AND(Q96,N96=1),OFFSET(Taostats_CSV!$E$1,MATCH(K96&amp;H$1,Taostats_CSV!$X:$X,0)-1,0),"")</f>
        <v/>
      </c>
      <c r="H96" t="str">
        <f ca="1">IF(AND(Q96,N96=1),OFFSET(Taostats_CSV!$G$1,MATCH(K96&amp;H$1,Taostats_CSV!$X:$X,0)-1,0),"")</f>
        <v/>
      </c>
      <c r="I96" t="str">
        <f ca="1">IF(AND(LEN(K96)=0,LEN(F96)&gt;0),"Income",IF(AND(O96&gt;0,P96&gt;0,C96&lt;&gt;E96),"Trade",IF(AND(NOT(Q96),Taostats_CSV!F96="fee"),'READ ME'!$C$5,"")))</f>
        <v>Income</v>
      </c>
      <c r="J96" t="str">
        <f ca="1">SUBSTITUTE(IF(LEN(I96)=0,Taostats_CSV!F96&amp;" "&amp;Taostats_CSV!J96,IF(I96="Cost","Extrinsic fee","")),"_"," ")</f>
        <v/>
      </c>
      <c r="K96" t="str">
        <f>TRIM(IF(LEN(Taostats_CSV!I96)&gt;0,Taostats_CSV!I96,""))</f>
        <v/>
      </c>
      <c r="L96" t="str">
        <f>IF(Taostats_CSV!E96&lt;&gt;"TAO",IF(LEN(F96)&gt;0,F96,IF(LEN(D96)&gt;0,D96,0))*Taostats_CSV!P96,"")</f>
        <v/>
      </c>
      <c r="M96" t="str">
        <f t="shared" si="21"/>
        <v/>
      </c>
      <c r="N96">
        <f>COUNTIF(Taostats_CSV!$X:$X,Taostats_CSV!$I96&amp;N$1)</f>
        <v>0</v>
      </c>
      <c r="O96">
        <f>COUNTIF(Taostats_CSV!$X:$X,Taostats_CSV!$I96&amp;O$1)</f>
        <v>0</v>
      </c>
      <c r="P96">
        <f>COUNTIF(Taostats_CSV!$X:$X,Taostats_CSV!$I96&amp;P$1)</f>
        <v>0</v>
      </c>
      <c r="Q96" t="b">
        <f t="shared" si="22"/>
        <v>0</v>
      </c>
      <c r="R96" t="b">
        <f>IF(LEN(K96)&gt;0,COUNTIF($K$3:K96,K96),FALSE)</f>
        <v>0</v>
      </c>
      <c r="S96" t="b">
        <f>IF(Taostats_CSV!A96=Taostats_CSV!$A$2,TRUE,Taostats_CSV!G96+Taostats_CSV!H96+Taostats_CSV!R96=0)</f>
        <v>0</v>
      </c>
      <c r="T96" t="b">
        <f t="shared" si="23"/>
        <v>1</v>
      </c>
      <c r="U96" t="b" cm="1">
        <f t="array" aca="1" ref="U96" ca="1">AND(T96,OR(O96-N96&gt;1,P96&gt;1,ISERROR(A96:P96)))</f>
        <v>0</v>
      </c>
      <c r="W96" t="e">
        <f>MATCH(K96&amp;$W$2,Taostats_CSV!$X$3:$X$1167,0)</f>
        <v>#N/A</v>
      </c>
      <c r="X96" t="e">
        <f t="shared" ca="1" si="18"/>
        <v>#VALUE!</v>
      </c>
      <c r="Y96">
        <f t="shared" ca="1" si="19"/>
        <v>4.0362483999999997E-2</v>
      </c>
      <c r="Z96" t="e">
        <f t="shared" ca="1" si="20"/>
        <v>#VALUE!</v>
      </c>
    </row>
    <row r="97" spans="1:26" x14ac:dyDescent="0.4">
      <c r="A97" t="str">
        <f>MID(Taostats_CSV!C97,6,2)&amp;"/"&amp;MID(Taostats_CSV!C97,9,2)&amp;"/"&amp;LEFT(Taostats_CSV!C97,4)&amp;" "&amp;MID(Taostats_CSV!C97,12,8)</f>
        <v>03/18/2025 23:59:48</v>
      </c>
      <c r="C97" t="str">
        <f ca="1">IF(Q97,OFFSET(Taostats_CSV!$E$1,MATCH(K97&amp;D$1,Taostats_CSV!$X:$X,0)-1,0),IF(Taostats_CSV!F97="fee",IF(VALUE(Taostats_CSV!G97)&gt;0,Taostats_CSV!E97,""),""))</f>
        <v/>
      </c>
      <c r="D97" t="str">
        <f ca="1">IF(Q97,OFFSET(Taostats_CSV!$G$1,MATCH(K97&amp;D$1,Taostats_CSV!$X:$X,0)-1,0),IF(Taostats_CSV!F97="fee",IF(VALUE(Taostats_CSV!G97)&gt;0,Taostats_CSV!G97,""),""))</f>
        <v/>
      </c>
      <c r="E97" t="str">
        <f ca="1">IF(AND(Q97,P97&gt;0),OFFSET(Taostats_CSV!$E$1,MATCH(K97&amp;F$1,Taostats_CSV!$X:$X,0)-1,0),IF(LEN(F97)&gt;0,Taostats_CSV!E97,""))</f>
        <v>TAO</v>
      </c>
      <c r="F97" t="str">
        <f ca="1">TRIM(IF(AND(Q97,P97&gt;0),OFFSET(Taostats_CSV!$H$1,MATCH(K97&amp;F$1,Taostats_CSV!$X:$X,0)-1,0),IF(LEN(Taostats_CSV!H97)&gt;0,Taostats_CSV!H97,Taostats_CSV!R97)))</f>
        <v>0.041011448</v>
      </c>
      <c r="G97" t="str">
        <f ca="1">IF(AND(Q97,N97=1),OFFSET(Taostats_CSV!$E$1,MATCH(K97&amp;H$1,Taostats_CSV!$X:$X,0)-1,0),"")</f>
        <v/>
      </c>
      <c r="H97" t="str">
        <f ca="1">IF(AND(Q97,N97=1),OFFSET(Taostats_CSV!$G$1,MATCH(K97&amp;H$1,Taostats_CSV!$X:$X,0)-1,0),"")</f>
        <v/>
      </c>
      <c r="I97" t="str">
        <f ca="1">IF(AND(LEN(K97)=0,LEN(F97)&gt;0),"Income",IF(AND(O97&gt;0,P97&gt;0,C97&lt;&gt;E97),"Trade",IF(AND(NOT(Q97),Taostats_CSV!F97="fee"),'READ ME'!$C$5,"")))</f>
        <v>Income</v>
      </c>
      <c r="J97" t="str">
        <f ca="1">SUBSTITUTE(IF(LEN(I97)=0,Taostats_CSV!F97&amp;" "&amp;Taostats_CSV!J97,IF(I97="Cost","Extrinsic fee","")),"_"," ")</f>
        <v/>
      </c>
      <c r="K97" t="str">
        <f>TRIM(IF(LEN(Taostats_CSV!I97)&gt;0,Taostats_CSV!I97,""))</f>
        <v/>
      </c>
      <c r="L97" t="str">
        <f>IF(Taostats_CSV!E97&lt;&gt;"TAO",IF(LEN(F97)&gt;0,F97,IF(LEN(D97)&gt;0,D97,0))*Taostats_CSV!P97,"")</f>
        <v/>
      </c>
      <c r="M97" t="str">
        <f t="shared" si="21"/>
        <v/>
      </c>
      <c r="N97">
        <f>COUNTIF(Taostats_CSV!$X:$X,Taostats_CSV!$I97&amp;N$1)</f>
        <v>0</v>
      </c>
      <c r="O97">
        <f>COUNTIF(Taostats_CSV!$X:$X,Taostats_CSV!$I97&amp;O$1)</f>
        <v>0</v>
      </c>
      <c r="P97">
        <f>COUNTIF(Taostats_CSV!$X:$X,Taostats_CSV!$I97&amp;P$1)</f>
        <v>0</v>
      </c>
      <c r="Q97" t="b">
        <f t="shared" si="22"/>
        <v>0</v>
      </c>
      <c r="R97" t="b">
        <f>IF(LEN(K97)&gt;0,COUNTIF($K$3:K97,K97),FALSE)</f>
        <v>0</v>
      </c>
      <c r="S97" t="b">
        <f>IF(Taostats_CSV!A97=Taostats_CSV!$A$2,TRUE,Taostats_CSV!G97+Taostats_CSV!H97+Taostats_CSV!R97=0)</f>
        <v>0</v>
      </c>
      <c r="T97" t="b">
        <f t="shared" si="23"/>
        <v>1</v>
      </c>
      <c r="U97" t="b" cm="1">
        <f t="array" aca="1" ref="U97" ca="1">AND(T97,OR(O97-N97&gt;1,P97&gt;1,ISERROR(A97:P97)))</f>
        <v>0</v>
      </c>
      <c r="W97" t="e">
        <f>MATCH(K97&amp;$W$2,Taostats_CSV!$X$3:$X$1167,0)</f>
        <v>#N/A</v>
      </c>
      <c r="X97" t="e">
        <f t="shared" ca="1" si="18"/>
        <v>#VALUE!</v>
      </c>
      <c r="Y97">
        <f t="shared" ca="1" si="19"/>
        <v>4.1011447999999999E-2</v>
      </c>
      <c r="Z97" t="e">
        <f t="shared" ca="1" si="20"/>
        <v>#VALUE!</v>
      </c>
    </row>
    <row r="98" spans="1:26" x14ac:dyDescent="0.4">
      <c r="A98" t="str">
        <f>MID(Taostats_CSV!C98,6,2)&amp;"/"&amp;MID(Taostats_CSV!C98,9,2)&amp;"/"&amp;LEFT(Taostats_CSV!C98,4)&amp;" "&amp;MID(Taostats_CSV!C98,12,8)</f>
        <v>03/19/2025 23:59:48</v>
      </c>
      <c r="C98" t="str">
        <f ca="1">IF(Q98,OFFSET(Taostats_CSV!$E$1,MATCH(K98&amp;D$1,Taostats_CSV!$X:$X,0)-1,0),IF(Taostats_CSV!F98="fee",IF(VALUE(Taostats_CSV!G98)&gt;0,Taostats_CSV!E98,""),""))</f>
        <v/>
      </c>
      <c r="D98" t="str">
        <f ca="1">IF(Q98,OFFSET(Taostats_CSV!$G$1,MATCH(K98&amp;D$1,Taostats_CSV!$X:$X,0)-1,0),IF(Taostats_CSV!F98="fee",IF(VALUE(Taostats_CSV!G98)&gt;0,Taostats_CSV!G98,""),""))</f>
        <v/>
      </c>
      <c r="E98" t="str">
        <f ca="1">IF(AND(Q98,P98&gt;0),OFFSET(Taostats_CSV!$E$1,MATCH(K98&amp;F$1,Taostats_CSV!$X:$X,0)-1,0),IF(LEN(F98)&gt;0,Taostats_CSV!E98,""))</f>
        <v>TAO</v>
      </c>
      <c r="F98" t="str">
        <f ca="1">TRIM(IF(AND(Q98,P98&gt;0),OFFSET(Taostats_CSV!$H$1,MATCH(K98&amp;F$1,Taostats_CSV!$X:$X,0)-1,0),IF(LEN(Taostats_CSV!H98)&gt;0,Taostats_CSV!H98,Taostats_CSV!R98)))</f>
        <v>0.042142183</v>
      </c>
      <c r="G98" t="str">
        <f ca="1">IF(AND(Q98,N98=1),OFFSET(Taostats_CSV!$E$1,MATCH(K98&amp;H$1,Taostats_CSV!$X:$X,0)-1,0),"")</f>
        <v/>
      </c>
      <c r="H98" t="str">
        <f ca="1">IF(AND(Q98,N98=1),OFFSET(Taostats_CSV!$G$1,MATCH(K98&amp;H$1,Taostats_CSV!$X:$X,0)-1,0),"")</f>
        <v/>
      </c>
      <c r="I98" t="str">
        <f ca="1">IF(AND(LEN(K98)=0,LEN(F98)&gt;0),"Income",IF(AND(O98&gt;0,P98&gt;0,C98&lt;&gt;E98),"Trade",IF(AND(NOT(Q98),Taostats_CSV!F98="fee"),'READ ME'!$C$5,"")))</f>
        <v>Income</v>
      </c>
      <c r="J98" t="str">
        <f ca="1">SUBSTITUTE(IF(LEN(I98)=0,Taostats_CSV!F98&amp;" "&amp;Taostats_CSV!J98,IF(I98="Cost","Extrinsic fee","")),"_"," ")</f>
        <v/>
      </c>
      <c r="K98" t="str">
        <f>TRIM(IF(LEN(Taostats_CSV!I98)&gt;0,Taostats_CSV!I98,""))</f>
        <v/>
      </c>
      <c r="L98" t="str">
        <f>IF(Taostats_CSV!E98&lt;&gt;"TAO",IF(LEN(F98)&gt;0,F98,IF(LEN(D98)&gt;0,D98,0))*Taostats_CSV!P98,"")</f>
        <v/>
      </c>
      <c r="M98" t="str">
        <f t="shared" si="21"/>
        <v/>
      </c>
      <c r="N98">
        <f>COUNTIF(Taostats_CSV!$X:$X,Taostats_CSV!$I98&amp;N$1)</f>
        <v>0</v>
      </c>
      <c r="O98">
        <f>COUNTIF(Taostats_CSV!$X:$X,Taostats_CSV!$I98&amp;O$1)</f>
        <v>0</v>
      </c>
      <c r="P98">
        <f>COUNTIF(Taostats_CSV!$X:$X,Taostats_CSV!$I98&amp;P$1)</f>
        <v>0</v>
      </c>
      <c r="Q98" t="b">
        <f t="shared" si="22"/>
        <v>0</v>
      </c>
      <c r="R98" t="b">
        <f>IF(LEN(K98)&gt;0,COUNTIF($K$3:K98,K98),FALSE)</f>
        <v>0</v>
      </c>
      <c r="S98" t="b">
        <f>IF(Taostats_CSV!A98=Taostats_CSV!$A$2,TRUE,Taostats_CSV!G98+Taostats_CSV!H98+Taostats_CSV!R98=0)</f>
        <v>0</v>
      </c>
      <c r="T98" t="b">
        <f t="shared" si="23"/>
        <v>1</v>
      </c>
      <c r="U98" t="b" cm="1">
        <f t="array" aca="1" ref="U98" ca="1">AND(T98,OR(O98-N98&gt;1,P98&gt;1,ISERROR(A98:P98)))</f>
        <v>0</v>
      </c>
      <c r="W98" t="e">
        <f>MATCH(K98&amp;$W$2,Taostats_CSV!$X$3:$X$1167,0)</f>
        <v>#N/A</v>
      </c>
      <c r="X98" t="e">
        <f t="shared" ca="1" si="18"/>
        <v>#VALUE!</v>
      </c>
      <c r="Y98">
        <f t="shared" ca="1" si="19"/>
        <v>4.2142183E-2</v>
      </c>
      <c r="Z98" t="e">
        <f t="shared" ca="1" si="20"/>
        <v>#VALUE!</v>
      </c>
    </row>
    <row r="99" spans="1:26" x14ac:dyDescent="0.4">
      <c r="A99" t="str">
        <f>MID(Taostats_CSV!C99,6,2)&amp;"/"&amp;MID(Taostats_CSV!C99,9,2)&amp;"/"&amp;LEFT(Taostats_CSV!C99,4)&amp;" "&amp;MID(Taostats_CSV!C99,12,8)</f>
        <v>03/20/2025 23:59:48</v>
      </c>
      <c r="C99" t="str">
        <f ca="1">IF(Q99,OFFSET(Taostats_CSV!$E$1,MATCH(K99&amp;D$1,Taostats_CSV!$X:$X,0)-1,0),IF(Taostats_CSV!F99="fee",IF(VALUE(Taostats_CSV!G99)&gt;0,Taostats_CSV!E99,""),""))</f>
        <v/>
      </c>
      <c r="D99" t="str">
        <f ca="1">IF(Q99,OFFSET(Taostats_CSV!$G$1,MATCH(K99&amp;D$1,Taostats_CSV!$X:$X,0)-1,0),IF(Taostats_CSV!F99="fee",IF(VALUE(Taostats_CSV!G99)&gt;0,Taostats_CSV!G99,""),""))</f>
        <v/>
      </c>
      <c r="E99" t="str">
        <f ca="1">IF(AND(Q99,P99&gt;0),OFFSET(Taostats_CSV!$E$1,MATCH(K99&amp;F$1,Taostats_CSV!$X:$X,0)-1,0),IF(LEN(F99)&gt;0,Taostats_CSV!E99,""))</f>
        <v>TAO</v>
      </c>
      <c r="F99" t="str">
        <f ca="1">TRIM(IF(AND(Q99,P99&gt;0),OFFSET(Taostats_CSV!$H$1,MATCH(K99&amp;F$1,Taostats_CSV!$X:$X,0)-1,0),IF(LEN(Taostats_CSV!H99)&gt;0,Taostats_CSV!H99,Taostats_CSV!R99)))</f>
        <v>0.044224138</v>
      </c>
      <c r="G99" t="str">
        <f ca="1">IF(AND(Q99,N99=1),OFFSET(Taostats_CSV!$E$1,MATCH(K99&amp;H$1,Taostats_CSV!$X:$X,0)-1,0),"")</f>
        <v/>
      </c>
      <c r="H99" t="str">
        <f ca="1">IF(AND(Q99,N99=1),OFFSET(Taostats_CSV!$G$1,MATCH(K99&amp;H$1,Taostats_CSV!$X:$X,0)-1,0),"")</f>
        <v/>
      </c>
      <c r="I99" t="str">
        <f ca="1">IF(AND(LEN(K99)=0,LEN(F99)&gt;0),"Income",IF(AND(O99&gt;0,P99&gt;0,C99&lt;&gt;E99),"Trade",IF(AND(NOT(Q99),Taostats_CSV!F99="fee"),'READ ME'!$C$5,"")))</f>
        <v>Income</v>
      </c>
      <c r="J99" t="str">
        <f ca="1">SUBSTITUTE(IF(LEN(I99)=0,Taostats_CSV!F99&amp;" "&amp;Taostats_CSV!J99,IF(I99="Cost","Extrinsic fee","")),"_"," ")</f>
        <v/>
      </c>
      <c r="K99" t="str">
        <f>TRIM(IF(LEN(Taostats_CSV!I99)&gt;0,Taostats_CSV!I99,""))</f>
        <v/>
      </c>
      <c r="L99" t="str">
        <f>IF(Taostats_CSV!E99&lt;&gt;"TAO",IF(LEN(F99)&gt;0,F99,IF(LEN(D99)&gt;0,D99,0))*Taostats_CSV!P99,"")</f>
        <v/>
      </c>
      <c r="M99" t="str">
        <f t="shared" si="21"/>
        <v/>
      </c>
      <c r="N99">
        <f>COUNTIF(Taostats_CSV!$X:$X,Taostats_CSV!$I99&amp;N$1)</f>
        <v>0</v>
      </c>
      <c r="O99">
        <f>COUNTIF(Taostats_CSV!$X:$X,Taostats_CSV!$I99&amp;O$1)</f>
        <v>0</v>
      </c>
      <c r="P99">
        <f>COUNTIF(Taostats_CSV!$X:$X,Taostats_CSV!$I99&amp;P$1)</f>
        <v>0</v>
      </c>
      <c r="Q99" t="b">
        <f t="shared" si="22"/>
        <v>0</v>
      </c>
      <c r="R99" t="b">
        <f>IF(LEN(K99)&gt;0,COUNTIF($K$3:K99,K99),FALSE)</f>
        <v>0</v>
      </c>
      <c r="S99" t="b">
        <f>IF(Taostats_CSV!A99=Taostats_CSV!$A$2,TRUE,Taostats_CSV!G99+Taostats_CSV!H99+Taostats_CSV!R99=0)</f>
        <v>0</v>
      </c>
      <c r="T99" t="b">
        <f t="shared" si="23"/>
        <v>1</v>
      </c>
      <c r="U99" t="b" cm="1">
        <f t="array" aca="1" ref="U99" ca="1">AND(T99,OR(O99-N99&gt;1,P99&gt;1,ISERROR(A99:P99)))</f>
        <v>0</v>
      </c>
      <c r="W99" t="e">
        <f>MATCH(K99&amp;$W$2,Taostats_CSV!$X$3:$X$1167,0)</f>
        <v>#N/A</v>
      </c>
      <c r="X99" t="e">
        <f t="shared" ca="1" si="18"/>
        <v>#VALUE!</v>
      </c>
      <c r="Y99">
        <f t="shared" ca="1" si="19"/>
        <v>4.4224138000000003E-2</v>
      </c>
      <c r="Z99" t="e">
        <f t="shared" ca="1" si="20"/>
        <v>#VALUE!</v>
      </c>
    </row>
    <row r="100" spans="1:26" x14ac:dyDescent="0.4">
      <c r="A100" t="str">
        <f>MID(Taostats_CSV!C100,6,2)&amp;"/"&amp;MID(Taostats_CSV!C100,9,2)&amp;"/"&amp;LEFT(Taostats_CSV!C100,4)&amp;" "&amp;MID(Taostats_CSV!C100,12,8)</f>
        <v>03/21/2025 23:59:48</v>
      </c>
      <c r="C100" t="str">
        <f ca="1">IF(Q100,OFFSET(Taostats_CSV!$E$1,MATCH(K100&amp;D$1,Taostats_CSV!$X:$X,0)-1,0),IF(Taostats_CSV!F100="fee",IF(VALUE(Taostats_CSV!G100)&gt;0,Taostats_CSV!E100,""),""))</f>
        <v/>
      </c>
      <c r="D100" t="str">
        <f ca="1">IF(Q100,OFFSET(Taostats_CSV!$G$1,MATCH(K100&amp;D$1,Taostats_CSV!$X:$X,0)-1,0),IF(Taostats_CSV!F100="fee",IF(VALUE(Taostats_CSV!G100)&gt;0,Taostats_CSV!G100,""),""))</f>
        <v/>
      </c>
      <c r="E100" t="str">
        <f ca="1">IF(AND(Q100,P100&gt;0),OFFSET(Taostats_CSV!$E$1,MATCH(K100&amp;F$1,Taostats_CSV!$X:$X,0)-1,0),IF(LEN(F100)&gt;0,Taostats_CSV!E100,""))</f>
        <v>TAO</v>
      </c>
      <c r="F100" t="str">
        <f ca="1">TRIM(IF(AND(Q100,P100&gt;0),OFFSET(Taostats_CSV!$H$1,MATCH(K100&amp;F$1,Taostats_CSV!$X:$X,0)-1,0),IF(LEN(Taostats_CSV!H100)&gt;0,Taostats_CSV!H100,Taostats_CSV!R100)))</f>
        <v>0.038907595</v>
      </c>
      <c r="G100" t="str">
        <f ca="1">IF(AND(Q100,N100=1),OFFSET(Taostats_CSV!$E$1,MATCH(K100&amp;H$1,Taostats_CSV!$X:$X,0)-1,0),"")</f>
        <v/>
      </c>
      <c r="H100" t="str">
        <f ca="1">IF(AND(Q100,N100=1),OFFSET(Taostats_CSV!$G$1,MATCH(K100&amp;H$1,Taostats_CSV!$X:$X,0)-1,0),"")</f>
        <v/>
      </c>
      <c r="I100" t="str">
        <f ca="1">IF(AND(LEN(K100)=0,LEN(F100)&gt;0),"Income",IF(AND(O100&gt;0,P100&gt;0,C100&lt;&gt;E100),"Trade",IF(AND(NOT(Q100),Taostats_CSV!F100="fee"),'READ ME'!$C$5,"")))</f>
        <v>Income</v>
      </c>
      <c r="J100" t="str">
        <f ca="1">SUBSTITUTE(IF(LEN(I100)=0,Taostats_CSV!F100&amp;" "&amp;Taostats_CSV!J100,IF(I100="Cost","Extrinsic fee","")),"_"," ")</f>
        <v/>
      </c>
      <c r="K100" t="str">
        <f>TRIM(IF(LEN(Taostats_CSV!I100)&gt;0,Taostats_CSV!I100,""))</f>
        <v/>
      </c>
      <c r="L100" t="str">
        <f>IF(Taostats_CSV!E100&lt;&gt;"TAO",IF(LEN(F100)&gt;0,F100,IF(LEN(D100)&gt;0,D100,0))*Taostats_CSV!P100,"")</f>
        <v/>
      </c>
      <c r="M100" t="str">
        <f t="shared" si="21"/>
        <v/>
      </c>
      <c r="N100">
        <f>COUNTIF(Taostats_CSV!$X:$X,Taostats_CSV!$I100&amp;N$1)</f>
        <v>0</v>
      </c>
      <c r="O100">
        <f>COUNTIF(Taostats_CSV!$X:$X,Taostats_CSV!$I100&amp;O$1)</f>
        <v>0</v>
      </c>
      <c r="P100">
        <f>COUNTIF(Taostats_CSV!$X:$X,Taostats_CSV!$I100&amp;P$1)</f>
        <v>0</v>
      </c>
      <c r="Q100" t="b">
        <f t="shared" si="22"/>
        <v>0</v>
      </c>
      <c r="R100" t="b">
        <f>IF(LEN(K100)&gt;0,COUNTIF($K$3:K100,K100),FALSE)</f>
        <v>0</v>
      </c>
      <c r="S100" t="b">
        <f>IF(Taostats_CSV!A100=Taostats_CSV!$A$2,TRUE,Taostats_CSV!G100+Taostats_CSV!H100+Taostats_CSV!R100=0)</f>
        <v>0</v>
      </c>
      <c r="T100" t="b">
        <f t="shared" si="23"/>
        <v>1</v>
      </c>
      <c r="U100" t="b" cm="1">
        <f t="array" aca="1" ref="U100" ca="1">AND(T100,OR(O100-N100&gt;1,P100&gt;1,ISERROR(A100:P100)))</f>
        <v>0</v>
      </c>
      <c r="W100" t="e">
        <f>MATCH(K100&amp;$W$2,Taostats_CSV!$X$3:$X$1167,0)</f>
        <v>#N/A</v>
      </c>
      <c r="X100" t="e">
        <f t="shared" ca="1" si="18"/>
        <v>#VALUE!</v>
      </c>
      <c r="Y100">
        <f t="shared" ca="1" si="19"/>
        <v>3.8907595000000003E-2</v>
      </c>
      <c r="Z100" t="e">
        <f t="shared" ca="1" si="20"/>
        <v>#VALUE!</v>
      </c>
    </row>
    <row r="101" spans="1:26" x14ac:dyDescent="0.4">
      <c r="A101" t="str">
        <f>MID(Taostats_CSV!C101,6,2)&amp;"/"&amp;MID(Taostats_CSV!C101,9,2)&amp;"/"&amp;LEFT(Taostats_CSV!C101,4)&amp;" "&amp;MID(Taostats_CSV!C101,12,8)</f>
        <v>03/22/2025 23:59:48</v>
      </c>
      <c r="C101" t="str">
        <f ca="1">IF(Q101,OFFSET(Taostats_CSV!$E$1,MATCH(K101&amp;D$1,Taostats_CSV!$X:$X,0)-1,0),IF(Taostats_CSV!F101="fee",IF(VALUE(Taostats_CSV!G101)&gt;0,Taostats_CSV!E101,""),""))</f>
        <v/>
      </c>
      <c r="D101" t="str">
        <f ca="1">IF(Q101,OFFSET(Taostats_CSV!$G$1,MATCH(K101&amp;D$1,Taostats_CSV!$X:$X,0)-1,0),IF(Taostats_CSV!F101="fee",IF(VALUE(Taostats_CSV!G101)&gt;0,Taostats_CSV!G101,""),""))</f>
        <v/>
      </c>
      <c r="E101" t="str">
        <f ca="1">IF(AND(Q101,P101&gt;0),OFFSET(Taostats_CSV!$E$1,MATCH(K101&amp;F$1,Taostats_CSV!$X:$X,0)-1,0),IF(LEN(F101)&gt;0,Taostats_CSV!E101,""))</f>
        <v>TAO</v>
      </c>
      <c r="F101" t="str">
        <f ca="1">TRIM(IF(AND(Q101,P101&gt;0),OFFSET(Taostats_CSV!$H$1,MATCH(K101&amp;F$1,Taostats_CSV!$X:$X,0)-1,0),IF(LEN(Taostats_CSV!H101)&gt;0,Taostats_CSV!H101,Taostats_CSV!R101)))</f>
        <v>0.039281117</v>
      </c>
      <c r="G101" t="str">
        <f ca="1">IF(AND(Q101,N101=1),OFFSET(Taostats_CSV!$E$1,MATCH(K101&amp;H$1,Taostats_CSV!$X:$X,0)-1,0),"")</f>
        <v/>
      </c>
      <c r="H101" t="str">
        <f ca="1">IF(AND(Q101,N101=1),OFFSET(Taostats_CSV!$G$1,MATCH(K101&amp;H$1,Taostats_CSV!$X:$X,0)-1,0),"")</f>
        <v/>
      </c>
      <c r="I101" t="str">
        <f ca="1">IF(AND(LEN(K101)=0,LEN(F101)&gt;0),"Income",IF(AND(O101&gt;0,P101&gt;0,C101&lt;&gt;E101),"Trade",IF(AND(NOT(Q101),Taostats_CSV!F101="fee"),'READ ME'!$C$5,"")))</f>
        <v>Income</v>
      </c>
      <c r="J101" t="str">
        <f ca="1">SUBSTITUTE(IF(LEN(I101)=0,Taostats_CSV!F101&amp;" "&amp;Taostats_CSV!J101,IF(I101="Cost","Extrinsic fee","")),"_"," ")</f>
        <v/>
      </c>
      <c r="K101" t="str">
        <f>TRIM(IF(LEN(Taostats_CSV!I101)&gt;0,Taostats_CSV!I101,""))</f>
        <v/>
      </c>
      <c r="L101" t="str">
        <f>IF(Taostats_CSV!E101&lt;&gt;"TAO",IF(LEN(F101)&gt;0,F101,IF(LEN(D101)&gt;0,D101,0))*Taostats_CSV!P101,"")</f>
        <v/>
      </c>
      <c r="M101" t="str">
        <f t="shared" si="21"/>
        <v/>
      </c>
      <c r="N101">
        <f>COUNTIF(Taostats_CSV!$X:$X,Taostats_CSV!$I101&amp;N$1)</f>
        <v>0</v>
      </c>
      <c r="O101">
        <f>COUNTIF(Taostats_CSV!$X:$X,Taostats_CSV!$I101&amp;O$1)</f>
        <v>0</v>
      </c>
      <c r="P101">
        <f>COUNTIF(Taostats_CSV!$X:$X,Taostats_CSV!$I101&amp;P$1)</f>
        <v>0</v>
      </c>
      <c r="Q101" t="b">
        <f t="shared" si="22"/>
        <v>0</v>
      </c>
      <c r="R101" t="b">
        <f>IF(LEN(K101)&gt;0,COUNTIF($K$3:K101,K101),FALSE)</f>
        <v>0</v>
      </c>
      <c r="S101" t="b">
        <f>IF(Taostats_CSV!A101=Taostats_CSV!$A$2,TRUE,Taostats_CSV!G101+Taostats_CSV!H101+Taostats_CSV!R101=0)</f>
        <v>0</v>
      </c>
      <c r="T101" t="b">
        <f t="shared" si="23"/>
        <v>1</v>
      </c>
      <c r="U101" t="b" cm="1">
        <f t="array" aca="1" ref="U101" ca="1">AND(T101,OR(O101-N101&gt;1,P101&gt;1,ISERROR(A101:P101)))</f>
        <v>0</v>
      </c>
      <c r="W101" t="e">
        <f>MATCH(K101&amp;$W$2,Taostats_CSV!$X$3:$X$1167,0)</f>
        <v>#N/A</v>
      </c>
      <c r="X101" t="e">
        <f t="shared" ca="1" si="18"/>
        <v>#VALUE!</v>
      </c>
      <c r="Y101">
        <f t="shared" ca="1" si="19"/>
        <v>3.9281116999999997E-2</v>
      </c>
      <c r="Z101" t="e">
        <f t="shared" ca="1" si="20"/>
        <v>#VALUE!</v>
      </c>
    </row>
    <row r="102" spans="1:26" x14ac:dyDescent="0.4">
      <c r="A102" t="str">
        <f>MID(Taostats_CSV!C102,6,2)&amp;"/"&amp;MID(Taostats_CSV!C102,9,2)&amp;"/"&amp;LEFT(Taostats_CSV!C102,4)&amp;" "&amp;MID(Taostats_CSV!C102,12,8)</f>
        <v>03/23/2025 23:59:48</v>
      </c>
      <c r="C102" t="str">
        <f ca="1">IF(Q102,OFFSET(Taostats_CSV!$E$1,MATCH(K102&amp;D$1,Taostats_CSV!$X:$X,0)-1,0),IF(Taostats_CSV!F102="fee",IF(VALUE(Taostats_CSV!G102)&gt;0,Taostats_CSV!E102,""),""))</f>
        <v/>
      </c>
      <c r="D102" t="str">
        <f ca="1">IF(Q102,OFFSET(Taostats_CSV!$G$1,MATCH(K102&amp;D$1,Taostats_CSV!$X:$X,0)-1,0),IF(Taostats_CSV!F102="fee",IF(VALUE(Taostats_CSV!G102)&gt;0,Taostats_CSV!G102,""),""))</f>
        <v/>
      </c>
      <c r="E102" t="str">
        <f ca="1">IF(AND(Q102,P102&gt;0),OFFSET(Taostats_CSV!$E$1,MATCH(K102&amp;F$1,Taostats_CSV!$X:$X,0)-1,0),IF(LEN(F102)&gt;0,Taostats_CSV!E102,""))</f>
        <v>TAO</v>
      </c>
      <c r="F102" t="str">
        <f ca="1">TRIM(IF(AND(Q102,P102&gt;0),OFFSET(Taostats_CSV!$H$1,MATCH(K102&amp;F$1,Taostats_CSV!$X:$X,0)-1,0),IF(LEN(Taostats_CSV!H102)&gt;0,Taostats_CSV!H102,Taostats_CSV!R102)))</f>
        <v>0.037645245</v>
      </c>
      <c r="G102" t="str">
        <f ca="1">IF(AND(Q102,N102=1),OFFSET(Taostats_CSV!$E$1,MATCH(K102&amp;H$1,Taostats_CSV!$X:$X,0)-1,0),"")</f>
        <v/>
      </c>
      <c r="H102" t="str">
        <f ca="1">IF(AND(Q102,N102=1),OFFSET(Taostats_CSV!$G$1,MATCH(K102&amp;H$1,Taostats_CSV!$X:$X,0)-1,0),"")</f>
        <v/>
      </c>
      <c r="I102" t="str">
        <f ca="1">IF(AND(LEN(K102)=0,LEN(F102)&gt;0),"Income",IF(AND(O102&gt;0,P102&gt;0,C102&lt;&gt;E102),"Trade",IF(AND(NOT(Q102),Taostats_CSV!F102="fee"),'READ ME'!$C$5,"")))</f>
        <v>Income</v>
      </c>
      <c r="J102" t="str">
        <f ca="1">SUBSTITUTE(IF(LEN(I102)=0,Taostats_CSV!F102&amp;" "&amp;Taostats_CSV!J102,IF(I102="Cost","Extrinsic fee","")),"_"," ")</f>
        <v/>
      </c>
      <c r="K102" t="str">
        <f>TRIM(IF(LEN(Taostats_CSV!I102)&gt;0,Taostats_CSV!I102,""))</f>
        <v/>
      </c>
      <c r="L102" t="str">
        <f>IF(Taostats_CSV!E102&lt;&gt;"TAO",IF(LEN(F102)&gt;0,F102,IF(LEN(D102)&gt;0,D102,0))*Taostats_CSV!P102,"")</f>
        <v/>
      </c>
      <c r="M102" t="str">
        <f t="shared" si="21"/>
        <v/>
      </c>
      <c r="N102">
        <f>COUNTIF(Taostats_CSV!$X:$X,Taostats_CSV!$I102&amp;N$1)</f>
        <v>0</v>
      </c>
      <c r="O102">
        <f>COUNTIF(Taostats_CSV!$X:$X,Taostats_CSV!$I102&amp;O$1)</f>
        <v>0</v>
      </c>
      <c r="P102">
        <f>COUNTIF(Taostats_CSV!$X:$X,Taostats_CSV!$I102&amp;P$1)</f>
        <v>0</v>
      </c>
      <c r="Q102" t="b">
        <f t="shared" si="22"/>
        <v>0</v>
      </c>
      <c r="R102" t="b">
        <f>IF(LEN(K102)&gt;0,COUNTIF($K$3:K102,K102),FALSE)</f>
        <v>0</v>
      </c>
      <c r="S102" t="b">
        <f>IF(Taostats_CSV!A102=Taostats_CSV!$A$2,TRUE,Taostats_CSV!G102+Taostats_CSV!H102+Taostats_CSV!R102=0)</f>
        <v>0</v>
      </c>
      <c r="T102" t="b">
        <f t="shared" si="23"/>
        <v>1</v>
      </c>
      <c r="U102" t="b" cm="1">
        <f t="array" aca="1" ref="U102" ca="1">AND(T102,OR(O102-N102&gt;1,P102&gt;1,ISERROR(A102:P102)))</f>
        <v>0</v>
      </c>
      <c r="W102" t="e">
        <f>MATCH(K102&amp;$W$2,Taostats_CSV!$X$3:$X$1167,0)</f>
        <v>#N/A</v>
      </c>
      <c r="X102" t="e">
        <f t="shared" ca="1" si="18"/>
        <v>#VALUE!</v>
      </c>
      <c r="Y102">
        <f t="shared" ca="1" si="19"/>
        <v>3.7645245000000001E-2</v>
      </c>
      <c r="Z102" t="e">
        <f t="shared" ca="1" si="20"/>
        <v>#VALUE!</v>
      </c>
    </row>
    <row r="103" spans="1:26" x14ac:dyDescent="0.4">
      <c r="A103" t="str">
        <f>MID(Taostats_CSV!C103,6,2)&amp;"/"&amp;MID(Taostats_CSV!C103,9,2)&amp;"/"&amp;LEFT(Taostats_CSV!C103,4)&amp;" "&amp;MID(Taostats_CSV!C103,12,8)</f>
        <v>03/24/2025 23:59:48</v>
      </c>
      <c r="C103" t="str">
        <f ca="1">IF(Q103,OFFSET(Taostats_CSV!$E$1,MATCH(K103&amp;D$1,Taostats_CSV!$X:$X,0)-1,0),IF(Taostats_CSV!F103="fee",IF(VALUE(Taostats_CSV!G103)&gt;0,Taostats_CSV!E103,""),""))</f>
        <v/>
      </c>
      <c r="D103" t="str">
        <f ca="1">IF(Q103,OFFSET(Taostats_CSV!$G$1,MATCH(K103&amp;D$1,Taostats_CSV!$X:$X,0)-1,0),IF(Taostats_CSV!F103="fee",IF(VALUE(Taostats_CSV!G103)&gt;0,Taostats_CSV!G103,""),""))</f>
        <v/>
      </c>
      <c r="E103" t="str">
        <f ca="1">IF(AND(Q103,P103&gt;0),OFFSET(Taostats_CSV!$E$1,MATCH(K103&amp;F$1,Taostats_CSV!$X:$X,0)-1,0),IF(LEN(F103)&gt;0,Taostats_CSV!E103,""))</f>
        <v>TAO</v>
      </c>
      <c r="F103" t="str">
        <f ca="1">TRIM(IF(AND(Q103,P103&gt;0),OFFSET(Taostats_CSV!$H$1,MATCH(K103&amp;F$1,Taostats_CSV!$X:$X,0)-1,0),IF(LEN(Taostats_CSV!H103)&gt;0,Taostats_CSV!H103,Taostats_CSV!R103)))</f>
        <v>0.035425375</v>
      </c>
      <c r="G103" t="str">
        <f ca="1">IF(AND(Q103,N103=1),OFFSET(Taostats_CSV!$E$1,MATCH(K103&amp;H$1,Taostats_CSV!$X:$X,0)-1,0),"")</f>
        <v/>
      </c>
      <c r="H103" t="str">
        <f ca="1">IF(AND(Q103,N103=1),OFFSET(Taostats_CSV!$G$1,MATCH(K103&amp;H$1,Taostats_CSV!$X:$X,0)-1,0),"")</f>
        <v/>
      </c>
      <c r="I103" t="str">
        <f ca="1">IF(AND(LEN(K103)=0,LEN(F103)&gt;0),"Income",IF(AND(O103&gt;0,P103&gt;0,C103&lt;&gt;E103),"Trade",IF(AND(NOT(Q103),Taostats_CSV!F103="fee"),'READ ME'!$C$5,"")))</f>
        <v>Income</v>
      </c>
      <c r="J103" t="str">
        <f ca="1">SUBSTITUTE(IF(LEN(I103)=0,Taostats_CSV!F103&amp;" "&amp;Taostats_CSV!J103,IF(I103="Cost","Extrinsic fee","")),"_"," ")</f>
        <v/>
      </c>
      <c r="K103" t="str">
        <f>TRIM(IF(LEN(Taostats_CSV!I103)&gt;0,Taostats_CSV!I103,""))</f>
        <v/>
      </c>
      <c r="L103" t="str">
        <f>IF(Taostats_CSV!E103&lt;&gt;"TAO",IF(LEN(F103)&gt;0,F103,IF(LEN(D103)&gt;0,D103,0))*Taostats_CSV!P103,"")</f>
        <v/>
      </c>
      <c r="M103" t="str">
        <f t="shared" si="21"/>
        <v/>
      </c>
      <c r="N103">
        <f>COUNTIF(Taostats_CSV!$X:$X,Taostats_CSV!$I103&amp;N$1)</f>
        <v>0</v>
      </c>
      <c r="O103">
        <f>COUNTIF(Taostats_CSV!$X:$X,Taostats_CSV!$I103&amp;O$1)</f>
        <v>0</v>
      </c>
      <c r="P103">
        <f>COUNTIF(Taostats_CSV!$X:$X,Taostats_CSV!$I103&amp;P$1)</f>
        <v>0</v>
      </c>
      <c r="Q103" t="b">
        <f t="shared" si="22"/>
        <v>0</v>
      </c>
      <c r="R103" t="b">
        <f>IF(LEN(K103)&gt;0,COUNTIF($K$3:K103,K103),FALSE)</f>
        <v>0</v>
      </c>
      <c r="S103" t="b">
        <f>IF(Taostats_CSV!A103=Taostats_CSV!$A$2,TRUE,Taostats_CSV!G103+Taostats_CSV!H103+Taostats_CSV!R103=0)</f>
        <v>0</v>
      </c>
      <c r="T103" t="b">
        <f t="shared" si="23"/>
        <v>1</v>
      </c>
      <c r="U103" t="b" cm="1">
        <f t="array" aca="1" ref="U103" ca="1">AND(T103,OR(O103-N103&gt;1,P103&gt;1,ISERROR(A103:P103)))</f>
        <v>0</v>
      </c>
      <c r="W103" t="e">
        <f>MATCH(K103&amp;$W$2,Taostats_CSV!$X$3:$X$1167,0)</f>
        <v>#N/A</v>
      </c>
      <c r="X103" t="e">
        <f t="shared" ca="1" si="18"/>
        <v>#VALUE!</v>
      </c>
      <c r="Y103">
        <f t="shared" ca="1" si="19"/>
        <v>3.5425375000000002E-2</v>
      </c>
      <c r="Z103" t="e">
        <f t="shared" ca="1" si="20"/>
        <v>#VALUE!</v>
      </c>
    </row>
    <row r="104" spans="1:26" x14ac:dyDescent="0.4">
      <c r="A104" t="str">
        <f>MID(Taostats_CSV!C104,6,2)&amp;"/"&amp;MID(Taostats_CSV!C104,9,2)&amp;"/"&amp;LEFT(Taostats_CSV!C104,4)&amp;" "&amp;MID(Taostats_CSV!C104,12,8)</f>
        <v>03/25/2025 23:59:48</v>
      </c>
      <c r="C104" t="str">
        <f ca="1">IF(Q104,OFFSET(Taostats_CSV!$E$1,MATCH(K104&amp;D$1,Taostats_CSV!$X:$X,0)-1,0),IF(Taostats_CSV!F104="fee",IF(VALUE(Taostats_CSV!G104)&gt;0,Taostats_CSV!E104,""),""))</f>
        <v/>
      </c>
      <c r="D104" t="str">
        <f ca="1">IF(Q104,OFFSET(Taostats_CSV!$G$1,MATCH(K104&amp;D$1,Taostats_CSV!$X:$X,0)-1,0),IF(Taostats_CSV!F104="fee",IF(VALUE(Taostats_CSV!G104)&gt;0,Taostats_CSV!G104,""),""))</f>
        <v/>
      </c>
      <c r="E104" t="str">
        <f ca="1">IF(AND(Q104,P104&gt;0),OFFSET(Taostats_CSV!$E$1,MATCH(K104&amp;F$1,Taostats_CSV!$X:$X,0)-1,0),IF(LEN(F104)&gt;0,Taostats_CSV!E104,""))</f>
        <v>TAO</v>
      </c>
      <c r="F104" t="str">
        <f ca="1">TRIM(IF(AND(Q104,P104&gt;0),OFFSET(Taostats_CSV!$H$1,MATCH(K104&amp;F$1,Taostats_CSV!$X:$X,0)-1,0),IF(LEN(Taostats_CSV!H104)&gt;0,Taostats_CSV!H104,Taostats_CSV!R104)))</f>
        <v>0.034770987</v>
      </c>
      <c r="G104" t="str">
        <f ca="1">IF(AND(Q104,N104=1),OFFSET(Taostats_CSV!$E$1,MATCH(K104&amp;H$1,Taostats_CSV!$X:$X,0)-1,0),"")</f>
        <v/>
      </c>
      <c r="H104" t="str">
        <f ca="1">IF(AND(Q104,N104=1),OFFSET(Taostats_CSV!$G$1,MATCH(K104&amp;H$1,Taostats_CSV!$X:$X,0)-1,0),"")</f>
        <v/>
      </c>
      <c r="I104" t="str">
        <f ca="1">IF(AND(LEN(K104)=0,LEN(F104)&gt;0),"Income",IF(AND(O104&gt;0,P104&gt;0,C104&lt;&gt;E104),"Trade",IF(AND(NOT(Q104),Taostats_CSV!F104="fee"),'READ ME'!$C$5,"")))</f>
        <v>Income</v>
      </c>
      <c r="J104" t="str">
        <f ca="1">SUBSTITUTE(IF(LEN(I104)=0,Taostats_CSV!F104&amp;" "&amp;Taostats_CSV!J104,IF(I104="Cost","Extrinsic fee","")),"_"," ")</f>
        <v/>
      </c>
      <c r="K104" t="str">
        <f>TRIM(IF(LEN(Taostats_CSV!I104)&gt;0,Taostats_CSV!I104,""))</f>
        <v/>
      </c>
      <c r="L104" t="str">
        <f>IF(Taostats_CSV!E104&lt;&gt;"TAO",IF(LEN(F104)&gt;0,F104,IF(LEN(D104)&gt;0,D104,0))*Taostats_CSV!P104,"")</f>
        <v/>
      </c>
      <c r="M104" t="str">
        <f t="shared" si="21"/>
        <v/>
      </c>
      <c r="N104">
        <f>COUNTIF(Taostats_CSV!$X:$X,Taostats_CSV!$I104&amp;N$1)</f>
        <v>0</v>
      </c>
      <c r="O104">
        <f>COUNTIF(Taostats_CSV!$X:$X,Taostats_CSV!$I104&amp;O$1)</f>
        <v>0</v>
      </c>
      <c r="P104">
        <f>COUNTIF(Taostats_CSV!$X:$X,Taostats_CSV!$I104&amp;P$1)</f>
        <v>0</v>
      </c>
      <c r="Q104" t="b">
        <f t="shared" si="22"/>
        <v>0</v>
      </c>
      <c r="R104" t="b">
        <f>IF(LEN(K104)&gt;0,COUNTIF($K$3:K104,K104),FALSE)</f>
        <v>0</v>
      </c>
      <c r="S104" t="b">
        <f>IF(Taostats_CSV!A104=Taostats_CSV!$A$2,TRUE,Taostats_CSV!G104+Taostats_CSV!H104+Taostats_CSV!R104=0)</f>
        <v>0</v>
      </c>
      <c r="T104" t="b">
        <f t="shared" si="23"/>
        <v>1</v>
      </c>
      <c r="U104" t="b" cm="1">
        <f t="array" aca="1" ref="U104" ca="1">AND(T104,OR(O104-N104&gt;1,P104&gt;1,ISERROR(A104:P104)))</f>
        <v>0</v>
      </c>
      <c r="W104" t="e">
        <f>MATCH(K104&amp;$W$2,Taostats_CSV!$X$3:$X$1167,0)</f>
        <v>#N/A</v>
      </c>
      <c r="X104" t="e">
        <f t="shared" ca="1" si="18"/>
        <v>#VALUE!</v>
      </c>
      <c r="Y104">
        <f t="shared" ca="1" si="19"/>
        <v>3.4770987000000003E-2</v>
      </c>
      <c r="Z104" t="e">
        <f t="shared" ca="1" si="20"/>
        <v>#VALUE!</v>
      </c>
    </row>
    <row r="105" spans="1:26" x14ac:dyDescent="0.4">
      <c r="A105" t="str">
        <f>MID(Taostats_CSV!C105,6,2)&amp;"/"&amp;MID(Taostats_CSV!C105,9,2)&amp;"/"&amp;LEFT(Taostats_CSV!C105,4)&amp;" "&amp;MID(Taostats_CSV!C105,12,8)</f>
        <v>03/26/2025 23:59:48</v>
      </c>
      <c r="C105" t="str">
        <f ca="1">IF(Q105,OFFSET(Taostats_CSV!$E$1,MATCH(K105&amp;D$1,Taostats_CSV!$X:$X,0)-1,0),IF(Taostats_CSV!F105="fee",IF(VALUE(Taostats_CSV!G105)&gt;0,Taostats_CSV!E105,""),""))</f>
        <v/>
      </c>
      <c r="D105" t="str">
        <f ca="1">IF(Q105,OFFSET(Taostats_CSV!$G$1,MATCH(K105&amp;D$1,Taostats_CSV!$X:$X,0)-1,0),IF(Taostats_CSV!F105="fee",IF(VALUE(Taostats_CSV!G105)&gt;0,Taostats_CSV!G105,""),""))</f>
        <v/>
      </c>
      <c r="E105" t="str">
        <f ca="1">IF(AND(Q105,P105&gt;0),OFFSET(Taostats_CSV!$E$1,MATCH(K105&amp;F$1,Taostats_CSV!$X:$X,0)-1,0),IF(LEN(F105)&gt;0,Taostats_CSV!E105,""))</f>
        <v>TAO</v>
      </c>
      <c r="F105" t="str">
        <f ca="1">TRIM(IF(AND(Q105,P105&gt;0),OFFSET(Taostats_CSV!$H$1,MATCH(K105&amp;F$1,Taostats_CSV!$X:$X,0)-1,0),IF(LEN(Taostats_CSV!H105)&gt;0,Taostats_CSV!H105,Taostats_CSV!R105)))</f>
        <v>0.035881616</v>
      </c>
      <c r="G105" t="str">
        <f ca="1">IF(AND(Q105,N105=1),OFFSET(Taostats_CSV!$E$1,MATCH(K105&amp;H$1,Taostats_CSV!$X:$X,0)-1,0),"")</f>
        <v/>
      </c>
      <c r="H105" t="str">
        <f ca="1">IF(AND(Q105,N105=1),OFFSET(Taostats_CSV!$G$1,MATCH(K105&amp;H$1,Taostats_CSV!$X:$X,0)-1,0),"")</f>
        <v/>
      </c>
      <c r="I105" t="str">
        <f ca="1">IF(AND(LEN(K105)=0,LEN(F105)&gt;0),"Income",IF(AND(O105&gt;0,P105&gt;0,C105&lt;&gt;E105),"Trade",IF(AND(NOT(Q105),Taostats_CSV!F105="fee"),'READ ME'!$C$5,"")))</f>
        <v>Income</v>
      </c>
      <c r="J105" t="str">
        <f ca="1">SUBSTITUTE(IF(LEN(I105)=0,Taostats_CSV!F105&amp;" "&amp;Taostats_CSV!J105,IF(I105="Cost","Extrinsic fee","")),"_"," ")</f>
        <v/>
      </c>
      <c r="K105" t="str">
        <f>TRIM(IF(LEN(Taostats_CSV!I105)&gt;0,Taostats_CSV!I105,""))</f>
        <v/>
      </c>
      <c r="L105" t="str">
        <f>IF(Taostats_CSV!E105&lt;&gt;"TAO",IF(LEN(F105)&gt;0,F105,IF(LEN(D105)&gt;0,D105,0))*Taostats_CSV!P105,"")</f>
        <v/>
      </c>
      <c r="M105" t="str">
        <f t="shared" si="21"/>
        <v/>
      </c>
      <c r="N105">
        <f>COUNTIF(Taostats_CSV!$X:$X,Taostats_CSV!$I105&amp;N$1)</f>
        <v>0</v>
      </c>
      <c r="O105">
        <f>COUNTIF(Taostats_CSV!$X:$X,Taostats_CSV!$I105&amp;O$1)</f>
        <v>0</v>
      </c>
      <c r="P105">
        <f>COUNTIF(Taostats_CSV!$X:$X,Taostats_CSV!$I105&amp;P$1)</f>
        <v>0</v>
      </c>
      <c r="Q105" t="b">
        <f t="shared" si="22"/>
        <v>0</v>
      </c>
      <c r="R105" t="b">
        <f>IF(LEN(K105)&gt;0,COUNTIF($K$3:K105,K105),FALSE)</f>
        <v>0</v>
      </c>
      <c r="S105" t="b">
        <f>IF(Taostats_CSV!A105=Taostats_CSV!$A$2,TRUE,Taostats_CSV!G105+Taostats_CSV!H105+Taostats_CSV!R105=0)</f>
        <v>0</v>
      </c>
      <c r="T105" t="b">
        <f t="shared" si="23"/>
        <v>1</v>
      </c>
      <c r="U105" t="b" cm="1">
        <f t="array" aca="1" ref="U105" ca="1">AND(T105,OR(O105-N105&gt;1,P105&gt;1,ISERROR(A105:P105)))</f>
        <v>0</v>
      </c>
      <c r="W105" t="e">
        <f>MATCH(K105&amp;$W$2,Taostats_CSV!$X$3:$X$1167,0)</f>
        <v>#N/A</v>
      </c>
      <c r="X105" t="e">
        <f t="shared" ca="1" si="18"/>
        <v>#VALUE!</v>
      </c>
      <c r="Y105">
        <f t="shared" ca="1" si="19"/>
        <v>3.5881615999999998E-2</v>
      </c>
      <c r="Z105" t="e">
        <f t="shared" ca="1" si="20"/>
        <v>#VALUE!</v>
      </c>
    </row>
    <row r="106" spans="1:26" x14ac:dyDescent="0.4">
      <c r="A106" t="str">
        <f>MID(Taostats_CSV!C106,6,2)&amp;"/"&amp;MID(Taostats_CSV!C106,9,2)&amp;"/"&amp;LEFT(Taostats_CSV!C106,4)&amp;" "&amp;MID(Taostats_CSV!C106,12,8)</f>
        <v>03/27/2025 23:59:48</v>
      </c>
      <c r="C106" t="str">
        <f ca="1">IF(Q106,OFFSET(Taostats_CSV!$E$1,MATCH(K106&amp;D$1,Taostats_CSV!$X:$X,0)-1,0),IF(Taostats_CSV!F106="fee",IF(VALUE(Taostats_CSV!G106)&gt;0,Taostats_CSV!E106,""),""))</f>
        <v/>
      </c>
      <c r="D106" t="str">
        <f ca="1">IF(Q106,OFFSET(Taostats_CSV!$G$1,MATCH(K106&amp;D$1,Taostats_CSV!$X:$X,0)-1,0),IF(Taostats_CSV!F106="fee",IF(VALUE(Taostats_CSV!G106)&gt;0,Taostats_CSV!G106,""),""))</f>
        <v/>
      </c>
      <c r="E106" t="str">
        <f ca="1">IF(AND(Q106,P106&gt;0),OFFSET(Taostats_CSV!$E$1,MATCH(K106&amp;F$1,Taostats_CSV!$X:$X,0)-1,0),IF(LEN(F106)&gt;0,Taostats_CSV!E106,""))</f>
        <v>TAO</v>
      </c>
      <c r="F106" t="str">
        <f ca="1">TRIM(IF(AND(Q106,P106&gt;0),OFFSET(Taostats_CSV!$H$1,MATCH(K106&amp;F$1,Taostats_CSV!$X:$X,0)-1,0),IF(LEN(Taostats_CSV!H106)&gt;0,Taostats_CSV!H106,Taostats_CSV!R106)))</f>
        <v>0.031743127</v>
      </c>
      <c r="G106" t="str">
        <f ca="1">IF(AND(Q106,N106=1),OFFSET(Taostats_CSV!$E$1,MATCH(K106&amp;H$1,Taostats_CSV!$X:$X,0)-1,0),"")</f>
        <v/>
      </c>
      <c r="H106" t="str">
        <f ca="1">IF(AND(Q106,N106=1),OFFSET(Taostats_CSV!$G$1,MATCH(K106&amp;H$1,Taostats_CSV!$X:$X,0)-1,0),"")</f>
        <v/>
      </c>
      <c r="I106" t="str">
        <f ca="1">IF(AND(LEN(K106)=0,LEN(F106)&gt;0),"Income",IF(AND(O106&gt;0,P106&gt;0,C106&lt;&gt;E106),"Trade",IF(AND(NOT(Q106),Taostats_CSV!F106="fee"),'READ ME'!$C$5,"")))</f>
        <v>Income</v>
      </c>
      <c r="J106" t="str">
        <f ca="1">SUBSTITUTE(IF(LEN(I106)=0,Taostats_CSV!F106&amp;" "&amp;Taostats_CSV!J106,IF(I106="Cost","Extrinsic fee","")),"_"," ")</f>
        <v/>
      </c>
      <c r="K106" t="str">
        <f>TRIM(IF(LEN(Taostats_CSV!I106)&gt;0,Taostats_CSV!I106,""))</f>
        <v/>
      </c>
      <c r="L106" t="str">
        <f>IF(Taostats_CSV!E106&lt;&gt;"TAO",IF(LEN(F106)&gt;0,F106,IF(LEN(D106)&gt;0,D106,0))*Taostats_CSV!P106,"")</f>
        <v/>
      </c>
      <c r="M106" t="str">
        <f t="shared" si="21"/>
        <v/>
      </c>
      <c r="N106">
        <f>COUNTIF(Taostats_CSV!$X:$X,Taostats_CSV!$I106&amp;N$1)</f>
        <v>0</v>
      </c>
      <c r="O106">
        <f>COUNTIF(Taostats_CSV!$X:$X,Taostats_CSV!$I106&amp;O$1)</f>
        <v>0</v>
      </c>
      <c r="P106">
        <f>COUNTIF(Taostats_CSV!$X:$X,Taostats_CSV!$I106&amp;P$1)</f>
        <v>0</v>
      </c>
      <c r="Q106" t="b">
        <f t="shared" si="22"/>
        <v>0</v>
      </c>
      <c r="R106" t="b">
        <f>IF(LEN(K106)&gt;0,COUNTIF($K$3:K106,K106),FALSE)</f>
        <v>0</v>
      </c>
      <c r="S106" t="b">
        <f>IF(Taostats_CSV!A106=Taostats_CSV!$A$2,TRUE,Taostats_CSV!G106+Taostats_CSV!H106+Taostats_CSV!R106=0)</f>
        <v>0</v>
      </c>
      <c r="T106" t="b">
        <f t="shared" si="23"/>
        <v>1</v>
      </c>
      <c r="U106" t="b" cm="1">
        <f t="array" aca="1" ref="U106" ca="1">AND(T106,OR(O106-N106&gt;1,P106&gt;1,ISERROR(A106:P106)))</f>
        <v>0</v>
      </c>
      <c r="W106" t="e">
        <f>MATCH(K106&amp;$W$2,Taostats_CSV!$X$3:$X$1167,0)</f>
        <v>#N/A</v>
      </c>
      <c r="X106" t="e">
        <f t="shared" ca="1" si="18"/>
        <v>#VALUE!</v>
      </c>
      <c r="Y106">
        <f t="shared" ca="1" si="19"/>
        <v>3.1743127000000003E-2</v>
      </c>
      <c r="Z106" t="e">
        <f t="shared" ca="1" si="20"/>
        <v>#VALUE!</v>
      </c>
    </row>
    <row r="107" spans="1:26" x14ac:dyDescent="0.4">
      <c r="A107" t="str">
        <f>MID(Taostats_CSV!C107,6,2)&amp;"/"&amp;MID(Taostats_CSV!C107,9,2)&amp;"/"&amp;LEFT(Taostats_CSV!C107,4)&amp;" "&amp;MID(Taostats_CSV!C107,12,8)</f>
        <v>03/28/2025 23:59:48</v>
      </c>
      <c r="C107" t="str">
        <f ca="1">IF(Q107,OFFSET(Taostats_CSV!$E$1,MATCH(K107&amp;D$1,Taostats_CSV!$X:$X,0)-1,0),IF(Taostats_CSV!F107="fee",IF(VALUE(Taostats_CSV!G107)&gt;0,Taostats_CSV!E107,""),""))</f>
        <v/>
      </c>
      <c r="D107" t="str">
        <f ca="1">IF(Q107,OFFSET(Taostats_CSV!$G$1,MATCH(K107&amp;D$1,Taostats_CSV!$X:$X,0)-1,0),IF(Taostats_CSV!F107="fee",IF(VALUE(Taostats_CSV!G107)&gt;0,Taostats_CSV!G107,""),""))</f>
        <v/>
      </c>
      <c r="E107" t="str">
        <f ca="1">IF(AND(Q107,P107&gt;0),OFFSET(Taostats_CSV!$E$1,MATCH(K107&amp;F$1,Taostats_CSV!$X:$X,0)-1,0),IF(LEN(F107)&gt;0,Taostats_CSV!E107,""))</f>
        <v>TAO</v>
      </c>
      <c r="F107" t="str">
        <f ca="1">TRIM(IF(AND(Q107,P107&gt;0),OFFSET(Taostats_CSV!$H$1,MATCH(K107&amp;F$1,Taostats_CSV!$X:$X,0)-1,0),IF(LEN(Taostats_CSV!H107)&gt;0,Taostats_CSV!H107,Taostats_CSV!R107)))</f>
        <v>0.031756306</v>
      </c>
      <c r="G107" t="str">
        <f ca="1">IF(AND(Q107,N107=1),OFFSET(Taostats_CSV!$E$1,MATCH(K107&amp;H$1,Taostats_CSV!$X:$X,0)-1,0),"")</f>
        <v/>
      </c>
      <c r="H107" t="str">
        <f ca="1">IF(AND(Q107,N107=1),OFFSET(Taostats_CSV!$G$1,MATCH(K107&amp;H$1,Taostats_CSV!$X:$X,0)-1,0),"")</f>
        <v/>
      </c>
      <c r="I107" t="str">
        <f ca="1">IF(AND(LEN(K107)=0,LEN(F107)&gt;0),"Income",IF(AND(O107&gt;0,P107&gt;0,C107&lt;&gt;E107),"Trade",IF(AND(NOT(Q107),Taostats_CSV!F107="fee"),'READ ME'!$C$5,"")))</f>
        <v>Income</v>
      </c>
      <c r="J107" t="str">
        <f ca="1">SUBSTITUTE(IF(LEN(I107)=0,Taostats_CSV!F107&amp;" "&amp;Taostats_CSV!J107,IF(I107="Cost","Extrinsic fee","")),"_"," ")</f>
        <v/>
      </c>
      <c r="K107" t="str">
        <f>TRIM(IF(LEN(Taostats_CSV!I107)&gt;0,Taostats_CSV!I107,""))</f>
        <v/>
      </c>
      <c r="L107" t="str">
        <f>IF(Taostats_CSV!E107&lt;&gt;"TAO",IF(LEN(F107)&gt;0,F107,IF(LEN(D107)&gt;0,D107,0))*Taostats_CSV!P107,"")</f>
        <v/>
      </c>
      <c r="M107" t="str">
        <f t="shared" si="21"/>
        <v/>
      </c>
      <c r="N107">
        <f>COUNTIF(Taostats_CSV!$X:$X,Taostats_CSV!$I107&amp;N$1)</f>
        <v>0</v>
      </c>
      <c r="O107">
        <f>COUNTIF(Taostats_CSV!$X:$X,Taostats_CSV!$I107&amp;O$1)</f>
        <v>0</v>
      </c>
      <c r="P107">
        <f>COUNTIF(Taostats_CSV!$X:$X,Taostats_CSV!$I107&amp;P$1)</f>
        <v>0</v>
      </c>
      <c r="Q107" t="b">
        <f t="shared" si="22"/>
        <v>0</v>
      </c>
      <c r="R107" t="b">
        <f>IF(LEN(K107)&gt;0,COUNTIF($K$3:K107,K107),FALSE)</f>
        <v>0</v>
      </c>
      <c r="S107" t="b">
        <f>IF(Taostats_CSV!A107=Taostats_CSV!$A$2,TRUE,Taostats_CSV!G107+Taostats_CSV!H107+Taostats_CSV!R107=0)</f>
        <v>0</v>
      </c>
      <c r="T107" t="b">
        <f t="shared" si="23"/>
        <v>1</v>
      </c>
      <c r="U107" t="b" cm="1">
        <f t="array" aca="1" ref="U107" ca="1">AND(T107,OR(O107-N107&gt;1,P107&gt;1,ISERROR(A107:P107)))</f>
        <v>0</v>
      </c>
      <c r="W107" t="e">
        <f>MATCH(K107&amp;$W$2,Taostats_CSV!$X$3:$X$1167,0)</f>
        <v>#N/A</v>
      </c>
      <c r="X107" t="e">
        <f t="shared" ca="1" si="18"/>
        <v>#VALUE!</v>
      </c>
      <c r="Y107">
        <f t="shared" ca="1" si="19"/>
        <v>3.1756305999999998E-2</v>
      </c>
      <c r="Z107" t="e">
        <f t="shared" ca="1" si="20"/>
        <v>#VALUE!</v>
      </c>
    </row>
    <row r="108" spans="1:26" x14ac:dyDescent="0.4">
      <c r="A108" t="str">
        <f>MID(Taostats_CSV!C108,6,2)&amp;"/"&amp;MID(Taostats_CSV!C108,9,2)&amp;"/"&amp;LEFT(Taostats_CSV!C108,4)&amp;" "&amp;MID(Taostats_CSV!C108,12,8)</f>
        <v>03/29/2025 23:59:48</v>
      </c>
      <c r="C108" t="str">
        <f ca="1">IF(Q108,OFFSET(Taostats_CSV!$E$1,MATCH(K108&amp;D$1,Taostats_CSV!$X:$X,0)-1,0),IF(Taostats_CSV!F108="fee",IF(VALUE(Taostats_CSV!G108)&gt;0,Taostats_CSV!E108,""),""))</f>
        <v/>
      </c>
      <c r="D108" t="str">
        <f ca="1">IF(Q108,OFFSET(Taostats_CSV!$G$1,MATCH(K108&amp;D$1,Taostats_CSV!$X:$X,0)-1,0),IF(Taostats_CSV!F108="fee",IF(VALUE(Taostats_CSV!G108)&gt;0,Taostats_CSV!G108,""),""))</f>
        <v/>
      </c>
      <c r="E108" t="str">
        <f ca="1">IF(AND(Q108,P108&gt;0),OFFSET(Taostats_CSV!$E$1,MATCH(K108&amp;F$1,Taostats_CSV!$X:$X,0)-1,0),IF(LEN(F108)&gt;0,Taostats_CSV!E108,""))</f>
        <v>TAO</v>
      </c>
      <c r="F108" t="str">
        <f ca="1">TRIM(IF(AND(Q108,P108&gt;0),OFFSET(Taostats_CSV!$H$1,MATCH(K108&amp;F$1,Taostats_CSV!$X:$X,0)-1,0),IF(LEN(Taostats_CSV!H108)&gt;0,Taostats_CSV!H108,Taostats_CSV!R108)))</f>
        <v>0.042220427</v>
      </c>
      <c r="G108" t="str">
        <f ca="1">IF(AND(Q108,N108=1),OFFSET(Taostats_CSV!$E$1,MATCH(K108&amp;H$1,Taostats_CSV!$X:$X,0)-1,0),"")</f>
        <v/>
      </c>
      <c r="H108" t="str">
        <f ca="1">IF(AND(Q108,N108=1),OFFSET(Taostats_CSV!$G$1,MATCH(K108&amp;H$1,Taostats_CSV!$X:$X,0)-1,0),"")</f>
        <v/>
      </c>
      <c r="I108" t="str">
        <f ca="1">IF(AND(LEN(K108)=0,LEN(F108)&gt;0),"Income",IF(AND(O108&gt;0,P108&gt;0,C108&lt;&gt;E108),"Trade",IF(AND(NOT(Q108),Taostats_CSV!F108="fee"),'READ ME'!$C$5,"")))</f>
        <v>Income</v>
      </c>
      <c r="J108" t="str">
        <f ca="1">SUBSTITUTE(IF(LEN(I108)=0,Taostats_CSV!F108&amp;" "&amp;Taostats_CSV!J108,IF(I108="Cost","Extrinsic fee","")),"_"," ")</f>
        <v/>
      </c>
      <c r="K108" t="str">
        <f>TRIM(IF(LEN(Taostats_CSV!I108)&gt;0,Taostats_CSV!I108,""))</f>
        <v/>
      </c>
      <c r="L108" t="str">
        <f>IF(Taostats_CSV!E108&lt;&gt;"TAO",IF(LEN(F108)&gt;0,F108,IF(LEN(D108)&gt;0,D108,0))*Taostats_CSV!P108,"")</f>
        <v/>
      </c>
      <c r="M108" t="str">
        <f t="shared" si="21"/>
        <v/>
      </c>
      <c r="N108">
        <f>COUNTIF(Taostats_CSV!$X:$X,Taostats_CSV!$I108&amp;N$1)</f>
        <v>0</v>
      </c>
      <c r="O108">
        <f>COUNTIF(Taostats_CSV!$X:$X,Taostats_CSV!$I108&amp;O$1)</f>
        <v>0</v>
      </c>
      <c r="P108">
        <f>COUNTIF(Taostats_CSV!$X:$X,Taostats_CSV!$I108&amp;P$1)</f>
        <v>0</v>
      </c>
      <c r="Q108" t="b">
        <f t="shared" si="22"/>
        <v>0</v>
      </c>
      <c r="R108" t="b">
        <f>IF(LEN(K108)&gt;0,COUNTIF($K$3:K108,K108),FALSE)</f>
        <v>0</v>
      </c>
      <c r="S108" t="b">
        <f>IF(Taostats_CSV!A108=Taostats_CSV!$A$2,TRUE,Taostats_CSV!G108+Taostats_CSV!H108+Taostats_CSV!R108=0)</f>
        <v>0</v>
      </c>
      <c r="T108" t="b">
        <f t="shared" si="23"/>
        <v>1</v>
      </c>
      <c r="U108" t="b" cm="1">
        <f t="array" aca="1" ref="U108" ca="1">AND(T108,OR(O108-N108&gt;1,P108&gt;1,ISERROR(A108:P108)))</f>
        <v>0</v>
      </c>
      <c r="W108" t="e">
        <f>MATCH(K108&amp;$W$2,Taostats_CSV!$X$3:$X$1167,0)</f>
        <v>#N/A</v>
      </c>
      <c r="X108" t="e">
        <f t="shared" ca="1" si="18"/>
        <v>#VALUE!</v>
      </c>
      <c r="Y108">
        <f t="shared" ca="1" si="19"/>
        <v>4.2220426999999998E-2</v>
      </c>
      <c r="Z108" t="e">
        <f t="shared" ca="1" si="20"/>
        <v>#VALUE!</v>
      </c>
    </row>
    <row r="109" spans="1:26" x14ac:dyDescent="0.4">
      <c r="A109" t="str">
        <f>MID(Taostats_CSV!C109,6,2)&amp;"/"&amp;MID(Taostats_CSV!C109,9,2)&amp;"/"&amp;LEFT(Taostats_CSV!C109,4)&amp;" "&amp;MID(Taostats_CSV!C109,12,8)</f>
        <v>03/30/2025 23:59:48</v>
      </c>
      <c r="C109" t="str">
        <f ca="1">IF(Q109,OFFSET(Taostats_CSV!$E$1,MATCH(K109&amp;D$1,Taostats_CSV!$X:$X,0)-1,0),IF(Taostats_CSV!F109="fee",IF(VALUE(Taostats_CSV!G109)&gt;0,Taostats_CSV!E109,""),""))</f>
        <v/>
      </c>
      <c r="D109" t="str">
        <f ca="1">IF(Q109,OFFSET(Taostats_CSV!$G$1,MATCH(K109&amp;D$1,Taostats_CSV!$X:$X,0)-1,0),IF(Taostats_CSV!F109="fee",IF(VALUE(Taostats_CSV!G109)&gt;0,Taostats_CSV!G109,""),""))</f>
        <v/>
      </c>
      <c r="E109" t="str">
        <f ca="1">IF(AND(Q109,P109&gt;0),OFFSET(Taostats_CSV!$E$1,MATCH(K109&amp;F$1,Taostats_CSV!$X:$X,0)-1,0),IF(LEN(F109)&gt;0,Taostats_CSV!E109,""))</f>
        <v>TAO</v>
      </c>
      <c r="F109" t="str">
        <f ca="1">TRIM(IF(AND(Q109,P109&gt;0),OFFSET(Taostats_CSV!$H$1,MATCH(K109&amp;F$1,Taostats_CSV!$X:$X,0)-1,0),IF(LEN(Taostats_CSV!H109)&gt;0,Taostats_CSV!H109,Taostats_CSV!R109)))</f>
        <v>0.043906567</v>
      </c>
      <c r="G109" t="str">
        <f ca="1">IF(AND(Q109,N109=1),OFFSET(Taostats_CSV!$E$1,MATCH(K109&amp;H$1,Taostats_CSV!$X:$X,0)-1,0),"")</f>
        <v/>
      </c>
      <c r="H109" t="str">
        <f ca="1">IF(AND(Q109,N109=1),OFFSET(Taostats_CSV!$G$1,MATCH(K109&amp;H$1,Taostats_CSV!$X:$X,0)-1,0),"")</f>
        <v/>
      </c>
      <c r="I109" t="str">
        <f ca="1">IF(AND(LEN(K109)=0,LEN(F109)&gt;0),"Income",IF(AND(O109&gt;0,P109&gt;0,C109&lt;&gt;E109),"Trade",IF(AND(NOT(Q109),Taostats_CSV!F109="fee"),'READ ME'!$C$5,"")))</f>
        <v>Income</v>
      </c>
      <c r="J109" t="str">
        <f ca="1">SUBSTITUTE(IF(LEN(I109)=0,Taostats_CSV!F109&amp;" "&amp;Taostats_CSV!J109,IF(I109="Cost","Extrinsic fee","")),"_"," ")</f>
        <v/>
      </c>
      <c r="K109" t="str">
        <f>TRIM(IF(LEN(Taostats_CSV!I109)&gt;0,Taostats_CSV!I109,""))</f>
        <v/>
      </c>
      <c r="L109" t="str">
        <f>IF(Taostats_CSV!E109&lt;&gt;"TAO",IF(LEN(F109)&gt;0,F109,IF(LEN(D109)&gt;0,D109,0))*Taostats_CSV!P109,"")</f>
        <v/>
      </c>
      <c r="M109" t="str">
        <f t="shared" si="21"/>
        <v/>
      </c>
      <c r="N109">
        <f>COUNTIF(Taostats_CSV!$X:$X,Taostats_CSV!$I109&amp;N$1)</f>
        <v>0</v>
      </c>
      <c r="O109">
        <f>COUNTIF(Taostats_CSV!$X:$X,Taostats_CSV!$I109&amp;O$1)</f>
        <v>0</v>
      </c>
      <c r="P109">
        <f>COUNTIF(Taostats_CSV!$X:$X,Taostats_CSV!$I109&amp;P$1)</f>
        <v>0</v>
      </c>
      <c r="Q109" t="b">
        <f t="shared" si="22"/>
        <v>0</v>
      </c>
      <c r="R109" t="b">
        <f>IF(LEN(K109)&gt;0,COUNTIF($K$3:K109,K109),FALSE)</f>
        <v>0</v>
      </c>
      <c r="S109" t="b">
        <f>IF(Taostats_CSV!A109=Taostats_CSV!$A$2,TRUE,Taostats_CSV!G109+Taostats_CSV!H109+Taostats_CSV!R109=0)</f>
        <v>0</v>
      </c>
      <c r="T109" t="b">
        <f t="shared" si="23"/>
        <v>1</v>
      </c>
      <c r="U109" t="b" cm="1">
        <f t="array" aca="1" ref="U109" ca="1">AND(T109,OR(O109-N109&gt;1,P109&gt;1,ISERROR(A109:P109)))</f>
        <v>0</v>
      </c>
      <c r="W109" t="e">
        <f>MATCH(K109&amp;$W$2,Taostats_CSV!$X$3:$X$1167,0)</f>
        <v>#N/A</v>
      </c>
      <c r="X109" t="e">
        <f t="shared" ca="1" si="18"/>
        <v>#VALUE!</v>
      </c>
      <c r="Y109">
        <f t="shared" ca="1" si="19"/>
        <v>4.3906567000000001E-2</v>
      </c>
      <c r="Z109" t="e">
        <f t="shared" ca="1" si="20"/>
        <v>#VALUE!</v>
      </c>
    </row>
    <row r="110" spans="1:26" x14ac:dyDescent="0.4">
      <c r="A110" t="str">
        <f>MID(Taostats_CSV!C110,6,2)&amp;"/"&amp;MID(Taostats_CSV!C110,9,2)&amp;"/"&amp;LEFT(Taostats_CSV!C110,4)&amp;" "&amp;MID(Taostats_CSV!C110,12,8)</f>
        <v>03/31/2025 23:59:48</v>
      </c>
      <c r="C110" t="str">
        <f ca="1">IF(Q110,OFFSET(Taostats_CSV!$E$1,MATCH(K110&amp;D$1,Taostats_CSV!$X:$X,0)-1,0),IF(Taostats_CSV!F110="fee",IF(VALUE(Taostats_CSV!G110)&gt;0,Taostats_CSV!E110,""),""))</f>
        <v/>
      </c>
      <c r="D110" t="str">
        <f ca="1">IF(Q110,OFFSET(Taostats_CSV!$G$1,MATCH(K110&amp;D$1,Taostats_CSV!$X:$X,0)-1,0),IF(Taostats_CSV!F110="fee",IF(VALUE(Taostats_CSV!G110)&gt;0,Taostats_CSV!G110,""),""))</f>
        <v/>
      </c>
      <c r="E110" t="str">
        <f ca="1">IF(AND(Q110,P110&gt;0),OFFSET(Taostats_CSV!$E$1,MATCH(K110&amp;F$1,Taostats_CSV!$X:$X,0)-1,0),IF(LEN(F110)&gt;0,Taostats_CSV!E110,""))</f>
        <v>TAO</v>
      </c>
      <c r="F110" t="str">
        <f ca="1">TRIM(IF(AND(Q110,P110&gt;0),OFFSET(Taostats_CSV!$H$1,MATCH(K110&amp;F$1,Taostats_CSV!$X:$X,0)-1,0),IF(LEN(Taostats_CSV!H110)&gt;0,Taostats_CSV!H110,Taostats_CSV!R110)))</f>
        <v>0.047635969</v>
      </c>
      <c r="G110" t="str">
        <f ca="1">IF(AND(Q110,N110=1),OFFSET(Taostats_CSV!$E$1,MATCH(K110&amp;H$1,Taostats_CSV!$X:$X,0)-1,0),"")</f>
        <v/>
      </c>
      <c r="H110" t="str">
        <f ca="1">IF(AND(Q110,N110=1),OFFSET(Taostats_CSV!$G$1,MATCH(K110&amp;H$1,Taostats_CSV!$X:$X,0)-1,0),"")</f>
        <v/>
      </c>
      <c r="I110" t="str">
        <f ca="1">IF(AND(LEN(K110)=0,LEN(F110)&gt;0),"Income",IF(AND(O110&gt;0,P110&gt;0,C110&lt;&gt;E110),"Trade",IF(AND(NOT(Q110),Taostats_CSV!F110="fee"),'READ ME'!$C$5,"")))</f>
        <v>Income</v>
      </c>
      <c r="J110" t="str">
        <f ca="1">SUBSTITUTE(IF(LEN(I110)=0,Taostats_CSV!F110&amp;" "&amp;Taostats_CSV!J110,IF(I110="Cost","Extrinsic fee","")),"_"," ")</f>
        <v/>
      </c>
      <c r="K110" t="str">
        <f>TRIM(IF(LEN(Taostats_CSV!I110)&gt;0,Taostats_CSV!I110,""))</f>
        <v/>
      </c>
      <c r="L110" t="str">
        <f>IF(Taostats_CSV!E110&lt;&gt;"TAO",IF(LEN(F110)&gt;0,F110,IF(LEN(D110)&gt;0,D110,0))*Taostats_CSV!P110,"")</f>
        <v/>
      </c>
      <c r="M110" t="str">
        <f t="shared" si="21"/>
        <v/>
      </c>
      <c r="N110">
        <f>COUNTIF(Taostats_CSV!$X:$X,Taostats_CSV!$I110&amp;N$1)</f>
        <v>0</v>
      </c>
      <c r="O110">
        <f>COUNTIF(Taostats_CSV!$X:$X,Taostats_CSV!$I110&amp;O$1)</f>
        <v>0</v>
      </c>
      <c r="P110">
        <f>COUNTIF(Taostats_CSV!$X:$X,Taostats_CSV!$I110&amp;P$1)</f>
        <v>0</v>
      </c>
      <c r="Q110" t="b">
        <f t="shared" si="22"/>
        <v>0</v>
      </c>
      <c r="R110" t="b">
        <f>IF(LEN(K110)&gt;0,COUNTIF($K$3:K110,K110),FALSE)</f>
        <v>0</v>
      </c>
      <c r="S110" t="b">
        <f>IF(Taostats_CSV!A110=Taostats_CSV!$A$2,TRUE,Taostats_CSV!G110+Taostats_CSV!H110+Taostats_CSV!R110=0)</f>
        <v>0</v>
      </c>
      <c r="T110" t="b">
        <f t="shared" si="23"/>
        <v>1</v>
      </c>
      <c r="U110" t="b" cm="1">
        <f t="array" aca="1" ref="U110" ca="1">AND(T110,OR(O110-N110&gt;1,P110&gt;1,ISERROR(A110:P110)))</f>
        <v>0</v>
      </c>
      <c r="W110" t="e">
        <f>MATCH(K110&amp;$W$2,Taostats_CSV!$X$3:$X$1167,0)</f>
        <v>#N/A</v>
      </c>
      <c r="X110" t="e">
        <f t="shared" ca="1" si="18"/>
        <v>#VALUE!</v>
      </c>
      <c r="Y110">
        <f t="shared" ca="1" si="19"/>
        <v>4.7635969E-2</v>
      </c>
      <c r="Z110" t="e">
        <f t="shared" ca="1" si="20"/>
        <v>#VALUE!</v>
      </c>
    </row>
    <row r="111" spans="1:26" x14ac:dyDescent="0.4">
      <c r="A111" t="str">
        <f>MID(Taostats_CSV!C111,6,2)&amp;"/"&amp;MID(Taostats_CSV!C111,9,2)&amp;"/"&amp;LEFT(Taostats_CSV!C111,4)&amp;" "&amp;MID(Taostats_CSV!C111,12,8)</f>
        <v>04/01/2025 23:59:48</v>
      </c>
      <c r="C111" t="str">
        <f ca="1">IF(Q111,OFFSET(Taostats_CSV!$E$1,MATCH(K111&amp;D$1,Taostats_CSV!$X:$X,0)-1,0),IF(Taostats_CSV!F111="fee",IF(VALUE(Taostats_CSV!G111)&gt;0,Taostats_CSV!E111,""),""))</f>
        <v/>
      </c>
      <c r="D111" t="str">
        <f ca="1">IF(Q111,OFFSET(Taostats_CSV!$G$1,MATCH(K111&amp;D$1,Taostats_CSV!$X:$X,0)-1,0),IF(Taostats_CSV!F111="fee",IF(VALUE(Taostats_CSV!G111)&gt;0,Taostats_CSV!G111,""),""))</f>
        <v/>
      </c>
      <c r="E111" t="str">
        <f ca="1">IF(AND(Q111,P111&gt;0),OFFSET(Taostats_CSV!$E$1,MATCH(K111&amp;F$1,Taostats_CSV!$X:$X,0)-1,0),IF(LEN(F111)&gt;0,Taostats_CSV!E111,""))</f>
        <v>TAO</v>
      </c>
      <c r="F111" t="str">
        <f ca="1">TRIM(IF(AND(Q111,P111&gt;0),OFFSET(Taostats_CSV!$H$1,MATCH(K111&amp;F$1,Taostats_CSV!$X:$X,0)-1,0),IF(LEN(Taostats_CSV!H111)&gt;0,Taostats_CSV!H111,Taostats_CSV!R111)))</f>
        <v>0.053381308</v>
      </c>
      <c r="G111" t="str">
        <f ca="1">IF(AND(Q111,N111=1),OFFSET(Taostats_CSV!$E$1,MATCH(K111&amp;H$1,Taostats_CSV!$X:$X,0)-1,0),"")</f>
        <v/>
      </c>
      <c r="H111" t="str">
        <f ca="1">IF(AND(Q111,N111=1),OFFSET(Taostats_CSV!$G$1,MATCH(K111&amp;H$1,Taostats_CSV!$X:$X,0)-1,0),"")</f>
        <v/>
      </c>
      <c r="I111" t="str">
        <f ca="1">IF(AND(LEN(K111)=0,LEN(F111)&gt;0),"Income",IF(AND(O111&gt;0,P111&gt;0,C111&lt;&gt;E111),"Trade",IF(AND(NOT(Q111),Taostats_CSV!F111="fee"),'READ ME'!$C$5,"")))</f>
        <v>Income</v>
      </c>
      <c r="J111" t="str">
        <f ca="1">SUBSTITUTE(IF(LEN(I111)=0,Taostats_CSV!F111&amp;" "&amp;Taostats_CSV!J111,IF(I111="Cost","Extrinsic fee","")),"_"," ")</f>
        <v/>
      </c>
      <c r="K111" t="str">
        <f>TRIM(IF(LEN(Taostats_CSV!I111)&gt;0,Taostats_CSV!I111,""))</f>
        <v/>
      </c>
      <c r="L111" t="str">
        <f>IF(Taostats_CSV!E111&lt;&gt;"TAO",IF(LEN(F111)&gt;0,F111,IF(LEN(D111)&gt;0,D111,0))*Taostats_CSV!P111,"")</f>
        <v/>
      </c>
      <c r="M111" t="str">
        <f t="shared" si="21"/>
        <v/>
      </c>
      <c r="N111">
        <f>COUNTIF(Taostats_CSV!$X:$X,Taostats_CSV!$I111&amp;N$1)</f>
        <v>0</v>
      </c>
      <c r="O111">
        <f>COUNTIF(Taostats_CSV!$X:$X,Taostats_CSV!$I111&amp;O$1)</f>
        <v>0</v>
      </c>
      <c r="P111">
        <f>COUNTIF(Taostats_CSV!$X:$X,Taostats_CSV!$I111&amp;P$1)</f>
        <v>0</v>
      </c>
      <c r="Q111" t="b">
        <f t="shared" si="22"/>
        <v>0</v>
      </c>
      <c r="R111" t="b">
        <f>IF(LEN(K111)&gt;0,COUNTIF($K$3:K111,K111),FALSE)</f>
        <v>0</v>
      </c>
      <c r="S111" t="b">
        <f>IF(Taostats_CSV!A111=Taostats_CSV!$A$2,TRUE,Taostats_CSV!G111+Taostats_CSV!H111+Taostats_CSV!R111=0)</f>
        <v>0</v>
      </c>
      <c r="T111" t="b">
        <f t="shared" si="23"/>
        <v>1</v>
      </c>
      <c r="U111" t="b" cm="1">
        <f t="array" aca="1" ref="U111" ca="1">AND(T111,OR(O111-N111&gt;1,P111&gt;1,ISERROR(A111:P111)))</f>
        <v>0</v>
      </c>
      <c r="W111" t="e">
        <f>MATCH(K111&amp;$W$2,Taostats_CSV!$X$3:$X$1167,0)</f>
        <v>#N/A</v>
      </c>
      <c r="X111" t="e">
        <f t="shared" ca="1" si="18"/>
        <v>#VALUE!</v>
      </c>
      <c r="Y111">
        <f t="shared" ca="1" si="19"/>
        <v>5.3381308000000002E-2</v>
      </c>
      <c r="Z111" t="e">
        <f t="shared" ca="1" si="20"/>
        <v>#VALUE!</v>
      </c>
    </row>
    <row r="112" spans="1:26" x14ac:dyDescent="0.4">
      <c r="A112" t="str">
        <f>MID(Taostats_CSV!C112,6,2)&amp;"/"&amp;MID(Taostats_CSV!C112,9,2)&amp;"/"&amp;LEFT(Taostats_CSV!C112,4)&amp;" "&amp;MID(Taostats_CSV!C112,12,8)</f>
        <v>04/02/2025 23:59:48</v>
      </c>
      <c r="C112" t="str">
        <f ca="1">IF(Q112,OFFSET(Taostats_CSV!$E$1,MATCH(K112&amp;D$1,Taostats_CSV!$X:$X,0)-1,0),IF(Taostats_CSV!F112="fee",IF(VALUE(Taostats_CSV!G112)&gt;0,Taostats_CSV!E112,""),""))</f>
        <v/>
      </c>
      <c r="D112" t="str">
        <f ca="1">IF(Q112,OFFSET(Taostats_CSV!$G$1,MATCH(K112&amp;D$1,Taostats_CSV!$X:$X,0)-1,0),IF(Taostats_CSV!F112="fee",IF(VALUE(Taostats_CSV!G112)&gt;0,Taostats_CSV!G112,""),""))</f>
        <v/>
      </c>
      <c r="E112" t="str">
        <f ca="1">IF(AND(Q112,P112&gt;0),OFFSET(Taostats_CSV!$E$1,MATCH(K112&amp;F$1,Taostats_CSV!$X:$X,0)-1,0),IF(LEN(F112)&gt;0,Taostats_CSV!E112,""))</f>
        <v>TAO</v>
      </c>
      <c r="F112" t="str">
        <f ca="1">TRIM(IF(AND(Q112,P112&gt;0),OFFSET(Taostats_CSV!$H$1,MATCH(K112&amp;F$1,Taostats_CSV!$X:$X,0)-1,0),IF(LEN(Taostats_CSV!H112)&gt;0,Taostats_CSV!H112,Taostats_CSV!R112)))</f>
        <v>0.057028303</v>
      </c>
      <c r="G112" t="str">
        <f ca="1">IF(AND(Q112,N112=1),OFFSET(Taostats_CSV!$E$1,MATCH(K112&amp;H$1,Taostats_CSV!$X:$X,0)-1,0),"")</f>
        <v/>
      </c>
      <c r="H112" t="str">
        <f ca="1">IF(AND(Q112,N112=1),OFFSET(Taostats_CSV!$G$1,MATCH(K112&amp;H$1,Taostats_CSV!$X:$X,0)-1,0),"")</f>
        <v/>
      </c>
      <c r="I112" t="str">
        <f ca="1">IF(AND(LEN(K112)=0,LEN(F112)&gt;0),"Income",IF(AND(O112&gt;0,P112&gt;0,C112&lt;&gt;E112),"Trade",IF(AND(NOT(Q112),Taostats_CSV!F112="fee"),'READ ME'!$C$5,"")))</f>
        <v>Income</v>
      </c>
      <c r="J112" t="str">
        <f ca="1">SUBSTITUTE(IF(LEN(I112)=0,Taostats_CSV!F112&amp;" "&amp;Taostats_CSV!J112,IF(I112="Cost","Extrinsic fee","")),"_"," ")</f>
        <v/>
      </c>
      <c r="K112" t="str">
        <f>TRIM(IF(LEN(Taostats_CSV!I112)&gt;0,Taostats_CSV!I112,""))</f>
        <v/>
      </c>
      <c r="L112" t="str">
        <f>IF(Taostats_CSV!E112&lt;&gt;"TAO",IF(LEN(F112)&gt;0,F112,IF(LEN(D112)&gt;0,D112,0))*Taostats_CSV!P112,"")</f>
        <v/>
      </c>
      <c r="M112" t="str">
        <f t="shared" si="21"/>
        <v/>
      </c>
      <c r="N112">
        <f>COUNTIF(Taostats_CSV!$X:$X,Taostats_CSV!$I112&amp;N$1)</f>
        <v>0</v>
      </c>
      <c r="O112">
        <f>COUNTIF(Taostats_CSV!$X:$X,Taostats_CSV!$I112&amp;O$1)</f>
        <v>0</v>
      </c>
      <c r="P112">
        <f>COUNTIF(Taostats_CSV!$X:$X,Taostats_CSV!$I112&amp;P$1)</f>
        <v>0</v>
      </c>
      <c r="Q112" t="b">
        <f t="shared" si="22"/>
        <v>0</v>
      </c>
      <c r="R112" t="b">
        <f>IF(LEN(K112)&gt;0,COUNTIF($K$3:K112,K112),FALSE)</f>
        <v>0</v>
      </c>
      <c r="S112" t="b">
        <f>IF(Taostats_CSV!A112=Taostats_CSV!$A$2,TRUE,Taostats_CSV!G112+Taostats_CSV!H112+Taostats_CSV!R112=0)</f>
        <v>0</v>
      </c>
      <c r="T112" t="b">
        <f t="shared" si="23"/>
        <v>1</v>
      </c>
      <c r="U112" t="b" cm="1">
        <f t="array" aca="1" ref="U112" ca="1">AND(T112,OR(O112-N112&gt;1,P112&gt;1,ISERROR(A112:P112)))</f>
        <v>0</v>
      </c>
      <c r="W112" t="e">
        <f>MATCH(K112&amp;$W$2,Taostats_CSV!$X$3:$X$1167,0)</f>
        <v>#N/A</v>
      </c>
      <c r="X112" t="e">
        <f t="shared" ca="1" si="18"/>
        <v>#VALUE!</v>
      </c>
      <c r="Y112">
        <f t="shared" ca="1" si="19"/>
        <v>5.7028303000000002E-2</v>
      </c>
      <c r="Z112" t="e">
        <f t="shared" ca="1" si="20"/>
        <v>#VALUE!</v>
      </c>
    </row>
    <row r="113" spans="1:26" x14ac:dyDescent="0.4">
      <c r="A113" t="str">
        <f>MID(Taostats_CSV!C113,6,2)&amp;"/"&amp;MID(Taostats_CSV!C113,9,2)&amp;"/"&amp;LEFT(Taostats_CSV!C113,4)&amp;" "&amp;MID(Taostats_CSV!C113,12,8)</f>
        <v>04/03/2025 23:59:48</v>
      </c>
      <c r="C113" t="str">
        <f ca="1">IF(Q113,OFFSET(Taostats_CSV!$E$1,MATCH(K113&amp;D$1,Taostats_CSV!$X:$X,0)-1,0),IF(Taostats_CSV!F113="fee",IF(VALUE(Taostats_CSV!G113)&gt;0,Taostats_CSV!E113,""),""))</f>
        <v/>
      </c>
      <c r="D113" t="str">
        <f ca="1">IF(Q113,OFFSET(Taostats_CSV!$G$1,MATCH(K113&amp;D$1,Taostats_CSV!$X:$X,0)-1,0),IF(Taostats_CSV!F113="fee",IF(VALUE(Taostats_CSV!G113)&gt;0,Taostats_CSV!G113,""),""))</f>
        <v/>
      </c>
      <c r="E113" t="str">
        <f ca="1">IF(AND(Q113,P113&gt;0),OFFSET(Taostats_CSV!$E$1,MATCH(K113&amp;F$1,Taostats_CSV!$X:$X,0)-1,0),IF(LEN(F113)&gt;0,Taostats_CSV!E113,""))</f>
        <v>TAO</v>
      </c>
      <c r="F113" t="str">
        <f ca="1">TRIM(IF(AND(Q113,P113&gt;0),OFFSET(Taostats_CSV!$H$1,MATCH(K113&amp;F$1,Taostats_CSV!$X:$X,0)-1,0),IF(LEN(Taostats_CSV!H113)&gt;0,Taostats_CSV!H113,Taostats_CSV!R113)))</f>
        <v>0.052787891</v>
      </c>
      <c r="G113" t="str">
        <f ca="1">IF(AND(Q113,N113=1),OFFSET(Taostats_CSV!$E$1,MATCH(K113&amp;H$1,Taostats_CSV!$X:$X,0)-1,0),"")</f>
        <v/>
      </c>
      <c r="H113" t="str">
        <f ca="1">IF(AND(Q113,N113=1),OFFSET(Taostats_CSV!$G$1,MATCH(K113&amp;H$1,Taostats_CSV!$X:$X,0)-1,0),"")</f>
        <v/>
      </c>
      <c r="I113" t="str">
        <f ca="1">IF(AND(LEN(K113)=0,LEN(F113)&gt;0),"Income",IF(AND(O113&gt;0,P113&gt;0,C113&lt;&gt;E113),"Trade",IF(AND(NOT(Q113),Taostats_CSV!F113="fee"),'READ ME'!$C$5,"")))</f>
        <v>Income</v>
      </c>
      <c r="J113" t="str">
        <f ca="1">SUBSTITUTE(IF(LEN(I113)=0,Taostats_CSV!F113&amp;" "&amp;Taostats_CSV!J113,IF(I113="Cost","Extrinsic fee","")),"_"," ")</f>
        <v/>
      </c>
      <c r="K113" t="str">
        <f>TRIM(IF(LEN(Taostats_CSV!I113)&gt;0,Taostats_CSV!I113,""))</f>
        <v/>
      </c>
      <c r="L113" t="str">
        <f>IF(Taostats_CSV!E113&lt;&gt;"TAO",IF(LEN(F113)&gt;0,F113,IF(LEN(D113)&gt;0,D113,0))*Taostats_CSV!P113,"")</f>
        <v/>
      </c>
      <c r="M113" t="str">
        <f t="shared" si="21"/>
        <v/>
      </c>
      <c r="N113">
        <f>COUNTIF(Taostats_CSV!$X:$X,Taostats_CSV!$I113&amp;N$1)</f>
        <v>0</v>
      </c>
      <c r="O113">
        <f>COUNTIF(Taostats_CSV!$X:$X,Taostats_CSV!$I113&amp;O$1)</f>
        <v>0</v>
      </c>
      <c r="P113">
        <f>COUNTIF(Taostats_CSV!$X:$X,Taostats_CSV!$I113&amp;P$1)</f>
        <v>0</v>
      </c>
      <c r="Q113" t="b">
        <f t="shared" si="22"/>
        <v>0</v>
      </c>
      <c r="R113" t="b">
        <f>IF(LEN(K113)&gt;0,COUNTIF($K$3:K113,K113),FALSE)</f>
        <v>0</v>
      </c>
      <c r="S113" t="b">
        <f>IF(Taostats_CSV!A113=Taostats_CSV!$A$2,TRUE,Taostats_CSV!G113+Taostats_CSV!H113+Taostats_CSV!R113=0)</f>
        <v>0</v>
      </c>
      <c r="T113" t="b">
        <f t="shared" si="23"/>
        <v>1</v>
      </c>
      <c r="U113" t="b" cm="1">
        <f t="array" aca="1" ref="U113" ca="1">AND(T113,OR(O113-N113&gt;1,P113&gt;1,ISERROR(A113:P113)))</f>
        <v>0</v>
      </c>
      <c r="W113" t="e">
        <f>MATCH(K113&amp;$W$2,Taostats_CSV!$X$3:$X$1167,0)</f>
        <v>#N/A</v>
      </c>
      <c r="X113" t="e">
        <f t="shared" ca="1" si="18"/>
        <v>#VALUE!</v>
      </c>
      <c r="Y113">
        <f t="shared" ca="1" si="19"/>
        <v>5.2787891000000003E-2</v>
      </c>
      <c r="Z113" t="e">
        <f t="shared" ca="1" si="20"/>
        <v>#VALUE!</v>
      </c>
    </row>
    <row r="114" spans="1:26" x14ac:dyDescent="0.4">
      <c r="A114" t="str">
        <f>MID(Taostats_CSV!C114,6,2)&amp;"/"&amp;MID(Taostats_CSV!C114,9,2)&amp;"/"&amp;LEFT(Taostats_CSV!C114,4)&amp;" "&amp;MID(Taostats_CSV!C114,12,8)</f>
        <v>04/04/2025 23:59:48</v>
      </c>
      <c r="C114" t="str">
        <f ca="1">IF(Q114,OFFSET(Taostats_CSV!$E$1,MATCH(K114&amp;D$1,Taostats_CSV!$X:$X,0)-1,0),IF(Taostats_CSV!F114="fee",IF(VALUE(Taostats_CSV!G114)&gt;0,Taostats_CSV!E114,""),""))</f>
        <v/>
      </c>
      <c r="D114" t="str">
        <f ca="1">IF(Q114,OFFSET(Taostats_CSV!$G$1,MATCH(K114&amp;D$1,Taostats_CSV!$X:$X,0)-1,0),IF(Taostats_CSV!F114="fee",IF(VALUE(Taostats_CSV!G114)&gt;0,Taostats_CSV!G114,""),""))</f>
        <v/>
      </c>
      <c r="E114" t="str">
        <f ca="1">IF(AND(Q114,P114&gt;0),OFFSET(Taostats_CSV!$E$1,MATCH(K114&amp;F$1,Taostats_CSV!$X:$X,0)-1,0),IF(LEN(F114)&gt;0,Taostats_CSV!E114,""))</f>
        <v>TAO</v>
      </c>
      <c r="F114" t="str">
        <f ca="1">TRIM(IF(AND(Q114,P114&gt;0),OFFSET(Taostats_CSV!$H$1,MATCH(K114&amp;F$1,Taostats_CSV!$X:$X,0)-1,0),IF(LEN(Taostats_CSV!H114)&gt;0,Taostats_CSV!H114,Taostats_CSV!R114)))</f>
        <v>0.05313029</v>
      </c>
      <c r="G114" t="str">
        <f ca="1">IF(AND(Q114,N114=1),OFFSET(Taostats_CSV!$E$1,MATCH(K114&amp;H$1,Taostats_CSV!$X:$X,0)-1,0),"")</f>
        <v/>
      </c>
      <c r="H114" t="str">
        <f ca="1">IF(AND(Q114,N114=1),OFFSET(Taostats_CSV!$G$1,MATCH(K114&amp;H$1,Taostats_CSV!$X:$X,0)-1,0),"")</f>
        <v/>
      </c>
      <c r="I114" t="str">
        <f ca="1">IF(AND(LEN(K114)=0,LEN(F114)&gt;0),"Income",IF(AND(O114&gt;0,P114&gt;0,C114&lt;&gt;E114),"Trade",IF(AND(NOT(Q114),Taostats_CSV!F114="fee"),'READ ME'!$C$5,"")))</f>
        <v>Income</v>
      </c>
      <c r="J114" t="str">
        <f ca="1">SUBSTITUTE(IF(LEN(I114)=0,Taostats_CSV!F114&amp;" "&amp;Taostats_CSV!J114,IF(I114="Cost","Extrinsic fee","")),"_"," ")</f>
        <v/>
      </c>
      <c r="K114" t="str">
        <f>TRIM(IF(LEN(Taostats_CSV!I114)&gt;0,Taostats_CSV!I114,""))</f>
        <v/>
      </c>
      <c r="L114" t="str">
        <f>IF(Taostats_CSV!E114&lt;&gt;"TAO",IF(LEN(F114)&gt;0,F114,IF(LEN(D114)&gt;0,D114,0))*Taostats_CSV!P114,"")</f>
        <v/>
      </c>
      <c r="M114" t="str">
        <f t="shared" si="21"/>
        <v/>
      </c>
      <c r="N114">
        <f>COUNTIF(Taostats_CSV!$X:$X,Taostats_CSV!$I114&amp;N$1)</f>
        <v>0</v>
      </c>
      <c r="O114">
        <f>COUNTIF(Taostats_CSV!$X:$X,Taostats_CSV!$I114&amp;O$1)</f>
        <v>0</v>
      </c>
      <c r="P114">
        <f>COUNTIF(Taostats_CSV!$X:$X,Taostats_CSV!$I114&amp;P$1)</f>
        <v>0</v>
      </c>
      <c r="Q114" t="b">
        <f t="shared" si="22"/>
        <v>0</v>
      </c>
      <c r="R114" t="b">
        <f>IF(LEN(K114)&gt;0,COUNTIF($K$3:K114,K114),FALSE)</f>
        <v>0</v>
      </c>
      <c r="S114" t="b">
        <f>IF(Taostats_CSV!A114=Taostats_CSV!$A$2,TRUE,Taostats_CSV!G114+Taostats_CSV!H114+Taostats_CSV!R114=0)</f>
        <v>0</v>
      </c>
      <c r="T114" t="b">
        <f t="shared" si="23"/>
        <v>1</v>
      </c>
      <c r="U114" t="b" cm="1">
        <f t="array" aca="1" ref="U114" ca="1">AND(T114,OR(O114-N114&gt;1,P114&gt;1,ISERROR(A114:P114)))</f>
        <v>0</v>
      </c>
      <c r="W114" t="e">
        <f>MATCH(K114&amp;$W$2,Taostats_CSV!$X$3:$X$1167,0)</f>
        <v>#N/A</v>
      </c>
      <c r="X114" t="e">
        <f t="shared" ca="1" si="18"/>
        <v>#VALUE!</v>
      </c>
      <c r="Y114">
        <f t="shared" ca="1" si="19"/>
        <v>5.3130289999999997E-2</v>
      </c>
      <c r="Z114" t="e">
        <f t="shared" ca="1" si="20"/>
        <v>#VALUE!</v>
      </c>
    </row>
    <row r="115" spans="1:26" x14ac:dyDescent="0.4">
      <c r="A115" t="str">
        <f>MID(Taostats_CSV!C115,6,2)&amp;"/"&amp;MID(Taostats_CSV!C115,9,2)&amp;"/"&amp;LEFT(Taostats_CSV!C115,4)&amp;" "&amp;MID(Taostats_CSV!C115,12,8)</f>
        <v>04/05/2025 23:59:48</v>
      </c>
      <c r="C115" t="str">
        <f ca="1">IF(Q115,OFFSET(Taostats_CSV!$E$1,MATCH(K115&amp;D$1,Taostats_CSV!$X:$X,0)-1,0),IF(Taostats_CSV!F115="fee",IF(VALUE(Taostats_CSV!G115)&gt;0,Taostats_CSV!E115,""),""))</f>
        <v/>
      </c>
      <c r="D115" t="str">
        <f ca="1">IF(Q115,OFFSET(Taostats_CSV!$G$1,MATCH(K115&amp;D$1,Taostats_CSV!$X:$X,0)-1,0),IF(Taostats_CSV!F115="fee",IF(VALUE(Taostats_CSV!G115)&gt;0,Taostats_CSV!G115,""),""))</f>
        <v/>
      </c>
      <c r="E115" t="str">
        <f ca="1">IF(AND(Q115,P115&gt;0),OFFSET(Taostats_CSV!$E$1,MATCH(K115&amp;F$1,Taostats_CSV!$X:$X,0)-1,0),IF(LEN(F115)&gt;0,Taostats_CSV!E115,""))</f>
        <v>TAO</v>
      </c>
      <c r="F115" t="str">
        <f ca="1">TRIM(IF(AND(Q115,P115&gt;0),OFFSET(Taostats_CSV!$H$1,MATCH(K115&amp;F$1,Taostats_CSV!$X:$X,0)-1,0),IF(LEN(Taostats_CSV!H115)&gt;0,Taostats_CSV!H115,Taostats_CSV!R115)))</f>
        <v>0.05066434</v>
      </c>
      <c r="G115" t="str">
        <f ca="1">IF(AND(Q115,N115=1),OFFSET(Taostats_CSV!$E$1,MATCH(K115&amp;H$1,Taostats_CSV!$X:$X,0)-1,0),"")</f>
        <v/>
      </c>
      <c r="H115" t="str">
        <f ca="1">IF(AND(Q115,N115=1),OFFSET(Taostats_CSV!$G$1,MATCH(K115&amp;H$1,Taostats_CSV!$X:$X,0)-1,0),"")</f>
        <v/>
      </c>
      <c r="I115" t="str">
        <f ca="1">IF(AND(LEN(K115)=0,LEN(F115)&gt;0),"Income",IF(AND(O115&gt;0,P115&gt;0,C115&lt;&gt;E115),"Trade",IF(AND(NOT(Q115),Taostats_CSV!F115="fee"),'READ ME'!$C$5,"")))</f>
        <v>Income</v>
      </c>
      <c r="J115" t="str">
        <f ca="1">SUBSTITUTE(IF(LEN(I115)=0,Taostats_CSV!F115&amp;" "&amp;Taostats_CSV!J115,IF(I115="Cost","Extrinsic fee","")),"_"," ")</f>
        <v/>
      </c>
      <c r="K115" t="str">
        <f>TRIM(IF(LEN(Taostats_CSV!I115)&gt;0,Taostats_CSV!I115,""))</f>
        <v/>
      </c>
      <c r="L115" t="str">
        <f>IF(Taostats_CSV!E115&lt;&gt;"TAO",IF(LEN(F115)&gt;0,F115,IF(LEN(D115)&gt;0,D115,0))*Taostats_CSV!P115,"")</f>
        <v/>
      </c>
      <c r="M115" t="str">
        <f t="shared" si="21"/>
        <v/>
      </c>
      <c r="N115">
        <f>COUNTIF(Taostats_CSV!$X:$X,Taostats_CSV!$I115&amp;N$1)</f>
        <v>0</v>
      </c>
      <c r="O115">
        <f>COUNTIF(Taostats_CSV!$X:$X,Taostats_CSV!$I115&amp;O$1)</f>
        <v>0</v>
      </c>
      <c r="P115">
        <f>COUNTIF(Taostats_CSV!$X:$X,Taostats_CSV!$I115&amp;P$1)</f>
        <v>0</v>
      </c>
      <c r="Q115" t="b">
        <f t="shared" si="22"/>
        <v>0</v>
      </c>
      <c r="R115" t="b">
        <f>IF(LEN(K115)&gt;0,COUNTIF($K$3:K115,K115),FALSE)</f>
        <v>0</v>
      </c>
      <c r="S115" t="b">
        <f>IF(Taostats_CSV!A115=Taostats_CSV!$A$2,TRUE,Taostats_CSV!G115+Taostats_CSV!H115+Taostats_CSV!R115=0)</f>
        <v>0</v>
      </c>
      <c r="T115" t="b">
        <f t="shared" si="23"/>
        <v>1</v>
      </c>
      <c r="U115" t="b" cm="1">
        <f t="array" aca="1" ref="U115" ca="1">AND(T115,OR(O115-N115&gt;1,P115&gt;1,ISERROR(A115:P115)))</f>
        <v>0</v>
      </c>
      <c r="W115" t="e">
        <f>MATCH(K115&amp;$W$2,Taostats_CSV!$X$3:$X$1167,0)</f>
        <v>#N/A</v>
      </c>
      <c r="X115" t="e">
        <f t="shared" ca="1" si="18"/>
        <v>#VALUE!</v>
      </c>
      <c r="Y115">
        <f t="shared" ca="1" si="19"/>
        <v>5.0664340000000002E-2</v>
      </c>
      <c r="Z115" t="e">
        <f t="shared" ca="1" si="20"/>
        <v>#VALUE!</v>
      </c>
    </row>
    <row r="116" spans="1:26" x14ac:dyDescent="0.4">
      <c r="A116" t="str">
        <f>MID(Taostats_CSV!C116,6,2)&amp;"/"&amp;MID(Taostats_CSV!C116,9,2)&amp;"/"&amp;LEFT(Taostats_CSV!C116,4)&amp;" "&amp;MID(Taostats_CSV!C116,12,8)</f>
        <v>04/06/2025 23:59:48</v>
      </c>
      <c r="C116" t="str">
        <f ca="1">IF(Q116,OFFSET(Taostats_CSV!$E$1,MATCH(K116&amp;D$1,Taostats_CSV!$X:$X,0)-1,0),IF(Taostats_CSV!F116="fee",IF(VALUE(Taostats_CSV!G116)&gt;0,Taostats_CSV!E116,""),""))</f>
        <v/>
      </c>
      <c r="D116" t="str">
        <f ca="1">IF(Q116,OFFSET(Taostats_CSV!$G$1,MATCH(K116&amp;D$1,Taostats_CSV!$X:$X,0)-1,0),IF(Taostats_CSV!F116="fee",IF(VALUE(Taostats_CSV!G116)&gt;0,Taostats_CSV!G116,""),""))</f>
        <v/>
      </c>
      <c r="E116" t="str">
        <f ca="1">IF(AND(Q116,P116&gt;0),OFFSET(Taostats_CSV!$E$1,MATCH(K116&amp;F$1,Taostats_CSV!$X:$X,0)-1,0),IF(LEN(F116)&gt;0,Taostats_CSV!E116,""))</f>
        <v>TAO</v>
      </c>
      <c r="F116" t="str">
        <f ca="1">TRIM(IF(AND(Q116,P116&gt;0),OFFSET(Taostats_CSV!$H$1,MATCH(K116&amp;F$1,Taostats_CSV!$X:$X,0)-1,0),IF(LEN(Taostats_CSV!H116)&gt;0,Taostats_CSV!H116,Taostats_CSV!R116)))</f>
        <v>0.056714491</v>
      </c>
      <c r="G116" t="str">
        <f ca="1">IF(AND(Q116,N116=1),OFFSET(Taostats_CSV!$E$1,MATCH(K116&amp;H$1,Taostats_CSV!$X:$X,0)-1,0),"")</f>
        <v/>
      </c>
      <c r="H116" t="str">
        <f ca="1">IF(AND(Q116,N116=1),OFFSET(Taostats_CSV!$G$1,MATCH(K116&amp;H$1,Taostats_CSV!$X:$X,0)-1,0),"")</f>
        <v/>
      </c>
      <c r="I116" t="str">
        <f ca="1">IF(AND(LEN(K116)=0,LEN(F116)&gt;0),"Income",IF(AND(O116&gt;0,P116&gt;0,C116&lt;&gt;E116),"Trade",IF(AND(NOT(Q116),Taostats_CSV!F116="fee"),'READ ME'!$C$5,"")))</f>
        <v>Income</v>
      </c>
      <c r="J116" t="str">
        <f ca="1">SUBSTITUTE(IF(LEN(I116)=0,Taostats_CSV!F116&amp;" "&amp;Taostats_CSV!J116,IF(I116="Cost","Extrinsic fee","")),"_"," ")</f>
        <v/>
      </c>
      <c r="K116" t="str">
        <f>TRIM(IF(LEN(Taostats_CSV!I116)&gt;0,Taostats_CSV!I116,""))</f>
        <v/>
      </c>
      <c r="L116" t="str">
        <f>IF(Taostats_CSV!E116&lt;&gt;"TAO",IF(LEN(F116)&gt;0,F116,IF(LEN(D116)&gt;0,D116,0))*Taostats_CSV!P116,"")</f>
        <v/>
      </c>
      <c r="M116" t="str">
        <f t="shared" si="21"/>
        <v/>
      </c>
      <c r="N116">
        <f>COUNTIF(Taostats_CSV!$X:$X,Taostats_CSV!$I116&amp;N$1)</f>
        <v>0</v>
      </c>
      <c r="O116">
        <f>COUNTIF(Taostats_CSV!$X:$X,Taostats_CSV!$I116&amp;O$1)</f>
        <v>0</v>
      </c>
      <c r="P116">
        <f>COUNTIF(Taostats_CSV!$X:$X,Taostats_CSV!$I116&amp;P$1)</f>
        <v>0</v>
      </c>
      <c r="Q116" t="b">
        <f t="shared" si="22"/>
        <v>0</v>
      </c>
      <c r="R116" t="b">
        <f>IF(LEN(K116)&gt;0,COUNTIF($K$3:K116,K116),FALSE)</f>
        <v>0</v>
      </c>
      <c r="S116" t="b">
        <f>IF(Taostats_CSV!A116=Taostats_CSV!$A$2,TRUE,Taostats_CSV!G116+Taostats_CSV!H116+Taostats_CSV!R116=0)</f>
        <v>0</v>
      </c>
      <c r="T116" t="b">
        <f t="shared" si="23"/>
        <v>1</v>
      </c>
      <c r="U116" t="b" cm="1">
        <f t="array" aca="1" ref="U116" ca="1">AND(T116,OR(O116-N116&gt;1,P116&gt;1,ISERROR(A116:P116)))</f>
        <v>0</v>
      </c>
      <c r="W116" t="e">
        <f>MATCH(K116&amp;$W$2,Taostats_CSV!$X$3:$X$1167,0)</f>
        <v>#N/A</v>
      </c>
      <c r="X116" t="e">
        <f t="shared" ca="1" si="18"/>
        <v>#VALUE!</v>
      </c>
      <c r="Y116">
        <f t="shared" ca="1" si="19"/>
        <v>5.6714490999999999E-2</v>
      </c>
      <c r="Z116" t="e">
        <f t="shared" ca="1" si="20"/>
        <v>#VALUE!</v>
      </c>
    </row>
    <row r="117" spans="1:26" x14ac:dyDescent="0.4">
      <c r="A117" t="str">
        <f>MID(Taostats_CSV!C117,6,2)&amp;"/"&amp;MID(Taostats_CSV!C117,9,2)&amp;"/"&amp;LEFT(Taostats_CSV!C117,4)&amp;" "&amp;MID(Taostats_CSV!C117,12,8)</f>
        <v>04/07/2025 23:59:48</v>
      </c>
      <c r="C117" t="str">
        <f ca="1">IF(Q117,OFFSET(Taostats_CSV!$E$1,MATCH(K117&amp;D$1,Taostats_CSV!$X:$X,0)-1,0),IF(Taostats_CSV!F117="fee",IF(VALUE(Taostats_CSV!G117)&gt;0,Taostats_CSV!E117,""),""))</f>
        <v/>
      </c>
      <c r="D117" t="str">
        <f ca="1">IF(Q117,OFFSET(Taostats_CSV!$G$1,MATCH(K117&amp;D$1,Taostats_CSV!$X:$X,0)-1,0),IF(Taostats_CSV!F117="fee",IF(VALUE(Taostats_CSV!G117)&gt;0,Taostats_CSV!G117,""),""))</f>
        <v/>
      </c>
      <c r="E117" t="str">
        <f ca="1">IF(AND(Q117,P117&gt;0),OFFSET(Taostats_CSV!$E$1,MATCH(K117&amp;F$1,Taostats_CSV!$X:$X,0)-1,0),IF(LEN(F117)&gt;0,Taostats_CSV!E117,""))</f>
        <v>TAO</v>
      </c>
      <c r="F117" t="str">
        <f ca="1">TRIM(IF(AND(Q117,P117&gt;0),OFFSET(Taostats_CSV!$H$1,MATCH(K117&amp;F$1,Taostats_CSV!$X:$X,0)-1,0),IF(LEN(Taostats_CSV!H117)&gt;0,Taostats_CSV!H117,Taostats_CSV!R117)))</f>
        <v>0.056503619</v>
      </c>
      <c r="G117" t="str">
        <f ca="1">IF(AND(Q117,N117=1),OFFSET(Taostats_CSV!$E$1,MATCH(K117&amp;H$1,Taostats_CSV!$X:$X,0)-1,0),"")</f>
        <v/>
      </c>
      <c r="H117" t="str">
        <f ca="1">IF(AND(Q117,N117=1),OFFSET(Taostats_CSV!$G$1,MATCH(K117&amp;H$1,Taostats_CSV!$X:$X,0)-1,0),"")</f>
        <v/>
      </c>
      <c r="I117" t="str">
        <f ca="1">IF(AND(LEN(K117)=0,LEN(F117)&gt;0),"Income",IF(AND(O117&gt;0,P117&gt;0,C117&lt;&gt;E117),"Trade",IF(AND(NOT(Q117),Taostats_CSV!F117="fee"),'READ ME'!$C$5,"")))</f>
        <v>Income</v>
      </c>
      <c r="J117" t="str">
        <f ca="1">SUBSTITUTE(IF(LEN(I117)=0,Taostats_CSV!F117&amp;" "&amp;Taostats_CSV!J117,IF(I117="Cost","Extrinsic fee","")),"_"," ")</f>
        <v/>
      </c>
      <c r="K117" t="str">
        <f>TRIM(IF(LEN(Taostats_CSV!I117)&gt;0,Taostats_CSV!I117,""))</f>
        <v/>
      </c>
      <c r="L117" t="str">
        <f>IF(Taostats_CSV!E117&lt;&gt;"TAO",IF(LEN(F117)&gt;0,F117,IF(LEN(D117)&gt;0,D117,0))*Taostats_CSV!P117,"")</f>
        <v/>
      </c>
      <c r="M117" t="str">
        <f t="shared" si="21"/>
        <v/>
      </c>
      <c r="N117">
        <f>COUNTIF(Taostats_CSV!$X:$X,Taostats_CSV!$I117&amp;N$1)</f>
        <v>0</v>
      </c>
      <c r="O117">
        <f>COUNTIF(Taostats_CSV!$X:$X,Taostats_CSV!$I117&amp;O$1)</f>
        <v>0</v>
      </c>
      <c r="P117">
        <f>COUNTIF(Taostats_CSV!$X:$X,Taostats_CSV!$I117&amp;P$1)</f>
        <v>0</v>
      </c>
      <c r="Q117" t="b">
        <f t="shared" si="22"/>
        <v>0</v>
      </c>
      <c r="R117" t="b">
        <f>IF(LEN(K117)&gt;0,COUNTIF($K$3:K117,K117),FALSE)</f>
        <v>0</v>
      </c>
      <c r="S117" t="b">
        <f>IF(Taostats_CSV!A117=Taostats_CSV!$A$2,TRUE,Taostats_CSV!G117+Taostats_CSV!H117+Taostats_CSV!R117=0)</f>
        <v>0</v>
      </c>
      <c r="T117" t="b">
        <f t="shared" si="23"/>
        <v>1</v>
      </c>
      <c r="U117" t="b" cm="1">
        <f t="array" aca="1" ref="U117" ca="1">AND(T117,OR(O117-N117&gt;1,P117&gt;1,ISERROR(A117:P117)))</f>
        <v>0</v>
      </c>
      <c r="W117" t="e">
        <f>MATCH(K117&amp;$W$2,Taostats_CSV!$X$3:$X$1167,0)</f>
        <v>#N/A</v>
      </c>
      <c r="X117" t="e">
        <f t="shared" ca="1" si="18"/>
        <v>#VALUE!</v>
      </c>
      <c r="Y117">
        <f t="shared" ca="1" si="19"/>
        <v>5.6503618999999998E-2</v>
      </c>
      <c r="Z117" t="e">
        <f t="shared" ca="1" si="20"/>
        <v>#VALUE!</v>
      </c>
    </row>
    <row r="118" spans="1:26" x14ac:dyDescent="0.4">
      <c r="A118" t="str">
        <f>MID(Taostats_CSV!C118,6,2)&amp;"/"&amp;MID(Taostats_CSV!C118,9,2)&amp;"/"&amp;LEFT(Taostats_CSV!C118,4)&amp;" "&amp;MID(Taostats_CSV!C118,12,8)</f>
        <v>04/08/2025 23:59:48</v>
      </c>
      <c r="C118" t="str">
        <f ca="1">IF(Q118,OFFSET(Taostats_CSV!$E$1,MATCH(K118&amp;D$1,Taostats_CSV!$X:$X,0)-1,0),IF(Taostats_CSV!F118="fee",IF(VALUE(Taostats_CSV!G118)&gt;0,Taostats_CSV!E118,""),""))</f>
        <v/>
      </c>
      <c r="D118" t="str">
        <f ca="1">IF(Q118,OFFSET(Taostats_CSV!$G$1,MATCH(K118&amp;D$1,Taostats_CSV!$X:$X,0)-1,0),IF(Taostats_CSV!F118="fee",IF(VALUE(Taostats_CSV!G118)&gt;0,Taostats_CSV!G118,""),""))</f>
        <v/>
      </c>
      <c r="E118" t="str">
        <f ca="1">IF(AND(Q118,P118&gt;0),OFFSET(Taostats_CSV!$E$1,MATCH(K118&amp;F$1,Taostats_CSV!$X:$X,0)-1,0),IF(LEN(F118)&gt;0,Taostats_CSV!E118,""))</f>
        <v>TAO</v>
      </c>
      <c r="F118" t="str">
        <f ca="1">TRIM(IF(AND(Q118,P118&gt;0),OFFSET(Taostats_CSV!$H$1,MATCH(K118&amp;F$1,Taostats_CSV!$X:$X,0)-1,0),IF(LEN(Taostats_CSV!H118)&gt;0,Taostats_CSV!H118,Taostats_CSV!R118)))</f>
        <v>0.05664795</v>
      </c>
      <c r="G118" t="str">
        <f ca="1">IF(AND(Q118,N118=1),OFFSET(Taostats_CSV!$E$1,MATCH(K118&amp;H$1,Taostats_CSV!$X:$X,0)-1,0),"")</f>
        <v/>
      </c>
      <c r="H118" t="str">
        <f ca="1">IF(AND(Q118,N118=1),OFFSET(Taostats_CSV!$G$1,MATCH(K118&amp;H$1,Taostats_CSV!$X:$X,0)-1,0),"")</f>
        <v/>
      </c>
      <c r="I118" t="str">
        <f ca="1">IF(AND(LEN(K118)=0,LEN(F118)&gt;0),"Income",IF(AND(O118&gt;0,P118&gt;0,C118&lt;&gt;E118),"Trade",IF(AND(NOT(Q118),Taostats_CSV!F118="fee"),'READ ME'!$C$5,"")))</f>
        <v>Income</v>
      </c>
      <c r="J118" t="str">
        <f ca="1">SUBSTITUTE(IF(LEN(I118)=0,Taostats_CSV!F118&amp;" "&amp;Taostats_CSV!J118,IF(I118="Cost","Extrinsic fee","")),"_"," ")</f>
        <v/>
      </c>
      <c r="K118" t="str">
        <f>TRIM(IF(LEN(Taostats_CSV!I118)&gt;0,Taostats_CSV!I118,""))</f>
        <v/>
      </c>
      <c r="L118" t="str">
        <f>IF(Taostats_CSV!E118&lt;&gt;"TAO",IF(LEN(F118)&gt;0,F118,IF(LEN(D118)&gt;0,D118,0))*Taostats_CSV!P118,"")</f>
        <v/>
      </c>
      <c r="M118" t="str">
        <f t="shared" si="21"/>
        <v/>
      </c>
      <c r="N118">
        <f>COUNTIF(Taostats_CSV!$X:$X,Taostats_CSV!$I118&amp;N$1)</f>
        <v>0</v>
      </c>
      <c r="O118">
        <f>COUNTIF(Taostats_CSV!$X:$X,Taostats_CSV!$I118&amp;O$1)</f>
        <v>0</v>
      </c>
      <c r="P118">
        <f>COUNTIF(Taostats_CSV!$X:$X,Taostats_CSV!$I118&amp;P$1)</f>
        <v>0</v>
      </c>
      <c r="Q118" t="b">
        <f t="shared" si="22"/>
        <v>0</v>
      </c>
      <c r="R118" t="b">
        <f>IF(LEN(K118)&gt;0,COUNTIF($K$3:K118,K118),FALSE)</f>
        <v>0</v>
      </c>
      <c r="S118" t="b">
        <f>IF(Taostats_CSV!A118=Taostats_CSV!$A$2,TRUE,Taostats_CSV!G118+Taostats_CSV!H118+Taostats_CSV!R118=0)</f>
        <v>0</v>
      </c>
      <c r="T118" t="b">
        <f t="shared" si="23"/>
        <v>1</v>
      </c>
      <c r="U118" t="b" cm="1">
        <f t="array" aca="1" ref="U118" ca="1">AND(T118,OR(O118-N118&gt;1,P118&gt;1,ISERROR(A118:P118)))</f>
        <v>0</v>
      </c>
      <c r="W118" t="e">
        <f>MATCH(K118&amp;$W$2,Taostats_CSV!$X$3:$X$1167,0)</f>
        <v>#N/A</v>
      </c>
      <c r="X118" t="e">
        <f t="shared" ca="1" si="18"/>
        <v>#VALUE!</v>
      </c>
      <c r="Y118">
        <f t="shared" ca="1" si="19"/>
        <v>5.6647950000000002E-2</v>
      </c>
      <c r="Z118" t="e">
        <f t="shared" ca="1" si="20"/>
        <v>#VALUE!</v>
      </c>
    </row>
    <row r="119" spans="1:26" x14ac:dyDescent="0.4">
      <c r="A119" t="str">
        <f>MID(Taostats_CSV!C119,6,2)&amp;"/"&amp;MID(Taostats_CSV!C119,9,2)&amp;"/"&amp;LEFT(Taostats_CSV!C119,4)&amp;" "&amp;MID(Taostats_CSV!C119,12,8)</f>
        <v>04/09/2025 23:59:48</v>
      </c>
      <c r="C119" t="str">
        <f ca="1">IF(Q119,OFFSET(Taostats_CSV!$E$1,MATCH(K119&amp;D$1,Taostats_CSV!$X:$X,0)-1,0),IF(Taostats_CSV!F119="fee",IF(VALUE(Taostats_CSV!G119)&gt;0,Taostats_CSV!E119,""),""))</f>
        <v/>
      </c>
      <c r="D119" t="str">
        <f ca="1">IF(Q119,OFFSET(Taostats_CSV!$G$1,MATCH(K119&amp;D$1,Taostats_CSV!$X:$X,0)-1,0),IF(Taostats_CSV!F119="fee",IF(VALUE(Taostats_CSV!G119)&gt;0,Taostats_CSV!G119,""),""))</f>
        <v/>
      </c>
      <c r="E119" t="str">
        <f ca="1">IF(AND(Q119,P119&gt;0),OFFSET(Taostats_CSV!$E$1,MATCH(K119&amp;F$1,Taostats_CSV!$X:$X,0)-1,0),IF(LEN(F119)&gt;0,Taostats_CSV!E119,""))</f>
        <v>TAO</v>
      </c>
      <c r="F119" t="str">
        <f ca="1">TRIM(IF(AND(Q119,P119&gt;0),OFFSET(Taostats_CSV!$H$1,MATCH(K119&amp;F$1,Taostats_CSV!$X:$X,0)-1,0),IF(LEN(Taostats_CSV!H119)&gt;0,Taostats_CSV!H119,Taostats_CSV!R119)))</f>
        <v>0.055428001</v>
      </c>
      <c r="G119" t="str">
        <f ca="1">IF(AND(Q119,N119=1),OFFSET(Taostats_CSV!$E$1,MATCH(K119&amp;H$1,Taostats_CSV!$X:$X,0)-1,0),"")</f>
        <v/>
      </c>
      <c r="H119" t="str">
        <f ca="1">IF(AND(Q119,N119=1),OFFSET(Taostats_CSV!$G$1,MATCH(K119&amp;H$1,Taostats_CSV!$X:$X,0)-1,0),"")</f>
        <v/>
      </c>
      <c r="I119" t="str">
        <f ca="1">IF(AND(LEN(K119)=0,LEN(F119)&gt;0),"Income",IF(AND(O119&gt;0,P119&gt;0,C119&lt;&gt;E119),"Trade",IF(AND(NOT(Q119),Taostats_CSV!F119="fee"),'READ ME'!$C$5,"")))</f>
        <v>Income</v>
      </c>
      <c r="J119" t="str">
        <f ca="1">SUBSTITUTE(IF(LEN(I119)=0,Taostats_CSV!F119&amp;" "&amp;Taostats_CSV!J119,IF(I119="Cost","Extrinsic fee","")),"_"," ")</f>
        <v/>
      </c>
      <c r="K119" t="str">
        <f>TRIM(IF(LEN(Taostats_CSV!I119)&gt;0,Taostats_CSV!I119,""))</f>
        <v/>
      </c>
      <c r="L119" t="str">
        <f>IF(Taostats_CSV!E119&lt;&gt;"TAO",IF(LEN(F119)&gt;0,F119,IF(LEN(D119)&gt;0,D119,0))*Taostats_CSV!P119,"")</f>
        <v/>
      </c>
      <c r="M119" t="str">
        <f t="shared" si="21"/>
        <v/>
      </c>
      <c r="N119">
        <f>COUNTIF(Taostats_CSV!$X:$X,Taostats_CSV!$I119&amp;N$1)</f>
        <v>0</v>
      </c>
      <c r="O119">
        <f>COUNTIF(Taostats_CSV!$X:$X,Taostats_CSV!$I119&amp;O$1)</f>
        <v>0</v>
      </c>
      <c r="P119">
        <f>COUNTIF(Taostats_CSV!$X:$X,Taostats_CSV!$I119&amp;P$1)</f>
        <v>0</v>
      </c>
      <c r="Q119" t="b">
        <f t="shared" si="22"/>
        <v>0</v>
      </c>
      <c r="R119" t="b">
        <f>IF(LEN(K119)&gt;0,COUNTIF($K$3:K119,K119),FALSE)</f>
        <v>0</v>
      </c>
      <c r="S119" t="b">
        <f>IF(Taostats_CSV!A119=Taostats_CSV!$A$2,TRUE,Taostats_CSV!G119+Taostats_CSV!H119+Taostats_CSV!R119=0)</f>
        <v>0</v>
      </c>
      <c r="T119" t="b">
        <f t="shared" si="23"/>
        <v>1</v>
      </c>
      <c r="U119" t="b" cm="1">
        <f t="array" aca="1" ref="U119" ca="1">AND(T119,OR(O119-N119&gt;1,P119&gt;1,ISERROR(A119:P119)))</f>
        <v>0</v>
      </c>
      <c r="W119" t="e">
        <f>MATCH(K119&amp;$W$2,Taostats_CSV!$X$3:$X$1167,0)</f>
        <v>#N/A</v>
      </c>
      <c r="X119" t="e">
        <f t="shared" ca="1" si="18"/>
        <v>#VALUE!</v>
      </c>
      <c r="Y119">
        <f t="shared" ca="1" si="19"/>
        <v>5.5428000999999998E-2</v>
      </c>
      <c r="Z119" t="e">
        <f t="shared" ca="1" si="20"/>
        <v>#VALUE!</v>
      </c>
    </row>
    <row r="120" spans="1:26" x14ac:dyDescent="0.4">
      <c r="A120" t="str">
        <f>MID(Taostats_CSV!C120,6,2)&amp;"/"&amp;MID(Taostats_CSV!C120,9,2)&amp;"/"&amp;LEFT(Taostats_CSV!C120,4)&amp;" "&amp;MID(Taostats_CSV!C120,12,8)</f>
        <v>04/10/2025 23:59:48</v>
      </c>
      <c r="C120" t="str">
        <f ca="1">IF(Q120,OFFSET(Taostats_CSV!$E$1,MATCH(K120&amp;D$1,Taostats_CSV!$X:$X,0)-1,0),IF(Taostats_CSV!F120="fee",IF(VALUE(Taostats_CSV!G120)&gt;0,Taostats_CSV!E120,""),""))</f>
        <v/>
      </c>
      <c r="D120" t="str">
        <f ca="1">IF(Q120,OFFSET(Taostats_CSV!$G$1,MATCH(K120&amp;D$1,Taostats_CSV!$X:$X,0)-1,0),IF(Taostats_CSV!F120="fee",IF(VALUE(Taostats_CSV!G120)&gt;0,Taostats_CSV!G120,""),""))</f>
        <v/>
      </c>
      <c r="E120" t="str">
        <f ca="1">IF(AND(Q120,P120&gt;0),OFFSET(Taostats_CSV!$E$1,MATCH(K120&amp;F$1,Taostats_CSV!$X:$X,0)-1,0),IF(LEN(F120)&gt;0,Taostats_CSV!E120,""))</f>
        <v>TAO</v>
      </c>
      <c r="F120" t="str">
        <f ca="1">TRIM(IF(AND(Q120,P120&gt;0),OFFSET(Taostats_CSV!$H$1,MATCH(K120&amp;F$1,Taostats_CSV!$X:$X,0)-1,0),IF(LEN(Taostats_CSV!H120)&gt;0,Taostats_CSV!H120,Taostats_CSV!R120)))</f>
        <v>0.056326812</v>
      </c>
      <c r="G120" t="str">
        <f ca="1">IF(AND(Q120,N120=1),OFFSET(Taostats_CSV!$E$1,MATCH(K120&amp;H$1,Taostats_CSV!$X:$X,0)-1,0),"")</f>
        <v/>
      </c>
      <c r="H120" t="str">
        <f ca="1">IF(AND(Q120,N120=1),OFFSET(Taostats_CSV!$G$1,MATCH(K120&amp;H$1,Taostats_CSV!$X:$X,0)-1,0),"")</f>
        <v/>
      </c>
      <c r="I120" t="str">
        <f ca="1">IF(AND(LEN(K120)=0,LEN(F120)&gt;0),"Income",IF(AND(O120&gt;0,P120&gt;0,C120&lt;&gt;E120),"Trade",IF(AND(NOT(Q120),Taostats_CSV!F120="fee"),'READ ME'!$C$5,"")))</f>
        <v>Income</v>
      </c>
      <c r="J120" t="str">
        <f ca="1">SUBSTITUTE(IF(LEN(I120)=0,Taostats_CSV!F120&amp;" "&amp;Taostats_CSV!J120,IF(I120="Cost","Extrinsic fee","")),"_"," ")</f>
        <v/>
      </c>
      <c r="K120" t="str">
        <f>TRIM(IF(LEN(Taostats_CSV!I120)&gt;0,Taostats_CSV!I120,""))</f>
        <v/>
      </c>
      <c r="L120" t="str">
        <f>IF(Taostats_CSV!E120&lt;&gt;"TAO",IF(LEN(F120)&gt;0,F120,IF(LEN(D120)&gt;0,D120,0))*Taostats_CSV!P120,"")</f>
        <v/>
      </c>
      <c r="M120" t="str">
        <f t="shared" si="21"/>
        <v/>
      </c>
      <c r="N120">
        <f>COUNTIF(Taostats_CSV!$X:$X,Taostats_CSV!$I120&amp;N$1)</f>
        <v>0</v>
      </c>
      <c r="O120">
        <f>COUNTIF(Taostats_CSV!$X:$X,Taostats_CSV!$I120&amp;O$1)</f>
        <v>0</v>
      </c>
      <c r="P120">
        <f>COUNTIF(Taostats_CSV!$X:$X,Taostats_CSV!$I120&amp;P$1)</f>
        <v>0</v>
      </c>
      <c r="Q120" t="b">
        <f t="shared" si="22"/>
        <v>0</v>
      </c>
      <c r="R120" t="b">
        <f>IF(LEN(K120)&gt;0,COUNTIF($K$3:K120,K120),FALSE)</f>
        <v>0</v>
      </c>
      <c r="S120" t="b">
        <f>IF(Taostats_CSV!A120=Taostats_CSV!$A$2,TRUE,Taostats_CSV!G120+Taostats_CSV!H120+Taostats_CSV!R120=0)</f>
        <v>0</v>
      </c>
      <c r="T120" t="b">
        <f t="shared" si="23"/>
        <v>1</v>
      </c>
      <c r="U120" t="b" cm="1">
        <f t="array" aca="1" ref="U120" ca="1">AND(T120,OR(O120-N120&gt;1,P120&gt;1,ISERROR(A120:P120)))</f>
        <v>0</v>
      </c>
      <c r="W120" t="e">
        <f>MATCH(K120&amp;$W$2,Taostats_CSV!$X$3:$X$1167,0)</f>
        <v>#N/A</v>
      </c>
      <c r="X120" t="e">
        <f t="shared" ca="1" si="18"/>
        <v>#VALUE!</v>
      </c>
      <c r="Y120">
        <f t="shared" ca="1" si="19"/>
        <v>5.6326811999999997E-2</v>
      </c>
      <c r="Z120" t="e">
        <f t="shared" ca="1" si="20"/>
        <v>#VALUE!</v>
      </c>
    </row>
    <row r="121" spans="1:26" hidden="1" x14ac:dyDescent="0.4">
      <c r="A121" t="str">
        <f>MID(Taostats_CSV!C121,6,2)&amp;"/"&amp;MID(Taostats_CSV!C121,9,2)&amp;"/"&amp;LEFT(Taostats_CSV!C121,4)&amp;" "&amp;MID(Taostats_CSV!C121,12,8)</f>
        <v>04/11/2025 23:59:48</v>
      </c>
      <c r="C121" t="str">
        <f ca="1">IF(Q121,OFFSET(Taostats_CSV!$E$1,MATCH(K121&amp;D$1,Taostats_CSV!$X:$X,0)-1,0),IF(Taostats_CSV!F121="fee","",IF(VALUE(Taostats_CSV!G121)&gt;0,Taostats_CSV!E121,"")))</f>
        <v/>
      </c>
      <c r="D121" t="str">
        <f ca="1">IF(Q121,OFFSET(Taostats_CSV!$G$1,MATCH(K121&amp;D$1,Taostats_CSV!$X:$X,0)-1,0),IF(Taostats_CSV!F121="fee","",IF(VALUE(Taostats_CSV!G121)&gt;0,Taostats_CSV!G121,"")))</f>
        <v/>
      </c>
      <c r="E121" t="str">
        <f ca="1">IF(AND(Q121,P121&gt;0),OFFSET(Taostats_CSV!$E$1,MATCH(K121&amp;F$1,Taostats_CSV!$X:$X,0)-1,0),IF(LEN(F121)&gt;0,Taostats_CSV!E121,""))</f>
        <v/>
      </c>
      <c r="F121" t="str">
        <f ca="1">TRIM(IF(AND(Q121,P121&gt;0),OFFSET(Taostats_CSV!$H$1,MATCH(K121&amp;F$1,Taostats_CSV!$X:$X,0)-1,0),IF(LEN(Taostats_CSV!H121)&gt;0,Taostats_CSV!H121,Taostats_CSV!R121)))</f>
        <v/>
      </c>
      <c r="G121" t="str">
        <f ca="1">IF(AND(Q121,N121=1),OFFSET(Taostats_CSV!$E$1,MATCH(K121&amp;H$1,Taostats_CSV!$X:$X,0)-1,0),IF(Taostats_CSV!F121="fee",Taostats_CSV!E121,""))</f>
        <v/>
      </c>
      <c r="H121" t="str">
        <f ca="1">IF(AND(Q121,N121=1),OFFSET(Taostats_CSV!$G$1,MATCH(K121&amp;H$1,Taostats_CSV!$X:$X,0)-1,0),IF(Taostats_CSV!F121="fee",Taostats_CSV!G121,""))</f>
        <v/>
      </c>
      <c r="I121" t="str">
        <f ca="1">IF(AND(LEN(K121)=0,LEN(F121)&gt;0),"Income",IF(AND(O121&gt;0,P121&gt;0,C121&lt;&gt;E121),"Trade",IF(AND(NOT(Q121),Taostats_CSV!F121="fee"),'READ ME'!$C$5,"")))</f>
        <v/>
      </c>
      <c r="J121" t="str">
        <f ca="1">SUBSTITUTE(IF(LEN(I121)=0,Taostats_CSV!F121&amp;" "&amp;Taostats_CSV!J121,IF(I121="Cost","Extrinsic fee","")),"_"," ")</f>
        <v xml:space="preserve"> </v>
      </c>
      <c r="K121" t="str">
        <f>TRIM(IF(LEN(Taostats_CSV!I121)&gt;0,Taostats_CSV!I121,""))</f>
        <v/>
      </c>
      <c r="L121">
        <f ca="1">IF(Taostats_CSV!E121&lt;&gt;"TAO",IF(LEN(F121)&gt;0,F121,IF(LEN(D121)&gt;0,D121,0))*Taostats_CSV!P121,"")</f>
        <v>0</v>
      </c>
      <c r="M121" t="str">
        <f t="shared" ca="1" si="21"/>
        <v>USD</v>
      </c>
      <c r="N121">
        <f>COUNTIF(Taostats_CSV!$X:$X,Taostats_CSV!$I121&amp;N$1)</f>
        <v>0</v>
      </c>
      <c r="O121">
        <f>COUNTIF(Taostats_CSV!$X:$X,Taostats_CSV!$I121&amp;O$1)</f>
        <v>0</v>
      </c>
      <c r="P121">
        <f>COUNTIF(Taostats_CSV!$X:$X,Taostats_CSV!$I121&amp;P$1)</f>
        <v>0</v>
      </c>
      <c r="Q121" t="b">
        <f t="shared" si="22"/>
        <v>0</v>
      </c>
      <c r="R121" t="b">
        <f>IF(LEN(K121)&gt;0,COUNTIF($K$3:K121,K121),FALSE)</f>
        <v>0</v>
      </c>
      <c r="S121" t="b">
        <f>IF(Taostats_CSV!A121=Taostats_CSV!$A$2,TRUE,Taostats_CSV!G121+Taostats_CSV!H121+Taostats_CSV!R121=0)</f>
        <v>1</v>
      </c>
      <c r="T121" t="b">
        <f t="shared" si="23"/>
        <v>0</v>
      </c>
      <c r="U121" t="b" cm="1">
        <f t="array" aca="1" ref="U121" ca="1">AND(T121,OR(O121-N121&gt;1,P121&gt;1,ISERROR(A121:P121)))</f>
        <v>0</v>
      </c>
      <c r="W121" t="e">
        <f>MATCH(K121&amp;$W$2,Taostats_CSV!$X$3:$X$1167,0)</f>
        <v>#N/A</v>
      </c>
      <c r="X121" t="e">
        <f t="shared" ca="1" si="18"/>
        <v>#VALUE!</v>
      </c>
      <c r="Y121" t="e">
        <f t="shared" ca="1" si="19"/>
        <v>#VALUE!</v>
      </c>
      <c r="Z121" t="e">
        <f t="shared" ca="1" si="20"/>
        <v>#VALUE!</v>
      </c>
    </row>
    <row r="122" spans="1:26" hidden="1" x14ac:dyDescent="0.4">
      <c r="A122" t="str">
        <f>MID(Taostats_CSV!C122,6,2)&amp;"/"&amp;MID(Taostats_CSV!C122,9,2)&amp;"/"&amp;LEFT(Taostats_CSV!C122,4)&amp;" "&amp;MID(Taostats_CSV!C122,12,8)</f>
        <v>04/11/2025 23:59:48</v>
      </c>
      <c r="C122" t="str">
        <f ca="1">IF(Q122,OFFSET(Taostats_CSV!$E$1,MATCH(K122&amp;D$1,Taostats_CSV!$X:$X,0)-1,0),IF(Taostats_CSV!F122="fee","",IF(VALUE(Taostats_CSV!G122)&gt;0,Taostats_CSV!E122,"")))</f>
        <v/>
      </c>
      <c r="D122" t="str">
        <f ca="1">IF(Q122,OFFSET(Taostats_CSV!$G$1,MATCH(K122&amp;D$1,Taostats_CSV!$X:$X,0)-1,0),IF(Taostats_CSV!F122="fee","",IF(VALUE(Taostats_CSV!G122)&gt;0,Taostats_CSV!G122,"")))</f>
        <v/>
      </c>
      <c r="E122" t="str">
        <f ca="1">IF(AND(Q122,P122&gt;0),OFFSET(Taostats_CSV!$E$1,MATCH(K122&amp;F$1,Taostats_CSV!$X:$X,0)-1,0),IF(LEN(F122)&gt;0,Taostats_CSV!E122,""))</f>
        <v/>
      </c>
      <c r="F122" t="str">
        <f ca="1">TRIM(IF(AND(Q122,P122&gt;0),OFFSET(Taostats_CSV!$H$1,MATCH(K122&amp;F$1,Taostats_CSV!$X:$X,0)-1,0),IF(LEN(Taostats_CSV!H122)&gt;0,Taostats_CSV!H122,Taostats_CSV!R122)))</f>
        <v/>
      </c>
      <c r="G122" t="str">
        <f ca="1">IF(AND(Q122,N122=1),OFFSET(Taostats_CSV!$E$1,MATCH(K122&amp;H$1,Taostats_CSV!$X:$X,0)-1,0),IF(Taostats_CSV!F122="fee",Taostats_CSV!E122,""))</f>
        <v/>
      </c>
      <c r="H122" t="str">
        <f ca="1">IF(AND(Q122,N122=1),OFFSET(Taostats_CSV!$G$1,MATCH(K122&amp;H$1,Taostats_CSV!$X:$X,0)-1,0),IF(Taostats_CSV!F122="fee",Taostats_CSV!G122,""))</f>
        <v/>
      </c>
      <c r="I122" t="str">
        <f ca="1">IF(AND(LEN(K122)=0,LEN(F122)&gt;0),"Income",IF(AND(O122&gt;0,P122&gt;0,C122&lt;&gt;E122),"Trade",IF(AND(NOT(Q122),Taostats_CSV!F122="fee"),'READ ME'!$C$5,"")))</f>
        <v/>
      </c>
      <c r="J122" t="str">
        <f ca="1">SUBSTITUTE(IF(LEN(I122)=0,Taostats_CSV!F122&amp;" "&amp;Taostats_CSV!J122,IF(I122="Cost","Extrinsic fee","")),"_"," ")</f>
        <v xml:space="preserve"> </v>
      </c>
      <c r="K122" t="str">
        <f>TRIM(IF(LEN(Taostats_CSV!I122)&gt;0,Taostats_CSV!I122,""))</f>
        <v/>
      </c>
      <c r="L122">
        <f ca="1">IF(Taostats_CSV!E122&lt;&gt;"TAO",IF(LEN(F122)&gt;0,F122,IF(LEN(D122)&gt;0,D122,0))*Taostats_CSV!P122,"")</f>
        <v>0</v>
      </c>
      <c r="M122" t="str">
        <f t="shared" ca="1" si="21"/>
        <v>USD</v>
      </c>
      <c r="N122">
        <f>COUNTIF(Taostats_CSV!$X:$X,Taostats_CSV!$I122&amp;N$1)</f>
        <v>0</v>
      </c>
      <c r="O122">
        <f>COUNTIF(Taostats_CSV!$X:$X,Taostats_CSV!$I122&amp;O$1)</f>
        <v>0</v>
      </c>
      <c r="P122">
        <f>COUNTIF(Taostats_CSV!$X:$X,Taostats_CSV!$I122&amp;P$1)</f>
        <v>0</v>
      </c>
      <c r="Q122" t="b">
        <f t="shared" si="22"/>
        <v>0</v>
      </c>
      <c r="R122" t="b">
        <f>IF(LEN(K122)&gt;0,COUNTIF($K$3:K122,K122),FALSE)</f>
        <v>0</v>
      </c>
      <c r="S122" t="b">
        <f>IF(Taostats_CSV!A122=Taostats_CSV!$A$2,TRUE,Taostats_CSV!G122+Taostats_CSV!H122+Taostats_CSV!R122=0)</f>
        <v>1</v>
      </c>
      <c r="T122" t="b">
        <f t="shared" si="23"/>
        <v>0</v>
      </c>
      <c r="U122" t="b" cm="1">
        <f t="array" aca="1" ref="U122" ca="1">AND(T122,OR(O122-N122&gt;1,P122&gt;1,ISERROR(A122:P122)))</f>
        <v>0</v>
      </c>
      <c r="W122" t="e">
        <f>MATCH(K122&amp;$W$2,Taostats_CSV!$X$3:$X$1167,0)</f>
        <v>#N/A</v>
      </c>
      <c r="X122" t="e">
        <f t="shared" ca="1" si="18"/>
        <v>#VALUE!</v>
      </c>
      <c r="Y122" t="e">
        <f t="shared" ca="1" si="19"/>
        <v>#VALUE!</v>
      </c>
      <c r="Z122" t="e">
        <f t="shared" ca="1" si="20"/>
        <v>#VALUE!</v>
      </c>
    </row>
    <row r="123" spans="1:26" hidden="1" x14ac:dyDescent="0.4">
      <c r="A123" t="str">
        <f>MID(Taostats_CSV!C123,6,2)&amp;"/"&amp;MID(Taostats_CSV!C123,9,2)&amp;"/"&amp;LEFT(Taostats_CSV!C123,4)&amp;" "&amp;MID(Taostats_CSV!C123,12,8)</f>
        <v>04/11/2025 23:59:48</v>
      </c>
      <c r="C123" t="str">
        <f ca="1">IF(Q123,OFFSET(Taostats_CSV!$E$1,MATCH(K123&amp;D$1,Taostats_CSV!$X:$X,0)-1,0),IF(Taostats_CSV!F123="fee","",IF(VALUE(Taostats_CSV!G123)&gt;0,Taostats_CSV!E123,"")))</f>
        <v/>
      </c>
      <c r="D123" t="str">
        <f ca="1">IF(Q123,OFFSET(Taostats_CSV!$G$1,MATCH(K123&amp;D$1,Taostats_CSV!$X:$X,0)-1,0),IF(Taostats_CSV!F123="fee","",IF(VALUE(Taostats_CSV!G123)&gt;0,Taostats_CSV!G123,"")))</f>
        <v/>
      </c>
      <c r="E123" t="str">
        <f ca="1">IF(AND(Q123,P123&gt;0),OFFSET(Taostats_CSV!$E$1,MATCH(K123&amp;F$1,Taostats_CSV!$X:$X,0)-1,0),IF(LEN(F123)&gt;0,Taostats_CSV!E123,""))</f>
        <v/>
      </c>
      <c r="F123" t="str">
        <f ca="1">TRIM(IF(AND(Q123,P123&gt;0),OFFSET(Taostats_CSV!$H$1,MATCH(K123&amp;F$1,Taostats_CSV!$X:$X,0)-1,0),IF(LEN(Taostats_CSV!H123)&gt;0,Taostats_CSV!H123,Taostats_CSV!R123)))</f>
        <v/>
      </c>
      <c r="G123" t="str">
        <f ca="1">IF(AND(Q123,N123=1),OFFSET(Taostats_CSV!$E$1,MATCH(K123&amp;H$1,Taostats_CSV!$X:$X,0)-1,0),IF(Taostats_CSV!F123="fee",Taostats_CSV!E123,""))</f>
        <v/>
      </c>
      <c r="H123" t="str">
        <f ca="1">IF(AND(Q123,N123=1),OFFSET(Taostats_CSV!$G$1,MATCH(K123&amp;H$1,Taostats_CSV!$X:$X,0)-1,0),IF(Taostats_CSV!F123="fee",Taostats_CSV!G123,""))</f>
        <v/>
      </c>
      <c r="I123" t="str">
        <f ca="1">IF(AND(LEN(K123)=0,LEN(F123)&gt;0),"Income",IF(AND(O123&gt;0,P123&gt;0,C123&lt;&gt;E123),"Trade",IF(AND(NOT(Q123),Taostats_CSV!F123="fee"),'READ ME'!$C$5,"")))</f>
        <v/>
      </c>
      <c r="J123" t="str">
        <f ca="1">SUBSTITUTE(IF(LEN(I123)=0,Taostats_CSV!F123&amp;" "&amp;Taostats_CSV!J123,IF(I123="Cost","Extrinsic fee","")),"_"," ")</f>
        <v xml:space="preserve"> </v>
      </c>
      <c r="K123" t="str">
        <f>TRIM(IF(LEN(Taostats_CSV!I123)&gt;0,Taostats_CSV!I123,""))</f>
        <v/>
      </c>
      <c r="L123">
        <f ca="1">IF(Taostats_CSV!E123&lt;&gt;"TAO",IF(LEN(F123)&gt;0,F123,IF(LEN(D123)&gt;0,D123,0))*Taostats_CSV!P123,"")</f>
        <v>0</v>
      </c>
      <c r="M123" t="str">
        <f t="shared" ca="1" si="21"/>
        <v>USD</v>
      </c>
      <c r="N123">
        <f>COUNTIF(Taostats_CSV!$X:$X,Taostats_CSV!$I123&amp;N$1)</f>
        <v>0</v>
      </c>
      <c r="O123">
        <f>COUNTIF(Taostats_CSV!$X:$X,Taostats_CSV!$I123&amp;O$1)</f>
        <v>0</v>
      </c>
      <c r="P123">
        <f>COUNTIF(Taostats_CSV!$X:$X,Taostats_CSV!$I123&amp;P$1)</f>
        <v>0</v>
      </c>
      <c r="Q123" t="b">
        <f t="shared" si="22"/>
        <v>0</v>
      </c>
      <c r="R123" t="b">
        <f>IF(LEN(K123)&gt;0,COUNTIF($K$3:K123,K123),FALSE)</f>
        <v>0</v>
      </c>
      <c r="S123" t="b">
        <f>IF(Taostats_CSV!A123=Taostats_CSV!$A$2,TRUE,Taostats_CSV!G123+Taostats_CSV!H123+Taostats_CSV!R123=0)</f>
        <v>1</v>
      </c>
      <c r="T123" t="b">
        <f t="shared" si="23"/>
        <v>0</v>
      </c>
      <c r="U123" t="b" cm="1">
        <f t="array" aca="1" ref="U123" ca="1">AND(T123,OR(O123-N123&gt;1,P123&gt;1,ISERROR(A123:P123)))</f>
        <v>0</v>
      </c>
      <c r="W123" t="e">
        <f>MATCH(K123&amp;$W$2,Taostats_CSV!$X$3:$X$1167,0)</f>
        <v>#N/A</v>
      </c>
      <c r="X123" t="e">
        <f t="shared" ca="1" si="18"/>
        <v>#VALUE!</v>
      </c>
      <c r="Y123" t="e">
        <f t="shared" ca="1" si="19"/>
        <v>#VALUE!</v>
      </c>
      <c r="Z123" t="e">
        <f t="shared" ca="1" si="20"/>
        <v>#VALUE!</v>
      </c>
    </row>
    <row r="124" spans="1:26" hidden="1" x14ac:dyDescent="0.4">
      <c r="A124" t="str">
        <f>MID(Taostats_CSV!C124,6,2)&amp;"/"&amp;MID(Taostats_CSV!C124,9,2)&amp;"/"&amp;LEFT(Taostats_CSV!C124,4)&amp;" "&amp;MID(Taostats_CSV!C124,12,8)</f>
        <v>04/11/2025 23:59:48</v>
      </c>
      <c r="C124" t="str">
        <f ca="1">IF(Q124,OFFSET(Taostats_CSV!$E$1,MATCH(K124&amp;D$1,Taostats_CSV!$X:$X,0)-1,0),IF(Taostats_CSV!F124="fee","",IF(VALUE(Taostats_CSV!G124)&gt;0,Taostats_CSV!E124,"")))</f>
        <v/>
      </c>
      <c r="D124" t="str">
        <f ca="1">IF(Q124,OFFSET(Taostats_CSV!$G$1,MATCH(K124&amp;D$1,Taostats_CSV!$X:$X,0)-1,0),IF(Taostats_CSV!F124="fee","",IF(VALUE(Taostats_CSV!G124)&gt;0,Taostats_CSV!G124,"")))</f>
        <v/>
      </c>
      <c r="E124" t="str">
        <f ca="1">IF(AND(Q124,P124&gt;0),OFFSET(Taostats_CSV!$E$1,MATCH(K124&amp;F$1,Taostats_CSV!$X:$X,0)-1,0),IF(LEN(F124)&gt;0,Taostats_CSV!E124,""))</f>
        <v/>
      </c>
      <c r="F124" t="str">
        <f ca="1">TRIM(IF(AND(Q124,P124&gt;0),OFFSET(Taostats_CSV!$H$1,MATCH(K124&amp;F$1,Taostats_CSV!$X:$X,0)-1,0),IF(LEN(Taostats_CSV!H124)&gt;0,Taostats_CSV!H124,Taostats_CSV!R124)))</f>
        <v/>
      </c>
      <c r="G124" t="str">
        <f ca="1">IF(AND(Q124,N124=1),OFFSET(Taostats_CSV!$E$1,MATCH(K124&amp;H$1,Taostats_CSV!$X:$X,0)-1,0),IF(Taostats_CSV!F124="fee",Taostats_CSV!E124,""))</f>
        <v/>
      </c>
      <c r="H124" t="str">
        <f ca="1">IF(AND(Q124,N124=1),OFFSET(Taostats_CSV!$G$1,MATCH(K124&amp;H$1,Taostats_CSV!$X:$X,0)-1,0),IF(Taostats_CSV!F124="fee",Taostats_CSV!G124,""))</f>
        <v/>
      </c>
      <c r="I124" t="str">
        <f ca="1">IF(AND(LEN(K124)=0,LEN(F124)&gt;0),"Income",IF(AND(O124&gt;0,P124&gt;0,C124&lt;&gt;E124),"Trade",IF(AND(NOT(Q124),Taostats_CSV!F124="fee"),'READ ME'!$C$5,"")))</f>
        <v/>
      </c>
      <c r="J124" t="str">
        <f ca="1">SUBSTITUTE(IF(LEN(I124)=0,Taostats_CSV!F124&amp;" "&amp;Taostats_CSV!J124,IF(I124="Cost","Extrinsic fee","")),"_"," ")</f>
        <v xml:space="preserve"> </v>
      </c>
      <c r="K124" t="str">
        <f>TRIM(IF(LEN(Taostats_CSV!I124)&gt;0,Taostats_CSV!I124,""))</f>
        <v/>
      </c>
      <c r="L124">
        <f ca="1">IF(Taostats_CSV!E124&lt;&gt;"TAO",IF(LEN(F124)&gt;0,F124,IF(LEN(D124)&gt;0,D124,0))*Taostats_CSV!P124,"")</f>
        <v>0</v>
      </c>
      <c r="M124" t="str">
        <f t="shared" ca="1" si="21"/>
        <v>USD</v>
      </c>
      <c r="N124">
        <f>COUNTIF(Taostats_CSV!$X:$X,Taostats_CSV!$I124&amp;N$1)</f>
        <v>0</v>
      </c>
      <c r="O124">
        <f>COUNTIF(Taostats_CSV!$X:$X,Taostats_CSV!$I124&amp;O$1)</f>
        <v>0</v>
      </c>
      <c r="P124">
        <f>COUNTIF(Taostats_CSV!$X:$X,Taostats_CSV!$I124&amp;P$1)</f>
        <v>0</v>
      </c>
      <c r="Q124" t="b">
        <f t="shared" si="22"/>
        <v>0</v>
      </c>
      <c r="R124" t="b">
        <f>IF(LEN(K124)&gt;0,COUNTIF($K$3:K124,K124),FALSE)</f>
        <v>0</v>
      </c>
      <c r="S124" t="b">
        <f>IF(Taostats_CSV!A124=Taostats_CSV!$A$2,TRUE,Taostats_CSV!G124+Taostats_CSV!H124+Taostats_CSV!R124=0)</f>
        <v>1</v>
      </c>
      <c r="T124" t="b">
        <f t="shared" si="23"/>
        <v>0</v>
      </c>
      <c r="U124" t="b" cm="1">
        <f t="array" aca="1" ref="U124" ca="1">AND(T124,OR(O124-N124&gt;1,P124&gt;1,ISERROR(A124:P124)))</f>
        <v>0</v>
      </c>
      <c r="W124" t="e">
        <f>MATCH(K124&amp;$W$2,Taostats_CSV!$X$3:$X$1167,0)</f>
        <v>#N/A</v>
      </c>
      <c r="X124" t="e">
        <f t="shared" ca="1" si="18"/>
        <v>#VALUE!</v>
      </c>
      <c r="Y124" t="e">
        <f t="shared" ca="1" si="19"/>
        <v>#VALUE!</v>
      </c>
      <c r="Z124" t="e">
        <f t="shared" ca="1" si="20"/>
        <v>#VALUE!</v>
      </c>
    </row>
    <row r="125" spans="1:26" x14ac:dyDescent="0.4">
      <c r="A125" t="str">
        <f>MID(Taostats_CSV!C125,6,2)&amp;"/"&amp;MID(Taostats_CSV!C125,9,2)&amp;"/"&amp;LEFT(Taostats_CSV!C125,4)&amp;" "&amp;MID(Taostats_CSV!C125,12,8)</f>
        <v>04/11/2025 23:59:48</v>
      </c>
      <c r="C125" t="str">
        <f ca="1">IF(Q125,OFFSET(Taostats_CSV!$E$1,MATCH(K125&amp;D$1,Taostats_CSV!$X:$X,0)-1,0),IF(Taostats_CSV!F125="fee",IF(VALUE(Taostats_CSV!G125)&gt;0,Taostats_CSV!E125,""),""))</f>
        <v/>
      </c>
      <c r="D125" t="str">
        <f ca="1">IF(Q125,OFFSET(Taostats_CSV!$G$1,MATCH(K125&amp;D$1,Taostats_CSV!$X:$X,0)-1,0),IF(Taostats_CSV!F125="fee",IF(VALUE(Taostats_CSV!G125)&gt;0,Taostats_CSV!G125,""),""))</f>
        <v/>
      </c>
      <c r="E125" t="str">
        <f ca="1">IF(AND(Q125,P125&gt;0),OFFSET(Taostats_CSV!$E$1,MATCH(K125&amp;F$1,Taostats_CSV!$X:$X,0)-1,0),IF(LEN(F125)&gt;0,Taostats_CSV!E125,""))</f>
        <v>TAO</v>
      </c>
      <c r="F125" t="str">
        <f ca="1">TRIM(IF(AND(Q125,P125&gt;0),OFFSET(Taostats_CSV!$H$1,MATCH(K125&amp;F$1,Taostats_CSV!$X:$X,0)-1,0),IF(LEN(Taostats_CSV!H125)&gt;0,Taostats_CSV!H125,Taostats_CSV!R125)))</f>
        <v>0.061283135</v>
      </c>
      <c r="G125" t="str">
        <f ca="1">IF(AND(Q125,N125=1),OFFSET(Taostats_CSV!$E$1,MATCH(K125&amp;H$1,Taostats_CSV!$X:$X,0)-1,0),"")</f>
        <v/>
      </c>
      <c r="H125" t="str">
        <f ca="1">IF(AND(Q125,N125=1),OFFSET(Taostats_CSV!$G$1,MATCH(K125&amp;H$1,Taostats_CSV!$X:$X,0)-1,0),"")</f>
        <v/>
      </c>
      <c r="I125" t="str">
        <f ca="1">IF(AND(LEN(K125)=0,LEN(F125)&gt;0),"Income",IF(AND(O125&gt;0,P125&gt;0,C125&lt;&gt;E125),"Trade",IF(AND(NOT(Q125),Taostats_CSV!F125="fee"),'READ ME'!$C$5,"")))</f>
        <v>Income</v>
      </c>
      <c r="J125" t="str">
        <f ca="1">SUBSTITUTE(IF(LEN(I125)=0,Taostats_CSV!F125&amp;" "&amp;Taostats_CSV!J125,IF(I125="Cost","Extrinsic fee","")),"_"," ")</f>
        <v/>
      </c>
      <c r="K125" t="str">
        <f>TRIM(IF(LEN(Taostats_CSV!I125)&gt;0,Taostats_CSV!I125,""))</f>
        <v/>
      </c>
      <c r="L125" t="str">
        <f>IF(Taostats_CSV!E125&lt;&gt;"TAO",IF(LEN(F125)&gt;0,F125,IF(LEN(D125)&gt;0,D125,0))*Taostats_CSV!P125,"")</f>
        <v/>
      </c>
      <c r="M125" t="str">
        <f t="shared" si="21"/>
        <v/>
      </c>
      <c r="N125">
        <f>COUNTIF(Taostats_CSV!$X:$X,Taostats_CSV!$I125&amp;N$1)</f>
        <v>0</v>
      </c>
      <c r="O125">
        <f>COUNTIF(Taostats_CSV!$X:$X,Taostats_CSV!$I125&amp;O$1)</f>
        <v>0</v>
      </c>
      <c r="P125">
        <f>COUNTIF(Taostats_CSV!$X:$X,Taostats_CSV!$I125&amp;P$1)</f>
        <v>0</v>
      </c>
      <c r="Q125" t="b">
        <f t="shared" si="22"/>
        <v>0</v>
      </c>
      <c r="R125" t="b">
        <f>IF(LEN(K125)&gt;0,COUNTIF($K$3:K125,K125),FALSE)</f>
        <v>0</v>
      </c>
      <c r="S125" t="b">
        <f>IF(Taostats_CSV!A125=Taostats_CSV!$A$2,TRUE,Taostats_CSV!G125+Taostats_CSV!H125+Taostats_CSV!R125=0)</f>
        <v>0</v>
      </c>
      <c r="T125" t="b">
        <f t="shared" si="23"/>
        <v>1</v>
      </c>
      <c r="U125" t="b" cm="1">
        <f t="array" aca="1" ref="U125" ca="1">AND(T125,OR(O125-N125&gt;1,P125&gt;1,ISERROR(A125:P125)))</f>
        <v>0</v>
      </c>
      <c r="W125" t="e">
        <f>MATCH(K125&amp;$W$2,Taostats_CSV!$X$3:$X$1167,0)</f>
        <v>#N/A</v>
      </c>
      <c r="X125" t="e">
        <f t="shared" ca="1" si="18"/>
        <v>#VALUE!</v>
      </c>
      <c r="Y125">
        <f t="shared" ca="1" si="19"/>
        <v>6.1283135000000002E-2</v>
      </c>
      <c r="Z125" t="e">
        <f t="shared" ca="1" si="20"/>
        <v>#VALUE!</v>
      </c>
    </row>
    <row r="126" spans="1:26" x14ac:dyDescent="0.4">
      <c r="A126" t="str">
        <f>MID(Taostats_CSV!C126,6,2)&amp;"/"&amp;MID(Taostats_CSV!C126,9,2)&amp;"/"&amp;LEFT(Taostats_CSV!C126,4)&amp;" "&amp;MID(Taostats_CSV!C126,12,8)</f>
        <v>04/12/2025 19:48:12</v>
      </c>
      <c r="C126" t="str">
        <f ca="1">IF(Q126,OFFSET(Taostats_CSV!$E$1,MATCH(K126&amp;D$1,Taostats_CSV!$X:$X,0)-1,0),IF(Taostats_CSV!F126="fee",IF(VALUE(Taostats_CSV!G126)&gt;0,Taostats_CSV!E126,""),""))</f>
        <v>TAO</v>
      </c>
      <c r="D126">
        <f ca="1">IF(Q126,OFFSET(Taostats_CSV!$G$1,MATCH(K126&amp;D$1,Taostats_CSV!$X:$X,0)-1,0),IF(Taostats_CSV!F126="fee",IF(VALUE(Taostats_CSV!G126)&gt;0,Taostats_CSV!G126,""),""))</f>
        <v>5.0000000000000002E-5</v>
      </c>
      <c r="E126" t="str">
        <f ca="1">IF(AND(Q126,P126&gt;0),OFFSET(Taostats_CSV!$E$1,MATCH(K126&amp;F$1,Taostats_CSV!$X:$X,0)-1,0),IF(LEN(F126)&gt;0,Taostats_CSV!E126,""))</f>
        <v/>
      </c>
      <c r="F126" t="str">
        <f ca="1">TRIM(IF(AND(Q126,P126&gt;0),OFFSET(Taostats_CSV!$H$1,MATCH(K126&amp;F$1,Taostats_CSV!$X:$X,0)-1,0),IF(LEN(Taostats_CSV!H126)&gt;0,Taostats_CSV!H126,Taostats_CSV!R126)))</f>
        <v/>
      </c>
      <c r="G126" t="str">
        <f ca="1">IF(AND(Q126,N126=1),OFFSET(Taostats_CSV!$E$1,MATCH(K126&amp;H$1,Taostats_CSV!$X:$X,0)-1,0),"")</f>
        <v/>
      </c>
      <c r="H126" t="str">
        <f ca="1">IF(AND(Q126,N126=1),OFFSET(Taostats_CSV!$G$1,MATCH(K126&amp;H$1,Taostats_CSV!$X:$X,0)-1,0),"")</f>
        <v/>
      </c>
      <c r="I126" t="str">
        <f ca="1">IF(AND(LEN(K126)=0,LEN(F126)&gt;0),"Income",IF(AND(O126&gt;0,P126&gt;0,C126&lt;&gt;E126),"Trade",IF(AND(NOT(Q126),Taostats_CSV!F126="fee"),'READ ME'!$C$5,"")))</f>
        <v>Merchant Payment</v>
      </c>
      <c r="J126" t="str">
        <f ca="1">SUBSTITUTE(IF(LEN(I126)=0,Taostats_CSV!F126&amp;" "&amp;Taostats_CSV!J126,IF(I126="Cost","Extrinsic fee","")),"_"," ")</f>
        <v/>
      </c>
      <c r="K126" t="str">
        <f>TRIM(IF(LEN(Taostats_CSV!I126)&gt;0,Taostats_CSV!I126,""))</f>
        <v>5337373-0006</v>
      </c>
      <c r="L126" t="str">
        <f>IF(Taostats_CSV!E126&lt;&gt;"TAO",IF(LEN(F126)&gt;0,F126,IF(LEN(D126)&gt;0,D126,0))*Taostats_CSV!P126,"")</f>
        <v/>
      </c>
      <c r="M126" t="str">
        <f t="shared" si="21"/>
        <v/>
      </c>
      <c r="N126">
        <f>COUNTIF(Taostats_CSV!$X:$X,Taostats_CSV!$I126&amp;N$1)</f>
        <v>1</v>
      </c>
      <c r="O126">
        <f>COUNTIF(Taostats_CSV!$X:$X,Taostats_CSV!$I126&amp;O$1)</f>
        <v>0</v>
      </c>
      <c r="P126">
        <f>COUNTIF(Taostats_CSV!$X:$X,Taostats_CSV!$I126&amp;P$1)</f>
        <v>0</v>
      </c>
      <c r="Q126" t="b">
        <f t="shared" si="22"/>
        <v>0</v>
      </c>
      <c r="R126">
        <f>IF(LEN(K126)&gt;0,COUNTIF($K$3:K126,K126),FALSE)</f>
        <v>1</v>
      </c>
      <c r="S126" t="b">
        <f>IF(Taostats_CSV!A126=Taostats_CSV!$A$2,TRUE,Taostats_CSV!G126+Taostats_CSV!H126+Taostats_CSV!R126=0)</f>
        <v>0</v>
      </c>
      <c r="T126" t="b">
        <f t="shared" si="23"/>
        <v>1</v>
      </c>
      <c r="U126" t="b" cm="1">
        <f t="array" aca="1" ref="U126" ca="1">AND(T126,OR(O126-N126&gt;1,P126&gt;1,ISERROR(A126:P126)))</f>
        <v>0</v>
      </c>
      <c r="W126">
        <f>MATCH(K126&amp;$W$2,Taostats_CSV!$X$3:$X$1167,0)</f>
        <v>124</v>
      </c>
      <c r="X126">
        <f t="shared" ca="1" si="18"/>
        <v>5.0000000000000002E-5</v>
      </c>
      <c r="Y126" t="e">
        <f t="shared" ca="1" si="19"/>
        <v>#VALUE!</v>
      </c>
      <c r="Z126" t="e">
        <f t="shared" ca="1" si="20"/>
        <v>#VALUE!</v>
      </c>
    </row>
    <row r="127" spans="1:26" x14ac:dyDescent="0.4">
      <c r="A127" t="str">
        <f>MID(Taostats_CSV!C127,6,2)&amp;"/"&amp;MID(Taostats_CSV!C127,9,2)&amp;"/"&amp;LEFT(Taostats_CSV!C127,4)&amp;" "&amp;MID(Taostats_CSV!C127,12,8)</f>
        <v>04/12/2025 19:54:24</v>
      </c>
      <c r="C127" t="str">
        <f ca="1">IF(Q127,OFFSET(Taostats_CSV!$E$1,MATCH(K127&amp;D$1,Taostats_CSV!$X:$X,0)-1,0),IF(Taostats_CSV!F127="fee",IF(VALUE(Taostats_CSV!G127)&gt;0,Taostats_CSV!E127,""),""))</f>
        <v>TAO</v>
      </c>
      <c r="D127">
        <f ca="1">IF(Q127,OFFSET(Taostats_CSV!$G$1,MATCH(K127&amp;D$1,Taostats_CSV!$X:$X,0)-1,0),IF(Taostats_CSV!F127="fee",IF(VALUE(Taostats_CSV!G127)&gt;0,Taostats_CSV!G127,""),""))</f>
        <v>0.1</v>
      </c>
      <c r="E127" t="str">
        <f ca="1">IF(AND(Q127,P127&gt;0),OFFSET(Taostats_CSV!$E$1,MATCH(K127&amp;F$1,Taostats_CSV!$X:$X,0)-1,0),IF(LEN(F127)&gt;0,Taostats_CSV!E127,""))</f>
        <v>SN3</v>
      </c>
      <c r="F127" t="str">
        <f ca="1">TRIM(IF(AND(Q127,P127&gt;0),OFFSET(Taostats_CSV!$H$1,MATCH(K127&amp;F$1,Taostats_CSV!$X:$X,0)-1,0),IF(LEN(Taostats_CSV!H127)&gt;0,Taostats_CSV!H127,Taostats_CSV!R127)))</f>
        <v>0.79703854</v>
      </c>
      <c r="G127" t="str">
        <f ca="1">IF(AND(Q127,N127=1),OFFSET(Taostats_CSV!$E$1,MATCH(K127&amp;H$1,Taostats_CSV!$X:$X,0)-1,0),"")</f>
        <v/>
      </c>
      <c r="H127" t="str">
        <f ca="1">IF(AND(Q127,N127=1),OFFSET(Taostats_CSV!$G$1,MATCH(K127&amp;H$1,Taostats_CSV!$X:$X,0)-1,0),"")</f>
        <v/>
      </c>
      <c r="I127" t="str">
        <f ca="1">IF(AND(LEN(K127)=0,LEN(F127)&gt;0),"Income",IF(AND(O127&gt;0,P127&gt;0,C127&lt;&gt;E127),"Trade",IF(AND(NOT(Q127),Taostats_CSV!F127="fee"),'READ ME'!$C$5,"")))</f>
        <v>Trade</v>
      </c>
      <c r="J127" t="str">
        <f ca="1">SUBSTITUTE(IF(LEN(I127)=0,Taostats_CSV!F127&amp;" "&amp;Taostats_CSV!J127,IF(I127="Cost","Extrinsic fee","")),"_"," ")</f>
        <v/>
      </c>
      <c r="K127" t="str">
        <f>TRIM(IF(LEN(Taostats_CSV!I127)&gt;0,Taostats_CSV!I127,""))</f>
        <v>5337404-0014</v>
      </c>
      <c r="L127" t="str">
        <f>IF(Taostats_CSV!E127&lt;&gt;"TAO",IF(LEN(F127)&gt;0,F127,IF(LEN(D127)&gt;0,D127,0))*Taostats_CSV!P127,"")</f>
        <v/>
      </c>
      <c r="M127" t="str">
        <f t="shared" si="21"/>
        <v/>
      </c>
      <c r="N127">
        <f>COUNTIF(Taostats_CSV!$X:$X,Taostats_CSV!$I127&amp;N$1)</f>
        <v>0</v>
      </c>
      <c r="O127">
        <f>COUNTIF(Taostats_CSV!$X:$X,Taostats_CSV!$I127&amp;O$1)</f>
        <v>1</v>
      </c>
      <c r="P127">
        <f>COUNTIF(Taostats_CSV!$X:$X,Taostats_CSV!$I127&amp;P$1)</f>
        <v>1</v>
      </c>
      <c r="Q127" t="b">
        <f t="shared" si="22"/>
        <v>1</v>
      </c>
      <c r="R127">
        <f>IF(LEN(K127)&gt;0,COUNTIF($K$3:K127,K127),FALSE)</f>
        <v>1</v>
      </c>
      <c r="S127" t="b">
        <f>IF(Taostats_CSV!A127=Taostats_CSV!$A$2,TRUE,Taostats_CSV!G127+Taostats_CSV!H127+Taostats_CSV!R127=0)</f>
        <v>0</v>
      </c>
      <c r="T127" t="b">
        <f t="shared" si="23"/>
        <v>1</v>
      </c>
      <c r="U127" t="b" cm="1">
        <f t="array" aca="1" ref="U127" ca="1">AND(T127,OR(O127-N127&gt;1,P127&gt;1,ISERROR(A127:P127)))</f>
        <v>0</v>
      </c>
      <c r="W127" t="e">
        <f>MATCH(K127&amp;$W$2,Taostats_CSV!$X$3:$X$1167,0)</f>
        <v>#N/A</v>
      </c>
      <c r="X127">
        <f t="shared" ca="1" si="18"/>
        <v>0.1</v>
      </c>
      <c r="Y127">
        <f t="shared" ca="1" si="19"/>
        <v>0.79703853999999996</v>
      </c>
      <c r="Z127" t="e">
        <f t="shared" ca="1" si="20"/>
        <v>#VALUE!</v>
      </c>
    </row>
    <row r="128" spans="1:26" hidden="1" x14ac:dyDescent="0.4">
      <c r="A128" t="str">
        <f>MID(Taostats_CSV!C128,6,2)&amp;"/"&amp;MID(Taostats_CSV!C128,9,2)&amp;"/"&amp;LEFT(Taostats_CSV!C128,4)&amp;" "&amp;MID(Taostats_CSV!C128,12,8)</f>
        <v>04/12/2025 19:54:24</v>
      </c>
      <c r="C128" t="str">
        <f ca="1">IF(Q128,OFFSET(Taostats_CSV!$E$1,MATCH(K128&amp;D$1,Taostats_CSV!$X:$X,0)-1,0),IF(Taostats_CSV!F128="fee","",IF(VALUE(Taostats_CSV!G128)&gt;0,Taostats_CSV!E128,"")))</f>
        <v>TAO</v>
      </c>
      <c r="D128">
        <f ca="1">IF(Q128,OFFSET(Taostats_CSV!$G$1,MATCH(K128&amp;D$1,Taostats_CSV!$X:$X,0)-1,0),IF(Taostats_CSV!F128="fee","",IF(VALUE(Taostats_CSV!G128)&gt;0,Taostats_CSV!G128,"")))</f>
        <v>0.1</v>
      </c>
      <c r="E128" t="str">
        <f ca="1">IF(AND(Q128,P128&gt;0),OFFSET(Taostats_CSV!$E$1,MATCH(K128&amp;F$1,Taostats_CSV!$X:$X,0)-1,0),IF(LEN(F128)&gt;0,Taostats_CSV!E128,""))</f>
        <v>SN3</v>
      </c>
      <c r="F128" t="str">
        <f ca="1">TRIM(IF(AND(Q128,P128&gt;0),OFFSET(Taostats_CSV!$H$1,MATCH(K128&amp;F$1,Taostats_CSV!$X:$X,0)-1,0),IF(LEN(Taostats_CSV!H128)&gt;0,Taostats_CSV!H128,Taostats_CSV!R128)))</f>
        <v>0.79703854</v>
      </c>
      <c r="G128" t="str">
        <f ca="1">IF(AND(Q128,N128=1),OFFSET(Taostats_CSV!$E$1,MATCH(K128&amp;H$1,Taostats_CSV!$X:$X,0)-1,0),IF(Taostats_CSV!F128="fee",Taostats_CSV!E128,""))</f>
        <v/>
      </c>
      <c r="H128" t="str">
        <f ca="1">IF(AND(Q128,N128=1),OFFSET(Taostats_CSV!$G$1,MATCH(K128&amp;H$1,Taostats_CSV!$X:$X,0)-1,0),IF(Taostats_CSV!F128="fee",Taostats_CSV!G128,""))</f>
        <v/>
      </c>
      <c r="I128" t="str">
        <f ca="1">IF(AND(LEN(K128)=0,LEN(F128)&gt;0),"Income",IF(AND(O128&gt;0,P128&gt;0,C128&lt;&gt;E128),"Trade",IF(AND(NOT(Q128),Taostats_CSV!F128="fee"),'READ ME'!$C$5,"")))</f>
        <v>Trade</v>
      </c>
      <c r="J128" t="str">
        <f ca="1">SUBSTITUTE(IF(LEN(I128)=0,Taostats_CSV!F128&amp;" "&amp;Taostats_CSV!J128,IF(I128="Cost","Extrinsic fee","")),"_"," ")</f>
        <v/>
      </c>
      <c r="K128" t="str">
        <f>TRIM(IF(LEN(Taostats_CSV!I128)&gt;0,Taostats_CSV!I128,""))</f>
        <v>5337404-0014</v>
      </c>
      <c r="L128">
        <f ca="1">IF(Taostats_CSV!E128&lt;&gt;"TAO",IF(LEN(F128)&gt;0,F128,IF(LEN(D128)&gt;0,D128,0))*Taostats_CSV!P128,"")</f>
        <v>25.513203665399999</v>
      </c>
      <c r="M128" t="str">
        <f t="shared" ca="1" si="21"/>
        <v>USD</v>
      </c>
      <c r="N128">
        <f>COUNTIF(Taostats_CSV!$X:$X,Taostats_CSV!$I128&amp;N$1)</f>
        <v>0</v>
      </c>
      <c r="O128">
        <f>COUNTIF(Taostats_CSV!$X:$X,Taostats_CSV!$I128&amp;O$1)</f>
        <v>1</v>
      </c>
      <c r="P128">
        <f>COUNTIF(Taostats_CSV!$X:$X,Taostats_CSV!$I128&amp;P$1)</f>
        <v>1</v>
      </c>
      <c r="Q128" t="b">
        <f t="shared" si="22"/>
        <v>1</v>
      </c>
      <c r="R128">
        <f>IF(LEN(K128)&gt;0,COUNTIF($K$3:K128,K128),FALSE)</f>
        <v>2</v>
      </c>
      <c r="S128" t="b">
        <f>IF(Taostats_CSV!A128=Taostats_CSV!$A$2,TRUE,Taostats_CSV!G128+Taostats_CSV!H128+Taostats_CSV!R128=0)</f>
        <v>0</v>
      </c>
      <c r="T128" t="b">
        <f t="shared" si="23"/>
        <v>0</v>
      </c>
      <c r="U128" t="b" cm="1">
        <f t="array" aca="1" ref="U128" ca="1">AND(T128,OR(O128-N128&gt;1,P128&gt;1,ISERROR(A128:P128)))</f>
        <v>0</v>
      </c>
      <c r="W128" t="e">
        <f>MATCH(K128&amp;$W$2,Taostats_CSV!$X$3:$X$1167,0)</f>
        <v>#N/A</v>
      </c>
      <c r="X128">
        <f t="shared" ca="1" si="18"/>
        <v>0.1</v>
      </c>
      <c r="Y128">
        <f t="shared" ca="1" si="19"/>
        <v>0.79703853999999996</v>
      </c>
      <c r="Z128" t="e">
        <f t="shared" ca="1" si="20"/>
        <v>#VALUE!</v>
      </c>
    </row>
    <row r="129" spans="1:26" x14ac:dyDescent="0.4">
      <c r="A129" t="str">
        <f>MID(Taostats_CSV!C129,6,2)&amp;"/"&amp;MID(Taostats_CSV!C129,9,2)&amp;"/"&amp;LEFT(Taostats_CSV!C129,4)&amp;" "&amp;MID(Taostats_CSV!C129,12,8)</f>
        <v>04/12/2025 21:59:00</v>
      </c>
      <c r="C129" t="str">
        <f ca="1">IF(Q129,OFFSET(Taostats_CSV!$E$1,MATCH(K129&amp;D$1,Taostats_CSV!$X:$X,0)-1,0),IF(Taostats_CSV!F129="fee",IF(VALUE(Taostats_CSV!G129)&gt;0,Taostats_CSV!E129,""),""))</f>
        <v>TAO</v>
      </c>
      <c r="D129">
        <f ca="1">IF(Q129,OFFSET(Taostats_CSV!$G$1,MATCH(K129&amp;D$1,Taostats_CSV!$X:$X,0)-1,0),IF(Taostats_CSV!F129="fee",IF(VALUE(Taostats_CSV!G129)&gt;0,Taostats_CSV!G129,""),""))</f>
        <v>0.1</v>
      </c>
      <c r="E129" t="str">
        <f ca="1">IF(AND(Q129,P129&gt;0),OFFSET(Taostats_CSV!$E$1,MATCH(K129&amp;F$1,Taostats_CSV!$X:$X,0)-1,0),IF(LEN(F129)&gt;0,Taostats_CSV!E129,""))</f>
        <v>SN56</v>
      </c>
      <c r="F129" t="str">
        <f ca="1">TRIM(IF(AND(Q129,P129&gt;0),OFFSET(Taostats_CSV!$H$1,MATCH(K129&amp;F$1,Taostats_CSV!$X:$X,0)-1,0),IF(LEN(Taostats_CSV!H129)&gt;0,Taostats_CSV!H129,Taostats_CSV!R129)))</f>
        <v>0.50347412</v>
      </c>
      <c r="G129" t="str">
        <f ca="1">IF(AND(Q129,N129=1),OFFSET(Taostats_CSV!$E$1,MATCH(K129&amp;H$1,Taostats_CSV!$X:$X,0)-1,0),"")</f>
        <v/>
      </c>
      <c r="H129" t="str">
        <f ca="1">IF(AND(Q129,N129=1),OFFSET(Taostats_CSV!$G$1,MATCH(K129&amp;H$1,Taostats_CSV!$X:$X,0)-1,0),"")</f>
        <v/>
      </c>
      <c r="I129" t="str">
        <f ca="1">IF(AND(LEN(K129)=0,LEN(F129)&gt;0),"Income",IF(AND(O129&gt;0,P129&gt;0,C129&lt;&gt;E129),"Trade",IF(AND(NOT(Q129),Taostats_CSV!F129="fee"),'READ ME'!$C$5,"")))</f>
        <v>Trade</v>
      </c>
      <c r="J129" t="str">
        <f ca="1">SUBSTITUTE(IF(LEN(I129)=0,Taostats_CSV!F129&amp;" "&amp;Taostats_CSV!J129,IF(I129="Cost","Extrinsic fee","")),"_"," ")</f>
        <v/>
      </c>
      <c r="K129" t="str">
        <f>TRIM(IF(LEN(Taostats_CSV!I129)&gt;0,Taostats_CSV!I129,""))</f>
        <v>5338027-0012</v>
      </c>
      <c r="L129" t="str">
        <f>IF(Taostats_CSV!E129&lt;&gt;"TAO",IF(LEN(F129)&gt;0,F129,IF(LEN(D129)&gt;0,D129,0))*Taostats_CSV!P129,"")</f>
        <v/>
      </c>
      <c r="M129" t="str">
        <f t="shared" si="21"/>
        <v/>
      </c>
      <c r="N129">
        <f>COUNTIF(Taostats_CSV!$X:$X,Taostats_CSV!$I129&amp;N$1)</f>
        <v>0</v>
      </c>
      <c r="O129">
        <f>COUNTIF(Taostats_CSV!$X:$X,Taostats_CSV!$I129&amp;O$1)</f>
        <v>1</v>
      </c>
      <c r="P129">
        <f>COUNTIF(Taostats_CSV!$X:$X,Taostats_CSV!$I129&amp;P$1)</f>
        <v>1</v>
      </c>
      <c r="Q129" t="b">
        <f t="shared" si="22"/>
        <v>1</v>
      </c>
      <c r="R129">
        <f>IF(LEN(K129)&gt;0,COUNTIF($K$3:K129,K129),FALSE)</f>
        <v>1</v>
      </c>
      <c r="S129" t="b">
        <f>IF(Taostats_CSV!A129=Taostats_CSV!$A$2,TRUE,Taostats_CSV!G129+Taostats_CSV!H129+Taostats_CSV!R129=0)</f>
        <v>0</v>
      </c>
      <c r="T129" t="b">
        <f t="shared" si="23"/>
        <v>1</v>
      </c>
      <c r="U129" t="b" cm="1">
        <f t="array" aca="1" ref="U129" ca="1">AND(T129,OR(O129-N129&gt;1,P129&gt;1,ISERROR(A129:P129)))</f>
        <v>0</v>
      </c>
      <c r="W129" t="e">
        <f>MATCH(K129&amp;$W$2,Taostats_CSV!$X$3:$X$1167,0)</f>
        <v>#N/A</v>
      </c>
      <c r="X129">
        <f t="shared" ca="1" si="18"/>
        <v>0.1</v>
      </c>
      <c r="Y129">
        <f t="shared" ca="1" si="19"/>
        <v>0.50347412000000002</v>
      </c>
      <c r="Z129" t="e">
        <f t="shared" ca="1" si="20"/>
        <v>#VALUE!</v>
      </c>
    </row>
    <row r="130" spans="1:26" hidden="1" x14ac:dyDescent="0.4">
      <c r="A130" t="str">
        <f>MID(Taostats_CSV!C130,6,2)&amp;"/"&amp;MID(Taostats_CSV!C130,9,2)&amp;"/"&amp;LEFT(Taostats_CSV!C130,4)&amp;" "&amp;MID(Taostats_CSV!C130,12,8)</f>
        <v>04/12/2025 21:59:00</v>
      </c>
      <c r="C130" t="str">
        <f ca="1">IF(Q130,OFFSET(Taostats_CSV!$E$1,MATCH(K130&amp;D$1,Taostats_CSV!$X:$X,0)-1,0),IF(Taostats_CSV!F130="fee","",IF(VALUE(Taostats_CSV!G130)&gt;0,Taostats_CSV!E130,"")))</f>
        <v>TAO</v>
      </c>
      <c r="D130">
        <f ca="1">IF(Q130,OFFSET(Taostats_CSV!$G$1,MATCH(K130&amp;D$1,Taostats_CSV!$X:$X,0)-1,0),IF(Taostats_CSV!F130="fee","",IF(VALUE(Taostats_CSV!G130)&gt;0,Taostats_CSV!G130,"")))</f>
        <v>0.1</v>
      </c>
      <c r="E130" t="str">
        <f ca="1">IF(AND(Q130,P130&gt;0),OFFSET(Taostats_CSV!$E$1,MATCH(K130&amp;F$1,Taostats_CSV!$X:$X,0)-1,0),IF(LEN(F130)&gt;0,Taostats_CSV!E130,""))</f>
        <v>SN56</v>
      </c>
      <c r="F130" t="str">
        <f ca="1">TRIM(IF(AND(Q130,P130&gt;0),OFFSET(Taostats_CSV!$H$1,MATCH(K130&amp;F$1,Taostats_CSV!$X:$X,0)-1,0),IF(LEN(Taostats_CSV!H130)&gt;0,Taostats_CSV!H130,Taostats_CSV!R130)))</f>
        <v>0.50347412</v>
      </c>
      <c r="G130" t="str">
        <f ca="1">IF(AND(Q130,N130=1),OFFSET(Taostats_CSV!$E$1,MATCH(K130&amp;H$1,Taostats_CSV!$X:$X,0)-1,0),IF(Taostats_CSV!F130="fee",Taostats_CSV!E130,""))</f>
        <v/>
      </c>
      <c r="H130" t="str">
        <f ca="1">IF(AND(Q130,N130=1),OFFSET(Taostats_CSV!$G$1,MATCH(K130&amp;H$1,Taostats_CSV!$X:$X,0)-1,0),IF(Taostats_CSV!F130="fee",Taostats_CSV!G130,""))</f>
        <v/>
      </c>
      <c r="I130" t="str">
        <f ca="1">IF(AND(LEN(K130)=0,LEN(F130)&gt;0),"Income",IF(AND(O130&gt;0,P130&gt;0,C130&lt;&gt;E130),"Trade",IF(AND(NOT(Q130),Taostats_CSV!F130="fee"),'READ ME'!$C$5,"")))</f>
        <v>Trade</v>
      </c>
      <c r="J130" t="str">
        <f ca="1">SUBSTITUTE(IF(LEN(I130)=0,Taostats_CSV!F130&amp;" "&amp;Taostats_CSV!J130,IF(I130="Cost","Extrinsic fee","")),"_"," ")</f>
        <v/>
      </c>
      <c r="K130" t="str">
        <f>TRIM(IF(LEN(Taostats_CSV!I130)&gt;0,Taostats_CSV!I130,""))</f>
        <v>5338027-0012</v>
      </c>
      <c r="L130">
        <f ca="1">IF(Taostats_CSV!E130&lt;&gt;"TAO",IF(LEN(F130)&gt;0,F130,IF(LEN(D130)&gt;0,D130,0))*Taostats_CSV!P130,"")</f>
        <v>25.485859954399999</v>
      </c>
      <c r="M130" t="str">
        <f t="shared" ca="1" si="21"/>
        <v>USD</v>
      </c>
      <c r="N130">
        <f>COUNTIF(Taostats_CSV!$X:$X,Taostats_CSV!$I130&amp;N$1)</f>
        <v>0</v>
      </c>
      <c r="O130">
        <f>COUNTIF(Taostats_CSV!$X:$X,Taostats_CSV!$I130&amp;O$1)</f>
        <v>1</v>
      </c>
      <c r="P130">
        <f>COUNTIF(Taostats_CSV!$X:$X,Taostats_CSV!$I130&amp;P$1)</f>
        <v>1</v>
      </c>
      <c r="Q130" t="b">
        <f t="shared" si="22"/>
        <v>1</v>
      </c>
      <c r="R130">
        <f>IF(LEN(K130)&gt;0,COUNTIF($K$3:K130,K130),FALSE)</f>
        <v>2</v>
      </c>
      <c r="S130" t="b">
        <f>IF(Taostats_CSV!A130=Taostats_CSV!$A$2,TRUE,Taostats_CSV!G130+Taostats_CSV!H130+Taostats_CSV!R130=0)</f>
        <v>0</v>
      </c>
      <c r="T130" t="b">
        <f t="shared" si="23"/>
        <v>0</v>
      </c>
      <c r="U130" t="b" cm="1">
        <f t="array" aca="1" ref="U130" ca="1">AND(T130,OR(O130-N130&gt;1,P130&gt;1,ISERROR(A130:P130)))</f>
        <v>0</v>
      </c>
      <c r="W130" t="e">
        <f>MATCH(K130&amp;$W$2,Taostats_CSV!$X$3:$X$1167,0)</f>
        <v>#N/A</v>
      </c>
      <c r="X130">
        <f t="shared" ca="1" si="18"/>
        <v>0.1</v>
      </c>
      <c r="Y130">
        <f t="shared" ca="1" si="19"/>
        <v>0.50347412000000002</v>
      </c>
      <c r="Z130" t="e">
        <f t="shared" ca="1" si="20"/>
        <v>#VALUE!</v>
      </c>
    </row>
    <row r="131" spans="1:26" x14ac:dyDescent="0.4">
      <c r="A131" t="str">
        <f>MID(Taostats_CSV!C131,6,2)&amp;"/"&amp;MID(Taostats_CSV!C131,9,2)&amp;"/"&amp;LEFT(Taostats_CSV!C131,4)&amp;" "&amp;MID(Taostats_CSV!C131,12,8)</f>
        <v>04/12/2025 22:02:00</v>
      </c>
      <c r="C131" t="str">
        <f ca="1">IF(Q131,OFFSET(Taostats_CSV!$E$1,MATCH(K131&amp;D$1,Taostats_CSV!$X:$X,0)-1,0),IF(Taostats_CSV!F131="fee",IF(VALUE(Taostats_CSV!G131)&gt;0,Taostats_CSV!E131,""),""))</f>
        <v>TAO</v>
      </c>
      <c r="D131">
        <f ca="1">IF(Q131,OFFSET(Taostats_CSV!$G$1,MATCH(K131&amp;D$1,Taostats_CSV!$X:$X,0)-1,0),IF(Taostats_CSV!F131="fee",IF(VALUE(Taostats_CSV!G131)&gt;0,Taostats_CSV!G131,""),""))</f>
        <v>0.8</v>
      </c>
      <c r="E131" t="str">
        <f ca="1">IF(AND(Q131,P131&gt;0),OFFSET(Taostats_CSV!$E$1,MATCH(K131&amp;F$1,Taostats_CSV!$X:$X,0)-1,0),IF(LEN(F131)&gt;0,Taostats_CSV!E131,""))</f>
        <v>SN56</v>
      </c>
      <c r="F131" t="str">
        <f ca="1">TRIM(IF(AND(Q131,P131&gt;0),OFFSET(Taostats_CSV!$H$1,MATCH(K131&amp;F$1,Taostats_CSV!$X:$X,0)-1,0),IF(LEN(Taostats_CSV!H131)&gt;0,Taostats_CSV!H131,Taostats_CSV!R131)))</f>
        <v>4.026043011</v>
      </c>
      <c r="G131" t="str">
        <f ca="1">IF(AND(Q131,N131=1),OFFSET(Taostats_CSV!$E$1,MATCH(K131&amp;H$1,Taostats_CSV!$X:$X,0)-1,0),"")</f>
        <v/>
      </c>
      <c r="H131" t="str">
        <f ca="1">IF(AND(Q131,N131=1),OFFSET(Taostats_CSV!$G$1,MATCH(K131&amp;H$1,Taostats_CSV!$X:$X,0)-1,0),"")</f>
        <v/>
      </c>
      <c r="I131" t="str">
        <f ca="1">IF(AND(LEN(K131)=0,LEN(F131)&gt;0),"Income",IF(AND(O131&gt;0,P131&gt;0,C131&lt;&gt;E131),"Trade",IF(AND(NOT(Q131),Taostats_CSV!F131="fee"),'READ ME'!$C$5,"")))</f>
        <v>Trade</v>
      </c>
      <c r="J131" t="str">
        <f ca="1">SUBSTITUTE(IF(LEN(I131)=0,Taostats_CSV!F131&amp;" "&amp;Taostats_CSV!J131,IF(I131="Cost","Extrinsic fee","")),"_"," ")</f>
        <v/>
      </c>
      <c r="K131" t="str">
        <f>TRIM(IF(LEN(Taostats_CSV!I131)&gt;0,Taostats_CSV!I131,""))</f>
        <v>5338042-0010</v>
      </c>
      <c r="L131" t="str">
        <f>IF(Taostats_CSV!E131&lt;&gt;"TAO",IF(LEN(F131)&gt;0,F131,IF(LEN(D131)&gt;0,D131,0))*Taostats_CSV!P131,"")</f>
        <v/>
      </c>
      <c r="M131" t="str">
        <f t="shared" si="21"/>
        <v/>
      </c>
      <c r="N131">
        <f>COUNTIF(Taostats_CSV!$X:$X,Taostats_CSV!$I131&amp;N$1)</f>
        <v>0</v>
      </c>
      <c r="O131">
        <f>COUNTIF(Taostats_CSV!$X:$X,Taostats_CSV!$I131&amp;O$1)</f>
        <v>1</v>
      </c>
      <c r="P131">
        <f>COUNTIF(Taostats_CSV!$X:$X,Taostats_CSV!$I131&amp;P$1)</f>
        <v>1</v>
      </c>
      <c r="Q131" t="b">
        <f t="shared" si="22"/>
        <v>1</v>
      </c>
      <c r="R131">
        <f>IF(LEN(K131)&gt;0,COUNTIF($K$3:K131,K131),FALSE)</f>
        <v>1</v>
      </c>
      <c r="S131" t="b">
        <f>IF(Taostats_CSV!A131=Taostats_CSV!$A$2,TRUE,Taostats_CSV!G131+Taostats_CSV!H131+Taostats_CSV!R131=0)</f>
        <v>0</v>
      </c>
      <c r="T131" t="b">
        <f t="shared" si="23"/>
        <v>1</v>
      </c>
      <c r="U131" t="b" cm="1">
        <f t="array" aca="1" ref="U131" ca="1">AND(T131,OR(O131-N131&gt;1,P131&gt;1,ISERROR(A131:P131)))</f>
        <v>0</v>
      </c>
      <c r="W131" t="e">
        <f>MATCH(K131&amp;$W$2,Taostats_CSV!$X$3:$X$1167,0)</f>
        <v>#N/A</v>
      </c>
      <c r="X131">
        <f t="shared" ref="X131:X194" ca="1" si="24">VALUE(D131)</f>
        <v>0.8</v>
      </c>
      <c r="Y131">
        <f t="shared" ref="Y131:Y194" ca="1" si="25">VALUE(F131)</f>
        <v>4.0260430109999996</v>
      </c>
      <c r="Z131" t="e">
        <f t="shared" ref="Z131:Z194" ca="1" si="26">VALUE(H131)</f>
        <v>#VALUE!</v>
      </c>
    </row>
    <row r="132" spans="1:26" hidden="1" x14ac:dyDescent="0.4">
      <c r="A132" t="str">
        <f>MID(Taostats_CSV!C132,6,2)&amp;"/"&amp;MID(Taostats_CSV!C132,9,2)&amp;"/"&amp;LEFT(Taostats_CSV!C132,4)&amp;" "&amp;MID(Taostats_CSV!C132,12,8)</f>
        <v>04/12/2025 22:02:00</v>
      </c>
      <c r="C132" t="str">
        <f ca="1">IF(Q132,OFFSET(Taostats_CSV!$E$1,MATCH(K132&amp;D$1,Taostats_CSV!$X:$X,0)-1,0),IF(Taostats_CSV!F132="fee","",IF(VALUE(Taostats_CSV!G132)&gt;0,Taostats_CSV!E132,"")))</f>
        <v>TAO</v>
      </c>
      <c r="D132">
        <f ca="1">IF(Q132,OFFSET(Taostats_CSV!$G$1,MATCH(K132&amp;D$1,Taostats_CSV!$X:$X,0)-1,0),IF(Taostats_CSV!F132="fee","",IF(VALUE(Taostats_CSV!G132)&gt;0,Taostats_CSV!G132,"")))</f>
        <v>0.8</v>
      </c>
      <c r="E132" t="str">
        <f ca="1">IF(AND(Q132,P132&gt;0),OFFSET(Taostats_CSV!$E$1,MATCH(K132&amp;F$1,Taostats_CSV!$X:$X,0)-1,0),IF(LEN(F132)&gt;0,Taostats_CSV!E132,""))</f>
        <v>SN56</v>
      </c>
      <c r="F132" t="str">
        <f ca="1">TRIM(IF(AND(Q132,P132&gt;0),OFFSET(Taostats_CSV!$H$1,MATCH(K132&amp;F$1,Taostats_CSV!$X:$X,0)-1,0),IF(LEN(Taostats_CSV!H132)&gt;0,Taostats_CSV!H132,Taostats_CSV!R132)))</f>
        <v>4.026043011</v>
      </c>
      <c r="G132" t="str">
        <f ca="1">IF(AND(Q132,N132=1),OFFSET(Taostats_CSV!$E$1,MATCH(K132&amp;H$1,Taostats_CSV!$X:$X,0)-1,0),IF(Taostats_CSV!F132="fee",Taostats_CSV!E132,""))</f>
        <v/>
      </c>
      <c r="H132" t="str">
        <f ca="1">IF(AND(Q132,N132=1),OFFSET(Taostats_CSV!$G$1,MATCH(K132&amp;H$1,Taostats_CSV!$X:$X,0)-1,0),IF(Taostats_CSV!F132="fee",Taostats_CSV!G132,""))</f>
        <v/>
      </c>
      <c r="I132" t="str">
        <f ca="1">IF(AND(LEN(K132)=0,LEN(F132)&gt;0),"Income",IF(AND(O132&gt;0,P132&gt;0,C132&lt;&gt;E132),"Trade",IF(AND(NOT(Q132),Taostats_CSV!F132="fee"),'READ ME'!$C$5,"")))</f>
        <v>Trade</v>
      </c>
      <c r="J132" t="str">
        <f ca="1">SUBSTITUTE(IF(LEN(I132)=0,Taostats_CSV!F132&amp;" "&amp;Taostats_CSV!J132,IF(I132="Cost","Extrinsic fee","")),"_"," ")</f>
        <v/>
      </c>
      <c r="K132" t="str">
        <f>TRIM(IF(LEN(Taostats_CSV!I132)&gt;0,Taostats_CSV!I132,""))</f>
        <v>5338042-0010</v>
      </c>
      <c r="L132">
        <f ca="1">IF(Taostats_CSV!E132&lt;&gt;"TAO",IF(LEN(F132)&gt;0,F132,IF(LEN(D132)&gt;0,D132,0))*Taostats_CSV!P132,"")</f>
        <v>204.03985979747998</v>
      </c>
      <c r="M132" t="str">
        <f t="shared" ref="M132:M195" ca="1" si="27">IF(LEN(L132)&gt;0,"USD","")</f>
        <v>USD</v>
      </c>
      <c r="N132">
        <f>COUNTIF(Taostats_CSV!$X:$X,Taostats_CSV!$I132&amp;N$1)</f>
        <v>0</v>
      </c>
      <c r="O132">
        <f>COUNTIF(Taostats_CSV!$X:$X,Taostats_CSV!$I132&amp;O$1)</f>
        <v>1</v>
      </c>
      <c r="P132">
        <f>COUNTIF(Taostats_CSV!$X:$X,Taostats_CSV!$I132&amp;P$1)</f>
        <v>1</v>
      </c>
      <c r="Q132" t="b">
        <f t="shared" ref="Q132:Q195" si="28">AND(O132&lt;=1,N132&lt;=1,P132&lt;=1,O132+N132+P132&gt;=2)</f>
        <v>1</v>
      </c>
      <c r="R132">
        <f>IF(LEN(K132)&gt;0,COUNTIF($K$3:K132,K132),FALSE)</f>
        <v>2</v>
      </c>
      <c r="S132" t="b">
        <f>IF(Taostats_CSV!A132=Taostats_CSV!$A$2,TRUE,Taostats_CSV!G132+Taostats_CSV!H132+Taostats_CSV!R132=0)</f>
        <v>0</v>
      </c>
      <c r="T132" t="b">
        <f t="shared" ref="T132:T195" si="29">AND(NOT(S132),OR(NOT(Q132),R132=1))</f>
        <v>0</v>
      </c>
      <c r="U132" t="b" cm="1">
        <f t="array" aca="1" ref="U132" ca="1">AND(T132,OR(O132-N132&gt;1,P132&gt;1,ISERROR(A132:P132)))</f>
        <v>0</v>
      </c>
      <c r="W132" t="e">
        <f>MATCH(K132&amp;$W$2,Taostats_CSV!$X$3:$X$1167,0)</f>
        <v>#N/A</v>
      </c>
      <c r="X132">
        <f t="shared" ca="1" si="24"/>
        <v>0.8</v>
      </c>
      <c r="Y132">
        <f t="shared" ca="1" si="25"/>
        <v>4.0260430109999996</v>
      </c>
      <c r="Z132" t="e">
        <f t="shared" ca="1" si="26"/>
        <v>#VALUE!</v>
      </c>
    </row>
    <row r="133" spans="1:26" x14ac:dyDescent="0.4">
      <c r="A133" t="str">
        <f>MID(Taostats_CSV!C133,6,2)&amp;"/"&amp;MID(Taostats_CSV!C133,9,2)&amp;"/"&amp;LEFT(Taostats_CSV!C133,4)&amp;" "&amp;MID(Taostats_CSV!C133,12,8)</f>
        <v>04/12/2025 22:05:24</v>
      </c>
      <c r="C133" t="str">
        <f ca="1">IF(Q133,OFFSET(Taostats_CSV!$E$1,MATCH(K133&amp;D$1,Taostats_CSV!$X:$X,0)-1,0),IF(Taostats_CSV!F133="fee",IF(VALUE(Taostats_CSV!G133)&gt;0,Taostats_CSV!E133,""),""))</f>
        <v/>
      </c>
      <c r="D133" t="str">
        <f ca="1">IF(Q133,OFFSET(Taostats_CSV!$G$1,MATCH(K133&amp;D$1,Taostats_CSV!$X:$X,0)-1,0),IF(Taostats_CSV!F133="fee",IF(VALUE(Taostats_CSV!G133)&gt;0,Taostats_CSV!G133,""),""))</f>
        <v/>
      </c>
      <c r="E133" t="str">
        <f ca="1">IF(AND(Q133,P133&gt;0),OFFSET(Taostats_CSV!$E$1,MATCH(K133&amp;F$1,Taostats_CSV!$X:$X,0)-1,0),IF(LEN(F133)&gt;0,Taostats_CSV!E133,""))</f>
        <v>SN3</v>
      </c>
      <c r="F133" t="str">
        <f ca="1">TRIM(IF(AND(Q133,P133&gt;0),OFFSET(Taostats_CSV!$H$1,MATCH(K133&amp;F$1,Taostats_CSV!$X:$X,0)-1,0),IF(LEN(Taostats_CSV!H133)&gt;0,Taostats_CSV!H133,Taostats_CSV!R133)))</f>
        <v>0.000086287</v>
      </c>
      <c r="G133" t="str">
        <f ca="1">IF(AND(Q133,N133=1),OFFSET(Taostats_CSV!$E$1,MATCH(K133&amp;H$1,Taostats_CSV!$X:$X,0)-1,0),"")</f>
        <v/>
      </c>
      <c r="H133" t="str">
        <f ca="1">IF(AND(Q133,N133=1),OFFSET(Taostats_CSV!$G$1,MATCH(K133&amp;H$1,Taostats_CSV!$X:$X,0)-1,0),"")</f>
        <v/>
      </c>
      <c r="I133" t="str">
        <f ca="1">IF(AND(LEN(K133)=0,LEN(F133)&gt;0),"Income",IF(AND(O133&gt;0,P133&gt;0,C133&lt;&gt;E133),"Trade",IF(AND(NOT(Q133),Taostats_CSV!F133="fee"),'READ ME'!$C$5,"")))</f>
        <v>Income</v>
      </c>
      <c r="J133" t="str">
        <f ca="1">SUBSTITUTE(IF(LEN(I133)=0,Taostats_CSV!F133&amp;" "&amp;Taostats_CSV!J133,IF(I133="Cost","Extrinsic fee","")),"_"," ")</f>
        <v/>
      </c>
      <c r="K133" t="str">
        <f>TRIM(IF(LEN(Taostats_CSV!I133)&gt;0,Taostats_CSV!I133,""))</f>
        <v/>
      </c>
      <c r="L133">
        <f ca="1">IF(Taostats_CSV!E133&lt;&gt;"TAO",IF(LEN(F133)&gt;0,F133,IF(LEN(D133)&gt;0,D133,0))*Taostats_CSV!P133,"")</f>
        <v>2.8086418499999998E-3</v>
      </c>
      <c r="M133" t="str">
        <f t="shared" ca="1" si="27"/>
        <v>USD</v>
      </c>
      <c r="N133">
        <f>COUNTIF(Taostats_CSV!$X:$X,Taostats_CSV!$I133&amp;N$1)</f>
        <v>0</v>
      </c>
      <c r="O133">
        <f>COUNTIF(Taostats_CSV!$X:$X,Taostats_CSV!$I133&amp;O$1)</f>
        <v>0</v>
      </c>
      <c r="P133">
        <f>COUNTIF(Taostats_CSV!$X:$X,Taostats_CSV!$I133&amp;P$1)</f>
        <v>0</v>
      </c>
      <c r="Q133" t="b">
        <f t="shared" si="28"/>
        <v>0</v>
      </c>
      <c r="R133" t="b">
        <f>IF(LEN(K133)&gt;0,COUNTIF($K$3:K133,K133),FALSE)</f>
        <v>0</v>
      </c>
      <c r="S133" t="b">
        <f>IF(Taostats_CSV!A133=Taostats_CSV!$A$2,TRUE,Taostats_CSV!G133+Taostats_CSV!H133+Taostats_CSV!R133=0)</f>
        <v>0</v>
      </c>
      <c r="T133" t="b">
        <f t="shared" si="29"/>
        <v>1</v>
      </c>
      <c r="U133" t="b" cm="1">
        <f t="array" aca="1" ref="U133" ca="1">AND(T133,OR(O133-N133&gt;1,P133&gt;1,ISERROR(A133:P133)))</f>
        <v>0</v>
      </c>
      <c r="W133" t="e">
        <f>MATCH(K133&amp;$W$2,Taostats_CSV!$X$3:$X$1167,0)</f>
        <v>#N/A</v>
      </c>
      <c r="X133" t="e">
        <f t="shared" ca="1" si="24"/>
        <v>#VALUE!</v>
      </c>
      <c r="Y133">
        <f t="shared" ca="1" si="25"/>
        <v>8.6286999999999996E-5</v>
      </c>
      <c r="Z133" t="e">
        <f t="shared" ca="1" si="26"/>
        <v>#VALUE!</v>
      </c>
    </row>
    <row r="134" spans="1:26" x14ac:dyDescent="0.4">
      <c r="A134" t="str">
        <f>MID(Taostats_CSV!C134,6,2)&amp;"/"&amp;MID(Taostats_CSV!C134,9,2)&amp;"/"&amp;LEFT(Taostats_CSV!C134,4)&amp;" "&amp;MID(Taostats_CSV!C134,12,8)</f>
        <v>04/12/2025 22:05:24</v>
      </c>
      <c r="C134" t="str">
        <f ca="1">IF(Q134,OFFSET(Taostats_CSV!$E$1,MATCH(K134&amp;D$1,Taostats_CSV!$X:$X,0)-1,0),IF(Taostats_CSV!F134="fee",IF(VALUE(Taostats_CSV!G134)&gt;0,Taostats_CSV!E134,""),""))</f>
        <v/>
      </c>
      <c r="D134" t="str">
        <f ca="1">IF(Q134,OFFSET(Taostats_CSV!$G$1,MATCH(K134&amp;D$1,Taostats_CSV!$X:$X,0)-1,0),IF(Taostats_CSV!F134="fee",IF(VALUE(Taostats_CSV!G134)&gt;0,Taostats_CSV!G134,""),""))</f>
        <v/>
      </c>
      <c r="E134" t="str">
        <f ca="1">IF(AND(Q134,P134&gt;0),OFFSET(Taostats_CSV!$E$1,MATCH(K134&amp;F$1,Taostats_CSV!$X:$X,0)-1,0),IF(LEN(F134)&gt;0,Taostats_CSV!E134,""))</f>
        <v>SN56</v>
      </c>
      <c r="F134" t="str">
        <f ca="1">TRIM(IF(AND(Q134,P134&gt;0),OFFSET(Taostats_CSV!$H$1,MATCH(K134&amp;F$1,Taostats_CSV!$X:$X,0)-1,0),IF(LEN(Taostats_CSV!H134)&gt;0,Taostats_CSV!H134,Taostats_CSV!R134)))</f>
        <v>0.000487443</v>
      </c>
      <c r="G134" t="str">
        <f ca="1">IF(AND(Q134,N134=1),OFFSET(Taostats_CSV!$E$1,MATCH(K134&amp;H$1,Taostats_CSV!$X:$X,0)-1,0),"")</f>
        <v/>
      </c>
      <c r="H134" t="str">
        <f ca="1">IF(AND(Q134,N134=1),OFFSET(Taostats_CSV!$G$1,MATCH(K134&amp;H$1,Taostats_CSV!$X:$X,0)-1,0),"")</f>
        <v/>
      </c>
      <c r="I134" t="str">
        <f ca="1">IF(AND(LEN(K134)=0,LEN(F134)&gt;0),"Income",IF(AND(O134&gt;0,P134&gt;0,C134&lt;&gt;E134),"Trade",IF(AND(NOT(Q134),Taostats_CSV!F134="fee"),'READ ME'!$C$5,"")))</f>
        <v>Income</v>
      </c>
      <c r="J134" t="str">
        <f ca="1">SUBSTITUTE(IF(LEN(I134)=0,Taostats_CSV!F134&amp;" "&amp;Taostats_CSV!J134,IF(I134="Cost","Extrinsic fee","")),"_"," ")</f>
        <v/>
      </c>
      <c r="K134" t="str">
        <f>TRIM(IF(LEN(Taostats_CSV!I134)&gt;0,Taostats_CSV!I134,""))</f>
        <v/>
      </c>
      <c r="L134">
        <f ca="1">IF(Taostats_CSV!E134&lt;&gt;"TAO",IF(LEN(F134)&gt;0,F134,IF(LEN(D134)&gt;0,D134,0))*Taostats_CSV!P134,"")</f>
        <v>2.4693862379999997E-2</v>
      </c>
      <c r="M134" t="str">
        <f t="shared" ca="1" si="27"/>
        <v>USD</v>
      </c>
      <c r="N134">
        <f>COUNTIF(Taostats_CSV!$X:$X,Taostats_CSV!$I134&amp;N$1)</f>
        <v>0</v>
      </c>
      <c r="O134">
        <f>COUNTIF(Taostats_CSV!$X:$X,Taostats_CSV!$I134&amp;O$1)</f>
        <v>0</v>
      </c>
      <c r="P134">
        <f>COUNTIF(Taostats_CSV!$X:$X,Taostats_CSV!$I134&amp;P$1)</f>
        <v>0</v>
      </c>
      <c r="Q134" t="b">
        <f t="shared" si="28"/>
        <v>0</v>
      </c>
      <c r="R134" t="b">
        <f>IF(LEN(K134)&gt;0,COUNTIF($K$3:K134,K134),FALSE)</f>
        <v>0</v>
      </c>
      <c r="S134" t="b">
        <f>IF(Taostats_CSV!A134=Taostats_CSV!$A$2,TRUE,Taostats_CSV!G134+Taostats_CSV!H134+Taostats_CSV!R134=0)</f>
        <v>0</v>
      </c>
      <c r="T134" t="b">
        <f t="shared" si="29"/>
        <v>1</v>
      </c>
      <c r="U134" t="b" cm="1">
        <f t="array" aca="1" ref="U134" ca="1">AND(T134,OR(O134-N134&gt;1,P134&gt;1,ISERROR(A134:P134)))</f>
        <v>0</v>
      </c>
      <c r="W134" t="e">
        <f>MATCH(K134&amp;$W$2,Taostats_CSV!$X$3:$X$1167,0)</f>
        <v>#N/A</v>
      </c>
      <c r="X134" t="e">
        <f t="shared" ca="1" si="24"/>
        <v>#VALUE!</v>
      </c>
      <c r="Y134">
        <f t="shared" ca="1" si="25"/>
        <v>4.87443E-4</v>
      </c>
      <c r="Z134" t="e">
        <f t="shared" ca="1" si="26"/>
        <v>#VALUE!</v>
      </c>
    </row>
    <row r="135" spans="1:26" x14ac:dyDescent="0.4">
      <c r="A135" t="str">
        <f>MID(Taostats_CSV!C135,6,2)&amp;"/"&amp;MID(Taostats_CSV!C135,9,2)&amp;"/"&amp;LEFT(Taostats_CSV!C135,4)&amp;" "&amp;MID(Taostats_CSV!C135,12,8)</f>
        <v>04/12/2025 22:05:24</v>
      </c>
      <c r="C135" t="str">
        <f ca="1">IF(Q135,OFFSET(Taostats_CSV!$E$1,MATCH(K135&amp;D$1,Taostats_CSV!$X:$X,0)-1,0),IF(Taostats_CSV!F135="fee",IF(VALUE(Taostats_CSV!G135)&gt;0,Taostats_CSV!E135,""),""))</f>
        <v>SN3</v>
      </c>
      <c r="D135">
        <f ca="1">IF(Q135,OFFSET(Taostats_CSV!$G$1,MATCH(K135&amp;D$1,Taostats_CSV!$X:$X,0)-1,0),IF(Taostats_CSV!F135="fee",IF(VALUE(Taostats_CSV!G135)&gt;0,Taostats_CSV!G135,""),""))</f>
        <v>0.79712482699999998</v>
      </c>
      <c r="E135" t="str">
        <f ca="1">IF(AND(Q135,P135&gt;0),OFFSET(Taostats_CSV!$E$1,MATCH(K135&amp;F$1,Taostats_CSV!$X:$X,0)-1,0),IF(LEN(F135)&gt;0,Taostats_CSV!E135,""))</f>
        <v>TAO</v>
      </c>
      <c r="F135" t="str">
        <f ca="1">TRIM(IF(AND(Q135,P135&gt;0),OFFSET(Taostats_CSV!$H$1,MATCH(K135&amp;F$1,Taostats_CSV!$X:$X,0)-1,0),IF(LEN(Taostats_CSV!H135)&gt;0,Taostats_CSV!H135,Taostats_CSV!R135)))</f>
        <v>0.101726872</v>
      </c>
      <c r="G135" t="str">
        <f ca="1">IF(AND(Q135,N135=1),OFFSET(Taostats_CSV!$E$1,MATCH(K135&amp;H$1,Taostats_CSV!$X:$X,0)-1,0),"")</f>
        <v>TAO</v>
      </c>
      <c r="H135">
        <f ca="1">IF(AND(Q135,N135=1),OFFSET(Taostats_CSV!$G$1,MATCH(K135&amp;H$1,Taostats_CSV!$X:$X,0)-1,0),"")</f>
        <v>5.0000000000000002E-5</v>
      </c>
      <c r="I135" t="str">
        <f ca="1">IF(AND(LEN(K135)=0,LEN(F135)&gt;0),"Income",IF(AND(O135&gt;0,P135&gt;0,C135&lt;&gt;E135),"Trade",IF(AND(NOT(Q135),Taostats_CSV!F135="fee"),'READ ME'!$C$5,"")))</f>
        <v>Trade</v>
      </c>
      <c r="J135" t="str">
        <f ca="1">SUBSTITUTE(IF(LEN(I135)=0,Taostats_CSV!F135&amp;" "&amp;Taostats_CSV!J135,IF(I135="Cost","Extrinsic fee","")),"_"," ")</f>
        <v/>
      </c>
      <c r="K135" t="str">
        <f>TRIM(IF(LEN(Taostats_CSV!I135)&gt;0,Taostats_CSV!I135,""))</f>
        <v>5338059-0011</v>
      </c>
      <c r="L135" t="str">
        <f>IF(Taostats_CSV!E135&lt;&gt;"TAO",IF(LEN(F135)&gt;0,F135,IF(LEN(D135)&gt;0,D135,0))*Taostats_CSV!P135,"")</f>
        <v/>
      </c>
      <c r="M135" t="str">
        <f t="shared" si="27"/>
        <v/>
      </c>
      <c r="N135">
        <f>COUNTIF(Taostats_CSV!$X:$X,Taostats_CSV!$I135&amp;N$1)</f>
        <v>1</v>
      </c>
      <c r="O135">
        <f>COUNTIF(Taostats_CSV!$X:$X,Taostats_CSV!$I135&amp;O$1)</f>
        <v>1</v>
      </c>
      <c r="P135">
        <f>COUNTIF(Taostats_CSV!$X:$X,Taostats_CSV!$I135&amp;P$1)</f>
        <v>1</v>
      </c>
      <c r="Q135" t="b">
        <f t="shared" si="28"/>
        <v>1</v>
      </c>
      <c r="R135">
        <f>IF(LEN(K135)&gt;0,COUNTIF($K$3:K135,K135),FALSE)</f>
        <v>1</v>
      </c>
      <c r="S135" t="b">
        <f>IF(Taostats_CSV!A135=Taostats_CSV!$A$2,TRUE,Taostats_CSV!G135+Taostats_CSV!H135+Taostats_CSV!R135=0)</f>
        <v>0</v>
      </c>
      <c r="T135" t="b">
        <f t="shared" si="29"/>
        <v>1</v>
      </c>
      <c r="U135" t="b" cm="1">
        <f t="array" aca="1" ref="U135" ca="1">AND(T135,OR(O135-N135&gt;1,P135&gt;1,ISERROR(A135:P135)))</f>
        <v>0</v>
      </c>
      <c r="W135">
        <f>MATCH(K135&amp;$W$2,Taostats_CSV!$X$3:$X$1167,0)</f>
        <v>133</v>
      </c>
      <c r="X135">
        <f t="shared" ca="1" si="24"/>
        <v>0.79712482699999998</v>
      </c>
      <c r="Y135">
        <f t="shared" ca="1" si="25"/>
        <v>0.101726872</v>
      </c>
      <c r="Z135">
        <f t="shared" ca="1" si="26"/>
        <v>5.0000000000000002E-5</v>
      </c>
    </row>
    <row r="136" spans="1:26" hidden="1" x14ac:dyDescent="0.4">
      <c r="A136" t="str">
        <f>MID(Taostats_CSV!C136,6,2)&amp;"/"&amp;MID(Taostats_CSV!C136,9,2)&amp;"/"&amp;LEFT(Taostats_CSV!C136,4)&amp;" "&amp;MID(Taostats_CSV!C136,12,8)</f>
        <v>04/12/2025 22:05:24</v>
      </c>
      <c r="C136" t="str">
        <f ca="1">IF(Q136,OFFSET(Taostats_CSV!$E$1,MATCH(K136&amp;D$1,Taostats_CSV!$X:$X,0)-1,0),IF(Taostats_CSV!F136="fee","",IF(VALUE(Taostats_CSV!G136)&gt;0,Taostats_CSV!E136,"")))</f>
        <v>SN3</v>
      </c>
      <c r="D136">
        <f ca="1">IF(Q136,OFFSET(Taostats_CSV!$G$1,MATCH(K136&amp;D$1,Taostats_CSV!$X:$X,0)-1,0),IF(Taostats_CSV!F136="fee","",IF(VALUE(Taostats_CSV!G136)&gt;0,Taostats_CSV!G136,"")))</f>
        <v>0.79712482699999998</v>
      </c>
      <c r="E136" t="str">
        <f ca="1">IF(AND(Q136,P136&gt;0),OFFSET(Taostats_CSV!$E$1,MATCH(K136&amp;F$1,Taostats_CSV!$X:$X,0)-1,0),IF(LEN(F136)&gt;0,Taostats_CSV!E136,""))</f>
        <v>TAO</v>
      </c>
      <c r="F136" t="str">
        <f ca="1">TRIM(IF(AND(Q136,P136&gt;0),OFFSET(Taostats_CSV!$H$1,MATCH(K136&amp;F$1,Taostats_CSV!$X:$X,0)-1,0),IF(LEN(Taostats_CSV!H136)&gt;0,Taostats_CSV!H136,Taostats_CSV!R136)))</f>
        <v>0.101726872</v>
      </c>
      <c r="G136" t="str">
        <f ca="1">IF(AND(Q136,N136=1),OFFSET(Taostats_CSV!$E$1,MATCH(K136&amp;H$1,Taostats_CSV!$X:$X,0)-1,0),IF(Taostats_CSV!F136="fee",Taostats_CSV!E136,""))</f>
        <v>TAO</v>
      </c>
      <c r="H136">
        <f ca="1">IF(AND(Q136,N136=1),OFFSET(Taostats_CSV!$G$1,MATCH(K136&amp;H$1,Taostats_CSV!$X:$X,0)-1,0),IF(Taostats_CSV!F136="fee",Taostats_CSV!G136,""))</f>
        <v>5.0000000000000002E-5</v>
      </c>
      <c r="I136" t="str">
        <f ca="1">IF(AND(LEN(K136)=0,LEN(F136)&gt;0),"Income",IF(AND(O136&gt;0,P136&gt;0,C136&lt;&gt;E136),"Trade",IF(AND(NOT(Q136),Taostats_CSV!F136="fee"),'READ ME'!$C$5,"")))</f>
        <v>Trade</v>
      </c>
      <c r="J136" t="str">
        <f ca="1">SUBSTITUTE(IF(LEN(I136)=0,Taostats_CSV!F136&amp;" "&amp;Taostats_CSV!J136,IF(I136="Cost","Extrinsic fee","")),"_"," ")</f>
        <v/>
      </c>
      <c r="K136" t="str">
        <f>TRIM(IF(LEN(Taostats_CSV!I136)&gt;0,Taostats_CSV!I136,""))</f>
        <v>5338059-0011</v>
      </c>
      <c r="L136">
        <f ca="1">IF(Taostats_CSV!E136&lt;&gt;"TAO",IF(LEN(F136)&gt;0,F136,IF(LEN(D136)&gt;0,D136,0))*Taostats_CSV!P136,"")</f>
        <v>3.3112096835999996</v>
      </c>
      <c r="M136" t="str">
        <f t="shared" ca="1" si="27"/>
        <v>USD</v>
      </c>
      <c r="N136">
        <f>COUNTIF(Taostats_CSV!$X:$X,Taostats_CSV!$I136&amp;N$1)</f>
        <v>1</v>
      </c>
      <c r="O136">
        <f>COUNTIF(Taostats_CSV!$X:$X,Taostats_CSV!$I136&amp;O$1)</f>
        <v>1</v>
      </c>
      <c r="P136">
        <f>COUNTIF(Taostats_CSV!$X:$X,Taostats_CSV!$I136&amp;P$1)</f>
        <v>1</v>
      </c>
      <c r="Q136" t="b">
        <f t="shared" si="28"/>
        <v>1</v>
      </c>
      <c r="R136">
        <f>IF(LEN(K136)&gt;0,COUNTIF($K$3:K136,K136),FALSE)</f>
        <v>2</v>
      </c>
      <c r="S136" t="b">
        <f>IF(Taostats_CSV!A136=Taostats_CSV!$A$2,TRUE,Taostats_CSV!G136+Taostats_CSV!H136+Taostats_CSV!R136=0)</f>
        <v>0</v>
      </c>
      <c r="T136" t="b">
        <f t="shared" si="29"/>
        <v>0</v>
      </c>
      <c r="U136" t="b" cm="1">
        <f t="array" aca="1" ref="U136" ca="1">AND(T136,OR(O136-N136&gt;1,P136&gt;1,ISERROR(A136:P136)))</f>
        <v>0</v>
      </c>
      <c r="W136">
        <f>MATCH(K136&amp;$W$2,Taostats_CSV!$X$3:$X$1167,0)</f>
        <v>133</v>
      </c>
      <c r="X136">
        <f t="shared" ca="1" si="24"/>
        <v>0.79712482699999998</v>
      </c>
      <c r="Y136">
        <f t="shared" ca="1" si="25"/>
        <v>0.101726872</v>
      </c>
      <c r="Z136">
        <f t="shared" ca="1" si="26"/>
        <v>5.0000000000000002E-5</v>
      </c>
    </row>
    <row r="137" spans="1:26" x14ac:dyDescent="0.4">
      <c r="A137" t="str">
        <f>MID(Taostats_CSV!C137,6,2)&amp;"/"&amp;MID(Taostats_CSV!C137,9,2)&amp;"/"&amp;LEFT(Taostats_CSV!C137,4)&amp;" "&amp;MID(Taostats_CSV!C137,12,8)</f>
        <v>04/12/2025 22:05:24</v>
      </c>
      <c r="C137" t="str">
        <f ca="1">IF(Q137,OFFSET(Taostats_CSV!$E$1,MATCH(K137&amp;D$1,Taostats_CSV!$X:$X,0)-1,0),IF(Taostats_CSV!F137="fee",IF(VALUE(Taostats_CSV!G137)&gt;0,Taostats_CSV!E137,""),""))</f>
        <v>SN56</v>
      </c>
      <c r="D137">
        <f ca="1">IF(Q137,OFFSET(Taostats_CSV!$G$1,MATCH(K137&amp;D$1,Taostats_CSV!$X:$X,0)-1,0),IF(Taostats_CSV!F137="fee",IF(VALUE(Taostats_CSV!G137)&gt;0,Taostats_CSV!G137,""),""))</f>
        <v>4.5300045740000003</v>
      </c>
      <c r="E137" t="str">
        <f ca="1">IF(AND(Q137,P137&gt;0),OFFSET(Taostats_CSV!$E$1,MATCH(K137&amp;F$1,Taostats_CSV!$X:$X,0)-1,0),IF(LEN(F137)&gt;0,Taostats_CSV!E137,""))</f>
        <v>TAO</v>
      </c>
      <c r="F137" t="str">
        <f ca="1">TRIM(IF(AND(Q137,P137&gt;0),OFFSET(Taostats_CSV!$H$1,MATCH(K137&amp;F$1,Taostats_CSV!$X:$X,0)-1,0),IF(LEN(Taostats_CSV!H137)&gt;0,Taostats_CSV!H137,Taostats_CSV!R137)))</f>
        <v>0.899694136</v>
      </c>
      <c r="G137" t="str">
        <f ca="1">IF(AND(Q137,N137=1),OFFSET(Taostats_CSV!$E$1,MATCH(K137&amp;H$1,Taostats_CSV!$X:$X,0)-1,0),"")</f>
        <v/>
      </c>
      <c r="H137" t="str">
        <f ca="1">IF(AND(Q137,N137=1),OFFSET(Taostats_CSV!$G$1,MATCH(K137&amp;H$1,Taostats_CSV!$X:$X,0)-1,0),"")</f>
        <v/>
      </c>
      <c r="I137" t="str">
        <f ca="1">IF(AND(LEN(K137)=0,LEN(F137)&gt;0),"Income",IF(AND(O137&gt;0,P137&gt;0,C137&lt;&gt;E137),"Trade",IF(AND(NOT(Q137),Taostats_CSV!F137="fee"),'READ ME'!$C$5,"")))</f>
        <v>Trade</v>
      </c>
      <c r="J137" t="str">
        <f ca="1">SUBSTITUTE(IF(LEN(I137)=0,Taostats_CSV!F137&amp;" "&amp;Taostats_CSV!J137,IF(I137="Cost","Extrinsic fee","")),"_"," ")</f>
        <v/>
      </c>
      <c r="K137" t="str">
        <f>TRIM(IF(LEN(Taostats_CSV!I137)&gt;0,Taostats_CSV!I137,""))</f>
        <v>5338059-0011-A</v>
      </c>
      <c r="L137">
        <f ca="1">IF(Taostats_CSV!E137&lt;&gt;"TAO",IF(LEN(F137)&gt;0,F137,IF(LEN(D137)&gt;0,D137,0))*Taostats_CSV!P137,"")</f>
        <v>45.578504929760001</v>
      </c>
      <c r="M137" t="str">
        <f t="shared" ca="1" si="27"/>
        <v>USD</v>
      </c>
      <c r="N137">
        <f>COUNTIF(Taostats_CSV!$X:$X,Taostats_CSV!$I137&amp;N$1)</f>
        <v>0</v>
      </c>
      <c r="O137">
        <f>COUNTIF(Taostats_CSV!$X:$X,Taostats_CSV!$I137&amp;O$1)</f>
        <v>1</v>
      </c>
      <c r="P137">
        <f>COUNTIF(Taostats_CSV!$X:$X,Taostats_CSV!$I137&amp;P$1)</f>
        <v>1</v>
      </c>
      <c r="Q137" t="b">
        <f t="shared" si="28"/>
        <v>1</v>
      </c>
      <c r="R137">
        <f>IF(LEN(K137)&gt;0,COUNTIF($K$3:K137,K137),FALSE)</f>
        <v>1</v>
      </c>
      <c r="S137" t="b">
        <f>IF(Taostats_CSV!A137=Taostats_CSV!$A$2,TRUE,Taostats_CSV!G137+Taostats_CSV!H137+Taostats_CSV!R137=0)</f>
        <v>0</v>
      </c>
      <c r="T137" t="b">
        <f t="shared" si="29"/>
        <v>1</v>
      </c>
      <c r="U137" t="b" cm="1">
        <f t="array" aca="1" ref="U137" ca="1">AND(T137,OR(O137-N137&gt;1,P137&gt;1,ISERROR(A137:P137)))</f>
        <v>0</v>
      </c>
      <c r="W137" t="e">
        <f>MATCH(K137&amp;$W$2,Taostats_CSV!$X$3:$X$1167,0)</f>
        <v>#N/A</v>
      </c>
      <c r="X137">
        <f t="shared" ca="1" si="24"/>
        <v>4.5300045740000003</v>
      </c>
      <c r="Y137">
        <f t="shared" ca="1" si="25"/>
        <v>0.89969413600000003</v>
      </c>
      <c r="Z137" t="e">
        <f t="shared" ca="1" si="26"/>
        <v>#VALUE!</v>
      </c>
    </row>
    <row r="138" spans="1:26" hidden="1" x14ac:dyDescent="0.4">
      <c r="A138" t="str">
        <f>MID(Taostats_CSV!C138,6,2)&amp;"/"&amp;MID(Taostats_CSV!C138,9,2)&amp;"/"&amp;LEFT(Taostats_CSV!C138,4)&amp;" "&amp;MID(Taostats_CSV!C138,12,8)</f>
        <v>04/12/2025 22:05:24</v>
      </c>
      <c r="C138" t="str">
        <f ca="1">IF(Q138,OFFSET(Taostats_CSV!$E$1,MATCH(K138&amp;D$1,Taostats_CSV!$X:$X,0)-1,0),IF(Taostats_CSV!F138="fee","",IF(VALUE(Taostats_CSV!G138)&gt;0,Taostats_CSV!E138,"")))</f>
        <v>SN3</v>
      </c>
      <c r="D138">
        <f ca="1">IF(Q138,OFFSET(Taostats_CSV!$G$1,MATCH(K138&amp;D$1,Taostats_CSV!$X:$X,0)-1,0),IF(Taostats_CSV!F138="fee","",IF(VALUE(Taostats_CSV!G138)&gt;0,Taostats_CSV!G138,"")))</f>
        <v>0.79712482699999998</v>
      </c>
      <c r="E138" t="str">
        <f ca="1">IF(AND(Q138,P138&gt;0),OFFSET(Taostats_CSV!$E$1,MATCH(K138&amp;F$1,Taostats_CSV!$X:$X,0)-1,0),IF(LEN(F138)&gt;0,Taostats_CSV!E138,""))</f>
        <v>TAO</v>
      </c>
      <c r="F138" t="str">
        <f ca="1">TRIM(IF(AND(Q138,P138&gt;0),OFFSET(Taostats_CSV!$H$1,MATCH(K138&amp;F$1,Taostats_CSV!$X:$X,0)-1,0),IF(LEN(Taostats_CSV!H138)&gt;0,Taostats_CSV!H138,Taostats_CSV!R138)))</f>
        <v>0.101726872</v>
      </c>
      <c r="G138" t="str">
        <f ca="1">IF(AND(Q138,N138=1),OFFSET(Taostats_CSV!$E$1,MATCH(K138&amp;H$1,Taostats_CSV!$X:$X,0)-1,0),IF(Taostats_CSV!F138="fee",Taostats_CSV!E138,""))</f>
        <v>TAO</v>
      </c>
      <c r="H138">
        <f ca="1">IF(AND(Q138,N138=1),OFFSET(Taostats_CSV!$G$1,MATCH(K138&amp;H$1,Taostats_CSV!$X:$X,0)-1,0),IF(Taostats_CSV!F138="fee",Taostats_CSV!G138,""))</f>
        <v>5.0000000000000002E-5</v>
      </c>
      <c r="I138" t="str">
        <f ca="1">IF(AND(LEN(K138)=0,LEN(F138)&gt;0),"Income",IF(AND(O138&gt;0,P138&gt;0,C138&lt;&gt;E138),"Trade",IF(AND(NOT(Q138),Taostats_CSV!F138="fee"),'READ ME'!$C$5,"")))</f>
        <v>Trade</v>
      </c>
      <c r="J138" t="str">
        <f ca="1">SUBSTITUTE(IF(LEN(I138)=0,Taostats_CSV!F138&amp;" "&amp;Taostats_CSV!J138,IF(I138="Cost","Extrinsic fee","")),"_"," ")</f>
        <v/>
      </c>
      <c r="K138" t="str">
        <f>TRIM(IF(LEN(Taostats_CSV!I138)&gt;0,Taostats_CSV!I138,""))</f>
        <v>5338059-0011</v>
      </c>
      <c r="L138" t="str">
        <f>IF(Taostats_CSV!E138&lt;&gt;"TAO",IF(LEN(F138)&gt;0,F138,IF(LEN(D138)&gt;0,D138,0))*Taostats_CSV!P138,"")</f>
        <v/>
      </c>
      <c r="M138" t="str">
        <f t="shared" si="27"/>
        <v/>
      </c>
      <c r="N138">
        <f>COUNTIF(Taostats_CSV!$X:$X,Taostats_CSV!$I138&amp;N$1)</f>
        <v>1</v>
      </c>
      <c r="O138">
        <f>COUNTIF(Taostats_CSV!$X:$X,Taostats_CSV!$I138&amp;O$1)</f>
        <v>1</v>
      </c>
      <c r="P138">
        <f>COUNTIF(Taostats_CSV!$X:$X,Taostats_CSV!$I138&amp;P$1)</f>
        <v>1</v>
      </c>
      <c r="Q138" t="b">
        <f t="shared" si="28"/>
        <v>1</v>
      </c>
      <c r="R138">
        <f>IF(LEN(K138)&gt;0,COUNTIF($K$3:K138,K138),FALSE)</f>
        <v>3</v>
      </c>
      <c r="S138" t="b">
        <f>IF(Taostats_CSV!A138=Taostats_CSV!$A$2,TRUE,Taostats_CSV!G138+Taostats_CSV!H138+Taostats_CSV!R138=0)</f>
        <v>0</v>
      </c>
      <c r="T138" t="b">
        <f t="shared" si="29"/>
        <v>0</v>
      </c>
      <c r="U138" t="b" cm="1">
        <f t="array" aca="1" ref="U138" ca="1">AND(T138,OR(O138-N138&gt;1,P138&gt;1,ISERROR(A138:P138)))</f>
        <v>0</v>
      </c>
      <c r="W138">
        <f>MATCH(K138&amp;$W$2,Taostats_CSV!$X$3:$X$1167,0)</f>
        <v>133</v>
      </c>
      <c r="X138">
        <f t="shared" ca="1" si="24"/>
        <v>0.79712482699999998</v>
      </c>
      <c r="Y138">
        <f t="shared" ca="1" si="25"/>
        <v>0.101726872</v>
      </c>
      <c r="Z138">
        <f t="shared" ca="1" si="26"/>
        <v>5.0000000000000002E-5</v>
      </c>
    </row>
    <row r="139" spans="1:26" hidden="1" x14ac:dyDescent="0.4">
      <c r="A139" t="str">
        <f>MID(Taostats_CSV!C139,6,2)&amp;"/"&amp;MID(Taostats_CSV!C139,9,2)&amp;"/"&amp;LEFT(Taostats_CSV!C139,4)&amp;" "&amp;MID(Taostats_CSV!C139,12,8)</f>
        <v>04/12/2025 22:05:24</v>
      </c>
      <c r="C139" t="str">
        <f ca="1">IF(Q139,OFFSET(Taostats_CSV!$E$1,MATCH(K139&amp;D$1,Taostats_CSV!$X:$X,0)-1,0),IF(Taostats_CSV!F139="fee","",IF(VALUE(Taostats_CSV!G139)&gt;0,Taostats_CSV!E139,"")))</f>
        <v>SN56</v>
      </c>
      <c r="D139">
        <f ca="1">IF(Q139,OFFSET(Taostats_CSV!$G$1,MATCH(K139&amp;D$1,Taostats_CSV!$X:$X,0)-1,0),IF(Taostats_CSV!F139="fee","",IF(VALUE(Taostats_CSV!G139)&gt;0,Taostats_CSV!G139,"")))</f>
        <v>4.5300045740000003</v>
      </c>
      <c r="E139" t="str">
        <f ca="1">IF(AND(Q139,P139&gt;0),OFFSET(Taostats_CSV!$E$1,MATCH(K139&amp;F$1,Taostats_CSV!$X:$X,0)-1,0),IF(LEN(F139)&gt;0,Taostats_CSV!E139,""))</f>
        <v>TAO</v>
      </c>
      <c r="F139" t="str">
        <f ca="1">TRIM(IF(AND(Q139,P139&gt;0),OFFSET(Taostats_CSV!$H$1,MATCH(K139&amp;F$1,Taostats_CSV!$X:$X,0)-1,0),IF(LEN(Taostats_CSV!H139)&gt;0,Taostats_CSV!H139,Taostats_CSV!R139)))</f>
        <v>0.899694136</v>
      </c>
      <c r="G139" t="str">
        <f ca="1">IF(AND(Q139,N139=1),OFFSET(Taostats_CSV!$E$1,MATCH(K139&amp;H$1,Taostats_CSV!$X:$X,0)-1,0),IF(Taostats_CSV!F139="fee",Taostats_CSV!E139,""))</f>
        <v/>
      </c>
      <c r="H139" t="str">
        <f ca="1">IF(AND(Q139,N139=1),OFFSET(Taostats_CSV!$G$1,MATCH(K139&amp;H$1,Taostats_CSV!$X:$X,0)-1,0),IF(Taostats_CSV!F139="fee",Taostats_CSV!G139,""))</f>
        <v/>
      </c>
      <c r="I139" t="str">
        <f ca="1">IF(AND(LEN(K139)=0,LEN(F139)&gt;0),"Income",IF(AND(O139&gt;0,P139&gt;0,C139&lt;&gt;E139),"Trade",IF(AND(NOT(Q139),Taostats_CSV!F139="fee"),'READ ME'!$C$5,"")))</f>
        <v>Trade</v>
      </c>
      <c r="J139" t="str">
        <f ca="1">SUBSTITUTE(IF(LEN(I139)=0,Taostats_CSV!F139&amp;" "&amp;Taostats_CSV!J139,IF(I139="Cost","Extrinsic fee","")),"_"," ")</f>
        <v/>
      </c>
      <c r="K139" t="str">
        <f>TRIM(IF(LEN(Taostats_CSV!I139)&gt;0,Taostats_CSV!I139,""))</f>
        <v>5338059-0011-A</v>
      </c>
      <c r="L139" t="str">
        <f>IF(Taostats_CSV!E139&lt;&gt;"TAO",IF(LEN(F139)&gt;0,F139,IF(LEN(D139)&gt;0,D139,0))*Taostats_CSV!P139,"")</f>
        <v/>
      </c>
      <c r="M139" t="str">
        <f t="shared" si="27"/>
        <v/>
      </c>
      <c r="N139">
        <f>COUNTIF(Taostats_CSV!$X:$X,Taostats_CSV!$I139&amp;N$1)</f>
        <v>0</v>
      </c>
      <c r="O139">
        <f>COUNTIF(Taostats_CSV!$X:$X,Taostats_CSV!$I139&amp;O$1)</f>
        <v>1</v>
      </c>
      <c r="P139">
        <f>COUNTIF(Taostats_CSV!$X:$X,Taostats_CSV!$I139&amp;P$1)</f>
        <v>1</v>
      </c>
      <c r="Q139" t="b">
        <f t="shared" si="28"/>
        <v>1</v>
      </c>
      <c r="R139">
        <f>IF(LEN(K139)&gt;0,COUNTIF($K$3:K139,K139),FALSE)</f>
        <v>2</v>
      </c>
      <c r="S139" t="b">
        <f>IF(Taostats_CSV!A139=Taostats_CSV!$A$2,TRUE,Taostats_CSV!G139+Taostats_CSV!H139+Taostats_CSV!R139=0)</f>
        <v>0</v>
      </c>
      <c r="T139" t="b">
        <f t="shared" si="29"/>
        <v>0</v>
      </c>
      <c r="U139" t="b" cm="1">
        <f t="array" aca="1" ref="U139" ca="1">AND(T139,OR(O139-N139&gt;1,P139&gt;1,ISERROR(A139:P139)))</f>
        <v>0</v>
      </c>
      <c r="W139" t="e">
        <f>MATCH(K139&amp;$W$2,Taostats_CSV!$X$3:$X$1167,0)</f>
        <v>#N/A</v>
      </c>
      <c r="X139">
        <f t="shared" ca="1" si="24"/>
        <v>4.5300045740000003</v>
      </c>
      <c r="Y139">
        <f t="shared" ca="1" si="25"/>
        <v>0.89969413600000003</v>
      </c>
      <c r="Z139" t="e">
        <f t="shared" ca="1" si="26"/>
        <v>#VALUE!</v>
      </c>
    </row>
    <row r="140" spans="1:26" x14ac:dyDescent="0.4">
      <c r="A140" t="str">
        <f>MID(Taostats_CSV!C140,6,2)&amp;"/"&amp;MID(Taostats_CSV!C140,9,2)&amp;"/"&amp;LEFT(Taostats_CSV!C140,4)&amp;" "&amp;MID(Taostats_CSV!C140,12,8)</f>
        <v>04/12/2025 22:16:12</v>
      </c>
      <c r="C140" t="str">
        <f ca="1">IF(Q140,OFFSET(Taostats_CSV!$E$1,MATCH(K140&amp;D$1,Taostats_CSV!$X:$X,0)-1,0),IF(Taostats_CSV!F140="fee",IF(VALUE(Taostats_CSV!G140)&gt;0,Taostats_CSV!E140,""),""))</f>
        <v>TAO</v>
      </c>
      <c r="D140">
        <f ca="1">IF(Q140,OFFSET(Taostats_CSV!$G$1,MATCH(K140&amp;D$1,Taostats_CSV!$X:$X,0)-1,0),IF(Taostats_CSV!F140="fee",IF(VALUE(Taostats_CSV!G140)&gt;0,Taostats_CSV!G140,""),""))</f>
        <v>5</v>
      </c>
      <c r="E140" t="str">
        <f ca="1">IF(AND(Q140,P140&gt;0),OFFSET(Taostats_CSV!$E$1,MATCH(K140&amp;F$1,Taostats_CSV!$X:$X,0)-1,0),IF(LEN(F140)&gt;0,Taostats_CSV!E140,""))</f>
        <v>SN64</v>
      </c>
      <c r="F140" t="str">
        <f ca="1">TRIM(IF(AND(Q140,P140&gt;0),OFFSET(Taostats_CSV!$H$1,MATCH(K140&amp;F$1,Taostats_CSV!$X:$X,0)-1,0),IF(LEN(Taostats_CSV!H140)&gt;0,Taostats_CSV!H140,Taostats_CSV!R140)))</f>
        <v>13.161048908</v>
      </c>
      <c r="G140" t="str">
        <f ca="1">IF(AND(Q140,N140=1),OFFSET(Taostats_CSV!$E$1,MATCH(K140&amp;H$1,Taostats_CSV!$X:$X,0)-1,0),"")</f>
        <v/>
      </c>
      <c r="H140" t="str">
        <f ca="1">IF(AND(Q140,N140=1),OFFSET(Taostats_CSV!$G$1,MATCH(K140&amp;H$1,Taostats_CSV!$X:$X,0)-1,0),"")</f>
        <v/>
      </c>
      <c r="I140" t="str">
        <f ca="1">IF(AND(LEN(K140)=0,LEN(F140)&gt;0),"Income",IF(AND(O140&gt;0,P140&gt;0,C140&lt;&gt;E140),"Trade",IF(AND(NOT(Q140),Taostats_CSV!F140="fee"),'READ ME'!$C$5,"")))</f>
        <v>Trade</v>
      </c>
      <c r="J140" t="str">
        <f ca="1">SUBSTITUTE(IF(LEN(I140)=0,Taostats_CSV!F140&amp;" "&amp;Taostats_CSV!J140,IF(I140="Cost","Extrinsic fee","")),"_"," ")</f>
        <v/>
      </c>
      <c r="K140" t="str">
        <f>TRIM(IF(LEN(Taostats_CSV!I140)&gt;0,Taostats_CSV!I140,""))</f>
        <v>5338113-0009</v>
      </c>
      <c r="L140" t="str">
        <f>IF(Taostats_CSV!E140&lt;&gt;"TAO",IF(LEN(F140)&gt;0,F140,IF(LEN(D140)&gt;0,D140,0))*Taostats_CSV!P140,"")</f>
        <v/>
      </c>
      <c r="M140" t="str">
        <f t="shared" si="27"/>
        <v/>
      </c>
      <c r="N140">
        <f>COUNTIF(Taostats_CSV!$X:$X,Taostats_CSV!$I140&amp;N$1)</f>
        <v>0</v>
      </c>
      <c r="O140">
        <f>COUNTIF(Taostats_CSV!$X:$X,Taostats_CSV!$I140&amp;O$1)</f>
        <v>1</v>
      </c>
      <c r="P140">
        <f>COUNTIF(Taostats_CSV!$X:$X,Taostats_CSV!$I140&amp;P$1)</f>
        <v>1</v>
      </c>
      <c r="Q140" t="b">
        <f t="shared" si="28"/>
        <v>1</v>
      </c>
      <c r="R140">
        <f>IF(LEN(K140)&gt;0,COUNTIF($K$3:K140,K140),FALSE)</f>
        <v>1</v>
      </c>
      <c r="S140" t="b">
        <f>IF(Taostats_CSV!A140=Taostats_CSV!$A$2,TRUE,Taostats_CSV!G140+Taostats_CSV!H140+Taostats_CSV!R140=0)</f>
        <v>0</v>
      </c>
      <c r="T140" t="b">
        <f t="shared" si="29"/>
        <v>1</v>
      </c>
      <c r="U140" t="b" cm="1">
        <f t="array" aca="1" ref="U140" ca="1">AND(T140,OR(O140-N140&gt;1,P140&gt;1,ISERROR(A140:P140)))</f>
        <v>0</v>
      </c>
      <c r="W140" t="e">
        <f>MATCH(K140&amp;$W$2,Taostats_CSV!$X$3:$X$1167,0)</f>
        <v>#N/A</v>
      </c>
      <c r="X140">
        <f t="shared" ca="1" si="24"/>
        <v>5</v>
      </c>
      <c r="Y140">
        <f t="shared" ca="1" si="25"/>
        <v>13.161048908</v>
      </c>
      <c r="Z140" t="e">
        <f t="shared" ca="1" si="26"/>
        <v>#VALUE!</v>
      </c>
    </row>
    <row r="141" spans="1:26" hidden="1" x14ac:dyDescent="0.4">
      <c r="A141" t="str">
        <f>MID(Taostats_CSV!C141,6,2)&amp;"/"&amp;MID(Taostats_CSV!C141,9,2)&amp;"/"&amp;LEFT(Taostats_CSV!C141,4)&amp;" "&amp;MID(Taostats_CSV!C141,12,8)</f>
        <v>04/12/2025 22:16:12</v>
      </c>
      <c r="C141" t="str">
        <f ca="1">IF(Q141,OFFSET(Taostats_CSV!$E$1,MATCH(K141&amp;D$1,Taostats_CSV!$X:$X,0)-1,0),IF(Taostats_CSV!F141="fee","",IF(VALUE(Taostats_CSV!G141)&gt;0,Taostats_CSV!E141,"")))</f>
        <v>TAO</v>
      </c>
      <c r="D141">
        <f ca="1">IF(Q141,OFFSET(Taostats_CSV!$G$1,MATCH(K141&amp;D$1,Taostats_CSV!$X:$X,0)-1,0),IF(Taostats_CSV!F141="fee","",IF(VALUE(Taostats_CSV!G141)&gt;0,Taostats_CSV!G141,"")))</f>
        <v>5</v>
      </c>
      <c r="E141" t="str">
        <f ca="1">IF(AND(Q141,P141&gt;0),OFFSET(Taostats_CSV!$E$1,MATCH(K141&amp;F$1,Taostats_CSV!$X:$X,0)-1,0),IF(LEN(F141)&gt;0,Taostats_CSV!E141,""))</f>
        <v>SN64</v>
      </c>
      <c r="F141" t="str">
        <f ca="1">TRIM(IF(AND(Q141,P141&gt;0),OFFSET(Taostats_CSV!$H$1,MATCH(K141&amp;F$1,Taostats_CSV!$X:$X,0)-1,0),IF(LEN(Taostats_CSV!H141)&gt;0,Taostats_CSV!H141,Taostats_CSV!R141)))</f>
        <v>13.161048908</v>
      </c>
      <c r="G141" t="str">
        <f ca="1">IF(AND(Q141,N141=1),OFFSET(Taostats_CSV!$E$1,MATCH(K141&amp;H$1,Taostats_CSV!$X:$X,0)-1,0),IF(Taostats_CSV!F141="fee",Taostats_CSV!E141,""))</f>
        <v/>
      </c>
      <c r="H141" t="str">
        <f ca="1">IF(AND(Q141,N141=1),OFFSET(Taostats_CSV!$G$1,MATCH(K141&amp;H$1,Taostats_CSV!$X:$X,0)-1,0),IF(Taostats_CSV!F141="fee",Taostats_CSV!G141,""))</f>
        <v/>
      </c>
      <c r="I141" t="str">
        <f ca="1">IF(AND(LEN(K141)=0,LEN(F141)&gt;0),"Income",IF(AND(O141&gt;0,P141&gt;0,C141&lt;&gt;E141),"Trade",IF(AND(NOT(Q141),Taostats_CSV!F141="fee"),'READ ME'!$C$5,"")))</f>
        <v>Trade</v>
      </c>
      <c r="J141" t="str">
        <f ca="1">SUBSTITUTE(IF(LEN(I141)=0,Taostats_CSV!F141&amp;" "&amp;Taostats_CSV!J141,IF(I141="Cost","Extrinsic fee","")),"_"," ")</f>
        <v/>
      </c>
      <c r="K141" t="str">
        <f>TRIM(IF(LEN(Taostats_CSV!I141)&gt;0,Taostats_CSV!I141,""))</f>
        <v>5338113-0009</v>
      </c>
      <c r="L141">
        <f ca="1">IF(Taostats_CSV!E141&lt;&gt;"TAO",IF(LEN(F141)&gt;0,F141,IF(LEN(D141)&gt;0,D141,0))*Taostats_CSV!P141,"")</f>
        <v>1282.8074370627598</v>
      </c>
      <c r="M141" t="str">
        <f t="shared" ca="1" si="27"/>
        <v>USD</v>
      </c>
      <c r="N141">
        <f>COUNTIF(Taostats_CSV!$X:$X,Taostats_CSV!$I141&amp;N$1)</f>
        <v>0</v>
      </c>
      <c r="O141">
        <f>COUNTIF(Taostats_CSV!$X:$X,Taostats_CSV!$I141&amp;O$1)</f>
        <v>1</v>
      </c>
      <c r="P141">
        <f>COUNTIF(Taostats_CSV!$X:$X,Taostats_CSV!$I141&amp;P$1)</f>
        <v>1</v>
      </c>
      <c r="Q141" t="b">
        <f t="shared" si="28"/>
        <v>1</v>
      </c>
      <c r="R141">
        <f>IF(LEN(K141)&gt;0,COUNTIF($K$3:K141,K141),FALSE)</f>
        <v>2</v>
      </c>
      <c r="S141" t="b">
        <f>IF(Taostats_CSV!A141=Taostats_CSV!$A$2,TRUE,Taostats_CSV!G141+Taostats_CSV!H141+Taostats_CSV!R141=0)</f>
        <v>0</v>
      </c>
      <c r="T141" t="b">
        <f t="shared" si="29"/>
        <v>0</v>
      </c>
      <c r="U141" t="b" cm="1">
        <f t="array" aca="1" ref="U141" ca="1">AND(T141,OR(O141-N141&gt;1,P141&gt;1,ISERROR(A141:P141)))</f>
        <v>0</v>
      </c>
      <c r="W141" t="e">
        <f>MATCH(K141&amp;$W$2,Taostats_CSV!$X$3:$X$1167,0)</f>
        <v>#N/A</v>
      </c>
      <c r="X141">
        <f t="shared" ca="1" si="24"/>
        <v>5</v>
      </c>
      <c r="Y141">
        <f t="shared" ca="1" si="25"/>
        <v>13.161048908</v>
      </c>
      <c r="Z141" t="e">
        <f t="shared" ca="1" si="26"/>
        <v>#VALUE!</v>
      </c>
    </row>
    <row r="142" spans="1:26" x14ac:dyDescent="0.4">
      <c r="A142" t="str">
        <f>MID(Taostats_CSV!C142,6,2)&amp;"/"&amp;MID(Taostats_CSV!C142,9,2)&amp;"/"&amp;LEFT(Taostats_CSV!C142,4)&amp;" "&amp;MID(Taostats_CSV!C142,12,8)</f>
        <v>04/12/2025 22:23:24</v>
      </c>
      <c r="C142" t="str">
        <f ca="1">IF(Q142,OFFSET(Taostats_CSV!$E$1,MATCH(K142&amp;D$1,Taostats_CSV!$X:$X,0)-1,0),IF(Taostats_CSV!F142="fee",IF(VALUE(Taostats_CSV!G142)&gt;0,Taostats_CSV!E142,""),""))</f>
        <v>TAO</v>
      </c>
      <c r="D142">
        <f ca="1">IF(Q142,OFFSET(Taostats_CSV!$G$1,MATCH(K142&amp;D$1,Taostats_CSV!$X:$X,0)-1,0),IF(Taostats_CSV!F142="fee",IF(VALUE(Taostats_CSV!G142)&gt;0,Taostats_CSV!G142,""),""))</f>
        <v>5</v>
      </c>
      <c r="E142" t="str">
        <f ca="1">IF(AND(Q142,P142&gt;0),OFFSET(Taostats_CSV!$E$1,MATCH(K142&amp;F$1,Taostats_CSV!$X:$X,0)-1,0),IF(LEN(F142)&gt;0,Taostats_CSV!E142,""))</f>
        <v>SN64</v>
      </c>
      <c r="F142" t="str">
        <f ca="1">TRIM(IF(AND(Q142,P142&gt;0),OFFSET(Taostats_CSV!$H$1,MATCH(K142&amp;F$1,Taostats_CSV!$X:$X,0)-1,0),IF(LEN(Taostats_CSV!H142)&gt;0,Taostats_CSV!H142,Taostats_CSV!R142)))</f>
        <v>13.303100285</v>
      </c>
      <c r="G142" t="str">
        <f ca="1">IF(AND(Q142,N142=1),OFFSET(Taostats_CSV!$E$1,MATCH(K142&amp;H$1,Taostats_CSV!$X:$X,0)-1,0),"")</f>
        <v/>
      </c>
      <c r="H142" t="str">
        <f ca="1">IF(AND(Q142,N142=1),OFFSET(Taostats_CSV!$G$1,MATCH(K142&amp;H$1,Taostats_CSV!$X:$X,0)-1,0),"")</f>
        <v/>
      </c>
      <c r="I142" t="str">
        <f ca="1">IF(AND(LEN(K142)=0,LEN(F142)&gt;0),"Income",IF(AND(O142&gt;0,P142&gt;0,C142&lt;&gt;E142),"Trade",IF(AND(NOT(Q142),Taostats_CSV!F142="fee"),'READ ME'!$C$5,"")))</f>
        <v>Trade</v>
      </c>
      <c r="J142" t="str">
        <f ca="1">SUBSTITUTE(IF(LEN(I142)=0,Taostats_CSV!F142&amp;" "&amp;Taostats_CSV!J142,IF(I142="Cost","Extrinsic fee","")),"_"," ")</f>
        <v/>
      </c>
      <c r="K142" t="str">
        <f>TRIM(IF(LEN(Taostats_CSV!I142)&gt;0,Taostats_CSV!I142,""))</f>
        <v>5338149-0015</v>
      </c>
      <c r="L142" t="str">
        <f>IF(Taostats_CSV!E142&lt;&gt;"TAO",IF(LEN(F142)&gt;0,F142,IF(LEN(D142)&gt;0,D142,0))*Taostats_CSV!P142,"")</f>
        <v/>
      </c>
      <c r="M142" t="str">
        <f t="shared" si="27"/>
        <v/>
      </c>
      <c r="N142">
        <f>COUNTIF(Taostats_CSV!$X:$X,Taostats_CSV!$I142&amp;N$1)</f>
        <v>0</v>
      </c>
      <c r="O142">
        <f>COUNTIF(Taostats_CSV!$X:$X,Taostats_CSV!$I142&amp;O$1)</f>
        <v>1</v>
      </c>
      <c r="P142">
        <f>COUNTIF(Taostats_CSV!$X:$X,Taostats_CSV!$I142&amp;P$1)</f>
        <v>1</v>
      </c>
      <c r="Q142" t="b">
        <f t="shared" si="28"/>
        <v>1</v>
      </c>
      <c r="R142">
        <f>IF(LEN(K142)&gt;0,COUNTIF($K$3:K142,K142),FALSE)</f>
        <v>1</v>
      </c>
      <c r="S142" t="b">
        <f>IF(Taostats_CSV!A142=Taostats_CSV!$A$2,TRUE,Taostats_CSV!G142+Taostats_CSV!H142+Taostats_CSV!R142=0)</f>
        <v>0</v>
      </c>
      <c r="T142" t="b">
        <f t="shared" si="29"/>
        <v>1</v>
      </c>
      <c r="U142" t="b" cm="1">
        <f t="array" aca="1" ref="U142" ca="1">AND(T142,OR(O142-N142&gt;1,P142&gt;1,ISERROR(A142:P142)))</f>
        <v>0</v>
      </c>
      <c r="W142" t="e">
        <f>MATCH(K142&amp;$W$2,Taostats_CSV!$X$3:$X$1167,0)</f>
        <v>#N/A</v>
      </c>
      <c r="X142">
        <f t="shared" ca="1" si="24"/>
        <v>5</v>
      </c>
      <c r="Y142">
        <f t="shared" ca="1" si="25"/>
        <v>13.303100284999999</v>
      </c>
      <c r="Z142" t="e">
        <f t="shared" ca="1" si="26"/>
        <v>#VALUE!</v>
      </c>
    </row>
    <row r="143" spans="1:26" hidden="1" x14ac:dyDescent="0.4">
      <c r="A143" t="str">
        <f>MID(Taostats_CSV!C143,6,2)&amp;"/"&amp;MID(Taostats_CSV!C143,9,2)&amp;"/"&amp;LEFT(Taostats_CSV!C143,4)&amp;" "&amp;MID(Taostats_CSV!C143,12,8)</f>
        <v>04/12/2025 22:23:24</v>
      </c>
      <c r="C143" t="str">
        <f ca="1">IF(Q143,OFFSET(Taostats_CSV!$E$1,MATCH(K143&amp;D$1,Taostats_CSV!$X:$X,0)-1,0),IF(Taostats_CSV!F143="fee","",IF(VALUE(Taostats_CSV!G143)&gt;0,Taostats_CSV!E143,"")))</f>
        <v>TAO</v>
      </c>
      <c r="D143">
        <f ca="1">IF(Q143,OFFSET(Taostats_CSV!$G$1,MATCH(K143&amp;D$1,Taostats_CSV!$X:$X,0)-1,0),IF(Taostats_CSV!F143="fee","",IF(VALUE(Taostats_CSV!G143)&gt;0,Taostats_CSV!G143,"")))</f>
        <v>5</v>
      </c>
      <c r="E143" t="str">
        <f ca="1">IF(AND(Q143,P143&gt;0),OFFSET(Taostats_CSV!$E$1,MATCH(K143&amp;F$1,Taostats_CSV!$X:$X,0)-1,0),IF(LEN(F143)&gt;0,Taostats_CSV!E143,""))</f>
        <v>SN64</v>
      </c>
      <c r="F143" t="str">
        <f ca="1">TRIM(IF(AND(Q143,P143&gt;0),OFFSET(Taostats_CSV!$H$1,MATCH(K143&amp;F$1,Taostats_CSV!$X:$X,0)-1,0),IF(LEN(Taostats_CSV!H143)&gt;0,Taostats_CSV!H143,Taostats_CSV!R143)))</f>
        <v>13.303100285</v>
      </c>
      <c r="G143" t="str">
        <f ca="1">IF(AND(Q143,N143=1),OFFSET(Taostats_CSV!$E$1,MATCH(K143&amp;H$1,Taostats_CSV!$X:$X,0)-1,0),IF(Taostats_CSV!F143="fee",Taostats_CSV!E143,""))</f>
        <v/>
      </c>
      <c r="H143" t="str">
        <f ca="1">IF(AND(Q143,N143=1),OFFSET(Taostats_CSV!$G$1,MATCH(K143&amp;H$1,Taostats_CSV!$X:$X,0)-1,0),IF(Taostats_CSV!F143="fee",Taostats_CSV!G143,""))</f>
        <v/>
      </c>
      <c r="I143" t="str">
        <f ca="1">IF(AND(LEN(K143)=0,LEN(F143)&gt;0),"Income",IF(AND(O143&gt;0,P143&gt;0,C143&lt;&gt;E143),"Trade",IF(AND(NOT(Q143),Taostats_CSV!F143="fee"),'READ ME'!$C$5,"")))</f>
        <v>Trade</v>
      </c>
      <c r="J143" t="str">
        <f ca="1">SUBSTITUTE(IF(LEN(I143)=0,Taostats_CSV!F143&amp;" "&amp;Taostats_CSV!J143,IF(I143="Cost","Extrinsic fee","")),"_"," ")</f>
        <v/>
      </c>
      <c r="K143" t="str">
        <f>TRIM(IF(LEN(Taostats_CSV!I143)&gt;0,Taostats_CSV!I143,""))</f>
        <v>5338149-0015</v>
      </c>
      <c r="L143">
        <f ca="1">IF(Taostats_CSV!E143&lt;&gt;"TAO",IF(LEN(F143)&gt;0,F143,IF(LEN(D143)&gt;0,D143,0))*Taostats_CSV!P143,"")</f>
        <v>1282.81796048255</v>
      </c>
      <c r="M143" t="str">
        <f t="shared" ca="1" si="27"/>
        <v>USD</v>
      </c>
      <c r="N143">
        <f>COUNTIF(Taostats_CSV!$X:$X,Taostats_CSV!$I143&amp;N$1)</f>
        <v>0</v>
      </c>
      <c r="O143">
        <f>COUNTIF(Taostats_CSV!$X:$X,Taostats_CSV!$I143&amp;O$1)</f>
        <v>1</v>
      </c>
      <c r="P143">
        <f>COUNTIF(Taostats_CSV!$X:$X,Taostats_CSV!$I143&amp;P$1)</f>
        <v>1</v>
      </c>
      <c r="Q143" t="b">
        <f t="shared" si="28"/>
        <v>1</v>
      </c>
      <c r="R143">
        <f>IF(LEN(K143)&gt;0,COUNTIF($K$3:K143,K143),FALSE)</f>
        <v>2</v>
      </c>
      <c r="S143" t="b">
        <f>IF(Taostats_CSV!A143=Taostats_CSV!$A$2,TRUE,Taostats_CSV!G143+Taostats_CSV!H143+Taostats_CSV!R143=0)</f>
        <v>0</v>
      </c>
      <c r="T143" t="b">
        <f t="shared" si="29"/>
        <v>0</v>
      </c>
      <c r="U143" t="b" cm="1">
        <f t="array" aca="1" ref="U143" ca="1">AND(T143,OR(O143-N143&gt;1,P143&gt;1,ISERROR(A143:P143)))</f>
        <v>0</v>
      </c>
      <c r="W143" t="e">
        <f>MATCH(K143&amp;$W$2,Taostats_CSV!$X$3:$X$1167,0)</f>
        <v>#N/A</v>
      </c>
      <c r="X143">
        <f t="shared" ca="1" si="24"/>
        <v>5</v>
      </c>
      <c r="Y143">
        <f t="shared" ca="1" si="25"/>
        <v>13.303100284999999</v>
      </c>
      <c r="Z143" t="e">
        <f t="shared" ca="1" si="26"/>
        <v>#VALUE!</v>
      </c>
    </row>
    <row r="144" spans="1:26" x14ac:dyDescent="0.4">
      <c r="A144" t="str">
        <f>MID(Taostats_CSV!C144,6,2)&amp;"/"&amp;MID(Taostats_CSV!C144,9,2)&amp;"/"&amp;LEFT(Taostats_CSV!C144,4)&amp;" "&amp;MID(Taostats_CSV!C144,12,8)</f>
        <v>04/12/2025 22:25:36</v>
      </c>
      <c r="C144" t="str">
        <f ca="1">IF(Q144,OFFSET(Taostats_CSV!$E$1,MATCH(K144&amp;D$1,Taostats_CSV!$X:$X,0)-1,0),IF(Taostats_CSV!F144="fee",IF(VALUE(Taostats_CSV!G144)&gt;0,Taostats_CSV!E144,""),""))</f>
        <v>TAO</v>
      </c>
      <c r="D144">
        <f ca="1">IF(Q144,OFFSET(Taostats_CSV!$G$1,MATCH(K144&amp;D$1,Taostats_CSV!$X:$X,0)-1,0),IF(Taostats_CSV!F144="fee",IF(VALUE(Taostats_CSV!G144)&gt;0,Taostats_CSV!G144,""),""))</f>
        <v>15</v>
      </c>
      <c r="E144" t="str">
        <f ca="1">IF(AND(Q144,P144&gt;0),OFFSET(Taostats_CSV!$E$1,MATCH(K144&amp;F$1,Taostats_CSV!$X:$X,0)-1,0),IF(LEN(F144)&gt;0,Taostats_CSV!E144,""))</f>
        <v>SN64</v>
      </c>
      <c r="F144" t="str">
        <f ca="1">TRIM(IF(AND(Q144,P144&gt;0),OFFSET(Taostats_CSV!$H$1,MATCH(K144&amp;F$1,Taostats_CSV!$X:$X,0)-1,0),IF(LEN(Taostats_CSV!H144)&gt;0,Taostats_CSV!H144,Taostats_CSV!R144)))</f>
        <v>39.882064011</v>
      </c>
      <c r="G144" t="str">
        <f ca="1">IF(AND(Q144,N144=1),OFFSET(Taostats_CSV!$E$1,MATCH(K144&amp;H$1,Taostats_CSV!$X:$X,0)-1,0),"")</f>
        <v/>
      </c>
      <c r="H144" t="str">
        <f ca="1">IF(AND(Q144,N144=1),OFFSET(Taostats_CSV!$G$1,MATCH(K144&amp;H$1,Taostats_CSV!$X:$X,0)-1,0),"")</f>
        <v/>
      </c>
      <c r="I144" t="str">
        <f ca="1">IF(AND(LEN(K144)=0,LEN(F144)&gt;0),"Income",IF(AND(O144&gt;0,P144&gt;0,C144&lt;&gt;E144),"Trade",IF(AND(NOT(Q144),Taostats_CSV!F144="fee"),'READ ME'!$C$5,"")))</f>
        <v>Trade</v>
      </c>
      <c r="J144" t="str">
        <f ca="1">SUBSTITUTE(IF(LEN(I144)=0,Taostats_CSV!F144&amp;" "&amp;Taostats_CSV!J144,IF(I144="Cost","Extrinsic fee","")),"_"," ")</f>
        <v/>
      </c>
      <c r="K144" t="str">
        <f>TRIM(IF(LEN(Taostats_CSV!I144)&gt;0,Taostats_CSV!I144,""))</f>
        <v>5338160-0011</v>
      </c>
      <c r="L144" t="str">
        <f>IF(Taostats_CSV!E144&lt;&gt;"TAO",IF(LEN(F144)&gt;0,F144,IF(LEN(D144)&gt;0,D144,0))*Taostats_CSV!P144,"")</f>
        <v/>
      </c>
      <c r="M144" t="str">
        <f t="shared" si="27"/>
        <v/>
      </c>
      <c r="N144">
        <f>COUNTIF(Taostats_CSV!$X:$X,Taostats_CSV!$I144&amp;N$1)</f>
        <v>0</v>
      </c>
      <c r="O144">
        <f>COUNTIF(Taostats_CSV!$X:$X,Taostats_CSV!$I144&amp;O$1)</f>
        <v>1</v>
      </c>
      <c r="P144">
        <f>COUNTIF(Taostats_CSV!$X:$X,Taostats_CSV!$I144&amp;P$1)</f>
        <v>1</v>
      </c>
      <c r="Q144" t="b">
        <f t="shared" si="28"/>
        <v>1</v>
      </c>
      <c r="R144">
        <f>IF(LEN(K144)&gt;0,COUNTIF($K$3:K144,K144),FALSE)</f>
        <v>1</v>
      </c>
      <c r="S144" t="b">
        <f>IF(Taostats_CSV!A144=Taostats_CSV!$A$2,TRUE,Taostats_CSV!G144+Taostats_CSV!H144+Taostats_CSV!R144=0)</f>
        <v>0</v>
      </c>
      <c r="T144" t="b">
        <f t="shared" si="29"/>
        <v>1</v>
      </c>
      <c r="U144" t="b" cm="1">
        <f t="array" aca="1" ref="U144" ca="1">AND(T144,OR(O144-N144&gt;1,P144&gt;1,ISERROR(A144:P144)))</f>
        <v>0</v>
      </c>
      <c r="W144" t="e">
        <f>MATCH(K144&amp;$W$2,Taostats_CSV!$X$3:$X$1167,0)</f>
        <v>#N/A</v>
      </c>
      <c r="X144">
        <f t="shared" ca="1" si="24"/>
        <v>15</v>
      </c>
      <c r="Y144">
        <f t="shared" ca="1" si="25"/>
        <v>39.882064010999997</v>
      </c>
      <c r="Z144" t="e">
        <f t="shared" ca="1" si="26"/>
        <v>#VALUE!</v>
      </c>
    </row>
    <row r="145" spans="1:32" hidden="1" x14ac:dyDescent="0.4">
      <c r="A145" t="str">
        <f>MID(Taostats_CSV!C145,6,2)&amp;"/"&amp;MID(Taostats_CSV!C145,9,2)&amp;"/"&amp;LEFT(Taostats_CSV!C145,4)&amp;" "&amp;MID(Taostats_CSV!C145,12,8)</f>
        <v>04/12/2025 22:25:36</v>
      </c>
      <c r="C145" t="str">
        <f ca="1">IF(Q145,OFFSET(Taostats_CSV!$E$1,MATCH(K145&amp;D$1,Taostats_CSV!$X:$X,0)-1,0),IF(Taostats_CSV!F145="fee","",IF(VALUE(Taostats_CSV!G145)&gt;0,Taostats_CSV!E145,"")))</f>
        <v>TAO</v>
      </c>
      <c r="D145">
        <f ca="1">IF(Q145,OFFSET(Taostats_CSV!$G$1,MATCH(K145&amp;D$1,Taostats_CSV!$X:$X,0)-1,0),IF(Taostats_CSV!F145="fee","",IF(VALUE(Taostats_CSV!G145)&gt;0,Taostats_CSV!G145,"")))</f>
        <v>15</v>
      </c>
      <c r="E145" t="str">
        <f ca="1">IF(AND(Q145,P145&gt;0),OFFSET(Taostats_CSV!$E$1,MATCH(K145&amp;F$1,Taostats_CSV!$X:$X,0)-1,0),IF(LEN(F145)&gt;0,Taostats_CSV!E145,""))</f>
        <v>SN64</v>
      </c>
      <c r="F145" t="str">
        <f ca="1">TRIM(IF(AND(Q145,P145&gt;0),OFFSET(Taostats_CSV!$H$1,MATCH(K145&amp;F$1,Taostats_CSV!$X:$X,0)-1,0),IF(LEN(Taostats_CSV!H145)&gt;0,Taostats_CSV!H145,Taostats_CSV!R145)))</f>
        <v>39.882064011</v>
      </c>
      <c r="G145" t="str">
        <f ca="1">IF(AND(Q145,N145=1),OFFSET(Taostats_CSV!$E$1,MATCH(K145&amp;H$1,Taostats_CSV!$X:$X,0)-1,0),IF(Taostats_CSV!F145="fee",Taostats_CSV!E145,""))</f>
        <v/>
      </c>
      <c r="H145" t="str">
        <f ca="1">IF(AND(Q145,N145=1),OFFSET(Taostats_CSV!$G$1,MATCH(K145&amp;H$1,Taostats_CSV!$X:$X,0)-1,0),IF(Taostats_CSV!F145="fee",Taostats_CSV!G145,""))</f>
        <v/>
      </c>
      <c r="I145" t="str">
        <f ca="1">IF(AND(LEN(K145)=0,LEN(F145)&gt;0),"Income",IF(AND(O145&gt;0,P145&gt;0,C145&lt;&gt;E145),"Trade",IF(AND(NOT(Q145),Taostats_CSV!F145="fee"),'READ ME'!$C$5,"")))</f>
        <v>Trade</v>
      </c>
      <c r="J145" t="str">
        <f ca="1">SUBSTITUTE(IF(LEN(I145)=0,Taostats_CSV!F145&amp;" "&amp;Taostats_CSV!J145,IF(I145="Cost","Extrinsic fee","")),"_"," ")</f>
        <v/>
      </c>
      <c r="K145" t="str">
        <f>TRIM(IF(LEN(Taostats_CSV!I145)&gt;0,Taostats_CSV!I145,""))</f>
        <v>5338160-0011</v>
      </c>
      <c r="L145">
        <f ca="1">IF(Taostats_CSV!E145&lt;&gt;"TAO",IF(LEN(F145)&gt;0,F145,IF(LEN(D145)&gt;0,D145,0))*Taostats_CSV!P145,"")</f>
        <v>3848.6191770614996</v>
      </c>
      <c r="M145" t="str">
        <f t="shared" ca="1" si="27"/>
        <v>USD</v>
      </c>
      <c r="N145">
        <f>COUNTIF(Taostats_CSV!$X:$X,Taostats_CSV!$I145&amp;N$1)</f>
        <v>0</v>
      </c>
      <c r="O145">
        <f>COUNTIF(Taostats_CSV!$X:$X,Taostats_CSV!$I145&amp;O$1)</f>
        <v>1</v>
      </c>
      <c r="P145">
        <f>COUNTIF(Taostats_CSV!$X:$X,Taostats_CSV!$I145&amp;P$1)</f>
        <v>1</v>
      </c>
      <c r="Q145" t="b">
        <f t="shared" si="28"/>
        <v>1</v>
      </c>
      <c r="R145">
        <f>IF(LEN(K145)&gt;0,COUNTIF($K$3:K145,K145),FALSE)</f>
        <v>2</v>
      </c>
      <c r="S145" t="b">
        <f>IF(Taostats_CSV!A145=Taostats_CSV!$A$2,TRUE,Taostats_CSV!G145+Taostats_CSV!H145+Taostats_CSV!R145=0)</f>
        <v>0</v>
      </c>
      <c r="T145" t="b">
        <f t="shared" si="29"/>
        <v>0</v>
      </c>
      <c r="U145" t="b" cm="1">
        <f t="array" aca="1" ref="U145" ca="1">AND(T145,OR(O145-N145&gt;1,P145&gt;1,ISERROR(A145:P145)))</f>
        <v>0</v>
      </c>
      <c r="W145" t="e">
        <f>MATCH(K145&amp;$W$2,Taostats_CSV!$X$3:$X$1167,0)</f>
        <v>#N/A</v>
      </c>
      <c r="X145">
        <f t="shared" ca="1" si="24"/>
        <v>15</v>
      </c>
      <c r="Y145">
        <f t="shared" ca="1" si="25"/>
        <v>39.882064010999997</v>
      </c>
      <c r="Z145" t="e">
        <f t="shared" ca="1" si="26"/>
        <v>#VALUE!</v>
      </c>
    </row>
    <row r="146" spans="1:32" x14ac:dyDescent="0.4">
      <c r="A146" t="str">
        <f>MID(Taostats_CSV!C146,6,2)&amp;"/"&amp;MID(Taostats_CSV!C146,9,2)&amp;"/"&amp;LEFT(Taostats_CSV!C146,4)&amp;" "&amp;MID(Taostats_CSV!C146,12,8)</f>
        <v>04/12/2025 22:37:00</v>
      </c>
      <c r="C146" t="str">
        <f ca="1">IF(Q146,OFFSET(Taostats_CSV!$E$1,MATCH(K146&amp;D$1,Taostats_CSV!$X:$X,0)-1,0),IF(Taostats_CSV!F146="fee",IF(VALUE(Taostats_CSV!G146)&gt;0,Taostats_CSV!E146,""),""))</f>
        <v>TAO</v>
      </c>
      <c r="D146">
        <f ca="1">IF(Q146,OFFSET(Taostats_CSV!$G$1,MATCH(K146&amp;D$1,Taostats_CSV!$X:$X,0)-1,0),IF(Taostats_CSV!F146="fee",IF(VALUE(Taostats_CSV!G146)&gt;0,Taostats_CSV!G146,""),""))</f>
        <v>25</v>
      </c>
      <c r="E146" t="str">
        <f ca="1">IF(AND(Q146,P146&gt;0),OFFSET(Taostats_CSV!$E$1,MATCH(K146&amp;F$1,Taostats_CSV!$X:$X,0)-1,0),IF(LEN(F146)&gt;0,Taostats_CSV!E146,""))</f>
        <v>SN56</v>
      </c>
      <c r="F146" t="str">
        <f ca="1">TRIM(IF(AND(Q146,P146&gt;0),OFFSET(Taostats_CSV!$H$1,MATCH(K146&amp;F$1,Taostats_CSV!$X:$X,0)-1,0),IF(LEN(Taostats_CSV!H146)&gt;0,Taostats_CSV!H146,Taostats_CSV!R146)))</f>
        <v>125.231809702</v>
      </c>
      <c r="G146" t="str">
        <f ca="1">IF(AND(Q146,N146=1),OFFSET(Taostats_CSV!$E$1,MATCH(K146&amp;H$1,Taostats_CSV!$X:$X,0)-1,0),"")</f>
        <v/>
      </c>
      <c r="H146" t="str">
        <f ca="1">IF(AND(Q146,N146=1),OFFSET(Taostats_CSV!$G$1,MATCH(K146&amp;H$1,Taostats_CSV!$X:$X,0)-1,0),"")</f>
        <v/>
      </c>
      <c r="I146" t="str">
        <f ca="1">IF(AND(LEN(K146)=0,LEN(F146)&gt;0),"Income",IF(AND(O146&gt;0,P146&gt;0,C146&lt;&gt;E146),"Trade",IF(AND(NOT(Q146),Taostats_CSV!F146="fee"),'READ ME'!$C$5,"")))</f>
        <v>Trade</v>
      </c>
      <c r="J146" t="str">
        <f ca="1">SUBSTITUTE(IF(LEN(I146)=0,Taostats_CSV!F146&amp;" "&amp;Taostats_CSV!J146,IF(I146="Cost","Extrinsic fee","")),"_"," ")</f>
        <v/>
      </c>
      <c r="K146" t="str">
        <f>TRIM(IF(LEN(Taostats_CSV!I146)&gt;0,Taostats_CSV!I146,""))</f>
        <v>5338217-0011</v>
      </c>
      <c r="L146" t="str">
        <f>IF(Taostats_CSV!E146&lt;&gt;"TAO",IF(LEN(F146)&gt;0,F146,IF(LEN(D146)&gt;0,D146,0))*Taostats_CSV!P146,"")</f>
        <v/>
      </c>
      <c r="M146" t="str">
        <f t="shared" si="27"/>
        <v/>
      </c>
      <c r="N146">
        <f>COUNTIF(Taostats_CSV!$X:$X,Taostats_CSV!$I146&amp;N$1)</f>
        <v>0</v>
      </c>
      <c r="O146">
        <f>COUNTIF(Taostats_CSV!$X:$X,Taostats_CSV!$I146&amp;O$1)</f>
        <v>1</v>
      </c>
      <c r="P146">
        <f>COUNTIF(Taostats_CSV!$X:$X,Taostats_CSV!$I146&amp;P$1)</f>
        <v>1</v>
      </c>
      <c r="Q146" t="b">
        <f t="shared" si="28"/>
        <v>1</v>
      </c>
      <c r="R146">
        <f>IF(LEN(K146)&gt;0,COUNTIF($K$3:K146,K146),FALSE)</f>
        <v>1</v>
      </c>
      <c r="S146" t="b">
        <f>IF(Taostats_CSV!A146=Taostats_CSV!$A$2,TRUE,Taostats_CSV!G146+Taostats_CSV!H146+Taostats_CSV!R146=0)</f>
        <v>0</v>
      </c>
      <c r="T146" t="b">
        <f t="shared" si="29"/>
        <v>1</v>
      </c>
      <c r="U146" t="b" cm="1">
        <f t="array" aca="1" ref="U146" ca="1">AND(T146,OR(O146-N146&gt;1,P146&gt;1,ISERROR(A146:P146)))</f>
        <v>0</v>
      </c>
      <c r="W146" t="e">
        <f>MATCH(K146&amp;$W$2,Taostats_CSV!$X$3:$X$1167,0)</f>
        <v>#N/A</v>
      </c>
      <c r="X146">
        <f t="shared" ca="1" si="24"/>
        <v>25</v>
      </c>
      <c r="Y146">
        <f t="shared" ca="1" si="25"/>
        <v>125.23180970200001</v>
      </c>
      <c r="Z146" t="e">
        <f t="shared" ca="1" si="26"/>
        <v>#VALUE!</v>
      </c>
    </row>
    <row r="147" spans="1:32" hidden="1" x14ac:dyDescent="0.4">
      <c r="A147" t="str">
        <f>MID(Taostats_CSV!C147,6,2)&amp;"/"&amp;MID(Taostats_CSV!C147,9,2)&amp;"/"&amp;LEFT(Taostats_CSV!C147,4)&amp;" "&amp;MID(Taostats_CSV!C147,12,8)</f>
        <v>04/12/2025 22:37:00</v>
      </c>
      <c r="C147" t="str">
        <f ca="1">IF(Q147,OFFSET(Taostats_CSV!$E$1,MATCH(K147&amp;D$1,Taostats_CSV!$X:$X,0)-1,0),IF(Taostats_CSV!F147="fee","",IF(VALUE(Taostats_CSV!G147)&gt;0,Taostats_CSV!E147,"")))</f>
        <v>TAO</v>
      </c>
      <c r="D147">
        <f ca="1">IF(Q147,OFFSET(Taostats_CSV!$G$1,MATCH(K147&amp;D$1,Taostats_CSV!$X:$X,0)-1,0),IF(Taostats_CSV!F147="fee","",IF(VALUE(Taostats_CSV!G147)&gt;0,Taostats_CSV!G147,"")))</f>
        <v>25</v>
      </c>
      <c r="E147" t="str">
        <f ca="1">IF(AND(Q147,P147&gt;0),OFFSET(Taostats_CSV!$E$1,MATCH(K147&amp;F$1,Taostats_CSV!$X:$X,0)-1,0),IF(LEN(F147)&gt;0,Taostats_CSV!E147,""))</f>
        <v>SN56</v>
      </c>
      <c r="F147" t="str">
        <f ca="1">TRIM(IF(AND(Q147,P147&gt;0),OFFSET(Taostats_CSV!$H$1,MATCH(K147&amp;F$1,Taostats_CSV!$X:$X,0)-1,0),IF(LEN(Taostats_CSV!H147)&gt;0,Taostats_CSV!H147,Taostats_CSV!R147)))</f>
        <v>125.231809702</v>
      </c>
      <c r="G147" t="str">
        <f ca="1">IF(AND(Q147,N147=1),OFFSET(Taostats_CSV!$E$1,MATCH(K147&amp;H$1,Taostats_CSV!$X:$X,0)-1,0),IF(Taostats_CSV!F147="fee",Taostats_CSV!E147,""))</f>
        <v/>
      </c>
      <c r="H147" t="str">
        <f ca="1">IF(AND(Q147,N147=1),OFFSET(Taostats_CSV!$G$1,MATCH(K147&amp;H$1,Taostats_CSV!$X:$X,0)-1,0),IF(Taostats_CSV!F147="fee",Taostats_CSV!G147,""))</f>
        <v/>
      </c>
      <c r="I147" t="str">
        <f ca="1">IF(AND(LEN(K147)=0,LEN(F147)&gt;0),"Income",IF(AND(O147&gt;0,P147&gt;0,C147&lt;&gt;E147),"Trade",IF(AND(NOT(Q147),Taostats_CSV!F147="fee"),'READ ME'!$C$5,"")))</f>
        <v>Trade</v>
      </c>
      <c r="J147" t="str">
        <f ca="1">SUBSTITUTE(IF(LEN(I147)=0,Taostats_CSV!F147&amp;" "&amp;Taostats_CSV!J147,IF(I147="Cost","Extrinsic fee","")),"_"," ")</f>
        <v/>
      </c>
      <c r="K147" t="str">
        <f>TRIM(IF(LEN(Taostats_CSV!I147)&gt;0,Taostats_CSV!I147,""))</f>
        <v>5338217-0011</v>
      </c>
      <c r="L147">
        <f ca="1">IF(Taostats_CSV!E147&lt;&gt;"TAO",IF(LEN(F147)&gt;0,F147,IF(LEN(D147)&gt;0,D147,0))*Taostats_CSV!P147,"")</f>
        <v>6404.35474816028</v>
      </c>
      <c r="M147" t="str">
        <f t="shared" ca="1" si="27"/>
        <v>USD</v>
      </c>
      <c r="N147">
        <f>COUNTIF(Taostats_CSV!$X:$X,Taostats_CSV!$I147&amp;N$1)</f>
        <v>0</v>
      </c>
      <c r="O147">
        <f>COUNTIF(Taostats_CSV!$X:$X,Taostats_CSV!$I147&amp;O$1)</f>
        <v>1</v>
      </c>
      <c r="P147">
        <f>COUNTIF(Taostats_CSV!$X:$X,Taostats_CSV!$I147&amp;P$1)</f>
        <v>1</v>
      </c>
      <c r="Q147" t="b">
        <f t="shared" si="28"/>
        <v>1</v>
      </c>
      <c r="R147">
        <f>IF(LEN(K147)&gt;0,COUNTIF($K$3:K147,K147),FALSE)</f>
        <v>2</v>
      </c>
      <c r="S147" t="b">
        <f>IF(Taostats_CSV!A147=Taostats_CSV!$A$2,TRUE,Taostats_CSV!G147+Taostats_CSV!H147+Taostats_CSV!R147=0)</f>
        <v>0</v>
      </c>
      <c r="T147" t="b">
        <f t="shared" si="29"/>
        <v>0</v>
      </c>
      <c r="U147" t="b" cm="1">
        <f t="array" aca="1" ref="U147" ca="1">AND(T147,OR(O147-N147&gt;1,P147&gt;1,ISERROR(A147:P147)))</f>
        <v>0</v>
      </c>
      <c r="W147" t="e">
        <f>MATCH(K147&amp;$W$2,Taostats_CSV!$X$3:$X$1167,0)</f>
        <v>#N/A</v>
      </c>
      <c r="X147">
        <f t="shared" ca="1" si="24"/>
        <v>25</v>
      </c>
      <c r="Y147">
        <f t="shared" ca="1" si="25"/>
        <v>125.23180970200001</v>
      </c>
      <c r="Z147" t="e">
        <f t="shared" ca="1" si="26"/>
        <v>#VALUE!</v>
      </c>
    </row>
    <row r="148" spans="1:32" x14ac:dyDescent="0.4">
      <c r="A148" t="str">
        <f>MID(Taostats_CSV!C148,6,2)&amp;"/"&amp;MID(Taostats_CSV!C148,9,2)&amp;"/"&amp;LEFT(Taostats_CSV!C148,4)&amp;" "&amp;MID(Taostats_CSV!C148,12,8)</f>
        <v>04/12/2025 22:49:24</v>
      </c>
      <c r="C148" t="str">
        <f ca="1">IF(Q148,OFFSET(Taostats_CSV!$E$1,MATCH(K148&amp;D$1,Taostats_CSV!$X:$X,0)-1,0),IF(Taostats_CSV!F148="fee",IF(VALUE(Taostats_CSV!G148)&gt;0,Taostats_CSV!E148,""),""))</f>
        <v>TAO</v>
      </c>
      <c r="D148">
        <f ca="1">IF(Q148,OFFSET(Taostats_CSV!$G$1,MATCH(K148&amp;D$1,Taostats_CSV!$X:$X,0)-1,0),IF(Taostats_CSV!F148="fee",IF(VALUE(Taostats_CSV!G148)&gt;0,Taostats_CSV!G148,""),""))</f>
        <v>25</v>
      </c>
      <c r="E148" t="str">
        <f ca="1">IF(AND(Q148,P148&gt;0),OFFSET(Taostats_CSV!$E$1,MATCH(K148&amp;F$1,Taostats_CSV!$X:$X,0)-1,0),IF(LEN(F148)&gt;0,Taostats_CSV!E148,""))</f>
        <v>SN4</v>
      </c>
      <c r="F148" t="str">
        <f ca="1">TRIM(IF(AND(Q148,P148&gt;0),OFFSET(Taostats_CSV!$H$1,MATCH(K148&amp;F$1,Taostats_CSV!$X:$X,0)-1,0),IF(LEN(Taostats_CSV!H148)&gt;0,Taostats_CSV!H148,Taostats_CSV!R148)))</f>
        <v>125.352344309</v>
      </c>
      <c r="G148" t="str">
        <f ca="1">IF(AND(Q148,N148=1),OFFSET(Taostats_CSV!$E$1,MATCH(K148&amp;H$1,Taostats_CSV!$X:$X,0)-1,0),"")</f>
        <v/>
      </c>
      <c r="H148" t="str">
        <f ca="1">IF(AND(Q148,N148=1),OFFSET(Taostats_CSV!$G$1,MATCH(K148&amp;H$1,Taostats_CSV!$X:$X,0)-1,0),"")</f>
        <v/>
      </c>
      <c r="I148" t="str">
        <f ca="1">IF(AND(LEN(K148)=0,LEN(F148)&gt;0),"Income",IF(AND(O148&gt;0,P148&gt;0,C148&lt;&gt;E148),"Trade",IF(AND(NOT(Q148),Taostats_CSV!F148="fee"),'READ ME'!$C$5,"")))</f>
        <v>Trade</v>
      </c>
      <c r="J148" t="str">
        <f ca="1">SUBSTITUTE(IF(LEN(I148)=0,Taostats_CSV!F148&amp;" "&amp;Taostats_CSV!J148,IF(I148="Cost","Extrinsic fee","")),"_"," ")</f>
        <v/>
      </c>
      <c r="K148" t="str">
        <f>TRIM(IF(LEN(Taostats_CSV!I148)&gt;0,Taostats_CSV!I148,""))</f>
        <v>5338279-0012</v>
      </c>
      <c r="L148" t="str">
        <f>IF(Taostats_CSV!E148&lt;&gt;"TAO",IF(LEN(F148)&gt;0,F148,IF(LEN(D148)&gt;0,D148,0))*Taostats_CSV!P148,"")</f>
        <v/>
      </c>
      <c r="M148" t="str">
        <f t="shared" si="27"/>
        <v/>
      </c>
      <c r="N148">
        <f>COUNTIF(Taostats_CSV!$X:$X,Taostats_CSV!$I148&amp;N$1)</f>
        <v>0</v>
      </c>
      <c r="O148">
        <f>COUNTIF(Taostats_CSV!$X:$X,Taostats_CSV!$I148&amp;O$1)</f>
        <v>1</v>
      </c>
      <c r="P148">
        <f>COUNTIF(Taostats_CSV!$X:$X,Taostats_CSV!$I148&amp;P$1)</f>
        <v>1</v>
      </c>
      <c r="Q148" t="b">
        <f t="shared" si="28"/>
        <v>1</v>
      </c>
      <c r="R148">
        <f>IF(LEN(K148)&gt;0,COUNTIF($K$3:K148,K148),FALSE)</f>
        <v>1</v>
      </c>
      <c r="S148" t="b">
        <f>IF(Taostats_CSV!A148=Taostats_CSV!$A$2,TRUE,Taostats_CSV!G148+Taostats_CSV!H148+Taostats_CSV!R148=0)</f>
        <v>0</v>
      </c>
      <c r="T148" t="b">
        <f t="shared" si="29"/>
        <v>1</v>
      </c>
      <c r="U148" t="b" cm="1">
        <f t="array" aca="1" ref="U148" ca="1">AND(T148,OR(O148-N148&gt;1,P148&gt;1,ISERROR(A148:P148)))</f>
        <v>0</v>
      </c>
      <c r="W148" t="e">
        <f>MATCH(K148&amp;$W$2,Taostats_CSV!$X$3:$X$1167,0)</f>
        <v>#N/A</v>
      </c>
      <c r="X148">
        <f t="shared" ca="1" si="24"/>
        <v>25</v>
      </c>
      <c r="Y148">
        <f t="shared" ca="1" si="25"/>
        <v>125.352344309</v>
      </c>
      <c r="Z148" t="e">
        <f t="shared" ca="1" si="26"/>
        <v>#VALUE!</v>
      </c>
    </row>
    <row r="149" spans="1:32" hidden="1" x14ac:dyDescent="0.4">
      <c r="A149" t="str">
        <f>MID(Taostats_CSV!C149,6,2)&amp;"/"&amp;MID(Taostats_CSV!C149,9,2)&amp;"/"&amp;LEFT(Taostats_CSV!C149,4)&amp;" "&amp;MID(Taostats_CSV!C149,12,8)</f>
        <v>04/12/2025 22:49:24</v>
      </c>
      <c r="C149" t="str">
        <f ca="1">IF(Q149,OFFSET(Taostats_CSV!$E$1,MATCH(K149&amp;D$1,Taostats_CSV!$X:$X,0)-1,0),IF(Taostats_CSV!F149="fee","",IF(VALUE(Taostats_CSV!G149)&gt;0,Taostats_CSV!E149,"")))</f>
        <v>TAO</v>
      </c>
      <c r="D149">
        <f ca="1">IF(Q149,OFFSET(Taostats_CSV!$G$1,MATCH(K149&amp;D$1,Taostats_CSV!$X:$X,0)-1,0),IF(Taostats_CSV!F149="fee","",IF(VALUE(Taostats_CSV!G149)&gt;0,Taostats_CSV!G149,"")))</f>
        <v>25</v>
      </c>
      <c r="E149" t="str">
        <f ca="1">IF(AND(Q149,P149&gt;0),OFFSET(Taostats_CSV!$E$1,MATCH(K149&amp;F$1,Taostats_CSV!$X:$X,0)-1,0),IF(LEN(F149)&gt;0,Taostats_CSV!E149,""))</f>
        <v>SN4</v>
      </c>
      <c r="F149" t="str">
        <f ca="1">TRIM(IF(AND(Q149,P149&gt;0),OFFSET(Taostats_CSV!$H$1,MATCH(K149&amp;F$1,Taostats_CSV!$X:$X,0)-1,0),IF(LEN(Taostats_CSV!H149)&gt;0,Taostats_CSV!H149,Taostats_CSV!R149)))</f>
        <v>125.352344309</v>
      </c>
      <c r="G149" t="str">
        <f ca="1">IF(AND(Q149,N149=1),OFFSET(Taostats_CSV!$E$1,MATCH(K149&amp;H$1,Taostats_CSV!$X:$X,0)-1,0),IF(Taostats_CSV!F149="fee",Taostats_CSV!E149,""))</f>
        <v/>
      </c>
      <c r="H149" t="str">
        <f ca="1">IF(AND(Q149,N149=1),OFFSET(Taostats_CSV!$G$1,MATCH(K149&amp;H$1,Taostats_CSV!$X:$X,0)-1,0),IF(Taostats_CSV!F149="fee",Taostats_CSV!G149,""))</f>
        <v/>
      </c>
      <c r="I149" t="str">
        <f ca="1">IF(AND(LEN(K149)=0,LEN(F149)&gt;0),"Income",IF(AND(O149&gt;0,P149&gt;0,C149&lt;&gt;E149),"Trade",IF(AND(NOT(Q149),Taostats_CSV!F149="fee"),'READ ME'!$C$5,"")))</f>
        <v>Trade</v>
      </c>
      <c r="J149" t="str">
        <f ca="1">SUBSTITUTE(IF(LEN(I149)=0,Taostats_CSV!F149&amp;" "&amp;Taostats_CSV!J149,IF(I149="Cost","Extrinsic fee","")),"_"," ")</f>
        <v/>
      </c>
      <c r="K149" t="str">
        <f>TRIM(IF(LEN(Taostats_CSV!I149)&gt;0,Taostats_CSV!I149,""))</f>
        <v>5338279-0012</v>
      </c>
      <c r="L149">
        <f ca="1">IF(Taostats_CSV!E149&lt;&gt;"TAO",IF(LEN(F149)&gt;0,F149,IF(LEN(D149)&gt;0,D149,0))*Taostats_CSV!P149,"")</f>
        <v>6377.9272784419209</v>
      </c>
      <c r="M149" t="str">
        <f t="shared" ca="1" si="27"/>
        <v>USD</v>
      </c>
      <c r="N149">
        <f>COUNTIF(Taostats_CSV!$X:$X,Taostats_CSV!$I149&amp;N$1)</f>
        <v>0</v>
      </c>
      <c r="O149">
        <f>COUNTIF(Taostats_CSV!$X:$X,Taostats_CSV!$I149&amp;O$1)</f>
        <v>1</v>
      </c>
      <c r="P149">
        <f>COUNTIF(Taostats_CSV!$X:$X,Taostats_CSV!$I149&amp;P$1)</f>
        <v>1</v>
      </c>
      <c r="Q149" t="b">
        <f t="shared" si="28"/>
        <v>1</v>
      </c>
      <c r="R149">
        <f>IF(LEN(K149)&gt;0,COUNTIF($K$3:K149,K149),FALSE)</f>
        <v>2</v>
      </c>
      <c r="S149" t="b">
        <f>IF(Taostats_CSV!A149=Taostats_CSV!$A$2,TRUE,Taostats_CSV!G149+Taostats_CSV!H149+Taostats_CSV!R149=0)</f>
        <v>0</v>
      </c>
      <c r="T149" t="b">
        <f t="shared" si="29"/>
        <v>0</v>
      </c>
      <c r="U149" t="b" cm="1">
        <f t="array" aca="1" ref="U149" ca="1">AND(T149,OR(O149-N149&gt;1,P149&gt;1,ISERROR(A149:P149)))</f>
        <v>0</v>
      </c>
      <c r="W149" t="e">
        <f>MATCH(K149&amp;$W$2,Taostats_CSV!$X$3:$X$1167,0)</f>
        <v>#N/A</v>
      </c>
      <c r="X149">
        <f t="shared" ca="1" si="24"/>
        <v>25</v>
      </c>
      <c r="Y149">
        <f t="shared" ca="1" si="25"/>
        <v>125.352344309</v>
      </c>
      <c r="Z149" t="e">
        <f t="shared" ca="1" si="26"/>
        <v>#VALUE!</v>
      </c>
    </row>
    <row r="150" spans="1:32" x14ac:dyDescent="0.4">
      <c r="A150" t="str">
        <f>MID(Taostats_CSV!C150,6,2)&amp;"/"&amp;MID(Taostats_CSV!C150,9,2)&amp;"/"&amp;LEFT(Taostats_CSV!C150,4)&amp;" "&amp;MID(Taostats_CSV!C150,12,8)</f>
        <v>04/12/2025 22:49:48</v>
      </c>
      <c r="C150" t="str">
        <f ca="1">IF(Q150,OFFSET(Taostats_CSV!$E$1,MATCH(K150&amp;D$1,Taostats_CSV!$X:$X,0)-1,0),IF(Taostats_CSV!F150="fee",IF(VALUE(Taostats_CSV!G150)&gt;0,Taostats_CSV!E150,""),""))</f>
        <v>TAO</v>
      </c>
      <c r="D150">
        <f ca="1">IF(Q150,OFFSET(Taostats_CSV!$G$1,MATCH(K150&amp;D$1,Taostats_CSV!$X:$X,0)-1,0),IF(Taostats_CSV!F150="fee",IF(VALUE(Taostats_CSV!G150)&gt;0,Taostats_CSV!G150,""),""))</f>
        <v>25</v>
      </c>
      <c r="E150" t="str">
        <f ca="1">IF(AND(Q150,P150&gt;0),OFFSET(Taostats_CSV!$E$1,MATCH(K150&amp;F$1,Taostats_CSV!$X:$X,0)-1,0),IF(LEN(F150)&gt;0,Taostats_CSV!E150,""))</f>
        <v>SN3</v>
      </c>
      <c r="F150" t="str">
        <f ca="1">TRIM(IF(AND(Q150,P150&gt;0),OFFSET(Taostats_CSV!$H$1,MATCH(K150&amp;F$1,Taostats_CSV!$X:$X,0)-1,0),IF(LEN(Taostats_CSV!H150)&gt;0,Taostats_CSV!H150,Taostats_CSV!R150)))</f>
        <v>201.093768107</v>
      </c>
      <c r="G150" t="str">
        <f ca="1">IF(AND(Q150,N150=1),OFFSET(Taostats_CSV!$E$1,MATCH(K150&amp;H$1,Taostats_CSV!$X:$X,0)-1,0),"")</f>
        <v/>
      </c>
      <c r="H150" t="str">
        <f ca="1">IF(AND(Q150,N150=1),OFFSET(Taostats_CSV!$G$1,MATCH(K150&amp;H$1,Taostats_CSV!$X:$X,0)-1,0),"")</f>
        <v/>
      </c>
      <c r="I150" t="str">
        <f ca="1">IF(AND(LEN(K150)=0,LEN(F150)&gt;0),"Income",IF(AND(O150&gt;0,P150&gt;0,C150&lt;&gt;E150),"Trade",IF(AND(NOT(Q150),Taostats_CSV!F150="fee"),'READ ME'!$C$5,"")))</f>
        <v>Trade</v>
      </c>
      <c r="J150" t="str">
        <f ca="1">SUBSTITUTE(IF(LEN(I150)=0,Taostats_CSV!F150&amp;" "&amp;Taostats_CSV!J150,IF(I150="Cost","Extrinsic fee","")),"_"," ")</f>
        <v/>
      </c>
      <c r="K150" t="str">
        <f>TRIM(IF(LEN(Taostats_CSV!I150)&gt;0,Taostats_CSV!I150,""))</f>
        <v>5338281-0008</v>
      </c>
      <c r="L150" t="str">
        <f>IF(Taostats_CSV!E150&lt;&gt;"TAO",IF(LEN(F150)&gt;0,F150,IF(LEN(D150)&gt;0,D150,0))*Taostats_CSV!P150,"")</f>
        <v/>
      </c>
      <c r="M150" t="str">
        <f t="shared" si="27"/>
        <v/>
      </c>
      <c r="N150">
        <f>COUNTIF(Taostats_CSV!$X:$X,Taostats_CSV!$I150&amp;N$1)</f>
        <v>0</v>
      </c>
      <c r="O150">
        <f>COUNTIF(Taostats_CSV!$X:$X,Taostats_CSV!$I150&amp;O$1)</f>
        <v>1</v>
      </c>
      <c r="P150">
        <f>COUNTIF(Taostats_CSV!$X:$X,Taostats_CSV!$I150&amp;P$1)</f>
        <v>1</v>
      </c>
      <c r="Q150" t="b">
        <f t="shared" si="28"/>
        <v>1</v>
      </c>
      <c r="R150">
        <f>IF(LEN(K150)&gt;0,COUNTIF($K$3:K150,K150),FALSE)</f>
        <v>1</v>
      </c>
      <c r="S150" t="b">
        <f>IF(Taostats_CSV!A150=Taostats_CSV!$A$2,TRUE,Taostats_CSV!G150+Taostats_CSV!H150+Taostats_CSV!R150=0)</f>
        <v>0</v>
      </c>
      <c r="T150" t="b">
        <f t="shared" si="29"/>
        <v>1</v>
      </c>
      <c r="U150" t="b" cm="1">
        <f t="array" aca="1" ref="U150" ca="1">AND(T150,OR(O150-N150&gt;1,P150&gt;1,ISERROR(A150:P150)))</f>
        <v>0</v>
      </c>
      <c r="W150" t="e">
        <f>MATCH(K150&amp;$W$2,Taostats_CSV!$X$3:$X$1167,0)</f>
        <v>#N/A</v>
      </c>
      <c r="X150">
        <f t="shared" ca="1" si="24"/>
        <v>25</v>
      </c>
      <c r="Y150">
        <f t="shared" ca="1" si="25"/>
        <v>201.09376810699999</v>
      </c>
      <c r="Z150" t="e">
        <f t="shared" ca="1" si="26"/>
        <v>#VALUE!</v>
      </c>
    </row>
    <row r="151" spans="1:32" hidden="1" x14ac:dyDescent="0.4">
      <c r="A151" t="str">
        <f>MID(Taostats_CSV!C151,6,2)&amp;"/"&amp;MID(Taostats_CSV!C151,9,2)&amp;"/"&amp;LEFT(Taostats_CSV!C151,4)&amp;" "&amp;MID(Taostats_CSV!C151,12,8)</f>
        <v>04/12/2025 22:49:48</v>
      </c>
      <c r="C151" t="str">
        <f ca="1">IF(Q151,OFFSET(Taostats_CSV!$E$1,MATCH(K151&amp;D$1,Taostats_CSV!$X:$X,0)-1,0),IF(Taostats_CSV!F151="fee","",IF(VALUE(Taostats_CSV!G151)&gt;0,Taostats_CSV!E151,"")))</f>
        <v>TAO</v>
      </c>
      <c r="D151">
        <f ca="1">IF(Q151,OFFSET(Taostats_CSV!$G$1,MATCH(K151&amp;D$1,Taostats_CSV!$X:$X,0)-1,0),IF(Taostats_CSV!F151="fee","",IF(VALUE(Taostats_CSV!G151)&gt;0,Taostats_CSV!G151,"")))</f>
        <v>25</v>
      </c>
      <c r="E151" t="str">
        <f ca="1">IF(AND(Q151,P151&gt;0),OFFSET(Taostats_CSV!$E$1,MATCH(K151&amp;F$1,Taostats_CSV!$X:$X,0)-1,0),IF(LEN(F151)&gt;0,Taostats_CSV!E151,""))</f>
        <v>SN3</v>
      </c>
      <c r="F151" t="str">
        <f ca="1">TRIM(IF(AND(Q151,P151&gt;0),OFFSET(Taostats_CSV!$H$1,MATCH(K151&amp;F$1,Taostats_CSV!$X:$X,0)-1,0),IF(LEN(Taostats_CSV!H151)&gt;0,Taostats_CSV!H151,Taostats_CSV!R151)))</f>
        <v>201.093768107</v>
      </c>
      <c r="G151" t="str">
        <f ca="1">IF(AND(Q151,N151=1),OFFSET(Taostats_CSV!$E$1,MATCH(K151&amp;H$1,Taostats_CSV!$X:$X,0)-1,0),IF(Taostats_CSV!F151="fee",Taostats_CSV!E151,""))</f>
        <v/>
      </c>
      <c r="H151" t="str">
        <f ca="1">IF(AND(Q151,N151=1),OFFSET(Taostats_CSV!$G$1,MATCH(K151&amp;H$1,Taostats_CSV!$X:$X,0)-1,0),IF(Taostats_CSV!F151="fee",Taostats_CSV!G151,""))</f>
        <v/>
      </c>
      <c r="I151" t="str">
        <f ca="1">IF(AND(LEN(K151)=0,LEN(F151)&gt;0),"Income",IF(AND(O151&gt;0,P151&gt;0,C151&lt;&gt;E151),"Trade",IF(AND(NOT(Q151),Taostats_CSV!F151="fee"),'READ ME'!$C$5,"")))</f>
        <v>Trade</v>
      </c>
      <c r="J151" t="str">
        <f ca="1">SUBSTITUTE(IF(LEN(I151)=0,Taostats_CSV!F151&amp;" "&amp;Taostats_CSV!J151,IF(I151="Cost","Extrinsic fee","")),"_"," ")</f>
        <v/>
      </c>
      <c r="K151" t="str">
        <f>TRIM(IF(LEN(Taostats_CSV!I151)&gt;0,Taostats_CSV!I151,""))</f>
        <v>5338281-0008</v>
      </c>
      <c r="L151">
        <f ca="1">IF(Taostats_CSV!E151&lt;&gt;"TAO",IF(LEN(F151)&gt;0,F151,IF(LEN(D151)&gt;0,D151,0))*Taostats_CSV!P151,"")</f>
        <v>6378.6943243540391</v>
      </c>
      <c r="M151" t="str">
        <f t="shared" ca="1" si="27"/>
        <v>USD</v>
      </c>
      <c r="N151">
        <f>COUNTIF(Taostats_CSV!$X:$X,Taostats_CSV!$I151&amp;N$1)</f>
        <v>0</v>
      </c>
      <c r="O151">
        <f>COUNTIF(Taostats_CSV!$X:$X,Taostats_CSV!$I151&amp;O$1)</f>
        <v>1</v>
      </c>
      <c r="P151">
        <f>COUNTIF(Taostats_CSV!$X:$X,Taostats_CSV!$I151&amp;P$1)</f>
        <v>1</v>
      </c>
      <c r="Q151" t="b">
        <f t="shared" si="28"/>
        <v>1</v>
      </c>
      <c r="R151">
        <f>IF(LEN(K151)&gt;0,COUNTIF($K$3:K151,K151),FALSE)</f>
        <v>2</v>
      </c>
      <c r="S151" t="b">
        <f>IF(Taostats_CSV!A151=Taostats_CSV!$A$2,TRUE,Taostats_CSV!G151+Taostats_CSV!H151+Taostats_CSV!R151=0)</f>
        <v>0</v>
      </c>
      <c r="T151" t="b">
        <f t="shared" si="29"/>
        <v>0</v>
      </c>
      <c r="U151" t="b" cm="1">
        <f t="array" aca="1" ref="U151" ca="1">AND(T151,OR(O151-N151&gt;1,P151&gt;1,ISERROR(A151:P151)))</f>
        <v>0</v>
      </c>
      <c r="W151" t="e">
        <f>MATCH(K151&amp;$W$2,Taostats_CSV!$X$3:$X$1167,0)</f>
        <v>#N/A</v>
      </c>
      <c r="X151">
        <f t="shared" ca="1" si="24"/>
        <v>25</v>
      </c>
      <c r="Y151">
        <f t="shared" ca="1" si="25"/>
        <v>201.09376810699999</v>
      </c>
      <c r="Z151" t="e">
        <f t="shared" ca="1" si="26"/>
        <v>#VALUE!</v>
      </c>
    </row>
    <row r="152" spans="1:32" x14ac:dyDescent="0.4">
      <c r="A152" t="str">
        <f>MID(Taostats_CSV!C152,6,2)&amp;"/"&amp;MID(Taostats_CSV!C152,9,2)&amp;"/"&amp;LEFT(Taostats_CSV!C152,4)&amp;" "&amp;MID(Taostats_CSV!C152,12,8)</f>
        <v>04/12/2025 23:59:48</v>
      </c>
      <c r="C152" t="str">
        <f ca="1">IF(Q152,OFFSET(Taostats_CSV!$E$1,MATCH(K152&amp;D$1,Taostats_CSV!$X:$X,0)-1,0),IF(Taostats_CSV!F152="fee",IF(VALUE(Taostats_CSV!G152)&gt;0,Taostats_CSV!E152,""),""))</f>
        <v/>
      </c>
      <c r="D152" t="str">
        <f ca="1">IF(Q152,OFFSET(Taostats_CSV!$G$1,MATCH(K152&amp;D$1,Taostats_CSV!$X:$X,0)-1,0),IF(Taostats_CSV!F152="fee",IF(VALUE(Taostats_CSV!G152)&gt;0,Taostats_CSV!G152,""),""))</f>
        <v/>
      </c>
      <c r="E152" t="str">
        <f ca="1">IF(AND(Q152,P152&gt;0),OFFSET(Taostats_CSV!$E$1,MATCH(K152&amp;F$1,Taostats_CSV!$X:$X,0)-1,0),IF(LEN(F152)&gt;0,Taostats_CSV!E152,""))</f>
        <v>SN3</v>
      </c>
      <c r="F152" t="str">
        <f ca="1">TRIM(IF(AND(Q152,P152&gt;0),OFFSET(Taostats_CSV!$H$1,MATCH(K152&amp;F$1,Taostats_CSV!$X:$X,0)-1,0),IF(LEN(Taostats_CSV!H152)&gt;0,Taostats_CSV!H152,Taostats_CSV!R152)))</f>
        <v>0.022498235</v>
      </c>
      <c r="G152" t="str">
        <f ca="1">IF(AND(Q152,N152=1),OFFSET(Taostats_CSV!$E$1,MATCH(K152&amp;H$1,Taostats_CSV!$X:$X,0)-1,0),"")</f>
        <v/>
      </c>
      <c r="H152" t="str">
        <f ca="1">IF(AND(Q152,N152=1),OFFSET(Taostats_CSV!$G$1,MATCH(K152&amp;H$1,Taostats_CSV!$X:$X,0)-1,0),"")</f>
        <v/>
      </c>
      <c r="I152" t="str">
        <f ca="1">IF(AND(LEN(K152)=0,LEN(F152)&gt;0),"Income",IF(AND(O152&gt;0,P152&gt;0,C152&lt;&gt;E152),"Trade",IF(AND(NOT(Q152),Taostats_CSV!F152="fee"),'READ ME'!$C$5,"")))</f>
        <v>Income</v>
      </c>
      <c r="J152" t="str">
        <f ca="1">SUBSTITUTE(IF(LEN(I152)=0,Taostats_CSV!F152&amp;" "&amp;Taostats_CSV!J152,IF(I152="Cost","Extrinsic fee","")),"_"," ")</f>
        <v/>
      </c>
      <c r="K152" t="str">
        <f>TRIM(IF(LEN(Taostats_CSV!I152)&gt;0,Taostats_CSV!I152,""))</f>
        <v/>
      </c>
      <c r="L152">
        <f ca="1">IF(Taostats_CSV!E152&lt;&gt;"TAO",IF(LEN(F152)&gt;0,F152,IF(LEN(D152)&gt;0,D152,0))*Taostats_CSV!P152,"")</f>
        <v>0.66372533016259816</v>
      </c>
      <c r="M152" t="str">
        <f t="shared" ca="1" si="27"/>
        <v>USD</v>
      </c>
      <c r="N152">
        <f>COUNTIF(Taostats_CSV!$X:$X,Taostats_CSV!$I152&amp;N$1)</f>
        <v>0</v>
      </c>
      <c r="O152">
        <f>COUNTIF(Taostats_CSV!$X:$X,Taostats_CSV!$I152&amp;O$1)</f>
        <v>0</v>
      </c>
      <c r="P152">
        <f>COUNTIF(Taostats_CSV!$X:$X,Taostats_CSV!$I152&amp;P$1)</f>
        <v>0</v>
      </c>
      <c r="Q152" t="b">
        <f t="shared" si="28"/>
        <v>0</v>
      </c>
      <c r="R152" t="b">
        <f>IF(LEN(K152)&gt;0,COUNTIF($K$3:K152,K152),FALSE)</f>
        <v>0</v>
      </c>
      <c r="S152" t="b">
        <f>IF(Taostats_CSV!A152=Taostats_CSV!$A$2,TRUE,Taostats_CSV!G152+Taostats_CSV!H152+Taostats_CSV!R152=0)</f>
        <v>0</v>
      </c>
      <c r="T152" t="b">
        <f t="shared" si="29"/>
        <v>1</v>
      </c>
      <c r="U152" t="b" cm="1">
        <f t="array" aca="1" ref="U152" ca="1">AND(T152,OR(O152-N152&gt;1,P152&gt;1,ISERROR(A152:P152)))</f>
        <v>0</v>
      </c>
      <c r="W152" t="e">
        <f>MATCH(K152&amp;$W$2,Taostats_CSV!$X$3:$X$1167,0)</f>
        <v>#N/A</v>
      </c>
      <c r="X152" t="e">
        <f t="shared" ca="1" si="24"/>
        <v>#VALUE!</v>
      </c>
      <c r="Y152">
        <f t="shared" ca="1" si="25"/>
        <v>2.2498234999999998E-2</v>
      </c>
      <c r="Z152" t="e">
        <f t="shared" ca="1" si="26"/>
        <v>#VALUE!</v>
      </c>
    </row>
    <row r="153" spans="1:32" x14ac:dyDescent="0.4">
      <c r="A153" t="str">
        <f>MID(Taostats_CSV!C153,6,2)&amp;"/"&amp;MID(Taostats_CSV!C153,9,2)&amp;"/"&amp;LEFT(Taostats_CSV!C153,4)&amp;" "&amp;MID(Taostats_CSV!C153,12,8)</f>
        <v>04/12/2025 23:59:48</v>
      </c>
      <c r="C153" t="str">
        <f ca="1">IF(Q153,OFFSET(Taostats_CSV!$E$1,MATCH(K153&amp;D$1,Taostats_CSV!$X:$X,0)-1,0),IF(Taostats_CSV!F153="fee",IF(VALUE(Taostats_CSV!G153)&gt;0,Taostats_CSV!E153,""),""))</f>
        <v/>
      </c>
      <c r="D153" t="str">
        <f ca="1">IF(Q153,OFFSET(Taostats_CSV!$G$1,MATCH(K153&amp;D$1,Taostats_CSV!$X:$X,0)-1,0),IF(Taostats_CSV!F153="fee",IF(VALUE(Taostats_CSV!G153)&gt;0,Taostats_CSV!G153,""),""))</f>
        <v/>
      </c>
      <c r="E153" t="str">
        <f ca="1">IF(AND(Q153,P153&gt;0),OFFSET(Taostats_CSV!$E$1,MATCH(K153&amp;F$1,Taostats_CSV!$X:$X,0)-1,0),IF(LEN(F153)&gt;0,Taostats_CSV!E153,""))</f>
        <v>SN4</v>
      </c>
      <c r="F153" t="str">
        <f ca="1">TRIM(IF(AND(Q153,P153&gt;0),OFFSET(Taostats_CSV!$H$1,MATCH(K153&amp;F$1,Taostats_CSV!$X:$X,0)-1,0),IF(LEN(Taostats_CSV!H153)&gt;0,Taostats_CSV!H153,Taostats_CSV!R153)))</f>
        <v>0.016935682</v>
      </c>
      <c r="G153" t="str">
        <f ca="1">IF(AND(Q153,N153=1),OFFSET(Taostats_CSV!$E$1,MATCH(K153&amp;H$1,Taostats_CSV!$X:$X,0)-1,0),"")</f>
        <v/>
      </c>
      <c r="H153" t="str">
        <f ca="1">IF(AND(Q153,N153=1),OFFSET(Taostats_CSV!$G$1,MATCH(K153&amp;H$1,Taostats_CSV!$X:$X,0)-1,0),"")</f>
        <v/>
      </c>
      <c r="I153" t="str">
        <f ca="1">IF(AND(LEN(K153)=0,LEN(F153)&gt;0),"Income",IF(AND(O153&gt;0,P153&gt;0,C153&lt;&gt;E153),"Trade",IF(AND(NOT(Q153),Taostats_CSV!F153="fee"),'READ ME'!$C$5,"")))</f>
        <v>Income</v>
      </c>
      <c r="J153" t="str">
        <f ca="1">SUBSTITUTE(IF(LEN(I153)=0,Taostats_CSV!F153&amp;" "&amp;Taostats_CSV!J153,IF(I153="Cost","Extrinsic fee","")),"_"," ")</f>
        <v/>
      </c>
      <c r="K153" t="str">
        <f>TRIM(IF(LEN(Taostats_CSV!I153)&gt;0,Taostats_CSV!I153,""))</f>
        <v/>
      </c>
      <c r="L153">
        <f ca="1">IF(Taostats_CSV!E153&lt;&gt;"TAO",IF(LEN(F153)&gt;0,F153,IF(LEN(D153)&gt;0,D153,0))*Taostats_CSV!P153,"")</f>
        <v>0.83001210637578127</v>
      </c>
      <c r="M153" t="str">
        <f t="shared" ca="1" si="27"/>
        <v>USD</v>
      </c>
      <c r="N153">
        <f>COUNTIF(Taostats_CSV!$X:$X,Taostats_CSV!$I153&amp;N$1)</f>
        <v>0</v>
      </c>
      <c r="O153">
        <f>COUNTIF(Taostats_CSV!$X:$X,Taostats_CSV!$I153&amp;O$1)</f>
        <v>0</v>
      </c>
      <c r="P153">
        <f>COUNTIF(Taostats_CSV!$X:$X,Taostats_CSV!$I153&amp;P$1)</f>
        <v>0</v>
      </c>
      <c r="Q153" t="b">
        <f t="shared" si="28"/>
        <v>0</v>
      </c>
      <c r="R153" t="b">
        <f>IF(LEN(K153)&gt;0,COUNTIF($K$3:K153,K153),FALSE)</f>
        <v>0</v>
      </c>
      <c r="S153" t="b">
        <f>IF(Taostats_CSV!A153=Taostats_CSV!$A$2,TRUE,Taostats_CSV!G153+Taostats_CSV!H153+Taostats_CSV!R153=0)</f>
        <v>0</v>
      </c>
      <c r="T153" t="b">
        <f t="shared" si="29"/>
        <v>1</v>
      </c>
      <c r="U153" t="b" cm="1">
        <f t="array" aca="1" ref="U153" ca="1">AND(T153,OR(O153-N153&gt;1,P153&gt;1,ISERROR(A153:P153)))</f>
        <v>0</v>
      </c>
      <c r="W153" t="e">
        <f>MATCH(K153&amp;$W$2,Taostats_CSV!$X$3:$X$1167,0)</f>
        <v>#N/A</v>
      </c>
      <c r="X153" t="e">
        <f t="shared" ca="1" si="24"/>
        <v>#VALUE!</v>
      </c>
      <c r="Y153">
        <f t="shared" ca="1" si="25"/>
        <v>1.6935682000000001E-2</v>
      </c>
      <c r="Z153" t="e">
        <f t="shared" ca="1" si="26"/>
        <v>#VALUE!</v>
      </c>
    </row>
    <row r="154" spans="1:32" x14ac:dyDescent="0.4">
      <c r="A154" t="str">
        <f>MID(Taostats_CSV!C154,6,2)&amp;"/"&amp;MID(Taostats_CSV!C154,9,2)&amp;"/"&amp;LEFT(Taostats_CSV!C154,4)&amp;" "&amp;MID(Taostats_CSV!C154,12,8)</f>
        <v>04/12/2025 23:59:48</v>
      </c>
      <c r="C154" t="str">
        <f ca="1">IF(Q154,OFFSET(Taostats_CSV!$E$1,MATCH(K154&amp;D$1,Taostats_CSV!$X:$X,0)-1,0),IF(Taostats_CSV!F154="fee",IF(VALUE(Taostats_CSV!G154)&gt;0,Taostats_CSV!E154,""),""))</f>
        <v/>
      </c>
      <c r="D154" t="str">
        <f ca="1">IF(Q154,OFFSET(Taostats_CSV!$G$1,MATCH(K154&amp;D$1,Taostats_CSV!$X:$X,0)-1,0),IF(Taostats_CSV!F154="fee",IF(VALUE(Taostats_CSV!G154)&gt;0,Taostats_CSV!G154,""),""))</f>
        <v/>
      </c>
      <c r="E154" t="str">
        <f ca="1">IF(AND(Q154,P154&gt;0),OFFSET(Taostats_CSV!$E$1,MATCH(K154&amp;F$1,Taostats_CSV!$X:$X,0)-1,0),IF(LEN(F154)&gt;0,Taostats_CSV!E154,""))</f>
        <v>SN56</v>
      </c>
      <c r="F154" t="str">
        <f ca="1">TRIM(IF(AND(Q154,P154&gt;0),OFFSET(Taostats_CSV!$H$1,MATCH(K154&amp;F$1,Taostats_CSV!$X:$X,0)-1,0),IF(LEN(Taostats_CSV!H154)&gt;0,Taostats_CSV!H154,Taostats_CSV!R154)))</f>
        <v>0.013650475</v>
      </c>
      <c r="G154" t="str">
        <f ca="1">IF(AND(Q154,N154=1),OFFSET(Taostats_CSV!$E$1,MATCH(K154&amp;H$1,Taostats_CSV!$X:$X,0)-1,0),"")</f>
        <v/>
      </c>
      <c r="H154" t="str">
        <f ca="1">IF(AND(Q154,N154=1),OFFSET(Taostats_CSV!$G$1,MATCH(K154&amp;H$1,Taostats_CSV!$X:$X,0)-1,0),"")</f>
        <v/>
      </c>
      <c r="I154" t="str">
        <f ca="1">IF(AND(LEN(K154)=0,LEN(F154)&gt;0),"Income",IF(AND(O154&gt;0,P154&gt;0,C154&lt;&gt;E154),"Trade",IF(AND(NOT(Q154),Taostats_CSV!F154="fee"),'READ ME'!$C$5,"")))</f>
        <v>Income</v>
      </c>
      <c r="J154" t="str">
        <f ca="1">SUBSTITUTE(IF(LEN(I154)=0,Taostats_CSV!F154&amp;" "&amp;Taostats_CSV!J154,IF(I154="Cost","Extrinsic fee","")),"_"," ")</f>
        <v/>
      </c>
      <c r="K154" t="str">
        <f>TRIM(IF(LEN(Taostats_CSV!I154)&gt;0,Taostats_CSV!I154,""))</f>
        <v/>
      </c>
      <c r="L154">
        <f ca="1">IF(Taostats_CSV!E154&lt;&gt;"TAO",IF(LEN(F154)&gt;0,F154,IF(LEN(D154)&gt;0,D154,0))*Taostats_CSV!P154,"")</f>
        <v>0.59792344257260366</v>
      </c>
      <c r="M154" t="str">
        <f t="shared" ca="1" si="27"/>
        <v>USD</v>
      </c>
      <c r="N154">
        <f>COUNTIF(Taostats_CSV!$X:$X,Taostats_CSV!$I154&amp;N$1)</f>
        <v>0</v>
      </c>
      <c r="O154">
        <f>COUNTIF(Taostats_CSV!$X:$X,Taostats_CSV!$I154&amp;O$1)</f>
        <v>0</v>
      </c>
      <c r="P154">
        <f>COUNTIF(Taostats_CSV!$X:$X,Taostats_CSV!$I154&amp;P$1)</f>
        <v>0</v>
      </c>
      <c r="Q154" t="b">
        <f t="shared" si="28"/>
        <v>0</v>
      </c>
      <c r="R154" t="b">
        <f>IF(LEN(K154)&gt;0,COUNTIF($K$3:K154,K154),FALSE)</f>
        <v>0</v>
      </c>
      <c r="S154" t="b">
        <f>IF(Taostats_CSV!A154=Taostats_CSV!$A$2,TRUE,Taostats_CSV!G154+Taostats_CSV!H154+Taostats_CSV!R154=0)</f>
        <v>0</v>
      </c>
      <c r="T154" t="b">
        <f t="shared" si="29"/>
        <v>1</v>
      </c>
      <c r="U154" t="b" cm="1">
        <f t="array" aca="1" ref="U154" ca="1">AND(T154,OR(O154-N154&gt;1,P154&gt;1,ISERROR(A154:P154)))</f>
        <v>0</v>
      </c>
      <c r="W154" t="e">
        <f>MATCH(K154&amp;$W$2,Taostats_CSV!$X$3:$X$1167,0)</f>
        <v>#N/A</v>
      </c>
      <c r="X154" t="e">
        <f t="shared" ca="1" si="24"/>
        <v>#VALUE!</v>
      </c>
      <c r="Y154">
        <f t="shared" ca="1" si="25"/>
        <v>1.3650475E-2</v>
      </c>
      <c r="Z154" t="e">
        <f t="shared" ca="1" si="26"/>
        <v>#VALUE!</v>
      </c>
    </row>
    <row r="155" spans="1:32" x14ac:dyDescent="0.4">
      <c r="A155" t="str">
        <f>MID(Taostats_CSV!C155,6,2)&amp;"/"&amp;MID(Taostats_CSV!C155,9,2)&amp;"/"&amp;LEFT(Taostats_CSV!C155,4)&amp;" "&amp;MID(Taostats_CSV!C155,12,8)</f>
        <v>04/12/2025 23:59:48</v>
      </c>
      <c r="C155" t="str">
        <f ca="1">IF(Q155,OFFSET(Taostats_CSV!$E$1,MATCH(K155&amp;D$1,Taostats_CSV!$X:$X,0)-1,0),IF(Taostats_CSV!F155="fee",IF(VALUE(Taostats_CSV!G155)&gt;0,Taostats_CSV!E155,""),""))</f>
        <v/>
      </c>
      <c r="D155" t="str">
        <f ca="1">IF(Q155,OFFSET(Taostats_CSV!$G$1,MATCH(K155&amp;D$1,Taostats_CSV!$X:$X,0)-1,0),IF(Taostats_CSV!F155="fee",IF(VALUE(Taostats_CSV!G155)&gt;0,Taostats_CSV!G155,""),""))</f>
        <v/>
      </c>
      <c r="E155" t="str">
        <f ca="1">IF(AND(Q155,P155&gt;0),OFFSET(Taostats_CSV!$E$1,MATCH(K155&amp;F$1,Taostats_CSV!$X:$X,0)-1,0),IF(LEN(F155)&gt;0,Taostats_CSV!E155,""))</f>
        <v>SN64</v>
      </c>
      <c r="F155" t="str">
        <f ca="1">TRIM(IF(AND(Q155,P155&gt;0),OFFSET(Taostats_CSV!$H$1,MATCH(K155&amp;F$1,Taostats_CSV!$X:$X,0)-1,0),IF(LEN(Taostats_CSV!H155)&gt;0,Taostats_CSV!H155,Taostats_CSV!R155)))</f>
        <v>0.007530284</v>
      </c>
      <c r="G155" t="str">
        <f ca="1">IF(AND(Q155,N155=1),OFFSET(Taostats_CSV!$E$1,MATCH(K155&amp;H$1,Taostats_CSV!$X:$X,0)-1,0),"")</f>
        <v/>
      </c>
      <c r="H155" t="str">
        <f ca="1">IF(AND(Q155,N155=1),OFFSET(Taostats_CSV!$G$1,MATCH(K155&amp;H$1,Taostats_CSV!$X:$X,0)-1,0),"")</f>
        <v/>
      </c>
      <c r="I155" t="str">
        <f ca="1">IF(AND(LEN(K155)=0,LEN(F155)&gt;0),"Income",IF(AND(O155&gt;0,P155&gt;0,C155&lt;&gt;E155),"Trade",IF(AND(NOT(Q155),Taostats_CSV!F155="fee"),'READ ME'!$C$5,"")))</f>
        <v>Income</v>
      </c>
      <c r="J155" t="str">
        <f ca="1">SUBSTITUTE(IF(LEN(I155)=0,Taostats_CSV!F155&amp;" "&amp;Taostats_CSV!J155,IF(I155="Cost","Extrinsic fee","")),"_"," ")</f>
        <v/>
      </c>
      <c r="K155" t="str">
        <f>TRIM(IF(LEN(Taostats_CSV!I155)&gt;0,Taostats_CSV!I155,""))</f>
        <v/>
      </c>
      <c r="L155">
        <f ca="1">IF(Taostats_CSV!E155&lt;&gt;"TAO",IF(LEN(F155)&gt;0,F155,IF(LEN(D155)&gt;0,D155,0))*Taostats_CSV!P155,"")</f>
        <v>0.692993108794836</v>
      </c>
      <c r="M155" t="str">
        <f t="shared" ca="1" si="27"/>
        <v>USD</v>
      </c>
      <c r="N155">
        <f>COUNTIF(Taostats_CSV!$X:$X,Taostats_CSV!$I155&amp;N$1)</f>
        <v>0</v>
      </c>
      <c r="O155">
        <f>COUNTIF(Taostats_CSV!$X:$X,Taostats_CSV!$I155&amp;O$1)</f>
        <v>0</v>
      </c>
      <c r="P155">
        <f>COUNTIF(Taostats_CSV!$X:$X,Taostats_CSV!$I155&amp;P$1)</f>
        <v>0</v>
      </c>
      <c r="Q155" t="b">
        <f t="shared" si="28"/>
        <v>0</v>
      </c>
      <c r="R155" t="b">
        <f>IF(LEN(K155)&gt;0,COUNTIF($K$3:K155,K155),FALSE)</f>
        <v>0</v>
      </c>
      <c r="S155" t="b">
        <f>IF(Taostats_CSV!A155=Taostats_CSV!$A$2,TRUE,Taostats_CSV!G155+Taostats_CSV!H155+Taostats_CSV!R155=0)</f>
        <v>0</v>
      </c>
      <c r="T155" t="b">
        <f t="shared" si="29"/>
        <v>1</v>
      </c>
      <c r="U155" t="b" cm="1">
        <f t="array" aca="1" ref="U155" ca="1">AND(T155,OR(O155-N155&gt;1,P155&gt;1,ISERROR(A155:P155)))</f>
        <v>0</v>
      </c>
      <c r="W155" t="e">
        <f>MATCH(K155&amp;$W$2,Taostats_CSV!$X$3:$X$1167,0)</f>
        <v>#N/A</v>
      </c>
      <c r="X155" t="e">
        <f t="shared" ca="1" si="24"/>
        <v>#VALUE!</v>
      </c>
      <c r="Y155">
        <f t="shared" ca="1" si="25"/>
        <v>7.5302839999999999E-3</v>
      </c>
      <c r="Z155" t="e">
        <f t="shared" ca="1" si="26"/>
        <v>#VALUE!</v>
      </c>
    </row>
    <row r="156" spans="1:32" x14ac:dyDescent="0.4">
      <c r="A156" t="str">
        <f>MID(Taostats_CSV!C156,6,2)&amp;"/"&amp;MID(Taostats_CSV!C156,9,2)&amp;"/"&amp;LEFT(Taostats_CSV!C156,4)&amp;" "&amp;MID(Taostats_CSV!C156,12,8)</f>
        <v>04/12/2025 23:59:48</v>
      </c>
      <c r="C156" t="str">
        <f ca="1">IF(Q156,OFFSET(Taostats_CSV!$E$1,MATCH(K156&amp;D$1,Taostats_CSV!$X:$X,0)-1,0),IF(Taostats_CSV!F156="fee",IF(VALUE(Taostats_CSV!G156)&gt;0,Taostats_CSV!E156,""),""))</f>
        <v/>
      </c>
      <c r="D156" t="str">
        <f ca="1">IF(Q156,OFFSET(Taostats_CSV!$G$1,MATCH(K156&amp;D$1,Taostats_CSV!$X:$X,0)-1,0),IF(Taostats_CSV!F156="fee",IF(VALUE(Taostats_CSV!G156)&gt;0,Taostats_CSV!G156,""),""))</f>
        <v/>
      </c>
      <c r="E156" t="str">
        <f ca="1">IF(AND(Q156,P156&gt;0),OFFSET(Taostats_CSV!$E$1,MATCH(K156&amp;F$1,Taostats_CSV!$X:$X,0)-1,0),IF(LEN(F156)&gt;0,Taostats_CSV!E156,""))</f>
        <v>TAO</v>
      </c>
      <c r="F156" t="str">
        <f ca="1">TRIM(IF(AND(Q156,P156&gt;0),OFFSET(Taostats_CSV!$H$1,MATCH(K156&amp;F$1,Taostats_CSV!$X:$X,0)-1,0),IF(LEN(Taostats_CSV!H156)&gt;0,Taostats_CSV!H156,Taostats_CSV!R156)))</f>
        <v>0.06308408</v>
      </c>
      <c r="G156" t="str">
        <f ca="1">IF(AND(Q156,N156=1),OFFSET(Taostats_CSV!$E$1,MATCH(K156&amp;H$1,Taostats_CSV!$X:$X,0)-1,0),"")</f>
        <v/>
      </c>
      <c r="H156" t="str">
        <f ca="1">IF(AND(Q156,N156=1),OFFSET(Taostats_CSV!$G$1,MATCH(K156&amp;H$1,Taostats_CSV!$X:$X,0)-1,0),"")</f>
        <v/>
      </c>
      <c r="I156" t="str">
        <f ca="1">IF(AND(LEN(K156)=0,LEN(F156)&gt;0),"Income",IF(AND(O156&gt;0,P156&gt;0,C156&lt;&gt;E156),"Trade",IF(AND(NOT(Q156),Taostats_CSV!F156="fee"),'READ ME'!$C$5,"")))</f>
        <v>Income</v>
      </c>
      <c r="J156" t="str">
        <f ca="1">SUBSTITUTE(IF(LEN(I156)=0,Taostats_CSV!F156&amp;" "&amp;Taostats_CSV!J156,IF(I156="Cost","Extrinsic fee","")),"_"," ")</f>
        <v/>
      </c>
      <c r="K156" t="str">
        <f>TRIM(IF(LEN(Taostats_CSV!I156)&gt;0,Taostats_CSV!I156,""))</f>
        <v/>
      </c>
      <c r="L156" t="str">
        <f>IF(Taostats_CSV!E156&lt;&gt;"TAO",IF(LEN(F156)&gt;0,F156,IF(LEN(D156)&gt;0,D156,0))*Taostats_CSV!P156,"")</f>
        <v/>
      </c>
      <c r="M156" t="str">
        <f t="shared" si="27"/>
        <v/>
      </c>
      <c r="N156">
        <f>COUNTIF(Taostats_CSV!$X:$X,Taostats_CSV!$I156&amp;N$1)</f>
        <v>0</v>
      </c>
      <c r="O156">
        <f>COUNTIF(Taostats_CSV!$X:$X,Taostats_CSV!$I156&amp;O$1)</f>
        <v>0</v>
      </c>
      <c r="P156">
        <f>COUNTIF(Taostats_CSV!$X:$X,Taostats_CSV!$I156&amp;P$1)</f>
        <v>0</v>
      </c>
      <c r="Q156" t="b">
        <f t="shared" si="28"/>
        <v>0</v>
      </c>
      <c r="R156" t="b">
        <f>IF(LEN(K156)&gt;0,COUNTIF($K$3:K156,K156),FALSE)</f>
        <v>0</v>
      </c>
      <c r="S156" t="b">
        <f>IF(Taostats_CSV!A156=Taostats_CSV!$A$2,TRUE,Taostats_CSV!G156+Taostats_CSV!H156+Taostats_CSV!R156=0)</f>
        <v>0</v>
      </c>
      <c r="T156" t="b">
        <f t="shared" si="29"/>
        <v>1</v>
      </c>
      <c r="U156" t="b" cm="1">
        <f t="array" aca="1" ref="U156" ca="1">AND(T156,OR(O156-N156&gt;1,P156&gt;1,ISERROR(A156:P156)))</f>
        <v>0</v>
      </c>
      <c r="W156" t="e">
        <f>MATCH(K156&amp;$W$2,Taostats_CSV!$X$3:$X$1167,0)</f>
        <v>#N/A</v>
      </c>
      <c r="X156" t="e">
        <f t="shared" ca="1" si="24"/>
        <v>#VALUE!</v>
      </c>
      <c r="Y156">
        <f t="shared" ca="1" si="25"/>
        <v>6.3084080000000001E-2</v>
      </c>
      <c r="Z156" t="e">
        <f t="shared" ca="1" si="26"/>
        <v>#VALUE!</v>
      </c>
    </row>
    <row r="157" spans="1:32" x14ac:dyDescent="0.4">
      <c r="A157" t="str">
        <f>MID(Taostats_CSV!C157,6,2)&amp;"/"&amp;MID(Taostats_CSV!C157,9,2)&amp;"/"&amp;LEFT(Taostats_CSV!C157,4)&amp;" "&amp;MID(Taostats_CSV!C157,12,8)</f>
        <v>04/13/2025 23:59:48</v>
      </c>
      <c r="C157" t="str">
        <f ca="1">IF(Q157,OFFSET(Taostats_CSV!$E$1,MATCH(K157&amp;D$1,Taostats_CSV!$X:$X,0)-1,0),IF(Taostats_CSV!F157="fee",IF(VALUE(Taostats_CSV!G157)&gt;0,Taostats_CSV!E157,""),""))</f>
        <v/>
      </c>
      <c r="D157" t="str">
        <f ca="1">IF(Q157,OFFSET(Taostats_CSV!$G$1,MATCH(K157&amp;D$1,Taostats_CSV!$X:$X,0)-1,0),IF(Taostats_CSV!F157="fee",IF(VALUE(Taostats_CSV!G157)&gt;0,Taostats_CSV!G157,""),""))</f>
        <v/>
      </c>
      <c r="E157" t="str">
        <f ca="1">IF(AND(Q157,P157&gt;0),OFFSET(Taostats_CSV!$E$1,MATCH(K157&amp;F$1,Taostats_CSV!$X:$X,0)-1,0),IF(LEN(F157)&gt;0,Taostats_CSV!E157,""))</f>
        <v>SN3</v>
      </c>
      <c r="F157" t="str">
        <f ca="1">TRIM(IF(AND(Q157,P157&gt;0),OFFSET(Taostats_CSV!$H$1,MATCH(K157&amp;F$1,Taostats_CSV!$X:$X,0)-1,0),IF(LEN(Taostats_CSV!H157)&gt;0,Taostats_CSV!H157,Taostats_CSV!R157)))</f>
        <v>0.440601659</v>
      </c>
      <c r="G157" t="str">
        <f ca="1">IF(AND(Q157,N157=1),OFFSET(Taostats_CSV!$E$1,MATCH(K157&amp;H$1,Taostats_CSV!$X:$X,0)-1,0),"")</f>
        <v/>
      </c>
      <c r="H157" t="str">
        <f ca="1">IF(AND(Q157,N157=1),OFFSET(Taostats_CSV!$G$1,MATCH(K157&amp;H$1,Taostats_CSV!$X:$X,0)-1,0),"")</f>
        <v/>
      </c>
      <c r="I157" t="str">
        <f ca="1">IF(AND(LEN(K157)=0,LEN(F157)&gt;0),"Income",IF(AND(O157&gt;0,P157&gt;0,C157&lt;&gt;E157),"Trade",IF(AND(NOT(Q157),Taostats_CSV!F157="fee"),'READ ME'!$C$5,"")))</f>
        <v>Income</v>
      </c>
      <c r="J157" t="str">
        <f ca="1">SUBSTITUTE(IF(LEN(I157)=0,Taostats_CSV!F157&amp;" "&amp;Taostats_CSV!J157,IF(I157="Cost","Extrinsic fee","")),"_"," ")</f>
        <v/>
      </c>
      <c r="K157" t="str">
        <f>TRIM(IF(LEN(Taostats_CSV!I157)&gt;0,Taostats_CSV!I157,""))</f>
        <v/>
      </c>
      <c r="L157">
        <f ca="1">IF(Taostats_CSV!E157&lt;&gt;"TAO",IF(LEN(F157)&gt;0,F157,IF(LEN(D157)&gt;0,D157,0))*Taostats_CSV!P157,"")</f>
        <v>14.400975683034549</v>
      </c>
      <c r="M157" t="str">
        <f t="shared" ca="1" si="27"/>
        <v>USD</v>
      </c>
      <c r="N157">
        <f>COUNTIF(Taostats_CSV!$X:$X,Taostats_CSV!$I157&amp;N$1)</f>
        <v>0</v>
      </c>
      <c r="O157">
        <f>COUNTIF(Taostats_CSV!$X:$X,Taostats_CSV!$I157&amp;O$1)</f>
        <v>0</v>
      </c>
      <c r="P157">
        <f>COUNTIF(Taostats_CSV!$X:$X,Taostats_CSV!$I157&amp;P$1)</f>
        <v>0</v>
      </c>
      <c r="Q157" t="b">
        <f t="shared" si="28"/>
        <v>0</v>
      </c>
      <c r="R157" t="b">
        <f>IF(LEN(K157)&gt;0,COUNTIF($K$3:K157,K157),FALSE)</f>
        <v>0</v>
      </c>
      <c r="S157" t="b">
        <f>IF(Taostats_CSV!A157=Taostats_CSV!$A$2,TRUE,Taostats_CSV!G157+Taostats_CSV!H157+Taostats_CSV!R157=0)</f>
        <v>0</v>
      </c>
      <c r="T157" t="b">
        <f t="shared" si="29"/>
        <v>1</v>
      </c>
      <c r="U157" t="b" cm="1">
        <f t="array" aca="1" ref="U157" ca="1">AND(T157,OR(O157-N157&gt;1,P157&gt;1,ISERROR(A157:P157)))</f>
        <v>0</v>
      </c>
      <c r="W157" t="e">
        <f>MATCH(K157&amp;$W$2,Taostats_CSV!$X$3:$X$1167,0)</f>
        <v>#N/A</v>
      </c>
      <c r="X157" t="e">
        <f t="shared" ca="1" si="24"/>
        <v>#VALUE!</v>
      </c>
      <c r="Y157">
        <f t="shared" ca="1" si="25"/>
        <v>0.44060165899999998</v>
      </c>
      <c r="Z157" t="e">
        <f t="shared" ca="1" si="26"/>
        <v>#VALUE!</v>
      </c>
    </row>
    <row r="158" spans="1:32" x14ac:dyDescent="0.4">
      <c r="A158" t="str">
        <f>MID(Taostats_CSV!C158,6,2)&amp;"/"&amp;MID(Taostats_CSV!C158,9,2)&amp;"/"&amp;LEFT(Taostats_CSV!C158,4)&amp;" "&amp;MID(Taostats_CSV!C158,12,8)</f>
        <v>04/13/2025 23:59:48</v>
      </c>
      <c r="C158" t="str">
        <f ca="1">IF(Q158,OFFSET(Taostats_CSV!$E$1,MATCH(K158&amp;D$1,Taostats_CSV!$X:$X,0)-1,0),IF(Taostats_CSV!F158="fee",IF(VALUE(Taostats_CSV!G158)&gt;0,Taostats_CSV!E158,""),""))</f>
        <v/>
      </c>
      <c r="D158" t="str">
        <f ca="1">IF(Q158,OFFSET(Taostats_CSV!$G$1,MATCH(K158&amp;D$1,Taostats_CSV!$X:$X,0)-1,0),IF(Taostats_CSV!F158="fee",IF(VALUE(Taostats_CSV!G158)&gt;0,Taostats_CSV!G158,""),""))</f>
        <v/>
      </c>
      <c r="E158" t="str">
        <f ca="1">IF(AND(Q158,P158&gt;0),OFFSET(Taostats_CSV!$E$1,MATCH(K158&amp;F$1,Taostats_CSV!$X:$X,0)-1,0),IF(LEN(F158)&gt;0,Taostats_CSV!E158,""))</f>
        <v>SN4</v>
      </c>
      <c r="F158" t="str">
        <f ca="1">TRIM(IF(AND(Q158,P158&gt;0),OFFSET(Taostats_CSV!$H$1,MATCH(K158&amp;F$1,Taostats_CSV!$X:$X,0)-1,0),IF(LEN(Taostats_CSV!H158)&gt;0,Taostats_CSV!H158,Taostats_CSV!R158)))</f>
        <v>0.35298639</v>
      </c>
      <c r="G158" t="str">
        <f ca="1">IF(AND(Q158,N158=1),OFFSET(Taostats_CSV!$E$1,MATCH(K158&amp;H$1,Taostats_CSV!$X:$X,0)-1,0),"")</f>
        <v/>
      </c>
      <c r="H158" t="str">
        <f ca="1">IF(AND(Q158,N158=1),OFFSET(Taostats_CSV!$G$1,MATCH(K158&amp;H$1,Taostats_CSV!$X:$X,0)-1,0),"")</f>
        <v/>
      </c>
      <c r="I158" t="str">
        <f ca="1">IF(AND(LEN(K158)=0,LEN(F158)&gt;0),"Income",IF(AND(O158&gt;0,P158&gt;0,C158&lt;&gt;E158),"Trade",IF(AND(NOT(Q158),Taostats_CSV!F158="fee"),'READ ME'!$C$5,"")))</f>
        <v>Income</v>
      </c>
      <c r="J158" t="str">
        <f ca="1">SUBSTITUTE(IF(LEN(I158)=0,Taostats_CSV!F158&amp;" "&amp;Taostats_CSV!J158,IF(I158="Cost","Extrinsic fee","")),"_"," ")</f>
        <v/>
      </c>
      <c r="K158" t="str">
        <f>TRIM(IF(LEN(Taostats_CSV!I158)&gt;0,Taostats_CSV!I158,""))</f>
        <v/>
      </c>
      <c r="L158">
        <f ca="1">IF(Taostats_CSV!E158&lt;&gt;"TAO",IF(LEN(F158)&gt;0,F158,IF(LEN(D158)&gt;0,D158,0))*Taostats_CSV!P158,"")</f>
        <v>17.837973321066791</v>
      </c>
      <c r="M158" t="str">
        <f t="shared" ca="1" si="27"/>
        <v>USD</v>
      </c>
      <c r="N158">
        <f>COUNTIF(Taostats_CSV!$X:$X,Taostats_CSV!$I158&amp;N$1)</f>
        <v>0</v>
      </c>
      <c r="O158">
        <f>COUNTIF(Taostats_CSV!$X:$X,Taostats_CSV!$I158&amp;O$1)</f>
        <v>0</v>
      </c>
      <c r="P158">
        <f>COUNTIF(Taostats_CSV!$X:$X,Taostats_CSV!$I158&amp;P$1)</f>
        <v>0</v>
      </c>
      <c r="Q158" t="b">
        <f t="shared" si="28"/>
        <v>0</v>
      </c>
      <c r="R158" t="b">
        <f>IF(LEN(K158)&gt;0,COUNTIF($K$3:K158,K158),FALSE)</f>
        <v>0</v>
      </c>
      <c r="S158" t="b">
        <f>IF(Taostats_CSV!A158=Taostats_CSV!$A$2,TRUE,Taostats_CSV!G158+Taostats_CSV!H158+Taostats_CSV!R158=0)</f>
        <v>0</v>
      </c>
      <c r="T158" t="b">
        <f t="shared" si="29"/>
        <v>1</v>
      </c>
      <c r="U158" t="b" cm="1">
        <f t="array" aca="1" ref="U158" ca="1">AND(T158,OR(O158-N158&gt;1,P158&gt;1,ISERROR(A158:P158)))</f>
        <v>0</v>
      </c>
      <c r="W158" t="e">
        <f>MATCH(K158&amp;$W$2,Taostats_CSV!$X$3:$X$1167,0)</f>
        <v>#N/A</v>
      </c>
      <c r="X158" t="e">
        <f t="shared" ca="1" si="24"/>
        <v>#VALUE!</v>
      </c>
      <c r="Y158">
        <f t="shared" ca="1" si="25"/>
        <v>0.35298638999999998</v>
      </c>
      <c r="Z158" t="e">
        <f t="shared" ca="1" si="26"/>
        <v>#VALUE!</v>
      </c>
      <c r="AF158">
        <f>TYPE(Taostats_CSV!R155)</f>
        <v>1</v>
      </c>
    </row>
    <row r="159" spans="1:32" x14ac:dyDescent="0.4">
      <c r="A159" t="str">
        <f>MID(Taostats_CSV!C159,6,2)&amp;"/"&amp;MID(Taostats_CSV!C159,9,2)&amp;"/"&amp;LEFT(Taostats_CSV!C159,4)&amp;" "&amp;MID(Taostats_CSV!C159,12,8)</f>
        <v>04/13/2025 23:59:48</v>
      </c>
      <c r="C159" t="str">
        <f ca="1">IF(Q159,OFFSET(Taostats_CSV!$E$1,MATCH(K159&amp;D$1,Taostats_CSV!$X:$X,0)-1,0),IF(Taostats_CSV!F159="fee",IF(VALUE(Taostats_CSV!G159)&gt;0,Taostats_CSV!E159,""),""))</f>
        <v/>
      </c>
      <c r="D159" t="str">
        <f ca="1">IF(Q159,OFFSET(Taostats_CSV!$G$1,MATCH(K159&amp;D$1,Taostats_CSV!$X:$X,0)-1,0),IF(Taostats_CSV!F159="fee",IF(VALUE(Taostats_CSV!G159)&gt;0,Taostats_CSV!G159,""),""))</f>
        <v/>
      </c>
      <c r="E159" t="str">
        <f ca="1">IF(AND(Q159,P159&gt;0),OFFSET(Taostats_CSV!$E$1,MATCH(K159&amp;F$1,Taostats_CSV!$X:$X,0)-1,0),IF(LEN(F159)&gt;0,Taostats_CSV!E159,""))</f>
        <v>SN56</v>
      </c>
      <c r="F159" t="str">
        <f ca="1">TRIM(IF(AND(Q159,P159&gt;0),OFFSET(Taostats_CSV!$H$1,MATCH(K159&amp;F$1,Taostats_CSV!$X:$X,0)-1,0),IF(LEN(Taostats_CSV!H159)&gt;0,Taostats_CSV!H159,Taostats_CSV!R159)))</f>
        <v>0.270119595</v>
      </c>
      <c r="G159" t="str">
        <f ca="1">IF(AND(Q159,N159=1),OFFSET(Taostats_CSV!$E$1,MATCH(K159&amp;H$1,Taostats_CSV!$X:$X,0)-1,0),"")</f>
        <v/>
      </c>
      <c r="H159" t="str">
        <f ca="1">IF(AND(Q159,N159=1),OFFSET(Taostats_CSV!$G$1,MATCH(K159&amp;H$1,Taostats_CSV!$X:$X,0)-1,0),"")</f>
        <v/>
      </c>
      <c r="I159" t="str">
        <f ca="1">IF(AND(LEN(K159)=0,LEN(F159)&gt;0),"Income",IF(AND(O159&gt;0,P159&gt;0,C159&lt;&gt;E159),"Trade",IF(AND(NOT(Q159),Taostats_CSV!F159="fee"),'READ ME'!$C$5,"")))</f>
        <v>Income</v>
      </c>
      <c r="J159" t="str">
        <f ca="1">SUBSTITUTE(IF(LEN(I159)=0,Taostats_CSV!F159&amp;" "&amp;Taostats_CSV!J159,IF(I159="Cost","Extrinsic fee","")),"_"," ")</f>
        <v/>
      </c>
      <c r="K159" t="str">
        <f>TRIM(IF(LEN(Taostats_CSV!I159)&gt;0,Taostats_CSV!I159,""))</f>
        <v/>
      </c>
      <c r="L159">
        <f ca="1">IF(Taostats_CSV!E159&lt;&gt;"TAO",IF(LEN(F159)&gt;0,F159,IF(LEN(D159)&gt;0,D159,0))*Taostats_CSV!P159,"")</f>
        <v>14.226943669216521</v>
      </c>
      <c r="M159" t="str">
        <f t="shared" ca="1" si="27"/>
        <v>USD</v>
      </c>
      <c r="N159">
        <f>COUNTIF(Taostats_CSV!$X:$X,Taostats_CSV!$I159&amp;N$1)</f>
        <v>0</v>
      </c>
      <c r="O159">
        <f>COUNTIF(Taostats_CSV!$X:$X,Taostats_CSV!$I159&amp;O$1)</f>
        <v>0</v>
      </c>
      <c r="P159">
        <f>COUNTIF(Taostats_CSV!$X:$X,Taostats_CSV!$I159&amp;P$1)</f>
        <v>0</v>
      </c>
      <c r="Q159" t="b">
        <f t="shared" si="28"/>
        <v>0</v>
      </c>
      <c r="R159" t="b">
        <f>IF(LEN(K159)&gt;0,COUNTIF($K$3:K159,K159),FALSE)</f>
        <v>0</v>
      </c>
      <c r="S159" t="b">
        <f>IF(Taostats_CSV!A159=Taostats_CSV!$A$2,TRUE,Taostats_CSV!G159+Taostats_CSV!H159+Taostats_CSV!R159=0)</f>
        <v>0</v>
      </c>
      <c r="T159" t="b">
        <f t="shared" si="29"/>
        <v>1</v>
      </c>
      <c r="U159" t="b" cm="1">
        <f t="array" aca="1" ref="U159" ca="1">AND(T159,OR(O159-N159&gt;1,P159&gt;1,ISERROR(A159:P159)))</f>
        <v>0</v>
      </c>
      <c r="W159" t="e">
        <f>MATCH(K159&amp;$W$2,Taostats_CSV!$X$3:$X$1167,0)</f>
        <v>#N/A</v>
      </c>
      <c r="X159" t="e">
        <f t="shared" ca="1" si="24"/>
        <v>#VALUE!</v>
      </c>
      <c r="Y159">
        <f t="shared" ca="1" si="25"/>
        <v>0.27011959499999999</v>
      </c>
      <c r="Z159" t="e">
        <f t="shared" ca="1" si="26"/>
        <v>#VALUE!</v>
      </c>
      <c r="AF159">
        <f>TYPE(Taostats_CSV!R156)</f>
        <v>1</v>
      </c>
    </row>
    <row r="160" spans="1:32" x14ac:dyDescent="0.4">
      <c r="A160" t="str">
        <f>MID(Taostats_CSV!C160,6,2)&amp;"/"&amp;MID(Taostats_CSV!C160,9,2)&amp;"/"&amp;LEFT(Taostats_CSV!C160,4)&amp;" "&amp;MID(Taostats_CSV!C160,12,8)</f>
        <v>04/13/2025 23:59:48</v>
      </c>
      <c r="C160" t="str">
        <f ca="1">IF(Q160,OFFSET(Taostats_CSV!$E$1,MATCH(K160&amp;D$1,Taostats_CSV!$X:$X,0)-1,0),IF(Taostats_CSV!F160="fee",IF(VALUE(Taostats_CSV!G160)&gt;0,Taostats_CSV!E160,""),""))</f>
        <v/>
      </c>
      <c r="D160" t="str">
        <f ca="1">IF(Q160,OFFSET(Taostats_CSV!$G$1,MATCH(K160&amp;D$1,Taostats_CSV!$X:$X,0)-1,0),IF(Taostats_CSV!F160="fee",IF(VALUE(Taostats_CSV!G160)&gt;0,Taostats_CSV!G160,""),""))</f>
        <v/>
      </c>
      <c r="E160" t="str">
        <f ca="1">IF(AND(Q160,P160&gt;0),OFFSET(Taostats_CSV!$E$1,MATCH(K160&amp;F$1,Taostats_CSV!$X:$X,0)-1,0),IF(LEN(F160)&gt;0,Taostats_CSV!E160,""))</f>
        <v>SN64</v>
      </c>
      <c r="F160" t="str">
        <f ca="1">TRIM(IF(AND(Q160,P160&gt;0),OFFSET(Taostats_CSV!$H$1,MATCH(K160&amp;F$1,Taostats_CSV!$X:$X,0)-1,0),IF(LEN(Taostats_CSV!H160)&gt;0,Taostats_CSV!H160,Taostats_CSV!R160)))</f>
        <v>0.146739425</v>
      </c>
      <c r="G160" t="str">
        <f ca="1">IF(AND(Q160,N160=1),OFFSET(Taostats_CSV!$E$1,MATCH(K160&amp;H$1,Taostats_CSV!$X:$X,0)-1,0),"")</f>
        <v/>
      </c>
      <c r="H160" t="str">
        <f ca="1">IF(AND(Q160,N160=1),OFFSET(Taostats_CSV!$G$1,MATCH(K160&amp;H$1,Taostats_CSV!$X:$X,0)-1,0),"")</f>
        <v/>
      </c>
      <c r="I160" t="str">
        <f ca="1">IF(AND(LEN(K160)=0,LEN(F160)&gt;0),"Income",IF(AND(O160&gt;0,P160&gt;0,C160&lt;&gt;E160),"Trade",IF(AND(NOT(Q160),Taostats_CSV!F160="fee"),'READ ME'!$C$5,"")))</f>
        <v>Income</v>
      </c>
      <c r="J160" t="str">
        <f ca="1">SUBSTITUTE(IF(LEN(I160)=0,Taostats_CSV!F160&amp;" "&amp;Taostats_CSV!J160,IF(I160="Cost","Extrinsic fee","")),"_"," ")</f>
        <v/>
      </c>
      <c r="K160" t="str">
        <f>TRIM(IF(LEN(Taostats_CSV!I160)&gt;0,Taostats_CSV!I160,""))</f>
        <v/>
      </c>
      <c r="L160">
        <f ca="1">IF(Taostats_CSV!E160&lt;&gt;"TAO",IF(LEN(F160)&gt;0,F160,IF(LEN(D160)&gt;0,D160,0))*Taostats_CSV!P160,"")</f>
        <v>13.611534785963389</v>
      </c>
      <c r="M160" t="str">
        <f t="shared" ca="1" si="27"/>
        <v>USD</v>
      </c>
      <c r="N160">
        <f>COUNTIF(Taostats_CSV!$X:$X,Taostats_CSV!$I160&amp;N$1)</f>
        <v>0</v>
      </c>
      <c r="O160">
        <f>COUNTIF(Taostats_CSV!$X:$X,Taostats_CSV!$I160&amp;O$1)</f>
        <v>0</v>
      </c>
      <c r="P160">
        <f>COUNTIF(Taostats_CSV!$X:$X,Taostats_CSV!$I160&amp;P$1)</f>
        <v>0</v>
      </c>
      <c r="Q160" t="b">
        <f t="shared" si="28"/>
        <v>0</v>
      </c>
      <c r="R160" t="b">
        <f>IF(LEN(K160)&gt;0,COUNTIF($K$3:K160,K160),FALSE)</f>
        <v>0</v>
      </c>
      <c r="S160" t="b">
        <f>IF(Taostats_CSV!A160=Taostats_CSV!$A$2,TRUE,Taostats_CSV!G160+Taostats_CSV!H160+Taostats_CSV!R160=0)</f>
        <v>0</v>
      </c>
      <c r="T160" t="b">
        <f t="shared" si="29"/>
        <v>1</v>
      </c>
      <c r="U160" t="b" cm="1">
        <f t="array" aca="1" ref="U160" ca="1">AND(T160,OR(O160-N160&gt;1,P160&gt;1,ISERROR(A160:P160)))</f>
        <v>0</v>
      </c>
      <c r="W160" t="e">
        <f>MATCH(K160&amp;$W$2,Taostats_CSV!$X$3:$X$1167,0)</f>
        <v>#N/A</v>
      </c>
      <c r="X160" t="e">
        <f t="shared" ca="1" si="24"/>
        <v>#VALUE!</v>
      </c>
      <c r="Y160">
        <f t="shared" ca="1" si="25"/>
        <v>0.14673942500000001</v>
      </c>
      <c r="Z160" t="e">
        <f t="shared" ca="1" si="26"/>
        <v>#VALUE!</v>
      </c>
      <c r="AF160">
        <f>TYPE(Taostats_CSV!R157)</f>
        <v>1</v>
      </c>
    </row>
    <row r="161" spans="1:26" hidden="1" x14ac:dyDescent="0.4">
      <c r="A161" t="str">
        <f>MID(Taostats_CSV!C161,6,2)&amp;"/"&amp;MID(Taostats_CSV!C161,9,2)&amp;"/"&amp;LEFT(Taostats_CSV!C161,4)&amp;" "&amp;MID(Taostats_CSV!C161,12,8)</f>
        <v>04/13/2025 23:59:48</v>
      </c>
      <c r="C161" t="str">
        <f ca="1">IF(Q161,OFFSET(Taostats_CSV!$E$1,MATCH(K161&amp;D$1,Taostats_CSV!$X:$X,0)-1,0),IF(Taostats_CSV!F161="fee","",IF(VALUE(Taostats_CSV!G161)&gt;0,Taostats_CSV!E161,"")))</f>
        <v/>
      </c>
      <c r="D161" t="str">
        <f ca="1">IF(Q161,OFFSET(Taostats_CSV!$G$1,MATCH(K161&amp;D$1,Taostats_CSV!$X:$X,0)-1,0),IF(Taostats_CSV!F161="fee","",IF(VALUE(Taostats_CSV!G161)&gt;0,Taostats_CSV!G161,"")))</f>
        <v/>
      </c>
      <c r="E161" t="str">
        <f ca="1">IF(AND(Q161,P161&gt;0),OFFSET(Taostats_CSV!$E$1,MATCH(K161&amp;F$1,Taostats_CSV!$X:$X,0)-1,0),IF(LEN(F161)&gt;0,Taostats_CSV!E161,""))</f>
        <v>TAO</v>
      </c>
      <c r="F161" t="str">
        <f ca="1">TRIM(IF(AND(Q161,P161&gt;0),OFFSET(Taostats_CSV!$H$1,MATCH(K161&amp;F$1,Taostats_CSV!$X:$X,0)-1,0),IF(LEN(Taostats_CSV!H161)&gt;0,Taostats_CSV!H161,Taostats_CSV!R161)))</f>
        <v>0</v>
      </c>
      <c r="G161" t="str">
        <f ca="1">IF(AND(Q161,N161=1),OFFSET(Taostats_CSV!$E$1,MATCH(K161&amp;H$1,Taostats_CSV!$X:$X,0)-1,0),IF(Taostats_CSV!F161="fee",Taostats_CSV!E161,""))</f>
        <v/>
      </c>
      <c r="H161" t="str">
        <f ca="1">IF(AND(Q161,N161=1),OFFSET(Taostats_CSV!$G$1,MATCH(K161&amp;H$1,Taostats_CSV!$X:$X,0)-1,0),IF(Taostats_CSV!F161="fee",Taostats_CSV!G161,""))</f>
        <v/>
      </c>
      <c r="I161" t="str">
        <f ca="1">IF(AND(LEN(K161)=0,LEN(F161)&gt;0),"Income",IF(AND(O161&gt;0,P161&gt;0,C161&lt;&gt;E161),"Trade",IF(AND(NOT(Q161),Taostats_CSV!F161="fee"),'READ ME'!$C$5,"")))</f>
        <v>Income</v>
      </c>
      <c r="J161" t="str">
        <f ca="1">SUBSTITUTE(IF(LEN(I161)=0,Taostats_CSV!F161&amp;" "&amp;Taostats_CSV!J161,IF(I161="Cost","Extrinsic fee","")),"_"," ")</f>
        <v/>
      </c>
      <c r="K161" t="str">
        <f>TRIM(IF(LEN(Taostats_CSV!I161)&gt;0,Taostats_CSV!I161,""))</f>
        <v/>
      </c>
      <c r="L161" t="str">
        <f>IF(Taostats_CSV!E161&lt;&gt;"TAO",IF(LEN(F161)&gt;0,F161,IF(LEN(D161)&gt;0,D161,0))*Taostats_CSV!P161,"")</f>
        <v/>
      </c>
      <c r="M161" t="str">
        <f t="shared" si="27"/>
        <v/>
      </c>
      <c r="N161">
        <f>COUNTIF(Taostats_CSV!$X:$X,Taostats_CSV!$I161&amp;N$1)</f>
        <v>0</v>
      </c>
      <c r="O161">
        <f>COUNTIF(Taostats_CSV!$X:$X,Taostats_CSV!$I161&amp;O$1)</f>
        <v>0</v>
      </c>
      <c r="P161">
        <f>COUNTIF(Taostats_CSV!$X:$X,Taostats_CSV!$I161&amp;P$1)</f>
        <v>0</v>
      </c>
      <c r="Q161" t="b">
        <f t="shared" si="28"/>
        <v>0</v>
      </c>
      <c r="R161" t="b">
        <f>IF(LEN(K161)&gt;0,COUNTIF($K$3:K161,K161),FALSE)</f>
        <v>0</v>
      </c>
      <c r="S161" t="b">
        <f>IF(Taostats_CSV!A161=Taostats_CSV!$A$2,TRUE,Taostats_CSV!G161+Taostats_CSV!H161+Taostats_CSV!R161=0)</f>
        <v>1</v>
      </c>
      <c r="T161" t="b">
        <f t="shared" si="29"/>
        <v>0</v>
      </c>
      <c r="U161" t="b" cm="1">
        <f t="array" aca="1" ref="U161" ca="1">AND(T161,OR(O161-N161&gt;1,P161&gt;1,ISERROR(A161:P161)))</f>
        <v>0</v>
      </c>
      <c r="W161" t="e">
        <f>MATCH(K161&amp;$W$2,Taostats_CSV!$X$3:$X$1167,0)</f>
        <v>#N/A</v>
      </c>
      <c r="X161" t="e">
        <f t="shared" ca="1" si="24"/>
        <v>#VALUE!</v>
      </c>
      <c r="Y161">
        <f t="shared" ca="1" si="25"/>
        <v>0</v>
      </c>
      <c r="Z161" t="e">
        <f t="shared" ca="1" si="26"/>
        <v>#VALUE!</v>
      </c>
    </row>
    <row r="162" spans="1:26" x14ac:dyDescent="0.4">
      <c r="A162" t="str">
        <f>MID(Taostats_CSV!C162,6,2)&amp;"/"&amp;MID(Taostats_CSV!C162,9,2)&amp;"/"&amp;LEFT(Taostats_CSV!C162,4)&amp;" "&amp;MID(Taostats_CSV!C162,12,8)</f>
        <v>04/14/2025 23:59:48</v>
      </c>
      <c r="C162" t="str">
        <f ca="1">IF(Q162,OFFSET(Taostats_CSV!$E$1,MATCH(K162&amp;D$1,Taostats_CSV!$X:$X,0)-1,0),IF(Taostats_CSV!F162="fee",IF(VALUE(Taostats_CSV!G162)&gt;0,Taostats_CSV!E162,""),""))</f>
        <v/>
      </c>
      <c r="D162" t="str">
        <f ca="1">IF(Q162,OFFSET(Taostats_CSV!$G$1,MATCH(K162&amp;D$1,Taostats_CSV!$X:$X,0)-1,0),IF(Taostats_CSV!F162="fee",IF(VALUE(Taostats_CSV!G162)&gt;0,Taostats_CSV!G162,""),""))</f>
        <v/>
      </c>
      <c r="E162" t="str">
        <f ca="1">IF(AND(Q162,P162&gt;0),OFFSET(Taostats_CSV!$E$1,MATCH(K162&amp;F$1,Taostats_CSV!$X:$X,0)-1,0),IF(LEN(F162)&gt;0,Taostats_CSV!E162,""))</f>
        <v>SN3</v>
      </c>
      <c r="F162" t="str">
        <f ca="1">TRIM(IF(AND(Q162,P162&gt;0),OFFSET(Taostats_CSV!$H$1,MATCH(K162&amp;F$1,Taostats_CSV!$X:$X,0)-1,0),IF(LEN(Taostats_CSV!H162)&gt;0,Taostats_CSV!H162,Taostats_CSV!R162)))</f>
        <v>0.436205825</v>
      </c>
      <c r="G162" t="str">
        <f ca="1">IF(AND(Q162,N162=1),OFFSET(Taostats_CSV!$E$1,MATCH(K162&amp;H$1,Taostats_CSV!$X:$X,0)-1,0),"")</f>
        <v/>
      </c>
      <c r="H162" t="str">
        <f ca="1">IF(AND(Q162,N162=1),OFFSET(Taostats_CSV!$G$1,MATCH(K162&amp;H$1,Taostats_CSV!$X:$X,0)-1,0),"")</f>
        <v/>
      </c>
      <c r="I162" t="str">
        <f ca="1">IF(AND(LEN(K162)=0,LEN(F162)&gt;0),"Income",IF(AND(O162&gt;0,P162&gt;0,C162&lt;&gt;E162),"Trade",IF(AND(NOT(Q162),Taostats_CSV!F162="fee"),'READ ME'!$C$5,"")))</f>
        <v>Income</v>
      </c>
      <c r="J162" t="str">
        <f ca="1">SUBSTITUTE(IF(LEN(I162)=0,Taostats_CSV!F162&amp;" "&amp;Taostats_CSV!J162,IF(I162="Cost","Extrinsic fee","")),"_"," ")</f>
        <v/>
      </c>
      <c r="K162" t="str">
        <f>TRIM(IF(LEN(Taostats_CSV!I162)&gt;0,Taostats_CSV!I162,""))</f>
        <v/>
      </c>
      <c r="L162">
        <f ca="1">IF(Taostats_CSV!E162&lt;&gt;"TAO",IF(LEN(F162)&gt;0,F162,IF(LEN(D162)&gt;0,D162,0))*Taostats_CSV!P162,"")</f>
        <v>12.524689553850623</v>
      </c>
      <c r="M162" t="str">
        <f t="shared" ca="1" si="27"/>
        <v>USD</v>
      </c>
      <c r="N162">
        <f>COUNTIF(Taostats_CSV!$X:$X,Taostats_CSV!$I162&amp;N$1)</f>
        <v>0</v>
      </c>
      <c r="O162">
        <f>COUNTIF(Taostats_CSV!$X:$X,Taostats_CSV!$I162&amp;O$1)</f>
        <v>0</v>
      </c>
      <c r="P162">
        <f>COUNTIF(Taostats_CSV!$X:$X,Taostats_CSV!$I162&amp;P$1)</f>
        <v>0</v>
      </c>
      <c r="Q162" t="b">
        <f t="shared" si="28"/>
        <v>0</v>
      </c>
      <c r="R162" t="b">
        <f>IF(LEN(K162)&gt;0,COUNTIF($K$3:K162,K162),FALSE)</f>
        <v>0</v>
      </c>
      <c r="S162" t="b">
        <f>IF(Taostats_CSV!A162=Taostats_CSV!$A$2,TRUE,Taostats_CSV!G162+Taostats_CSV!H162+Taostats_CSV!R162=0)</f>
        <v>0</v>
      </c>
      <c r="T162" t="b">
        <f t="shared" si="29"/>
        <v>1</v>
      </c>
      <c r="U162" t="b" cm="1">
        <f t="array" aca="1" ref="U162" ca="1">AND(T162,OR(O162-N162&gt;1,P162&gt;1,ISERROR(A162:P162)))</f>
        <v>0</v>
      </c>
      <c r="W162" t="e">
        <f>MATCH(K162&amp;$W$2,Taostats_CSV!$X$3:$X$1167,0)</f>
        <v>#N/A</v>
      </c>
      <c r="X162" t="e">
        <f t="shared" ca="1" si="24"/>
        <v>#VALUE!</v>
      </c>
      <c r="Y162">
        <f t="shared" ca="1" si="25"/>
        <v>0.43620582499999999</v>
      </c>
      <c r="Z162" t="e">
        <f t="shared" ca="1" si="26"/>
        <v>#VALUE!</v>
      </c>
    </row>
    <row r="163" spans="1:26" x14ac:dyDescent="0.4">
      <c r="A163" t="str">
        <f>MID(Taostats_CSV!C163,6,2)&amp;"/"&amp;MID(Taostats_CSV!C163,9,2)&amp;"/"&amp;LEFT(Taostats_CSV!C163,4)&amp;" "&amp;MID(Taostats_CSV!C163,12,8)</f>
        <v>04/14/2025 23:59:48</v>
      </c>
      <c r="C163" t="str">
        <f ca="1">IF(Q163,OFFSET(Taostats_CSV!$E$1,MATCH(K163&amp;D$1,Taostats_CSV!$X:$X,0)-1,0),IF(Taostats_CSV!F163="fee",IF(VALUE(Taostats_CSV!G163)&gt;0,Taostats_CSV!E163,""),""))</f>
        <v/>
      </c>
      <c r="D163" t="str">
        <f ca="1">IF(Q163,OFFSET(Taostats_CSV!$G$1,MATCH(K163&amp;D$1,Taostats_CSV!$X:$X,0)-1,0),IF(Taostats_CSV!F163="fee",IF(VALUE(Taostats_CSV!G163)&gt;0,Taostats_CSV!G163,""),""))</f>
        <v/>
      </c>
      <c r="E163" t="str">
        <f ca="1">IF(AND(Q163,P163&gt;0),OFFSET(Taostats_CSV!$E$1,MATCH(K163&amp;F$1,Taostats_CSV!$X:$X,0)-1,0),IF(LEN(F163)&gt;0,Taostats_CSV!E163,""))</f>
        <v>SN4</v>
      </c>
      <c r="F163" t="str">
        <f ca="1">TRIM(IF(AND(Q163,P163&gt;0),OFFSET(Taostats_CSV!$H$1,MATCH(K163&amp;F$1,Taostats_CSV!$X:$X,0)-1,0),IF(LEN(Taostats_CSV!H163)&gt;0,Taostats_CSV!H163,Taostats_CSV!R163)))</f>
        <v>0.347050883</v>
      </c>
      <c r="G163" t="str">
        <f ca="1">IF(AND(Q163,N163=1),OFFSET(Taostats_CSV!$E$1,MATCH(K163&amp;H$1,Taostats_CSV!$X:$X,0)-1,0),"")</f>
        <v/>
      </c>
      <c r="H163" t="str">
        <f ca="1">IF(AND(Q163,N163=1),OFFSET(Taostats_CSV!$G$1,MATCH(K163&amp;H$1,Taostats_CSV!$X:$X,0)-1,0),"")</f>
        <v/>
      </c>
      <c r="I163" t="str">
        <f ca="1">IF(AND(LEN(K163)=0,LEN(F163)&gt;0),"Income",IF(AND(O163&gt;0,P163&gt;0,C163&lt;&gt;E163),"Trade",IF(AND(NOT(Q163),Taostats_CSV!F163="fee"),'READ ME'!$C$5,"")))</f>
        <v>Income</v>
      </c>
      <c r="J163" t="str">
        <f ca="1">SUBSTITUTE(IF(LEN(I163)=0,Taostats_CSV!F163&amp;" "&amp;Taostats_CSV!J163,IF(I163="Cost","Extrinsic fee","")),"_"," ")</f>
        <v/>
      </c>
      <c r="K163" t="str">
        <f>TRIM(IF(LEN(Taostats_CSV!I163)&gt;0,Taostats_CSV!I163,""))</f>
        <v/>
      </c>
      <c r="L163">
        <f ca="1">IF(Taostats_CSV!E163&lt;&gt;"TAO",IF(LEN(F163)&gt;0,F163,IF(LEN(D163)&gt;0,D163,0))*Taostats_CSV!P163,"")</f>
        <v>16.950642500941644</v>
      </c>
      <c r="M163" t="str">
        <f t="shared" ca="1" si="27"/>
        <v>USD</v>
      </c>
      <c r="N163">
        <f>COUNTIF(Taostats_CSV!$X:$X,Taostats_CSV!$I163&amp;N$1)</f>
        <v>0</v>
      </c>
      <c r="O163">
        <f>COUNTIF(Taostats_CSV!$X:$X,Taostats_CSV!$I163&amp;O$1)</f>
        <v>0</v>
      </c>
      <c r="P163">
        <f>COUNTIF(Taostats_CSV!$X:$X,Taostats_CSV!$I163&amp;P$1)</f>
        <v>0</v>
      </c>
      <c r="Q163" t="b">
        <f t="shared" si="28"/>
        <v>0</v>
      </c>
      <c r="R163" t="b">
        <f>IF(LEN(K163)&gt;0,COUNTIF($K$3:K163,K163),FALSE)</f>
        <v>0</v>
      </c>
      <c r="S163" t="b">
        <f>IF(Taostats_CSV!A163=Taostats_CSV!$A$2,TRUE,Taostats_CSV!G163+Taostats_CSV!H163+Taostats_CSV!R163=0)</f>
        <v>0</v>
      </c>
      <c r="T163" t="b">
        <f t="shared" si="29"/>
        <v>1</v>
      </c>
      <c r="U163" t="b" cm="1">
        <f t="array" aca="1" ref="U163" ca="1">AND(T163,OR(O163-N163&gt;1,P163&gt;1,ISERROR(A163:P163)))</f>
        <v>0</v>
      </c>
      <c r="W163" t="e">
        <f>MATCH(K163&amp;$W$2,Taostats_CSV!$X$3:$X$1167,0)</f>
        <v>#N/A</v>
      </c>
      <c r="X163" t="e">
        <f t="shared" ca="1" si="24"/>
        <v>#VALUE!</v>
      </c>
      <c r="Y163">
        <f t="shared" ca="1" si="25"/>
        <v>0.34705088299999998</v>
      </c>
      <c r="Z163" t="e">
        <f t="shared" ca="1" si="26"/>
        <v>#VALUE!</v>
      </c>
    </row>
    <row r="164" spans="1:26" x14ac:dyDescent="0.4">
      <c r="A164" t="str">
        <f>MID(Taostats_CSV!C164,6,2)&amp;"/"&amp;MID(Taostats_CSV!C164,9,2)&amp;"/"&amp;LEFT(Taostats_CSV!C164,4)&amp;" "&amp;MID(Taostats_CSV!C164,12,8)</f>
        <v>04/14/2025 23:59:48</v>
      </c>
      <c r="C164" t="str">
        <f ca="1">IF(Q164,OFFSET(Taostats_CSV!$E$1,MATCH(K164&amp;D$1,Taostats_CSV!$X:$X,0)-1,0),IF(Taostats_CSV!F164="fee",IF(VALUE(Taostats_CSV!G164)&gt;0,Taostats_CSV!E164,""),""))</f>
        <v/>
      </c>
      <c r="D164" t="str">
        <f ca="1">IF(Q164,OFFSET(Taostats_CSV!$G$1,MATCH(K164&amp;D$1,Taostats_CSV!$X:$X,0)-1,0),IF(Taostats_CSV!F164="fee",IF(VALUE(Taostats_CSV!G164)&gt;0,Taostats_CSV!G164,""),""))</f>
        <v/>
      </c>
      <c r="E164" t="str">
        <f ca="1">IF(AND(Q164,P164&gt;0),OFFSET(Taostats_CSV!$E$1,MATCH(K164&amp;F$1,Taostats_CSV!$X:$X,0)-1,0),IF(LEN(F164)&gt;0,Taostats_CSV!E164,""))</f>
        <v>SN56</v>
      </c>
      <c r="F164" t="str">
        <f ca="1">TRIM(IF(AND(Q164,P164&gt;0),OFFSET(Taostats_CSV!$H$1,MATCH(K164&amp;F$1,Taostats_CSV!$X:$X,0)-1,0),IF(LEN(Taostats_CSV!H164)&gt;0,Taostats_CSV!H164,Taostats_CSV!R164)))</f>
        <v>0.263834115</v>
      </c>
      <c r="G164" t="str">
        <f ca="1">IF(AND(Q164,N164=1),OFFSET(Taostats_CSV!$E$1,MATCH(K164&amp;H$1,Taostats_CSV!$X:$X,0)-1,0),"")</f>
        <v/>
      </c>
      <c r="H164" t="str">
        <f ca="1">IF(AND(Q164,N164=1),OFFSET(Taostats_CSV!$G$1,MATCH(K164&amp;H$1,Taostats_CSV!$X:$X,0)-1,0),"")</f>
        <v/>
      </c>
      <c r="I164" t="str">
        <f ca="1">IF(AND(LEN(K164)=0,LEN(F164)&gt;0),"Income",IF(AND(O164&gt;0,P164&gt;0,C164&lt;&gt;E164),"Trade",IF(AND(NOT(Q164),Taostats_CSV!F164="fee"),'READ ME'!$C$5,"")))</f>
        <v>Income</v>
      </c>
      <c r="J164" t="str">
        <f ca="1">SUBSTITUTE(IF(LEN(I164)=0,Taostats_CSV!F164&amp;" "&amp;Taostats_CSV!J164,IF(I164="Cost","Extrinsic fee","")),"_"," ")</f>
        <v/>
      </c>
      <c r="K164" t="str">
        <f>TRIM(IF(LEN(Taostats_CSV!I164)&gt;0,Taostats_CSV!I164,""))</f>
        <v/>
      </c>
      <c r="L164">
        <f ca="1">IF(Taostats_CSV!E164&lt;&gt;"TAO",IF(LEN(F164)&gt;0,F164,IF(LEN(D164)&gt;0,D164,0))*Taostats_CSV!P164,"")</f>
        <v>13.210553418655756</v>
      </c>
      <c r="M164" t="str">
        <f t="shared" ca="1" si="27"/>
        <v>USD</v>
      </c>
      <c r="N164">
        <f>COUNTIF(Taostats_CSV!$X:$X,Taostats_CSV!$I164&amp;N$1)</f>
        <v>0</v>
      </c>
      <c r="O164">
        <f>COUNTIF(Taostats_CSV!$X:$X,Taostats_CSV!$I164&amp;O$1)</f>
        <v>0</v>
      </c>
      <c r="P164">
        <f>COUNTIF(Taostats_CSV!$X:$X,Taostats_CSV!$I164&amp;P$1)</f>
        <v>0</v>
      </c>
      <c r="Q164" t="b">
        <f t="shared" si="28"/>
        <v>0</v>
      </c>
      <c r="R164" t="b">
        <f>IF(LEN(K164)&gt;0,COUNTIF($K$3:K164,K164),FALSE)</f>
        <v>0</v>
      </c>
      <c r="S164" t="b">
        <f>IF(Taostats_CSV!A164=Taostats_CSV!$A$2,TRUE,Taostats_CSV!G164+Taostats_CSV!H164+Taostats_CSV!R164=0)</f>
        <v>0</v>
      </c>
      <c r="T164" t="b">
        <f t="shared" si="29"/>
        <v>1</v>
      </c>
      <c r="U164" t="b" cm="1">
        <f t="array" aca="1" ref="U164" ca="1">AND(T164,OR(O164-N164&gt;1,P164&gt;1,ISERROR(A164:P164)))</f>
        <v>0</v>
      </c>
      <c r="W164" t="e">
        <f>MATCH(K164&amp;$W$2,Taostats_CSV!$X$3:$X$1167,0)</f>
        <v>#N/A</v>
      </c>
      <c r="X164" t="e">
        <f t="shared" ca="1" si="24"/>
        <v>#VALUE!</v>
      </c>
      <c r="Y164">
        <f t="shared" ca="1" si="25"/>
        <v>0.26383411499999998</v>
      </c>
      <c r="Z164" t="e">
        <f t="shared" ca="1" si="26"/>
        <v>#VALUE!</v>
      </c>
    </row>
    <row r="165" spans="1:26" x14ac:dyDescent="0.4">
      <c r="A165" t="str">
        <f>MID(Taostats_CSV!C165,6,2)&amp;"/"&amp;MID(Taostats_CSV!C165,9,2)&amp;"/"&amp;LEFT(Taostats_CSV!C165,4)&amp;" "&amp;MID(Taostats_CSV!C165,12,8)</f>
        <v>04/14/2025 23:59:48</v>
      </c>
      <c r="C165" t="str">
        <f ca="1">IF(Q165,OFFSET(Taostats_CSV!$E$1,MATCH(K165&amp;D$1,Taostats_CSV!$X:$X,0)-1,0),IF(Taostats_CSV!F165="fee",IF(VALUE(Taostats_CSV!G165)&gt;0,Taostats_CSV!E165,""),""))</f>
        <v/>
      </c>
      <c r="D165" t="str">
        <f ca="1">IF(Q165,OFFSET(Taostats_CSV!$G$1,MATCH(K165&amp;D$1,Taostats_CSV!$X:$X,0)-1,0),IF(Taostats_CSV!F165="fee",IF(VALUE(Taostats_CSV!G165)&gt;0,Taostats_CSV!G165,""),""))</f>
        <v/>
      </c>
      <c r="E165" t="str">
        <f ca="1">IF(AND(Q165,P165&gt;0),OFFSET(Taostats_CSV!$E$1,MATCH(K165&amp;F$1,Taostats_CSV!$X:$X,0)-1,0),IF(LEN(F165)&gt;0,Taostats_CSV!E165,""))</f>
        <v>SN64</v>
      </c>
      <c r="F165" t="str">
        <f ca="1">TRIM(IF(AND(Q165,P165&gt;0),OFFSET(Taostats_CSV!$H$1,MATCH(K165&amp;F$1,Taostats_CSV!$X:$X,0)-1,0),IF(LEN(Taostats_CSV!H165)&gt;0,Taostats_CSV!H165,Taostats_CSV!R165)))</f>
        <v>0.146114416</v>
      </c>
      <c r="G165" t="str">
        <f ca="1">IF(AND(Q165,N165=1),OFFSET(Taostats_CSV!$E$1,MATCH(K165&amp;H$1,Taostats_CSV!$X:$X,0)-1,0),"")</f>
        <v/>
      </c>
      <c r="H165" t="str">
        <f ca="1">IF(AND(Q165,N165=1),OFFSET(Taostats_CSV!$G$1,MATCH(K165&amp;H$1,Taostats_CSV!$X:$X,0)-1,0),"")</f>
        <v/>
      </c>
      <c r="I165" t="str">
        <f ca="1">IF(AND(LEN(K165)=0,LEN(F165)&gt;0),"Income",IF(AND(O165&gt;0,P165&gt;0,C165&lt;&gt;E165),"Trade",IF(AND(NOT(Q165),Taostats_CSV!F165="fee"),'READ ME'!$C$5,"")))</f>
        <v>Income</v>
      </c>
      <c r="J165" t="str">
        <f ca="1">SUBSTITUTE(IF(LEN(I165)=0,Taostats_CSV!F165&amp;" "&amp;Taostats_CSV!J165,IF(I165="Cost","Extrinsic fee","")),"_"," ")</f>
        <v/>
      </c>
      <c r="K165" t="str">
        <f>TRIM(IF(LEN(Taostats_CSV!I165)&gt;0,Taostats_CSV!I165,""))</f>
        <v/>
      </c>
      <c r="L165">
        <f ca="1">IF(Taostats_CSV!E165&lt;&gt;"TAO",IF(LEN(F165)&gt;0,F165,IF(LEN(D165)&gt;0,D165,0))*Taostats_CSV!P165,"")</f>
        <v>13.416511912347042</v>
      </c>
      <c r="M165" t="str">
        <f t="shared" ca="1" si="27"/>
        <v>USD</v>
      </c>
      <c r="N165">
        <f>COUNTIF(Taostats_CSV!$X:$X,Taostats_CSV!$I165&amp;N$1)</f>
        <v>0</v>
      </c>
      <c r="O165">
        <f>COUNTIF(Taostats_CSV!$X:$X,Taostats_CSV!$I165&amp;O$1)</f>
        <v>0</v>
      </c>
      <c r="P165">
        <f>COUNTIF(Taostats_CSV!$X:$X,Taostats_CSV!$I165&amp;P$1)</f>
        <v>0</v>
      </c>
      <c r="Q165" t="b">
        <f t="shared" si="28"/>
        <v>0</v>
      </c>
      <c r="R165" t="b">
        <f>IF(LEN(K165)&gt;0,COUNTIF($K$3:K165,K165),FALSE)</f>
        <v>0</v>
      </c>
      <c r="S165" t="b">
        <f>IF(Taostats_CSV!A165=Taostats_CSV!$A$2,TRUE,Taostats_CSV!G165+Taostats_CSV!H165+Taostats_CSV!R165=0)</f>
        <v>0</v>
      </c>
      <c r="T165" t="b">
        <f t="shared" si="29"/>
        <v>1</v>
      </c>
      <c r="U165" t="b" cm="1">
        <f t="array" aca="1" ref="U165" ca="1">AND(T165,OR(O165-N165&gt;1,P165&gt;1,ISERROR(A165:P165)))</f>
        <v>0</v>
      </c>
      <c r="W165" t="e">
        <f>MATCH(K165&amp;$W$2,Taostats_CSV!$X$3:$X$1167,0)</f>
        <v>#N/A</v>
      </c>
      <c r="X165" t="e">
        <f t="shared" ca="1" si="24"/>
        <v>#VALUE!</v>
      </c>
      <c r="Y165">
        <f t="shared" ca="1" si="25"/>
        <v>0.146114416</v>
      </c>
      <c r="Z165" t="e">
        <f t="shared" ca="1" si="26"/>
        <v>#VALUE!</v>
      </c>
    </row>
    <row r="166" spans="1:26" hidden="1" x14ac:dyDescent="0.4">
      <c r="A166" t="str">
        <f>MID(Taostats_CSV!C166,6,2)&amp;"/"&amp;MID(Taostats_CSV!C166,9,2)&amp;"/"&amp;LEFT(Taostats_CSV!C166,4)&amp;" "&amp;MID(Taostats_CSV!C166,12,8)</f>
        <v>04/14/2025 23:59:48</v>
      </c>
      <c r="C166" t="str">
        <f ca="1">IF(Q166,OFFSET(Taostats_CSV!$E$1,MATCH(K166&amp;D$1,Taostats_CSV!$X:$X,0)-1,0),IF(Taostats_CSV!F166="fee","",IF(VALUE(Taostats_CSV!G166)&gt;0,Taostats_CSV!E166,"")))</f>
        <v/>
      </c>
      <c r="D166" t="str">
        <f ca="1">IF(Q166,OFFSET(Taostats_CSV!$G$1,MATCH(K166&amp;D$1,Taostats_CSV!$X:$X,0)-1,0),IF(Taostats_CSV!F166="fee","",IF(VALUE(Taostats_CSV!G166)&gt;0,Taostats_CSV!G166,"")))</f>
        <v/>
      </c>
      <c r="E166" t="str">
        <f ca="1">IF(AND(Q166,P166&gt;0),OFFSET(Taostats_CSV!$E$1,MATCH(K166&amp;F$1,Taostats_CSV!$X:$X,0)-1,0),IF(LEN(F166)&gt;0,Taostats_CSV!E166,""))</f>
        <v>TAO</v>
      </c>
      <c r="F166" t="str">
        <f ca="1">TRIM(IF(AND(Q166,P166&gt;0),OFFSET(Taostats_CSV!$H$1,MATCH(K166&amp;F$1,Taostats_CSV!$X:$X,0)-1,0),IF(LEN(Taostats_CSV!H166)&gt;0,Taostats_CSV!H166,Taostats_CSV!R166)))</f>
        <v>0</v>
      </c>
      <c r="G166" t="str">
        <f ca="1">IF(AND(Q166,N166=1),OFFSET(Taostats_CSV!$E$1,MATCH(K166&amp;H$1,Taostats_CSV!$X:$X,0)-1,0),IF(Taostats_CSV!F166="fee",Taostats_CSV!E166,""))</f>
        <v/>
      </c>
      <c r="H166" t="str">
        <f ca="1">IF(AND(Q166,N166=1),OFFSET(Taostats_CSV!$G$1,MATCH(K166&amp;H$1,Taostats_CSV!$X:$X,0)-1,0),IF(Taostats_CSV!F166="fee",Taostats_CSV!G166,""))</f>
        <v/>
      </c>
      <c r="I166" t="str">
        <f ca="1">IF(AND(LEN(K166)=0,LEN(F166)&gt;0),"Income",IF(AND(O166&gt;0,P166&gt;0,C166&lt;&gt;E166),"Trade",IF(AND(NOT(Q166),Taostats_CSV!F166="fee"),'READ ME'!$C$5,"")))</f>
        <v>Income</v>
      </c>
      <c r="J166" t="str">
        <f ca="1">SUBSTITUTE(IF(LEN(I166)=0,Taostats_CSV!F166&amp;" "&amp;Taostats_CSV!J166,IF(I166="Cost","Extrinsic fee","")),"_"," ")</f>
        <v/>
      </c>
      <c r="K166" t="str">
        <f>TRIM(IF(LEN(Taostats_CSV!I166)&gt;0,Taostats_CSV!I166,""))</f>
        <v/>
      </c>
      <c r="L166" t="str">
        <f>IF(Taostats_CSV!E166&lt;&gt;"TAO",IF(LEN(F166)&gt;0,F166,IF(LEN(D166)&gt;0,D166,0))*Taostats_CSV!P166,"")</f>
        <v/>
      </c>
      <c r="M166" t="str">
        <f t="shared" si="27"/>
        <v/>
      </c>
      <c r="N166">
        <f>COUNTIF(Taostats_CSV!$X:$X,Taostats_CSV!$I166&amp;N$1)</f>
        <v>0</v>
      </c>
      <c r="O166">
        <f>COUNTIF(Taostats_CSV!$X:$X,Taostats_CSV!$I166&amp;O$1)</f>
        <v>0</v>
      </c>
      <c r="P166">
        <f>COUNTIF(Taostats_CSV!$X:$X,Taostats_CSV!$I166&amp;P$1)</f>
        <v>0</v>
      </c>
      <c r="Q166" t="b">
        <f t="shared" si="28"/>
        <v>0</v>
      </c>
      <c r="R166" t="b">
        <f>IF(LEN(K166)&gt;0,COUNTIF($K$3:K166,K166),FALSE)</f>
        <v>0</v>
      </c>
      <c r="S166" t="b">
        <f>IF(Taostats_CSV!A166=Taostats_CSV!$A$2,TRUE,Taostats_CSV!G166+Taostats_CSV!H166+Taostats_CSV!R166=0)</f>
        <v>1</v>
      </c>
      <c r="T166" t="b">
        <f t="shared" si="29"/>
        <v>0</v>
      </c>
      <c r="U166" t="b" cm="1">
        <f t="array" aca="1" ref="U166" ca="1">AND(T166,OR(O166-N166&gt;1,P166&gt;1,ISERROR(A166:P166)))</f>
        <v>0</v>
      </c>
      <c r="W166" t="e">
        <f>MATCH(K166&amp;$W$2,Taostats_CSV!$X$3:$X$1167,0)</f>
        <v>#N/A</v>
      </c>
      <c r="X166" t="e">
        <f t="shared" ca="1" si="24"/>
        <v>#VALUE!</v>
      </c>
      <c r="Y166">
        <f t="shared" ca="1" si="25"/>
        <v>0</v>
      </c>
      <c r="Z166" t="e">
        <f t="shared" ca="1" si="26"/>
        <v>#VALUE!</v>
      </c>
    </row>
    <row r="167" spans="1:26" x14ac:dyDescent="0.4">
      <c r="A167" t="str">
        <f>MID(Taostats_CSV!C167,6,2)&amp;"/"&amp;MID(Taostats_CSV!C167,9,2)&amp;"/"&amp;LEFT(Taostats_CSV!C167,4)&amp;" "&amp;MID(Taostats_CSV!C167,12,8)</f>
        <v>04/15/2025 23:59:48</v>
      </c>
      <c r="C167" t="str">
        <f ca="1">IF(Q167,OFFSET(Taostats_CSV!$E$1,MATCH(K167&amp;D$1,Taostats_CSV!$X:$X,0)-1,0),IF(Taostats_CSV!F167="fee",IF(VALUE(Taostats_CSV!G167)&gt;0,Taostats_CSV!E167,""),""))</f>
        <v/>
      </c>
      <c r="D167" t="str">
        <f ca="1">IF(Q167,OFFSET(Taostats_CSV!$G$1,MATCH(K167&amp;D$1,Taostats_CSV!$X:$X,0)-1,0),IF(Taostats_CSV!F167="fee",IF(VALUE(Taostats_CSV!G167)&gt;0,Taostats_CSV!G167,""),""))</f>
        <v/>
      </c>
      <c r="E167" t="str">
        <f ca="1">IF(AND(Q167,P167&gt;0),OFFSET(Taostats_CSV!$E$1,MATCH(K167&amp;F$1,Taostats_CSV!$X:$X,0)-1,0),IF(LEN(F167)&gt;0,Taostats_CSV!E167,""))</f>
        <v>SN3</v>
      </c>
      <c r="F167" t="str">
        <f ca="1">TRIM(IF(AND(Q167,P167&gt;0),OFFSET(Taostats_CSV!$H$1,MATCH(K167&amp;F$1,Taostats_CSV!$X:$X,0)-1,0),IF(LEN(Taostats_CSV!H167)&gt;0,Taostats_CSV!H167,Taostats_CSV!R167)))</f>
        <v>0.43862906</v>
      </c>
      <c r="G167" t="str">
        <f ca="1">IF(AND(Q167,N167=1),OFFSET(Taostats_CSV!$E$1,MATCH(K167&amp;H$1,Taostats_CSV!$X:$X,0)-1,0),"")</f>
        <v/>
      </c>
      <c r="H167" t="str">
        <f ca="1">IF(AND(Q167,N167=1),OFFSET(Taostats_CSV!$G$1,MATCH(K167&amp;H$1,Taostats_CSV!$X:$X,0)-1,0),"")</f>
        <v/>
      </c>
      <c r="I167" t="str">
        <f ca="1">IF(AND(LEN(K167)=0,LEN(F167)&gt;0),"Income",IF(AND(O167&gt;0,P167&gt;0,C167&lt;&gt;E167),"Trade",IF(AND(NOT(Q167),Taostats_CSV!F167="fee"),'READ ME'!$C$5,"")))</f>
        <v>Income</v>
      </c>
      <c r="J167" t="str">
        <f ca="1">SUBSTITUTE(IF(LEN(I167)=0,Taostats_CSV!F167&amp;" "&amp;Taostats_CSV!J167,IF(I167="Cost","Extrinsic fee","")),"_"," ")</f>
        <v/>
      </c>
      <c r="K167" t="str">
        <f>TRIM(IF(LEN(Taostats_CSV!I167)&gt;0,Taostats_CSV!I167,""))</f>
        <v/>
      </c>
      <c r="L167">
        <f ca="1">IF(Taostats_CSV!E167&lt;&gt;"TAO",IF(LEN(F167)&gt;0,F167,IF(LEN(D167)&gt;0,D167,0))*Taostats_CSV!P167,"")</f>
        <v>13.335229605540935</v>
      </c>
      <c r="M167" t="str">
        <f t="shared" ca="1" si="27"/>
        <v>USD</v>
      </c>
      <c r="N167">
        <f>COUNTIF(Taostats_CSV!$X:$X,Taostats_CSV!$I167&amp;N$1)</f>
        <v>0</v>
      </c>
      <c r="O167">
        <f>COUNTIF(Taostats_CSV!$X:$X,Taostats_CSV!$I167&amp;O$1)</f>
        <v>0</v>
      </c>
      <c r="P167">
        <f>COUNTIF(Taostats_CSV!$X:$X,Taostats_CSV!$I167&amp;P$1)</f>
        <v>0</v>
      </c>
      <c r="Q167" t="b">
        <f t="shared" si="28"/>
        <v>0</v>
      </c>
      <c r="R167" t="b">
        <f>IF(LEN(K167)&gt;0,COUNTIF($K$3:K167,K167),FALSE)</f>
        <v>0</v>
      </c>
      <c r="S167" t="b">
        <f>IF(Taostats_CSV!A167=Taostats_CSV!$A$2,TRUE,Taostats_CSV!G167+Taostats_CSV!H167+Taostats_CSV!R167=0)</f>
        <v>0</v>
      </c>
      <c r="T167" t="b">
        <f t="shared" si="29"/>
        <v>1</v>
      </c>
      <c r="U167" t="b" cm="1">
        <f t="array" aca="1" ref="U167" ca="1">AND(T167,OR(O167-N167&gt;1,P167&gt;1,ISERROR(A167:P167)))</f>
        <v>0</v>
      </c>
      <c r="W167" t="e">
        <f>MATCH(K167&amp;$W$2,Taostats_CSV!$X$3:$X$1167,0)</f>
        <v>#N/A</v>
      </c>
      <c r="X167" t="e">
        <f t="shared" ca="1" si="24"/>
        <v>#VALUE!</v>
      </c>
      <c r="Y167">
        <f t="shared" ca="1" si="25"/>
        <v>0.43862906000000002</v>
      </c>
      <c r="Z167" t="e">
        <f t="shared" ca="1" si="26"/>
        <v>#VALUE!</v>
      </c>
    </row>
    <row r="168" spans="1:26" x14ac:dyDescent="0.4">
      <c r="A168" t="str">
        <f>MID(Taostats_CSV!C168,6,2)&amp;"/"&amp;MID(Taostats_CSV!C168,9,2)&amp;"/"&amp;LEFT(Taostats_CSV!C168,4)&amp;" "&amp;MID(Taostats_CSV!C168,12,8)</f>
        <v>04/15/2025 23:59:48</v>
      </c>
      <c r="C168" t="str">
        <f ca="1">IF(Q168,OFFSET(Taostats_CSV!$E$1,MATCH(K168&amp;D$1,Taostats_CSV!$X:$X,0)-1,0),IF(Taostats_CSV!F168="fee",IF(VALUE(Taostats_CSV!G168)&gt;0,Taostats_CSV!E168,""),""))</f>
        <v/>
      </c>
      <c r="D168" t="str">
        <f ca="1">IF(Q168,OFFSET(Taostats_CSV!$G$1,MATCH(K168&amp;D$1,Taostats_CSV!$X:$X,0)-1,0),IF(Taostats_CSV!F168="fee",IF(VALUE(Taostats_CSV!G168)&gt;0,Taostats_CSV!G168,""),""))</f>
        <v/>
      </c>
      <c r="E168" t="str">
        <f ca="1">IF(AND(Q168,P168&gt;0),OFFSET(Taostats_CSV!$E$1,MATCH(K168&amp;F$1,Taostats_CSV!$X:$X,0)-1,0),IF(LEN(F168)&gt;0,Taostats_CSV!E168,""))</f>
        <v>SN4</v>
      </c>
      <c r="F168" t="str">
        <f ca="1">TRIM(IF(AND(Q168,P168&gt;0),OFFSET(Taostats_CSV!$H$1,MATCH(K168&amp;F$1,Taostats_CSV!$X:$X,0)-1,0),IF(LEN(Taostats_CSV!H168)&gt;0,Taostats_CSV!H168,Taostats_CSV!R168)))</f>
        <v>0.339200908</v>
      </c>
      <c r="G168" t="str">
        <f ca="1">IF(AND(Q168,N168=1),OFFSET(Taostats_CSV!$E$1,MATCH(K168&amp;H$1,Taostats_CSV!$X:$X,0)-1,0),"")</f>
        <v/>
      </c>
      <c r="H168" t="str">
        <f ca="1">IF(AND(Q168,N168=1),OFFSET(Taostats_CSV!$G$1,MATCH(K168&amp;H$1,Taostats_CSV!$X:$X,0)-1,0),"")</f>
        <v/>
      </c>
      <c r="I168" t="str">
        <f ca="1">IF(AND(LEN(K168)=0,LEN(F168)&gt;0),"Income",IF(AND(O168&gt;0,P168&gt;0,C168&lt;&gt;E168),"Trade",IF(AND(NOT(Q168),Taostats_CSV!F168="fee"),'READ ME'!$C$5,"")))</f>
        <v>Income</v>
      </c>
      <c r="J168" t="str">
        <f ca="1">SUBSTITUTE(IF(LEN(I168)=0,Taostats_CSV!F168&amp;" "&amp;Taostats_CSV!J168,IF(I168="Cost","Extrinsic fee","")),"_"," ")</f>
        <v/>
      </c>
      <c r="K168" t="str">
        <f>TRIM(IF(LEN(Taostats_CSV!I168)&gt;0,Taostats_CSV!I168,""))</f>
        <v/>
      </c>
      <c r="L168">
        <f ca="1">IF(Taostats_CSV!E168&lt;&gt;"TAO",IF(LEN(F168)&gt;0,F168,IF(LEN(D168)&gt;0,D168,0))*Taostats_CSV!P168,"")</f>
        <v>14.819823497666729</v>
      </c>
      <c r="M168" t="str">
        <f t="shared" ca="1" si="27"/>
        <v>USD</v>
      </c>
      <c r="N168">
        <f>COUNTIF(Taostats_CSV!$X:$X,Taostats_CSV!$I168&amp;N$1)</f>
        <v>0</v>
      </c>
      <c r="O168">
        <f>COUNTIF(Taostats_CSV!$X:$X,Taostats_CSV!$I168&amp;O$1)</f>
        <v>0</v>
      </c>
      <c r="P168">
        <f>COUNTIF(Taostats_CSV!$X:$X,Taostats_CSV!$I168&amp;P$1)</f>
        <v>0</v>
      </c>
      <c r="Q168" t="b">
        <f t="shared" si="28"/>
        <v>0</v>
      </c>
      <c r="R168" t="b">
        <f>IF(LEN(K168)&gt;0,COUNTIF($K$3:K168,K168),FALSE)</f>
        <v>0</v>
      </c>
      <c r="S168" t="b">
        <f>IF(Taostats_CSV!A168=Taostats_CSV!$A$2,TRUE,Taostats_CSV!G168+Taostats_CSV!H168+Taostats_CSV!R168=0)</f>
        <v>0</v>
      </c>
      <c r="T168" t="b">
        <f t="shared" si="29"/>
        <v>1</v>
      </c>
      <c r="U168" t="b" cm="1">
        <f t="array" aca="1" ref="U168" ca="1">AND(T168,OR(O168-N168&gt;1,P168&gt;1,ISERROR(A168:P168)))</f>
        <v>0</v>
      </c>
      <c r="W168" t="e">
        <f>MATCH(K168&amp;$W$2,Taostats_CSV!$X$3:$X$1167,0)</f>
        <v>#N/A</v>
      </c>
      <c r="X168" t="e">
        <f t="shared" ca="1" si="24"/>
        <v>#VALUE!</v>
      </c>
      <c r="Y168">
        <f t="shared" ca="1" si="25"/>
        <v>0.33920090800000002</v>
      </c>
      <c r="Z168" t="e">
        <f t="shared" ca="1" si="26"/>
        <v>#VALUE!</v>
      </c>
    </row>
    <row r="169" spans="1:26" x14ac:dyDescent="0.4">
      <c r="A169" t="str">
        <f>MID(Taostats_CSV!C169,6,2)&amp;"/"&amp;MID(Taostats_CSV!C169,9,2)&amp;"/"&amp;LEFT(Taostats_CSV!C169,4)&amp;" "&amp;MID(Taostats_CSV!C169,12,8)</f>
        <v>04/15/2025 23:59:48</v>
      </c>
      <c r="C169" t="str">
        <f ca="1">IF(Q169,OFFSET(Taostats_CSV!$E$1,MATCH(K169&amp;D$1,Taostats_CSV!$X:$X,0)-1,0),IF(Taostats_CSV!F169="fee",IF(VALUE(Taostats_CSV!G169)&gt;0,Taostats_CSV!E169,""),""))</f>
        <v/>
      </c>
      <c r="D169" t="str">
        <f ca="1">IF(Q169,OFFSET(Taostats_CSV!$G$1,MATCH(K169&amp;D$1,Taostats_CSV!$X:$X,0)-1,0),IF(Taostats_CSV!F169="fee",IF(VALUE(Taostats_CSV!G169)&gt;0,Taostats_CSV!G169,""),""))</f>
        <v/>
      </c>
      <c r="E169" t="str">
        <f ca="1">IF(AND(Q169,P169&gt;0),OFFSET(Taostats_CSV!$E$1,MATCH(K169&amp;F$1,Taostats_CSV!$X:$X,0)-1,0),IF(LEN(F169)&gt;0,Taostats_CSV!E169,""))</f>
        <v>SN56</v>
      </c>
      <c r="F169" t="str">
        <f ca="1">TRIM(IF(AND(Q169,P169&gt;0),OFFSET(Taostats_CSV!$H$1,MATCH(K169&amp;F$1,Taostats_CSV!$X:$X,0)-1,0),IF(LEN(Taostats_CSV!H169)&gt;0,Taostats_CSV!H169,Taostats_CSV!R169)))</f>
        <v>0.249869074</v>
      </c>
      <c r="G169" t="str">
        <f ca="1">IF(AND(Q169,N169=1),OFFSET(Taostats_CSV!$E$1,MATCH(K169&amp;H$1,Taostats_CSV!$X:$X,0)-1,0),"")</f>
        <v/>
      </c>
      <c r="H169" t="str">
        <f ca="1">IF(AND(Q169,N169=1),OFFSET(Taostats_CSV!$G$1,MATCH(K169&amp;H$1,Taostats_CSV!$X:$X,0)-1,0),"")</f>
        <v/>
      </c>
      <c r="I169" t="str">
        <f ca="1">IF(AND(LEN(K169)=0,LEN(F169)&gt;0),"Income",IF(AND(O169&gt;0,P169&gt;0,C169&lt;&gt;E169),"Trade",IF(AND(NOT(Q169),Taostats_CSV!F169="fee"),'READ ME'!$C$5,"")))</f>
        <v>Income</v>
      </c>
      <c r="J169" t="str">
        <f ca="1">SUBSTITUTE(IF(LEN(I169)=0,Taostats_CSV!F169&amp;" "&amp;Taostats_CSV!J169,IF(I169="Cost","Extrinsic fee","")),"_"," ")</f>
        <v/>
      </c>
      <c r="K169" t="str">
        <f>TRIM(IF(LEN(Taostats_CSV!I169)&gt;0,Taostats_CSV!I169,""))</f>
        <v/>
      </c>
      <c r="L169">
        <f ca="1">IF(Taostats_CSV!E169&lt;&gt;"TAO",IF(LEN(F169)&gt;0,F169,IF(LEN(D169)&gt;0,D169,0))*Taostats_CSV!P169,"")</f>
        <v>12.883385203677005</v>
      </c>
      <c r="M169" t="str">
        <f t="shared" ca="1" si="27"/>
        <v>USD</v>
      </c>
      <c r="N169">
        <f>COUNTIF(Taostats_CSV!$X:$X,Taostats_CSV!$I169&amp;N$1)</f>
        <v>0</v>
      </c>
      <c r="O169">
        <f>COUNTIF(Taostats_CSV!$X:$X,Taostats_CSV!$I169&amp;O$1)</f>
        <v>0</v>
      </c>
      <c r="P169">
        <f>COUNTIF(Taostats_CSV!$X:$X,Taostats_CSV!$I169&amp;P$1)</f>
        <v>0</v>
      </c>
      <c r="Q169" t="b">
        <f t="shared" si="28"/>
        <v>0</v>
      </c>
      <c r="R169" t="b">
        <f>IF(LEN(K169)&gt;0,COUNTIF($K$3:K169,K169),FALSE)</f>
        <v>0</v>
      </c>
      <c r="S169" t="b">
        <f>IF(Taostats_CSV!A169=Taostats_CSV!$A$2,TRUE,Taostats_CSV!G169+Taostats_CSV!H169+Taostats_CSV!R169=0)</f>
        <v>0</v>
      </c>
      <c r="T169" t="b">
        <f t="shared" si="29"/>
        <v>1</v>
      </c>
      <c r="U169" t="b" cm="1">
        <f t="array" aca="1" ref="U169" ca="1">AND(T169,OR(O169-N169&gt;1,P169&gt;1,ISERROR(A169:P169)))</f>
        <v>0</v>
      </c>
      <c r="W169" t="e">
        <f>MATCH(K169&amp;$W$2,Taostats_CSV!$X$3:$X$1167,0)</f>
        <v>#N/A</v>
      </c>
      <c r="X169" t="e">
        <f t="shared" ca="1" si="24"/>
        <v>#VALUE!</v>
      </c>
      <c r="Y169">
        <f t="shared" ca="1" si="25"/>
        <v>0.249869074</v>
      </c>
      <c r="Z169" t="e">
        <f t="shared" ca="1" si="26"/>
        <v>#VALUE!</v>
      </c>
    </row>
    <row r="170" spans="1:26" x14ac:dyDescent="0.4">
      <c r="A170" t="str">
        <f>MID(Taostats_CSV!C170,6,2)&amp;"/"&amp;MID(Taostats_CSV!C170,9,2)&amp;"/"&amp;LEFT(Taostats_CSV!C170,4)&amp;" "&amp;MID(Taostats_CSV!C170,12,8)</f>
        <v>04/15/2025 23:59:48</v>
      </c>
      <c r="C170" t="str">
        <f ca="1">IF(Q170,OFFSET(Taostats_CSV!$E$1,MATCH(K170&amp;D$1,Taostats_CSV!$X:$X,0)-1,0),IF(Taostats_CSV!F170="fee",IF(VALUE(Taostats_CSV!G170)&gt;0,Taostats_CSV!E170,""),""))</f>
        <v/>
      </c>
      <c r="D170" t="str">
        <f ca="1">IF(Q170,OFFSET(Taostats_CSV!$G$1,MATCH(K170&amp;D$1,Taostats_CSV!$X:$X,0)-1,0),IF(Taostats_CSV!F170="fee",IF(VALUE(Taostats_CSV!G170)&gt;0,Taostats_CSV!G170,""),""))</f>
        <v/>
      </c>
      <c r="E170" t="str">
        <f ca="1">IF(AND(Q170,P170&gt;0),OFFSET(Taostats_CSV!$E$1,MATCH(K170&amp;F$1,Taostats_CSV!$X:$X,0)-1,0),IF(LEN(F170)&gt;0,Taostats_CSV!E170,""))</f>
        <v>SN64</v>
      </c>
      <c r="F170" t="str">
        <f ca="1">TRIM(IF(AND(Q170,P170&gt;0),OFFSET(Taostats_CSV!$H$1,MATCH(K170&amp;F$1,Taostats_CSV!$X:$X,0)-1,0),IF(LEN(Taostats_CSV!H170)&gt;0,Taostats_CSV!H170,Taostats_CSV!R170)))</f>
        <v>0.144265543</v>
      </c>
      <c r="G170" t="str">
        <f ca="1">IF(AND(Q170,N170=1),OFFSET(Taostats_CSV!$E$1,MATCH(K170&amp;H$1,Taostats_CSV!$X:$X,0)-1,0),"")</f>
        <v/>
      </c>
      <c r="H170" t="str">
        <f ca="1">IF(AND(Q170,N170=1),OFFSET(Taostats_CSV!$G$1,MATCH(K170&amp;H$1,Taostats_CSV!$X:$X,0)-1,0),"")</f>
        <v/>
      </c>
      <c r="I170" t="str">
        <f ca="1">IF(AND(LEN(K170)=0,LEN(F170)&gt;0),"Income",IF(AND(O170&gt;0,P170&gt;0,C170&lt;&gt;E170),"Trade",IF(AND(NOT(Q170),Taostats_CSV!F170="fee"),'READ ME'!$C$5,"")))</f>
        <v>Income</v>
      </c>
      <c r="J170" t="str">
        <f ca="1">SUBSTITUTE(IF(LEN(I170)=0,Taostats_CSV!F170&amp;" "&amp;Taostats_CSV!J170,IF(I170="Cost","Extrinsic fee","")),"_"," ")</f>
        <v/>
      </c>
      <c r="K170" t="str">
        <f>TRIM(IF(LEN(Taostats_CSV!I170)&gt;0,Taostats_CSV!I170,""))</f>
        <v/>
      </c>
      <c r="L170">
        <f ca="1">IF(Taostats_CSV!E170&lt;&gt;"TAO",IF(LEN(F170)&gt;0,F170,IF(LEN(D170)&gt;0,D170,0))*Taostats_CSV!P170,"")</f>
        <v>12.702577895049574</v>
      </c>
      <c r="M170" t="str">
        <f t="shared" ca="1" si="27"/>
        <v>USD</v>
      </c>
      <c r="N170">
        <f>COUNTIF(Taostats_CSV!$X:$X,Taostats_CSV!$I170&amp;N$1)</f>
        <v>0</v>
      </c>
      <c r="O170">
        <f>COUNTIF(Taostats_CSV!$X:$X,Taostats_CSV!$I170&amp;O$1)</f>
        <v>0</v>
      </c>
      <c r="P170">
        <f>COUNTIF(Taostats_CSV!$X:$X,Taostats_CSV!$I170&amp;P$1)</f>
        <v>0</v>
      </c>
      <c r="Q170" t="b">
        <f t="shared" si="28"/>
        <v>0</v>
      </c>
      <c r="R170" t="b">
        <f>IF(LEN(K170)&gt;0,COUNTIF($K$3:K170,K170),FALSE)</f>
        <v>0</v>
      </c>
      <c r="S170" t="b">
        <f>IF(Taostats_CSV!A170=Taostats_CSV!$A$2,TRUE,Taostats_CSV!G170+Taostats_CSV!H170+Taostats_CSV!R170=0)</f>
        <v>0</v>
      </c>
      <c r="T170" t="b">
        <f t="shared" si="29"/>
        <v>1</v>
      </c>
      <c r="U170" t="b" cm="1">
        <f t="array" aca="1" ref="U170" ca="1">AND(T170,OR(O170-N170&gt;1,P170&gt;1,ISERROR(A170:P170)))</f>
        <v>0</v>
      </c>
      <c r="W170" t="e">
        <f>MATCH(K170&amp;$W$2,Taostats_CSV!$X$3:$X$1167,0)</f>
        <v>#N/A</v>
      </c>
      <c r="X170" t="e">
        <f t="shared" ca="1" si="24"/>
        <v>#VALUE!</v>
      </c>
      <c r="Y170">
        <f t="shared" ca="1" si="25"/>
        <v>0.144265543</v>
      </c>
      <c r="Z170" t="e">
        <f t="shared" ca="1" si="26"/>
        <v>#VALUE!</v>
      </c>
    </row>
    <row r="171" spans="1:26" hidden="1" x14ac:dyDescent="0.4">
      <c r="A171" t="str">
        <f>MID(Taostats_CSV!C171,6,2)&amp;"/"&amp;MID(Taostats_CSV!C171,9,2)&amp;"/"&amp;LEFT(Taostats_CSV!C171,4)&amp;" "&amp;MID(Taostats_CSV!C171,12,8)</f>
        <v>04/15/2025 23:59:48</v>
      </c>
      <c r="C171" t="str">
        <f ca="1">IF(Q171,OFFSET(Taostats_CSV!$E$1,MATCH(K171&amp;D$1,Taostats_CSV!$X:$X,0)-1,0),IF(Taostats_CSV!F171="fee","",IF(VALUE(Taostats_CSV!G171)&gt;0,Taostats_CSV!E171,"")))</f>
        <v/>
      </c>
      <c r="D171" t="str">
        <f ca="1">IF(Q171,OFFSET(Taostats_CSV!$G$1,MATCH(K171&amp;D$1,Taostats_CSV!$X:$X,0)-1,0),IF(Taostats_CSV!F171="fee","",IF(VALUE(Taostats_CSV!G171)&gt;0,Taostats_CSV!G171,"")))</f>
        <v/>
      </c>
      <c r="E171" t="str">
        <f ca="1">IF(AND(Q171,P171&gt;0),OFFSET(Taostats_CSV!$E$1,MATCH(K171&amp;F$1,Taostats_CSV!$X:$X,0)-1,0),IF(LEN(F171)&gt;0,Taostats_CSV!E171,""))</f>
        <v>TAO</v>
      </c>
      <c r="F171" t="str">
        <f ca="1">TRIM(IF(AND(Q171,P171&gt;0),OFFSET(Taostats_CSV!$H$1,MATCH(K171&amp;F$1,Taostats_CSV!$X:$X,0)-1,0),IF(LEN(Taostats_CSV!H171)&gt;0,Taostats_CSV!H171,Taostats_CSV!R171)))</f>
        <v>0</v>
      </c>
      <c r="G171" t="str">
        <f ca="1">IF(AND(Q171,N171=1),OFFSET(Taostats_CSV!$E$1,MATCH(K171&amp;H$1,Taostats_CSV!$X:$X,0)-1,0),IF(Taostats_CSV!F171="fee",Taostats_CSV!E171,""))</f>
        <v/>
      </c>
      <c r="H171" t="str">
        <f ca="1">IF(AND(Q171,N171=1),OFFSET(Taostats_CSV!$G$1,MATCH(K171&amp;H$1,Taostats_CSV!$X:$X,0)-1,0),IF(Taostats_CSV!F171="fee",Taostats_CSV!G171,""))</f>
        <v/>
      </c>
      <c r="I171" t="str">
        <f ca="1">IF(AND(LEN(K171)=0,LEN(F171)&gt;0),"Income",IF(AND(O171&gt;0,P171&gt;0,C171&lt;&gt;E171),"Trade",IF(AND(NOT(Q171),Taostats_CSV!F171="fee"),'READ ME'!$C$5,"")))</f>
        <v>Income</v>
      </c>
      <c r="J171" t="str">
        <f ca="1">SUBSTITUTE(IF(LEN(I171)=0,Taostats_CSV!F171&amp;" "&amp;Taostats_CSV!J171,IF(I171="Cost","Extrinsic fee","")),"_"," ")</f>
        <v/>
      </c>
      <c r="K171" t="str">
        <f>TRIM(IF(LEN(Taostats_CSV!I171)&gt;0,Taostats_CSV!I171,""))</f>
        <v/>
      </c>
      <c r="L171" t="str">
        <f>IF(Taostats_CSV!E171&lt;&gt;"TAO",IF(LEN(F171)&gt;0,F171,IF(LEN(D171)&gt;0,D171,0))*Taostats_CSV!P171,"")</f>
        <v/>
      </c>
      <c r="M171" t="str">
        <f t="shared" si="27"/>
        <v/>
      </c>
      <c r="N171">
        <f>COUNTIF(Taostats_CSV!$X:$X,Taostats_CSV!$I171&amp;N$1)</f>
        <v>0</v>
      </c>
      <c r="O171">
        <f>COUNTIF(Taostats_CSV!$X:$X,Taostats_CSV!$I171&amp;O$1)</f>
        <v>0</v>
      </c>
      <c r="P171">
        <f>COUNTIF(Taostats_CSV!$X:$X,Taostats_CSV!$I171&amp;P$1)</f>
        <v>0</v>
      </c>
      <c r="Q171" t="b">
        <f t="shared" si="28"/>
        <v>0</v>
      </c>
      <c r="R171" t="b">
        <f>IF(LEN(K171)&gt;0,COUNTIF($K$3:K171,K171),FALSE)</f>
        <v>0</v>
      </c>
      <c r="S171" t="b">
        <f>IF(Taostats_CSV!A171=Taostats_CSV!$A$2,TRUE,Taostats_CSV!G171+Taostats_CSV!H171+Taostats_CSV!R171=0)</f>
        <v>1</v>
      </c>
      <c r="T171" t="b">
        <f t="shared" si="29"/>
        <v>0</v>
      </c>
      <c r="U171" t="b" cm="1">
        <f t="array" aca="1" ref="U171" ca="1">AND(T171,OR(O171-N171&gt;1,P171&gt;1,ISERROR(A171:P171)))</f>
        <v>0</v>
      </c>
      <c r="W171" t="e">
        <f>MATCH(K171&amp;$W$2,Taostats_CSV!$X$3:$X$1167,0)</f>
        <v>#N/A</v>
      </c>
      <c r="X171" t="e">
        <f t="shared" ca="1" si="24"/>
        <v>#VALUE!</v>
      </c>
      <c r="Y171">
        <f t="shared" ca="1" si="25"/>
        <v>0</v>
      </c>
      <c r="Z171" t="e">
        <f t="shared" ca="1" si="26"/>
        <v>#VALUE!</v>
      </c>
    </row>
    <row r="172" spans="1:26" x14ac:dyDescent="0.4">
      <c r="A172" t="str">
        <f>MID(Taostats_CSV!C172,6,2)&amp;"/"&amp;MID(Taostats_CSV!C172,9,2)&amp;"/"&amp;LEFT(Taostats_CSV!C172,4)&amp;" "&amp;MID(Taostats_CSV!C172,12,8)</f>
        <v>04/16/2025 23:59:48</v>
      </c>
      <c r="C172" t="str">
        <f ca="1">IF(Q172,OFFSET(Taostats_CSV!$E$1,MATCH(K172&amp;D$1,Taostats_CSV!$X:$X,0)-1,0),IF(Taostats_CSV!F172="fee",IF(VALUE(Taostats_CSV!G172)&gt;0,Taostats_CSV!E172,""),""))</f>
        <v/>
      </c>
      <c r="D172" t="str">
        <f ca="1">IF(Q172,OFFSET(Taostats_CSV!$G$1,MATCH(K172&amp;D$1,Taostats_CSV!$X:$X,0)-1,0),IF(Taostats_CSV!F172="fee",IF(VALUE(Taostats_CSV!G172)&gt;0,Taostats_CSV!G172,""),""))</f>
        <v/>
      </c>
      <c r="E172" t="str">
        <f ca="1">IF(AND(Q172,P172&gt;0),OFFSET(Taostats_CSV!$E$1,MATCH(K172&amp;F$1,Taostats_CSV!$X:$X,0)-1,0),IF(LEN(F172)&gt;0,Taostats_CSV!E172,""))</f>
        <v>SN3</v>
      </c>
      <c r="F172" t="str">
        <f ca="1">TRIM(IF(AND(Q172,P172&gt;0),OFFSET(Taostats_CSV!$H$1,MATCH(K172&amp;F$1,Taostats_CSV!$X:$X,0)-1,0),IF(LEN(Taostats_CSV!H172)&gt;0,Taostats_CSV!H172,Taostats_CSV!R172)))</f>
        <v>0.433826236</v>
      </c>
      <c r="G172" t="str">
        <f ca="1">IF(AND(Q172,N172=1),OFFSET(Taostats_CSV!$E$1,MATCH(K172&amp;H$1,Taostats_CSV!$X:$X,0)-1,0),"")</f>
        <v/>
      </c>
      <c r="H172" t="str">
        <f ca="1">IF(AND(Q172,N172=1),OFFSET(Taostats_CSV!$G$1,MATCH(K172&amp;H$1,Taostats_CSV!$X:$X,0)-1,0),"")</f>
        <v/>
      </c>
      <c r="I172" t="str">
        <f ca="1">IF(AND(LEN(K172)=0,LEN(F172)&gt;0),"Income",IF(AND(O172&gt;0,P172&gt;0,C172&lt;&gt;E172),"Trade",IF(AND(NOT(Q172),Taostats_CSV!F172="fee"),'READ ME'!$C$5,"")))</f>
        <v>Income</v>
      </c>
      <c r="J172" t="str">
        <f ca="1">SUBSTITUTE(IF(LEN(I172)=0,Taostats_CSV!F172&amp;" "&amp;Taostats_CSV!J172,IF(I172="Cost","Extrinsic fee","")),"_"," ")</f>
        <v/>
      </c>
      <c r="K172" t="str">
        <f>TRIM(IF(LEN(Taostats_CSV!I172)&gt;0,Taostats_CSV!I172,""))</f>
        <v/>
      </c>
      <c r="L172">
        <f ca="1">IF(Taostats_CSV!E172&lt;&gt;"TAO",IF(LEN(F172)&gt;0,F172,IF(LEN(D172)&gt;0,D172,0))*Taostats_CSV!P172,"")</f>
        <v>11.071927934901444</v>
      </c>
      <c r="M172" t="str">
        <f t="shared" ca="1" si="27"/>
        <v>USD</v>
      </c>
      <c r="N172">
        <f>COUNTIF(Taostats_CSV!$X:$X,Taostats_CSV!$I172&amp;N$1)</f>
        <v>0</v>
      </c>
      <c r="O172">
        <f>COUNTIF(Taostats_CSV!$X:$X,Taostats_CSV!$I172&amp;O$1)</f>
        <v>0</v>
      </c>
      <c r="P172">
        <f>COUNTIF(Taostats_CSV!$X:$X,Taostats_CSV!$I172&amp;P$1)</f>
        <v>0</v>
      </c>
      <c r="Q172" t="b">
        <f t="shared" si="28"/>
        <v>0</v>
      </c>
      <c r="R172" t="b">
        <f>IF(LEN(K172)&gt;0,COUNTIF($K$3:K172,K172),FALSE)</f>
        <v>0</v>
      </c>
      <c r="S172" t="b">
        <f>IF(Taostats_CSV!A172=Taostats_CSV!$A$2,TRUE,Taostats_CSV!G172+Taostats_CSV!H172+Taostats_CSV!R172=0)</f>
        <v>0</v>
      </c>
      <c r="T172" t="b">
        <f t="shared" si="29"/>
        <v>1</v>
      </c>
      <c r="U172" t="b" cm="1">
        <f t="array" aca="1" ref="U172" ca="1">AND(T172,OR(O172-N172&gt;1,P172&gt;1,ISERROR(A172:P172)))</f>
        <v>0</v>
      </c>
      <c r="W172" t="e">
        <f>MATCH(K172&amp;$W$2,Taostats_CSV!$X$3:$X$1167,0)</f>
        <v>#N/A</v>
      </c>
      <c r="X172" t="e">
        <f t="shared" ca="1" si="24"/>
        <v>#VALUE!</v>
      </c>
      <c r="Y172">
        <f t="shared" ca="1" si="25"/>
        <v>0.43382623599999998</v>
      </c>
      <c r="Z172" t="e">
        <f t="shared" ca="1" si="26"/>
        <v>#VALUE!</v>
      </c>
    </row>
    <row r="173" spans="1:26" x14ac:dyDescent="0.4">
      <c r="A173" t="str">
        <f>MID(Taostats_CSV!C173,6,2)&amp;"/"&amp;MID(Taostats_CSV!C173,9,2)&amp;"/"&amp;LEFT(Taostats_CSV!C173,4)&amp;" "&amp;MID(Taostats_CSV!C173,12,8)</f>
        <v>04/16/2025 23:59:48</v>
      </c>
      <c r="C173" t="str">
        <f ca="1">IF(Q173,OFFSET(Taostats_CSV!$E$1,MATCH(K173&amp;D$1,Taostats_CSV!$X:$X,0)-1,0),IF(Taostats_CSV!F173="fee",IF(VALUE(Taostats_CSV!G173)&gt;0,Taostats_CSV!E173,""),""))</f>
        <v/>
      </c>
      <c r="D173" t="str">
        <f ca="1">IF(Q173,OFFSET(Taostats_CSV!$G$1,MATCH(K173&amp;D$1,Taostats_CSV!$X:$X,0)-1,0),IF(Taostats_CSV!F173="fee",IF(VALUE(Taostats_CSV!G173)&gt;0,Taostats_CSV!G173,""),""))</f>
        <v/>
      </c>
      <c r="E173" t="str">
        <f ca="1">IF(AND(Q173,P173&gt;0),OFFSET(Taostats_CSV!$E$1,MATCH(K173&amp;F$1,Taostats_CSV!$X:$X,0)-1,0),IF(LEN(F173)&gt;0,Taostats_CSV!E173,""))</f>
        <v>SN4</v>
      </c>
      <c r="F173" t="str">
        <f ca="1">TRIM(IF(AND(Q173,P173&gt;0),OFFSET(Taostats_CSV!$H$1,MATCH(K173&amp;F$1,Taostats_CSV!$X:$X,0)-1,0),IF(LEN(Taostats_CSV!H173)&gt;0,Taostats_CSV!H173,Taostats_CSV!R173)))</f>
        <v>0.34204326</v>
      </c>
      <c r="G173" t="str">
        <f ca="1">IF(AND(Q173,N173=1),OFFSET(Taostats_CSV!$E$1,MATCH(K173&amp;H$1,Taostats_CSV!$X:$X,0)-1,0),"")</f>
        <v/>
      </c>
      <c r="H173" t="str">
        <f ca="1">IF(AND(Q173,N173=1),OFFSET(Taostats_CSV!$G$1,MATCH(K173&amp;H$1,Taostats_CSV!$X:$X,0)-1,0),"")</f>
        <v/>
      </c>
      <c r="I173" t="str">
        <f ca="1">IF(AND(LEN(K173)=0,LEN(F173)&gt;0),"Income",IF(AND(O173&gt;0,P173&gt;0,C173&lt;&gt;E173),"Trade",IF(AND(NOT(Q173),Taostats_CSV!F173="fee"),'READ ME'!$C$5,"")))</f>
        <v>Income</v>
      </c>
      <c r="J173" t="str">
        <f ca="1">SUBSTITUTE(IF(LEN(I173)=0,Taostats_CSV!F173&amp;" "&amp;Taostats_CSV!J173,IF(I173="Cost","Extrinsic fee","")),"_"," ")</f>
        <v/>
      </c>
      <c r="K173" t="str">
        <f>TRIM(IF(LEN(Taostats_CSV!I173)&gt;0,Taostats_CSV!I173,""))</f>
        <v/>
      </c>
      <c r="L173">
        <f ca="1">IF(Taostats_CSV!E173&lt;&gt;"TAO",IF(LEN(F173)&gt;0,F173,IF(LEN(D173)&gt;0,D173,0))*Taostats_CSV!P173,"")</f>
        <v>13.554196066262703</v>
      </c>
      <c r="M173" t="str">
        <f t="shared" ca="1" si="27"/>
        <v>USD</v>
      </c>
      <c r="N173">
        <f>COUNTIF(Taostats_CSV!$X:$X,Taostats_CSV!$I173&amp;N$1)</f>
        <v>0</v>
      </c>
      <c r="O173">
        <f>COUNTIF(Taostats_CSV!$X:$X,Taostats_CSV!$I173&amp;O$1)</f>
        <v>0</v>
      </c>
      <c r="P173">
        <f>COUNTIF(Taostats_CSV!$X:$X,Taostats_CSV!$I173&amp;P$1)</f>
        <v>0</v>
      </c>
      <c r="Q173" t="b">
        <f t="shared" si="28"/>
        <v>0</v>
      </c>
      <c r="R173" t="b">
        <f>IF(LEN(K173)&gt;0,COUNTIF($K$3:K173,K173),FALSE)</f>
        <v>0</v>
      </c>
      <c r="S173" t="b">
        <f>IF(Taostats_CSV!A173=Taostats_CSV!$A$2,TRUE,Taostats_CSV!G173+Taostats_CSV!H173+Taostats_CSV!R173=0)</f>
        <v>0</v>
      </c>
      <c r="T173" t="b">
        <f t="shared" si="29"/>
        <v>1</v>
      </c>
      <c r="U173" t="b" cm="1">
        <f t="array" aca="1" ref="U173" ca="1">AND(T173,OR(O173-N173&gt;1,P173&gt;1,ISERROR(A173:P173)))</f>
        <v>0</v>
      </c>
      <c r="W173" t="e">
        <f>MATCH(K173&amp;$W$2,Taostats_CSV!$X$3:$X$1167,0)</f>
        <v>#N/A</v>
      </c>
      <c r="X173" t="e">
        <f t="shared" ca="1" si="24"/>
        <v>#VALUE!</v>
      </c>
      <c r="Y173">
        <f t="shared" ca="1" si="25"/>
        <v>0.34204326000000002</v>
      </c>
      <c r="Z173" t="e">
        <f t="shared" ca="1" si="26"/>
        <v>#VALUE!</v>
      </c>
    </row>
    <row r="174" spans="1:26" x14ac:dyDescent="0.4">
      <c r="A174" t="str">
        <f>MID(Taostats_CSV!C174,6,2)&amp;"/"&amp;MID(Taostats_CSV!C174,9,2)&amp;"/"&amp;LEFT(Taostats_CSV!C174,4)&amp;" "&amp;MID(Taostats_CSV!C174,12,8)</f>
        <v>04/16/2025 23:59:48</v>
      </c>
      <c r="C174" t="str">
        <f ca="1">IF(Q174,OFFSET(Taostats_CSV!$E$1,MATCH(K174&amp;D$1,Taostats_CSV!$X:$X,0)-1,0),IF(Taostats_CSV!F174="fee",IF(VALUE(Taostats_CSV!G174)&gt;0,Taostats_CSV!E174,""),""))</f>
        <v/>
      </c>
      <c r="D174" t="str">
        <f ca="1">IF(Q174,OFFSET(Taostats_CSV!$G$1,MATCH(K174&amp;D$1,Taostats_CSV!$X:$X,0)-1,0),IF(Taostats_CSV!F174="fee",IF(VALUE(Taostats_CSV!G174)&gt;0,Taostats_CSV!G174,""),""))</f>
        <v/>
      </c>
      <c r="E174" t="str">
        <f ca="1">IF(AND(Q174,P174&gt;0),OFFSET(Taostats_CSV!$E$1,MATCH(K174&amp;F$1,Taostats_CSV!$X:$X,0)-1,0),IF(LEN(F174)&gt;0,Taostats_CSV!E174,""))</f>
        <v>SN56</v>
      </c>
      <c r="F174" t="str">
        <f ca="1">TRIM(IF(AND(Q174,P174&gt;0),OFFSET(Taostats_CSV!$H$1,MATCH(K174&amp;F$1,Taostats_CSV!$X:$X,0)-1,0),IF(LEN(Taostats_CSV!H174)&gt;0,Taostats_CSV!H174,Taostats_CSV!R174)))</f>
        <v>0.242509458</v>
      </c>
      <c r="G174" t="str">
        <f ca="1">IF(AND(Q174,N174=1),OFFSET(Taostats_CSV!$E$1,MATCH(K174&amp;H$1,Taostats_CSV!$X:$X,0)-1,0),"")</f>
        <v/>
      </c>
      <c r="H174" t="str">
        <f ca="1">IF(AND(Q174,N174=1),OFFSET(Taostats_CSV!$G$1,MATCH(K174&amp;H$1,Taostats_CSV!$X:$X,0)-1,0),"")</f>
        <v/>
      </c>
      <c r="I174" t="str">
        <f ca="1">IF(AND(LEN(K174)=0,LEN(F174)&gt;0),"Income",IF(AND(O174&gt;0,P174&gt;0,C174&lt;&gt;E174),"Trade",IF(AND(NOT(Q174),Taostats_CSV!F174="fee"),'READ ME'!$C$5,"")))</f>
        <v>Income</v>
      </c>
      <c r="J174" t="str">
        <f ca="1">SUBSTITUTE(IF(LEN(I174)=0,Taostats_CSV!F174&amp;" "&amp;Taostats_CSV!J174,IF(I174="Cost","Extrinsic fee","")),"_"," ")</f>
        <v/>
      </c>
      <c r="K174" t="str">
        <f>TRIM(IF(LEN(Taostats_CSV!I174)&gt;0,Taostats_CSV!I174,""))</f>
        <v/>
      </c>
      <c r="L174">
        <f ca="1">IF(Taostats_CSV!E174&lt;&gt;"TAO",IF(LEN(F174)&gt;0,F174,IF(LEN(D174)&gt;0,D174,0))*Taostats_CSV!P174,"")</f>
        <v>10.231914303346016</v>
      </c>
      <c r="M174" t="str">
        <f t="shared" ca="1" si="27"/>
        <v>USD</v>
      </c>
      <c r="N174">
        <f>COUNTIF(Taostats_CSV!$X:$X,Taostats_CSV!$I174&amp;N$1)</f>
        <v>0</v>
      </c>
      <c r="O174">
        <f>COUNTIF(Taostats_CSV!$X:$X,Taostats_CSV!$I174&amp;O$1)</f>
        <v>0</v>
      </c>
      <c r="P174">
        <f>COUNTIF(Taostats_CSV!$X:$X,Taostats_CSV!$I174&amp;P$1)</f>
        <v>0</v>
      </c>
      <c r="Q174" t="b">
        <f t="shared" si="28"/>
        <v>0</v>
      </c>
      <c r="R174" t="b">
        <f>IF(LEN(K174)&gt;0,COUNTIF($K$3:K174,K174),FALSE)</f>
        <v>0</v>
      </c>
      <c r="S174" t="b">
        <f>IF(Taostats_CSV!A174=Taostats_CSV!$A$2,TRUE,Taostats_CSV!G174+Taostats_CSV!H174+Taostats_CSV!R174=0)</f>
        <v>0</v>
      </c>
      <c r="T174" t="b">
        <f t="shared" si="29"/>
        <v>1</v>
      </c>
      <c r="U174" t="b" cm="1">
        <f t="array" aca="1" ref="U174" ca="1">AND(T174,OR(O174-N174&gt;1,P174&gt;1,ISERROR(A174:P174)))</f>
        <v>0</v>
      </c>
      <c r="W174" t="e">
        <f>MATCH(K174&amp;$W$2,Taostats_CSV!$X$3:$X$1167,0)</f>
        <v>#N/A</v>
      </c>
      <c r="X174" t="e">
        <f t="shared" ca="1" si="24"/>
        <v>#VALUE!</v>
      </c>
      <c r="Y174">
        <f t="shared" ca="1" si="25"/>
        <v>0.24250945800000001</v>
      </c>
      <c r="Z174" t="e">
        <f t="shared" ca="1" si="26"/>
        <v>#VALUE!</v>
      </c>
    </row>
    <row r="175" spans="1:26" x14ac:dyDescent="0.4">
      <c r="A175" t="str">
        <f>MID(Taostats_CSV!C175,6,2)&amp;"/"&amp;MID(Taostats_CSV!C175,9,2)&amp;"/"&amp;LEFT(Taostats_CSV!C175,4)&amp;" "&amp;MID(Taostats_CSV!C175,12,8)</f>
        <v>04/16/2025 23:59:48</v>
      </c>
      <c r="C175" t="str">
        <f ca="1">IF(Q175,OFFSET(Taostats_CSV!$E$1,MATCH(K175&amp;D$1,Taostats_CSV!$X:$X,0)-1,0),IF(Taostats_CSV!F175="fee",IF(VALUE(Taostats_CSV!G175)&gt;0,Taostats_CSV!E175,""),""))</f>
        <v/>
      </c>
      <c r="D175" t="str">
        <f ca="1">IF(Q175,OFFSET(Taostats_CSV!$G$1,MATCH(K175&amp;D$1,Taostats_CSV!$X:$X,0)-1,0),IF(Taostats_CSV!F175="fee",IF(VALUE(Taostats_CSV!G175)&gt;0,Taostats_CSV!G175,""),""))</f>
        <v/>
      </c>
      <c r="E175" t="str">
        <f ca="1">IF(AND(Q175,P175&gt;0),OFFSET(Taostats_CSV!$E$1,MATCH(K175&amp;F$1,Taostats_CSV!$X:$X,0)-1,0),IF(LEN(F175)&gt;0,Taostats_CSV!E175,""))</f>
        <v>SN64</v>
      </c>
      <c r="F175" t="str">
        <f ca="1">TRIM(IF(AND(Q175,P175&gt;0),OFFSET(Taostats_CSV!$H$1,MATCH(K175&amp;F$1,Taostats_CSV!$X:$X,0)-1,0),IF(LEN(Taostats_CSV!H175)&gt;0,Taostats_CSV!H175,Taostats_CSV!R175)))</f>
        <v>0.145332818</v>
      </c>
      <c r="G175" t="str">
        <f ca="1">IF(AND(Q175,N175=1),OFFSET(Taostats_CSV!$E$1,MATCH(K175&amp;H$1,Taostats_CSV!$X:$X,0)-1,0),"")</f>
        <v/>
      </c>
      <c r="H175" t="str">
        <f ca="1">IF(AND(Q175,N175=1),OFFSET(Taostats_CSV!$G$1,MATCH(K175&amp;H$1,Taostats_CSV!$X:$X,0)-1,0),"")</f>
        <v/>
      </c>
      <c r="I175" t="str">
        <f ca="1">IF(AND(LEN(K175)=0,LEN(F175)&gt;0),"Income",IF(AND(O175&gt;0,P175&gt;0,C175&lt;&gt;E175),"Trade",IF(AND(NOT(Q175),Taostats_CSV!F175="fee"),'READ ME'!$C$5,"")))</f>
        <v>Income</v>
      </c>
      <c r="J175" t="str">
        <f ca="1">SUBSTITUTE(IF(LEN(I175)=0,Taostats_CSV!F175&amp;" "&amp;Taostats_CSV!J175,IF(I175="Cost","Extrinsic fee","")),"_"," ")</f>
        <v/>
      </c>
      <c r="K175" t="str">
        <f>TRIM(IF(LEN(Taostats_CSV!I175)&gt;0,Taostats_CSV!I175,""))</f>
        <v/>
      </c>
      <c r="L175">
        <f ca="1">IF(Taostats_CSV!E175&lt;&gt;"TAO",IF(LEN(F175)&gt;0,F175,IF(LEN(D175)&gt;0,D175,0))*Taostats_CSV!P175,"")</f>
        <v>11.777629537131848</v>
      </c>
      <c r="M175" t="str">
        <f t="shared" ca="1" si="27"/>
        <v>USD</v>
      </c>
      <c r="N175">
        <f>COUNTIF(Taostats_CSV!$X:$X,Taostats_CSV!$I175&amp;N$1)</f>
        <v>0</v>
      </c>
      <c r="O175">
        <f>COUNTIF(Taostats_CSV!$X:$X,Taostats_CSV!$I175&amp;O$1)</f>
        <v>0</v>
      </c>
      <c r="P175">
        <f>COUNTIF(Taostats_CSV!$X:$X,Taostats_CSV!$I175&amp;P$1)</f>
        <v>0</v>
      </c>
      <c r="Q175" t="b">
        <f t="shared" si="28"/>
        <v>0</v>
      </c>
      <c r="R175" t="b">
        <f>IF(LEN(K175)&gt;0,COUNTIF($K$3:K175,K175),FALSE)</f>
        <v>0</v>
      </c>
      <c r="S175" t="b">
        <f>IF(Taostats_CSV!A175=Taostats_CSV!$A$2,TRUE,Taostats_CSV!G175+Taostats_CSV!H175+Taostats_CSV!R175=0)</f>
        <v>0</v>
      </c>
      <c r="T175" t="b">
        <f t="shared" si="29"/>
        <v>1</v>
      </c>
      <c r="U175" t="b" cm="1">
        <f t="array" aca="1" ref="U175" ca="1">AND(T175,OR(O175-N175&gt;1,P175&gt;1,ISERROR(A175:P175)))</f>
        <v>0</v>
      </c>
      <c r="W175" t="e">
        <f>MATCH(K175&amp;$W$2,Taostats_CSV!$X$3:$X$1167,0)</f>
        <v>#N/A</v>
      </c>
      <c r="X175" t="e">
        <f t="shared" ca="1" si="24"/>
        <v>#VALUE!</v>
      </c>
      <c r="Y175">
        <f t="shared" ca="1" si="25"/>
        <v>0.145332818</v>
      </c>
      <c r="Z175" t="e">
        <f t="shared" ca="1" si="26"/>
        <v>#VALUE!</v>
      </c>
    </row>
    <row r="176" spans="1:26" hidden="1" x14ac:dyDescent="0.4">
      <c r="A176" t="str">
        <f>MID(Taostats_CSV!C176,6,2)&amp;"/"&amp;MID(Taostats_CSV!C176,9,2)&amp;"/"&amp;LEFT(Taostats_CSV!C176,4)&amp;" "&amp;MID(Taostats_CSV!C176,12,8)</f>
        <v>04/16/2025 23:59:48</v>
      </c>
      <c r="C176" t="str">
        <f ca="1">IF(Q176,OFFSET(Taostats_CSV!$E$1,MATCH(K176&amp;D$1,Taostats_CSV!$X:$X,0)-1,0),IF(Taostats_CSV!F176="fee","",IF(VALUE(Taostats_CSV!G176)&gt;0,Taostats_CSV!E176,"")))</f>
        <v/>
      </c>
      <c r="D176" t="str">
        <f ca="1">IF(Q176,OFFSET(Taostats_CSV!$G$1,MATCH(K176&amp;D$1,Taostats_CSV!$X:$X,0)-1,0),IF(Taostats_CSV!F176="fee","",IF(VALUE(Taostats_CSV!G176)&gt;0,Taostats_CSV!G176,"")))</f>
        <v/>
      </c>
      <c r="E176" t="str">
        <f ca="1">IF(AND(Q176,P176&gt;0),OFFSET(Taostats_CSV!$E$1,MATCH(K176&amp;F$1,Taostats_CSV!$X:$X,0)-1,0),IF(LEN(F176)&gt;0,Taostats_CSV!E176,""))</f>
        <v>TAO</v>
      </c>
      <c r="F176" t="str">
        <f ca="1">TRIM(IF(AND(Q176,P176&gt;0),OFFSET(Taostats_CSV!$H$1,MATCH(K176&amp;F$1,Taostats_CSV!$X:$X,0)-1,0),IF(LEN(Taostats_CSV!H176)&gt;0,Taostats_CSV!H176,Taostats_CSV!R176)))</f>
        <v>0</v>
      </c>
      <c r="G176" t="str">
        <f ca="1">IF(AND(Q176,N176=1),OFFSET(Taostats_CSV!$E$1,MATCH(K176&amp;H$1,Taostats_CSV!$X:$X,0)-1,0),IF(Taostats_CSV!F176="fee",Taostats_CSV!E176,""))</f>
        <v/>
      </c>
      <c r="H176" t="str">
        <f ca="1">IF(AND(Q176,N176=1),OFFSET(Taostats_CSV!$G$1,MATCH(K176&amp;H$1,Taostats_CSV!$X:$X,0)-1,0),IF(Taostats_CSV!F176="fee",Taostats_CSV!G176,""))</f>
        <v/>
      </c>
      <c r="I176" t="str">
        <f ca="1">IF(AND(LEN(K176)=0,LEN(F176)&gt;0),"Income",IF(AND(O176&gt;0,P176&gt;0,C176&lt;&gt;E176),"Trade",IF(AND(NOT(Q176),Taostats_CSV!F176="fee"),'READ ME'!$C$5,"")))</f>
        <v>Income</v>
      </c>
      <c r="J176" t="str">
        <f ca="1">SUBSTITUTE(IF(LEN(I176)=0,Taostats_CSV!F176&amp;" "&amp;Taostats_CSV!J176,IF(I176="Cost","Extrinsic fee","")),"_"," ")</f>
        <v/>
      </c>
      <c r="K176" t="str">
        <f>TRIM(IF(LEN(Taostats_CSV!I176)&gt;0,Taostats_CSV!I176,""))</f>
        <v/>
      </c>
      <c r="L176" t="str">
        <f>IF(Taostats_CSV!E176&lt;&gt;"TAO",IF(LEN(F176)&gt;0,F176,IF(LEN(D176)&gt;0,D176,0))*Taostats_CSV!P176,"")</f>
        <v/>
      </c>
      <c r="M176" t="str">
        <f t="shared" si="27"/>
        <v/>
      </c>
      <c r="N176">
        <f>COUNTIF(Taostats_CSV!$X:$X,Taostats_CSV!$I176&amp;N$1)</f>
        <v>0</v>
      </c>
      <c r="O176">
        <f>COUNTIF(Taostats_CSV!$X:$X,Taostats_CSV!$I176&amp;O$1)</f>
        <v>0</v>
      </c>
      <c r="P176">
        <f>COUNTIF(Taostats_CSV!$X:$X,Taostats_CSV!$I176&amp;P$1)</f>
        <v>0</v>
      </c>
      <c r="Q176" t="b">
        <f t="shared" si="28"/>
        <v>0</v>
      </c>
      <c r="R176" t="b">
        <f>IF(LEN(K176)&gt;0,COUNTIF($K$3:K176,K176),FALSE)</f>
        <v>0</v>
      </c>
      <c r="S176" t="b">
        <f>IF(Taostats_CSV!A176=Taostats_CSV!$A$2,TRUE,Taostats_CSV!G176+Taostats_CSV!H176+Taostats_CSV!R176=0)</f>
        <v>1</v>
      </c>
      <c r="T176" t="b">
        <f t="shared" si="29"/>
        <v>0</v>
      </c>
      <c r="U176" t="b" cm="1">
        <f t="array" aca="1" ref="U176" ca="1">AND(T176,OR(O176-N176&gt;1,P176&gt;1,ISERROR(A176:P176)))</f>
        <v>0</v>
      </c>
      <c r="W176" t="e">
        <f>MATCH(K176&amp;$W$2,Taostats_CSV!$X$3:$X$1167,0)</f>
        <v>#N/A</v>
      </c>
      <c r="X176" t="e">
        <f t="shared" ca="1" si="24"/>
        <v>#VALUE!</v>
      </c>
      <c r="Y176">
        <f t="shared" ca="1" si="25"/>
        <v>0</v>
      </c>
      <c r="Z176" t="e">
        <f t="shared" ca="1" si="26"/>
        <v>#VALUE!</v>
      </c>
    </row>
    <row r="177" spans="1:26" x14ac:dyDescent="0.4">
      <c r="A177" t="str">
        <f>MID(Taostats_CSV!C177,6,2)&amp;"/"&amp;MID(Taostats_CSV!C177,9,2)&amp;"/"&amp;LEFT(Taostats_CSV!C177,4)&amp;" "&amp;MID(Taostats_CSV!C177,12,8)</f>
        <v>04/17/2025 23:59:48</v>
      </c>
      <c r="C177" t="str">
        <f ca="1">IF(Q177,OFFSET(Taostats_CSV!$E$1,MATCH(K177&amp;D$1,Taostats_CSV!$X:$X,0)-1,0),IF(Taostats_CSV!F177="fee",IF(VALUE(Taostats_CSV!G177)&gt;0,Taostats_CSV!E177,""),""))</f>
        <v/>
      </c>
      <c r="D177" t="str">
        <f ca="1">IF(Q177,OFFSET(Taostats_CSV!$G$1,MATCH(K177&amp;D$1,Taostats_CSV!$X:$X,0)-1,0),IF(Taostats_CSV!F177="fee",IF(VALUE(Taostats_CSV!G177)&gt;0,Taostats_CSV!G177,""),""))</f>
        <v/>
      </c>
      <c r="E177" t="str">
        <f ca="1">IF(AND(Q177,P177&gt;0),OFFSET(Taostats_CSV!$E$1,MATCH(K177&amp;F$1,Taostats_CSV!$X:$X,0)-1,0),IF(LEN(F177)&gt;0,Taostats_CSV!E177,""))</f>
        <v>SN3</v>
      </c>
      <c r="F177" t="str">
        <f ca="1">TRIM(IF(AND(Q177,P177&gt;0),OFFSET(Taostats_CSV!$H$1,MATCH(K177&amp;F$1,Taostats_CSV!$X:$X,0)-1,0),IF(LEN(Taostats_CSV!H177)&gt;0,Taostats_CSV!H177,Taostats_CSV!R177)))</f>
        <v>0.451143221</v>
      </c>
      <c r="G177" t="str">
        <f ca="1">IF(AND(Q177,N177=1),OFFSET(Taostats_CSV!$E$1,MATCH(K177&amp;H$1,Taostats_CSV!$X:$X,0)-1,0),"")</f>
        <v/>
      </c>
      <c r="H177" t="str">
        <f ca="1">IF(AND(Q177,N177=1),OFFSET(Taostats_CSV!$G$1,MATCH(K177&amp;H$1,Taostats_CSV!$X:$X,0)-1,0),"")</f>
        <v/>
      </c>
      <c r="I177" t="str">
        <f ca="1">IF(AND(LEN(K177)=0,LEN(F177)&gt;0),"Income",IF(AND(O177&gt;0,P177&gt;0,C177&lt;&gt;E177),"Trade",IF(AND(NOT(Q177),Taostats_CSV!F177="fee"),'READ ME'!$C$5,"")))</f>
        <v>Income</v>
      </c>
      <c r="J177" t="str">
        <f ca="1">SUBSTITUTE(IF(LEN(I177)=0,Taostats_CSV!F177&amp;" "&amp;Taostats_CSV!J177,IF(I177="Cost","Extrinsic fee","")),"_"," ")</f>
        <v/>
      </c>
      <c r="K177" t="str">
        <f>TRIM(IF(LEN(Taostats_CSV!I177)&gt;0,Taostats_CSV!I177,""))</f>
        <v/>
      </c>
      <c r="L177">
        <f ca="1">IF(Taostats_CSV!E177&lt;&gt;"TAO",IF(LEN(F177)&gt;0,F177,IF(LEN(D177)&gt;0,D177,0))*Taostats_CSV!P177,"")</f>
        <v>13.03885717182434</v>
      </c>
      <c r="M177" t="str">
        <f t="shared" ca="1" si="27"/>
        <v>USD</v>
      </c>
      <c r="N177">
        <f>COUNTIF(Taostats_CSV!$X:$X,Taostats_CSV!$I177&amp;N$1)</f>
        <v>0</v>
      </c>
      <c r="O177">
        <f>COUNTIF(Taostats_CSV!$X:$X,Taostats_CSV!$I177&amp;O$1)</f>
        <v>0</v>
      </c>
      <c r="P177">
        <f>COUNTIF(Taostats_CSV!$X:$X,Taostats_CSV!$I177&amp;P$1)</f>
        <v>0</v>
      </c>
      <c r="Q177" t="b">
        <f t="shared" si="28"/>
        <v>0</v>
      </c>
      <c r="R177" t="b">
        <f>IF(LEN(K177)&gt;0,COUNTIF($K$3:K177,K177),FALSE)</f>
        <v>0</v>
      </c>
      <c r="S177" t="b">
        <f>IF(Taostats_CSV!A177=Taostats_CSV!$A$2,TRUE,Taostats_CSV!G177+Taostats_CSV!H177+Taostats_CSV!R177=0)</f>
        <v>0</v>
      </c>
      <c r="T177" t="b">
        <f t="shared" si="29"/>
        <v>1</v>
      </c>
      <c r="U177" t="b" cm="1">
        <f t="array" aca="1" ref="U177" ca="1">AND(T177,OR(O177-N177&gt;1,P177&gt;1,ISERROR(A177:P177)))</f>
        <v>0</v>
      </c>
      <c r="W177" t="e">
        <f>MATCH(K177&amp;$W$2,Taostats_CSV!$X$3:$X$1167,0)</f>
        <v>#N/A</v>
      </c>
      <c r="X177" t="e">
        <f t="shared" ca="1" si="24"/>
        <v>#VALUE!</v>
      </c>
      <c r="Y177">
        <f t="shared" ca="1" si="25"/>
        <v>0.45114322099999998</v>
      </c>
      <c r="Z177" t="e">
        <f t="shared" ca="1" si="26"/>
        <v>#VALUE!</v>
      </c>
    </row>
    <row r="178" spans="1:26" x14ac:dyDescent="0.4">
      <c r="A178" t="str">
        <f>MID(Taostats_CSV!C178,6,2)&amp;"/"&amp;MID(Taostats_CSV!C178,9,2)&amp;"/"&amp;LEFT(Taostats_CSV!C178,4)&amp;" "&amp;MID(Taostats_CSV!C178,12,8)</f>
        <v>04/17/2025 23:59:48</v>
      </c>
      <c r="C178" t="str">
        <f ca="1">IF(Q178,OFFSET(Taostats_CSV!$E$1,MATCH(K178&amp;D$1,Taostats_CSV!$X:$X,0)-1,0),IF(Taostats_CSV!F178="fee",IF(VALUE(Taostats_CSV!G178)&gt;0,Taostats_CSV!E178,""),""))</f>
        <v/>
      </c>
      <c r="D178" t="str">
        <f ca="1">IF(Q178,OFFSET(Taostats_CSV!$G$1,MATCH(K178&amp;D$1,Taostats_CSV!$X:$X,0)-1,0),IF(Taostats_CSV!F178="fee",IF(VALUE(Taostats_CSV!G178)&gt;0,Taostats_CSV!G178,""),""))</f>
        <v/>
      </c>
      <c r="E178" t="str">
        <f ca="1">IF(AND(Q178,P178&gt;0),OFFSET(Taostats_CSV!$E$1,MATCH(K178&amp;F$1,Taostats_CSV!$X:$X,0)-1,0),IF(LEN(F178)&gt;0,Taostats_CSV!E178,""))</f>
        <v>SN4</v>
      </c>
      <c r="F178" t="str">
        <f ca="1">TRIM(IF(AND(Q178,P178&gt;0),OFFSET(Taostats_CSV!$H$1,MATCH(K178&amp;F$1,Taostats_CSV!$X:$X,0)-1,0),IF(LEN(Taostats_CSV!H178)&gt;0,Taostats_CSV!H178,Taostats_CSV!R178)))</f>
        <v>0.350516958</v>
      </c>
      <c r="G178" t="str">
        <f ca="1">IF(AND(Q178,N178=1),OFFSET(Taostats_CSV!$E$1,MATCH(K178&amp;H$1,Taostats_CSV!$X:$X,0)-1,0),"")</f>
        <v/>
      </c>
      <c r="H178" t="str">
        <f ca="1">IF(AND(Q178,N178=1),OFFSET(Taostats_CSV!$G$1,MATCH(K178&amp;H$1,Taostats_CSV!$X:$X,0)-1,0),"")</f>
        <v/>
      </c>
      <c r="I178" t="str">
        <f ca="1">IF(AND(LEN(K178)=0,LEN(F178)&gt;0),"Income",IF(AND(O178&gt;0,P178&gt;0,C178&lt;&gt;E178),"Trade",IF(AND(NOT(Q178),Taostats_CSV!F178="fee"),'READ ME'!$C$5,"")))</f>
        <v>Income</v>
      </c>
      <c r="J178" t="str">
        <f ca="1">SUBSTITUTE(IF(LEN(I178)=0,Taostats_CSV!F178&amp;" "&amp;Taostats_CSV!J178,IF(I178="Cost","Extrinsic fee","")),"_"," ")</f>
        <v/>
      </c>
      <c r="K178" t="str">
        <f>TRIM(IF(LEN(Taostats_CSV!I178)&gt;0,Taostats_CSV!I178,""))</f>
        <v/>
      </c>
      <c r="L178">
        <f ca="1">IF(Taostats_CSV!E178&lt;&gt;"TAO",IF(LEN(F178)&gt;0,F178,IF(LEN(D178)&gt;0,D178,0))*Taostats_CSV!P178,"")</f>
        <v>14.933204517697243</v>
      </c>
      <c r="M178" t="str">
        <f t="shared" ca="1" si="27"/>
        <v>USD</v>
      </c>
      <c r="N178">
        <f>COUNTIF(Taostats_CSV!$X:$X,Taostats_CSV!$I178&amp;N$1)</f>
        <v>0</v>
      </c>
      <c r="O178">
        <f>COUNTIF(Taostats_CSV!$X:$X,Taostats_CSV!$I178&amp;O$1)</f>
        <v>0</v>
      </c>
      <c r="P178">
        <f>COUNTIF(Taostats_CSV!$X:$X,Taostats_CSV!$I178&amp;P$1)</f>
        <v>0</v>
      </c>
      <c r="Q178" t="b">
        <f t="shared" si="28"/>
        <v>0</v>
      </c>
      <c r="R178" t="b">
        <f>IF(LEN(K178)&gt;0,COUNTIF($K$3:K178,K178),FALSE)</f>
        <v>0</v>
      </c>
      <c r="S178" t="b">
        <f>IF(Taostats_CSV!A178=Taostats_CSV!$A$2,TRUE,Taostats_CSV!G178+Taostats_CSV!H178+Taostats_CSV!R178=0)</f>
        <v>0</v>
      </c>
      <c r="T178" t="b">
        <f t="shared" si="29"/>
        <v>1</v>
      </c>
      <c r="U178" t="b" cm="1">
        <f t="array" aca="1" ref="U178" ca="1">AND(T178,OR(O178-N178&gt;1,P178&gt;1,ISERROR(A178:P178)))</f>
        <v>0</v>
      </c>
      <c r="W178" t="e">
        <f>MATCH(K178&amp;$W$2,Taostats_CSV!$X$3:$X$1167,0)</f>
        <v>#N/A</v>
      </c>
      <c r="X178" t="e">
        <f t="shared" ca="1" si="24"/>
        <v>#VALUE!</v>
      </c>
      <c r="Y178">
        <f t="shared" ca="1" si="25"/>
        <v>0.35051695799999999</v>
      </c>
      <c r="Z178" t="e">
        <f t="shared" ca="1" si="26"/>
        <v>#VALUE!</v>
      </c>
    </row>
    <row r="179" spans="1:26" x14ac:dyDescent="0.4">
      <c r="A179" t="str">
        <f>MID(Taostats_CSV!C179,6,2)&amp;"/"&amp;MID(Taostats_CSV!C179,9,2)&amp;"/"&amp;LEFT(Taostats_CSV!C179,4)&amp;" "&amp;MID(Taostats_CSV!C179,12,8)</f>
        <v>04/17/2025 23:59:48</v>
      </c>
      <c r="C179" t="str">
        <f ca="1">IF(Q179,OFFSET(Taostats_CSV!$E$1,MATCH(K179&amp;D$1,Taostats_CSV!$X:$X,0)-1,0),IF(Taostats_CSV!F179="fee",IF(VALUE(Taostats_CSV!G179)&gt;0,Taostats_CSV!E179,""),""))</f>
        <v/>
      </c>
      <c r="D179" t="str">
        <f ca="1">IF(Q179,OFFSET(Taostats_CSV!$G$1,MATCH(K179&amp;D$1,Taostats_CSV!$X:$X,0)-1,0),IF(Taostats_CSV!F179="fee",IF(VALUE(Taostats_CSV!G179)&gt;0,Taostats_CSV!G179,""),""))</f>
        <v/>
      </c>
      <c r="E179" t="str">
        <f ca="1">IF(AND(Q179,P179&gt;0),OFFSET(Taostats_CSV!$E$1,MATCH(K179&amp;F$1,Taostats_CSV!$X:$X,0)-1,0),IF(LEN(F179)&gt;0,Taostats_CSV!E179,""))</f>
        <v>SN56</v>
      </c>
      <c r="F179" t="str">
        <f ca="1">TRIM(IF(AND(Q179,P179&gt;0),OFFSET(Taostats_CSV!$H$1,MATCH(K179&amp;F$1,Taostats_CSV!$X:$X,0)-1,0),IF(LEN(Taostats_CSV!H179)&gt;0,Taostats_CSV!H179,Taostats_CSV!R179)))</f>
        <v>0.240723699</v>
      </c>
      <c r="G179" t="str">
        <f ca="1">IF(AND(Q179,N179=1),OFFSET(Taostats_CSV!$E$1,MATCH(K179&amp;H$1,Taostats_CSV!$X:$X,0)-1,0),"")</f>
        <v/>
      </c>
      <c r="H179" t="str">
        <f ca="1">IF(AND(Q179,N179=1),OFFSET(Taostats_CSV!$G$1,MATCH(K179&amp;H$1,Taostats_CSV!$X:$X,0)-1,0),"")</f>
        <v/>
      </c>
      <c r="I179" t="str">
        <f ca="1">IF(AND(LEN(K179)=0,LEN(F179)&gt;0),"Income",IF(AND(O179&gt;0,P179&gt;0,C179&lt;&gt;E179),"Trade",IF(AND(NOT(Q179),Taostats_CSV!F179="fee"),'READ ME'!$C$5,"")))</f>
        <v>Income</v>
      </c>
      <c r="J179" t="str">
        <f ca="1">SUBSTITUTE(IF(LEN(I179)=0,Taostats_CSV!F179&amp;" "&amp;Taostats_CSV!J179,IF(I179="Cost","Extrinsic fee","")),"_"," ")</f>
        <v/>
      </c>
      <c r="K179" t="str">
        <f>TRIM(IF(LEN(Taostats_CSV!I179)&gt;0,Taostats_CSV!I179,""))</f>
        <v/>
      </c>
      <c r="L179">
        <f ca="1">IF(Taostats_CSV!E179&lt;&gt;"TAO",IF(LEN(F179)&gt;0,F179,IF(LEN(D179)&gt;0,D179,0))*Taostats_CSV!P179,"")</f>
        <v>11.366096935894841</v>
      </c>
      <c r="M179" t="str">
        <f t="shared" ca="1" si="27"/>
        <v>USD</v>
      </c>
      <c r="N179">
        <f>COUNTIF(Taostats_CSV!$X:$X,Taostats_CSV!$I179&amp;N$1)</f>
        <v>0</v>
      </c>
      <c r="O179">
        <f>COUNTIF(Taostats_CSV!$X:$X,Taostats_CSV!$I179&amp;O$1)</f>
        <v>0</v>
      </c>
      <c r="P179">
        <f>COUNTIF(Taostats_CSV!$X:$X,Taostats_CSV!$I179&amp;P$1)</f>
        <v>0</v>
      </c>
      <c r="Q179" t="b">
        <f t="shared" si="28"/>
        <v>0</v>
      </c>
      <c r="R179" t="b">
        <f>IF(LEN(K179)&gt;0,COUNTIF($K$3:K179,K179),FALSE)</f>
        <v>0</v>
      </c>
      <c r="S179" t="b">
        <f>IF(Taostats_CSV!A179=Taostats_CSV!$A$2,TRUE,Taostats_CSV!G179+Taostats_CSV!H179+Taostats_CSV!R179=0)</f>
        <v>0</v>
      </c>
      <c r="T179" t="b">
        <f t="shared" si="29"/>
        <v>1</v>
      </c>
      <c r="U179" t="b" cm="1">
        <f t="array" aca="1" ref="U179" ca="1">AND(T179,OR(O179-N179&gt;1,P179&gt;1,ISERROR(A179:P179)))</f>
        <v>0</v>
      </c>
      <c r="W179" t="e">
        <f>MATCH(K179&amp;$W$2,Taostats_CSV!$X$3:$X$1167,0)</f>
        <v>#N/A</v>
      </c>
      <c r="X179" t="e">
        <f t="shared" ca="1" si="24"/>
        <v>#VALUE!</v>
      </c>
      <c r="Y179">
        <f t="shared" ca="1" si="25"/>
        <v>0.24072369900000001</v>
      </c>
      <c r="Z179" t="e">
        <f t="shared" ca="1" si="26"/>
        <v>#VALUE!</v>
      </c>
    </row>
    <row r="180" spans="1:26" x14ac:dyDescent="0.4">
      <c r="A180" t="str">
        <f>MID(Taostats_CSV!C180,6,2)&amp;"/"&amp;MID(Taostats_CSV!C180,9,2)&amp;"/"&amp;LEFT(Taostats_CSV!C180,4)&amp;" "&amp;MID(Taostats_CSV!C180,12,8)</f>
        <v>04/17/2025 23:59:48</v>
      </c>
      <c r="C180" t="str">
        <f ca="1">IF(Q180,OFFSET(Taostats_CSV!$E$1,MATCH(K180&amp;D$1,Taostats_CSV!$X:$X,0)-1,0),IF(Taostats_CSV!F180="fee",IF(VALUE(Taostats_CSV!G180)&gt;0,Taostats_CSV!E180,""),""))</f>
        <v/>
      </c>
      <c r="D180" t="str">
        <f ca="1">IF(Q180,OFFSET(Taostats_CSV!$G$1,MATCH(K180&amp;D$1,Taostats_CSV!$X:$X,0)-1,0),IF(Taostats_CSV!F180="fee",IF(VALUE(Taostats_CSV!G180)&gt;0,Taostats_CSV!G180,""),""))</f>
        <v/>
      </c>
      <c r="E180" t="str">
        <f ca="1">IF(AND(Q180,P180&gt;0),OFFSET(Taostats_CSV!$E$1,MATCH(K180&amp;F$1,Taostats_CSV!$X:$X,0)-1,0),IF(LEN(F180)&gt;0,Taostats_CSV!E180,""))</f>
        <v>SN64</v>
      </c>
      <c r="F180" t="str">
        <f ca="1">TRIM(IF(AND(Q180,P180&gt;0),OFFSET(Taostats_CSV!$H$1,MATCH(K180&amp;F$1,Taostats_CSV!$X:$X,0)-1,0),IF(LEN(Taostats_CSV!H180)&gt;0,Taostats_CSV!H180,Taostats_CSV!R180)))</f>
        <v>0.145577057</v>
      </c>
      <c r="G180" t="str">
        <f ca="1">IF(AND(Q180,N180=1),OFFSET(Taostats_CSV!$E$1,MATCH(K180&amp;H$1,Taostats_CSV!$X:$X,0)-1,0),"")</f>
        <v/>
      </c>
      <c r="H180" t="str">
        <f ca="1">IF(AND(Q180,N180=1),OFFSET(Taostats_CSV!$G$1,MATCH(K180&amp;H$1,Taostats_CSV!$X:$X,0)-1,0),"")</f>
        <v/>
      </c>
      <c r="I180" t="str">
        <f ca="1">IF(AND(LEN(K180)=0,LEN(F180)&gt;0),"Income",IF(AND(O180&gt;0,P180&gt;0,C180&lt;&gt;E180),"Trade",IF(AND(NOT(Q180),Taostats_CSV!F180="fee"),'READ ME'!$C$5,"")))</f>
        <v>Income</v>
      </c>
      <c r="J180" t="str">
        <f ca="1">SUBSTITUTE(IF(LEN(I180)=0,Taostats_CSV!F180&amp;" "&amp;Taostats_CSV!J180,IF(I180="Cost","Extrinsic fee","")),"_"," ")</f>
        <v/>
      </c>
      <c r="K180" t="str">
        <f>TRIM(IF(LEN(Taostats_CSV!I180)&gt;0,Taostats_CSV!I180,""))</f>
        <v/>
      </c>
      <c r="L180">
        <f ca="1">IF(Taostats_CSV!E180&lt;&gt;"TAO",IF(LEN(F180)&gt;0,F180,IF(LEN(D180)&gt;0,D180,0))*Taostats_CSV!P180,"")</f>
        <v>13.356318611578246</v>
      </c>
      <c r="M180" t="str">
        <f t="shared" ca="1" si="27"/>
        <v>USD</v>
      </c>
      <c r="N180">
        <f>COUNTIF(Taostats_CSV!$X:$X,Taostats_CSV!$I180&amp;N$1)</f>
        <v>0</v>
      </c>
      <c r="O180">
        <f>COUNTIF(Taostats_CSV!$X:$X,Taostats_CSV!$I180&amp;O$1)</f>
        <v>0</v>
      </c>
      <c r="P180">
        <f>COUNTIF(Taostats_CSV!$X:$X,Taostats_CSV!$I180&amp;P$1)</f>
        <v>0</v>
      </c>
      <c r="Q180" t="b">
        <f t="shared" si="28"/>
        <v>0</v>
      </c>
      <c r="R180" t="b">
        <f>IF(LEN(K180)&gt;0,COUNTIF($K$3:K180,K180),FALSE)</f>
        <v>0</v>
      </c>
      <c r="S180" t="b">
        <f>IF(Taostats_CSV!A180=Taostats_CSV!$A$2,TRUE,Taostats_CSV!G180+Taostats_CSV!H180+Taostats_CSV!R180=0)</f>
        <v>0</v>
      </c>
      <c r="T180" t="b">
        <f t="shared" si="29"/>
        <v>1</v>
      </c>
      <c r="U180" t="b" cm="1">
        <f t="array" aca="1" ref="U180" ca="1">AND(T180,OR(O180-N180&gt;1,P180&gt;1,ISERROR(A180:P180)))</f>
        <v>0</v>
      </c>
      <c r="W180" t="e">
        <f>MATCH(K180&amp;$W$2,Taostats_CSV!$X$3:$X$1167,0)</f>
        <v>#N/A</v>
      </c>
      <c r="X180" t="e">
        <f t="shared" ca="1" si="24"/>
        <v>#VALUE!</v>
      </c>
      <c r="Y180">
        <f t="shared" ca="1" si="25"/>
        <v>0.14557705700000001</v>
      </c>
      <c r="Z180" t="e">
        <f t="shared" ca="1" si="26"/>
        <v>#VALUE!</v>
      </c>
    </row>
    <row r="181" spans="1:26" hidden="1" x14ac:dyDescent="0.4">
      <c r="A181" t="str">
        <f>MID(Taostats_CSV!C181,6,2)&amp;"/"&amp;MID(Taostats_CSV!C181,9,2)&amp;"/"&amp;LEFT(Taostats_CSV!C181,4)&amp;" "&amp;MID(Taostats_CSV!C181,12,8)</f>
        <v>04/17/2025 23:59:48</v>
      </c>
      <c r="C181" t="str">
        <f ca="1">IF(Q181,OFFSET(Taostats_CSV!$E$1,MATCH(K181&amp;D$1,Taostats_CSV!$X:$X,0)-1,0),IF(Taostats_CSV!F181="fee","",IF(VALUE(Taostats_CSV!G181)&gt;0,Taostats_CSV!E181,"")))</f>
        <v/>
      </c>
      <c r="D181" t="str">
        <f ca="1">IF(Q181,OFFSET(Taostats_CSV!$G$1,MATCH(K181&amp;D$1,Taostats_CSV!$X:$X,0)-1,0),IF(Taostats_CSV!F181="fee","",IF(VALUE(Taostats_CSV!G181)&gt;0,Taostats_CSV!G181,"")))</f>
        <v/>
      </c>
      <c r="E181" t="str">
        <f ca="1">IF(AND(Q181,P181&gt;0),OFFSET(Taostats_CSV!$E$1,MATCH(K181&amp;F$1,Taostats_CSV!$X:$X,0)-1,0),IF(LEN(F181)&gt;0,Taostats_CSV!E181,""))</f>
        <v>TAO</v>
      </c>
      <c r="F181" t="str">
        <f ca="1">TRIM(IF(AND(Q181,P181&gt;0),OFFSET(Taostats_CSV!$H$1,MATCH(K181&amp;F$1,Taostats_CSV!$X:$X,0)-1,0),IF(LEN(Taostats_CSV!H181)&gt;0,Taostats_CSV!H181,Taostats_CSV!R181)))</f>
        <v>0</v>
      </c>
      <c r="G181" t="str">
        <f ca="1">IF(AND(Q181,N181=1),OFFSET(Taostats_CSV!$E$1,MATCH(K181&amp;H$1,Taostats_CSV!$X:$X,0)-1,0),IF(Taostats_CSV!F181="fee",Taostats_CSV!E181,""))</f>
        <v/>
      </c>
      <c r="H181" t="str">
        <f ca="1">IF(AND(Q181,N181=1),OFFSET(Taostats_CSV!$G$1,MATCH(K181&amp;H$1,Taostats_CSV!$X:$X,0)-1,0),IF(Taostats_CSV!F181="fee",Taostats_CSV!G181,""))</f>
        <v/>
      </c>
      <c r="I181" t="str">
        <f ca="1">IF(AND(LEN(K181)=0,LEN(F181)&gt;0),"Income",IF(AND(O181&gt;0,P181&gt;0,C181&lt;&gt;E181),"Trade",IF(AND(NOT(Q181),Taostats_CSV!F181="fee"),'READ ME'!$C$5,"")))</f>
        <v>Income</v>
      </c>
      <c r="J181" t="str">
        <f ca="1">SUBSTITUTE(IF(LEN(I181)=0,Taostats_CSV!F181&amp;" "&amp;Taostats_CSV!J181,IF(I181="Cost","Extrinsic fee","")),"_"," ")</f>
        <v/>
      </c>
      <c r="K181" t="str">
        <f>TRIM(IF(LEN(Taostats_CSV!I181)&gt;0,Taostats_CSV!I181,""))</f>
        <v/>
      </c>
      <c r="L181" t="str">
        <f>IF(Taostats_CSV!E181&lt;&gt;"TAO",IF(LEN(F181)&gt;0,F181,IF(LEN(D181)&gt;0,D181,0))*Taostats_CSV!P181,"")</f>
        <v/>
      </c>
      <c r="M181" t="str">
        <f t="shared" si="27"/>
        <v/>
      </c>
      <c r="N181">
        <f>COUNTIF(Taostats_CSV!$X:$X,Taostats_CSV!$I181&amp;N$1)</f>
        <v>0</v>
      </c>
      <c r="O181">
        <f>COUNTIF(Taostats_CSV!$X:$X,Taostats_CSV!$I181&amp;O$1)</f>
        <v>0</v>
      </c>
      <c r="P181">
        <f>COUNTIF(Taostats_CSV!$X:$X,Taostats_CSV!$I181&amp;P$1)</f>
        <v>0</v>
      </c>
      <c r="Q181" t="b">
        <f t="shared" si="28"/>
        <v>0</v>
      </c>
      <c r="R181" t="b">
        <f>IF(LEN(K181)&gt;0,COUNTIF($K$3:K181,K181),FALSE)</f>
        <v>0</v>
      </c>
      <c r="S181" t="b">
        <f>IF(Taostats_CSV!A181=Taostats_CSV!$A$2,TRUE,Taostats_CSV!G181+Taostats_CSV!H181+Taostats_CSV!R181=0)</f>
        <v>1</v>
      </c>
      <c r="T181" t="b">
        <f t="shared" si="29"/>
        <v>0</v>
      </c>
      <c r="U181" t="b" cm="1">
        <f t="array" aca="1" ref="U181" ca="1">AND(T181,OR(O181-N181&gt;1,P181&gt;1,ISERROR(A181:P181)))</f>
        <v>0</v>
      </c>
      <c r="W181" t="e">
        <f>MATCH(K181&amp;$W$2,Taostats_CSV!$X$3:$X$1167,0)</f>
        <v>#N/A</v>
      </c>
      <c r="X181" t="e">
        <f t="shared" ca="1" si="24"/>
        <v>#VALUE!</v>
      </c>
      <c r="Y181">
        <f t="shared" ca="1" si="25"/>
        <v>0</v>
      </c>
      <c r="Z181" t="e">
        <f t="shared" ca="1" si="26"/>
        <v>#VALUE!</v>
      </c>
    </row>
    <row r="182" spans="1:26" x14ac:dyDescent="0.4">
      <c r="A182" t="str">
        <f>MID(Taostats_CSV!C182,6,2)&amp;"/"&amp;MID(Taostats_CSV!C182,9,2)&amp;"/"&amp;LEFT(Taostats_CSV!C182,4)&amp;" "&amp;MID(Taostats_CSV!C182,12,8)</f>
        <v>04/18/2025 23:59:48</v>
      </c>
      <c r="C182" t="str">
        <f ca="1">IF(Q182,OFFSET(Taostats_CSV!$E$1,MATCH(K182&amp;D$1,Taostats_CSV!$X:$X,0)-1,0),IF(Taostats_CSV!F182="fee",IF(VALUE(Taostats_CSV!G182)&gt;0,Taostats_CSV!E182,""),""))</f>
        <v/>
      </c>
      <c r="D182" t="str">
        <f ca="1">IF(Q182,OFFSET(Taostats_CSV!$G$1,MATCH(K182&amp;D$1,Taostats_CSV!$X:$X,0)-1,0),IF(Taostats_CSV!F182="fee",IF(VALUE(Taostats_CSV!G182)&gt;0,Taostats_CSV!G182,""),""))</f>
        <v/>
      </c>
      <c r="E182" t="str">
        <f ca="1">IF(AND(Q182,P182&gt;0),OFFSET(Taostats_CSV!$E$1,MATCH(K182&amp;F$1,Taostats_CSV!$X:$X,0)-1,0),IF(LEN(F182)&gt;0,Taostats_CSV!E182,""))</f>
        <v>SN3</v>
      </c>
      <c r="F182" t="str">
        <f ca="1">TRIM(IF(AND(Q182,P182&gt;0),OFFSET(Taostats_CSV!$H$1,MATCH(K182&amp;F$1,Taostats_CSV!$X:$X,0)-1,0),IF(LEN(Taostats_CSV!H182)&gt;0,Taostats_CSV!H182,Taostats_CSV!R182)))</f>
        <v>0.446831235</v>
      </c>
      <c r="G182" t="str">
        <f ca="1">IF(AND(Q182,N182=1),OFFSET(Taostats_CSV!$E$1,MATCH(K182&amp;H$1,Taostats_CSV!$X:$X,0)-1,0),"")</f>
        <v/>
      </c>
      <c r="H182" t="str">
        <f ca="1">IF(AND(Q182,N182=1),OFFSET(Taostats_CSV!$G$1,MATCH(K182&amp;H$1,Taostats_CSV!$X:$X,0)-1,0),"")</f>
        <v/>
      </c>
      <c r="I182" t="str">
        <f ca="1">IF(AND(LEN(K182)=0,LEN(F182)&gt;0),"Income",IF(AND(O182&gt;0,P182&gt;0,C182&lt;&gt;E182),"Trade",IF(AND(NOT(Q182),Taostats_CSV!F182="fee"),'READ ME'!$C$5,"")))</f>
        <v>Income</v>
      </c>
      <c r="J182" t="str">
        <f ca="1">SUBSTITUTE(IF(LEN(I182)=0,Taostats_CSV!F182&amp;" "&amp;Taostats_CSV!J182,IF(I182="Cost","Extrinsic fee","")),"_"," ")</f>
        <v/>
      </c>
      <c r="K182" t="str">
        <f>TRIM(IF(LEN(Taostats_CSV!I182)&gt;0,Taostats_CSV!I182,""))</f>
        <v/>
      </c>
      <c r="L182">
        <f ca="1">IF(Taostats_CSV!E182&lt;&gt;"TAO",IF(LEN(F182)&gt;0,F182,IF(LEN(D182)&gt;0,D182,0))*Taostats_CSV!P182,"")</f>
        <v>13.578743010292671</v>
      </c>
      <c r="M182" t="str">
        <f t="shared" ca="1" si="27"/>
        <v>USD</v>
      </c>
      <c r="N182">
        <f>COUNTIF(Taostats_CSV!$X:$X,Taostats_CSV!$I182&amp;N$1)</f>
        <v>0</v>
      </c>
      <c r="O182">
        <f>COUNTIF(Taostats_CSV!$X:$X,Taostats_CSV!$I182&amp;O$1)</f>
        <v>0</v>
      </c>
      <c r="P182">
        <f>COUNTIF(Taostats_CSV!$X:$X,Taostats_CSV!$I182&amp;P$1)</f>
        <v>0</v>
      </c>
      <c r="Q182" t="b">
        <f t="shared" si="28"/>
        <v>0</v>
      </c>
      <c r="R182" t="b">
        <f>IF(LEN(K182)&gt;0,COUNTIF($K$3:K182,K182),FALSE)</f>
        <v>0</v>
      </c>
      <c r="S182" t="b">
        <f>IF(Taostats_CSV!A182=Taostats_CSV!$A$2,TRUE,Taostats_CSV!G182+Taostats_CSV!H182+Taostats_CSV!R182=0)</f>
        <v>0</v>
      </c>
      <c r="T182" t="b">
        <f t="shared" si="29"/>
        <v>1</v>
      </c>
      <c r="U182" t="b" cm="1">
        <f t="array" aca="1" ref="U182" ca="1">AND(T182,OR(O182-N182&gt;1,P182&gt;1,ISERROR(A182:P182)))</f>
        <v>0</v>
      </c>
      <c r="W182" t="e">
        <f>MATCH(K182&amp;$W$2,Taostats_CSV!$X$3:$X$1167,0)</f>
        <v>#N/A</v>
      </c>
      <c r="X182" t="e">
        <f t="shared" ca="1" si="24"/>
        <v>#VALUE!</v>
      </c>
      <c r="Y182">
        <f t="shared" ca="1" si="25"/>
        <v>0.44683123499999999</v>
      </c>
      <c r="Z182" t="e">
        <f t="shared" ca="1" si="26"/>
        <v>#VALUE!</v>
      </c>
    </row>
    <row r="183" spans="1:26" x14ac:dyDescent="0.4">
      <c r="A183" t="str">
        <f>MID(Taostats_CSV!C183,6,2)&amp;"/"&amp;MID(Taostats_CSV!C183,9,2)&amp;"/"&amp;LEFT(Taostats_CSV!C183,4)&amp;" "&amp;MID(Taostats_CSV!C183,12,8)</f>
        <v>04/18/2025 23:59:48</v>
      </c>
      <c r="C183" t="str">
        <f ca="1">IF(Q183,OFFSET(Taostats_CSV!$E$1,MATCH(K183&amp;D$1,Taostats_CSV!$X:$X,0)-1,0),IF(Taostats_CSV!F183="fee",IF(VALUE(Taostats_CSV!G183)&gt;0,Taostats_CSV!E183,""),""))</f>
        <v/>
      </c>
      <c r="D183" t="str">
        <f ca="1">IF(Q183,OFFSET(Taostats_CSV!$G$1,MATCH(K183&amp;D$1,Taostats_CSV!$X:$X,0)-1,0),IF(Taostats_CSV!F183="fee",IF(VALUE(Taostats_CSV!G183)&gt;0,Taostats_CSV!G183,""),""))</f>
        <v/>
      </c>
      <c r="E183" t="str">
        <f ca="1">IF(AND(Q183,P183&gt;0),OFFSET(Taostats_CSV!$E$1,MATCH(K183&amp;F$1,Taostats_CSV!$X:$X,0)-1,0),IF(LEN(F183)&gt;0,Taostats_CSV!E183,""))</f>
        <v>SN4</v>
      </c>
      <c r="F183" t="str">
        <f ca="1">TRIM(IF(AND(Q183,P183&gt;0),OFFSET(Taostats_CSV!$H$1,MATCH(K183&amp;F$1,Taostats_CSV!$X:$X,0)-1,0),IF(LEN(Taostats_CSV!H183)&gt;0,Taostats_CSV!H183,Taostats_CSV!R183)))</f>
        <v>0.351424168</v>
      </c>
      <c r="G183" t="str">
        <f ca="1">IF(AND(Q183,N183=1),OFFSET(Taostats_CSV!$E$1,MATCH(K183&amp;H$1,Taostats_CSV!$X:$X,0)-1,0),"")</f>
        <v/>
      </c>
      <c r="H183" t="str">
        <f ca="1">IF(AND(Q183,N183=1),OFFSET(Taostats_CSV!$G$1,MATCH(K183&amp;H$1,Taostats_CSV!$X:$X,0)-1,0),"")</f>
        <v/>
      </c>
      <c r="I183" t="str">
        <f ca="1">IF(AND(LEN(K183)=0,LEN(F183)&gt;0),"Income",IF(AND(O183&gt;0,P183&gt;0,C183&lt;&gt;E183),"Trade",IF(AND(NOT(Q183),Taostats_CSV!F183="fee"),'READ ME'!$C$5,"")))</f>
        <v>Income</v>
      </c>
      <c r="J183" t="str">
        <f ca="1">SUBSTITUTE(IF(LEN(I183)=0,Taostats_CSV!F183&amp;" "&amp;Taostats_CSV!J183,IF(I183="Cost","Extrinsic fee","")),"_"," ")</f>
        <v/>
      </c>
      <c r="K183" t="str">
        <f>TRIM(IF(LEN(Taostats_CSV!I183)&gt;0,Taostats_CSV!I183,""))</f>
        <v/>
      </c>
      <c r="L183">
        <f ca="1">IF(Taostats_CSV!E183&lt;&gt;"TAO",IF(LEN(F183)&gt;0,F183,IF(LEN(D183)&gt;0,D183,0))*Taostats_CSV!P183,"")</f>
        <v>16.081032679904744</v>
      </c>
      <c r="M183" t="str">
        <f t="shared" ca="1" si="27"/>
        <v>USD</v>
      </c>
      <c r="N183">
        <f>COUNTIF(Taostats_CSV!$X:$X,Taostats_CSV!$I183&amp;N$1)</f>
        <v>0</v>
      </c>
      <c r="O183">
        <f>COUNTIF(Taostats_CSV!$X:$X,Taostats_CSV!$I183&amp;O$1)</f>
        <v>0</v>
      </c>
      <c r="P183">
        <f>COUNTIF(Taostats_CSV!$X:$X,Taostats_CSV!$I183&amp;P$1)</f>
        <v>0</v>
      </c>
      <c r="Q183" t="b">
        <f t="shared" si="28"/>
        <v>0</v>
      </c>
      <c r="R183" t="b">
        <f>IF(LEN(K183)&gt;0,COUNTIF($K$3:K183,K183),FALSE)</f>
        <v>0</v>
      </c>
      <c r="S183" t="b">
        <f>IF(Taostats_CSV!A183=Taostats_CSV!$A$2,TRUE,Taostats_CSV!G183+Taostats_CSV!H183+Taostats_CSV!R183=0)</f>
        <v>0</v>
      </c>
      <c r="T183" t="b">
        <f t="shared" si="29"/>
        <v>1</v>
      </c>
      <c r="U183" t="b" cm="1">
        <f t="array" aca="1" ref="U183" ca="1">AND(T183,OR(O183-N183&gt;1,P183&gt;1,ISERROR(A183:P183)))</f>
        <v>0</v>
      </c>
      <c r="W183" t="e">
        <f>MATCH(K183&amp;$W$2,Taostats_CSV!$X$3:$X$1167,0)</f>
        <v>#N/A</v>
      </c>
      <c r="X183" t="e">
        <f t="shared" ca="1" si="24"/>
        <v>#VALUE!</v>
      </c>
      <c r="Y183">
        <f t="shared" ca="1" si="25"/>
        <v>0.35142416799999998</v>
      </c>
      <c r="Z183" t="e">
        <f t="shared" ca="1" si="26"/>
        <v>#VALUE!</v>
      </c>
    </row>
    <row r="184" spans="1:26" x14ac:dyDescent="0.4">
      <c r="A184" t="str">
        <f>MID(Taostats_CSV!C184,6,2)&amp;"/"&amp;MID(Taostats_CSV!C184,9,2)&amp;"/"&amp;LEFT(Taostats_CSV!C184,4)&amp;" "&amp;MID(Taostats_CSV!C184,12,8)</f>
        <v>04/18/2025 23:59:48</v>
      </c>
      <c r="C184" t="str">
        <f ca="1">IF(Q184,OFFSET(Taostats_CSV!$E$1,MATCH(K184&amp;D$1,Taostats_CSV!$X:$X,0)-1,0),IF(Taostats_CSV!F184="fee",IF(VALUE(Taostats_CSV!G184)&gt;0,Taostats_CSV!E184,""),""))</f>
        <v/>
      </c>
      <c r="D184" t="str">
        <f ca="1">IF(Q184,OFFSET(Taostats_CSV!$G$1,MATCH(K184&amp;D$1,Taostats_CSV!$X:$X,0)-1,0),IF(Taostats_CSV!F184="fee",IF(VALUE(Taostats_CSV!G184)&gt;0,Taostats_CSV!G184,""),""))</f>
        <v/>
      </c>
      <c r="E184" t="str">
        <f ca="1">IF(AND(Q184,P184&gt;0),OFFSET(Taostats_CSV!$E$1,MATCH(K184&amp;F$1,Taostats_CSV!$X:$X,0)-1,0),IF(LEN(F184)&gt;0,Taostats_CSV!E184,""))</f>
        <v>SN56</v>
      </c>
      <c r="F184" t="str">
        <f ca="1">TRIM(IF(AND(Q184,P184&gt;0),OFFSET(Taostats_CSV!$H$1,MATCH(K184&amp;F$1,Taostats_CSV!$X:$X,0)-1,0),IF(LEN(Taostats_CSV!H184)&gt;0,Taostats_CSV!H184,Taostats_CSV!R184)))</f>
        <v>0.232551554</v>
      </c>
      <c r="G184" t="str">
        <f ca="1">IF(AND(Q184,N184=1),OFFSET(Taostats_CSV!$E$1,MATCH(K184&amp;H$1,Taostats_CSV!$X:$X,0)-1,0),"")</f>
        <v/>
      </c>
      <c r="H184" t="str">
        <f ca="1">IF(AND(Q184,N184=1),OFFSET(Taostats_CSV!$G$1,MATCH(K184&amp;H$1,Taostats_CSV!$X:$X,0)-1,0),"")</f>
        <v/>
      </c>
      <c r="I184" t="str">
        <f ca="1">IF(AND(LEN(K184)=0,LEN(F184)&gt;0),"Income",IF(AND(O184&gt;0,P184&gt;0,C184&lt;&gt;E184),"Trade",IF(AND(NOT(Q184),Taostats_CSV!F184="fee"),'READ ME'!$C$5,"")))</f>
        <v>Income</v>
      </c>
      <c r="J184" t="str">
        <f ca="1">SUBSTITUTE(IF(LEN(I184)=0,Taostats_CSV!F184&amp;" "&amp;Taostats_CSV!J184,IF(I184="Cost","Extrinsic fee","")),"_"," ")</f>
        <v/>
      </c>
      <c r="K184" t="str">
        <f>TRIM(IF(LEN(Taostats_CSV!I184)&gt;0,Taostats_CSV!I184,""))</f>
        <v/>
      </c>
      <c r="L184">
        <f ca="1">IF(Taostats_CSV!E184&lt;&gt;"TAO",IF(LEN(F184)&gt;0,F184,IF(LEN(D184)&gt;0,D184,0))*Taostats_CSV!P184,"")</f>
        <v>10.989902319557835</v>
      </c>
      <c r="M184" t="str">
        <f t="shared" ca="1" si="27"/>
        <v>USD</v>
      </c>
      <c r="N184">
        <f>COUNTIF(Taostats_CSV!$X:$X,Taostats_CSV!$I184&amp;N$1)</f>
        <v>0</v>
      </c>
      <c r="O184">
        <f>COUNTIF(Taostats_CSV!$X:$X,Taostats_CSV!$I184&amp;O$1)</f>
        <v>0</v>
      </c>
      <c r="P184">
        <f>COUNTIF(Taostats_CSV!$X:$X,Taostats_CSV!$I184&amp;P$1)</f>
        <v>0</v>
      </c>
      <c r="Q184" t="b">
        <f t="shared" si="28"/>
        <v>0</v>
      </c>
      <c r="R184" t="b">
        <f>IF(LEN(K184)&gt;0,COUNTIF($K$3:K184,K184),FALSE)</f>
        <v>0</v>
      </c>
      <c r="S184" t="b">
        <f>IF(Taostats_CSV!A184=Taostats_CSV!$A$2,TRUE,Taostats_CSV!G184+Taostats_CSV!H184+Taostats_CSV!R184=0)</f>
        <v>0</v>
      </c>
      <c r="T184" t="b">
        <f t="shared" si="29"/>
        <v>1</v>
      </c>
      <c r="U184" t="b" cm="1">
        <f t="array" aca="1" ref="U184" ca="1">AND(T184,OR(O184-N184&gt;1,P184&gt;1,ISERROR(A184:P184)))</f>
        <v>0</v>
      </c>
      <c r="W184" t="e">
        <f>MATCH(K184&amp;$W$2,Taostats_CSV!$X$3:$X$1167,0)</f>
        <v>#N/A</v>
      </c>
      <c r="X184" t="e">
        <f t="shared" ca="1" si="24"/>
        <v>#VALUE!</v>
      </c>
      <c r="Y184">
        <f t="shared" ca="1" si="25"/>
        <v>0.23255155399999999</v>
      </c>
      <c r="Z184" t="e">
        <f t="shared" ca="1" si="26"/>
        <v>#VALUE!</v>
      </c>
    </row>
    <row r="185" spans="1:26" x14ac:dyDescent="0.4">
      <c r="A185" t="str">
        <f>MID(Taostats_CSV!C185,6,2)&amp;"/"&amp;MID(Taostats_CSV!C185,9,2)&amp;"/"&amp;LEFT(Taostats_CSV!C185,4)&amp;" "&amp;MID(Taostats_CSV!C185,12,8)</f>
        <v>04/18/2025 23:59:48</v>
      </c>
      <c r="C185" t="str">
        <f ca="1">IF(Q185,OFFSET(Taostats_CSV!$E$1,MATCH(K185&amp;D$1,Taostats_CSV!$X:$X,0)-1,0),IF(Taostats_CSV!F185="fee",IF(VALUE(Taostats_CSV!G185)&gt;0,Taostats_CSV!E185,""),""))</f>
        <v/>
      </c>
      <c r="D185" t="str">
        <f ca="1">IF(Q185,OFFSET(Taostats_CSV!$G$1,MATCH(K185&amp;D$1,Taostats_CSV!$X:$X,0)-1,0),IF(Taostats_CSV!F185="fee",IF(VALUE(Taostats_CSV!G185)&gt;0,Taostats_CSV!G185,""),""))</f>
        <v/>
      </c>
      <c r="E185" t="str">
        <f ca="1">IF(AND(Q185,P185&gt;0),OFFSET(Taostats_CSV!$E$1,MATCH(K185&amp;F$1,Taostats_CSV!$X:$X,0)-1,0),IF(LEN(F185)&gt;0,Taostats_CSV!E185,""))</f>
        <v>SN64</v>
      </c>
      <c r="F185" t="str">
        <f ca="1">TRIM(IF(AND(Q185,P185&gt;0),OFFSET(Taostats_CSV!$H$1,MATCH(K185&amp;F$1,Taostats_CSV!$X:$X,0)-1,0),IF(LEN(Taostats_CSV!H185)&gt;0,Taostats_CSV!H185,Taostats_CSV!R185)))</f>
        <v>0.144609222</v>
      </c>
      <c r="G185" t="str">
        <f ca="1">IF(AND(Q185,N185=1),OFFSET(Taostats_CSV!$E$1,MATCH(K185&amp;H$1,Taostats_CSV!$X:$X,0)-1,0),"")</f>
        <v/>
      </c>
      <c r="H185" t="str">
        <f ca="1">IF(AND(Q185,N185=1),OFFSET(Taostats_CSV!$G$1,MATCH(K185&amp;H$1,Taostats_CSV!$X:$X,0)-1,0),"")</f>
        <v/>
      </c>
      <c r="I185" t="str">
        <f ca="1">IF(AND(LEN(K185)=0,LEN(F185)&gt;0),"Income",IF(AND(O185&gt;0,P185&gt;0,C185&lt;&gt;E185),"Trade",IF(AND(NOT(Q185),Taostats_CSV!F185="fee"),'READ ME'!$C$5,"")))</f>
        <v>Income</v>
      </c>
      <c r="J185" t="str">
        <f ca="1">SUBSTITUTE(IF(LEN(I185)=0,Taostats_CSV!F185&amp;" "&amp;Taostats_CSV!J185,IF(I185="Cost","Extrinsic fee","")),"_"," ")</f>
        <v/>
      </c>
      <c r="K185" t="str">
        <f>TRIM(IF(LEN(Taostats_CSV!I185)&gt;0,Taostats_CSV!I185,""))</f>
        <v/>
      </c>
      <c r="L185">
        <f ca="1">IF(Taostats_CSV!E185&lt;&gt;"TAO",IF(LEN(F185)&gt;0,F185,IF(LEN(D185)&gt;0,D185,0))*Taostats_CSV!P185,"")</f>
        <v>14.480362350996938</v>
      </c>
      <c r="M185" t="str">
        <f t="shared" ca="1" si="27"/>
        <v>USD</v>
      </c>
      <c r="N185">
        <f>COUNTIF(Taostats_CSV!$X:$X,Taostats_CSV!$I185&amp;N$1)</f>
        <v>0</v>
      </c>
      <c r="O185">
        <f>COUNTIF(Taostats_CSV!$X:$X,Taostats_CSV!$I185&amp;O$1)</f>
        <v>0</v>
      </c>
      <c r="P185">
        <f>COUNTIF(Taostats_CSV!$X:$X,Taostats_CSV!$I185&amp;P$1)</f>
        <v>0</v>
      </c>
      <c r="Q185" t="b">
        <f t="shared" si="28"/>
        <v>0</v>
      </c>
      <c r="R185" t="b">
        <f>IF(LEN(K185)&gt;0,COUNTIF($K$3:K185,K185),FALSE)</f>
        <v>0</v>
      </c>
      <c r="S185" t="b">
        <f>IF(Taostats_CSV!A185=Taostats_CSV!$A$2,TRUE,Taostats_CSV!G185+Taostats_CSV!H185+Taostats_CSV!R185=0)</f>
        <v>0</v>
      </c>
      <c r="T185" t="b">
        <f t="shared" si="29"/>
        <v>1</v>
      </c>
      <c r="U185" t="b" cm="1">
        <f t="array" aca="1" ref="U185" ca="1">AND(T185,OR(O185-N185&gt;1,P185&gt;1,ISERROR(A185:P185)))</f>
        <v>0</v>
      </c>
      <c r="W185" t="e">
        <f>MATCH(K185&amp;$W$2,Taostats_CSV!$X$3:$X$1167,0)</f>
        <v>#N/A</v>
      </c>
      <c r="X185" t="e">
        <f t="shared" ca="1" si="24"/>
        <v>#VALUE!</v>
      </c>
      <c r="Y185">
        <f t="shared" ca="1" si="25"/>
        <v>0.14460922200000001</v>
      </c>
      <c r="Z185" t="e">
        <f t="shared" ca="1" si="26"/>
        <v>#VALUE!</v>
      </c>
    </row>
    <row r="186" spans="1:26" hidden="1" x14ac:dyDescent="0.4">
      <c r="A186" t="str">
        <f>MID(Taostats_CSV!C186,6,2)&amp;"/"&amp;MID(Taostats_CSV!C186,9,2)&amp;"/"&amp;LEFT(Taostats_CSV!C186,4)&amp;" "&amp;MID(Taostats_CSV!C186,12,8)</f>
        <v>04/18/2025 23:59:48</v>
      </c>
      <c r="C186" t="str">
        <f ca="1">IF(Q186,OFFSET(Taostats_CSV!$E$1,MATCH(K186&amp;D$1,Taostats_CSV!$X:$X,0)-1,0),IF(Taostats_CSV!F186="fee","",IF(VALUE(Taostats_CSV!G186)&gt;0,Taostats_CSV!E186,"")))</f>
        <v/>
      </c>
      <c r="D186" t="str">
        <f ca="1">IF(Q186,OFFSET(Taostats_CSV!$G$1,MATCH(K186&amp;D$1,Taostats_CSV!$X:$X,0)-1,0),IF(Taostats_CSV!F186="fee","",IF(VALUE(Taostats_CSV!G186)&gt;0,Taostats_CSV!G186,"")))</f>
        <v/>
      </c>
      <c r="E186" t="str">
        <f ca="1">IF(AND(Q186,P186&gt;0),OFFSET(Taostats_CSV!$E$1,MATCH(K186&amp;F$1,Taostats_CSV!$X:$X,0)-1,0),IF(LEN(F186)&gt;0,Taostats_CSV!E186,""))</f>
        <v>TAO</v>
      </c>
      <c r="F186" t="str">
        <f ca="1">TRIM(IF(AND(Q186,P186&gt;0),OFFSET(Taostats_CSV!$H$1,MATCH(K186&amp;F$1,Taostats_CSV!$X:$X,0)-1,0),IF(LEN(Taostats_CSV!H186)&gt;0,Taostats_CSV!H186,Taostats_CSV!R186)))</f>
        <v>0</v>
      </c>
      <c r="G186" t="str">
        <f ca="1">IF(AND(Q186,N186=1),OFFSET(Taostats_CSV!$E$1,MATCH(K186&amp;H$1,Taostats_CSV!$X:$X,0)-1,0),IF(Taostats_CSV!F186="fee",Taostats_CSV!E186,""))</f>
        <v/>
      </c>
      <c r="H186" t="str">
        <f ca="1">IF(AND(Q186,N186=1),OFFSET(Taostats_CSV!$G$1,MATCH(K186&amp;H$1,Taostats_CSV!$X:$X,0)-1,0),IF(Taostats_CSV!F186="fee",Taostats_CSV!G186,""))</f>
        <v/>
      </c>
      <c r="I186" t="str">
        <f ca="1">IF(AND(LEN(K186)=0,LEN(F186)&gt;0),"Income",IF(AND(O186&gt;0,P186&gt;0,C186&lt;&gt;E186),"Trade",IF(AND(NOT(Q186),Taostats_CSV!F186="fee"),'READ ME'!$C$5,"")))</f>
        <v>Income</v>
      </c>
      <c r="J186" t="str">
        <f ca="1">SUBSTITUTE(IF(LEN(I186)=0,Taostats_CSV!F186&amp;" "&amp;Taostats_CSV!J186,IF(I186="Cost","Extrinsic fee","")),"_"," ")</f>
        <v/>
      </c>
      <c r="K186" t="str">
        <f>TRIM(IF(LEN(Taostats_CSV!I186)&gt;0,Taostats_CSV!I186,""))</f>
        <v/>
      </c>
      <c r="L186" t="str">
        <f>IF(Taostats_CSV!E186&lt;&gt;"TAO",IF(LEN(F186)&gt;0,F186,IF(LEN(D186)&gt;0,D186,0))*Taostats_CSV!P186,"")</f>
        <v/>
      </c>
      <c r="M186" t="str">
        <f t="shared" si="27"/>
        <v/>
      </c>
      <c r="N186">
        <f>COUNTIF(Taostats_CSV!$X:$X,Taostats_CSV!$I186&amp;N$1)</f>
        <v>0</v>
      </c>
      <c r="O186">
        <f>COUNTIF(Taostats_CSV!$X:$X,Taostats_CSV!$I186&amp;O$1)</f>
        <v>0</v>
      </c>
      <c r="P186">
        <f>COUNTIF(Taostats_CSV!$X:$X,Taostats_CSV!$I186&amp;P$1)</f>
        <v>0</v>
      </c>
      <c r="Q186" t="b">
        <f t="shared" si="28"/>
        <v>0</v>
      </c>
      <c r="R186" t="b">
        <f>IF(LEN(K186)&gt;0,COUNTIF($K$3:K186,K186),FALSE)</f>
        <v>0</v>
      </c>
      <c r="S186" t="b">
        <f>IF(Taostats_CSV!A186=Taostats_CSV!$A$2,TRUE,Taostats_CSV!G186+Taostats_CSV!H186+Taostats_CSV!R186=0)</f>
        <v>1</v>
      </c>
      <c r="T186" t="b">
        <f t="shared" si="29"/>
        <v>0</v>
      </c>
      <c r="U186" t="b" cm="1">
        <f t="array" aca="1" ref="U186" ca="1">AND(T186,OR(O186-N186&gt;1,P186&gt;1,ISERROR(A186:P186)))</f>
        <v>0</v>
      </c>
      <c r="W186" t="e">
        <f>MATCH(K186&amp;$W$2,Taostats_CSV!$X$3:$X$1167,0)</f>
        <v>#N/A</v>
      </c>
      <c r="X186" t="e">
        <f t="shared" ca="1" si="24"/>
        <v>#VALUE!</v>
      </c>
      <c r="Y186">
        <f t="shared" ca="1" si="25"/>
        <v>0</v>
      </c>
      <c r="Z186" t="e">
        <f t="shared" ca="1" si="26"/>
        <v>#VALUE!</v>
      </c>
    </row>
    <row r="187" spans="1:26" x14ac:dyDescent="0.4">
      <c r="A187" t="str">
        <f>MID(Taostats_CSV!C187,6,2)&amp;"/"&amp;MID(Taostats_CSV!C187,9,2)&amp;"/"&amp;LEFT(Taostats_CSV!C187,4)&amp;" "&amp;MID(Taostats_CSV!C187,12,8)</f>
        <v>04/19/2025 23:59:48</v>
      </c>
      <c r="C187" t="str">
        <f ca="1">IF(Q187,OFFSET(Taostats_CSV!$E$1,MATCH(K187&amp;D$1,Taostats_CSV!$X:$X,0)-1,0),IF(Taostats_CSV!F187="fee",IF(VALUE(Taostats_CSV!G187)&gt;0,Taostats_CSV!E187,""),""))</f>
        <v/>
      </c>
      <c r="D187" t="str">
        <f ca="1">IF(Q187,OFFSET(Taostats_CSV!$G$1,MATCH(K187&amp;D$1,Taostats_CSV!$X:$X,0)-1,0),IF(Taostats_CSV!F187="fee",IF(VALUE(Taostats_CSV!G187)&gt;0,Taostats_CSV!G187,""),""))</f>
        <v/>
      </c>
      <c r="E187" t="str">
        <f ca="1">IF(AND(Q187,P187&gt;0),OFFSET(Taostats_CSV!$E$1,MATCH(K187&amp;F$1,Taostats_CSV!$X:$X,0)-1,0),IF(LEN(F187)&gt;0,Taostats_CSV!E187,""))</f>
        <v>SN3</v>
      </c>
      <c r="F187" t="str">
        <f ca="1">TRIM(IF(AND(Q187,P187&gt;0),OFFSET(Taostats_CSV!$H$1,MATCH(K187&amp;F$1,Taostats_CSV!$X:$X,0)-1,0),IF(LEN(Taostats_CSV!H187)&gt;0,Taostats_CSV!H187,Taostats_CSV!R187)))</f>
        <v>0.437182296</v>
      </c>
      <c r="G187" t="str">
        <f ca="1">IF(AND(Q187,N187=1),OFFSET(Taostats_CSV!$E$1,MATCH(K187&amp;H$1,Taostats_CSV!$X:$X,0)-1,0),"")</f>
        <v/>
      </c>
      <c r="H187" t="str">
        <f ca="1">IF(AND(Q187,N187=1),OFFSET(Taostats_CSV!$G$1,MATCH(K187&amp;H$1,Taostats_CSV!$X:$X,0)-1,0),"")</f>
        <v/>
      </c>
      <c r="I187" t="str">
        <f ca="1">IF(AND(LEN(K187)=0,LEN(F187)&gt;0),"Income",IF(AND(O187&gt;0,P187&gt;0,C187&lt;&gt;E187),"Trade",IF(AND(NOT(Q187),Taostats_CSV!F187="fee"),'READ ME'!$C$5,"")))</f>
        <v>Income</v>
      </c>
      <c r="J187" t="str">
        <f ca="1">SUBSTITUTE(IF(LEN(I187)=0,Taostats_CSV!F187&amp;" "&amp;Taostats_CSV!J187,IF(I187="Cost","Extrinsic fee","")),"_"," ")</f>
        <v/>
      </c>
      <c r="K187" t="str">
        <f>TRIM(IF(LEN(Taostats_CSV!I187)&gt;0,Taostats_CSV!I187,""))</f>
        <v/>
      </c>
      <c r="L187">
        <f ca="1">IF(Taostats_CSV!E187&lt;&gt;"TAO",IF(LEN(F187)&gt;0,F187,IF(LEN(D187)&gt;0,D187,0))*Taostats_CSV!P187,"")</f>
        <v>13.751709431951848</v>
      </c>
      <c r="M187" t="str">
        <f t="shared" ca="1" si="27"/>
        <v>USD</v>
      </c>
      <c r="N187">
        <f>COUNTIF(Taostats_CSV!$X:$X,Taostats_CSV!$I187&amp;N$1)</f>
        <v>0</v>
      </c>
      <c r="O187">
        <f>COUNTIF(Taostats_CSV!$X:$X,Taostats_CSV!$I187&amp;O$1)</f>
        <v>0</v>
      </c>
      <c r="P187">
        <f>COUNTIF(Taostats_CSV!$X:$X,Taostats_CSV!$I187&amp;P$1)</f>
        <v>0</v>
      </c>
      <c r="Q187" t="b">
        <f t="shared" si="28"/>
        <v>0</v>
      </c>
      <c r="R187" t="b">
        <f>IF(LEN(K187)&gt;0,COUNTIF($K$3:K187,K187),FALSE)</f>
        <v>0</v>
      </c>
      <c r="S187" t="b">
        <f>IF(Taostats_CSV!A187=Taostats_CSV!$A$2,TRUE,Taostats_CSV!G187+Taostats_CSV!H187+Taostats_CSV!R187=0)</f>
        <v>0</v>
      </c>
      <c r="T187" t="b">
        <f t="shared" si="29"/>
        <v>1</v>
      </c>
      <c r="U187" t="b" cm="1">
        <f t="array" aca="1" ref="U187" ca="1">AND(T187,OR(O187-N187&gt;1,P187&gt;1,ISERROR(A187:P187)))</f>
        <v>0</v>
      </c>
      <c r="W187" t="e">
        <f>MATCH(K187&amp;$W$2,Taostats_CSV!$X$3:$X$1167,0)</f>
        <v>#N/A</v>
      </c>
      <c r="X187" t="e">
        <f t="shared" ca="1" si="24"/>
        <v>#VALUE!</v>
      </c>
      <c r="Y187">
        <f t="shared" ca="1" si="25"/>
        <v>0.43718229600000003</v>
      </c>
      <c r="Z187" t="e">
        <f t="shared" ca="1" si="26"/>
        <v>#VALUE!</v>
      </c>
    </row>
    <row r="188" spans="1:26" x14ac:dyDescent="0.4">
      <c r="A188" t="str">
        <f>MID(Taostats_CSV!C188,6,2)&amp;"/"&amp;MID(Taostats_CSV!C188,9,2)&amp;"/"&amp;LEFT(Taostats_CSV!C188,4)&amp;" "&amp;MID(Taostats_CSV!C188,12,8)</f>
        <v>04/19/2025 23:59:48</v>
      </c>
      <c r="C188" t="str">
        <f ca="1">IF(Q188,OFFSET(Taostats_CSV!$E$1,MATCH(K188&amp;D$1,Taostats_CSV!$X:$X,0)-1,0),IF(Taostats_CSV!F188="fee",IF(VALUE(Taostats_CSV!G188)&gt;0,Taostats_CSV!E188,""),""))</f>
        <v/>
      </c>
      <c r="D188" t="str">
        <f ca="1">IF(Q188,OFFSET(Taostats_CSV!$G$1,MATCH(K188&amp;D$1,Taostats_CSV!$X:$X,0)-1,0),IF(Taostats_CSV!F188="fee",IF(VALUE(Taostats_CSV!G188)&gt;0,Taostats_CSV!G188,""),""))</f>
        <v/>
      </c>
      <c r="E188" t="str">
        <f ca="1">IF(AND(Q188,P188&gt;0),OFFSET(Taostats_CSV!$E$1,MATCH(K188&amp;F$1,Taostats_CSV!$X:$X,0)-1,0),IF(LEN(F188)&gt;0,Taostats_CSV!E188,""))</f>
        <v>SN4</v>
      </c>
      <c r="F188" t="str">
        <f ca="1">TRIM(IF(AND(Q188,P188&gt;0),OFFSET(Taostats_CSV!$H$1,MATCH(K188&amp;F$1,Taostats_CSV!$X:$X,0)-1,0),IF(LEN(Taostats_CSV!H188)&gt;0,Taostats_CSV!H188,Taostats_CSV!R188)))</f>
        <v>0.355377922</v>
      </c>
      <c r="G188" t="str">
        <f ca="1">IF(AND(Q188,N188=1),OFFSET(Taostats_CSV!$E$1,MATCH(K188&amp;H$1,Taostats_CSV!$X:$X,0)-1,0),"")</f>
        <v/>
      </c>
      <c r="H188" t="str">
        <f ca="1">IF(AND(Q188,N188=1),OFFSET(Taostats_CSV!$G$1,MATCH(K188&amp;H$1,Taostats_CSV!$X:$X,0)-1,0),"")</f>
        <v/>
      </c>
      <c r="I188" t="str">
        <f ca="1">IF(AND(LEN(K188)=0,LEN(F188)&gt;0),"Income",IF(AND(O188&gt;0,P188&gt;0,C188&lt;&gt;E188),"Trade",IF(AND(NOT(Q188),Taostats_CSV!F188="fee"),'READ ME'!$C$5,"")))</f>
        <v>Income</v>
      </c>
      <c r="J188" t="str">
        <f ca="1">SUBSTITUTE(IF(LEN(I188)=0,Taostats_CSV!F188&amp;" "&amp;Taostats_CSV!J188,IF(I188="Cost","Extrinsic fee","")),"_"," ")</f>
        <v/>
      </c>
      <c r="K188" t="str">
        <f>TRIM(IF(LEN(Taostats_CSV!I188)&gt;0,Taostats_CSV!I188,""))</f>
        <v/>
      </c>
      <c r="L188">
        <f ca="1">IF(Taostats_CSV!E188&lt;&gt;"TAO",IF(LEN(F188)&gt;0,F188,IF(LEN(D188)&gt;0,D188,0))*Taostats_CSV!P188,"")</f>
        <v>16.440069923928228</v>
      </c>
      <c r="M188" t="str">
        <f t="shared" ca="1" si="27"/>
        <v>USD</v>
      </c>
      <c r="N188">
        <f>COUNTIF(Taostats_CSV!$X:$X,Taostats_CSV!$I188&amp;N$1)</f>
        <v>0</v>
      </c>
      <c r="O188">
        <f>COUNTIF(Taostats_CSV!$X:$X,Taostats_CSV!$I188&amp;O$1)</f>
        <v>0</v>
      </c>
      <c r="P188">
        <f>COUNTIF(Taostats_CSV!$X:$X,Taostats_CSV!$I188&amp;P$1)</f>
        <v>0</v>
      </c>
      <c r="Q188" t="b">
        <f t="shared" si="28"/>
        <v>0</v>
      </c>
      <c r="R188" t="b">
        <f>IF(LEN(K188)&gt;0,COUNTIF($K$3:K188,K188),FALSE)</f>
        <v>0</v>
      </c>
      <c r="S188" t="b">
        <f>IF(Taostats_CSV!A188=Taostats_CSV!$A$2,TRUE,Taostats_CSV!G188+Taostats_CSV!H188+Taostats_CSV!R188=0)</f>
        <v>0</v>
      </c>
      <c r="T188" t="b">
        <f t="shared" si="29"/>
        <v>1</v>
      </c>
      <c r="U188" t="b" cm="1">
        <f t="array" aca="1" ref="U188" ca="1">AND(T188,OR(O188-N188&gt;1,P188&gt;1,ISERROR(A188:P188)))</f>
        <v>0</v>
      </c>
      <c r="W188" t="e">
        <f>MATCH(K188&amp;$W$2,Taostats_CSV!$X$3:$X$1167,0)</f>
        <v>#N/A</v>
      </c>
      <c r="X188" t="e">
        <f t="shared" ca="1" si="24"/>
        <v>#VALUE!</v>
      </c>
      <c r="Y188">
        <f t="shared" ca="1" si="25"/>
        <v>0.35537792200000001</v>
      </c>
      <c r="Z188" t="e">
        <f t="shared" ca="1" si="26"/>
        <v>#VALUE!</v>
      </c>
    </row>
    <row r="189" spans="1:26" x14ac:dyDescent="0.4">
      <c r="A189" t="str">
        <f>MID(Taostats_CSV!C189,6,2)&amp;"/"&amp;MID(Taostats_CSV!C189,9,2)&amp;"/"&amp;LEFT(Taostats_CSV!C189,4)&amp;" "&amp;MID(Taostats_CSV!C189,12,8)</f>
        <v>04/19/2025 23:59:48</v>
      </c>
      <c r="C189" t="str">
        <f ca="1">IF(Q189,OFFSET(Taostats_CSV!$E$1,MATCH(K189&amp;D$1,Taostats_CSV!$X:$X,0)-1,0),IF(Taostats_CSV!F189="fee",IF(VALUE(Taostats_CSV!G189)&gt;0,Taostats_CSV!E189,""),""))</f>
        <v/>
      </c>
      <c r="D189" t="str">
        <f ca="1">IF(Q189,OFFSET(Taostats_CSV!$G$1,MATCH(K189&amp;D$1,Taostats_CSV!$X:$X,0)-1,0),IF(Taostats_CSV!F189="fee",IF(VALUE(Taostats_CSV!G189)&gt;0,Taostats_CSV!G189,""),""))</f>
        <v/>
      </c>
      <c r="E189" t="str">
        <f ca="1">IF(AND(Q189,P189&gt;0),OFFSET(Taostats_CSV!$E$1,MATCH(K189&amp;F$1,Taostats_CSV!$X:$X,0)-1,0),IF(LEN(F189)&gt;0,Taostats_CSV!E189,""))</f>
        <v>SN56</v>
      </c>
      <c r="F189" t="str">
        <f ca="1">TRIM(IF(AND(Q189,P189&gt;0),OFFSET(Taostats_CSV!$H$1,MATCH(K189&amp;F$1,Taostats_CSV!$X:$X,0)-1,0),IF(LEN(Taostats_CSV!H189)&gt;0,Taostats_CSV!H189,Taostats_CSV!R189)))</f>
        <v>0.23934771</v>
      </c>
      <c r="G189" t="str">
        <f ca="1">IF(AND(Q189,N189=1),OFFSET(Taostats_CSV!$E$1,MATCH(K189&amp;H$1,Taostats_CSV!$X:$X,0)-1,0),"")</f>
        <v/>
      </c>
      <c r="H189" t="str">
        <f ca="1">IF(AND(Q189,N189=1),OFFSET(Taostats_CSV!$G$1,MATCH(K189&amp;H$1,Taostats_CSV!$X:$X,0)-1,0),"")</f>
        <v/>
      </c>
      <c r="I189" t="str">
        <f ca="1">IF(AND(LEN(K189)=0,LEN(F189)&gt;0),"Income",IF(AND(O189&gt;0,P189&gt;0,C189&lt;&gt;E189),"Trade",IF(AND(NOT(Q189),Taostats_CSV!F189="fee"),'READ ME'!$C$5,"")))</f>
        <v>Income</v>
      </c>
      <c r="J189" t="str">
        <f ca="1">SUBSTITUTE(IF(LEN(I189)=0,Taostats_CSV!F189&amp;" "&amp;Taostats_CSV!J189,IF(I189="Cost","Extrinsic fee","")),"_"," ")</f>
        <v/>
      </c>
      <c r="K189" t="str">
        <f>TRIM(IF(LEN(Taostats_CSV!I189)&gt;0,Taostats_CSV!I189,""))</f>
        <v/>
      </c>
      <c r="L189">
        <f ca="1">IF(Taostats_CSV!E189&lt;&gt;"TAO",IF(LEN(F189)&gt;0,F189,IF(LEN(D189)&gt;0,D189,0))*Taostats_CSV!P189,"")</f>
        <v>12.208723123967857</v>
      </c>
      <c r="M189" t="str">
        <f t="shared" ca="1" si="27"/>
        <v>USD</v>
      </c>
      <c r="N189">
        <f>COUNTIF(Taostats_CSV!$X:$X,Taostats_CSV!$I189&amp;N$1)</f>
        <v>0</v>
      </c>
      <c r="O189">
        <f>COUNTIF(Taostats_CSV!$X:$X,Taostats_CSV!$I189&amp;O$1)</f>
        <v>0</v>
      </c>
      <c r="P189">
        <f>COUNTIF(Taostats_CSV!$X:$X,Taostats_CSV!$I189&amp;P$1)</f>
        <v>0</v>
      </c>
      <c r="Q189" t="b">
        <f t="shared" si="28"/>
        <v>0</v>
      </c>
      <c r="R189" t="b">
        <f>IF(LEN(K189)&gt;0,COUNTIF($K$3:K189,K189),FALSE)</f>
        <v>0</v>
      </c>
      <c r="S189" t="b">
        <f>IF(Taostats_CSV!A189=Taostats_CSV!$A$2,TRUE,Taostats_CSV!G189+Taostats_CSV!H189+Taostats_CSV!R189=0)</f>
        <v>0</v>
      </c>
      <c r="T189" t="b">
        <f t="shared" si="29"/>
        <v>1</v>
      </c>
      <c r="U189" t="b" cm="1">
        <f t="array" aca="1" ref="U189" ca="1">AND(T189,OR(O189-N189&gt;1,P189&gt;1,ISERROR(A189:P189)))</f>
        <v>0</v>
      </c>
      <c r="W189" t="e">
        <f>MATCH(K189&amp;$W$2,Taostats_CSV!$X$3:$X$1167,0)</f>
        <v>#N/A</v>
      </c>
      <c r="X189" t="e">
        <f t="shared" ca="1" si="24"/>
        <v>#VALUE!</v>
      </c>
      <c r="Y189">
        <f t="shared" ca="1" si="25"/>
        <v>0.23934770999999999</v>
      </c>
      <c r="Z189" t="e">
        <f t="shared" ca="1" si="26"/>
        <v>#VALUE!</v>
      </c>
    </row>
    <row r="190" spans="1:26" x14ac:dyDescent="0.4">
      <c r="A190" t="str">
        <f>MID(Taostats_CSV!C190,6,2)&amp;"/"&amp;MID(Taostats_CSV!C190,9,2)&amp;"/"&amp;LEFT(Taostats_CSV!C190,4)&amp;" "&amp;MID(Taostats_CSV!C190,12,8)</f>
        <v>04/19/2025 23:59:48</v>
      </c>
      <c r="C190" t="str">
        <f ca="1">IF(Q190,OFFSET(Taostats_CSV!$E$1,MATCH(K190&amp;D$1,Taostats_CSV!$X:$X,0)-1,0),IF(Taostats_CSV!F190="fee",IF(VALUE(Taostats_CSV!G190)&gt;0,Taostats_CSV!E190,""),""))</f>
        <v/>
      </c>
      <c r="D190" t="str">
        <f ca="1">IF(Q190,OFFSET(Taostats_CSV!$G$1,MATCH(K190&amp;D$1,Taostats_CSV!$X:$X,0)-1,0),IF(Taostats_CSV!F190="fee",IF(VALUE(Taostats_CSV!G190)&gt;0,Taostats_CSV!G190,""),""))</f>
        <v/>
      </c>
      <c r="E190" t="str">
        <f ca="1">IF(AND(Q190,P190&gt;0),OFFSET(Taostats_CSV!$E$1,MATCH(K190&amp;F$1,Taostats_CSV!$X:$X,0)-1,0),IF(LEN(F190)&gt;0,Taostats_CSV!E190,""))</f>
        <v>SN64</v>
      </c>
      <c r="F190" t="str">
        <f ca="1">TRIM(IF(AND(Q190,P190&gt;0),OFFSET(Taostats_CSV!$H$1,MATCH(K190&amp;F$1,Taostats_CSV!$X:$X,0)-1,0),IF(LEN(Taostats_CSV!H190)&gt;0,Taostats_CSV!H190,Taostats_CSV!R190)))</f>
        <v>0.146004531</v>
      </c>
      <c r="G190" t="str">
        <f ca="1">IF(AND(Q190,N190=1),OFFSET(Taostats_CSV!$E$1,MATCH(K190&amp;H$1,Taostats_CSV!$X:$X,0)-1,0),"")</f>
        <v/>
      </c>
      <c r="H190" t="str">
        <f ca="1">IF(AND(Q190,N190=1),OFFSET(Taostats_CSV!$G$1,MATCH(K190&amp;H$1,Taostats_CSV!$X:$X,0)-1,0),"")</f>
        <v/>
      </c>
      <c r="I190" t="str">
        <f ca="1">IF(AND(LEN(K190)=0,LEN(F190)&gt;0),"Income",IF(AND(O190&gt;0,P190&gt;0,C190&lt;&gt;E190),"Trade",IF(AND(NOT(Q190),Taostats_CSV!F190="fee"),'READ ME'!$C$5,"")))</f>
        <v>Income</v>
      </c>
      <c r="J190" t="str">
        <f ca="1">SUBSTITUTE(IF(LEN(I190)=0,Taostats_CSV!F190&amp;" "&amp;Taostats_CSV!J190,IF(I190="Cost","Extrinsic fee","")),"_"," ")</f>
        <v/>
      </c>
      <c r="K190" t="str">
        <f>TRIM(IF(LEN(Taostats_CSV!I190)&gt;0,Taostats_CSV!I190,""))</f>
        <v/>
      </c>
      <c r="L190">
        <f ca="1">IF(Taostats_CSV!E190&lt;&gt;"TAO",IF(LEN(F190)&gt;0,F190,IF(LEN(D190)&gt;0,D190,0))*Taostats_CSV!P190,"")</f>
        <v>15.580347152849027</v>
      </c>
      <c r="M190" t="str">
        <f t="shared" ca="1" si="27"/>
        <v>USD</v>
      </c>
      <c r="N190">
        <f>COUNTIF(Taostats_CSV!$X:$X,Taostats_CSV!$I190&amp;N$1)</f>
        <v>0</v>
      </c>
      <c r="O190">
        <f>COUNTIF(Taostats_CSV!$X:$X,Taostats_CSV!$I190&amp;O$1)</f>
        <v>0</v>
      </c>
      <c r="P190">
        <f>COUNTIF(Taostats_CSV!$X:$X,Taostats_CSV!$I190&amp;P$1)</f>
        <v>0</v>
      </c>
      <c r="Q190" t="b">
        <f t="shared" si="28"/>
        <v>0</v>
      </c>
      <c r="R190" t="b">
        <f>IF(LEN(K190)&gt;0,COUNTIF($K$3:K190,K190),FALSE)</f>
        <v>0</v>
      </c>
      <c r="S190" t="b">
        <f>IF(Taostats_CSV!A190=Taostats_CSV!$A$2,TRUE,Taostats_CSV!G190+Taostats_CSV!H190+Taostats_CSV!R190=0)</f>
        <v>0</v>
      </c>
      <c r="T190" t="b">
        <f t="shared" si="29"/>
        <v>1</v>
      </c>
      <c r="U190" t="b" cm="1">
        <f t="array" aca="1" ref="U190" ca="1">AND(T190,OR(O190-N190&gt;1,P190&gt;1,ISERROR(A190:P190)))</f>
        <v>0</v>
      </c>
      <c r="W190" t="e">
        <f>MATCH(K190&amp;$W$2,Taostats_CSV!$X$3:$X$1167,0)</f>
        <v>#N/A</v>
      </c>
      <c r="X190" t="e">
        <f t="shared" ca="1" si="24"/>
        <v>#VALUE!</v>
      </c>
      <c r="Y190">
        <f t="shared" ca="1" si="25"/>
        <v>0.14600453099999999</v>
      </c>
      <c r="Z190" t="e">
        <f t="shared" ca="1" si="26"/>
        <v>#VALUE!</v>
      </c>
    </row>
    <row r="191" spans="1:26" hidden="1" x14ac:dyDescent="0.4">
      <c r="A191" t="str">
        <f>MID(Taostats_CSV!C191,6,2)&amp;"/"&amp;MID(Taostats_CSV!C191,9,2)&amp;"/"&amp;LEFT(Taostats_CSV!C191,4)&amp;" "&amp;MID(Taostats_CSV!C191,12,8)</f>
        <v>04/19/2025 23:59:48</v>
      </c>
      <c r="C191" t="str">
        <f ca="1">IF(Q191,OFFSET(Taostats_CSV!$E$1,MATCH(K191&amp;D$1,Taostats_CSV!$X:$X,0)-1,0),IF(Taostats_CSV!F191="fee","",IF(VALUE(Taostats_CSV!G191)&gt;0,Taostats_CSV!E191,"")))</f>
        <v/>
      </c>
      <c r="D191" t="str">
        <f ca="1">IF(Q191,OFFSET(Taostats_CSV!$G$1,MATCH(K191&amp;D$1,Taostats_CSV!$X:$X,0)-1,0),IF(Taostats_CSV!F191="fee","",IF(VALUE(Taostats_CSV!G191)&gt;0,Taostats_CSV!G191,"")))</f>
        <v/>
      </c>
      <c r="E191" t="str">
        <f ca="1">IF(AND(Q191,P191&gt;0),OFFSET(Taostats_CSV!$E$1,MATCH(K191&amp;F$1,Taostats_CSV!$X:$X,0)-1,0),IF(LEN(F191)&gt;0,Taostats_CSV!E191,""))</f>
        <v>TAO</v>
      </c>
      <c r="F191" t="str">
        <f ca="1">TRIM(IF(AND(Q191,P191&gt;0),OFFSET(Taostats_CSV!$H$1,MATCH(K191&amp;F$1,Taostats_CSV!$X:$X,0)-1,0),IF(LEN(Taostats_CSV!H191)&gt;0,Taostats_CSV!H191,Taostats_CSV!R191)))</f>
        <v>0</v>
      </c>
      <c r="G191" t="str">
        <f ca="1">IF(AND(Q191,N191=1),OFFSET(Taostats_CSV!$E$1,MATCH(K191&amp;H$1,Taostats_CSV!$X:$X,0)-1,0),IF(Taostats_CSV!F191="fee",Taostats_CSV!E191,""))</f>
        <v/>
      </c>
      <c r="H191" t="str">
        <f ca="1">IF(AND(Q191,N191=1),OFFSET(Taostats_CSV!$G$1,MATCH(K191&amp;H$1,Taostats_CSV!$X:$X,0)-1,0),IF(Taostats_CSV!F191="fee",Taostats_CSV!G191,""))</f>
        <v/>
      </c>
      <c r="I191" t="str">
        <f ca="1">IF(AND(LEN(K191)=0,LEN(F191)&gt;0),"Income",IF(AND(O191&gt;0,P191&gt;0,C191&lt;&gt;E191),"Trade",IF(AND(NOT(Q191),Taostats_CSV!F191="fee"),'READ ME'!$C$5,"")))</f>
        <v>Income</v>
      </c>
      <c r="J191" t="str">
        <f ca="1">SUBSTITUTE(IF(LEN(I191)=0,Taostats_CSV!F191&amp;" "&amp;Taostats_CSV!J191,IF(I191="Cost","Extrinsic fee","")),"_"," ")</f>
        <v/>
      </c>
      <c r="K191" t="str">
        <f>TRIM(IF(LEN(Taostats_CSV!I191)&gt;0,Taostats_CSV!I191,""))</f>
        <v/>
      </c>
      <c r="L191" t="str">
        <f>IF(Taostats_CSV!E191&lt;&gt;"TAO",IF(LEN(F191)&gt;0,F191,IF(LEN(D191)&gt;0,D191,0))*Taostats_CSV!P191,"")</f>
        <v/>
      </c>
      <c r="M191" t="str">
        <f t="shared" si="27"/>
        <v/>
      </c>
      <c r="N191">
        <f>COUNTIF(Taostats_CSV!$X:$X,Taostats_CSV!$I191&amp;N$1)</f>
        <v>0</v>
      </c>
      <c r="O191">
        <f>COUNTIF(Taostats_CSV!$X:$X,Taostats_CSV!$I191&amp;O$1)</f>
        <v>0</v>
      </c>
      <c r="P191">
        <f>COUNTIF(Taostats_CSV!$X:$X,Taostats_CSV!$I191&amp;P$1)</f>
        <v>0</v>
      </c>
      <c r="Q191" t="b">
        <f t="shared" si="28"/>
        <v>0</v>
      </c>
      <c r="R191" t="b">
        <f>IF(LEN(K191)&gt;0,COUNTIF($K$3:K191,K191),FALSE)</f>
        <v>0</v>
      </c>
      <c r="S191" t="b">
        <f>IF(Taostats_CSV!A191=Taostats_CSV!$A$2,TRUE,Taostats_CSV!G191+Taostats_CSV!H191+Taostats_CSV!R191=0)</f>
        <v>1</v>
      </c>
      <c r="T191" t="b">
        <f t="shared" si="29"/>
        <v>0</v>
      </c>
      <c r="U191" t="b" cm="1">
        <f t="array" aca="1" ref="U191" ca="1">AND(T191,OR(O191-N191&gt;1,P191&gt;1,ISERROR(A191:P191)))</f>
        <v>0</v>
      </c>
      <c r="W191" t="e">
        <f>MATCH(K191&amp;$W$2,Taostats_CSV!$X$3:$X$1167,0)</f>
        <v>#N/A</v>
      </c>
      <c r="X191" t="e">
        <f t="shared" ca="1" si="24"/>
        <v>#VALUE!</v>
      </c>
      <c r="Y191">
        <f t="shared" ca="1" si="25"/>
        <v>0</v>
      </c>
      <c r="Z191" t="e">
        <f t="shared" ca="1" si="26"/>
        <v>#VALUE!</v>
      </c>
    </row>
    <row r="192" spans="1:26" x14ac:dyDescent="0.4">
      <c r="A192" t="str">
        <f>MID(Taostats_CSV!C192,6,2)&amp;"/"&amp;MID(Taostats_CSV!C192,9,2)&amp;"/"&amp;LEFT(Taostats_CSV!C192,4)&amp;" "&amp;MID(Taostats_CSV!C192,12,8)</f>
        <v>04/20/2025 23:59:48</v>
      </c>
      <c r="C192" t="str">
        <f ca="1">IF(Q192,OFFSET(Taostats_CSV!$E$1,MATCH(K192&amp;D$1,Taostats_CSV!$X:$X,0)-1,0),IF(Taostats_CSV!F192="fee",IF(VALUE(Taostats_CSV!G192)&gt;0,Taostats_CSV!E192,""),""))</f>
        <v/>
      </c>
      <c r="D192" t="str">
        <f ca="1">IF(Q192,OFFSET(Taostats_CSV!$G$1,MATCH(K192&amp;D$1,Taostats_CSV!$X:$X,0)-1,0),IF(Taostats_CSV!F192="fee",IF(VALUE(Taostats_CSV!G192)&gt;0,Taostats_CSV!G192,""),""))</f>
        <v/>
      </c>
      <c r="E192" t="str">
        <f ca="1">IF(AND(Q192,P192&gt;0),OFFSET(Taostats_CSV!$E$1,MATCH(K192&amp;F$1,Taostats_CSV!$X:$X,0)-1,0),IF(LEN(F192)&gt;0,Taostats_CSV!E192,""))</f>
        <v>SN3</v>
      </c>
      <c r="F192" t="str">
        <f ca="1">TRIM(IF(AND(Q192,P192&gt;0),OFFSET(Taostats_CSV!$H$1,MATCH(K192&amp;F$1,Taostats_CSV!$X:$X,0)-1,0),IF(LEN(Taostats_CSV!H192)&gt;0,Taostats_CSV!H192,Taostats_CSV!R192)))</f>
        <v>0.42900421</v>
      </c>
      <c r="G192" t="str">
        <f ca="1">IF(AND(Q192,N192=1),OFFSET(Taostats_CSV!$E$1,MATCH(K192&amp;H$1,Taostats_CSV!$X:$X,0)-1,0),"")</f>
        <v/>
      </c>
      <c r="H192" t="str">
        <f ca="1">IF(AND(Q192,N192=1),OFFSET(Taostats_CSV!$G$1,MATCH(K192&amp;H$1,Taostats_CSV!$X:$X,0)-1,0),"")</f>
        <v/>
      </c>
      <c r="I192" t="str">
        <f ca="1">IF(AND(LEN(K192)=0,LEN(F192)&gt;0),"Income",IF(AND(O192&gt;0,P192&gt;0,C192&lt;&gt;E192),"Trade",IF(AND(NOT(Q192),Taostats_CSV!F192="fee"),'READ ME'!$C$5,"")))</f>
        <v>Income</v>
      </c>
      <c r="J192" t="str">
        <f ca="1">SUBSTITUTE(IF(LEN(I192)=0,Taostats_CSV!F192&amp;" "&amp;Taostats_CSV!J192,IF(I192="Cost","Extrinsic fee","")),"_"," ")</f>
        <v/>
      </c>
      <c r="K192" t="str">
        <f>TRIM(IF(LEN(Taostats_CSV!I192)&gt;0,Taostats_CSV!I192,""))</f>
        <v/>
      </c>
      <c r="L192">
        <f ca="1">IF(Taostats_CSV!E192&lt;&gt;"TAO",IF(LEN(F192)&gt;0,F192,IF(LEN(D192)&gt;0,D192,0))*Taostats_CSV!P192,"")</f>
        <v>15.396691180915237</v>
      </c>
      <c r="M192" t="str">
        <f t="shared" ca="1" si="27"/>
        <v>USD</v>
      </c>
      <c r="N192">
        <f>COUNTIF(Taostats_CSV!$X:$X,Taostats_CSV!$I192&amp;N$1)</f>
        <v>0</v>
      </c>
      <c r="O192">
        <f>COUNTIF(Taostats_CSV!$X:$X,Taostats_CSV!$I192&amp;O$1)</f>
        <v>0</v>
      </c>
      <c r="P192">
        <f>COUNTIF(Taostats_CSV!$X:$X,Taostats_CSV!$I192&amp;P$1)</f>
        <v>0</v>
      </c>
      <c r="Q192" t="b">
        <f t="shared" si="28"/>
        <v>0</v>
      </c>
      <c r="R192" t="b">
        <f>IF(LEN(K192)&gt;0,COUNTIF($K$3:K192,K192),FALSE)</f>
        <v>0</v>
      </c>
      <c r="S192" t="b">
        <f>IF(Taostats_CSV!A192=Taostats_CSV!$A$2,TRUE,Taostats_CSV!G192+Taostats_CSV!H192+Taostats_CSV!R192=0)</f>
        <v>0</v>
      </c>
      <c r="T192" t="b">
        <f t="shared" si="29"/>
        <v>1</v>
      </c>
      <c r="U192" t="b" cm="1">
        <f t="array" aca="1" ref="U192" ca="1">AND(T192,OR(O192-N192&gt;1,P192&gt;1,ISERROR(A192:P192)))</f>
        <v>0</v>
      </c>
      <c r="W192" t="e">
        <f>MATCH(K192&amp;$W$2,Taostats_CSV!$X$3:$X$1167,0)</f>
        <v>#N/A</v>
      </c>
      <c r="X192" t="e">
        <f t="shared" ca="1" si="24"/>
        <v>#VALUE!</v>
      </c>
      <c r="Y192">
        <f t="shared" ca="1" si="25"/>
        <v>0.42900421</v>
      </c>
      <c r="Z192" t="e">
        <f t="shared" ca="1" si="26"/>
        <v>#VALUE!</v>
      </c>
    </row>
    <row r="193" spans="1:26" x14ac:dyDescent="0.4">
      <c r="A193" t="str">
        <f>MID(Taostats_CSV!C193,6,2)&amp;"/"&amp;MID(Taostats_CSV!C193,9,2)&amp;"/"&amp;LEFT(Taostats_CSV!C193,4)&amp;" "&amp;MID(Taostats_CSV!C193,12,8)</f>
        <v>04/20/2025 23:59:48</v>
      </c>
      <c r="C193" t="str">
        <f ca="1">IF(Q193,OFFSET(Taostats_CSV!$E$1,MATCH(K193&amp;D$1,Taostats_CSV!$X:$X,0)-1,0),IF(Taostats_CSV!F193="fee",IF(VALUE(Taostats_CSV!G193)&gt;0,Taostats_CSV!E193,""),""))</f>
        <v/>
      </c>
      <c r="D193" t="str">
        <f ca="1">IF(Q193,OFFSET(Taostats_CSV!$G$1,MATCH(K193&amp;D$1,Taostats_CSV!$X:$X,0)-1,0),IF(Taostats_CSV!F193="fee",IF(VALUE(Taostats_CSV!G193)&gt;0,Taostats_CSV!G193,""),""))</f>
        <v/>
      </c>
      <c r="E193" t="str">
        <f ca="1">IF(AND(Q193,P193&gt;0),OFFSET(Taostats_CSV!$E$1,MATCH(K193&amp;F$1,Taostats_CSV!$X:$X,0)-1,0),IF(LEN(F193)&gt;0,Taostats_CSV!E193,""))</f>
        <v>SN4</v>
      </c>
      <c r="F193" t="str">
        <f ca="1">TRIM(IF(AND(Q193,P193&gt;0),OFFSET(Taostats_CSV!$H$1,MATCH(K193&amp;F$1,Taostats_CSV!$X:$X,0)-1,0),IF(LEN(Taostats_CSV!H193)&gt;0,Taostats_CSV!H193,Taostats_CSV!R193)))</f>
        <v>0.359237205</v>
      </c>
      <c r="G193" t="str">
        <f ca="1">IF(AND(Q193,N193=1),OFFSET(Taostats_CSV!$E$1,MATCH(K193&amp;H$1,Taostats_CSV!$X:$X,0)-1,0),"")</f>
        <v/>
      </c>
      <c r="H193" t="str">
        <f ca="1">IF(AND(Q193,N193=1),OFFSET(Taostats_CSV!$G$1,MATCH(K193&amp;H$1,Taostats_CSV!$X:$X,0)-1,0),"")</f>
        <v/>
      </c>
      <c r="I193" t="str">
        <f ca="1">IF(AND(LEN(K193)=0,LEN(F193)&gt;0),"Income",IF(AND(O193&gt;0,P193&gt;0,C193&lt;&gt;E193),"Trade",IF(AND(NOT(Q193),Taostats_CSV!F193="fee"),'READ ME'!$C$5,"")))</f>
        <v>Income</v>
      </c>
      <c r="J193" t="str">
        <f ca="1">SUBSTITUTE(IF(LEN(I193)=0,Taostats_CSV!F193&amp;" "&amp;Taostats_CSV!J193,IF(I193="Cost","Extrinsic fee","")),"_"," ")</f>
        <v/>
      </c>
      <c r="K193" t="str">
        <f>TRIM(IF(LEN(Taostats_CSV!I193)&gt;0,Taostats_CSV!I193,""))</f>
        <v/>
      </c>
      <c r="L193">
        <f ca="1">IF(Taostats_CSV!E193&lt;&gt;"TAO",IF(LEN(F193)&gt;0,F193,IF(LEN(D193)&gt;0,D193,0))*Taostats_CSV!P193,"")</f>
        <v>18.819051665444309</v>
      </c>
      <c r="M193" t="str">
        <f t="shared" ca="1" si="27"/>
        <v>USD</v>
      </c>
      <c r="N193">
        <f>COUNTIF(Taostats_CSV!$X:$X,Taostats_CSV!$I193&amp;N$1)</f>
        <v>0</v>
      </c>
      <c r="O193">
        <f>COUNTIF(Taostats_CSV!$X:$X,Taostats_CSV!$I193&amp;O$1)</f>
        <v>0</v>
      </c>
      <c r="P193">
        <f>COUNTIF(Taostats_CSV!$X:$X,Taostats_CSV!$I193&amp;P$1)</f>
        <v>0</v>
      </c>
      <c r="Q193" t="b">
        <f t="shared" si="28"/>
        <v>0</v>
      </c>
      <c r="R193" t="b">
        <f>IF(LEN(K193)&gt;0,COUNTIF($K$3:K193,K193),FALSE)</f>
        <v>0</v>
      </c>
      <c r="S193" t="b">
        <f>IF(Taostats_CSV!A193=Taostats_CSV!$A$2,TRUE,Taostats_CSV!G193+Taostats_CSV!H193+Taostats_CSV!R193=0)</f>
        <v>0</v>
      </c>
      <c r="T193" t="b">
        <f t="shared" si="29"/>
        <v>1</v>
      </c>
      <c r="U193" t="b" cm="1">
        <f t="array" aca="1" ref="U193" ca="1">AND(T193,OR(O193-N193&gt;1,P193&gt;1,ISERROR(A193:P193)))</f>
        <v>0</v>
      </c>
      <c r="W193" t="e">
        <f>MATCH(K193&amp;$W$2,Taostats_CSV!$X$3:$X$1167,0)</f>
        <v>#N/A</v>
      </c>
      <c r="X193" t="e">
        <f t="shared" ca="1" si="24"/>
        <v>#VALUE!</v>
      </c>
      <c r="Y193">
        <f t="shared" ca="1" si="25"/>
        <v>0.359237205</v>
      </c>
      <c r="Z193" t="e">
        <f t="shared" ca="1" si="26"/>
        <v>#VALUE!</v>
      </c>
    </row>
    <row r="194" spans="1:26" x14ac:dyDescent="0.4">
      <c r="A194" t="str">
        <f>MID(Taostats_CSV!C194,6,2)&amp;"/"&amp;MID(Taostats_CSV!C194,9,2)&amp;"/"&amp;LEFT(Taostats_CSV!C194,4)&amp;" "&amp;MID(Taostats_CSV!C194,12,8)</f>
        <v>04/20/2025 23:59:48</v>
      </c>
      <c r="C194" t="str">
        <f ca="1">IF(Q194,OFFSET(Taostats_CSV!$E$1,MATCH(K194&amp;D$1,Taostats_CSV!$X:$X,0)-1,0),IF(Taostats_CSV!F194="fee",IF(VALUE(Taostats_CSV!G194)&gt;0,Taostats_CSV!E194,""),""))</f>
        <v/>
      </c>
      <c r="D194" t="str">
        <f ca="1">IF(Q194,OFFSET(Taostats_CSV!$G$1,MATCH(K194&amp;D$1,Taostats_CSV!$X:$X,0)-1,0),IF(Taostats_CSV!F194="fee",IF(VALUE(Taostats_CSV!G194)&gt;0,Taostats_CSV!G194,""),""))</f>
        <v/>
      </c>
      <c r="E194" t="str">
        <f ca="1">IF(AND(Q194,P194&gt;0),OFFSET(Taostats_CSV!$E$1,MATCH(K194&amp;F$1,Taostats_CSV!$X:$X,0)-1,0),IF(LEN(F194)&gt;0,Taostats_CSV!E194,""))</f>
        <v>SN56</v>
      </c>
      <c r="F194" t="str">
        <f ca="1">TRIM(IF(AND(Q194,P194&gt;0),OFFSET(Taostats_CSV!$H$1,MATCH(K194&amp;F$1,Taostats_CSV!$X:$X,0)-1,0),IF(LEN(Taostats_CSV!H194)&gt;0,Taostats_CSV!H194,Taostats_CSV!R194)))</f>
        <v>0.233987674</v>
      </c>
      <c r="G194" t="str">
        <f ca="1">IF(AND(Q194,N194=1),OFFSET(Taostats_CSV!$E$1,MATCH(K194&amp;H$1,Taostats_CSV!$X:$X,0)-1,0),"")</f>
        <v/>
      </c>
      <c r="H194" t="str">
        <f ca="1">IF(AND(Q194,N194=1),OFFSET(Taostats_CSV!$G$1,MATCH(K194&amp;H$1,Taostats_CSV!$X:$X,0)-1,0),"")</f>
        <v/>
      </c>
      <c r="I194" t="str">
        <f ca="1">IF(AND(LEN(K194)=0,LEN(F194)&gt;0),"Income",IF(AND(O194&gt;0,P194&gt;0,C194&lt;&gt;E194),"Trade",IF(AND(NOT(Q194),Taostats_CSV!F194="fee"),'READ ME'!$C$5,"")))</f>
        <v>Income</v>
      </c>
      <c r="J194" t="str">
        <f ca="1">SUBSTITUTE(IF(LEN(I194)=0,Taostats_CSV!F194&amp;" "&amp;Taostats_CSV!J194,IF(I194="Cost","Extrinsic fee","")),"_"," ")</f>
        <v/>
      </c>
      <c r="K194" t="str">
        <f>TRIM(IF(LEN(Taostats_CSV!I194)&gt;0,Taostats_CSV!I194,""))</f>
        <v/>
      </c>
      <c r="L194">
        <f ca="1">IF(Taostats_CSV!E194&lt;&gt;"TAO",IF(LEN(F194)&gt;0,F194,IF(LEN(D194)&gt;0,D194,0))*Taostats_CSV!P194,"")</f>
        <v>13.198110454780629</v>
      </c>
      <c r="M194" t="str">
        <f t="shared" ca="1" si="27"/>
        <v>USD</v>
      </c>
      <c r="N194">
        <f>COUNTIF(Taostats_CSV!$X:$X,Taostats_CSV!$I194&amp;N$1)</f>
        <v>0</v>
      </c>
      <c r="O194">
        <f>COUNTIF(Taostats_CSV!$X:$X,Taostats_CSV!$I194&amp;O$1)</f>
        <v>0</v>
      </c>
      <c r="P194">
        <f>COUNTIF(Taostats_CSV!$X:$X,Taostats_CSV!$I194&amp;P$1)</f>
        <v>0</v>
      </c>
      <c r="Q194" t="b">
        <f t="shared" si="28"/>
        <v>0</v>
      </c>
      <c r="R194" t="b">
        <f>IF(LEN(K194)&gt;0,COUNTIF($K$3:K194,K194),FALSE)</f>
        <v>0</v>
      </c>
      <c r="S194" t="b">
        <f>IF(Taostats_CSV!A194=Taostats_CSV!$A$2,TRUE,Taostats_CSV!G194+Taostats_CSV!H194+Taostats_CSV!R194=0)</f>
        <v>0</v>
      </c>
      <c r="T194" t="b">
        <f t="shared" si="29"/>
        <v>1</v>
      </c>
      <c r="U194" t="b" cm="1">
        <f t="array" aca="1" ref="U194" ca="1">AND(T194,OR(O194-N194&gt;1,P194&gt;1,ISERROR(A194:P194)))</f>
        <v>0</v>
      </c>
      <c r="W194" t="e">
        <f>MATCH(K194&amp;$W$2,Taostats_CSV!$X$3:$X$1167,0)</f>
        <v>#N/A</v>
      </c>
      <c r="X194" t="e">
        <f t="shared" ca="1" si="24"/>
        <v>#VALUE!</v>
      </c>
      <c r="Y194">
        <f t="shared" ca="1" si="25"/>
        <v>0.23398767400000001</v>
      </c>
      <c r="Z194" t="e">
        <f t="shared" ca="1" si="26"/>
        <v>#VALUE!</v>
      </c>
    </row>
    <row r="195" spans="1:26" x14ac:dyDescent="0.4">
      <c r="A195" t="str">
        <f>MID(Taostats_CSV!C195,6,2)&amp;"/"&amp;MID(Taostats_CSV!C195,9,2)&amp;"/"&amp;LEFT(Taostats_CSV!C195,4)&amp;" "&amp;MID(Taostats_CSV!C195,12,8)</f>
        <v>04/20/2025 23:59:48</v>
      </c>
      <c r="C195" t="str">
        <f ca="1">IF(Q195,OFFSET(Taostats_CSV!$E$1,MATCH(K195&amp;D$1,Taostats_CSV!$X:$X,0)-1,0),IF(Taostats_CSV!F195="fee",IF(VALUE(Taostats_CSV!G195)&gt;0,Taostats_CSV!E195,""),""))</f>
        <v/>
      </c>
      <c r="D195" t="str">
        <f ca="1">IF(Q195,OFFSET(Taostats_CSV!$G$1,MATCH(K195&amp;D$1,Taostats_CSV!$X:$X,0)-1,0),IF(Taostats_CSV!F195="fee",IF(VALUE(Taostats_CSV!G195)&gt;0,Taostats_CSV!G195,""),""))</f>
        <v/>
      </c>
      <c r="E195" t="str">
        <f ca="1">IF(AND(Q195,P195&gt;0),OFFSET(Taostats_CSV!$E$1,MATCH(K195&amp;F$1,Taostats_CSV!$X:$X,0)-1,0),IF(LEN(F195)&gt;0,Taostats_CSV!E195,""))</f>
        <v>SN64</v>
      </c>
      <c r="F195" t="str">
        <f ca="1">TRIM(IF(AND(Q195,P195&gt;0),OFFSET(Taostats_CSV!$H$1,MATCH(K195&amp;F$1,Taostats_CSV!$X:$X,0)-1,0),IF(LEN(Taostats_CSV!H195)&gt;0,Taostats_CSV!H195,Taostats_CSV!R195)))</f>
        <v>0.14401663</v>
      </c>
      <c r="G195" t="str">
        <f ca="1">IF(AND(Q195,N195=1),OFFSET(Taostats_CSV!$E$1,MATCH(K195&amp;H$1,Taostats_CSV!$X:$X,0)-1,0),"")</f>
        <v/>
      </c>
      <c r="H195" t="str">
        <f ca="1">IF(AND(Q195,N195=1),OFFSET(Taostats_CSV!$G$1,MATCH(K195&amp;H$1,Taostats_CSV!$X:$X,0)-1,0),"")</f>
        <v/>
      </c>
      <c r="I195" t="str">
        <f ca="1">IF(AND(LEN(K195)=0,LEN(F195)&gt;0),"Income",IF(AND(O195&gt;0,P195&gt;0,C195&lt;&gt;E195),"Trade",IF(AND(NOT(Q195),Taostats_CSV!F195="fee"),'READ ME'!$C$5,"")))</f>
        <v>Income</v>
      </c>
      <c r="J195" t="str">
        <f ca="1">SUBSTITUTE(IF(LEN(I195)=0,Taostats_CSV!F195&amp;" "&amp;Taostats_CSV!J195,IF(I195="Cost","Extrinsic fee","")),"_"," ")</f>
        <v/>
      </c>
      <c r="K195" t="str">
        <f>TRIM(IF(LEN(Taostats_CSV!I195)&gt;0,Taostats_CSV!I195,""))</f>
        <v/>
      </c>
      <c r="L195">
        <f ca="1">IF(Taostats_CSV!E195&lt;&gt;"TAO",IF(LEN(F195)&gt;0,F195,IF(LEN(D195)&gt;0,D195,0))*Taostats_CSV!P195,"")</f>
        <v>17.165623249076596</v>
      </c>
      <c r="M195" t="str">
        <f t="shared" ca="1" si="27"/>
        <v>USD</v>
      </c>
      <c r="N195">
        <f>COUNTIF(Taostats_CSV!$X:$X,Taostats_CSV!$I195&amp;N$1)</f>
        <v>0</v>
      </c>
      <c r="O195">
        <f>COUNTIF(Taostats_CSV!$X:$X,Taostats_CSV!$I195&amp;O$1)</f>
        <v>0</v>
      </c>
      <c r="P195">
        <f>COUNTIF(Taostats_CSV!$X:$X,Taostats_CSV!$I195&amp;P$1)</f>
        <v>0</v>
      </c>
      <c r="Q195" t="b">
        <f t="shared" si="28"/>
        <v>0</v>
      </c>
      <c r="R195" t="b">
        <f>IF(LEN(K195)&gt;0,COUNTIF($K$3:K195,K195),FALSE)</f>
        <v>0</v>
      </c>
      <c r="S195" t="b">
        <f>IF(Taostats_CSV!A195=Taostats_CSV!$A$2,TRUE,Taostats_CSV!G195+Taostats_CSV!H195+Taostats_CSV!R195=0)</f>
        <v>0</v>
      </c>
      <c r="T195" t="b">
        <f t="shared" si="29"/>
        <v>1</v>
      </c>
      <c r="U195" t="b" cm="1">
        <f t="array" aca="1" ref="U195" ca="1">AND(T195,OR(O195-N195&gt;1,P195&gt;1,ISERROR(A195:P195)))</f>
        <v>0</v>
      </c>
      <c r="W195" t="e">
        <f>MATCH(K195&amp;$W$2,Taostats_CSV!$X$3:$X$1167,0)</f>
        <v>#N/A</v>
      </c>
      <c r="X195" t="e">
        <f t="shared" ref="X195:X258" ca="1" si="30">VALUE(D195)</f>
        <v>#VALUE!</v>
      </c>
      <c r="Y195">
        <f t="shared" ref="Y195:Y258" ca="1" si="31">VALUE(F195)</f>
        <v>0.14401663000000001</v>
      </c>
      <c r="Z195" t="e">
        <f t="shared" ref="Z195:Z258" ca="1" si="32">VALUE(H195)</f>
        <v>#VALUE!</v>
      </c>
    </row>
    <row r="196" spans="1:26" hidden="1" x14ac:dyDescent="0.4">
      <c r="A196" t="str">
        <f>MID(Taostats_CSV!C196,6,2)&amp;"/"&amp;MID(Taostats_CSV!C196,9,2)&amp;"/"&amp;LEFT(Taostats_CSV!C196,4)&amp;" "&amp;MID(Taostats_CSV!C196,12,8)</f>
        <v>04/20/2025 23:59:48</v>
      </c>
      <c r="C196" t="str">
        <f ca="1">IF(Q196,OFFSET(Taostats_CSV!$E$1,MATCH(K196&amp;D$1,Taostats_CSV!$X:$X,0)-1,0),IF(Taostats_CSV!F196="fee","",IF(VALUE(Taostats_CSV!G196)&gt;0,Taostats_CSV!E196,"")))</f>
        <v/>
      </c>
      <c r="D196" t="str">
        <f ca="1">IF(Q196,OFFSET(Taostats_CSV!$G$1,MATCH(K196&amp;D$1,Taostats_CSV!$X:$X,0)-1,0),IF(Taostats_CSV!F196="fee","",IF(VALUE(Taostats_CSV!G196)&gt;0,Taostats_CSV!G196,"")))</f>
        <v/>
      </c>
      <c r="E196" t="str">
        <f ca="1">IF(AND(Q196,P196&gt;0),OFFSET(Taostats_CSV!$E$1,MATCH(K196&amp;F$1,Taostats_CSV!$X:$X,0)-1,0),IF(LEN(F196)&gt;0,Taostats_CSV!E196,""))</f>
        <v>TAO</v>
      </c>
      <c r="F196" t="str">
        <f ca="1">TRIM(IF(AND(Q196,P196&gt;0),OFFSET(Taostats_CSV!$H$1,MATCH(K196&amp;F$1,Taostats_CSV!$X:$X,0)-1,0),IF(LEN(Taostats_CSV!H196)&gt;0,Taostats_CSV!H196,Taostats_CSV!R196)))</f>
        <v>0</v>
      </c>
      <c r="G196" t="str">
        <f ca="1">IF(AND(Q196,N196=1),OFFSET(Taostats_CSV!$E$1,MATCH(K196&amp;H$1,Taostats_CSV!$X:$X,0)-1,0),IF(Taostats_CSV!F196="fee",Taostats_CSV!E196,""))</f>
        <v/>
      </c>
      <c r="H196" t="str">
        <f ca="1">IF(AND(Q196,N196=1),OFFSET(Taostats_CSV!$G$1,MATCH(K196&amp;H$1,Taostats_CSV!$X:$X,0)-1,0),IF(Taostats_CSV!F196="fee",Taostats_CSV!G196,""))</f>
        <v/>
      </c>
      <c r="I196" t="str">
        <f ca="1">IF(AND(LEN(K196)=0,LEN(F196)&gt;0),"Income",IF(AND(O196&gt;0,P196&gt;0,C196&lt;&gt;E196),"Trade",IF(AND(NOT(Q196),Taostats_CSV!F196="fee"),'READ ME'!$C$5,"")))</f>
        <v>Income</v>
      </c>
      <c r="J196" t="str">
        <f ca="1">SUBSTITUTE(IF(LEN(I196)=0,Taostats_CSV!F196&amp;" "&amp;Taostats_CSV!J196,IF(I196="Cost","Extrinsic fee","")),"_"," ")</f>
        <v/>
      </c>
      <c r="K196" t="str">
        <f>TRIM(IF(LEN(Taostats_CSV!I196)&gt;0,Taostats_CSV!I196,""))</f>
        <v/>
      </c>
      <c r="L196" t="str">
        <f>IF(Taostats_CSV!E196&lt;&gt;"TAO",IF(LEN(F196)&gt;0,F196,IF(LEN(D196)&gt;0,D196,0))*Taostats_CSV!P196,"")</f>
        <v/>
      </c>
      <c r="M196" t="str">
        <f t="shared" ref="M196:M259" si="33">IF(LEN(L196)&gt;0,"USD","")</f>
        <v/>
      </c>
      <c r="N196">
        <f>COUNTIF(Taostats_CSV!$X:$X,Taostats_CSV!$I196&amp;N$1)</f>
        <v>0</v>
      </c>
      <c r="O196">
        <f>COUNTIF(Taostats_CSV!$X:$X,Taostats_CSV!$I196&amp;O$1)</f>
        <v>0</v>
      </c>
      <c r="P196">
        <f>COUNTIF(Taostats_CSV!$X:$X,Taostats_CSV!$I196&amp;P$1)</f>
        <v>0</v>
      </c>
      <c r="Q196" t="b">
        <f t="shared" ref="Q196:Q259" si="34">AND(O196&lt;=1,N196&lt;=1,P196&lt;=1,O196+N196+P196&gt;=2)</f>
        <v>0</v>
      </c>
      <c r="R196" t="b">
        <f>IF(LEN(K196)&gt;0,COUNTIF($K$3:K196,K196),FALSE)</f>
        <v>0</v>
      </c>
      <c r="S196" t="b">
        <f>IF(Taostats_CSV!A196=Taostats_CSV!$A$2,TRUE,Taostats_CSV!G196+Taostats_CSV!H196+Taostats_CSV!R196=0)</f>
        <v>1</v>
      </c>
      <c r="T196" t="b">
        <f t="shared" ref="T196:T259" si="35">AND(NOT(S196),OR(NOT(Q196),R196=1))</f>
        <v>0</v>
      </c>
      <c r="U196" t="b" cm="1">
        <f t="array" aca="1" ref="U196" ca="1">AND(T196,OR(O196-N196&gt;1,P196&gt;1,ISERROR(A196:P196)))</f>
        <v>0</v>
      </c>
      <c r="W196" t="e">
        <f>MATCH(K196&amp;$W$2,Taostats_CSV!$X$3:$X$1167,0)</f>
        <v>#N/A</v>
      </c>
      <c r="X196" t="e">
        <f t="shared" ca="1" si="30"/>
        <v>#VALUE!</v>
      </c>
      <c r="Y196">
        <f t="shared" ca="1" si="31"/>
        <v>0</v>
      </c>
      <c r="Z196" t="e">
        <f t="shared" ca="1" si="32"/>
        <v>#VALUE!</v>
      </c>
    </row>
    <row r="197" spans="1:26" x14ac:dyDescent="0.4">
      <c r="A197" t="str">
        <f>MID(Taostats_CSV!C197,6,2)&amp;"/"&amp;MID(Taostats_CSV!C197,9,2)&amp;"/"&amp;LEFT(Taostats_CSV!C197,4)&amp;" "&amp;MID(Taostats_CSV!C197,12,8)</f>
        <v>04/21/2025 23:59:48</v>
      </c>
      <c r="C197" t="str">
        <f ca="1">IF(Q197,OFFSET(Taostats_CSV!$E$1,MATCH(K197&amp;D$1,Taostats_CSV!$X:$X,0)-1,0),IF(Taostats_CSV!F197="fee",IF(VALUE(Taostats_CSV!G197)&gt;0,Taostats_CSV!E197,""),""))</f>
        <v/>
      </c>
      <c r="D197" t="str">
        <f ca="1">IF(Q197,OFFSET(Taostats_CSV!$G$1,MATCH(K197&amp;D$1,Taostats_CSV!$X:$X,0)-1,0),IF(Taostats_CSV!F197="fee",IF(VALUE(Taostats_CSV!G197)&gt;0,Taostats_CSV!G197,""),""))</f>
        <v/>
      </c>
      <c r="E197" t="str">
        <f ca="1">IF(AND(Q197,P197&gt;0),OFFSET(Taostats_CSV!$E$1,MATCH(K197&amp;F$1,Taostats_CSV!$X:$X,0)-1,0),IF(LEN(F197)&gt;0,Taostats_CSV!E197,""))</f>
        <v>SN3</v>
      </c>
      <c r="F197" t="str">
        <f ca="1">TRIM(IF(AND(Q197,P197&gt;0),OFFSET(Taostats_CSV!$H$1,MATCH(K197&amp;F$1,Taostats_CSV!$X:$X,0)-1,0),IF(LEN(Taostats_CSV!H197)&gt;0,Taostats_CSV!H197,Taostats_CSV!R197)))</f>
        <v>0.411443261</v>
      </c>
      <c r="G197" t="str">
        <f ca="1">IF(AND(Q197,N197=1),OFFSET(Taostats_CSV!$E$1,MATCH(K197&amp;H$1,Taostats_CSV!$X:$X,0)-1,0),"")</f>
        <v/>
      </c>
      <c r="H197" t="str">
        <f ca="1">IF(AND(Q197,N197=1),OFFSET(Taostats_CSV!$G$1,MATCH(K197&amp;H$1,Taostats_CSV!$X:$X,0)-1,0),"")</f>
        <v/>
      </c>
      <c r="I197" t="str">
        <f ca="1">IF(AND(LEN(K197)=0,LEN(F197)&gt;0),"Income",IF(AND(O197&gt;0,P197&gt;0,C197&lt;&gt;E197),"Trade",IF(AND(NOT(Q197),Taostats_CSV!F197="fee"),'READ ME'!$C$5,"")))</f>
        <v>Income</v>
      </c>
      <c r="J197" t="str">
        <f ca="1">SUBSTITUTE(IF(LEN(I197)=0,Taostats_CSV!F197&amp;" "&amp;Taostats_CSV!J197,IF(I197="Cost","Extrinsic fee","")),"_"," ")</f>
        <v/>
      </c>
      <c r="K197" t="str">
        <f>TRIM(IF(LEN(Taostats_CSV!I197)&gt;0,Taostats_CSV!I197,""))</f>
        <v/>
      </c>
      <c r="L197">
        <f ca="1">IF(Taostats_CSV!E197&lt;&gt;"TAO",IF(LEN(F197)&gt;0,F197,IF(LEN(D197)&gt;0,D197,0))*Taostats_CSV!P197,"")</f>
        <v>13.550167146490379</v>
      </c>
      <c r="M197" t="str">
        <f t="shared" ca="1" si="33"/>
        <v>USD</v>
      </c>
      <c r="N197">
        <f>COUNTIF(Taostats_CSV!$X:$X,Taostats_CSV!$I197&amp;N$1)</f>
        <v>0</v>
      </c>
      <c r="O197">
        <f>COUNTIF(Taostats_CSV!$X:$X,Taostats_CSV!$I197&amp;O$1)</f>
        <v>0</v>
      </c>
      <c r="P197">
        <f>COUNTIF(Taostats_CSV!$X:$X,Taostats_CSV!$I197&amp;P$1)</f>
        <v>0</v>
      </c>
      <c r="Q197" t="b">
        <f t="shared" si="34"/>
        <v>0</v>
      </c>
      <c r="R197" t="b">
        <f>IF(LEN(K197)&gt;0,COUNTIF($K$3:K197,K197),FALSE)</f>
        <v>0</v>
      </c>
      <c r="S197" t="b">
        <f>IF(Taostats_CSV!A197=Taostats_CSV!$A$2,TRUE,Taostats_CSV!G197+Taostats_CSV!H197+Taostats_CSV!R197=0)</f>
        <v>0</v>
      </c>
      <c r="T197" t="b">
        <f t="shared" si="35"/>
        <v>1</v>
      </c>
      <c r="U197" t="b" cm="1">
        <f t="array" aca="1" ref="U197" ca="1">AND(T197,OR(O197-N197&gt;1,P197&gt;1,ISERROR(A197:P197)))</f>
        <v>0</v>
      </c>
      <c r="W197" t="e">
        <f>MATCH(K197&amp;$W$2,Taostats_CSV!$X$3:$X$1167,0)</f>
        <v>#N/A</v>
      </c>
      <c r="X197" t="e">
        <f t="shared" ca="1" si="30"/>
        <v>#VALUE!</v>
      </c>
      <c r="Y197">
        <f t="shared" ca="1" si="31"/>
        <v>0.411443261</v>
      </c>
      <c r="Z197" t="e">
        <f t="shared" ca="1" si="32"/>
        <v>#VALUE!</v>
      </c>
    </row>
    <row r="198" spans="1:26" x14ac:dyDescent="0.4">
      <c r="A198" t="str">
        <f>MID(Taostats_CSV!C198,6,2)&amp;"/"&amp;MID(Taostats_CSV!C198,9,2)&amp;"/"&amp;LEFT(Taostats_CSV!C198,4)&amp;" "&amp;MID(Taostats_CSV!C198,12,8)</f>
        <v>04/21/2025 23:59:48</v>
      </c>
      <c r="C198" t="str">
        <f ca="1">IF(Q198,OFFSET(Taostats_CSV!$E$1,MATCH(K198&amp;D$1,Taostats_CSV!$X:$X,0)-1,0),IF(Taostats_CSV!F198="fee",IF(VALUE(Taostats_CSV!G198)&gt;0,Taostats_CSV!E198,""),""))</f>
        <v/>
      </c>
      <c r="D198" t="str">
        <f ca="1">IF(Q198,OFFSET(Taostats_CSV!$G$1,MATCH(K198&amp;D$1,Taostats_CSV!$X:$X,0)-1,0),IF(Taostats_CSV!F198="fee",IF(VALUE(Taostats_CSV!G198)&gt;0,Taostats_CSV!G198,""),""))</f>
        <v/>
      </c>
      <c r="E198" t="str">
        <f ca="1">IF(AND(Q198,P198&gt;0),OFFSET(Taostats_CSV!$E$1,MATCH(K198&amp;F$1,Taostats_CSV!$X:$X,0)-1,0),IF(LEN(F198)&gt;0,Taostats_CSV!E198,""))</f>
        <v>SN4</v>
      </c>
      <c r="F198" t="str">
        <f ca="1">TRIM(IF(AND(Q198,P198&gt;0),OFFSET(Taostats_CSV!$H$1,MATCH(K198&amp;F$1,Taostats_CSV!$X:$X,0)-1,0),IF(LEN(Taostats_CSV!H198)&gt;0,Taostats_CSV!H198,Taostats_CSV!R198)))</f>
        <v>0.374553284</v>
      </c>
      <c r="G198" t="str">
        <f ca="1">IF(AND(Q198,N198=1),OFFSET(Taostats_CSV!$E$1,MATCH(K198&amp;H$1,Taostats_CSV!$X:$X,0)-1,0),"")</f>
        <v/>
      </c>
      <c r="H198" t="str">
        <f ca="1">IF(AND(Q198,N198=1),OFFSET(Taostats_CSV!$G$1,MATCH(K198&amp;H$1,Taostats_CSV!$X:$X,0)-1,0),"")</f>
        <v/>
      </c>
      <c r="I198" t="str">
        <f ca="1">IF(AND(LEN(K198)=0,LEN(F198)&gt;0),"Income",IF(AND(O198&gt;0,P198&gt;0,C198&lt;&gt;E198),"Trade",IF(AND(NOT(Q198),Taostats_CSV!F198="fee"),'READ ME'!$C$5,"")))</f>
        <v>Income</v>
      </c>
      <c r="J198" t="str">
        <f ca="1">SUBSTITUTE(IF(LEN(I198)=0,Taostats_CSV!F198&amp;" "&amp;Taostats_CSV!J198,IF(I198="Cost","Extrinsic fee","")),"_"," ")</f>
        <v/>
      </c>
      <c r="K198" t="str">
        <f>TRIM(IF(LEN(Taostats_CSV!I198)&gt;0,Taostats_CSV!I198,""))</f>
        <v/>
      </c>
      <c r="L198">
        <f ca="1">IF(Taostats_CSV!E198&lt;&gt;"TAO",IF(LEN(F198)&gt;0,F198,IF(LEN(D198)&gt;0,D198,0))*Taostats_CSV!P198,"")</f>
        <v>18.662745982016752</v>
      </c>
      <c r="M198" t="str">
        <f t="shared" ca="1" si="33"/>
        <v>USD</v>
      </c>
      <c r="N198">
        <f>COUNTIF(Taostats_CSV!$X:$X,Taostats_CSV!$I198&amp;N$1)</f>
        <v>0</v>
      </c>
      <c r="O198">
        <f>COUNTIF(Taostats_CSV!$X:$X,Taostats_CSV!$I198&amp;O$1)</f>
        <v>0</v>
      </c>
      <c r="P198">
        <f>COUNTIF(Taostats_CSV!$X:$X,Taostats_CSV!$I198&amp;P$1)</f>
        <v>0</v>
      </c>
      <c r="Q198" t="b">
        <f t="shared" si="34"/>
        <v>0</v>
      </c>
      <c r="R198" t="b">
        <f>IF(LEN(K198)&gt;0,COUNTIF($K$3:K198,K198),FALSE)</f>
        <v>0</v>
      </c>
      <c r="S198" t="b">
        <f>IF(Taostats_CSV!A198=Taostats_CSV!$A$2,TRUE,Taostats_CSV!G198+Taostats_CSV!H198+Taostats_CSV!R198=0)</f>
        <v>0</v>
      </c>
      <c r="T198" t="b">
        <f t="shared" si="35"/>
        <v>1</v>
      </c>
      <c r="U198" t="b" cm="1">
        <f t="array" aca="1" ref="U198" ca="1">AND(T198,OR(O198-N198&gt;1,P198&gt;1,ISERROR(A198:P198)))</f>
        <v>0</v>
      </c>
      <c r="W198" t="e">
        <f>MATCH(K198&amp;$W$2,Taostats_CSV!$X$3:$X$1167,0)</f>
        <v>#N/A</v>
      </c>
      <c r="X198" t="e">
        <f t="shared" ca="1" si="30"/>
        <v>#VALUE!</v>
      </c>
      <c r="Y198">
        <f t="shared" ca="1" si="31"/>
        <v>0.37455328399999999</v>
      </c>
      <c r="Z198" t="e">
        <f t="shared" ca="1" si="32"/>
        <v>#VALUE!</v>
      </c>
    </row>
    <row r="199" spans="1:26" x14ac:dyDescent="0.4">
      <c r="A199" t="str">
        <f>MID(Taostats_CSV!C199,6,2)&amp;"/"&amp;MID(Taostats_CSV!C199,9,2)&amp;"/"&amp;LEFT(Taostats_CSV!C199,4)&amp;" "&amp;MID(Taostats_CSV!C199,12,8)</f>
        <v>04/21/2025 23:59:48</v>
      </c>
      <c r="C199" t="str">
        <f ca="1">IF(Q199,OFFSET(Taostats_CSV!$E$1,MATCH(K199&amp;D$1,Taostats_CSV!$X:$X,0)-1,0),IF(Taostats_CSV!F199="fee",IF(VALUE(Taostats_CSV!G199)&gt;0,Taostats_CSV!E199,""),""))</f>
        <v/>
      </c>
      <c r="D199" t="str">
        <f ca="1">IF(Q199,OFFSET(Taostats_CSV!$G$1,MATCH(K199&amp;D$1,Taostats_CSV!$X:$X,0)-1,0),IF(Taostats_CSV!F199="fee",IF(VALUE(Taostats_CSV!G199)&gt;0,Taostats_CSV!G199,""),""))</f>
        <v/>
      </c>
      <c r="E199" t="str">
        <f ca="1">IF(AND(Q199,P199&gt;0),OFFSET(Taostats_CSV!$E$1,MATCH(K199&amp;F$1,Taostats_CSV!$X:$X,0)-1,0),IF(LEN(F199)&gt;0,Taostats_CSV!E199,""))</f>
        <v>SN56</v>
      </c>
      <c r="F199" t="str">
        <f ca="1">TRIM(IF(AND(Q199,P199&gt;0),OFFSET(Taostats_CSV!$H$1,MATCH(K199&amp;F$1,Taostats_CSV!$X:$X,0)-1,0),IF(LEN(Taostats_CSV!H199)&gt;0,Taostats_CSV!H199,Taostats_CSV!R199)))</f>
        <v>0.236335166</v>
      </c>
      <c r="G199" t="str">
        <f ca="1">IF(AND(Q199,N199=1),OFFSET(Taostats_CSV!$E$1,MATCH(K199&amp;H$1,Taostats_CSV!$X:$X,0)-1,0),"")</f>
        <v/>
      </c>
      <c r="H199" t="str">
        <f ca="1">IF(AND(Q199,N199=1),OFFSET(Taostats_CSV!$G$1,MATCH(K199&amp;H$1,Taostats_CSV!$X:$X,0)-1,0),"")</f>
        <v/>
      </c>
      <c r="I199" t="str">
        <f ca="1">IF(AND(LEN(K199)=0,LEN(F199)&gt;0),"Income",IF(AND(O199&gt;0,P199&gt;0,C199&lt;&gt;E199),"Trade",IF(AND(NOT(Q199),Taostats_CSV!F199="fee"),'READ ME'!$C$5,"")))</f>
        <v>Income</v>
      </c>
      <c r="J199" t="str">
        <f ca="1">SUBSTITUTE(IF(LEN(I199)=0,Taostats_CSV!F199&amp;" "&amp;Taostats_CSV!J199,IF(I199="Cost","Extrinsic fee","")),"_"," ")</f>
        <v/>
      </c>
      <c r="K199" t="str">
        <f>TRIM(IF(LEN(Taostats_CSV!I199)&gt;0,Taostats_CSV!I199,""))</f>
        <v/>
      </c>
      <c r="L199">
        <f ca="1">IF(Taostats_CSV!E199&lt;&gt;"TAO",IF(LEN(F199)&gt;0,F199,IF(LEN(D199)&gt;0,D199,0))*Taostats_CSV!P199,"")</f>
        <v>12.0320561077432</v>
      </c>
      <c r="M199" t="str">
        <f t="shared" ca="1" si="33"/>
        <v>USD</v>
      </c>
      <c r="N199">
        <f>COUNTIF(Taostats_CSV!$X:$X,Taostats_CSV!$I199&amp;N$1)</f>
        <v>0</v>
      </c>
      <c r="O199">
        <f>COUNTIF(Taostats_CSV!$X:$X,Taostats_CSV!$I199&amp;O$1)</f>
        <v>0</v>
      </c>
      <c r="P199">
        <f>COUNTIF(Taostats_CSV!$X:$X,Taostats_CSV!$I199&amp;P$1)</f>
        <v>0</v>
      </c>
      <c r="Q199" t="b">
        <f t="shared" si="34"/>
        <v>0</v>
      </c>
      <c r="R199" t="b">
        <f>IF(LEN(K199)&gt;0,COUNTIF($K$3:K199,K199),FALSE)</f>
        <v>0</v>
      </c>
      <c r="S199" t="b">
        <f>IF(Taostats_CSV!A199=Taostats_CSV!$A$2,TRUE,Taostats_CSV!G199+Taostats_CSV!H199+Taostats_CSV!R199=0)</f>
        <v>0</v>
      </c>
      <c r="T199" t="b">
        <f t="shared" si="35"/>
        <v>1</v>
      </c>
      <c r="U199" t="b" cm="1">
        <f t="array" aca="1" ref="U199" ca="1">AND(T199,OR(O199-N199&gt;1,P199&gt;1,ISERROR(A199:P199)))</f>
        <v>0</v>
      </c>
      <c r="W199" t="e">
        <f>MATCH(K199&amp;$W$2,Taostats_CSV!$X$3:$X$1167,0)</f>
        <v>#N/A</v>
      </c>
      <c r="X199" t="e">
        <f t="shared" ca="1" si="30"/>
        <v>#VALUE!</v>
      </c>
      <c r="Y199">
        <f t="shared" ca="1" si="31"/>
        <v>0.23633516600000001</v>
      </c>
      <c r="Z199" t="e">
        <f t="shared" ca="1" si="32"/>
        <v>#VALUE!</v>
      </c>
    </row>
    <row r="200" spans="1:26" x14ac:dyDescent="0.4">
      <c r="A200" t="str">
        <f>MID(Taostats_CSV!C200,6,2)&amp;"/"&amp;MID(Taostats_CSV!C200,9,2)&amp;"/"&amp;LEFT(Taostats_CSV!C200,4)&amp;" "&amp;MID(Taostats_CSV!C200,12,8)</f>
        <v>04/21/2025 23:59:48</v>
      </c>
      <c r="C200" t="str">
        <f ca="1">IF(Q200,OFFSET(Taostats_CSV!$E$1,MATCH(K200&amp;D$1,Taostats_CSV!$X:$X,0)-1,0),IF(Taostats_CSV!F200="fee",IF(VALUE(Taostats_CSV!G200)&gt;0,Taostats_CSV!E200,""),""))</f>
        <v/>
      </c>
      <c r="D200" t="str">
        <f ca="1">IF(Q200,OFFSET(Taostats_CSV!$G$1,MATCH(K200&amp;D$1,Taostats_CSV!$X:$X,0)-1,0),IF(Taostats_CSV!F200="fee",IF(VALUE(Taostats_CSV!G200)&gt;0,Taostats_CSV!G200,""),""))</f>
        <v/>
      </c>
      <c r="E200" t="str">
        <f ca="1">IF(AND(Q200,P200&gt;0),OFFSET(Taostats_CSV!$E$1,MATCH(K200&amp;F$1,Taostats_CSV!$X:$X,0)-1,0),IF(LEN(F200)&gt;0,Taostats_CSV!E200,""))</f>
        <v>SN64</v>
      </c>
      <c r="F200" t="str">
        <f ca="1">TRIM(IF(AND(Q200,P200&gt;0),OFFSET(Taostats_CSV!$H$1,MATCH(K200&amp;F$1,Taostats_CSV!$X:$X,0)-1,0),IF(LEN(Taostats_CSV!H200)&gt;0,Taostats_CSV!H200,Taostats_CSV!R200)))</f>
        <v>0.142239257</v>
      </c>
      <c r="G200" t="str">
        <f ca="1">IF(AND(Q200,N200=1),OFFSET(Taostats_CSV!$E$1,MATCH(K200&amp;H$1,Taostats_CSV!$X:$X,0)-1,0),"")</f>
        <v/>
      </c>
      <c r="H200" t="str">
        <f ca="1">IF(AND(Q200,N200=1),OFFSET(Taostats_CSV!$G$1,MATCH(K200&amp;H$1,Taostats_CSV!$X:$X,0)-1,0),"")</f>
        <v/>
      </c>
      <c r="I200" t="str">
        <f ca="1">IF(AND(LEN(K200)=0,LEN(F200)&gt;0),"Income",IF(AND(O200&gt;0,P200&gt;0,C200&lt;&gt;E200),"Trade",IF(AND(NOT(Q200),Taostats_CSV!F200="fee"),'READ ME'!$C$5,"")))</f>
        <v>Income</v>
      </c>
      <c r="J200" t="str">
        <f ca="1">SUBSTITUTE(IF(LEN(I200)=0,Taostats_CSV!F200&amp;" "&amp;Taostats_CSV!J200,IF(I200="Cost","Extrinsic fee","")),"_"," ")</f>
        <v/>
      </c>
      <c r="K200" t="str">
        <f>TRIM(IF(LEN(Taostats_CSV!I200)&gt;0,Taostats_CSV!I200,""))</f>
        <v/>
      </c>
      <c r="L200">
        <f ca="1">IF(Taostats_CSV!E200&lt;&gt;"TAO",IF(LEN(F200)&gt;0,F200,IF(LEN(D200)&gt;0,D200,0))*Taostats_CSV!P200,"")</f>
        <v>15.753931387531576</v>
      </c>
      <c r="M200" t="str">
        <f t="shared" ca="1" si="33"/>
        <v>USD</v>
      </c>
      <c r="N200">
        <f>COUNTIF(Taostats_CSV!$X:$X,Taostats_CSV!$I200&amp;N$1)</f>
        <v>0</v>
      </c>
      <c r="O200">
        <f>COUNTIF(Taostats_CSV!$X:$X,Taostats_CSV!$I200&amp;O$1)</f>
        <v>0</v>
      </c>
      <c r="P200">
        <f>COUNTIF(Taostats_CSV!$X:$X,Taostats_CSV!$I200&amp;P$1)</f>
        <v>0</v>
      </c>
      <c r="Q200" t="b">
        <f t="shared" si="34"/>
        <v>0</v>
      </c>
      <c r="R200" t="b">
        <f>IF(LEN(K200)&gt;0,COUNTIF($K$3:K200,K200),FALSE)</f>
        <v>0</v>
      </c>
      <c r="S200" t="b">
        <f>IF(Taostats_CSV!A200=Taostats_CSV!$A$2,TRUE,Taostats_CSV!G200+Taostats_CSV!H200+Taostats_CSV!R200=0)</f>
        <v>0</v>
      </c>
      <c r="T200" t="b">
        <f t="shared" si="35"/>
        <v>1</v>
      </c>
      <c r="U200" t="b" cm="1">
        <f t="array" aca="1" ref="U200" ca="1">AND(T200,OR(O200-N200&gt;1,P200&gt;1,ISERROR(A200:P200)))</f>
        <v>0</v>
      </c>
      <c r="W200" t="e">
        <f>MATCH(K200&amp;$W$2,Taostats_CSV!$X$3:$X$1167,0)</f>
        <v>#N/A</v>
      </c>
      <c r="X200" t="e">
        <f t="shared" ca="1" si="30"/>
        <v>#VALUE!</v>
      </c>
      <c r="Y200">
        <f t="shared" ca="1" si="31"/>
        <v>0.14223925700000001</v>
      </c>
      <c r="Z200" t="e">
        <f t="shared" ca="1" si="32"/>
        <v>#VALUE!</v>
      </c>
    </row>
    <row r="201" spans="1:26" hidden="1" x14ac:dyDescent="0.4">
      <c r="A201" t="str">
        <f>MID(Taostats_CSV!C201,6,2)&amp;"/"&amp;MID(Taostats_CSV!C201,9,2)&amp;"/"&amp;LEFT(Taostats_CSV!C201,4)&amp;" "&amp;MID(Taostats_CSV!C201,12,8)</f>
        <v>04/21/2025 23:59:48</v>
      </c>
      <c r="C201" t="str">
        <f ca="1">IF(Q201,OFFSET(Taostats_CSV!$E$1,MATCH(K201&amp;D$1,Taostats_CSV!$X:$X,0)-1,0),IF(Taostats_CSV!F201="fee","",IF(VALUE(Taostats_CSV!G201)&gt;0,Taostats_CSV!E201,"")))</f>
        <v/>
      </c>
      <c r="D201" t="str">
        <f ca="1">IF(Q201,OFFSET(Taostats_CSV!$G$1,MATCH(K201&amp;D$1,Taostats_CSV!$X:$X,0)-1,0),IF(Taostats_CSV!F201="fee","",IF(VALUE(Taostats_CSV!G201)&gt;0,Taostats_CSV!G201,"")))</f>
        <v/>
      </c>
      <c r="E201" t="str">
        <f ca="1">IF(AND(Q201,P201&gt;0),OFFSET(Taostats_CSV!$E$1,MATCH(K201&amp;F$1,Taostats_CSV!$X:$X,0)-1,0),IF(LEN(F201)&gt;0,Taostats_CSV!E201,""))</f>
        <v>TAO</v>
      </c>
      <c r="F201" t="str">
        <f ca="1">TRIM(IF(AND(Q201,P201&gt;0),OFFSET(Taostats_CSV!$H$1,MATCH(K201&amp;F$1,Taostats_CSV!$X:$X,0)-1,0),IF(LEN(Taostats_CSV!H201)&gt;0,Taostats_CSV!H201,Taostats_CSV!R201)))</f>
        <v>0</v>
      </c>
      <c r="G201" t="str">
        <f ca="1">IF(AND(Q201,N201=1),OFFSET(Taostats_CSV!$E$1,MATCH(K201&amp;H$1,Taostats_CSV!$X:$X,0)-1,0),IF(Taostats_CSV!F201="fee",Taostats_CSV!E201,""))</f>
        <v/>
      </c>
      <c r="H201" t="str">
        <f ca="1">IF(AND(Q201,N201=1),OFFSET(Taostats_CSV!$G$1,MATCH(K201&amp;H$1,Taostats_CSV!$X:$X,0)-1,0),IF(Taostats_CSV!F201="fee",Taostats_CSV!G201,""))</f>
        <v/>
      </c>
      <c r="I201" t="str">
        <f ca="1">IF(AND(LEN(K201)=0,LEN(F201)&gt;0),"Income",IF(AND(O201&gt;0,P201&gt;0,C201&lt;&gt;E201),"Trade",IF(AND(NOT(Q201),Taostats_CSV!F201="fee"),'READ ME'!$C$5,"")))</f>
        <v>Income</v>
      </c>
      <c r="J201" t="str">
        <f ca="1">SUBSTITUTE(IF(LEN(I201)=0,Taostats_CSV!F201&amp;" "&amp;Taostats_CSV!J201,IF(I201="Cost","Extrinsic fee","")),"_"," ")</f>
        <v/>
      </c>
      <c r="K201" t="str">
        <f>TRIM(IF(LEN(Taostats_CSV!I201)&gt;0,Taostats_CSV!I201,""))</f>
        <v/>
      </c>
      <c r="L201" t="str">
        <f>IF(Taostats_CSV!E201&lt;&gt;"TAO",IF(LEN(F201)&gt;0,F201,IF(LEN(D201)&gt;0,D201,0))*Taostats_CSV!P201,"")</f>
        <v/>
      </c>
      <c r="M201" t="str">
        <f t="shared" si="33"/>
        <v/>
      </c>
      <c r="N201">
        <f>COUNTIF(Taostats_CSV!$X:$X,Taostats_CSV!$I201&amp;N$1)</f>
        <v>0</v>
      </c>
      <c r="O201">
        <f>COUNTIF(Taostats_CSV!$X:$X,Taostats_CSV!$I201&amp;O$1)</f>
        <v>0</v>
      </c>
      <c r="P201">
        <f>COUNTIF(Taostats_CSV!$X:$X,Taostats_CSV!$I201&amp;P$1)</f>
        <v>0</v>
      </c>
      <c r="Q201" t="b">
        <f t="shared" si="34"/>
        <v>0</v>
      </c>
      <c r="R201" t="b">
        <f>IF(LEN(K201)&gt;0,COUNTIF($K$3:K201,K201),FALSE)</f>
        <v>0</v>
      </c>
      <c r="S201" t="b">
        <f>IF(Taostats_CSV!A201=Taostats_CSV!$A$2,TRUE,Taostats_CSV!G201+Taostats_CSV!H201+Taostats_CSV!R201=0)</f>
        <v>1</v>
      </c>
      <c r="T201" t="b">
        <f t="shared" si="35"/>
        <v>0</v>
      </c>
      <c r="U201" t="b" cm="1">
        <f t="array" aca="1" ref="U201" ca="1">AND(T201,OR(O201-N201&gt;1,P201&gt;1,ISERROR(A201:P201)))</f>
        <v>0</v>
      </c>
      <c r="W201" t="e">
        <f>MATCH(K201&amp;$W$2,Taostats_CSV!$X$3:$X$1167,0)</f>
        <v>#N/A</v>
      </c>
      <c r="X201" t="e">
        <f t="shared" ca="1" si="30"/>
        <v>#VALUE!</v>
      </c>
      <c r="Y201">
        <f t="shared" ca="1" si="31"/>
        <v>0</v>
      </c>
      <c r="Z201" t="e">
        <f t="shared" ca="1" si="32"/>
        <v>#VALUE!</v>
      </c>
    </row>
    <row r="202" spans="1:26" x14ac:dyDescent="0.4">
      <c r="A202" t="str">
        <f>MID(Taostats_CSV!C202,6,2)&amp;"/"&amp;MID(Taostats_CSV!C202,9,2)&amp;"/"&amp;LEFT(Taostats_CSV!C202,4)&amp;" "&amp;MID(Taostats_CSV!C202,12,8)</f>
        <v>04/22/2025 21:38:00</v>
      </c>
      <c r="C202" t="str">
        <f ca="1">IF(Q202,OFFSET(Taostats_CSV!$E$1,MATCH(K202&amp;D$1,Taostats_CSV!$X:$X,0)-1,0),IF(Taostats_CSV!F202="fee",IF(VALUE(Taostats_CSV!G202)&gt;0,Taostats_CSV!E202,""),""))</f>
        <v/>
      </c>
      <c r="D202" t="str">
        <f ca="1">IF(Q202,OFFSET(Taostats_CSV!$G$1,MATCH(K202&amp;D$1,Taostats_CSV!$X:$X,0)-1,0),IF(Taostats_CSV!F202="fee",IF(VALUE(Taostats_CSV!G202)&gt;0,Taostats_CSV!G202,""),""))</f>
        <v/>
      </c>
      <c r="E202" t="str">
        <f ca="1">IF(AND(Q202,P202&gt;0),OFFSET(Taostats_CSV!$E$1,MATCH(K202&amp;F$1,Taostats_CSV!$X:$X,0)-1,0),IF(LEN(F202)&gt;0,Taostats_CSV!E202,""))</f>
        <v>TAO</v>
      </c>
      <c r="F202" t="str">
        <f ca="1">TRIM(IF(AND(Q202,P202&gt;0),OFFSET(Taostats_CSV!$H$1,MATCH(K202&amp;F$1,Taostats_CSV!$X:$X,0)-1,0),IF(LEN(Taostats_CSV!H202)&gt;0,Taostats_CSV!H202,Taostats_CSV!R202)))</f>
        <v>1</v>
      </c>
      <c r="G202" t="str">
        <f ca="1">IF(AND(Q202,N202=1),OFFSET(Taostats_CSV!$E$1,MATCH(K202&amp;H$1,Taostats_CSV!$X:$X,0)-1,0),"")</f>
        <v/>
      </c>
      <c r="H202" t="str">
        <f ca="1">IF(AND(Q202,N202=1),OFFSET(Taostats_CSV!$G$1,MATCH(K202&amp;H$1,Taostats_CSV!$X:$X,0)-1,0),"")</f>
        <v/>
      </c>
      <c r="I202" t="str">
        <f ca="1">IF(AND(LEN(K202)=0,LEN(F202)&gt;0),"Income",IF(AND(O202&gt;0,P202&gt;0,C202&lt;&gt;E202),"Trade",IF(AND(NOT(Q202),Taostats_CSV!F202="fee"),'READ ME'!$C$5,"")))</f>
        <v/>
      </c>
      <c r="J202" t="str">
        <f ca="1">SUBSTITUTE(IF(LEN(I202)=0,Taostats_CSV!F202&amp;" "&amp;Taostats_CSV!J202,IF(I202="Cost","Extrinsic fee","")),"_"," ")</f>
        <v>transfer in 5E2b2DcMd5W8MBhzTCFt63t2ZEN8RsRgL7oDd7BFYL9aMQux</v>
      </c>
      <c r="K202" t="str">
        <f>TRIM(IF(LEN(Taostats_CSV!I202)&gt;0,Taostats_CSV!I202,""))</f>
        <v>5409922-0010</v>
      </c>
      <c r="L202" t="str">
        <f>IF(Taostats_CSV!E202&lt;&gt;"TAO",IF(LEN(F202)&gt;0,F202,IF(LEN(D202)&gt;0,D202,0))*Taostats_CSV!P202,"")</f>
        <v/>
      </c>
      <c r="M202" t="str">
        <f t="shared" si="33"/>
        <v/>
      </c>
      <c r="N202">
        <f>COUNTIF(Taostats_CSV!$X:$X,Taostats_CSV!$I202&amp;N$1)</f>
        <v>0</v>
      </c>
      <c r="O202">
        <f>COUNTIF(Taostats_CSV!$X:$X,Taostats_CSV!$I202&amp;O$1)</f>
        <v>0</v>
      </c>
      <c r="P202">
        <f>COUNTIF(Taostats_CSV!$X:$X,Taostats_CSV!$I202&amp;P$1)</f>
        <v>1</v>
      </c>
      <c r="Q202" t="b">
        <f t="shared" si="34"/>
        <v>0</v>
      </c>
      <c r="R202">
        <f>IF(LEN(K202)&gt;0,COUNTIF($K$3:K202,K202),FALSE)</f>
        <v>1</v>
      </c>
      <c r="S202" t="b">
        <f>IF(Taostats_CSV!A202=Taostats_CSV!$A$2,TRUE,Taostats_CSV!G202+Taostats_CSV!H202+Taostats_CSV!R202=0)</f>
        <v>0</v>
      </c>
      <c r="T202" t="b">
        <f t="shared" si="35"/>
        <v>1</v>
      </c>
      <c r="U202" t="b" cm="1">
        <f t="array" aca="1" ref="U202" ca="1">AND(T202,OR(O202-N202&gt;1,P202&gt;1,ISERROR(A202:P202)))</f>
        <v>0</v>
      </c>
      <c r="W202" t="e">
        <f>MATCH(K202&amp;$W$2,Taostats_CSV!$X$3:$X$1167,0)</f>
        <v>#N/A</v>
      </c>
      <c r="X202" t="e">
        <f t="shared" ca="1" si="30"/>
        <v>#VALUE!</v>
      </c>
      <c r="Y202">
        <f t="shared" ca="1" si="31"/>
        <v>1</v>
      </c>
      <c r="Z202" t="e">
        <f t="shared" ca="1" si="32"/>
        <v>#VALUE!</v>
      </c>
    </row>
    <row r="203" spans="1:26" x14ac:dyDescent="0.4">
      <c r="A203" t="str">
        <f>MID(Taostats_CSV!C203,6,2)&amp;"/"&amp;MID(Taostats_CSV!C203,9,2)&amp;"/"&amp;LEFT(Taostats_CSV!C203,4)&amp;" "&amp;MID(Taostats_CSV!C203,12,8)</f>
        <v>04/22/2025 21:39:12</v>
      </c>
      <c r="C203" t="str">
        <f ca="1">IF(Q203,OFFSET(Taostats_CSV!$E$1,MATCH(K203&amp;D$1,Taostats_CSV!$X:$X,0)-1,0),IF(Taostats_CSV!F203="fee",IF(VALUE(Taostats_CSV!G203)&gt;0,Taostats_CSV!E203,""),""))</f>
        <v/>
      </c>
      <c r="D203" t="str">
        <f ca="1">IF(Q203,OFFSET(Taostats_CSV!$G$1,MATCH(K203&amp;D$1,Taostats_CSV!$X:$X,0)-1,0),IF(Taostats_CSV!F203="fee",IF(VALUE(Taostats_CSV!G203)&gt;0,Taostats_CSV!G203,""),""))</f>
        <v/>
      </c>
      <c r="E203" t="str">
        <f ca="1">IF(AND(Q203,P203&gt;0),OFFSET(Taostats_CSV!$E$1,MATCH(K203&amp;F$1,Taostats_CSV!$X:$X,0)-1,0),IF(LEN(F203)&gt;0,Taostats_CSV!E203,""))</f>
        <v>TAO</v>
      </c>
      <c r="F203" t="str">
        <f ca="1">TRIM(IF(AND(Q203,P203&gt;0),OFFSET(Taostats_CSV!$H$1,MATCH(K203&amp;F$1,Taostats_CSV!$X:$X,0)-1,0),IF(LEN(Taostats_CSV!H203)&gt;0,Taostats_CSV!H203,Taostats_CSV!R203)))</f>
        <v>155.26599559</v>
      </c>
      <c r="G203" t="str">
        <f ca="1">IF(AND(Q203,N203=1),OFFSET(Taostats_CSV!$E$1,MATCH(K203&amp;H$1,Taostats_CSV!$X:$X,0)-1,0),"")</f>
        <v/>
      </c>
      <c r="H203" t="str">
        <f ca="1">IF(AND(Q203,N203=1),OFFSET(Taostats_CSV!$G$1,MATCH(K203&amp;H$1,Taostats_CSV!$X:$X,0)-1,0),"")</f>
        <v/>
      </c>
      <c r="I203" t="str">
        <f ca="1">IF(AND(LEN(K203)=0,LEN(F203)&gt;0),"Income",IF(AND(O203&gt;0,P203&gt;0,C203&lt;&gt;E203),"Trade",IF(AND(NOT(Q203),Taostats_CSV!F203="fee"),'READ ME'!$C$5,"")))</f>
        <v/>
      </c>
      <c r="J203" t="str">
        <f ca="1">SUBSTITUTE(IF(LEN(I203)=0,Taostats_CSV!F203&amp;" "&amp;Taostats_CSV!J203,IF(I203="Cost","Extrinsic fee","")),"_"," ")</f>
        <v>transfer in 5E2b2DcMd5W8MBhzTCFt63t2ZEN8RsRgL7oDd7BFYL9aMQux</v>
      </c>
      <c r="K203" t="str">
        <f>TRIM(IF(LEN(Taostats_CSV!I203)&gt;0,Taostats_CSV!I203,""))</f>
        <v>5409928-0026</v>
      </c>
      <c r="L203" t="str">
        <f>IF(Taostats_CSV!E203&lt;&gt;"TAO",IF(LEN(F203)&gt;0,F203,IF(LEN(D203)&gt;0,D203,0))*Taostats_CSV!P203,"")</f>
        <v/>
      </c>
      <c r="M203" t="str">
        <f t="shared" si="33"/>
        <v/>
      </c>
      <c r="N203">
        <f>COUNTIF(Taostats_CSV!$X:$X,Taostats_CSV!$I203&amp;N$1)</f>
        <v>0</v>
      </c>
      <c r="O203">
        <f>COUNTIF(Taostats_CSV!$X:$X,Taostats_CSV!$I203&amp;O$1)</f>
        <v>0</v>
      </c>
      <c r="P203">
        <f>COUNTIF(Taostats_CSV!$X:$X,Taostats_CSV!$I203&amp;P$1)</f>
        <v>1</v>
      </c>
      <c r="Q203" t="b">
        <f t="shared" si="34"/>
        <v>0</v>
      </c>
      <c r="R203">
        <f>IF(LEN(K203)&gt;0,COUNTIF($K$3:K203,K203),FALSE)</f>
        <v>1</v>
      </c>
      <c r="S203" t="b">
        <f>IF(Taostats_CSV!A203=Taostats_CSV!$A$2,TRUE,Taostats_CSV!G203+Taostats_CSV!H203+Taostats_CSV!R203=0)</f>
        <v>0</v>
      </c>
      <c r="T203" t="b">
        <f t="shared" si="35"/>
        <v>1</v>
      </c>
      <c r="U203" t="b" cm="1">
        <f t="array" aca="1" ref="U203" ca="1">AND(T203,OR(O203-N203&gt;1,P203&gt;1,ISERROR(A203:P203)))</f>
        <v>0</v>
      </c>
      <c r="W203" t="e">
        <f>MATCH(K203&amp;$W$2,Taostats_CSV!$X$3:$X$1167,0)</f>
        <v>#N/A</v>
      </c>
      <c r="X203" t="e">
        <f t="shared" ca="1" si="30"/>
        <v>#VALUE!</v>
      </c>
      <c r="Y203">
        <f t="shared" ca="1" si="31"/>
        <v>155.26599558999999</v>
      </c>
      <c r="Z203" t="e">
        <f t="shared" ca="1" si="32"/>
        <v>#VALUE!</v>
      </c>
    </row>
    <row r="204" spans="1:26" x14ac:dyDescent="0.4">
      <c r="A204" t="str">
        <f>MID(Taostats_CSV!C204,6,2)&amp;"/"&amp;MID(Taostats_CSV!C204,9,2)&amp;"/"&amp;LEFT(Taostats_CSV!C204,4)&amp;" "&amp;MID(Taostats_CSV!C204,12,8)</f>
        <v>04/22/2025 23:59:48</v>
      </c>
      <c r="C204" t="str">
        <f ca="1">IF(Q204,OFFSET(Taostats_CSV!$E$1,MATCH(K204&amp;D$1,Taostats_CSV!$X:$X,0)-1,0),IF(Taostats_CSV!F204="fee",IF(VALUE(Taostats_CSV!G204)&gt;0,Taostats_CSV!E204,""),""))</f>
        <v/>
      </c>
      <c r="D204" t="str">
        <f ca="1">IF(Q204,OFFSET(Taostats_CSV!$G$1,MATCH(K204&amp;D$1,Taostats_CSV!$X:$X,0)-1,0),IF(Taostats_CSV!F204="fee",IF(VALUE(Taostats_CSV!G204)&gt;0,Taostats_CSV!G204,""),""))</f>
        <v/>
      </c>
      <c r="E204" t="str">
        <f ca="1">IF(AND(Q204,P204&gt;0),OFFSET(Taostats_CSV!$E$1,MATCH(K204&amp;F$1,Taostats_CSV!$X:$X,0)-1,0),IF(LEN(F204)&gt;0,Taostats_CSV!E204,""))</f>
        <v>SN3</v>
      </c>
      <c r="F204" t="str">
        <f ca="1">TRIM(IF(AND(Q204,P204&gt;0),OFFSET(Taostats_CSV!$H$1,MATCH(K204&amp;F$1,Taostats_CSV!$X:$X,0)-1,0),IF(LEN(Taostats_CSV!H204)&gt;0,Taostats_CSV!H204,Taostats_CSV!R204)))</f>
        <v>0.435376877</v>
      </c>
      <c r="G204" t="str">
        <f ca="1">IF(AND(Q204,N204=1),OFFSET(Taostats_CSV!$E$1,MATCH(K204&amp;H$1,Taostats_CSV!$X:$X,0)-1,0),"")</f>
        <v/>
      </c>
      <c r="H204" t="str">
        <f ca="1">IF(AND(Q204,N204=1),OFFSET(Taostats_CSV!$G$1,MATCH(K204&amp;H$1,Taostats_CSV!$X:$X,0)-1,0),"")</f>
        <v/>
      </c>
      <c r="I204" t="str">
        <f ca="1">IF(AND(LEN(K204)=0,LEN(F204)&gt;0),"Income",IF(AND(O204&gt;0,P204&gt;0,C204&lt;&gt;E204),"Trade",IF(AND(NOT(Q204),Taostats_CSV!F204="fee"),'READ ME'!$C$5,"")))</f>
        <v>Income</v>
      </c>
      <c r="J204" t="str">
        <f ca="1">SUBSTITUTE(IF(LEN(I204)=0,Taostats_CSV!F204&amp;" "&amp;Taostats_CSV!J204,IF(I204="Cost","Extrinsic fee","")),"_"," ")</f>
        <v/>
      </c>
      <c r="K204" t="str">
        <f>TRIM(IF(LEN(Taostats_CSV!I204)&gt;0,Taostats_CSV!I204,""))</f>
        <v/>
      </c>
      <c r="L204">
        <f ca="1">IF(Taostats_CSV!E204&lt;&gt;"TAO",IF(LEN(F204)&gt;0,F204,IF(LEN(D204)&gt;0,D204,0))*Taostats_CSV!P204,"")</f>
        <v>14.388739981773584</v>
      </c>
      <c r="M204" t="str">
        <f t="shared" ca="1" si="33"/>
        <v>USD</v>
      </c>
      <c r="N204">
        <f>COUNTIF(Taostats_CSV!$X:$X,Taostats_CSV!$I204&amp;N$1)</f>
        <v>0</v>
      </c>
      <c r="O204">
        <f>COUNTIF(Taostats_CSV!$X:$X,Taostats_CSV!$I204&amp;O$1)</f>
        <v>0</v>
      </c>
      <c r="P204">
        <f>COUNTIF(Taostats_CSV!$X:$X,Taostats_CSV!$I204&amp;P$1)</f>
        <v>0</v>
      </c>
      <c r="Q204" t="b">
        <f t="shared" si="34"/>
        <v>0</v>
      </c>
      <c r="R204" t="b">
        <f>IF(LEN(K204)&gt;0,COUNTIF($K$3:K204,K204),FALSE)</f>
        <v>0</v>
      </c>
      <c r="S204" t="b">
        <f>IF(Taostats_CSV!A204=Taostats_CSV!$A$2,TRUE,Taostats_CSV!G204+Taostats_CSV!H204+Taostats_CSV!R204=0)</f>
        <v>0</v>
      </c>
      <c r="T204" t="b">
        <f t="shared" si="35"/>
        <v>1</v>
      </c>
      <c r="U204" t="b" cm="1">
        <f t="array" aca="1" ref="U204" ca="1">AND(T204,OR(O204-N204&gt;1,P204&gt;1,ISERROR(A204:P204)))</f>
        <v>0</v>
      </c>
      <c r="W204" t="e">
        <f>MATCH(K204&amp;$W$2,Taostats_CSV!$X$3:$X$1167,0)</f>
        <v>#N/A</v>
      </c>
      <c r="X204" t="e">
        <f t="shared" ca="1" si="30"/>
        <v>#VALUE!</v>
      </c>
      <c r="Y204">
        <f t="shared" ca="1" si="31"/>
        <v>0.435376877</v>
      </c>
      <c r="Z204" t="e">
        <f t="shared" ca="1" si="32"/>
        <v>#VALUE!</v>
      </c>
    </row>
    <row r="205" spans="1:26" x14ac:dyDescent="0.4">
      <c r="A205" t="str">
        <f>MID(Taostats_CSV!C205,6,2)&amp;"/"&amp;MID(Taostats_CSV!C205,9,2)&amp;"/"&amp;LEFT(Taostats_CSV!C205,4)&amp;" "&amp;MID(Taostats_CSV!C205,12,8)</f>
        <v>04/22/2025 23:59:48</v>
      </c>
      <c r="C205" t="str">
        <f ca="1">IF(Q205,OFFSET(Taostats_CSV!$E$1,MATCH(K205&amp;D$1,Taostats_CSV!$X:$X,0)-1,0),IF(Taostats_CSV!F205="fee",IF(VALUE(Taostats_CSV!G205)&gt;0,Taostats_CSV!E205,""),""))</f>
        <v/>
      </c>
      <c r="D205" t="str">
        <f ca="1">IF(Q205,OFFSET(Taostats_CSV!$G$1,MATCH(K205&amp;D$1,Taostats_CSV!$X:$X,0)-1,0),IF(Taostats_CSV!F205="fee",IF(VALUE(Taostats_CSV!G205)&gt;0,Taostats_CSV!G205,""),""))</f>
        <v/>
      </c>
      <c r="E205" t="str">
        <f ca="1">IF(AND(Q205,P205&gt;0),OFFSET(Taostats_CSV!$E$1,MATCH(K205&amp;F$1,Taostats_CSV!$X:$X,0)-1,0),IF(LEN(F205)&gt;0,Taostats_CSV!E205,""))</f>
        <v>SN4</v>
      </c>
      <c r="F205" t="str">
        <f ca="1">TRIM(IF(AND(Q205,P205&gt;0),OFFSET(Taostats_CSV!$H$1,MATCH(K205&amp;F$1,Taostats_CSV!$X:$X,0)-1,0),IF(LEN(Taostats_CSV!H205)&gt;0,Taostats_CSV!H205,Taostats_CSV!R205)))</f>
        <v>0.368913164</v>
      </c>
      <c r="G205" t="str">
        <f ca="1">IF(AND(Q205,N205=1),OFFSET(Taostats_CSV!$E$1,MATCH(K205&amp;H$1,Taostats_CSV!$X:$X,0)-1,0),"")</f>
        <v/>
      </c>
      <c r="H205" t="str">
        <f ca="1">IF(AND(Q205,N205=1),OFFSET(Taostats_CSV!$G$1,MATCH(K205&amp;H$1,Taostats_CSV!$X:$X,0)-1,0),"")</f>
        <v/>
      </c>
      <c r="I205" t="str">
        <f ca="1">IF(AND(LEN(K205)=0,LEN(F205)&gt;0),"Income",IF(AND(O205&gt;0,P205&gt;0,C205&lt;&gt;E205),"Trade",IF(AND(NOT(Q205),Taostats_CSV!F205="fee"),'READ ME'!$C$5,"")))</f>
        <v>Income</v>
      </c>
      <c r="J205" t="str">
        <f ca="1">SUBSTITUTE(IF(LEN(I205)=0,Taostats_CSV!F205&amp;" "&amp;Taostats_CSV!J205,IF(I205="Cost","Extrinsic fee","")),"_"," ")</f>
        <v/>
      </c>
      <c r="K205" t="str">
        <f>TRIM(IF(LEN(Taostats_CSV!I205)&gt;0,Taostats_CSV!I205,""))</f>
        <v/>
      </c>
      <c r="L205">
        <f ca="1">IF(Taostats_CSV!E205&lt;&gt;"TAO",IF(LEN(F205)&gt;0,F205,IF(LEN(D205)&gt;0,D205,0))*Taostats_CSV!P205,"")</f>
        <v>18.906685835874171</v>
      </c>
      <c r="M205" t="str">
        <f t="shared" ca="1" si="33"/>
        <v>USD</v>
      </c>
      <c r="N205">
        <f>COUNTIF(Taostats_CSV!$X:$X,Taostats_CSV!$I205&amp;N$1)</f>
        <v>0</v>
      </c>
      <c r="O205">
        <f>COUNTIF(Taostats_CSV!$X:$X,Taostats_CSV!$I205&amp;O$1)</f>
        <v>0</v>
      </c>
      <c r="P205">
        <f>COUNTIF(Taostats_CSV!$X:$X,Taostats_CSV!$I205&amp;P$1)</f>
        <v>0</v>
      </c>
      <c r="Q205" t="b">
        <f t="shared" si="34"/>
        <v>0</v>
      </c>
      <c r="R205" t="b">
        <f>IF(LEN(K205)&gt;0,COUNTIF($K$3:K205,K205),FALSE)</f>
        <v>0</v>
      </c>
      <c r="S205" t="b">
        <f>IF(Taostats_CSV!A205=Taostats_CSV!$A$2,TRUE,Taostats_CSV!G205+Taostats_CSV!H205+Taostats_CSV!R205=0)</f>
        <v>0</v>
      </c>
      <c r="T205" t="b">
        <f t="shared" si="35"/>
        <v>1</v>
      </c>
      <c r="U205" t="b" cm="1">
        <f t="array" aca="1" ref="U205" ca="1">AND(T205,OR(O205-N205&gt;1,P205&gt;1,ISERROR(A205:P205)))</f>
        <v>0</v>
      </c>
      <c r="W205" t="e">
        <f>MATCH(K205&amp;$W$2,Taostats_CSV!$X$3:$X$1167,0)</f>
        <v>#N/A</v>
      </c>
      <c r="X205" t="e">
        <f t="shared" ca="1" si="30"/>
        <v>#VALUE!</v>
      </c>
      <c r="Y205">
        <f t="shared" ca="1" si="31"/>
        <v>0.36891316400000002</v>
      </c>
      <c r="Z205" t="e">
        <f t="shared" ca="1" si="32"/>
        <v>#VALUE!</v>
      </c>
    </row>
    <row r="206" spans="1:26" x14ac:dyDescent="0.4">
      <c r="A206" t="str">
        <f>MID(Taostats_CSV!C206,6,2)&amp;"/"&amp;MID(Taostats_CSV!C206,9,2)&amp;"/"&amp;LEFT(Taostats_CSV!C206,4)&amp;" "&amp;MID(Taostats_CSV!C206,12,8)</f>
        <v>04/22/2025 23:59:48</v>
      </c>
      <c r="C206" t="str">
        <f ca="1">IF(Q206,OFFSET(Taostats_CSV!$E$1,MATCH(K206&amp;D$1,Taostats_CSV!$X:$X,0)-1,0),IF(Taostats_CSV!F206="fee",IF(VALUE(Taostats_CSV!G206)&gt;0,Taostats_CSV!E206,""),""))</f>
        <v/>
      </c>
      <c r="D206" t="str">
        <f ca="1">IF(Q206,OFFSET(Taostats_CSV!$G$1,MATCH(K206&amp;D$1,Taostats_CSV!$X:$X,0)-1,0),IF(Taostats_CSV!F206="fee",IF(VALUE(Taostats_CSV!G206)&gt;0,Taostats_CSV!G206,""),""))</f>
        <v/>
      </c>
      <c r="E206" t="str">
        <f ca="1">IF(AND(Q206,P206&gt;0),OFFSET(Taostats_CSV!$E$1,MATCH(K206&amp;F$1,Taostats_CSV!$X:$X,0)-1,0),IF(LEN(F206)&gt;0,Taostats_CSV!E206,""))</f>
        <v>SN56</v>
      </c>
      <c r="F206" t="str">
        <f ca="1">TRIM(IF(AND(Q206,P206&gt;0),OFFSET(Taostats_CSV!$H$1,MATCH(K206&amp;F$1,Taostats_CSV!$X:$X,0)-1,0),IF(LEN(Taostats_CSV!H206)&gt;0,Taostats_CSV!H206,Taostats_CSV!R206)))</f>
        <v>0.241205094</v>
      </c>
      <c r="G206" t="str">
        <f ca="1">IF(AND(Q206,N206=1),OFFSET(Taostats_CSV!$E$1,MATCH(K206&amp;H$1,Taostats_CSV!$X:$X,0)-1,0),"")</f>
        <v/>
      </c>
      <c r="H206" t="str">
        <f ca="1">IF(AND(Q206,N206=1),OFFSET(Taostats_CSV!$G$1,MATCH(K206&amp;H$1,Taostats_CSV!$X:$X,0)-1,0),"")</f>
        <v/>
      </c>
      <c r="I206" t="str">
        <f ca="1">IF(AND(LEN(K206)=0,LEN(F206)&gt;0),"Income",IF(AND(O206&gt;0,P206&gt;0,C206&lt;&gt;E206),"Trade",IF(AND(NOT(Q206),Taostats_CSV!F206="fee"),'READ ME'!$C$5,"")))</f>
        <v>Income</v>
      </c>
      <c r="J206" t="str">
        <f ca="1">SUBSTITUTE(IF(LEN(I206)=0,Taostats_CSV!F206&amp;" "&amp;Taostats_CSV!J206,IF(I206="Cost","Extrinsic fee","")),"_"," ")</f>
        <v/>
      </c>
      <c r="K206" t="str">
        <f>TRIM(IF(LEN(Taostats_CSV!I206)&gt;0,Taostats_CSV!I206,""))</f>
        <v/>
      </c>
      <c r="L206">
        <f ca="1">IF(Taostats_CSV!E206&lt;&gt;"TAO",IF(LEN(F206)&gt;0,F206,IF(LEN(D206)&gt;0,D206,0))*Taostats_CSV!P206,"")</f>
        <v>11.126889486294592</v>
      </c>
      <c r="M206" t="str">
        <f t="shared" ca="1" si="33"/>
        <v>USD</v>
      </c>
      <c r="N206">
        <f>COUNTIF(Taostats_CSV!$X:$X,Taostats_CSV!$I206&amp;N$1)</f>
        <v>0</v>
      </c>
      <c r="O206">
        <f>COUNTIF(Taostats_CSV!$X:$X,Taostats_CSV!$I206&amp;O$1)</f>
        <v>0</v>
      </c>
      <c r="P206">
        <f>COUNTIF(Taostats_CSV!$X:$X,Taostats_CSV!$I206&amp;P$1)</f>
        <v>0</v>
      </c>
      <c r="Q206" t="b">
        <f t="shared" si="34"/>
        <v>0</v>
      </c>
      <c r="R206" t="b">
        <f>IF(LEN(K206)&gt;0,COUNTIF($K$3:K206,K206),FALSE)</f>
        <v>0</v>
      </c>
      <c r="S206" t="b">
        <f>IF(Taostats_CSV!A206=Taostats_CSV!$A$2,TRUE,Taostats_CSV!G206+Taostats_CSV!H206+Taostats_CSV!R206=0)</f>
        <v>0</v>
      </c>
      <c r="T206" t="b">
        <f t="shared" si="35"/>
        <v>1</v>
      </c>
      <c r="U206" t="b" cm="1">
        <f t="array" aca="1" ref="U206" ca="1">AND(T206,OR(O206-N206&gt;1,P206&gt;1,ISERROR(A206:P206)))</f>
        <v>0</v>
      </c>
      <c r="W206" t="e">
        <f>MATCH(K206&amp;$W$2,Taostats_CSV!$X$3:$X$1167,0)</f>
        <v>#N/A</v>
      </c>
      <c r="X206" t="e">
        <f t="shared" ca="1" si="30"/>
        <v>#VALUE!</v>
      </c>
      <c r="Y206">
        <f t="shared" ca="1" si="31"/>
        <v>0.24120509400000001</v>
      </c>
      <c r="Z206" t="e">
        <f t="shared" ca="1" si="32"/>
        <v>#VALUE!</v>
      </c>
    </row>
    <row r="207" spans="1:26" x14ac:dyDescent="0.4">
      <c r="A207" t="str">
        <f>MID(Taostats_CSV!C207,6,2)&amp;"/"&amp;MID(Taostats_CSV!C207,9,2)&amp;"/"&amp;LEFT(Taostats_CSV!C207,4)&amp;" "&amp;MID(Taostats_CSV!C207,12,8)</f>
        <v>04/22/2025 23:59:48</v>
      </c>
      <c r="C207" t="str">
        <f ca="1">IF(Q207,OFFSET(Taostats_CSV!$E$1,MATCH(K207&amp;D$1,Taostats_CSV!$X:$X,0)-1,0),IF(Taostats_CSV!F207="fee",IF(VALUE(Taostats_CSV!G207)&gt;0,Taostats_CSV!E207,""),""))</f>
        <v/>
      </c>
      <c r="D207" t="str">
        <f ca="1">IF(Q207,OFFSET(Taostats_CSV!$G$1,MATCH(K207&amp;D$1,Taostats_CSV!$X:$X,0)-1,0),IF(Taostats_CSV!F207="fee",IF(VALUE(Taostats_CSV!G207)&gt;0,Taostats_CSV!G207,""),""))</f>
        <v/>
      </c>
      <c r="E207" t="str">
        <f ca="1">IF(AND(Q207,P207&gt;0),OFFSET(Taostats_CSV!$E$1,MATCH(K207&amp;F$1,Taostats_CSV!$X:$X,0)-1,0),IF(LEN(F207)&gt;0,Taostats_CSV!E207,""))</f>
        <v>SN64</v>
      </c>
      <c r="F207" t="str">
        <f ca="1">TRIM(IF(AND(Q207,P207&gt;0),OFFSET(Taostats_CSV!$H$1,MATCH(K207&amp;F$1,Taostats_CSV!$X:$X,0)-1,0),IF(LEN(Taostats_CSV!H207)&gt;0,Taostats_CSV!H207,Taostats_CSV!R207)))</f>
        <v>0.146254275</v>
      </c>
      <c r="G207" t="str">
        <f ca="1">IF(AND(Q207,N207=1),OFFSET(Taostats_CSV!$E$1,MATCH(K207&amp;H$1,Taostats_CSV!$X:$X,0)-1,0),"")</f>
        <v/>
      </c>
      <c r="H207" t="str">
        <f ca="1">IF(AND(Q207,N207=1),OFFSET(Taostats_CSV!$G$1,MATCH(K207&amp;H$1,Taostats_CSV!$X:$X,0)-1,0),"")</f>
        <v/>
      </c>
      <c r="I207" t="str">
        <f ca="1">IF(AND(LEN(K207)=0,LEN(F207)&gt;0),"Income",IF(AND(O207&gt;0,P207&gt;0,C207&lt;&gt;E207),"Trade",IF(AND(NOT(Q207),Taostats_CSV!F207="fee"),'READ ME'!$C$5,"")))</f>
        <v>Income</v>
      </c>
      <c r="J207" t="str">
        <f ca="1">SUBSTITUTE(IF(LEN(I207)=0,Taostats_CSV!F207&amp;" "&amp;Taostats_CSV!J207,IF(I207="Cost","Extrinsic fee","")),"_"," ")</f>
        <v/>
      </c>
      <c r="K207" t="str">
        <f>TRIM(IF(LEN(Taostats_CSV!I207)&gt;0,Taostats_CSV!I207,""))</f>
        <v/>
      </c>
      <c r="L207">
        <f ca="1">IF(Taostats_CSV!E207&lt;&gt;"TAO",IF(LEN(F207)&gt;0,F207,IF(LEN(D207)&gt;0,D207,0))*Taostats_CSV!P207,"")</f>
        <v>15.61090085271625</v>
      </c>
      <c r="M207" t="str">
        <f t="shared" ca="1" si="33"/>
        <v>USD</v>
      </c>
      <c r="N207">
        <f>COUNTIF(Taostats_CSV!$X:$X,Taostats_CSV!$I207&amp;N$1)</f>
        <v>0</v>
      </c>
      <c r="O207">
        <f>COUNTIF(Taostats_CSV!$X:$X,Taostats_CSV!$I207&amp;O$1)</f>
        <v>0</v>
      </c>
      <c r="P207">
        <f>COUNTIF(Taostats_CSV!$X:$X,Taostats_CSV!$I207&amp;P$1)</f>
        <v>0</v>
      </c>
      <c r="Q207" t="b">
        <f t="shared" si="34"/>
        <v>0</v>
      </c>
      <c r="R207" t="b">
        <f>IF(LEN(K207)&gt;0,COUNTIF($K$3:K207,K207),FALSE)</f>
        <v>0</v>
      </c>
      <c r="S207" t="b">
        <f>IF(Taostats_CSV!A207=Taostats_CSV!$A$2,TRUE,Taostats_CSV!G207+Taostats_CSV!H207+Taostats_CSV!R207=0)</f>
        <v>0</v>
      </c>
      <c r="T207" t="b">
        <f t="shared" si="35"/>
        <v>1</v>
      </c>
      <c r="U207" t="b" cm="1">
        <f t="array" aca="1" ref="U207" ca="1">AND(T207,OR(O207-N207&gt;1,P207&gt;1,ISERROR(A207:P207)))</f>
        <v>0</v>
      </c>
      <c r="W207" t="e">
        <f>MATCH(K207&amp;$W$2,Taostats_CSV!$X$3:$X$1167,0)</f>
        <v>#N/A</v>
      </c>
      <c r="X207" t="e">
        <f t="shared" ca="1" si="30"/>
        <v>#VALUE!</v>
      </c>
      <c r="Y207">
        <f t="shared" ca="1" si="31"/>
        <v>0.14625427499999999</v>
      </c>
      <c r="Z207" t="e">
        <f t="shared" ca="1" si="32"/>
        <v>#VALUE!</v>
      </c>
    </row>
    <row r="208" spans="1:26" hidden="1" x14ac:dyDescent="0.4">
      <c r="A208" t="str">
        <f>MID(Taostats_CSV!C208,6,2)&amp;"/"&amp;MID(Taostats_CSV!C208,9,2)&amp;"/"&amp;LEFT(Taostats_CSV!C208,4)&amp;" "&amp;MID(Taostats_CSV!C208,12,8)</f>
        <v>04/22/2025 23:59:48</v>
      </c>
      <c r="C208" t="str">
        <f ca="1">IF(Q208,OFFSET(Taostats_CSV!$E$1,MATCH(K208&amp;D$1,Taostats_CSV!$X:$X,0)-1,0),IF(Taostats_CSV!F208="fee","",IF(VALUE(Taostats_CSV!G208)&gt;0,Taostats_CSV!E208,"")))</f>
        <v/>
      </c>
      <c r="D208" t="str">
        <f ca="1">IF(Q208,OFFSET(Taostats_CSV!$G$1,MATCH(K208&amp;D$1,Taostats_CSV!$X:$X,0)-1,0),IF(Taostats_CSV!F208="fee","",IF(VALUE(Taostats_CSV!G208)&gt;0,Taostats_CSV!G208,"")))</f>
        <v/>
      </c>
      <c r="E208" t="str">
        <f ca="1">IF(AND(Q208,P208&gt;0),OFFSET(Taostats_CSV!$E$1,MATCH(K208&amp;F$1,Taostats_CSV!$X:$X,0)-1,0),IF(LEN(F208)&gt;0,Taostats_CSV!E208,""))</f>
        <v>TAO</v>
      </c>
      <c r="F208" t="str">
        <f ca="1">TRIM(IF(AND(Q208,P208&gt;0),OFFSET(Taostats_CSV!$H$1,MATCH(K208&amp;F$1,Taostats_CSV!$X:$X,0)-1,0),IF(LEN(Taostats_CSV!H208)&gt;0,Taostats_CSV!H208,Taostats_CSV!R208)))</f>
        <v>0</v>
      </c>
      <c r="G208" t="str">
        <f ca="1">IF(AND(Q208,N208=1),OFFSET(Taostats_CSV!$E$1,MATCH(K208&amp;H$1,Taostats_CSV!$X:$X,0)-1,0),IF(Taostats_CSV!F208="fee",Taostats_CSV!E208,""))</f>
        <v/>
      </c>
      <c r="H208" t="str">
        <f ca="1">IF(AND(Q208,N208=1),OFFSET(Taostats_CSV!$G$1,MATCH(K208&amp;H$1,Taostats_CSV!$X:$X,0)-1,0),IF(Taostats_CSV!F208="fee",Taostats_CSV!G208,""))</f>
        <v/>
      </c>
      <c r="I208" t="str">
        <f ca="1">IF(AND(LEN(K208)=0,LEN(F208)&gt;0),"Income",IF(AND(O208&gt;0,P208&gt;0,C208&lt;&gt;E208),"Trade",IF(AND(NOT(Q208),Taostats_CSV!F208="fee"),'READ ME'!$C$5,"")))</f>
        <v>Income</v>
      </c>
      <c r="J208" t="str">
        <f ca="1">SUBSTITUTE(IF(LEN(I208)=0,Taostats_CSV!F208&amp;" "&amp;Taostats_CSV!J208,IF(I208="Cost","Extrinsic fee","")),"_"," ")</f>
        <v/>
      </c>
      <c r="K208" t="str">
        <f>TRIM(IF(LEN(Taostats_CSV!I208)&gt;0,Taostats_CSV!I208,""))</f>
        <v/>
      </c>
      <c r="L208" t="str">
        <f>IF(Taostats_CSV!E208&lt;&gt;"TAO",IF(LEN(F208)&gt;0,F208,IF(LEN(D208)&gt;0,D208,0))*Taostats_CSV!P208,"")</f>
        <v/>
      </c>
      <c r="M208" t="str">
        <f t="shared" si="33"/>
        <v/>
      </c>
      <c r="N208">
        <f>COUNTIF(Taostats_CSV!$X:$X,Taostats_CSV!$I208&amp;N$1)</f>
        <v>0</v>
      </c>
      <c r="O208">
        <f>COUNTIF(Taostats_CSV!$X:$X,Taostats_CSV!$I208&amp;O$1)</f>
        <v>0</v>
      </c>
      <c r="P208">
        <f>COUNTIF(Taostats_CSV!$X:$X,Taostats_CSV!$I208&amp;P$1)</f>
        <v>0</v>
      </c>
      <c r="Q208" t="b">
        <f t="shared" si="34"/>
        <v>0</v>
      </c>
      <c r="R208" t="b">
        <f>IF(LEN(K208)&gt;0,COUNTIF($K$3:K208,K208),FALSE)</f>
        <v>0</v>
      </c>
      <c r="S208" t="b">
        <f>IF(Taostats_CSV!A208=Taostats_CSV!$A$2,TRUE,Taostats_CSV!G208+Taostats_CSV!H208+Taostats_CSV!R208=0)</f>
        <v>1</v>
      </c>
      <c r="T208" t="b">
        <f t="shared" si="35"/>
        <v>0</v>
      </c>
      <c r="U208" t="b" cm="1">
        <f t="array" aca="1" ref="U208" ca="1">AND(T208,OR(O208-N208&gt;1,P208&gt;1,ISERROR(A208:P208)))</f>
        <v>0</v>
      </c>
      <c r="W208" t="e">
        <f>MATCH(K208&amp;$W$2,Taostats_CSV!$X$3:$X$1167,0)</f>
        <v>#N/A</v>
      </c>
      <c r="X208" t="e">
        <f t="shared" ca="1" si="30"/>
        <v>#VALUE!</v>
      </c>
      <c r="Y208">
        <f t="shared" ca="1" si="31"/>
        <v>0</v>
      </c>
      <c r="Z208" t="e">
        <f t="shared" ca="1" si="32"/>
        <v>#VALUE!</v>
      </c>
    </row>
    <row r="209" spans="1:26" x14ac:dyDescent="0.4">
      <c r="A209" t="str">
        <f>MID(Taostats_CSV!C209,6,2)&amp;"/"&amp;MID(Taostats_CSV!C209,9,2)&amp;"/"&amp;LEFT(Taostats_CSV!C209,4)&amp;" "&amp;MID(Taostats_CSV!C209,12,8)</f>
        <v>04/23/2025 23:59:48</v>
      </c>
      <c r="C209" t="str">
        <f ca="1">IF(Q209,OFFSET(Taostats_CSV!$E$1,MATCH(K209&amp;D$1,Taostats_CSV!$X:$X,0)-1,0),IF(Taostats_CSV!F209="fee",IF(VALUE(Taostats_CSV!G209)&gt;0,Taostats_CSV!E209,""),""))</f>
        <v/>
      </c>
      <c r="D209" t="str">
        <f ca="1">IF(Q209,OFFSET(Taostats_CSV!$G$1,MATCH(K209&amp;D$1,Taostats_CSV!$X:$X,0)-1,0),IF(Taostats_CSV!F209="fee",IF(VALUE(Taostats_CSV!G209)&gt;0,Taostats_CSV!G209,""),""))</f>
        <v/>
      </c>
      <c r="E209" t="str">
        <f ca="1">IF(AND(Q209,P209&gt;0),OFFSET(Taostats_CSV!$E$1,MATCH(K209&amp;F$1,Taostats_CSV!$X:$X,0)-1,0),IF(LEN(F209)&gt;0,Taostats_CSV!E209,""))</f>
        <v>SN3</v>
      </c>
      <c r="F209" t="str">
        <f ca="1">TRIM(IF(AND(Q209,P209&gt;0),OFFSET(Taostats_CSV!$H$1,MATCH(K209&amp;F$1,Taostats_CSV!$X:$X,0)-1,0),IF(LEN(Taostats_CSV!H209)&gt;0,Taostats_CSV!H209,Taostats_CSV!R209)))</f>
        <v>0.439389969</v>
      </c>
      <c r="G209" t="str">
        <f ca="1">IF(AND(Q209,N209=1),OFFSET(Taostats_CSV!$E$1,MATCH(K209&amp;H$1,Taostats_CSV!$X:$X,0)-1,0),"")</f>
        <v/>
      </c>
      <c r="H209" t="str">
        <f ca="1">IF(AND(Q209,N209=1),OFFSET(Taostats_CSV!$G$1,MATCH(K209&amp;H$1,Taostats_CSV!$X:$X,0)-1,0),"")</f>
        <v/>
      </c>
      <c r="I209" t="str">
        <f ca="1">IF(AND(LEN(K209)=0,LEN(F209)&gt;0),"Income",IF(AND(O209&gt;0,P209&gt;0,C209&lt;&gt;E209),"Trade",IF(AND(NOT(Q209),Taostats_CSV!F209="fee"),'READ ME'!$C$5,"")))</f>
        <v>Income</v>
      </c>
      <c r="J209" t="str">
        <f ca="1">SUBSTITUTE(IF(LEN(I209)=0,Taostats_CSV!F209&amp;" "&amp;Taostats_CSV!J209,IF(I209="Cost","Extrinsic fee","")),"_"," ")</f>
        <v/>
      </c>
      <c r="K209" t="str">
        <f>TRIM(IF(LEN(Taostats_CSV!I209)&gt;0,Taostats_CSV!I209,""))</f>
        <v/>
      </c>
      <c r="L209">
        <f ca="1">IF(Taostats_CSV!E209&lt;&gt;"TAO",IF(LEN(F209)&gt;0,F209,IF(LEN(D209)&gt;0,D209,0))*Taostats_CSV!P209,"")</f>
        <v>14.53367661382358</v>
      </c>
      <c r="M209" t="str">
        <f t="shared" ca="1" si="33"/>
        <v>USD</v>
      </c>
      <c r="N209">
        <f>COUNTIF(Taostats_CSV!$X:$X,Taostats_CSV!$I209&amp;N$1)</f>
        <v>0</v>
      </c>
      <c r="O209">
        <f>COUNTIF(Taostats_CSV!$X:$X,Taostats_CSV!$I209&amp;O$1)</f>
        <v>0</v>
      </c>
      <c r="P209">
        <f>COUNTIF(Taostats_CSV!$X:$X,Taostats_CSV!$I209&amp;P$1)</f>
        <v>0</v>
      </c>
      <c r="Q209" t="b">
        <f t="shared" si="34"/>
        <v>0</v>
      </c>
      <c r="R209" t="b">
        <f>IF(LEN(K209)&gt;0,COUNTIF($K$3:K209,K209),FALSE)</f>
        <v>0</v>
      </c>
      <c r="S209" t="b">
        <f>IF(Taostats_CSV!A209=Taostats_CSV!$A$2,TRUE,Taostats_CSV!G209+Taostats_CSV!H209+Taostats_CSV!R209=0)</f>
        <v>0</v>
      </c>
      <c r="T209" t="b">
        <f t="shared" si="35"/>
        <v>1</v>
      </c>
      <c r="U209" t="b" cm="1">
        <f t="array" aca="1" ref="U209" ca="1">AND(T209,OR(O209-N209&gt;1,P209&gt;1,ISERROR(A209:P209)))</f>
        <v>0</v>
      </c>
      <c r="W209" t="e">
        <f>MATCH(K209&amp;$W$2,Taostats_CSV!$X$3:$X$1167,0)</f>
        <v>#N/A</v>
      </c>
      <c r="X209" t="e">
        <f t="shared" ca="1" si="30"/>
        <v>#VALUE!</v>
      </c>
      <c r="Y209">
        <f t="shared" ca="1" si="31"/>
        <v>0.43938996899999999</v>
      </c>
      <c r="Z209" t="e">
        <f t="shared" ca="1" si="32"/>
        <v>#VALUE!</v>
      </c>
    </row>
    <row r="210" spans="1:26" x14ac:dyDescent="0.4">
      <c r="A210" t="str">
        <f>MID(Taostats_CSV!C210,6,2)&amp;"/"&amp;MID(Taostats_CSV!C210,9,2)&amp;"/"&amp;LEFT(Taostats_CSV!C210,4)&amp;" "&amp;MID(Taostats_CSV!C210,12,8)</f>
        <v>04/23/2025 23:59:48</v>
      </c>
      <c r="C210" t="str">
        <f ca="1">IF(Q210,OFFSET(Taostats_CSV!$E$1,MATCH(K210&amp;D$1,Taostats_CSV!$X:$X,0)-1,0),IF(Taostats_CSV!F210="fee",IF(VALUE(Taostats_CSV!G210)&gt;0,Taostats_CSV!E210,""),""))</f>
        <v/>
      </c>
      <c r="D210" t="str">
        <f ca="1">IF(Q210,OFFSET(Taostats_CSV!$G$1,MATCH(K210&amp;D$1,Taostats_CSV!$X:$X,0)-1,0),IF(Taostats_CSV!F210="fee",IF(VALUE(Taostats_CSV!G210)&gt;0,Taostats_CSV!G210,""),""))</f>
        <v/>
      </c>
      <c r="E210" t="str">
        <f ca="1">IF(AND(Q210,P210&gt;0),OFFSET(Taostats_CSV!$E$1,MATCH(K210&amp;F$1,Taostats_CSV!$X:$X,0)-1,0),IF(LEN(F210)&gt;0,Taostats_CSV!E210,""))</f>
        <v>SN4</v>
      </c>
      <c r="F210" t="str">
        <f ca="1">TRIM(IF(AND(Q210,P210&gt;0),OFFSET(Taostats_CSV!$H$1,MATCH(K210&amp;F$1,Taostats_CSV!$X:$X,0)-1,0),IF(LEN(Taostats_CSV!H210)&gt;0,Taostats_CSV!H210,Taostats_CSV!R210)))</f>
        <v>0.369236176</v>
      </c>
      <c r="G210" t="str">
        <f ca="1">IF(AND(Q210,N210=1),OFFSET(Taostats_CSV!$E$1,MATCH(K210&amp;H$1,Taostats_CSV!$X:$X,0)-1,0),"")</f>
        <v/>
      </c>
      <c r="H210" t="str">
        <f ca="1">IF(AND(Q210,N210=1),OFFSET(Taostats_CSV!$G$1,MATCH(K210&amp;H$1,Taostats_CSV!$X:$X,0)-1,0),"")</f>
        <v/>
      </c>
      <c r="I210" t="str">
        <f ca="1">IF(AND(LEN(K210)=0,LEN(F210)&gt;0),"Income",IF(AND(O210&gt;0,P210&gt;0,C210&lt;&gt;E210),"Trade",IF(AND(NOT(Q210),Taostats_CSV!F210="fee"),'READ ME'!$C$5,"")))</f>
        <v>Income</v>
      </c>
      <c r="J210" t="str">
        <f ca="1">SUBSTITUTE(IF(LEN(I210)=0,Taostats_CSV!F210&amp;" "&amp;Taostats_CSV!J210,IF(I210="Cost","Extrinsic fee","")),"_"," ")</f>
        <v/>
      </c>
      <c r="K210" t="str">
        <f>TRIM(IF(LEN(Taostats_CSV!I210)&gt;0,Taostats_CSV!I210,""))</f>
        <v/>
      </c>
      <c r="L210">
        <f ca="1">IF(Taostats_CSV!E210&lt;&gt;"TAO",IF(LEN(F210)&gt;0,F210,IF(LEN(D210)&gt;0,D210,0))*Taostats_CSV!P210,"")</f>
        <v>19.083674836957798</v>
      </c>
      <c r="M210" t="str">
        <f t="shared" ca="1" si="33"/>
        <v>USD</v>
      </c>
      <c r="N210">
        <f>COUNTIF(Taostats_CSV!$X:$X,Taostats_CSV!$I210&amp;N$1)</f>
        <v>0</v>
      </c>
      <c r="O210">
        <f>COUNTIF(Taostats_CSV!$X:$X,Taostats_CSV!$I210&amp;O$1)</f>
        <v>0</v>
      </c>
      <c r="P210">
        <f>COUNTIF(Taostats_CSV!$X:$X,Taostats_CSV!$I210&amp;P$1)</f>
        <v>0</v>
      </c>
      <c r="Q210" t="b">
        <f t="shared" si="34"/>
        <v>0</v>
      </c>
      <c r="R210" t="b">
        <f>IF(LEN(K210)&gt;0,COUNTIF($K$3:K210,K210),FALSE)</f>
        <v>0</v>
      </c>
      <c r="S210" t="b">
        <f>IF(Taostats_CSV!A210=Taostats_CSV!$A$2,TRUE,Taostats_CSV!G210+Taostats_CSV!H210+Taostats_CSV!R210=0)</f>
        <v>0</v>
      </c>
      <c r="T210" t="b">
        <f t="shared" si="35"/>
        <v>1</v>
      </c>
      <c r="U210" t="b" cm="1">
        <f t="array" aca="1" ref="U210" ca="1">AND(T210,OR(O210-N210&gt;1,P210&gt;1,ISERROR(A210:P210)))</f>
        <v>0</v>
      </c>
      <c r="W210" t="e">
        <f>MATCH(K210&amp;$W$2,Taostats_CSV!$X$3:$X$1167,0)</f>
        <v>#N/A</v>
      </c>
      <c r="X210" t="e">
        <f t="shared" ca="1" si="30"/>
        <v>#VALUE!</v>
      </c>
      <c r="Y210">
        <f t="shared" ca="1" si="31"/>
        <v>0.36923617600000003</v>
      </c>
      <c r="Z210" t="e">
        <f t="shared" ca="1" si="32"/>
        <v>#VALUE!</v>
      </c>
    </row>
    <row r="211" spans="1:26" x14ac:dyDescent="0.4">
      <c r="A211" t="str">
        <f>MID(Taostats_CSV!C211,6,2)&amp;"/"&amp;MID(Taostats_CSV!C211,9,2)&amp;"/"&amp;LEFT(Taostats_CSV!C211,4)&amp;" "&amp;MID(Taostats_CSV!C211,12,8)</f>
        <v>04/23/2025 23:59:48</v>
      </c>
      <c r="C211" t="str">
        <f ca="1">IF(Q211,OFFSET(Taostats_CSV!$E$1,MATCH(K211&amp;D$1,Taostats_CSV!$X:$X,0)-1,0),IF(Taostats_CSV!F211="fee",IF(VALUE(Taostats_CSV!G211)&gt;0,Taostats_CSV!E211,""),""))</f>
        <v/>
      </c>
      <c r="D211" t="str">
        <f ca="1">IF(Q211,OFFSET(Taostats_CSV!$G$1,MATCH(K211&amp;D$1,Taostats_CSV!$X:$X,0)-1,0),IF(Taostats_CSV!F211="fee",IF(VALUE(Taostats_CSV!G211)&gt;0,Taostats_CSV!G211,""),""))</f>
        <v/>
      </c>
      <c r="E211" t="str">
        <f ca="1">IF(AND(Q211,P211&gt;0),OFFSET(Taostats_CSV!$E$1,MATCH(K211&amp;F$1,Taostats_CSV!$X:$X,0)-1,0),IF(LEN(F211)&gt;0,Taostats_CSV!E211,""))</f>
        <v>SN56</v>
      </c>
      <c r="F211" t="str">
        <f ca="1">TRIM(IF(AND(Q211,P211&gt;0),OFFSET(Taostats_CSV!$H$1,MATCH(K211&amp;F$1,Taostats_CSV!$X:$X,0)-1,0),IF(LEN(Taostats_CSV!H211)&gt;0,Taostats_CSV!H211,Taostats_CSV!R211)))</f>
        <v>0.241127507</v>
      </c>
      <c r="G211" t="str">
        <f ca="1">IF(AND(Q211,N211=1),OFFSET(Taostats_CSV!$E$1,MATCH(K211&amp;H$1,Taostats_CSV!$X:$X,0)-1,0),"")</f>
        <v/>
      </c>
      <c r="H211" t="str">
        <f ca="1">IF(AND(Q211,N211=1),OFFSET(Taostats_CSV!$G$1,MATCH(K211&amp;H$1,Taostats_CSV!$X:$X,0)-1,0),"")</f>
        <v/>
      </c>
      <c r="I211" t="str">
        <f ca="1">IF(AND(LEN(K211)=0,LEN(F211)&gt;0),"Income",IF(AND(O211&gt;0,P211&gt;0,C211&lt;&gt;E211),"Trade",IF(AND(NOT(Q211),Taostats_CSV!F211="fee"),'READ ME'!$C$5,"")))</f>
        <v>Income</v>
      </c>
      <c r="J211" t="str">
        <f ca="1">SUBSTITUTE(IF(LEN(I211)=0,Taostats_CSV!F211&amp;" "&amp;Taostats_CSV!J211,IF(I211="Cost","Extrinsic fee","")),"_"," ")</f>
        <v/>
      </c>
      <c r="K211" t="str">
        <f>TRIM(IF(LEN(Taostats_CSV!I211)&gt;0,Taostats_CSV!I211,""))</f>
        <v/>
      </c>
      <c r="L211">
        <f ca="1">IF(Taostats_CSV!E211&lt;&gt;"TAO",IF(LEN(F211)&gt;0,F211,IF(LEN(D211)&gt;0,D211,0))*Taostats_CSV!P211,"")</f>
        <v>12.887943015400342</v>
      </c>
      <c r="M211" t="str">
        <f t="shared" ca="1" si="33"/>
        <v>USD</v>
      </c>
      <c r="N211">
        <f>COUNTIF(Taostats_CSV!$X:$X,Taostats_CSV!$I211&amp;N$1)</f>
        <v>0</v>
      </c>
      <c r="O211">
        <f>COUNTIF(Taostats_CSV!$X:$X,Taostats_CSV!$I211&amp;O$1)</f>
        <v>0</v>
      </c>
      <c r="P211">
        <f>COUNTIF(Taostats_CSV!$X:$X,Taostats_CSV!$I211&amp;P$1)</f>
        <v>0</v>
      </c>
      <c r="Q211" t="b">
        <f t="shared" si="34"/>
        <v>0</v>
      </c>
      <c r="R211" t="b">
        <f>IF(LEN(K211)&gt;0,COUNTIF($K$3:K211,K211),FALSE)</f>
        <v>0</v>
      </c>
      <c r="S211" t="b">
        <f>IF(Taostats_CSV!A211=Taostats_CSV!$A$2,TRUE,Taostats_CSV!G211+Taostats_CSV!H211+Taostats_CSV!R211=0)</f>
        <v>0</v>
      </c>
      <c r="T211" t="b">
        <f t="shared" si="35"/>
        <v>1</v>
      </c>
      <c r="U211" t="b" cm="1">
        <f t="array" aca="1" ref="U211" ca="1">AND(T211,OR(O211-N211&gt;1,P211&gt;1,ISERROR(A211:P211)))</f>
        <v>0</v>
      </c>
      <c r="W211" t="e">
        <f>MATCH(K211&amp;$W$2,Taostats_CSV!$X$3:$X$1167,0)</f>
        <v>#N/A</v>
      </c>
      <c r="X211" t="e">
        <f t="shared" ca="1" si="30"/>
        <v>#VALUE!</v>
      </c>
      <c r="Y211">
        <f t="shared" ca="1" si="31"/>
        <v>0.24112750699999999</v>
      </c>
      <c r="Z211" t="e">
        <f t="shared" ca="1" si="32"/>
        <v>#VALUE!</v>
      </c>
    </row>
    <row r="212" spans="1:26" x14ac:dyDescent="0.4">
      <c r="A212" t="str">
        <f>MID(Taostats_CSV!C212,6,2)&amp;"/"&amp;MID(Taostats_CSV!C212,9,2)&amp;"/"&amp;LEFT(Taostats_CSV!C212,4)&amp;" "&amp;MID(Taostats_CSV!C212,12,8)</f>
        <v>04/23/2025 23:59:48</v>
      </c>
      <c r="C212" t="str">
        <f ca="1">IF(Q212,OFFSET(Taostats_CSV!$E$1,MATCH(K212&amp;D$1,Taostats_CSV!$X:$X,0)-1,0),IF(Taostats_CSV!F212="fee",IF(VALUE(Taostats_CSV!G212)&gt;0,Taostats_CSV!E212,""),""))</f>
        <v/>
      </c>
      <c r="D212" t="str">
        <f ca="1">IF(Q212,OFFSET(Taostats_CSV!$G$1,MATCH(K212&amp;D$1,Taostats_CSV!$X:$X,0)-1,0),IF(Taostats_CSV!F212="fee",IF(VALUE(Taostats_CSV!G212)&gt;0,Taostats_CSV!G212,""),""))</f>
        <v/>
      </c>
      <c r="E212" t="str">
        <f ca="1">IF(AND(Q212,P212&gt;0),OFFSET(Taostats_CSV!$E$1,MATCH(K212&amp;F$1,Taostats_CSV!$X:$X,0)-1,0),IF(LEN(F212)&gt;0,Taostats_CSV!E212,""))</f>
        <v>SN64</v>
      </c>
      <c r="F212" t="str">
        <f ca="1">TRIM(IF(AND(Q212,P212&gt;0),OFFSET(Taostats_CSV!$H$1,MATCH(K212&amp;F$1,Taostats_CSV!$X:$X,0)-1,0),IF(LEN(Taostats_CSV!H212)&gt;0,Taostats_CSV!H212,Taostats_CSV!R212)))</f>
        <v>0.146063349</v>
      </c>
      <c r="G212" t="str">
        <f ca="1">IF(AND(Q212,N212=1),OFFSET(Taostats_CSV!$E$1,MATCH(K212&amp;H$1,Taostats_CSV!$X:$X,0)-1,0),"")</f>
        <v/>
      </c>
      <c r="H212" t="str">
        <f ca="1">IF(AND(Q212,N212=1),OFFSET(Taostats_CSV!$G$1,MATCH(K212&amp;H$1,Taostats_CSV!$X:$X,0)-1,0),"")</f>
        <v/>
      </c>
      <c r="I212" t="str">
        <f ca="1">IF(AND(LEN(K212)=0,LEN(F212)&gt;0),"Income",IF(AND(O212&gt;0,P212&gt;0,C212&lt;&gt;E212),"Trade",IF(AND(NOT(Q212),Taostats_CSV!F212="fee"),'READ ME'!$C$5,"")))</f>
        <v>Income</v>
      </c>
      <c r="J212" t="str">
        <f ca="1">SUBSTITUTE(IF(LEN(I212)=0,Taostats_CSV!F212&amp;" "&amp;Taostats_CSV!J212,IF(I212="Cost","Extrinsic fee","")),"_"," ")</f>
        <v/>
      </c>
      <c r="K212" t="str">
        <f>TRIM(IF(LEN(Taostats_CSV!I212)&gt;0,Taostats_CSV!I212,""))</f>
        <v/>
      </c>
      <c r="L212">
        <f ca="1">IF(Taostats_CSV!E212&lt;&gt;"TAO",IF(LEN(F212)&gt;0,F212,IF(LEN(D212)&gt;0,D212,0))*Taostats_CSV!P212,"")</f>
        <v>15.873426067451181</v>
      </c>
      <c r="M212" t="str">
        <f t="shared" ca="1" si="33"/>
        <v>USD</v>
      </c>
      <c r="N212">
        <f>COUNTIF(Taostats_CSV!$X:$X,Taostats_CSV!$I212&amp;N$1)</f>
        <v>0</v>
      </c>
      <c r="O212">
        <f>COUNTIF(Taostats_CSV!$X:$X,Taostats_CSV!$I212&amp;O$1)</f>
        <v>0</v>
      </c>
      <c r="P212">
        <f>COUNTIF(Taostats_CSV!$X:$X,Taostats_CSV!$I212&amp;P$1)</f>
        <v>0</v>
      </c>
      <c r="Q212" t="b">
        <f t="shared" si="34"/>
        <v>0</v>
      </c>
      <c r="R212" t="b">
        <f>IF(LEN(K212)&gt;0,COUNTIF($K$3:K212,K212),FALSE)</f>
        <v>0</v>
      </c>
      <c r="S212" t="b">
        <f>IF(Taostats_CSV!A212=Taostats_CSV!$A$2,TRUE,Taostats_CSV!G212+Taostats_CSV!H212+Taostats_CSV!R212=0)</f>
        <v>0</v>
      </c>
      <c r="T212" t="b">
        <f t="shared" si="35"/>
        <v>1</v>
      </c>
      <c r="U212" t="b" cm="1">
        <f t="array" aca="1" ref="U212" ca="1">AND(T212,OR(O212-N212&gt;1,P212&gt;1,ISERROR(A212:P212)))</f>
        <v>0</v>
      </c>
      <c r="W212" t="e">
        <f>MATCH(K212&amp;$W$2,Taostats_CSV!$X$3:$X$1167,0)</f>
        <v>#N/A</v>
      </c>
      <c r="X212" t="e">
        <f t="shared" ca="1" si="30"/>
        <v>#VALUE!</v>
      </c>
      <c r="Y212">
        <f t="shared" ca="1" si="31"/>
        <v>0.14606334900000001</v>
      </c>
      <c r="Z212" t="e">
        <f t="shared" ca="1" si="32"/>
        <v>#VALUE!</v>
      </c>
    </row>
    <row r="213" spans="1:26" hidden="1" x14ac:dyDescent="0.4">
      <c r="A213" t="str">
        <f>MID(Taostats_CSV!C213,6,2)&amp;"/"&amp;MID(Taostats_CSV!C213,9,2)&amp;"/"&amp;LEFT(Taostats_CSV!C213,4)&amp;" "&amp;MID(Taostats_CSV!C213,12,8)</f>
        <v>04/23/2025 23:59:48</v>
      </c>
      <c r="C213" t="str">
        <f ca="1">IF(Q213,OFFSET(Taostats_CSV!$E$1,MATCH(K213&amp;D$1,Taostats_CSV!$X:$X,0)-1,0),IF(Taostats_CSV!F213="fee","",IF(VALUE(Taostats_CSV!G213)&gt;0,Taostats_CSV!E213,"")))</f>
        <v/>
      </c>
      <c r="D213" t="str">
        <f ca="1">IF(Q213,OFFSET(Taostats_CSV!$G$1,MATCH(K213&amp;D$1,Taostats_CSV!$X:$X,0)-1,0),IF(Taostats_CSV!F213="fee","",IF(VALUE(Taostats_CSV!G213)&gt;0,Taostats_CSV!G213,"")))</f>
        <v/>
      </c>
      <c r="E213" t="str">
        <f ca="1">IF(AND(Q213,P213&gt;0),OFFSET(Taostats_CSV!$E$1,MATCH(K213&amp;F$1,Taostats_CSV!$X:$X,0)-1,0),IF(LEN(F213)&gt;0,Taostats_CSV!E213,""))</f>
        <v>TAO</v>
      </c>
      <c r="F213" t="str">
        <f ca="1">TRIM(IF(AND(Q213,P213&gt;0),OFFSET(Taostats_CSV!$H$1,MATCH(K213&amp;F$1,Taostats_CSV!$X:$X,0)-1,0),IF(LEN(Taostats_CSV!H213)&gt;0,Taostats_CSV!H213,Taostats_CSV!R213)))</f>
        <v>0</v>
      </c>
      <c r="G213" t="str">
        <f ca="1">IF(AND(Q213,N213=1),OFFSET(Taostats_CSV!$E$1,MATCH(K213&amp;H$1,Taostats_CSV!$X:$X,0)-1,0),IF(Taostats_CSV!F213="fee",Taostats_CSV!E213,""))</f>
        <v/>
      </c>
      <c r="H213" t="str">
        <f ca="1">IF(AND(Q213,N213=1),OFFSET(Taostats_CSV!$G$1,MATCH(K213&amp;H$1,Taostats_CSV!$X:$X,0)-1,0),IF(Taostats_CSV!F213="fee",Taostats_CSV!G213,""))</f>
        <v/>
      </c>
      <c r="I213" t="str">
        <f ca="1">IF(AND(LEN(K213)=0,LEN(F213)&gt;0),"Income",IF(AND(O213&gt;0,P213&gt;0,C213&lt;&gt;E213),"Trade",IF(AND(NOT(Q213),Taostats_CSV!F213="fee"),'READ ME'!$C$5,"")))</f>
        <v>Income</v>
      </c>
      <c r="J213" t="str">
        <f ca="1">SUBSTITUTE(IF(LEN(I213)=0,Taostats_CSV!F213&amp;" "&amp;Taostats_CSV!J213,IF(I213="Cost","Extrinsic fee","")),"_"," ")</f>
        <v/>
      </c>
      <c r="K213" t="str">
        <f>TRIM(IF(LEN(Taostats_CSV!I213)&gt;0,Taostats_CSV!I213,""))</f>
        <v/>
      </c>
      <c r="L213" t="str">
        <f>IF(Taostats_CSV!E213&lt;&gt;"TAO",IF(LEN(F213)&gt;0,F213,IF(LEN(D213)&gt;0,D213,0))*Taostats_CSV!P213,"")</f>
        <v/>
      </c>
      <c r="M213" t="str">
        <f t="shared" si="33"/>
        <v/>
      </c>
      <c r="N213">
        <f>COUNTIF(Taostats_CSV!$X:$X,Taostats_CSV!$I213&amp;N$1)</f>
        <v>0</v>
      </c>
      <c r="O213">
        <f>COUNTIF(Taostats_CSV!$X:$X,Taostats_CSV!$I213&amp;O$1)</f>
        <v>0</v>
      </c>
      <c r="P213">
        <f>COUNTIF(Taostats_CSV!$X:$X,Taostats_CSV!$I213&amp;P$1)</f>
        <v>0</v>
      </c>
      <c r="Q213" t="b">
        <f t="shared" si="34"/>
        <v>0</v>
      </c>
      <c r="R213" t="b">
        <f>IF(LEN(K213)&gt;0,COUNTIF($K$3:K213,K213),FALSE)</f>
        <v>0</v>
      </c>
      <c r="S213" t="b">
        <f>IF(Taostats_CSV!A213=Taostats_CSV!$A$2,TRUE,Taostats_CSV!G213+Taostats_CSV!H213+Taostats_CSV!R213=0)</f>
        <v>1</v>
      </c>
      <c r="T213" t="b">
        <f t="shared" si="35"/>
        <v>0</v>
      </c>
      <c r="U213" t="b" cm="1">
        <f t="array" aca="1" ref="U213" ca="1">AND(T213,OR(O213-N213&gt;1,P213&gt;1,ISERROR(A213:P213)))</f>
        <v>0</v>
      </c>
      <c r="W213" t="e">
        <f>MATCH(K213&amp;$W$2,Taostats_CSV!$X$3:$X$1167,0)</f>
        <v>#N/A</v>
      </c>
      <c r="X213" t="e">
        <f t="shared" ca="1" si="30"/>
        <v>#VALUE!</v>
      </c>
      <c r="Y213">
        <f t="shared" ca="1" si="31"/>
        <v>0</v>
      </c>
      <c r="Z213" t="e">
        <f t="shared" ca="1" si="32"/>
        <v>#VALUE!</v>
      </c>
    </row>
    <row r="214" spans="1:26" x14ac:dyDescent="0.4">
      <c r="A214" t="str">
        <f>MID(Taostats_CSV!C214,6,2)&amp;"/"&amp;MID(Taostats_CSV!C214,9,2)&amp;"/"&amp;LEFT(Taostats_CSV!C214,4)&amp;" "&amp;MID(Taostats_CSV!C214,12,8)</f>
        <v>04/24/2025 23:59:48</v>
      </c>
      <c r="C214" t="str">
        <f ca="1">IF(Q214,OFFSET(Taostats_CSV!$E$1,MATCH(K214&amp;D$1,Taostats_CSV!$X:$X,0)-1,0),IF(Taostats_CSV!F214="fee",IF(VALUE(Taostats_CSV!G214)&gt;0,Taostats_CSV!E214,""),""))</f>
        <v/>
      </c>
      <c r="D214" t="str">
        <f ca="1">IF(Q214,OFFSET(Taostats_CSV!$G$1,MATCH(K214&amp;D$1,Taostats_CSV!$X:$X,0)-1,0),IF(Taostats_CSV!F214="fee",IF(VALUE(Taostats_CSV!G214)&gt;0,Taostats_CSV!G214,""),""))</f>
        <v/>
      </c>
      <c r="E214" t="str">
        <f ca="1">IF(AND(Q214,P214&gt;0),OFFSET(Taostats_CSV!$E$1,MATCH(K214&amp;F$1,Taostats_CSV!$X:$X,0)-1,0),IF(LEN(F214)&gt;0,Taostats_CSV!E214,""))</f>
        <v>SN3</v>
      </c>
      <c r="F214" t="str">
        <f ca="1">TRIM(IF(AND(Q214,P214&gt;0),OFFSET(Taostats_CSV!$H$1,MATCH(K214&amp;F$1,Taostats_CSV!$X:$X,0)-1,0),IF(LEN(Taostats_CSV!H214)&gt;0,Taostats_CSV!H214,Taostats_CSV!R214)))</f>
        <v>0.446075095</v>
      </c>
      <c r="G214" t="str">
        <f ca="1">IF(AND(Q214,N214=1),OFFSET(Taostats_CSV!$E$1,MATCH(K214&amp;H$1,Taostats_CSV!$X:$X,0)-1,0),"")</f>
        <v/>
      </c>
      <c r="H214" t="str">
        <f ca="1">IF(AND(Q214,N214=1),OFFSET(Taostats_CSV!$G$1,MATCH(K214&amp;H$1,Taostats_CSV!$X:$X,0)-1,0),"")</f>
        <v/>
      </c>
      <c r="I214" t="str">
        <f ca="1">IF(AND(LEN(K214)=0,LEN(F214)&gt;0),"Income",IF(AND(O214&gt;0,P214&gt;0,C214&lt;&gt;E214),"Trade",IF(AND(NOT(Q214),Taostats_CSV!F214="fee"),'READ ME'!$C$5,"")))</f>
        <v>Income</v>
      </c>
      <c r="J214" t="str">
        <f ca="1">SUBSTITUTE(IF(LEN(I214)=0,Taostats_CSV!F214&amp;" "&amp;Taostats_CSV!J214,IF(I214="Cost","Extrinsic fee","")),"_"," ")</f>
        <v/>
      </c>
      <c r="K214" t="str">
        <f>TRIM(IF(LEN(Taostats_CSV!I214)&gt;0,Taostats_CSV!I214,""))</f>
        <v/>
      </c>
      <c r="L214">
        <f ca="1">IF(Taostats_CSV!E214&lt;&gt;"TAO",IF(LEN(F214)&gt;0,F214,IF(LEN(D214)&gt;0,D214,0))*Taostats_CSV!P214,"")</f>
        <v>15.722997970453342</v>
      </c>
      <c r="M214" t="str">
        <f t="shared" ca="1" si="33"/>
        <v>USD</v>
      </c>
      <c r="N214">
        <f>COUNTIF(Taostats_CSV!$X:$X,Taostats_CSV!$I214&amp;N$1)</f>
        <v>0</v>
      </c>
      <c r="O214">
        <f>COUNTIF(Taostats_CSV!$X:$X,Taostats_CSV!$I214&amp;O$1)</f>
        <v>0</v>
      </c>
      <c r="P214">
        <f>COUNTIF(Taostats_CSV!$X:$X,Taostats_CSV!$I214&amp;P$1)</f>
        <v>0</v>
      </c>
      <c r="Q214" t="b">
        <f t="shared" si="34"/>
        <v>0</v>
      </c>
      <c r="R214" t="b">
        <f>IF(LEN(K214)&gt;0,COUNTIF($K$3:K214,K214),FALSE)</f>
        <v>0</v>
      </c>
      <c r="S214" t="b">
        <f>IF(Taostats_CSV!A214=Taostats_CSV!$A$2,TRUE,Taostats_CSV!G214+Taostats_CSV!H214+Taostats_CSV!R214=0)</f>
        <v>0</v>
      </c>
      <c r="T214" t="b">
        <f t="shared" si="35"/>
        <v>1</v>
      </c>
      <c r="U214" t="b" cm="1">
        <f t="array" aca="1" ref="U214" ca="1">AND(T214,OR(O214-N214&gt;1,P214&gt;1,ISERROR(A214:P214)))</f>
        <v>0</v>
      </c>
      <c r="W214" t="e">
        <f>MATCH(K214&amp;$W$2,Taostats_CSV!$X$3:$X$1167,0)</f>
        <v>#N/A</v>
      </c>
      <c r="X214" t="e">
        <f t="shared" ca="1" si="30"/>
        <v>#VALUE!</v>
      </c>
      <c r="Y214">
        <f t="shared" ca="1" si="31"/>
        <v>0.44607509499999998</v>
      </c>
      <c r="Z214" t="e">
        <f t="shared" ca="1" si="32"/>
        <v>#VALUE!</v>
      </c>
    </row>
    <row r="215" spans="1:26" x14ac:dyDescent="0.4">
      <c r="A215" t="str">
        <f>MID(Taostats_CSV!C215,6,2)&amp;"/"&amp;MID(Taostats_CSV!C215,9,2)&amp;"/"&amp;LEFT(Taostats_CSV!C215,4)&amp;" "&amp;MID(Taostats_CSV!C215,12,8)</f>
        <v>04/24/2025 23:59:48</v>
      </c>
      <c r="C215" t="str">
        <f ca="1">IF(Q215,OFFSET(Taostats_CSV!$E$1,MATCH(K215&amp;D$1,Taostats_CSV!$X:$X,0)-1,0),IF(Taostats_CSV!F215="fee",IF(VALUE(Taostats_CSV!G215)&gt;0,Taostats_CSV!E215,""),""))</f>
        <v/>
      </c>
      <c r="D215" t="str">
        <f ca="1">IF(Q215,OFFSET(Taostats_CSV!$G$1,MATCH(K215&amp;D$1,Taostats_CSV!$X:$X,0)-1,0),IF(Taostats_CSV!F215="fee",IF(VALUE(Taostats_CSV!G215)&gt;0,Taostats_CSV!G215,""),""))</f>
        <v/>
      </c>
      <c r="E215" t="str">
        <f ca="1">IF(AND(Q215,P215&gt;0),OFFSET(Taostats_CSV!$E$1,MATCH(K215&amp;F$1,Taostats_CSV!$X:$X,0)-1,0),IF(LEN(F215)&gt;0,Taostats_CSV!E215,""))</f>
        <v>SN4</v>
      </c>
      <c r="F215" t="str">
        <f ca="1">TRIM(IF(AND(Q215,P215&gt;0),OFFSET(Taostats_CSV!$H$1,MATCH(K215&amp;F$1,Taostats_CSV!$X:$X,0)-1,0),IF(LEN(Taostats_CSV!H215)&gt;0,Taostats_CSV!H215,Taostats_CSV!R215)))</f>
        <v>0.364340126</v>
      </c>
      <c r="G215" t="str">
        <f ca="1">IF(AND(Q215,N215=1),OFFSET(Taostats_CSV!$E$1,MATCH(K215&amp;H$1,Taostats_CSV!$X:$X,0)-1,0),"")</f>
        <v/>
      </c>
      <c r="H215" t="str">
        <f ca="1">IF(AND(Q215,N215=1),OFFSET(Taostats_CSV!$G$1,MATCH(K215&amp;H$1,Taostats_CSV!$X:$X,0)-1,0),"")</f>
        <v/>
      </c>
      <c r="I215" t="str">
        <f ca="1">IF(AND(LEN(K215)=0,LEN(F215)&gt;0),"Income",IF(AND(O215&gt;0,P215&gt;0,C215&lt;&gt;E215),"Trade",IF(AND(NOT(Q215),Taostats_CSV!F215="fee"),'READ ME'!$C$5,"")))</f>
        <v>Income</v>
      </c>
      <c r="J215" t="str">
        <f ca="1">SUBSTITUTE(IF(LEN(I215)=0,Taostats_CSV!F215&amp;" "&amp;Taostats_CSV!J215,IF(I215="Cost","Extrinsic fee","")),"_"," ")</f>
        <v/>
      </c>
      <c r="K215" t="str">
        <f>TRIM(IF(LEN(Taostats_CSV!I215)&gt;0,Taostats_CSV!I215,""))</f>
        <v/>
      </c>
      <c r="L215">
        <f ca="1">IF(Taostats_CSV!E215&lt;&gt;"TAO",IF(LEN(F215)&gt;0,F215,IF(LEN(D215)&gt;0,D215,0))*Taostats_CSV!P215,"")</f>
        <v>19.66238253098777</v>
      </c>
      <c r="M215" t="str">
        <f t="shared" ca="1" si="33"/>
        <v>USD</v>
      </c>
      <c r="N215">
        <f>COUNTIF(Taostats_CSV!$X:$X,Taostats_CSV!$I215&amp;N$1)</f>
        <v>0</v>
      </c>
      <c r="O215">
        <f>COUNTIF(Taostats_CSV!$X:$X,Taostats_CSV!$I215&amp;O$1)</f>
        <v>0</v>
      </c>
      <c r="P215">
        <f>COUNTIF(Taostats_CSV!$X:$X,Taostats_CSV!$I215&amp;P$1)</f>
        <v>0</v>
      </c>
      <c r="Q215" t="b">
        <f t="shared" si="34"/>
        <v>0</v>
      </c>
      <c r="R215" t="b">
        <f>IF(LEN(K215)&gt;0,COUNTIF($K$3:K215,K215),FALSE)</f>
        <v>0</v>
      </c>
      <c r="S215" t="b">
        <f>IF(Taostats_CSV!A215=Taostats_CSV!$A$2,TRUE,Taostats_CSV!G215+Taostats_CSV!H215+Taostats_CSV!R215=0)</f>
        <v>0</v>
      </c>
      <c r="T215" t="b">
        <f t="shared" si="35"/>
        <v>1</v>
      </c>
      <c r="U215" t="b" cm="1">
        <f t="array" aca="1" ref="U215" ca="1">AND(T215,OR(O215-N215&gt;1,P215&gt;1,ISERROR(A215:P215)))</f>
        <v>0</v>
      </c>
      <c r="W215" t="e">
        <f>MATCH(K215&amp;$W$2,Taostats_CSV!$X$3:$X$1167,0)</f>
        <v>#N/A</v>
      </c>
      <c r="X215" t="e">
        <f t="shared" ca="1" si="30"/>
        <v>#VALUE!</v>
      </c>
      <c r="Y215">
        <f t="shared" ca="1" si="31"/>
        <v>0.36434012599999999</v>
      </c>
      <c r="Z215" t="e">
        <f t="shared" ca="1" si="32"/>
        <v>#VALUE!</v>
      </c>
    </row>
    <row r="216" spans="1:26" x14ac:dyDescent="0.4">
      <c r="A216" t="str">
        <f>MID(Taostats_CSV!C216,6,2)&amp;"/"&amp;MID(Taostats_CSV!C216,9,2)&amp;"/"&amp;LEFT(Taostats_CSV!C216,4)&amp;" "&amp;MID(Taostats_CSV!C216,12,8)</f>
        <v>04/24/2025 23:59:48</v>
      </c>
      <c r="C216" t="str">
        <f ca="1">IF(Q216,OFFSET(Taostats_CSV!$E$1,MATCH(K216&amp;D$1,Taostats_CSV!$X:$X,0)-1,0),IF(Taostats_CSV!F216="fee",IF(VALUE(Taostats_CSV!G216)&gt;0,Taostats_CSV!E216,""),""))</f>
        <v/>
      </c>
      <c r="D216" t="str">
        <f ca="1">IF(Q216,OFFSET(Taostats_CSV!$G$1,MATCH(K216&amp;D$1,Taostats_CSV!$X:$X,0)-1,0),IF(Taostats_CSV!F216="fee",IF(VALUE(Taostats_CSV!G216)&gt;0,Taostats_CSV!G216,""),""))</f>
        <v/>
      </c>
      <c r="E216" t="str">
        <f ca="1">IF(AND(Q216,P216&gt;0),OFFSET(Taostats_CSV!$E$1,MATCH(K216&amp;F$1,Taostats_CSV!$X:$X,0)-1,0),IF(LEN(F216)&gt;0,Taostats_CSV!E216,""))</f>
        <v>SN56</v>
      </c>
      <c r="F216" t="str">
        <f ca="1">TRIM(IF(AND(Q216,P216&gt;0),OFFSET(Taostats_CSV!$H$1,MATCH(K216&amp;F$1,Taostats_CSV!$X:$X,0)-1,0),IF(LEN(Taostats_CSV!H216)&gt;0,Taostats_CSV!H216,Taostats_CSV!R216)))</f>
        <v>0.225169793</v>
      </c>
      <c r="G216" t="str">
        <f ca="1">IF(AND(Q216,N216=1),OFFSET(Taostats_CSV!$E$1,MATCH(K216&amp;H$1,Taostats_CSV!$X:$X,0)-1,0),"")</f>
        <v/>
      </c>
      <c r="H216" t="str">
        <f ca="1">IF(AND(Q216,N216=1),OFFSET(Taostats_CSV!$G$1,MATCH(K216&amp;H$1,Taostats_CSV!$X:$X,0)-1,0),"")</f>
        <v/>
      </c>
      <c r="I216" t="str">
        <f ca="1">IF(AND(LEN(K216)=0,LEN(F216)&gt;0),"Income",IF(AND(O216&gt;0,P216&gt;0,C216&lt;&gt;E216),"Trade",IF(AND(NOT(Q216),Taostats_CSV!F216="fee"),'READ ME'!$C$5,"")))</f>
        <v>Income</v>
      </c>
      <c r="J216" t="str">
        <f ca="1">SUBSTITUTE(IF(LEN(I216)=0,Taostats_CSV!F216&amp;" "&amp;Taostats_CSV!J216,IF(I216="Cost","Extrinsic fee","")),"_"," ")</f>
        <v/>
      </c>
      <c r="K216" t="str">
        <f>TRIM(IF(LEN(Taostats_CSV!I216)&gt;0,Taostats_CSV!I216,""))</f>
        <v/>
      </c>
      <c r="L216">
        <f ca="1">IF(Taostats_CSV!E216&lt;&gt;"TAO",IF(LEN(F216)&gt;0,F216,IF(LEN(D216)&gt;0,D216,0))*Taostats_CSV!P216,"")</f>
        <v>12.429958633937442</v>
      </c>
      <c r="M216" t="str">
        <f t="shared" ca="1" si="33"/>
        <v>USD</v>
      </c>
      <c r="N216">
        <f>COUNTIF(Taostats_CSV!$X:$X,Taostats_CSV!$I216&amp;N$1)</f>
        <v>0</v>
      </c>
      <c r="O216">
        <f>COUNTIF(Taostats_CSV!$X:$X,Taostats_CSV!$I216&amp;O$1)</f>
        <v>0</v>
      </c>
      <c r="P216">
        <f>COUNTIF(Taostats_CSV!$X:$X,Taostats_CSV!$I216&amp;P$1)</f>
        <v>0</v>
      </c>
      <c r="Q216" t="b">
        <f t="shared" si="34"/>
        <v>0</v>
      </c>
      <c r="R216" t="b">
        <f>IF(LEN(K216)&gt;0,COUNTIF($K$3:K216,K216),FALSE)</f>
        <v>0</v>
      </c>
      <c r="S216" t="b">
        <f>IF(Taostats_CSV!A216=Taostats_CSV!$A$2,TRUE,Taostats_CSV!G216+Taostats_CSV!H216+Taostats_CSV!R216=0)</f>
        <v>0</v>
      </c>
      <c r="T216" t="b">
        <f t="shared" si="35"/>
        <v>1</v>
      </c>
      <c r="U216" t="b" cm="1">
        <f t="array" aca="1" ref="U216" ca="1">AND(T216,OR(O216-N216&gt;1,P216&gt;1,ISERROR(A216:P216)))</f>
        <v>0</v>
      </c>
      <c r="W216" t="e">
        <f>MATCH(K216&amp;$W$2,Taostats_CSV!$X$3:$X$1167,0)</f>
        <v>#N/A</v>
      </c>
      <c r="X216" t="e">
        <f t="shared" ca="1" si="30"/>
        <v>#VALUE!</v>
      </c>
      <c r="Y216">
        <f t="shared" ca="1" si="31"/>
        <v>0.22516979300000001</v>
      </c>
      <c r="Z216" t="e">
        <f t="shared" ca="1" si="32"/>
        <v>#VALUE!</v>
      </c>
    </row>
    <row r="217" spans="1:26" x14ac:dyDescent="0.4">
      <c r="A217" t="str">
        <f>MID(Taostats_CSV!C217,6,2)&amp;"/"&amp;MID(Taostats_CSV!C217,9,2)&amp;"/"&amp;LEFT(Taostats_CSV!C217,4)&amp;" "&amp;MID(Taostats_CSV!C217,12,8)</f>
        <v>04/24/2025 23:59:48</v>
      </c>
      <c r="C217" t="str">
        <f ca="1">IF(Q217,OFFSET(Taostats_CSV!$E$1,MATCH(K217&amp;D$1,Taostats_CSV!$X:$X,0)-1,0),IF(Taostats_CSV!F217="fee",IF(VALUE(Taostats_CSV!G217)&gt;0,Taostats_CSV!E217,""),""))</f>
        <v/>
      </c>
      <c r="D217" t="str">
        <f ca="1">IF(Q217,OFFSET(Taostats_CSV!$G$1,MATCH(K217&amp;D$1,Taostats_CSV!$X:$X,0)-1,0),IF(Taostats_CSV!F217="fee",IF(VALUE(Taostats_CSV!G217)&gt;0,Taostats_CSV!G217,""),""))</f>
        <v/>
      </c>
      <c r="E217" t="str">
        <f ca="1">IF(AND(Q217,P217&gt;0),OFFSET(Taostats_CSV!$E$1,MATCH(K217&amp;F$1,Taostats_CSV!$X:$X,0)-1,0),IF(LEN(F217)&gt;0,Taostats_CSV!E217,""))</f>
        <v>SN64</v>
      </c>
      <c r="F217" t="str">
        <f ca="1">TRIM(IF(AND(Q217,P217&gt;0),OFFSET(Taostats_CSV!$H$1,MATCH(K217&amp;F$1,Taostats_CSV!$X:$X,0)-1,0),IF(LEN(Taostats_CSV!H217)&gt;0,Taostats_CSV!H217,Taostats_CSV!R217)))</f>
        <v>0.138066034</v>
      </c>
      <c r="G217" t="str">
        <f ca="1">IF(AND(Q217,N217=1),OFFSET(Taostats_CSV!$E$1,MATCH(K217&amp;H$1,Taostats_CSV!$X:$X,0)-1,0),"")</f>
        <v/>
      </c>
      <c r="H217" t="str">
        <f ca="1">IF(AND(Q217,N217=1),OFFSET(Taostats_CSV!$G$1,MATCH(K217&amp;H$1,Taostats_CSV!$X:$X,0)-1,0),"")</f>
        <v/>
      </c>
      <c r="I217" t="str">
        <f ca="1">IF(AND(LEN(K217)=0,LEN(F217)&gt;0),"Income",IF(AND(O217&gt;0,P217&gt;0,C217&lt;&gt;E217),"Trade",IF(AND(NOT(Q217),Taostats_CSV!F217="fee"),'READ ME'!$C$5,"")))</f>
        <v>Income</v>
      </c>
      <c r="J217" t="str">
        <f ca="1">SUBSTITUTE(IF(LEN(I217)=0,Taostats_CSV!F217&amp;" "&amp;Taostats_CSV!J217,IF(I217="Cost","Extrinsic fee","")),"_"," ")</f>
        <v/>
      </c>
      <c r="K217" t="str">
        <f>TRIM(IF(LEN(Taostats_CSV!I217)&gt;0,Taostats_CSV!I217,""))</f>
        <v/>
      </c>
      <c r="L217">
        <f ca="1">IF(Taostats_CSV!E217&lt;&gt;"TAO",IF(LEN(F217)&gt;0,F217,IF(LEN(D217)&gt;0,D217,0))*Taostats_CSV!P217,"")</f>
        <v>15.940415271921626</v>
      </c>
      <c r="M217" t="str">
        <f t="shared" ca="1" si="33"/>
        <v>USD</v>
      </c>
      <c r="N217">
        <f>COUNTIF(Taostats_CSV!$X:$X,Taostats_CSV!$I217&amp;N$1)</f>
        <v>0</v>
      </c>
      <c r="O217">
        <f>COUNTIF(Taostats_CSV!$X:$X,Taostats_CSV!$I217&amp;O$1)</f>
        <v>0</v>
      </c>
      <c r="P217">
        <f>COUNTIF(Taostats_CSV!$X:$X,Taostats_CSV!$I217&amp;P$1)</f>
        <v>0</v>
      </c>
      <c r="Q217" t="b">
        <f t="shared" si="34"/>
        <v>0</v>
      </c>
      <c r="R217" t="b">
        <f>IF(LEN(K217)&gt;0,COUNTIF($K$3:K217,K217),FALSE)</f>
        <v>0</v>
      </c>
      <c r="S217" t="b">
        <f>IF(Taostats_CSV!A217=Taostats_CSV!$A$2,TRUE,Taostats_CSV!G217+Taostats_CSV!H217+Taostats_CSV!R217=0)</f>
        <v>0</v>
      </c>
      <c r="T217" t="b">
        <f t="shared" si="35"/>
        <v>1</v>
      </c>
      <c r="U217" t="b" cm="1">
        <f t="array" aca="1" ref="U217" ca="1">AND(T217,OR(O217-N217&gt;1,P217&gt;1,ISERROR(A217:P217)))</f>
        <v>0</v>
      </c>
      <c r="W217" t="e">
        <f>MATCH(K217&amp;$W$2,Taostats_CSV!$X$3:$X$1167,0)</f>
        <v>#N/A</v>
      </c>
      <c r="X217" t="e">
        <f t="shared" ca="1" si="30"/>
        <v>#VALUE!</v>
      </c>
      <c r="Y217">
        <f t="shared" ca="1" si="31"/>
        <v>0.138066034</v>
      </c>
      <c r="Z217" t="e">
        <f t="shared" ca="1" si="32"/>
        <v>#VALUE!</v>
      </c>
    </row>
    <row r="218" spans="1:26" hidden="1" x14ac:dyDescent="0.4">
      <c r="A218" t="str">
        <f>MID(Taostats_CSV!C218,6,2)&amp;"/"&amp;MID(Taostats_CSV!C218,9,2)&amp;"/"&amp;LEFT(Taostats_CSV!C218,4)&amp;" "&amp;MID(Taostats_CSV!C218,12,8)</f>
        <v>04/24/2025 23:59:48</v>
      </c>
      <c r="C218" t="str">
        <f ca="1">IF(Q218,OFFSET(Taostats_CSV!$E$1,MATCH(K218&amp;D$1,Taostats_CSV!$X:$X,0)-1,0),IF(Taostats_CSV!F218="fee","",IF(VALUE(Taostats_CSV!G218)&gt;0,Taostats_CSV!E218,"")))</f>
        <v/>
      </c>
      <c r="D218" t="str">
        <f ca="1">IF(Q218,OFFSET(Taostats_CSV!$G$1,MATCH(K218&amp;D$1,Taostats_CSV!$X:$X,0)-1,0),IF(Taostats_CSV!F218="fee","",IF(VALUE(Taostats_CSV!G218)&gt;0,Taostats_CSV!G218,"")))</f>
        <v/>
      </c>
      <c r="E218" t="str">
        <f ca="1">IF(AND(Q218,P218&gt;0),OFFSET(Taostats_CSV!$E$1,MATCH(K218&amp;F$1,Taostats_CSV!$X:$X,0)-1,0),IF(LEN(F218)&gt;0,Taostats_CSV!E218,""))</f>
        <v>TAO</v>
      </c>
      <c r="F218" t="str">
        <f ca="1">TRIM(IF(AND(Q218,P218&gt;0),OFFSET(Taostats_CSV!$H$1,MATCH(K218&amp;F$1,Taostats_CSV!$X:$X,0)-1,0),IF(LEN(Taostats_CSV!H218)&gt;0,Taostats_CSV!H218,Taostats_CSV!R218)))</f>
        <v>0</v>
      </c>
      <c r="G218" t="str">
        <f ca="1">IF(AND(Q218,N218=1),OFFSET(Taostats_CSV!$E$1,MATCH(K218&amp;H$1,Taostats_CSV!$X:$X,0)-1,0),IF(Taostats_CSV!F218="fee",Taostats_CSV!E218,""))</f>
        <v/>
      </c>
      <c r="H218" t="str">
        <f ca="1">IF(AND(Q218,N218=1),OFFSET(Taostats_CSV!$G$1,MATCH(K218&amp;H$1,Taostats_CSV!$X:$X,0)-1,0),IF(Taostats_CSV!F218="fee",Taostats_CSV!G218,""))</f>
        <v/>
      </c>
      <c r="I218" t="str">
        <f ca="1">IF(AND(LEN(K218)=0,LEN(F218)&gt;0),"Income",IF(AND(O218&gt;0,P218&gt;0,C218&lt;&gt;E218),"Trade",IF(AND(NOT(Q218),Taostats_CSV!F218="fee"),'READ ME'!$C$5,"")))</f>
        <v>Income</v>
      </c>
      <c r="J218" t="str">
        <f ca="1">SUBSTITUTE(IF(LEN(I218)=0,Taostats_CSV!F218&amp;" "&amp;Taostats_CSV!J218,IF(I218="Cost","Extrinsic fee","")),"_"," ")</f>
        <v/>
      </c>
      <c r="K218" t="str">
        <f>TRIM(IF(LEN(Taostats_CSV!I218)&gt;0,Taostats_CSV!I218,""))</f>
        <v/>
      </c>
      <c r="L218" t="str">
        <f>IF(Taostats_CSV!E218&lt;&gt;"TAO",IF(LEN(F218)&gt;0,F218,IF(LEN(D218)&gt;0,D218,0))*Taostats_CSV!P218,"")</f>
        <v/>
      </c>
      <c r="M218" t="str">
        <f t="shared" si="33"/>
        <v/>
      </c>
      <c r="N218">
        <f>COUNTIF(Taostats_CSV!$X:$X,Taostats_CSV!$I218&amp;N$1)</f>
        <v>0</v>
      </c>
      <c r="O218">
        <f>COUNTIF(Taostats_CSV!$X:$X,Taostats_CSV!$I218&amp;O$1)</f>
        <v>0</v>
      </c>
      <c r="P218">
        <f>COUNTIF(Taostats_CSV!$X:$X,Taostats_CSV!$I218&amp;P$1)</f>
        <v>0</v>
      </c>
      <c r="Q218" t="b">
        <f t="shared" si="34"/>
        <v>0</v>
      </c>
      <c r="R218" t="b">
        <f>IF(LEN(K218)&gt;0,COUNTIF($K$3:K218,K218),FALSE)</f>
        <v>0</v>
      </c>
      <c r="S218" t="b">
        <f>IF(Taostats_CSV!A218=Taostats_CSV!$A$2,TRUE,Taostats_CSV!G218+Taostats_CSV!H218+Taostats_CSV!R218=0)</f>
        <v>1</v>
      </c>
      <c r="T218" t="b">
        <f t="shared" si="35"/>
        <v>0</v>
      </c>
      <c r="U218" t="b" cm="1">
        <f t="array" aca="1" ref="U218" ca="1">AND(T218,OR(O218-N218&gt;1,P218&gt;1,ISERROR(A218:P218)))</f>
        <v>0</v>
      </c>
      <c r="W218" t="e">
        <f>MATCH(K218&amp;$W$2,Taostats_CSV!$X$3:$X$1167,0)</f>
        <v>#N/A</v>
      </c>
      <c r="X218" t="e">
        <f t="shared" ca="1" si="30"/>
        <v>#VALUE!</v>
      </c>
      <c r="Y218">
        <f t="shared" ca="1" si="31"/>
        <v>0</v>
      </c>
      <c r="Z218" t="e">
        <f t="shared" ca="1" si="32"/>
        <v>#VALUE!</v>
      </c>
    </row>
    <row r="219" spans="1:26" x14ac:dyDescent="0.4">
      <c r="A219" t="str">
        <f>MID(Taostats_CSV!C219,6,2)&amp;"/"&amp;MID(Taostats_CSV!C219,9,2)&amp;"/"&amp;LEFT(Taostats_CSV!C219,4)&amp;" "&amp;MID(Taostats_CSV!C219,12,8)</f>
        <v>04/25/2025 23:59:48</v>
      </c>
      <c r="C219" t="str">
        <f ca="1">IF(Q219,OFFSET(Taostats_CSV!$E$1,MATCH(K219&amp;D$1,Taostats_CSV!$X:$X,0)-1,0),IF(Taostats_CSV!F219="fee",IF(VALUE(Taostats_CSV!G219)&gt;0,Taostats_CSV!E219,""),""))</f>
        <v/>
      </c>
      <c r="D219" t="str">
        <f ca="1">IF(Q219,OFFSET(Taostats_CSV!$G$1,MATCH(K219&amp;D$1,Taostats_CSV!$X:$X,0)-1,0),IF(Taostats_CSV!F219="fee",IF(VALUE(Taostats_CSV!G219)&gt;0,Taostats_CSV!G219,""),""))</f>
        <v/>
      </c>
      <c r="E219" t="str">
        <f ca="1">IF(AND(Q219,P219&gt;0),OFFSET(Taostats_CSV!$E$1,MATCH(K219&amp;F$1,Taostats_CSV!$X:$X,0)-1,0),IF(LEN(F219)&gt;0,Taostats_CSV!E219,""))</f>
        <v>SN3</v>
      </c>
      <c r="F219" t="str">
        <f ca="1">TRIM(IF(AND(Q219,P219&gt;0),OFFSET(Taostats_CSV!$H$1,MATCH(K219&amp;F$1,Taostats_CSV!$X:$X,0)-1,0),IF(LEN(Taostats_CSV!H219)&gt;0,Taostats_CSV!H219,Taostats_CSV!R219)))</f>
        <v>0.445603731</v>
      </c>
      <c r="G219" t="str">
        <f ca="1">IF(AND(Q219,N219=1),OFFSET(Taostats_CSV!$E$1,MATCH(K219&amp;H$1,Taostats_CSV!$X:$X,0)-1,0),"")</f>
        <v/>
      </c>
      <c r="H219" t="str">
        <f ca="1">IF(AND(Q219,N219=1),OFFSET(Taostats_CSV!$G$1,MATCH(K219&amp;H$1,Taostats_CSV!$X:$X,0)-1,0),"")</f>
        <v/>
      </c>
      <c r="I219" t="str">
        <f ca="1">IF(AND(LEN(K219)=0,LEN(F219)&gt;0),"Income",IF(AND(O219&gt;0,P219&gt;0,C219&lt;&gt;E219),"Trade",IF(AND(NOT(Q219),Taostats_CSV!F219="fee"),'READ ME'!$C$5,"")))</f>
        <v>Income</v>
      </c>
      <c r="J219" t="str">
        <f ca="1">SUBSTITUTE(IF(LEN(I219)=0,Taostats_CSV!F219&amp;" "&amp;Taostats_CSV!J219,IF(I219="Cost","Extrinsic fee","")),"_"," ")</f>
        <v/>
      </c>
      <c r="K219" t="str">
        <f>TRIM(IF(LEN(Taostats_CSV!I219)&gt;0,Taostats_CSV!I219,""))</f>
        <v/>
      </c>
      <c r="L219">
        <f ca="1">IF(Taostats_CSV!E219&lt;&gt;"TAO",IF(LEN(F219)&gt;0,F219,IF(LEN(D219)&gt;0,D219,0))*Taostats_CSV!P219,"")</f>
        <v>16.967716402947445</v>
      </c>
      <c r="M219" t="str">
        <f t="shared" ca="1" si="33"/>
        <v>USD</v>
      </c>
      <c r="N219">
        <f>COUNTIF(Taostats_CSV!$X:$X,Taostats_CSV!$I219&amp;N$1)</f>
        <v>0</v>
      </c>
      <c r="O219">
        <f>COUNTIF(Taostats_CSV!$X:$X,Taostats_CSV!$I219&amp;O$1)</f>
        <v>0</v>
      </c>
      <c r="P219">
        <f>COUNTIF(Taostats_CSV!$X:$X,Taostats_CSV!$I219&amp;P$1)</f>
        <v>0</v>
      </c>
      <c r="Q219" t="b">
        <f t="shared" si="34"/>
        <v>0</v>
      </c>
      <c r="R219" t="b">
        <f>IF(LEN(K219)&gt;0,COUNTIF($K$3:K219,K219),FALSE)</f>
        <v>0</v>
      </c>
      <c r="S219" t="b">
        <f>IF(Taostats_CSV!A219=Taostats_CSV!$A$2,TRUE,Taostats_CSV!G219+Taostats_CSV!H219+Taostats_CSV!R219=0)</f>
        <v>0</v>
      </c>
      <c r="T219" t="b">
        <f t="shared" si="35"/>
        <v>1</v>
      </c>
      <c r="U219" t="b" cm="1">
        <f t="array" aca="1" ref="U219" ca="1">AND(T219,OR(O219-N219&gt;1,P219&gt;1,ISERROR(A219:P219)))</f>
        <v>0</v>
      </c>
      <c r="W219" t="e">
        <f>MATCH(K219&amp;$W$2,Taostats_CSV!$X$3:$X$1167,0)</f>
        <v>#N/A</v>
      </c>
      <c r="X219" t="e">
        <f t="shared" ca="1" si="30"/>
        <v>#VALUE!</v>
      </c>
      <c r="Y219">
        <f t="shared" ca="1" si="31"/>
        <v>0.445603731</v>
      </c>
      <c r="Z219" t="e">
        <f t="shared" ca="1" si="32"/>
        <v>#VALUE!</v>
      </c>
    </row>
    <row r="220" spans="1:26" x14ac:dyDescent="0.4">
      <c r="A220" t="str">
        <f>MID(Taostats_CSV!C220,6,2)&amp;"/"&amp;MID(Taostats_CSV!C220,9,2)&amp;"/"&amp;LEFT(Taostats_CSV!C220,4)&amp;" "&amp;MID(Taostats_CSV!C220,12,8)</f>
        <v>04/25/2025 23:59:48</v>
      </c>
      <c r="C220" t="str">
        <f ca="1">IF(Q220,OFFSET(Taostats_CSV!$E$1,MATCH(K220&amp;D$1,Taostats_CSV!$X:$X,0)-1,0),IF(Taostats_CSV!F220="fee",IF(VALUE(Taostats_CSV!G220)&gt;0,Taostats_CSV!E220,""),""))</f>
        <v/>
      </c>
      <c r="D220" t="str">
        <f ca="1">IF(Q220,OFFSET(Taostats_CSV!$G$1,MATCH(K220&amp;D$1,Taostats_CSV!$X:$X,0)-1,0),IF(Taostats_CSV!F220="fee",IF(VALUE(Taostats_CSV!G220)&gt;0,Taostats_CSV!G220,""),""))</f>
        <v/>
      </c>
      <c r="E220" t="str">
        <f ca="1">IF(AND(Q220,P220&gt;0),OFFSET(Taostats_CSV!$E$1,MATCH(K220&amp;F$1,Taostats_CSV!$X:$X,0)-1,0),IF(LEN(F220)&gt;0,Taostats_CSV!E220,""))</f>
        <v>SN4</v>
      </c>
      <c r="F220" t="str">
        <f ca="1">TRIM(IF(AND(Q220,P220&gt;0),OFFSET(Taostats_CSV!$H$1,MATCH(K220&amp;F$1,Taostats_CSV!$X:$X,0)-1,0),IF(LEN(Taostats_CSV!H220)&gt;0,Taostats_CSV!H220,Taostats_CSV!R220)))</f>
        <v>0.353213395</v>
      </c>
      <c r="G220" t="str">
        <f ca="1">IF(AND(Q220,N220=1),OFFSET(Taostats_CSV!$E$1,MATCH(K220&amp;H$1,Taostats_CSV!$X:$X,0)-1,0),"")</f>
        <v/>
      </c>
      <c r="H220" t="str">
        <f ca="1">IF(AND(Q220,N220=1),OFFSET(Taostats_CSV!$G$1,MATCH(K220&amp;H$1,Taostats_CSV!$X:$X,0)-1,0),"")</f>
        <v/>
      </c>
      <c r="I220" t="str">
        <f ca="1">IF(AND(LEN(K220)=0,LEN(F220)&gt;0),"Income",IF(AND(O220&gt;0,P220&gt;0,C220&lt;&gt;E220),"Trade",IF(AND(NOT(Q220),Taostats_CSV!F220="fee"),'READ ME'!$C$5,"")))</f>
        <v>Income</v>
      </c>
      <c r="J220" t="str">
        <f ca="1">SUBSTITUTE(IF(LEN(I220)=0,Taostats_CSV!F220&amp;" "&amp;Taostats_CSV!J220,IF(I220="Cost","Extrinsic fee","")),"_"," ")</f>
        <v/>
      </c>
      <c r="K220" t="str">
        <f>TRIM(IF(LEN(Taostats_CSV!I220)&gt;0,Taostats_CSV!I220,""))</f>
        <v/>
      </c>
      <c r="L220">
        <f ca="1">IF(Taostats_CSV!E220&lt;&gt;"TAO",IF(LEN(F220)&gt;0,F220,IF(LEN(D220)&gt;0,D220,0))*Taostats_CSV!P220,"")</f>
        <v>18.777182578491541</v>
      </c>
      <c r="M220" t="str">
        <f t="shared" ca="1" si="33"/>
        <v>USD</v>
      </c>
      <c r="N220">
        <f>COUNTIF(Taostats_CSV!$X:$X,Taostats_CSV!$I220&amp;N$1)</f>
        <v>0</v>
      </c>
      <c r="O220">
        <f>COUNTIF(Taostats_CSV!$X:$X,Taostats_CSV!$I220&amp;O$1)</f>
        <v>0</v>
      </c>
      <c r="P220">
        <f>COUNTIF(Taostats_CSV!$X:$X,Taostats_CSV!$I220&amp;P$1)</f>
        <v>0</v>
      </c>
      <c r="Q220" t="b">
        <f t="shared" si="34"/>
        <v>0</v>
      </c>
      <c r="R220" t="b">
        <f>IF(LEN(K220)&gt;0,COUNTIF($K$3:K220,K220),FALSE)</f>
        <v>0</v>
      </c>
      <c r="S220" t="b">
        <f>IF(Taostats_CSV!A220=Taostats_CSV!$A$2,TRUE,Taostats_CSV!G220+Taostats_CSV!H220+Taostats_CSV!R220=0)</f>
        <v>0</v>
      </c>
      <c r="T220" t="b">
        <f t="shared" si="35"/>
        <v>1</v>
      </c>
      <c r="U220" t="b" cm="1">
        <f t="array" aca="1" ref="U220" ca="1">AND(T220,OR(O220-N220&gt;1,P220&gt;1,ISERROR(A220:P220)))</f>
        <v>0</v>
      </c>
      <c r="W220" t="e">
        <f>MATCH(K220&amp;$W$2,Taostats_CSV!$X$3:$X$1167,0)</f>
        <v>#N/A</v>
      </c>
      <c r="X220" t="e">
        <f t="shared" ca="1" si="30"/>
        <v>#VALUE!</v>
      </c>
      <c r="Y220">
        <f t="shared" ca="1" si="31"/>
        <v>0.35321339499999999</v>
      </c>
      <c r="Z220" t="e">
        <f t="shared" ca="1" si="32"/>
        <v>#VALUE!</v>
      </c>
    </row>
    <row r="221" spans="1:26" x14ac:dyDescent="0.4">
      <c r="A221" t="str">
        <f>MID(Taostats_CSV!C221,6,2)&amp;"/"&amp;MID(Taostats_CSV!C221,9,2)&amp;"/"&amp;LEFT(Taostats_CSV!C221,4)&amp;" "&amp;MID(Taostats_CSV!C221,12,8)</f>
        <v>04/25/2025 23:59:48</v>
      </c>
      <c r="C221" t="str">
        <f ca="1">IF(Q221,OFFSET(Taostats_CSV!$E$1,MATCH(K221&amp;D$1,Taostats_CSV!$X:$X,0)-1,0),IF(Taostats_CSV!F221="fee",IF(VALUE(Taostats_CSV!G221)&gt;0,Taostats_CSV!E221,""),""))</f>
        <v/>
      </c>
      <c r="D221" t="str">
        <f ca="1">IF(Q221,OFFSET(Taostats_CSV!$G$1,MATCH(K221&amp;D$1,Taostats_CSV!$X:$X,0)-1,0),IF(Taostats_CSV!F221="fee",IF(VALUE(Taostats_CSV!G221)&gt;0,Taostats_CSV!G221,""),""))</f>
        <v/>
      </c>
      <c r="E221" t="str">
        <f ca="1">IF(AND(Q221,P221&gt;0),OFFSET(Taostats_CSV!$E$1,MATCH(K221&amp;F$1,Taostats_CSV!$X:$X,0)-1,0),IF(LEN(F221)&gt;0,Taostats_CSV!E221,""))</f>
        <v>SN56</v>
      </c>
      <c r="F221" t="str">
        <f ca="1">TRIM(IF(AND(Q221,P221&gt;0),OFFSET(Taostats_CSV!$H$1,MATCH(K221&amp;F$1,Taostats_CSV!$X:$X,0)-1,0),IF(LEN(Taostats_CSV!H221)&gt;0,Taostats_CSV!H221,Taostats_CSV!R221)))</f>
        <v>0.244624273</v>
      </c>
      <c r="G221" t="str">
        <f ca="1">IF(AND(Q221,N221=1),OFFSET(Taostats_CSV!$E$1,MATCH(K221&amp;H$1,Taostats_CSV!$X:$X,0)-1,0),"")</f>
        <v/>
      </c>
      <c r="H221" t="str">
        <f ca="1">IF(AND(Q221,N221=1),OFFSET(Taostats_CSV!$G$1,MATCH(K221&amp;H$1,Taostats_CSV!$X:$X,0)-1,0),"")</f>
        <v/>
      </c>
      <c r="I221" t="str">
        <f ca="1">IF(AND(LEN(K221)=0,LEN(F221)&gt;0),"Income",IF(AND(O221&gt;0,P221&gt;0,C221&lt;&gt;E221),"Trade",IF(AND(NOT(Q221),Taostats_CSV!F221="fee"),'READ ME'!$C$5,"")))</f>
        <v>Income</v>
      </c>
      <c r="J221" t="str">
        <f ca="1">SUBSTITUTE(IF(LEN(I221)=0,Taostats_CSV!F221&amp;" "&amp;Taostats_CSV!J221,IF(I221="Cost","Extrinsic fee","")),"_"," ")</f>
        <v/>
      </c>
      <c r="K221" t="str">
        <f>TRIM(IF(LEN(Taostats_CSV!I221)&gt;0,Taostats_CSV!I221,""))</f>
        <v/>
      </c>
      <c r="L221">
        <f ca="1">IF(Taostats_CSV!E221&lt;&gt;"TAO",IF(LEN(F221)&gt;0,F221,IF(LEN(D221)&gt;0,D221,0))*Taostats_CSV!P221,"")</f>
        <v>14.130016964671404</v>
      </c>
      <c r="M221" t="str">
        <f t="shared" ca="1" si="33"/>
        <v>USD</v>
      </c>
      <c r="N221">
        <f>COUNTIF(Taostats_CSV!$X:$X,Taostats_CSV!$I221&amp;N$1)</f>
        <v>0</v>
      </c>
      <c r="O221">
        <f>COUNTIF(Taostats_CSV!$X:$X,Taostats_CSV!$I221&amp;O$1)</f>
        <v>0</v>
      </c>
      <c r="P221">
        <f>COUNTIF(Taostats_CSV!$X:$X,Taostats_CSV!$I221&amp;P$1)</f>
        <v>0</v>
      </c>
      <c r="Q221" t="b">
        <f t="shared" si="34"/>
        <v>0</v>
      </c>
      <c r="R221" t="b">
        <f>IF(LEN(K221)&gt;0,COUNTIF($K$3:K221,K221),FALSE)</f>
        <v>0</v>
      </c>
      <c r="S221" t="b">
        <f>IF(Taostats_CSV!A221=Taostats_CSV!$A$2,TRUE,Taostats_CSV!G221+Taostats_CSV!H221+Taostats_CSV!R221=0)</f>
        <v>0</v>
      </c>
      <c r="T221" t="b">
        <f t="shared" si="35"/>
        <v>1</v>
      </c>
      <c r="U221" t="b" cm="1">
        <f t="array" aca="1" ref="U221" ca="1">AND(T221,OR(O221-N221&gt;1,P221&gt;1,ISERROR(A221:P221)))</f>
        <v>0</v>
      </c>
      <c r="W221" t="e">
        <f>MATCH(K221&amp;$W$2,Taostats_CSV!$X$3:$X$1167,0)</f>
        <v>#N/A</v>
      </c>
      <c r="X221" t="e">
        <f t="shared" ca="1" si="30"/>
        <v>#VALUE!</v>
      </c>
      <c r="Y221">
        <f t="shared" ca="1" si="31"/>
        <v>0.244624273</v>
      </c>
      <c r="Z221" t="e">
        <f t="shared" ca="1" si="32"/>
        <v>#VALUE!</v>
      </c>
    </row>
    <row r="222" spans="1:26" x14ac:dyDescent="0.4">
      <c r="A222" t="str">
        <f>MID(Taostats_CSV!C222,6,2)&amp;"/"&amp;MID(Taostats_CSV!C222,9,2)&amp;"/"&amp;LEFT(Taostats_CSV!C222,4)&amp;" "&amp;MID(Taostats_CSV!C222,12,8)</f>
        <v>04/25/2025 23:59:48</v>
      </c>
      <c r="C222" t="str">
        <f ca="1">IF(Q222,OFFSET(Taostats_CSV!$E$1,MATCH(K222&amp;D$1,Taostats_CSV!$X:$X,0)-1,0),IF(Taostats_CSV!F222="fee",IF(VALUE(Taostats_CSV!G222)&gt;0,Taostats_CSV!E222,""),""))</f>
        <v/>
      </c>
      <c r="D222" t="str">
        <f ca="1">IF(Q222,OFFSET(Taostats_CSV!$G$1,MATCH(K222&amp;D$1,Taostats_CSV!$X:$X,0)-1,0),IF(Taostats_CSV!F222="fee",IF(VALUE(Taostats_CSV!G222)&gt;0,Taostats_CSV!G222,""),""))</f>
        <v/>
      </c>
      <c r="E222" t="str">
        <f ca="1">IF(AND(Q222,P222&gt;0),OFFSET(Taostats_CSV!$E$1,MATCH(K222&amp;F$1,Taostats_CSV!$X:$X,0)-1,0),IF(LEN(F222)&gt;0,Taostats_CSV!E222,""))</f>
        <v>SN64</v>
      </c>
      <c r="F222" t="str">
        <f ca="1">TRIM(IF(AND(Q222,P222&gt;0),OFFSET(Taostats_CSV!$H$1,MATCH(K222&amp;F$1,Taostats_CSV!$X:$X,0)-1,0),IF(LEN(Taostats_CSV!H222)&gt;0,Taostats_CSV!H222,Taostats_CSV!R222)))</f>
        <v>0.148259157</v>
      </c>
      <c r="G222" t="str">
        <f ca="1">IF(AND(Q222,N222=1),OFFSET(Taostats_CSV!$E$1,MATCH(K222&amp;H$1,Taostats_CSV!$X:$X,0)-1,0),"")</f>
        <v/>
      </c>
      <c r="H222" t="str">
        <f ca="1">IF(AND(Q222,N222=1),OFFSET(Taostats_CSV!$G$1,MATCH(K222&amp;H$1,Taostats_CSV!$X:$X,0)-1,0),"")</f>
        <v/>
      </c>
      <c r="I222" t="str">
        <f ca="1">IF(AND(LEN(K222)=0,LEN(F222)&gt;0),"Income",IF(AND(O222&gt;0,P222&gt;0,C222&lt;&gt;E222),"Trade",IF(AND(NOT(Q222),Taostats_CSV!F222="fee"),'READ ME'!$C$5,"")))</f>
        <v>Income</v>
      </c>
      <c r="J222" t="str">
        <f ca="1">SUBSTITUTE(IF(LEN(I222)=0,Taostats_CSV!F222&amp;" "&amp;Taostats_CSV!J222,IF(I222="Cost","Extrinsic fee","")),"_"," ")</f>
        <v/>
      </c>
      <c r="K222" t="str">
        <f>TRIM(IF(LEN(Taostats_CSV!I222)&gt;0,Taostats_CSV!I222,""))</f>
        <v/>
      </c>
      <c r="L222">
        <f ca="1">IF(Taostats_CSV!E222&lt;&gt;"TAO",IF(LEN(F222)&gt;0,F222,IF(LEN(D222)&gt;0,D222,0))*Taostats_CSV!P222,"")</f>
        <v>17.689742122959121</v>
      </c>
      <c r="M222" t="str">
        <f t="shared" ca="1" si="33"/>
        <v>USD</v>
      </c>
      <c r="N222">
        <f>COUNTIF(Taostats_CSV!$X:$X,Taostats_CSV!$I222&amp;N$1)</f>
        <v>0</v>
      </c>
      <c r="O222">
        <f>COUNTIF(Taostats_CSV!$X:$X,Taostats_CSV!$I222&amp;O$1)</f>
        <v>0</v>
      </c>
      <c r="P222">
        <f>COUNTIF(Taostats_CSV!$X:$X,Taostats_CSV!$I222&amp;P$1)</f>
        <v>0</v>
      </c>
      <c r="Q222" t="b">
        <f t="shared" si="34"/>
        <v>0</v>
      </c>
      <c r="R222" t="b">
        <f>IF(LEN(K222)&gt;0,COUNTIF($K$3:K222,K222),FALSE)</f>
        <v>0</v>
      </c>
      <c r="S222" t="b">
        <f>IF(Taostats_CSV!A222=Taostats_CSV!$A$2,TRUE,Taostats_CSV!G222+Taostats_CSV!H222+Taostats_CSV!R222=0)</f>
        <v>0</v>
      </c>
      <c r="T222" t="b">
        <f t="shared" si="35"/>
        <v>1</v>
      </c>
      <c r="U222" t="b" cm="1">
        <f t="array" aca="1" ref="U222" ca="1">AND(T222,OR(O222-N222&gt;1,P222&gt;1,ISERROR(A222:P222)))</f>
        <v>0</v>
      </c>
      <c r="W222" t="e">
        <f>MATCH(K222&amp;$W$2,Taostats_CSV!$X$3:$X$1167,0)</f>
        <v>#N/A</v>
      </c>
      <c r="X222" t="e">
        <f t="shared" ca="1" si="30"/>
        <v>#VALUE!</v>
      </c>
      <c r="Y222">
        <f t="shared" ca="1" si="31"/>
        <v>0.148259157</v>
      </c>
      <c r="Z222" t="e">
        <f t="shared" ca="1" si="32"/>
        <v>#VALUE!</v>
      </c>
    </row>
    <row r="223" spans="1:26" hidden="1" x14ac:dyDescent="0.4">
      <c r="A223" t="str">
        <f>MID(Taostats_CSV!C223,6,2)&amp;"/"&amp;MID(Taostats_CSV!C223,9,2)&amp;"/"&amp;LEFT(Taostats_CSV!C223,4)&amp;" "&amp;MID(Taostats_CSV!C223,12,8)</f>
        <v>04/25/2025 23:59:48</v>
      </c>
      <c r="C223" t="str">
        <f ca="1">IF(Q223,OFFSET(Taostats_CSV!$E$1,MATCH(K223&amp;D$1,Taostats_CSV!$X:$X,0)-1,0),IF(Taostats_CSV!F223="fee","",IF(VALUE(Taostats_CSV!G223)&gt;0,Taostats_CSV!E223,"")))</f>
        <v/>
      </c>
      <c r="D223" t="str">
        <f ca="1">IF(Q223,OFFSET(Taostats_CSV!$G$1,MATCH(K223&amp;D$1,Taostats_CSV!$X:$X,0)-1,0),IF(Taostats_CSV!F223="fee","",IF(VALUE(Taostats_CSV!G223)&gt;0,Taostats_CSV!G223,"")))</f>
        <v/>
      </c>
      <c r="E223" t="str">
        <f ca="1">IF(AND(Q223,P223&gt;0),OFFSET(Taostats_CSV!$E$1,MATCH(K223&amp;F$1,Taostats_CSV!$X:$X,0)-1,0),IF(LEN(F223)&gt;0,Taostats_CSV!E223,""))</f>
        <v>TAO</v>
      </c>
      <c r="F223" t="str">
        <f ca="1">TRIM(IF(AND(Q223,P223&gt;0),OFFSET(Taostats_CSV!$H$1,MATCH(K223&amp;F$1,Taostats_CSV!$X:$X,0)-1,0),IF(LEN(Taostats_CSV!H223)&gt;0,Taostats_CSV!H223,Taostats_CSV!R223)))</f>
        <v>0</v>
      </c>
      <c r="G223" t="str">
        <f ca="1">IF(AND(Q223,N223=1),OFFSET(Taostats_CSV!$E$1,MATCH(K223&amp;H$1,Taostats_CSV!$X:$X,0)-1,0),IF(Taostats_CSV!F223="fee",Taostats_CSV!E223,""))</f>
        <v/>
      </c>
      <c r="H223" t="str">
        <f ca="1">IF(AND(Q223,N223=1),OFFSET(Taostats_CSV!$G$1,MATCH(K223&amp;H$1,Taostats_CSV!$X:$X,0)-1,0),IF(Taostats_CSV!F223="fee",Taostats_CSV!G223,""))</f>
        <v/>
      </c>
      <c r="I223" t="str">
        <f ca="1">IF(AND(LEN(K223)=0,LEN(F223)&gt;0),"Income",IF(AND(O223&gt;0,P223&gt;0,C223&lt;&gt;E223),"Trade",IF(AND(NOT(Q223),Taostats_CSV!F223="fee"),'READ ME'!$C$5,"")))</f>
        <v>Income</v>
      </c>
      <c r="J223" t="str">
        <f ca="1">SUBSTITUTE(IF(LEN(I223)=0,Taostats_CSV!F223&amp;" "&amp;Taostats_CSV!J223,IF(I223="Cost","Extrinsic fee","")),"_"," ")</f>
        <v/>
      </c>
      <c r="K223" t="str">
        <f>TRIM(IF(LEN(Taostats_CSV!I223)&gt;0,Taostats_CSV!I223,""))</f>
        <v/>
      </c>
      <c r="L223" t="str">
        <f>IF(Taostats_CSV!E223&lt;&gt;"TAO",IF(LEN(F223)&gt;0,F223,IF(LEN(D223)&gt;0,D223,0))*Taostats_CSV!P223,"")</f>
        <v/>
      </c>
      <c r="M223" t="str">
        <f t="shared" si="33"/>
        <v/>
      </c>
      <c r="N223">
        <f>COUNTIF(Taostats_CSV!$X:$X,Taostats_CSV!$I223&amp;N$1)</f>
        <v>0</v>
      </c>
      <c r="O223">
        <f>COUNTIF(Taostats_CSV!$X:$X,Taostats_CSV!$I223&amp;O$1)</f>
        <v>0</v>
      </c>
      <c r="P223">
        <f>COUNTIF(Taostats_CSV!$X:$X,Taostats_CSV!$I223&amp;P$1)</f>
        <v>0</v>
      </c>
      <c r="Q223" t="b">
        <f t="shared" si="34"/>
        <v>0</v>
      </c>
      <c r="R223" t="b">
        <f>IF(LEN(K223)&gt;0,COUNTIF($K$3:K223,K223),FALSE)</f>
        <v>0</v>
      </c>
      <c r="S223" t="b">
        <f>IF(Taostats_CSV!A223=Taostats_CSV!$A$2,TRUE,Taostats_CSV!G223+Taostats_CSV!H223+Taostats_CSV!R223=0)</f>
        <v>1</v>
      </c>
      <c r="T223" t="b">
        <f t="shared" si="35"/>
        <v>0</v>
      </c>
      <c r="U223" t="b" cm="1">
        <f t="array" aca="1" ref="U223" ca="1">AND(T223,OR(O223-N223&gt;1,P223&gt;1,ISERROR(A223:P223)))</f>
        <v>0</v>
      </c>
      <c r="W223" t="e">
        <f>MATCH(K223&amp;$W$2,Taostats_CSV!$X$3:$X$1167,0)</f>
        <v>#N/A</v>
      </c>
      <c r="X223" t="e">
        <f t="shared" ca="1" si="30"/>
        <v>#VALUE!</v>
      </c>
      <c r="Y223">
        <f t="shared" ca="1" si="31"/>
        <v>0</v>
      </c>
      <c r="Z223" t="e">
        <f t="shared" ca="1" si="32"/>
        <v>#VALUE!</v>
      </c>
    </row>
    <row r="224" spans="1:26" x14ac:dyDescent="0.4">
      <c r="A224" t="str">
        <f>MID(Taostats_CSV!C224,6,2)&amp;"/"&amp;MID(Taostats_CSV!C224,9,2)&amp;"/"&amp;LEFT(Taostats_CSV!C224,4)&amp;" "&amp;MID(Taostats_CSV!C224,12,8)</f>
        <v>04/26/2025 23:59:48</v>
      </c>
      <c r="C224" t="str">
        <f ca="1">IF(Q224,OFFSET(Taostats_CSV!$E$1,MATCH(K224&amp;D$1,Taostats_CSV!$X:$X,0)-1,0),IF(Taostats_CSV!F224="fee",IF(VALUE(Taostats_CSV!G224)&gt;0,Taostats_CSV!E224,""),""))</f>
        <v/>
      </c>
      <c r="D224" t="str">
        <f ca="1">IF(Q224,OFFSET(Taostats_CSV!$G$1,MATCH(K224&amp;D$1,Taostats_CSV!$X:$X,0)-1,0),IF(Taostats_CSV!F224="fee",IF(VALUE(Taostats_CSV!G224)&gt;0,Taostats_CSV!G224,""),""))</f>
        <v/>
      </c>
      <c r="E224" t="str">
        <f ca="1">IF(AND(Q224,P224&gt;0),OFFSET(Taostats_CSV!$E$1,MATCH(K224&amp;F$1,Taostats_CSV!$X:$X,0)-1,0),IF(LEN(F224)&gt;0,Taostats_CSV!E224,""))</f>
        <v>SN3</v>
      </c>
      <c r="F224" t="str">
        <f ca="1">TRIM(IF(AND(Q224,P224&gt;0),OFFSET(Taostats_CSV!$H$1,MATCH(K224&amp;F$1,Taostats_CSV!$X:$X,0)-1,0),IF(LEN(Taostats_CSV!H224)&gt;0,Taostats_CSV!H224,Taostats_CSV!R224)))</f>
        <v>0.434008015</v>
      </c>
      <c r="G224" t="str">
        <f ca="1">IF(AND(Q224,N224=1),OFFSET(Taostats_CSV!$E$1,MATCH(K224&amp;H$1,Taostats_CSV!$X:$X,0)-1,0),"")</f>
        <v/>
      </c>
      <c r="H224" t="str">
        <f ca="1">IF(AND(Q224,N224=1),OFFSET(Taostats_CSV!$G$1,MATCH(K224&amp;H$1,Taostats_CSV!$X:$X,0)-1,0),"")</f>
        <v/>
      </c>
      <c r="I224" t="str">
        <f ca="1">IF(AND(LEN(K224)=0,LEN(F224)&gt;0),"Income",IF(AND(O224&gt;0,P224&gt;0,C224&lt;&gt;E224),"Trade",IF(AND(NOT(Q224),Taostats_CSV!F224="fee"),'READ ME'!$C$5,"")))</f>
        <v>Income</v>
      </c>
      <c r="J224" t="str">
        <f ca="1">SUBSTITUTE(IF(LEN(I224)=0,Taostats_CSV!F224&amp;" "&amp;Taostats_CSV!J224,IF(I224="Cost","Extrinsic fee","")),"_"," ")</f>
        <v/>
      </c>
      <c r="K224" t="str">
        <f>TRIM(IF(LEN(Taostats_CSV!I224)&gt;0,Taostats_CSV!I224,""))</f>
        <v/>
      </c>
      <c r="L224">
        <f ca="1">IF(Taostats_CSV!E224&lt;&gt;"TAO",IF(LEN(F224)&gt;0,F224,IF(LEN(D224)&gt;0,D224,0))*Taostats_CSV!P224,"")</f>
        <v>15.749300051802605</v>
      </c>
      <c r="M224" t="str">
        <f t="shared" ca="1" si="33"/>
        <v>USD</v>
      </c>
      <c r="N224">
        <f>COUNTIF(Taostats_CSV!$X:$X,Taostats_CSV!$I224&amp;N$1)</f>
        <v>0</v>
      </c>
      <c r="O224">
        <f>COUNTIF(Taostats_CSV!$X:$X,Taostats_CSV!$I224&amp;O$1)</f>
        <v>0</v>
      </c>
      <c r="P224">
        <f>COUNTIF(Taostats_CSV!$X:$X,Taostats_CSV!$I224&amp;P$1)</f>
        <v>0</v>
      </c>
      <c r="Q224" t="b">
        <f t="shared" si="34"/>
        <v>0</v>
      </c>
      <c r="R224" t="b">
        <f>IF(LEN(K224)&gt;0,COUNTIF($K$3:K224,K224),FALSE)</f>
        <v>0</v>
      </c>
      <c r="S224" t="b">
        <f>IF(Taostats_CSV!A224=Taostats_CSV!$A$2,TRUE,Taostats_CSV!G224+Taostats_CSV!H224+Taostats_CSV!R224=0)</f>
        <v>0</v>
      </c>
      <c r="T224" t="b">
        <f t="shared" si="35"/>
        <v>1</v>
      </c>
      <c r="U224" t="b" cm="1">
        <f t="array" aca="1" ref="U224" ca="1">AND(T224,OR(O224-N224&gt;1,P224&gt;1,ISERROR(A224:P224)))</f>
        <v>0</v>
      </c>
      <c r="W224" t="e">
        <f>MATCH(K224&amp;$W$2,Taostats_CSV!$X$3:$X$1167,0)</f>
        <v>#N/A</v>
      </c>
      <c r="X224" t="e">
        <f t="shared" ca="1" si="30"/>
        <v>#VALUE!</v>
      </c>
      <c r="Y224">
        <f t="shared" ca="1" si="31"/>
        <v>0.43400801500000002</v>
      </c>
      <c r="Z224" t="e">
        <f t="shared" ca="1" si="32"/>
        <v>#VALUE!</v>
      </c>
    </row>
    <row r="225" spans="1:26" x14ac:dyDescent="0.4">
      <c r="A225" t="str">
        <f>MID(Taostats_CSV!C225,6,2)&amp;"/"&amp;MID(Taostats_CSV!C225,9,2)&amp;"/"&amp;LEFT(Taostats_CSV!C225,4)&amp;" "&amp;MID(Taostats_CSV!C225,12,8)</f>
        <v>04/26/2025 23:59:48</v>
      </c>
      <c r="C225" t="str">
        <f ca="1">IF(Q225,OFFSET(Taostats_CSV!$E$1,MATCH(K225&amp;D$1,Taostats_CSV!$X:$X,0)-1,0),IF(Taostats_CSV!F225="fee",IF(VALUE(Taostats_CSV!G225)&gt;0,Taostats_CSV!E225,""),""))</f>
        <v/>
      </c>
      <c r="D225" t="str">
        <f ca="1">IF(Q225,OFFSET(Taostats_CSV!$G$1,MATCH(K225&amp;D$1,Taostats_CSV!$X:$X,0)-1,0),IF(Taostats_CSV!F225="fee",IF(VALUE(Taostats_CSV!G225)&gt;0,Taostats_CSV!G225,""),""))</f>
        <v/>
      </c>
      <c r="E225" t="str">
        <f ca="1">IF(AND(Q225,P225&gt;0),OFFSET(Taostats_CSV!$E$1,MATCH(K225&amp;F$1,Taostats_CSV!$X:$X,0)-1,0),IF(LEN(F225)&gt;0,Taostats_CSV!E225,""))</f>
        <v>SN4</v>
      </c>
      <c r="F225" t="str">
        <f ca="1">TRIM(IF(AND(Q225,P225&gt;0),OFFSET(Taostats_CSV!$H$1,MATCH(K225&amp;F$1,Taostats_CSV!$X:$X,0)-1,0),IF(LEN(Taostats_CSV!H225)&gt;0,Taostats_CSV!H225,Taostats_CSV!R225)))</f>
        <v>0.372007498</v>
      </c>
      <c r="G225" t="str">
        <f ca="1">IF(AND(Q225,N225=1),OFFSET(Taostats_CSV!$E$1,MATCH(K225&amp;H$1,Taostats_CSV!$X:$X,0)-1,0),"")</f>
        <v/>
      </c>
      <c r="H225" t="str">
        <f ca="1">IF(AND(Q225,N225=1),OFFSET(Taostats_CSV!$G$1,MATCH(K225&amp;H$1,Taostats_CSV!$X:$X,0)-1,0),"")</f>
        <v/>
      </c>
      <c r="I225" t="str">
        <f ca="1">IF(AND(LEN(K225)=0,LEN(F225)&gt;0),"Income",IF(AND(O225&gt;0,P225&gt;0,C225&lt;&gt;E225),"Trade",IF(AND(NOT(Q225),Taostats_CSV!F225="fee"),'READ ME'!$C$5,"")))</f>
        <v>Income</v>
      </c>
      <c r="J225" t="str">
        <f ca="1">SUBSTITUTE(IF(LEN(I225)=0,Taostats_CSV!F225&amp;" "&amp;Taostats_CSV!J225,IF(I225="Cost","Extrinsic fee","")),"_"," ")</f>
        <v/>
      </c>
      <c r="K225" t="str">
        <f>TRIM(IF(LEN(Taostats_CSV!I225)&gt;0,Taostats_CSV!I225,""))</f>
        <v/>
      </c>
      <c r="L225">
        <f ca="1">IF(Taostats_CSV!E225&lt;&gt;"TAO",IF(LEN(F225)&gt;0,F225,IF(LEN(D225)&gt;0,D225,0))*Taostats_CSV!P225,"")</f>
        <v>19.217797030057785</v>
      </c>
      <c r="M225" t="str">
        <f t="shared" ca="1" si="33"/>
        <v>USD</v>
      </c>
      <c r="N225">
        <f>COUNTIF(Taostats_CSV!$X:$X,Taostats_CSV!$I225&amp;N$1)</f>
        <v>0</v>
      </c>
      <c r="O225">
        <f>COUNTIF(Taostats_CSV!$X:$X,Taostats_CSV!$I225&amp;O$1)</f>
        <v>0</v>
      </c>
      <c r="P225">
        <f>COUNTIF(Taostats_CSV!$X:$X,Taostats_CSV!$I225&amp;P$1)</f>
        <v>0</v>
      </c>
      <c r="Q225" t="b">
        <f t="shared" si="34"/>
        <v>0</v>
      </c>
      <c r="R225" t="b">
        <f>IF(LEN(K225)&gt;0,COUNTIF($K$3:K225,K225),FALSE)</f>
        <v>0</v>
      </c>
      <c r="S225" t="b">
        <f>IF(Taostats_CSV!A225=Taostats_CSV!$A$2,TRUE,Taostats_CSV!G225+Taostats_CSV!H225+Taostats_CSV!R225=0)</f>
        <v>0</v>
      </c>
      <c r="T225" t="b">
        <f t="shared" si="35"/>
        <v>1</v>
      </c>
      <c r="U225" t="b" cm="1">
        <f t="array" aca="1" ref="U225" ca="1">AND(T225,OR(O225-N225&gt;1,P225&gt;1,ISERROR(A225:P225)))</f>
        <v>0</v>
      </c>
      <c r="W225" t="e">
        <f>MATCH(K225&amp;$W$2,Taostats_CSV!$X$3:$X$1167,0)</f>
        <v>#N/A</v>
      </c>
      <c r="X225" t="e">
        <f t="shared" ca="1" si="30"/>
        <v>#VALUE!</v>
      </c>
      <c r="Y225">
        <f t="shared" ca="1" si="31"/>
        <v>0.37200749799999999</v>
      </c>
      <c r="Z225" t="e">
        <f t="shared" ca="1" si="32"/>
        <v>#VALUE!</v>
      </c>
    </row>
    <row r="226" spans="1:26" x14ac:dyDescent="0.4">
      <c r="A226" t="str">
        <f>MID(Taostats_CSV!C226,6,2)&amp;"/"&amp;MID(Taostats_CSV!C226,9,2)&amp;"/"&amp;LEFT(Taostats_CSV!C226,4)&amp;" "&amp;MID(Taostats_CSV!C226,12,8)</f>
        <v>04/26/2025 23:59:48</v>
      </c>
      <c r="C226" t="str">
        <f ca="1">IF(Q226,OFFSET(Taostats_CSV!$E$1,MATCH(K226&amp;D$1,Taostats_CSV!$X:$X,0)-1,0),IF(Taostats_CSV!F226="fee",IF(VALUE(Taostats_CSV!G226)&gt;0,Taostats_CSV!E226,""),""))</f>
        <v/>
      </c>
      <c r="D226" t="str">
        <f ca="1">IF(Q226,OFFSET(Taostats_CSV!$G$1,MATCH(K226&amp;D$1,Taostats_CSV!$X:$X,0)-1,0),IF(Taostats_CSV!F226="fee",IF(VALUE(Taostats_CSV!G226)&gt;0,Taostats_CSV!G226,""),""))</f>
        <v/>
      </c>
      <c r="E226" t="str">
        <f ca="1">IF(AND(Q226,P226&gt;0),OFFSET(Taostats_CSV!$E$1,MATCH(K226&amp;F$1,Taostats_CSV!$X:$X,0)-1,0),IF(LEN(F226)&gt;0,Taostats_CSV!E226,""))</f>
        <v>SN56</v>
      </c>
      <c r="F226" t="str">
        <f ca="1">TRIM(IF(AND(Q226,P226&gt;0),OFFSET(Taostats_CSV!$H$1,MATCH(K226&amp;F$1,Taostats_CSV!$X:$X,0)-1,0),IF(LEN(Taostats_CSV!H226)&gt;0,Taostats_CSV!H226,Taostats_CSV!R226)))</f>
        <v>0.24801434</v>
      </c>
      <c r="G226" t="str">
        <f ca="1">IF(AND(Q226,N226=1),OFFSET(Taostats_CSV!$E$1,MATCH(K226&amp;H$1,Taostats_CSV!$X:$X,0)-1,0),"")</f>
        <v/>
      </c>
      <c r="H226" t="str">
        <f ca="1">IF(AND(Q226,N226=1),OFFSET(Taostats_CSV!$G$1,MATCH(K226&amp;H$1,Taostats_CSV!$X:$X,0)-1,0),"")</f>
        <v/>
      </c>
      <c r="I226" t="str">
        <f ca="1">IF(AND(LEN(K226)=0,LEN(F226)&gt;0),"Income",IF(AND(O226&gt;0,P226&gt;0,C226&lt;&gt;E226),"Trade",IF(AND(NOT(Q226),Taostats_CSV!F226="fee"),'READ ME'!$C$5,"")))</f>
        <v>Income</v>
      </c>
      <c r="J226" t="str">
        <f ca="1">SUBSTITUTE(IF(LEN(I226)=0,Taostats_CSV!F226&amp;" "&amp;Taostats_CSV!J226,IF(I226="Cost","Extrinsic fee","")),"_"," ")</f>
        <v/>
      </c>
      <c r="K226" t="str">
        <f>TRIM(IF(LEN(Taostats_CSV!I226)&gt;0,Taostats_CSV!I226,""))</f>
        <v/>
      </c>
      <c r="L226">
        <f ca="1">IF(Taostats_CSV!E226&lt;&gt;"TAO",IF(LEN(F226)&gt;0,F226,IF(LEN(D226)&gt;0,D226,0))*Taostats_CSV!P226,"")</f>
        <v>13.174143053251068</v>
      </c>
      <c r="M226" t="str">
        <f t="shared" ca="1" si="33"/>
        <v>USD</v>
      </c>
      <c r="N226">
        <f>COUNTIF(Taostats_CSV!$X:$X,Taostats_CSV!$I226&amp;N$1)</f>
        <v>0</v>
      </c>
      <c r="O226">
        <f>COUNTIF(Taostats_CSV!$X:$X,Taostats_CSV!$I226&amp;O$1)</f>
        <v>0</v>
      </c>
      <c r="P226">
        <f>COUNTIF(Taostats_CSV!$X:$X,Taostats_CSV!$I226&amp;P$1)</f>
        <v>0</v>
      </c>
      <c r="Q226" t="b">
        <f t="shared" si="34"/>
        <v>0</v>
      </c>
      <c r="R226" t="b">
        <f>IF(LEN(K226)&gt;0,COUNTIF($K$3:K226,K226),FALSE)</f>
        <v>0</v>
      </c>
      <c r="S226" t="b">
        <f>IF(Taostats_CSV!A226=Taostats_CSV!$A$2,TRUE,Taostats_CSV!G226+Taostats_CSV!H226+Taostats_CSV!R226=0)</f>
        <v>0</v>
      </c>
      <c r="T226" t="b">
        <f t="shared" si="35"/>
        <v>1</v>
      </c>
      <c r="U226" t="b" cm="1">
        <f t="array" aca="1" ref="U226" ca="1">AND(T226,OR(O226-N226&gt;1,P226&gt;1,ISERROR(A226:P226)))</f>
        <v>0</v>
      </c>
      <c r="W226" t="e">
        <f>MATCH(K226&amp;$W$2,Taostats_CSV!$X$3:$X$1167,0)</f>
        <v>#N/A</v>
      </c>
      <c r="X226" t="e">
        <f t="shared" ca="1" si="30"/>
        <v>#VALUE!</v>
      </c>
      <c r="Y226">
        <f t="shared" ca="1" si="31"/>
        <v>0.24801434</v>
      </c>
      <c r="Z226" t="e">
        <f t="shared" ca="1" si="32"/>
        <v>#VALUE!</v>
      </c>
    </row>
    <row r="227" spans="1:26" x14ac:dyDescent="0.4">
      <c r="A227" t="str">
        <f>MID(Taostats_CSV!C227,6,2)&amp;"/"&amp;MID(Taostats_CSV!C227,9,2)&amp;"/"&amp;LEFT(Taostats_CSV!C227,4)&amp;" "&amp;MID(Taostats_CSV!C227,12,8)</f>
        <v>04/26/2025 23:59:48</v>
      </c>
      <c r="C227" t="str">
        <f ca="1">IF(Q227,OFFSET(Taostats_CSV!$E$1,MATCH(K227&amp;D$1,Taostats_CSV!$X:$X,0)-1,0),IF(Taostats_CSV!F227="fee",IF(VALUE(Taostats_CSV!G227)&gt;0,Taostats_CSV!E227,""),""))</f>
        <v/>
      </c>
      <c r="D227" t="str">
        <f ca="1">IF(Q227,OFFSET(Taostats_CSV!$G$1,MATCH(K227&amp;D$1,Taostats_CSV!$X:$X,0)-1,0),IF(Taostats_CSV!F227="fee",IF(VALUE(Taostats_CSV!G227)&gt;0,Taostats_CSV!G227,""),""))</f>
        <v/>
      </c>
      <c r="E227" t="str">
        <f ca="1">IF(AND(Q227,P227&gt;0),OFFSET(Taostats_CSV!$E$1,MATCH(K227&amp;F$1,Taostats_CSV!$X:$X,0)-1,0),IF(LEN(F227)&gt;0,Taostats_CSV!E227,""))</f>
        <v>SN64</v>
      </c>
      <c r="F227" t="str">
        <f ca="1">TRIM(IF(AND(Q227,P227&gt;0),OFFSET(Taostats_CSV!$H$1,MATCH(K227&amp;F$1,Taostats_CSV!$X:$X,0)-1,0),IF(LEN(Taostats_CSV!H227)&gt;0,Taostats_CSV!H227,Taostats_CSV!R227)))</f>
        <v>0.144927944</v>
      </c>
      <c r="G227" t="str">
        <f ca="1">IF(AND(Q227,N227=1),OFFSET(Taostats_CSV!$E$1,MATCH(K227&amp;H$1,Taostats_CSV!$X:$X,0)-1,0),"")</f>
        <v/>
      </c>
      <c r="H227" t="str">
        <f ca="1">IF(AND(Q227,N227=1),OFFSET(Taostats_CSV!$G$1,MATCH(K227&amp;H$1,Taostats_CSV!$X:$X,0)-1,0),"")</f>
        <v/>
      </c>
      <c r="I227" t="str">
        <f ca="1">IF(AND(LEN(K227)=0,LEN(F227)&gt;0),"Income",IF(AND(O227&gt;0,P227&gt;0,C227&lt;&gt;E227),"Trade",IF(AND(NOT(Q227),Taostats_CSV!F227="fee"),'READ ME'!$C$5,"")))</f>
        <v>Income</v>
      </c>
      <c r="J227" t="str">
        <f ca="1">SUBSTITUTE(IF(LEN(I227)=0,Taostats_CSV!F227&amp;" "&amp;Taostats_CSV!J227,IF(I227="Cost","Extrinsic fee","")),"_"," ")</f>
        <v/>
      </c>
      <c r="K227" t="str">
        <f>TRIM(IF(LEN(Taostats_CSV!I227)&gt;0,Taostats_CSV!I227,""))</f>
        <v/>
      </c>
      <c r="L227">
        <f ca="1">IF(Taostats_CSV!E227&lt;&gt;"TAO",IF(LEN(F227)&gt;0,F227,IF(LEN(D227)&gt;0,D227,0))*Taostats_CSV!P227,"")</f>
        <v>16.290783956901212</v>
      </c>
      <c r="M227" t="str">
        <f t="shared" ca="1" si="33"/>
        <v>USD</v>
      </c>
      <c r="N227">
        <f>COUNTIF(Taostats_CSV!$X:$X,Taostats_CSV!$I227&amp;N$1)</f>
        <v>0</v>
      </c>
      <c r="O227">
        <f>COUNTIF(Taostats_CSV!$X:$X,Taostats_CSV!$I227&amp;O$1)</f>
        <v>0</v>
      </c>
      <c r="P227">
        <f>COUNTIF(Taostats_CSV!$X:$X,Taostats_CSV!$I227&amp;P$1)</f>
        <v>0</v>
      </c>
      <c r="Q227" t="b">
        <f t="shared" si="34"/>
        <v>0</v>
      </c>
      <c r="R227" t="b">
        <f>IF(LEN(K227)&gt;0,COUNTIF($K$3:K227,K227),FALSE)</f>
        <v>0</v>
      </c>
      <c r="S227" t="b">
        <f>IF(Taostats_CSV!A227=Taostats_CSV!$A$2,TRUE,Taostats_CSV!G227+Taostats_CSV!H227+Taostats_CSV!R227=0)</f>
        <v>0</v>
      </c>
      <c r="T227" t="b">
        <f t="shared" si="35"/>
        <v>1</v>
      </c>
      <c r="U227" t="b" cm="1">
        <f t="array" aca="1" ref="U227" ca="1">AND(T227,OR(O227-N227&gt;1,P227&gt;1,ISERROR(A227:P227)))</f>
        <v>0</v>
      </c>
      <c r="W227" t="e">
        <f>MATCH(K227&amp;$W$2,Taostats_CSV!$X$3:$X$1167,0)</f>
        <v>#N/A</v>
      </c>
      <c r="X227" t="e">
        <f t="shared" ca="1" si="30"/>
        <v>#VALUE!</v>
      </c>
      <c r="Y227">
        <f t="shared" ca="1" si="31"/>
        <v>0.144927944</v>
      </c>
      <c r="Z227" t="e">
        <f t="shared" ca="1" si="32"/>
        <v>#VALUE!</v>
      </c>
    </row>
    <row r="228" spans="1:26" hidden="1" x14ac:dyDescent="0.4">
      <c r="A228" t="str">
        <f>MID(Taostats_CSV!C228,6,2)&amp;"/"&amp;MID(Taostats_CSV!C228,9,2)&amp;"/"&amp;LEFT(Taostats_CSV!C228,4)&amp;" "&amp;MID(Taostats_CSV!C228,12,8)</f>
        <v>04/26/2025 23:59:48</v>
      </c>
      <c r="C228" t="str">
        <f ca="1">IF(Q228,OFFSET(Taostats_CSV!$E$1,MATCH(K228&amp;D$1,Taostats_CSV!$X:$X,0)-1,0),IF(Taostats_CSV!F228="fee","",IF(VALUE(Taostats_CSV!G228)&gt;0,Taostats_CSV!E228,"")))</f>
        <v/>
      </c>
      <c r="D228" t="str">
        <f ca="1">IF(Q228,OFFSET(Taostats_CSV!$G$1,MATCH(K228&amp;D$1,Taostats_CSV!$X:$X,0)-1,0),IF(Taostats_CSV!F228="fee","",IF(VALUE(Taostats_CSV!G228)&gt;0,Taostats_CSV!G228,"")))</f>
        <v/>
      </c>
      <c r="E228" t="str">
        <f ca="1">IF(AND(Q228,P228&gt;0),OFFSET(Taostats_CSV!$E$1,MATCH(K228&amp;F$1,Taostats_CSV!$X:$X,0)-1,0),IF(LEN(F228)&gt;0,Taostats_CSV!E228,""))</f>
        <v>TAO</v>
      </c>
      <c r="F228" t="str">
        <f ca="1">TRIM(IF(AND(Q228,P228&gt;0),OFFSET(Taostats_CSV!$H$1,MATCH(K228&amp;F$1,Taostats_CSV!$X:$X,0)-1,0),IF(LEN(Taostats_CSV!H228)&gt;0,Taostats_CSV!H228,Taostats_CSV!R228)))</f>
        <v>0</v>
      </c>
      <c r="G228" t="str">
        <f ca="1">IF(AND(Q228,N228=1),OFFSET(Taostats_CSV!$E$1,MATCH(K228&amp;H$1,Taostats_CSV!$X:$X,0)-1,0),IF(Taostats_CSV!F228="fee",Taostats_CSV!E228,""))</f>
        <v/>
      </c>
      <c r="H228" t="str">
        <f ca="1">IF(AND(Q228,N228=1),OFFSET(Taostats_CSV!$G$1,MATCH(K228&amp;H$1,Taostats_CSV!$X:$X,0)-1,0),IF(Taostats_CSV!F228="fee",Taostats_CSV!G228,""))</f>
        <v/>
      </c>
      <c r="I228" t="str">
        <f ca="1">IF(AND(LEN(K228)=0,LEN(F228)&gt;0),"Income",IF(AND(O228&gt;0,P228&gt;0,C228&lt;&gt;E228),"Trade",IF(AND(NOT(Q228),Taostats_CSV!F228="fee"),'READ ME'!$C$5,"")))</f>
        <v>Income</v>
      </c>
      <c r="J228" t="str">
        <f ca="1">SUBSTITUTE(IF(LEN(I228)=0,Taostats_CSV!F228&amp;" "&amp;Taostats_CSV!J228,IF(I228="Cost","Extrinsic fee","")),"_"," ")</f>
        <v/>
      </c>
      <c r="K228" t="str">
        <f>TRIM(IF(LEN(Taostats_CSV!I228)&gt;0,Taostats_CSV!I228,""))</f>
        <v/>
      </c>
      <c r="L228" t="str">
        <f>IF(Taostats_CSV!E228&lt;&gt;"TAO",IF(LEN(F228)&gt;0,F228,IF(LEN(D228)&gt;0,D228,0))*Taostats_CSV!P228,"")</f>
        <v/>
      </c>
      <c r="M228" t="str">
        <f t="shared" si="33"/>
        <v/>
      </c>
      <c r="N228">
        <f>COUNTIF(Taostats_CSV!$X:$X,Taostats_CSV!$I228&amp;N$1)</f>
        <v>0</v>
      </c>
      <c r="O228">
        <f>COUNTIF(Taostats_CSV!$X:$X,Taostats_CSV!$I228&amp;O$1)</f>
        <v>0</v>
      </c>
      <c r="P228">
        <f>COUNTIF(Taostats_CSV!$X:$X,Taostats_CSV!$I228&amp;P$1)</f>
        <v>0</v>
      </c>
      <c r="Q228" t="b">
        <f t="shared" si="34"/>
        <v>0</v>
      </c>
      <c r="R228" t="b">
        <f>IF(LEN(K228)&gt;0,COUNTIF($K$3:K228,K228),FALSE)</f>
        <v>0</v>
      </c>
      <c r="S228" t="b">
        <f>IF(Taostats_CSV!A228=Taostats_CSV!$A$2,TRUE,Taostats_CSV!G228+Taostats_CSV!H228+Taostats_CSV!R228=0)</f>
        <v>1</v>
      </c>
      <c r="T228" t="b">
        <f t="shared" si="35"/>
        <v>0</v>
      </c>
      <c r="U228" t="b" cm="1">
        <f t="array" aca="1" ref="U228" ca="1">AND(T228,OR(O228-N228&gt;1,P228&gt;1,ISERROR(A228:P228)))</f>
        <v>0</v>
      </c>
      <c r="W228" t="e">
        <f>MATCH(K228&amp;$W$2,Taostats_CSV!$X$3:$X$1167,0)</f>
        <v>#N/A</v>
      </c>
      <c r="X228" t="e">
        <f t="shared" ca="1" si="30"/>
        <v>#VALUE!</v>
      </c>
      <c r="Y228">
        <f t="shared" ca="1" si="31"/>
        <v>0</v>
      </c>
      <c r="Z228" t="e">
        <f t="shared" ca="1" si="32"/>
        <v>#VALUE!</v>
      </c>
    </row>
    <row r="229" spans="1:26" x14ac:dyDescent="0.4">
      <c r="A229" t="str">
        <f>MID(Taostats_CSV!C229,6,2)&amp;"/"&amp;MID(Taostats_CSV!C229,9,2)&amp;"/"&amp;LEFT(Taostats_CSV!C229,4)&amp;" "&amp;MID(Taostats_CSV!C229,12,8)</f>
        <v>04/27/2025 23:59:48</v>
      </c>
      <c r="C229" t="str">
        <f ca="1">IF(Q229,OFFSET(Taostats_CSV!$E$1,MATCH(K229&amp;D$1,Taostats_CSV!$X:$X,0)-1,0),IF(Taostats_CSV!F229="fee",IF(VALUE(Taostats_CSV!G229)&gt;0,Taostats_CSV!E229,""),""))</f>
        <v/>
      </c>
      <c r="D229" t="str">
        <f ca="1">IF(Q229,OFFSET(Taostats_CSV!$G$1,MATCH(K229&amp;D$1,Taostats_CSV!$X:$X,0)-1,0),IF(Taostats_CSV!F229="fee",IF(VALUE(Taostats_CSV!G229)&gt;0,Taostats_CSV!G229,""),""))</f>
        <v/>
      </c>
      <c r="E229" t="str">
        <f ca="1">IF(AND(Q229,P229&gt;0),OFFSET(Taostats_CSV!$E$1,MATCH(K229&amp;F$1,Taostats_CSV!$X:$X,0)-1,0),IF(LEN(F229)&gt;0,Taostats_CSV!E229,""))</f>
        <v>SN3</v>
      </c>
      <c r="F229" t="str">
        <f ca="1">TRIM(IF(AND(Q229,P229&gt;0),OFFSET(Taostats_CSV!$H$1,MATCH(K229&amp;F$1,Taostats_CSV!$X:$X,0)-1,0),IF(LEN(Taostats_CSV!H229)&gt;0,Taostats_CSV!H229,Taostats_CSV!R229)))</f>
        <v>0.423900914</v>
      </c>
      <c r="G229" t="str">
        <f ca="1">IF(AND(Q229,N229=1),OFFSET(Taostats_CSV!$E$1,MATCH(K229&amp;H$1,Taostats_CSV!$X:$X,0)-1,0),"")</f>
        <v/>
      </c>
      <c r="H229" t="str">
        <f ca="1">IF(AND(Q229,N229=1),OFFSET(Taostats_CSV!$G$1,MATCH(K229&amp;H$1,Taostats_CSV!$X:$X,0)-1,0),"")</f>
        <v/>
      </c>
      <c r="I229" t="str">
        <f ca="1">IF(AND(LEN(K229)=0,LEN(F229)&gt;0),"Income",IF(AND(O229&gt;0,P229&gt;0,C229&lt;&gt;E229),"Trade",IF(AND(NOT(Q229),Taostats_CSV!F229="fee"),'READ ME'!$C$5,"")))</f>
        <v>Income</v>
      </c>
      <c r="J229" t="str">
        <f ca="1">SUBSTITUTE(IF(LEN(I229)=0,Taostats_CSV!F229&amp;" "&amp;Taostats_CSV!J229,IF(I229="Cost","Extrinsic fee","")),"_"," ")</f>
        <v/>
      </c>
      <c r="K229" t="str">
        <f>TRIM(IF(LEN(Taostats_CSV!I229)&gt;0,Taostats_CSV!I229,""))</f>
        <v/>
      </c>
      <c r="L229">
        <f ca="1">IF(Taostats_CSV!E229&lt;&gt;"TAO",IF(LEN(F229)&gt;0,F229,IF(LEN(D229)&gt;0,D229,0))*Taostats_CSV!P229,"")</f>
        <v>15.878166902074867</v>
      </c>
      <c r="M229" t="str">
        <f t="shared" ca="1" si="33"/>
        <v>USD</v>
      </c>
      <c r="N229">
        <f>COUNTIF(Taostats_CSV!$X:$X,Taostats_CSV!$I229&amp;N$1)</f>
        <v>0</v>
      </c>
      <c r="O229">
        <f>COUNTIF(Taostats_CSV!$X:$X,Taostats_CSV!$I229&amp;O$1)</f>
        <v>0</v>
      </c>
      <c r="P229">
        <f>COUNTIF(Taostats_CSV!$X:$X,Taostats_CSV!$I229&amp;P$1)</f>
        <v>0</v>
      </c>
      <c r="Q229" t="b">
        <f t="shared" si="34"/>
        <v>0</v>
      </c>
      <c r="R229" t="b">
        <f>IF(LEN(K229)&gt;0,COUNTIF($K$3:K229,K229),FALSE)</f>
        <v>0</v>
      </c>
      <c r="S229" t="b">
        <f>IF(Taostats_CSV!A229=Taostats_CSV!$A$2,TRUE,Taostats_CSV!G229+Taostats_CSV!H229+Taostats_CSV!R229=0)</f>
        <v>0</v>
      </c>
      <c r="T229" t="b">
        <f t="shared" si="35"/>
        <v>1</v>
      </c>
      <c r="U229" t="b" cm="1">
        <f t="array" aca="1" ref="U229" ca="1">AND(T229,OR(O229-N229&gt;1,P229&gt;1,ISERROR(A229:P229)))</f>
        <v>0</v>
      </c>
      <c r="W229" t="e">
        <f>MATCH(K229&amp;$W$2,Taostats_CSV!$X$3:$X$1167,0)</f>
        <v>#N/A</v>
      </c>
      <c r="X229" t="e">
        <f t="shared" ca="1" si="30"/>
        <v>#VALUE!</v>
      </c>
      <c r="Y229">
        <f t="shared" ca="1" si="31"/>
        <v>0.42390091400000002</v>
      </c>
      <c r="Z229" t="e">
        <f t="shared" ca="1" si="32"/>
        <v>#VALUE!</v>
      </c>
    </row>
    <row r="230" spans="1:26" x14ac:dyDescent="0.4">
      <c r="A230" t="str">
        <f>MID(Taostats_CSV!C230,6,2)&amp;"/"&amp;MID(Taostats_CSV!C230,9,2)&amp;"/"&amp;LEFT(Taostats_CSV!C230,4)&amp;" "&amp;MID(Taostats_CSV!C230,12,8)</f>
        <v>04/27/2025 23:59:48</v>
      </c>
      <c r="C230" t="str">
        <f ca="1">IF(Q230,OFFSET(Taostats_CSV!$E$1,MATCH(K230&amp;D$1,Taostats_CSV!$X:$X,0)-1,0),IF(Taostats_CSV!F230="fee",IF(VALUE(Taostats_CSV!G230)&gt;0,Taostats_CSV!E230,""),""))</f>
        <v/>
      </c>
      <c r="D230" t="str">
        <f ca="1">IF(Q230,OFFSET(Taostats_CSV!$G$1,MATCH(K230&amp;D$1,Taostats_CSV!$X:$X,0)-1,0),IF(Taostats_CSV!F230="fee",IF(VALUE(Taostats_CSV!G230)&gt;0,Taostats_CSV!G230,""),""))</f>
        <v/>
      </c>
      <c r="E230" t="str">
        <f ca="1">IF(AND(Q230,P230&gt;0),OFFSET(Taostats_CSV!$E$1,MATCH(K230&amp;F$1,Taostats_CSV!$X:$X,0)-1,0),IF(LEN(F230)&gt;0,Taostats_CSV!E230,""))</f>
        <v>SN4</v>
      </c>
      <c r="F230" t="str">
        <f ca="1">TRIM(IF(AND(Q230,P230&gt;0),OFFSET(Taostats_CSV!$H$1,MATCH(K230&amp;F$1,Taostats_CSV!$X:$X,0)-1,0),IF(LEN(Taostats_CSV!H230)&gt;0,Taostats_CSV!H230,Taostats_CSV!R230)))</f>
        <v>0.375214596</v>
      </c>
      <c r="G230" t="str">
        <f ca="1">IF(AND(Q230,N230=1),OFFSET(Taostats_CSV!$E$1,MATCH(K230&amp;H$1,Taostats_CSV!$X:$X,0)-1,0),"")</f>
        <v/>
      </c>
      <c r="H230" t="str">
        <f ca="1">IF(AND(Q230,N230=1),OFFSET(Taostats_CSV!$G$1,MATCH(K230&amp;H$1,Taostats_CSV!$X:$X,0)-1,0),"")</f>
        <v/>
      </c>
      <c r="I230" t="str">
        <f ca="1">IF(AND(LEN(K230)=0,LEN(F230)&gt;0),"Income",IF(AND(O230&gt;0,P230&gt;0,C230&lt;&gt;E230),"Trade",IF(AND(NOT(Q230),Taostats_CSV!F230="fee"),'READ ME'!$C$5,"")))</f>
        <v>Income</v>
      </c>
      <c r="J230" t="str">
        <f ca="1">SUBSTITUTE(IF(LEN(I230)=0,Taostats_CSV!F230&amp;" "&amp;Taostats_CSV!J230,IF(I230="Cost","Extrinsic fee","")),"_"," ")</f>
        <v/>
      </c>
      <c r="K230" t="str">
        <f>TRIM(IF(LEN(Taostats_CSV!I230)&gt;0,Taostats_CSV!I230,""))</f>
        <v/>
      </c>
      <c r="L230">
        <f ca="1">IF(Taostats_CSV!E230&lt;&gt;"TAO",IF(LEN(F230)&gt;0,F230,IF(LEN(D230)&gt;0,D230,0))*Taostats_CSV!P230,"")</f>
        <v>20.064124047404089</v>
      </c>
      <c r="M230" t="str">
        <f t="shared" ca="1" si="33"/>
        <v>USD</v>
      </c>
      <c r="N230">
        <f>COUNTIF(Taostats_CSV!$X:$X,Taostats_CSV!$I230&amp;N$1)</f>
        <v>0</v>
      </c>
      <c r="O230">
        <f>COUNTIF(Taostats_CSV!$X:$X,Taostats_CSV!$I230&amp;O$1)</f>
        <v>0</v>
      </c>
      <c r="P230">
        <f>COUNTIF(Taostats_CSV!$X:$X,Taostats_CSV!$I230&amp;P$1)</f>
        <v>0</v>
      </c>
      <c r="Q230" t="b">
        <f t="shared" si="34"/>
        <v>0</v>
      </c>
      <c r="R230" t="b">
        <f>IF(LEN(K230)&gt;0,COUNTIF($K$3:K230,K230),FALSE)</f>
        <v>0</v>
      </c>
      <c r="S230" t="b">
        <f>IF(Taostats_CSV!A230=Taostats_CSV!$A$2,TRUE,Taostats_CSV!G230+Taostats_CSV!H230+Taostats_CSV!R230=0)</f>
        <v>0</v>
      </c>
      <c r="T230" t="b">
        <f t="shared" si="35"/>
        <v>1</v>
      </c>
      <c r="U230" t="b" cm="1">
        <f t="array" aca="1" ref="U230" ca="1">AND(T230,OR(O230-N230&gt;1,P230&gt;1,ISERROR(A230:P230)))</f>
        <v>0</v>
      </c>
      <c r="W230" t="e">
        <f>MATCH(K230&amp;$W$2,Taostats_CSV!$X$3:$X$1167,0)</f>
        <v>#N/A</v>
      </c>
      <c r="X230" t="e">
        <f t="shared" ca="1" si="30"/>
        <v>#VALUE!</v>
      </c>
      <c r="Y230">
        <f t="shared" ca="1" si="31"/>
        <v>0.37521459600000001</v>
      </c>
      <c r="Z230" t="e">
        <f t="shared" ca="1" si="32"/>
        <v>#VALUE!</v>
      </c>
    </row>
    <row r="231" spans="1:26" x14ac:dyDescent="0.4">
      <c r="A231" t="str">
        <f>MID(Taostats_CSV!C231,6,2)&amp;"/"&amp;MID(Taostats_CSV!C231,9,2)&amp;"/"&amp;LEFT(Taostats_CSV!C231,4)&amp;" "&amp;MID(Taostats_CSV!C231,12,8)</f>
        <v>04/27/2025 23:59:48</v>
      </c>
      <c r="C231" t="str">
        <f ca="1">IF(Q231,OFFSET(Taostats_CSV!$E$1,MATCH(K231&amp;D$1,Taostats_CSV!$X:$X,0)-1,0),IF(Taostats_CSV!F231="fee",IF(VALUE(Taostats_CSV!G231)&gt;0,Taostats_CSV!E231,""),""))</f>
        <v/>
      </c>
      <c r="D231" t="str">
        <f ca="1">IF(Q231,OFFSET(Taostats_CSV!$G$1,MATCH(K231&amp;D$1,Taostats_CSV!$X:$X,0)-1,0),IF(Taostats_CSV!F231="fee",IF(VALUE(Taostats_CSV!G231)&gt;0,Taostats_CSV!G231,""),""))</f>
        <v/>
      </c>
      <c r="E231" t="str">
        <f ca="1">IF(AND(Q231,P231&gt;0),OFFSET(Taostats_CSV!$E$1,MATCH(K231&amp;F$1,Taostats_CSV!$X:$X,0)-1,0),IF(LEN(F231)&gt;0,Taostats_CSV!E231,""))</f>
        <v>SN56</v>
      </c>
      <c r="F231" t="str">
        <f ca="1">TRIM(IF(AND(Q231,P231&gt;0),OFFSET(Taostats_CSV!$H$1,MATCH(K231&amp;F$1,Taostats_CSV!$X:$X,0)-1,0),IF(LEN(Taostats_CSV!H231)&gt;0,Taostats_CSV!H231,Taostats_CSV!R231)))</f>
        <v>0.247020748</v>
      </c>
      <c r="G231" t="str">
        <f ca="1">IF(AND(Q231,N231=1),OFFSET(Taostats_CSV!$E$1,MATCH(K231&amp;H$1,Taostats_CSV!$X:$X,0)-1,0),"")</f>
        <v/>
      </c>
      <c r="H231" t="str">
        <f ca="1">IF(AND(Q231,N231=1),OFFSET(Taostats_CSV!$G$1,MATCH(K231&amp;H$1,Taostats_CSV!$X:$X,0)-1,0),"")</f>
        <v/>
      </c>
      <c r="I231" t="str">
        <f ca="1">IF(AND(LEN(K231)=0,LEN(F231)&gt;0),"Income",IF(AND(O231&gt;0,P231&gt;0,C231&lt;&gt;E231),"Trade",IF(AND(NOT(Q231),Taostats_CSV!F231="fee"),'READ ME'!$C$5,"")))</f>
        <v>Income</v>
      </c>
      <c r="J231" t="str">
        <f ca="1">SUBSTITUTE(IF(LEN(I231)=0,Taostats_CSV!F231&amp;" "&amp;Taostats_CSV!J231,IF(I231="Cost","Extrinsic fee","")),"_"," ")</f>
        <v/>
      </c>
      <c r="K231" t="str">
        <f>TRIM(IF(LEN(Taostats_CSV!I231)&gt;0,Taostats_CSV!I231,""))</f>
        <v/>
      </c>
      <c r="L231">
        <f ca="1">IF(Taostats_CSV!E231&lt;&gt;"TAO",IF(LEN(F231)&gt;0,F231,IF(LEN(D231)&gt;0,D231,0))*Taostats_CSV!P231,"")</f>
        <v>12.448974891542935</v>
      </c>
      <c r="M231" t="str">
        <f t="shared" ca="1" si="33"/>
        <v>USD</v>
      </c>
      <c r="N231">
        <f>COUNTIF(Taostats_CSV!$X:$X,Taostats_CSV!$I231&amp;N$1)</f>
        <v>0</v>
      </c>
      <c r="O231">
        <f>COUNTIF(Taostats_CSV!$X:$X,Taostats_CSV!$I231&amp;O$1)</f>
        <v>0</v>
      </c>
      <c r="P231">
        <f>COUNTIF(Taostats_CSV!$X:$X,Taostats_CSV!$I231&amp;P$1)</f>
        <v>0</v>
      </c>
      <c r="Q231" t="b">
        <f t="shared" si="34"/>
        <v>0</v>
      </c>
      <c r="R231" t="b">
        <f>IF(LEN(K231)&gt;0,COUNTIF($K$3:K231,K231),FALSE)</f>
        <v>0</v>
      </c>
      <c r="S231" t="b">
        <f>IF(Taostats_CSV!A231=Taostats_CSV!$A$2,TRUE,Taostats_CSV!G231+Taostats_CSV!H231+Taostats_CSV!R231=0)</f>
        <v>0</v>
      </c>
      <c r="T231" t="b">
        <f t="shared" si="35"/>
        <v>1</v>
      </c>
      <c r="U231" t="b" cm="1">
        <f t="array" aca="1" ref="U231" ca="1">AND(T231,OR(O231-N231&gt;1,P231&gt;1,ISERROR(A231:P231)))</f>
        <v>0</v>
      </c>
      <c r="W231" t="e">
        <f>MATCH(K231&amp;$W$2,Taostats_CSV!$X$3:$X$1167,0)</f>
        <v>#N/A</v>
      </c>
      <c r="X231" t="e">
        <f t="shared" ca="1" si="30"/>
        <v>#VALUE!</v>
      </c>
      <c r="Y231">
        <f t="shared" ca="1" si="31"/>
        <v>0.24702074800000001</v>
      </c>
      <c r="Z231" t="e">
        <f t="shared" ca="1" si="32"/>
        <v>#VALUE!</v>
      </c>
    </row>
    <row r="232" spans="1:26" x14ac:dyDescent="0.4">
      <c r="A232" t="str">
        <f>MID(Taostats_CSV!C232,6,2)&amp;"/"&amp;MID(Taostats_CSV!C232,9,2)&amp;"/"&amp;LEFT(Taostats_CSV!C232,4)&amp;" "&amp;MID(Taostats_CSV!C232,12,8)</f>
        <v>04/27/2025 23:59:48</v>
      </c>
      <c r="C232" t="str">
        <f ca="1">IF(Q232,OFFSET(Taostats_CSV!$E$1,MATCH(K232&amp;D$1,Taostats_CSV!$X:$X,0)-1,0),IF(Taostats_CSV!F232="fee",IF(VALUE(Taostats_CSV!G232)&gt;0,Taostats_CSV!E232,""),""))</f>
        <v/>
      </c>
      <c r="D232" t="str">
        <f ca="1">IF(Q232,OFFSET(Taostats_CSV!$G$1,MATCH(K232&amp;D$1,Taostats_CSV!$X:$X,0)-1,0),IF(Taostats_CSV!F232="fee",IF(VALUE(Taostats_CSV!G232)&gt;0,Taostats_CSV!G232,""),""))</f>
        <v/>
      </c>
      <c r="E232" t="str">
        <f ca="1">IF(AND(Q232,P232&gt;0),OFFSET(Taostats_CSV!$E$1,MATCH(K232&amp;F$1,Taostats_CSV!$X:$X,0)-1,0),IF(LEN(F232)&gt;0,Taostats_CSV!E232,""))</f>
        <v>SN64</v>
      </c>
      <c r="F232" t="str">
        <f ca="1">TRIM(IF(AND(Q232,P232&gt;0),OFFSET(Taostats_CSV!$H$1,MATCH(K232&amp;F$1,Taostats_CSV!$X:$X,0)-1,0),IF(LEN(Taostats_CSV!H232)&gt;0,Taostats_CSV!H232,Taostats_CSV!R232)))</f>
        <v>0.142496161</v>
      </c>
      <c r="G232" t="str">
        <f ca="1">IF(AND(Q232,N232=1),OFFSET(Taostats_CSV!$E$1,MATCH(K232&amp;H$1,Taostats_CSV!$X:$X,0)-1,0),"")</f>
        <v/>
      </c>
      <c r="H232" t="str">
        <f ca="1">IF(AND(Q232,N232=1),OFFSET(Taostats_CSV!$G$1,MATCH(K232&amp;H$1,Taostats_CSV!$X:$X,0)-1,0),"")</f>
        <v/>
      </c>
      <c r="I232" t="str">
        <f ca="1">IF(AND(LEN(K232)=0,LEN(F232)&gt;0),"Income",IF(AND(O232&gt;0,P232&gt;0,C232&lt;&gt;E232),"Trade",IF(AND(NOT(Q232),Taostats_CSV!F232="fee"),'READ ME'!$C$5,"")))</f>
        <v>Income</v>
      </c>
      <c r="J232" t="str">
        <f ca="1">SUBSTITUTE(IF(LEN(I232)=0,Taostats_CSV!F232&amp;" "&amp;Taostats_CSV!J232,IF(I232="Cost","Extrinsic fee","")),"_"," ")</f>
        <v/>
      </c>
      <c r="K232" t="str">
        <f>TRIM(IF(LEN(Taostats_CSV!I232)&gt;0,Taostats_CSV!I232,""))</f>
        <v/>
      </c>
      <c r="L232">
        <f ca="1">IF(Taostats_CSV!E232&lt;&gt;"TAO",IF(LEN(F232)&gt;0,F232,IF(LEN(D232)&gt;0,D232,0))*Taostats_CSV!P232,"")</f>
        <v>16.09209411885962</v>
      </c>
      <c r="M232" t="str">
        <f t="shared" ca="1" si="33"/>
        <v>USD</v>
      </c>
      <c r="N232">
        <f>COUNTIF(Taostats_CSV!$X:$X,Taostats_CSV!$I232&amp;N$1)</f>
        <v>0</v>
      </c>
      <c r="O232">
        <f>COUNTIF(Taostats_CSV!$X:$X,Taostats_CSV!$I232&amp;O$1)</f>
        <v>0</v>
      </c>
      <c r="P232">
        <f>COUNTIF(Taostats_CSV!$X:$X,Taostats_CSV!$I232&amp;P$1)</f>
        <v>0</v>
      </c>
      <c r="Q232" t="b">
        <f t="shared" si="34"/>
        <v>0</v>
      </c>
      <c r="R232" t="b">
        <f>IF(LEN(K232)&gt;0,COUNTIF($K$3:K232,K232),FALSE)</f>
        <v>0</v>
      </c>
      <c r="S232" t="b">
        <f>IF(Taostats_CSV!A232=Taostats_CSV!$A$2,TRUE,Taostats_CSV!G232+Taostats_CSV!H232+Taostats_CSV!R232=0)</f>
        <v>0</v>
      </c>
      <c r="T232" t="b">
        <f t="shared" si="35"/>
        <v>1</v>
      </c>
      <c r="U232" t="b" cm="1">
        <f t="array" aca="1" ref="U232" ca="1">AND(T232,OR(O232-N232&gt;1,P232&gt;1,ISERROR(A232:P232)))</f>
        <v>0</v>
      </c>
      <c r="W232" t="e">
        <f>MATCH(K232&amp;$W$2,Taostats_CSV!$X$3:$X$1167,0)</f>
        <v>#N/A</v>
      </c>
      <c r="X232" t="e">
        <f t="shared" ca="1" si="30"/>
        <v>#VALUE!</v>
      </c>
      <c r="Y232">
        <f t="shared" ca="1" si="31"/>
        <v>0.14249616100000001</v>
      </c>
      <c r="Z232" t="e">
        <f t="shared" ca="1" si="32"/>
        <v>#VALUE!</v>
      </c>
    </row>
    <row r="233" spans="1:26" hidden="1" x14ac:dyDescent="0.4">
      <c r="A233" t="str">
        <f>MID(Taostats_CSV!C233,6,2)&amp;"/"&amp;MID(Taostats_CSV!C233,9,2)&amp;"/"&amp;LEFT(Taostats_CSV!C233,4)&amp;" "&amp;MID(Taostats_CSV!C233,12,8)</f>
        <v>04/27/2025 23:59:48</v>
      </c>
      <c r="C233" t="str">
        <f ca="1">IF(Q233,OFFSET(Taostats_CSV!$E$1,MATCH(K233&amp;D$1,Taostats_CSV!$X:$X,0)-1,0),IF(Taostats_CSV!F233="fee","",IF(VALUE(Taostats_CSV!G233)&gt;0,Taostats_CSV!E233,"")))</f>
        <v/>
      </c>
      <c r="D233" t="str">
        <f ca="1">IF(Q233,OFFSET(Taostats_CSV!$G$1,MATCH(K233&amp;D$1,Taostats_CSV!$X:$X,0)-1,0),IF(Taostats_CSV!F233="fee","",IF(VALUE(Taostats_CSV!G233)&gt;0,Taostats_CSV!G233,"")))</f>
        <v/>
      </c>
      <c r="E233" t="str">
        <f ca="1">IF(AND(Q233,P233&gt;0),OFFSET(Taostats_CSV!$E$1,MATCH(K233&amp;F$1,Taostats_CSV!$X:$X,0)-1,0),IF(LEN(F233)&gt;0,Taostats_CSV!E233,""))</f>
        <v>TAO</v>
      </c>
      <c r="F233" t="str">
        <f ca="1">TRIM(IF(AND(Q233,P233&gt;0),OFFSET(Taostats_CSV!$H$1,MATCH(K233&amp;F$1,Taostats_CSV!$X:$X,0)-1,0),IF(LEN(Taostats_CSV!H233)&gt;0,Taostats_CSV!H233,Taostats_CSV!R233)))</f>
        <v>0</v>
      </c>
      <c r="G233" t="str">
        <f ca="1">IF(AND(Q233,N233=1),OFFSET(Taostats_CSV!$E$1,MATCH(K233&amp;H$1,Taostats_CSV!$X:$X,0)-1,0),IF(Taostats_CSV!F233="fee",Taostats_CSV!E233,""))</f>
        <v/>
      </c>
      <c r="H233" t="str">
        <f ca="1">IF(AND(Q233,N233=1),OFFSET(Taostats_CSV!$G$1,MATCH(K233&amp;H$1,Taostats_CSV!$X:$X,0)-1,0),IF(Taostats_CSV!F233="fee",Taostats_CSV!G233,""))</f>
        <v/>
      </c>
      <c r="I233" t="str">
        <f ca="1">IF(AND(LEN(K233)=0,LEN(F233)&gt;0),"Income",IF(AND(O233&gt;0,P233&gt;0,C233&lt;&gt;E233),"Trade",IF(AND(NOT(Q233),Taostats_CSV!F233="fee"),'READ ME'!$C$5,"")))</f>
        <v>Income</v>
      </c>
      <c r="J233" t="str">
        <f ca="1">SUBSTITUTE(IF(LEN(I233)=0,Taostats_CSV!F233&amp;" "&amp;Taostats_CSV!J233,IF(I233="Cost","Extrinsic fee","")),"_"," ")</f>
        <v/>
      </c>
      <c r="K233" t="str">
        <f>TRIM(IF(LEN(Taostats_CSV!I233)&gt;0,Taostats_CSV!I233,""))</f>
        <v/>
      </c>
      <c r="L233" t="str">
        <f>IF(Taostats_CSV!E233&lt;&gt;"TAO",IF(LEN(F233)&gt;0,F233,IF(LEN(D233)&gt;0,D233,0))*Taostats_CSV!P233,"")</f>
        <v/>
      </c>
      <c r="M233" t="str">
        <f t="shared" si="33"/>
        <v/>
      </c>
      <c r="N233">
        <f>COUNTIF(Taostats_CSV!$X:$X,Taostats_CSV!$I233&amp;N$1)</f>
        <v>0</v>
      </c>
      <c r="O233">
        <f>COUNTIF(Taostats_CSV!$X:$X,Taostats_CSV!$I233&amp;O$1)</f>
        <v>0</v>
      </c>
      <c r="P233">
        <f>COUNTIF(Taostats_CSV!$X:$X,Taostats_CSV!$I233&amp;P$1)</f>
        <v>0</v>
      </c>
      <c r="Q233" t="b">
        <f t="shared" si="34"/>
        <v>0</v>
      </c>
      <c r="R233" t="b">
        <f>IF(LEN(K233)&gt;0,COUNTIF($K$3:K233,K233),FALSE)</f>
        <v>0</v>
      </c>
      <c r="S233" t="b">
        <f>IF(Taostats_CSV!A233=Taostats_CSV!$A$2,TRUE,Taostats_CSV!G233+Taostats_CSV!H233+Taostats_CSV!R233=0)</f>
        <v>1</v>
      </c>
      <c r="T233" t="b">
        <f t="shared" si="35"/>
        <v>0</v>
      </c>
      <c r="U233" t="b" cm="1">
        <f t="array" aca="1" ref="U233" ca="1">AND(T233,OR(O233-N233&gt;1,P233&gt;1,ISERROR(A233:P233)))</f>
        <v>0</v>
      </c>
      <c r="W233" t="e">
        <f>MATCH(K233&amp;$W$2,Taostats_CSV!$X$3:$X$1167,0)</f>
        <v>#N/A</v>
      </c>
      <c r="X233" t="e">
        <f t="shared" ca="1" si="30"/>
        <v>#VALUE!</v>
      </c>
      <c r="Y233">
        <f t="shared" ca="1" si="31"/>
        <v>0</v>
      </c>
      <c r="Z233" t="e">
        <f t="shared" ca="1" si="32"/>
        <v>#VALUE!</v>
      </c>
    </row>
    <row r="234" spans="1:26" x14ac:dyDescent="0.4">
      <c r="A234" t="str">
        <f>MID(Taostats_CSV!C234,6,2)&amp;"/"&amp;MID(Taostats_CSV!C234,9,2)&amp;"/"&amp;LEFT(Taostats_CSV!C234,4)&amp;" "&amp;MID(Taostats_CSV!C234,12,8)</f>
        <v>04/28/2025 23:59:48</v>
      </c>
      <c r="C234" t="str">
        <f ca="1">IF(Q234,OFFSET(Taostats_CSV!$E$1,MATCH(K234&amp;D$1,Taostats_CSV!$X:$X,0)-1,0),IF(Taostats_CSV!F234="fee",IF(VALUE(Taostats_CSV!G234)&gt;0,Taostats_CSV!E234,""),""))</f>
        <v/>
      </c>
      <c r="D234" t="str">
        <f ca="1">IF(Q234,OFFSET(Taostats_CSV!$G$1,MATCH(K234&amp;D$1,Taostats_CSV!$X:$X,0)-1,0),IF(Taostats_CSV!F234="fee",IF(VALUE(Taostats_CSV!G234)&gt;0,Taostats_CSV!G234,""),""))</f>
        <v/>
      </c>
      <c r="E234" t="str">
        <f ca="1">IF(AND(Q234,P234&gt;0),OFFSET(Taostats_CSV!$E$1,MATCH(K234&amp;F$1,Taostats_CSV!$X:$X,0)-1,0),IF(LEN(F234)&gt;0,Taostats_CSV!E234,""))</f>
        <v>SN3</v>
      </c>
      <c r="F234" t="str">
        <f ca="1">TRIM(IF(AND(Q234,P234&gt;0),OFFSET(Taostats_CSV!$H$1,MATCH(K234&amp;F$1,Taostats_CSV!$X:$X,0)-1,0),IF(LEN(Taostats_CSV!H234)&gt;0,Taostats_CSV!H234,Taostats_CSV!R234)))</f>
        <v>0.42983613</v>
      </c>
      <c r="G234" t="str">
        <f ca="1">IF(AND(Q234,N234=1),OFFSET(Taostats_CSV!$E$1,MATCH(K234&amp;H$1,Taostats_CSV!$X:$X,0)-1,0),"")</f>
        <v/>
      </c>
      <c r="H234" t="str">
        <f ca="1">IF(AND(Q234,N234=1),OFFSET(Taostats_CSV!$G$1,MATCH(K234&amp;H$1,Taostats_CSV!$X:$X,0)-1,0),"")</f>
        <v/>
      </c>
      <c r="I234" t="str">
        <f ca="1">IF(AND(LEN(K234)=0,LEN(F234)&gt;0),"Income",IF(AND(O234&gt;0,P234&gt;0,C234&lt;&gt;E234),"Trade",IF(AND(NOT(Q234),Taostats_CSV!F234="fee"),'READ ME'!$C$5,"")))</f>
        <v>Income</v>
      </c>
      <c r="J234" t="str">
        <f ca="1">SUBSTITUTE(IF(LEN(I234)=0,Taostats_CSV!F234&amp;" "&amp;Taostats_CSV!J234,IF(I234="Cost","Extrinsic fee","")),"_"," ")</f>
        <v/>
      </c>
      <c r="K234" t="str">
        <f>TRIM(IF(LEN(Taostats_CSV!I234)&gt;0,Taostats_CSV!I234,""))</f>
        <v/>
      </c>
      <c r="L234">
        <f ca="1">IF(Taostats_CSV!E234&lt;&gt;"TAO",IF(LEN(F234)&gt;0,F234,IF(LEN(D234)&gt;0,D234,0))*Taostats_CSV!P234,"")</f>
        <v>15.923386386705253</v>
      </c>
      <c r="M234" t="str">
        <f t="shared" ca="1" si="33"/>
        <v>USD</v>
      </c>
      <c r="N234">
        <f>COUNTIF(Taostats_CSV!$X:$X,Taostats_CSV!$I234&amp;N$1)</f>
        <v>0</v>
      </c>
      <c r="O234">
        <f>COUNTIF(Taostats_CSV!$X:$X,Taostats_CSV!$I234&amp;O$1)</f>
        <v>0</v>
      </c>
      <c r="P234">
        <f>COUNTIF(Taostats_CSV!$X:$X,Taostats_CSV!$I234&amp;P$1)</f>
        <v>0</v>
      </c>
      <c r="Q234" t="b">
        <f t="shared" si="34"/>
        <v>0</v>
      </c>
      <c r="R234" t="b">
        <f>IF(LEN(K234)&gt;0,COUNTIF($K$3:K234,K234),FALSE)</f>
        <v>0</v>
      </c>
      <c r="S234" t="b">
        <f>IF(Taostats_CSV!A234=Taostats_CSV!$A$2,TRUE,Taostats_CSV!G234+Taostats_CSV!H234+Taostats_CSV!R234=0)</f>
        <v>0</v>
      </c>
      <c r="T234" t="b">
        <f t="shared" si="35"/>
        <v>1</v>
      </c>
      <c r="U234" t="b" cm="1">
        <f t="array" aca="1" ref="U234" ca="1">AND(T234,OR(O234-N234&gt;1,P234&gt;1,ISERROR(A234:P234)))</f>
        <v>0</v>
      </c>
      <c r="W234" t="e">
        <f>MATCH(K234&amp;$W$2,Taostats_CSV!$X$3:$X$1167,0)</f>
        <v>#N/A</v>
      </c>
      <c r="X234" t="e">
        <f t="shared" ca="1" si="30"/>
        <v>#VALUE!</v>
      </c>
      <c r="Y234">
        <f t="shared" ca="1" si="31"/>
        <v>0.42983612999999998</v>
      </c>
      <c r="Z234" t="e">
        <f t="shared" ca="1" si="32"/>
        <v>#VALUE!</v>
      </c>
    </row>
    <row r="235" spans="1:26" x14ac:dyDescent="0.4">
      <c r="A235" t="str">
        <f>MID(Taostats_CSV!C235,6,2)&amp;"/"&amp;MID(Taostats_CSV!C235,9,2)&amp;"/"&amp;LEFT(Taostats_CSV!C235,4)&amp;" "&amp;MID(Taostats_CSV!C235,12,8)</f>
        <v>04/28/2025 23:59:48</v>
      </c>
      <c r="C235" t="str">
        <f ca="1">IF(Q235,OFFSET(Taostats_CSV!$E$1,MATCH(K235&amp;D$1,Taostats_CSV!$X:$X,0)-1,0),IF(Taostats_CSV!F235="fee",IF(VALUE(Taostats_CSV!G235)&gt;0,Taostats_CSV!E235,""),""))</f>
        <v/>
      </c>
      <c r="D235" t="str">
        <f ca="1">IF(Q235,OFFSET(Taostats_CSV!$G$1,MATCH(K235&amp;D$1,Taostats_CSV!$X:$X,0)-1,0),IF(Taostats_CSV!F235="fee",IF(VALUE(Taostats_CSV!G235)&gt;0,Taostats_CSV!G235,""),""))</f>
        <v/>
      </c>
      <c r="E235" t="str">
        <f ca="1">IF(AND(Q235,P235&gt;0),OFFSET(Taostats_CSV!$E$1,MATCH(K235&amp;F$1,Taostats_CSV!$X:$X,0)-1,0),IF(LEN(F235)&gt;0,Taostats_CSV!E235,""))</f>
        <v>SN4</v>
      </c>
      <c r="F235" t="str">
        <f ca="1">TRIM(IF(AND(Q235,P235&gt;0),OFFSET(Taostats_CSV!$H$1,MATCH(K235&amp;F$1,Taostats_CSV!$X:$X,0)-1,0),IF(LEN(Taostats_CSV!H235)&gt;0,Taostats_CSV!H235,Taostats_CSV!R235)))</f>
        <v>0.377043273</v>
      </c>
      <c r="G235" t="str">
        <f ca="1">IF(AND(Q235,N235=1),OFFSET(Taostats_CSV!$E$1,MATCH(K235&amp;H$1,Taostats_CSV!$X:$X,0)-1,0),"")</f>
        <v/>
      </c>
      <c r="H235" t="str">
        <f ca="1">IF(AND(Q235,N235=1),OFFSET(Taostats_CSV!$G$1,MATCH(K235&amp;H$1,Taostats_CSV!$X:$X,0)-1,0),"")</f>
        <v/>
      </c>
      <c r="I235" t="str">
        <f ca="1">IF(AND(LEN(K235)=0,LEN(F235)&gt;0),"Income",IF(AND(O235&gt;0,P235&gt;0,C235&lt;&gt;E235),"Trade",IF(AND(NOT(Q235),Taostats_CSV!F235="fee"),'READ ME'!$C$5,"")))</f>
        <v>Income</v>
      </c>
      <c r="J235" t="str">
        <f ca="1">SUBSTITUTE(IF(LEN(I235)=0,Taostats_CSV!F235&amp;" "&amp;Taostats_CSV!J235,IF(I235="Cost","Extrinsic fee","")),"_"," ")</f>
        <v/>
      </c>
      <c r="K235" t="str">
        <f>TRIM(IF(LEN(Taostats_CSV!I235)&gt;0,Taostats_CSV!I235,""))</f>
        <v/>
      </c>
      <c r="L235">
        <f ca="1">IF(Taostats_CSV!E235&lt;&gt;"TAO",IF(LEN(F235)&gt;0,F235,IF(LEN(D235)&gt;0,D235,0))*Taostats_CSV!P235,"")</f>
        <v>19.942732654080409</v>
      </c>
      <c r="M235" t="str">
        <f t="shared" ca="1" si="33"/>
        <v>USD</v>
      </c>
      <c r="N235">
        <f>COUNTIF(Taostats_CSV!$X:$X,Taostats_CSV!$I235&amp;N$1)</f>
        <v>0</v>
      </c>
      <c r="O235">
        <f>COUNTIF(Taostats_CSV!$X:$X,Taostats_CSV!$I235&amp;O$1)</f>
        <v>0</v>
      </c>
      <c r="P235">
        <f>COUNTIF(Taostats_CSV!$X:$X,Taostats_CSV!$I235&amp;P$1)</f>
        <v>0</v>
      </c>
      <c r="Q235" t="b">
        <f t="shared" si="34"/>
        <v>0</v>
      </c>
      <c r="R235" t="b">
        <f>IF(LEN(K235)&gt;0,COUNTIF($K$3:K235,K235),FALSE)</f>
        <v>0</v>
      </c>
      <c r="S235" t="b">
        <f>IF(Taostats_CSV!A235=Taostats_CSV!$A$2,TRUE,Taostats_CSV!G235+Taostats_CSV!H235+Taostats_CSV!R235=0)</f>
        <v>0</v>
      </c>
      <c r="T235" t="b">
        <f t="shared" si="35"/>
        <v>1</v>
      </c>
      <c r="U235" t="b" cm="1">
        <f t="array" aca="1" ref="U235" ca="1">AND(T235,OR(O235-N235&gt;1,P235&gt;1,ISERROR(A235:P235)))</f>
        <v>0</v>
      </c>
      <c r="W235" t="e">
        <f>MATCH(K235&amp;$W$2,Taostats_CSV!$X$3:$X$1167,0)</f>
        <v>#N/A</v>
      </c>
      <c r="X235" t="e">
        <f t="shared" ca="1" si="30"/>
        <v>#VALUE!</v>
      </c>
      <c r="Y235">
        <f t="shared" ca="1" si="31"/>
        <v>0.37704327300000001</v>
      </c>
      <c r="Z235" t="e">
        <f t="shared" ca="1" si="32"/>
        <v>#VALUE!</v>
      </c>
    </row>
    <row r="236" spans="1:26" x14ac:dyDescent="0.4">
      <c r="A236" t="str">
        <f>MID(Taostats_CSV!C236,6,2)&amp;"/"&amp;MID(Taostats_CSV!C236,9,2)&amp;"/"&amp;LEFT(Taostats_CSV!C236,4)&amp;" "&amp;MID(Taostats_CSV!C236,12,8)</f>
        <v>04/28/2025 23:59:48</v>
      </c>
      <c r="C236" t="str">
        <f ca="1">IF(Q236,OFFSET(Taostats_CSV!$E$1,MATCH(K236&amp;D$1,Taostats_CSV!$X:$X,0)-1,0),IF(Taostats_CSV!F236="fee",IF(VALUE(Taostats_CSV!G236)&gt;0,Taostats_CSV!E236,""),""))</f>
        <v/>
      </c>
      <c r="D236" t="str">
        <f ca="1">IF(Q236,OFFSET(Taostats_CSV!$G$1,MATCH(K236&amp;D$1,Taostats_CSV!$X:$X,0)-1,0),IF(Taostats_CSV!F236="fee",IF(VALUE(Taostats_CSV!G236)&gt;0,Taostats_CSV!G236,""),""))</f>
        <v/>
      </c>
      <c r="E236" t="str">
        <f ca="1">IF(AND(Q236,P236&gt;0),OFFSET(Taostats_CSV!$E$1,MATCH(K236&amp;F$1,Taostats_CSV!$X:$X,0)-1,0),IF(LEN(F236)&gt;0,Taostats_CSV!E236,""))</f>
        <v>SN56</v>
      </c>
      <c r="F236" t="str">
        <f ca="1">TRIM(IF(AND(Q236,P236&gt;0),OFFSET(Taostats_CSV!$H$1,MATCH(K236&amp;F$1,Taostats_CSV!$X:$X,0)-1,0),IF(LEN(Taostats_CSV!H236)&gt;0,Taostats_CSV!H236,Taostats_CSV!R236)))</f>
        <v>0.248546183</v>
      </c>
      <c r="G236" t="str">
        <f ca="1">IF(AND(Q236,N236=1),OFFSET(Taostats_CSV!$E$1,MATCH(K236&amp;H$1,Taostats_CSV!$X:$X,0)-1,0),"")</f>
        <v/>
      </c>
      <c r="H236" t="str">
        <f ca="1">IF(AND(Q236,N236=1),OFFSET(Taostats_CSV!$G$1,MATCH(K236&amp;H$1,Taostats_CSV!$X:$X,0)-1,0),"")</f>
        <v/>
      </c>
      <c r="I236" t="str">
        <f ca="1">IF(AND(LEN(K236)=0,LEN(F236)&gt;0),"Income",IF(AND(O236&gt;0,P236&gt;0,C236&lt;&gt;E236),"Trade",IF(AND(NOT(Q236),Taostats_CSV!F236="fee"),'READ ME'!$C$5,"")))</f>
        <v>Income</v>
      </c>
      <c r="J236" t="str">
        <f ca="1">SUBSTITUTE(IF(LEN(I236)=0,Taostats_CSV!F236&amp;" "&amp;Taostats_CSV!J236,IF(I236="Cost","Extrinsic fee","")),"_"," ")</f>
        <v/>
      </c>
      <c r="K236" t="str">
        <f>TRIM(IF(LEN(Taostats_CSV!I236)&gt;0,Taostats_CSV!I236,""))</f>
        <v/>
      </c>
      <c r="L236">
        <f ca="1">IF(Taostats_CSV!E236&lt;&gt;"TAO",IF(LEN(F236)&gt;0,F236,IF(LEN(D236)&gt;0,D236,0))*Taostats_CSV!P236,"")</f>
        <v>11.931951686647379</v>
      </c>
      <c r="M236" t="str">
        <f t="shared" ca="1" si="33"/>
        <v>USD</v>
      </c>
      <c r="N236">
        <f>COUNTIF(Taostats_CSV!$X:$X,Taostats_CSV!$I236&amp;N$1)</f>
        <v>0</v>
      </c>
      <c r="O236">
        <f>COUNTIF(Taostats_CSV!$X:$X,Taostats_CSV!$I236&amp;O$1)</f>
        <v>0</v>
      </c>
      <c r="P236">
        <f>COUNTIF(Taostats_CSV!$X:$X,Taostats_CSV!$I236&amp;P$1)</f>
        <v>0</v>
      </c>
      <c r="Q236" t="b">
        <f t="shared" si="34"/>
        <v>0</v>
      </c>
      <c r="R236" t="b">
        <f>IF(LEN(K236)&gt;0,COUNTIF($K$3:K236,K236),FALSE)</f>
        <v>0</v>
      </c>
      <c r="S236" t="b">
        <f>IF(Taostats_CSV!A236=Taostats_CSV!$A$2,TRUE,Taostats_CSV!G236+Taostats_CSV!H236+Taostats_CSV!R236=0)</f>
        <v>0</v>
      </c>
      <c r="T236" t="b">
        <f t="shared" si="35"/>
        <v>1</v>
      </c>
      <c r="U236" t="b" cm="1">
        <f t="array" aca="1" ref="U236" ca="1">AND(T236,OR(O236-N236&gt;1,P236&gt;1,ISERROR(A236:P236)))</f>
        <v>0</v>
      </c>
      <c r="W236" t="e">
        <f>MATCH(K236&amp;$W$2,Taostats_CSV!$X$3:$X$1167,0)</f>
        <v>#N/A</v>
      </c>
      <c r="X236" t="e">
        <f t="shared" ca="1" si="30"/>
        <v>#VALUE!</v>
      </c>
      <c r="Y236">
        <f t="shared" ca="1" si="31"/>
        <v>0.248546183</v>
      </c>
      <c r="Z236" t="e">
        <f t="shared" ca="1" si="32"/>
        <v>#VALUE!</v>
      </c>
    </row>
    <row r="237" spans="1:26" x14ac:dyDescent="0.4">
      <c r="A237" t="str">
        <f>MID(Taostats_CSV!C237,6,2)&amp;"/"&amp;MID(Taostats_CSV!C237,9,2)&amp;"/"&amp;LEFT(Taostats_CSV!C237,4)&amp;" "&amp;MID(Taostats_CSV!C237,12,8)</f>
        <v>04/28/2025 23:59:48</v>
      </c>
      <c r="C237" t="str">
        <f ca="1">IF(Q237,OFFSET(Taostats_CSV!$E$1,MATCH(K237&amp;D$1,Taostats_CSV!$X:$X,0)-1,0),IF(Taostats_CSV!F237="fee",IF(VALUE(Taostats_CSV!G237)&gt;0,Taostats_CSV!E237,""),""))</f>
        <v/>
      </c>
      <c r="D237" t="str">
        <f ca="1">IF(Q237,OFFSET(Taostats_CSV!$G$1,MATCH(K237&amp;D$1,Taostats_CSV!$X:$X,0)-1,0),IF(Taostats_CSV!F237="fee",IF(VALUE(Taostats_CSV!G237)&gt;0,Taostats_CSV!G237,""),""))</f>
        <v/>
      </c>
      <c r="E237" t="str">
        <f ca="1">IF(AND(Q237,P237&gt;0),OFFSET(Taostats_CSV!$E$1,MATCH(K237&amp;F$1,Taostats_CSV!$X:$X,0)-1,0),IF(LEN(F237)&gt;0,Taostats_CSV!E237,""))</f>
        <v>SN64</v>
      </c>
      <c r="F237" t="str">
        <f ca="1">TRIM(IF(AND(Q237,P237&gt;0),OFFSET(Taostats_CSV!$H$1,MATCH(K237&amp;F$1,Taostats_CSV!$X:$X,0)-1,0),IF(LEN(Taostats_CSV!H237)&gt;0,Taostats_CSV!H237,Taostats_CSV!R237)))</f>
        <v>0.146360001</v>
      </c>
      <c r="G237" t="str">
        <f ca="1">IF(AND(Q237,N237=1),OFFSET(Taostats_CSV!$E$1,MATCH(K237&amp;H$1,Taostats_CSV!$X:$X,0)-1,0),"")</f>
        <v/>
      </c>
      <c r="H237" t="str">
        <f ca="1">IF(AND(Q237,N237=1),OFFSET(Taostats_CSV!$G$1,MATCH(K237&amp;H$1,Taostats_CSV!$X:$X,0)-1,0),"")</f>
        <v/>
      </c>
      <c r="I237" t="str">
        <f ca="1">IF(AND(LEN(K237)=0,LEN(F237)&gt;0),"Income",IF(AND(O237&gt;0,P237&gt;0,C237&lt;&gt;E237),"Trade",IF(AND(NOT(Q237),Taostats_CSV!F237="fee"),'READ ME'!$C$5,"")))</f>
        <v>Income</v>
      </c>
      <c r="J237" t="str">
        <f ca="1">SUBSTITUTE(IF(LEN(I237)=0,Taostats_CSV!F237&amp;" "&amp;Taostats_CSV!J237,IF(I237="Cost","Extrinsic fee","")),"_"," ")</f>
        <v/>
      </c>
      <c r="K237" t="str">
        <f>TRIM(IF(LEN(Taostats_CSV!I237)&gt;0,Taostats_CSV!I237,""))</f>
        <v/>
      </c>
      <c r="L237">
        <f ca="1">IF(Taostats_CSV!E237&lt;&gt;"TAO",IF(LEN(F237)&gt;0,F237,IF(LEN(D237)&gt;0,D237,0))*Taostats_CSV!P237,"")</f>
        <v>15.762798756540123</v>
      </c>
      <c r="M237" t="str">
        <f t="shared" ca="1" si="33"/>
        <v>USD</v>
      </c>
      <c r="N237">
        <f>COUNTIF(Taostats_CSV!$X:$X,Taostats_CSV!$I237&amp;N$1)</f>
        <v>0</v>
      </c>
      <c r="O237">
        <f>COUNTIF(Taostats_CSV!$X:$X,Taostats_CSV!$I237&amp;O$1)</f>
        <v>0</v>
      </c>
      <c r="P237">
        <f>COUNTIF(Taostats_CSV!$X:$X,Taostats_CSV!$I237&amp;P$1)</f>
        <v>0</v>
      </c>
      <c r="Q237" t="b">
        <f t="shared" si="34"/>
        <v>0</v>
      </c>
      <c r="R237" t="b">
        <f>IF(LEN(K237)&gt;0,COUNTIF($K$3:K237,K237),FALSE)</f>
        <v>0</v>
      </c>
      <c r="S237" t="b">
        <f>IF(Taostats_CSV!A237=Taostats_CSV!$A$2,TRUE,Taostats_CSV!G237+Taostats_CSV!H237+Taostats_CSV!R237=0)</f>
        <v>0</v>
      </c>
      <c r="T237" t="b">
        <f t="shared" si="35"/>
        <v>1</v>
      </c>
      <c r="U237" t="b" cm="1">
        <f t="array" aca="1" ref="U237" ca="1">AND(T237,OR(O237-N237&gt;1,P237&gt;1,ISERROR(A237:P237)))</f>
        <v>0</v>
      </c>
      <c r="W237" t="e">
        <f>MATCH(K237&amp;$W$2,Taostats_CSV!$X$3:$X$1167,0)</f>
        <v>#N/A</v>
      </c>
      <c r="X237" t="e">
        <f t="shared" ca="1" si="30"/>
        <v>#VALUE!</v>
      </c>
      <c r="Y237">
        <f t="shared" ca="1" si="31"/>
        <v>0.14636000099999999</v>
      </c>
      <c r="Z237" t="e">
        <f t="shared" ca="1" si="32"/>
        <v>#VALUE!</v>
      </c>
    </row>
    <row r="238" spans="1:26" hidden="1" x14ac:dyDescent="0.4">
      <c r="A238" t="str">
        <f>MID(Taostats_CSV!C238,6,2)&amp;"/"&amp;MID(Taostats_CSV!C238,9,2)&amp;"/"&amp;LEFT(Taostats_CSV!C238,4)&amp;" "&amp;MID(Taostats_CSV!C238,12,8)</f>
        <v>04/28/2025 23:59:48</v>
      </c>
      <c r="C238" t="str">
        <f ca="1">IF(Q238,OFFSET(Taostats_CSV!$E$1,MATCH(K238&amp;D$1,Taostats_CSV!$X:$X,0)-1,0),IF(Taostats_CSV!F238="fee","",IF(VALUE(Taostats_CSV!G238)&gt;0,Taostats_CSV!E238,"")))</f>
        <v/>
      </c>
      <c r="D238" t="str">
        <f ca="1">IF(Q238,OFFSET(Taostats_CSV!$G$1,MATCH(K238&amp;D$1,Taostats_CSV!$X:$X,0)-1,0),IF(Taostats_CSV!F238="fee","",IF(VALUE(Taostats_CSV!G238)&gt;0,Taostats_CSV!G238,"")))</f>
        <v/>
      </c>
      <c r="E238" t="str">
        <f ca="1">IF(AND(Q238,P238&gt;0),OFFSET(Taostats_CSV!$E$1,MATCH(K238&amp;F$1,Taostats_CSV!$X:$X,0)-1,0),IF(LEN(F238)&gt;0,Taostats_CSV!E238,""))</f>
        <v>TAO</v>
      </c>
      <c r="F238" t="str">
        <f ca="1">TRIM(IF(AND(Q238,P238&gt;0),OFFSET(Taostats_CSV!$H$1,MATCH(K238&amp;F$1,Taostats_CSV!$X:$X,0)-1,0),IF(LEN(Taostats_CSV!H238)&gt;0,Taostats_CSV!H238,Taostats_CSV!R238)))</f>
        <v>0</v>
      </c>
      <c r="G238" t="str">
        <f ca="1">IF(AND(Q238,N238=1),OFFSET(Taostats_CSV!$E$1,MATCH(K238&amp;H$1,Taostats_CSV!$X:$X,0)-1,0),IF(Taostats_CSV!F238="fee",Taostats_CSV!E238,""))</f>
        <v/>
      </c>
      <c r="H238" t="str">
        <f ca="1">IF(AND(Q238,N238=1),OFFSET(Taostats_CSV!$G$1,MATCH(K238&amp;H$1,Taostats_CSV!$X:$X,0)-1,0),IF(Taostats_CSV!F238="fee",Taostats_CSV!G238,""))</f>
        <v/>
      </c>
      <c r="I238" t="str">
        <f ca="1">IF(AND(LEN(K238)=0,LEN(F238)&gt;0),"Income",IF(AND(O238&gt;0,P238&gt;0,C238&lt;&gt;E238),"Trade",IF(AND(NOT(Q238),Taostats_CSV!F238="fee"),'READ ME'!$C$5,"")))</f>
        <v>Income</v>
      </c>
      <c r="J238" t="str">
        <f ca="1">SUBSTITUTE(IF(LEN(I238)=0,Taostats_CSV!F238&amp;" "&amp;Taostats_CSV!J238,IF(I238="Cost","Extrinsic fee","")),"_"," ")</f>
        <v/>
      </c>
      <c r="K238" t="str">
        <f>TRIM(IF(LEN(Taostats_CSV!I238)&gt;0,Taostats_CSV!I238,""))</f>
        <v/>
      </c>
      <c r="L238" t="str">
        <f>IF(Taostats_CSV!E238&lt;&gt;"TAO",IF(LEN(F238)&gt;0,F238,IF(LEN(D238)&gt;0,D238,0))*Taostats_CSV!P238,"")</f>
        <v/>
      </c>
      <c r="M238" t="str">
        <f t="shared" si="33"/>
        <v/>
      </c>
      <c r="N238">
        <f>COUNTIF(Taostats_CSV!$X:$X,Taostats_CSV!$I238&amp;N$1)</f>
        <v>0</v>
      </c>
      <c r="O238">
        <f>COUNTIF(Taostats_CSV!$X:$X,Taostats_CSV!$I238&amp;O$1)</f>
        <v>0</v>
      </c>
      <c r="P238">
        <f>COUNTIF(Taostats_CSV!$X:$X,Taostats_CSV!$I238&amp;P$1)</f>
        <v>0</v>
      </c>
      <c r="Q238" t="b">
        <f t="shared" si="34"/>
        <v>0</v>
      </c>
      <c r="R238" t="b">
        <f>IF(LEN(K238)&gt;0,COUNTIF($K$3:K238,K238),FALSE)</f>
        <v>0</v>
      </c>
      <c r="S238" t="b">
        <f>IF(Taostats_CSV!A238=Taostats_CSV!$A$2,TRUE,Taostats_CSV!G238+Taostats_CSV!H238+Taostats_CSV!R238=0)</f>
        <v>1</v>
      </c>
      <c r="T238" t="b">
        <f t="shared" si="35"/>
        <v>0</v>
      </c>
      <c r="U238" t="b" cm="1">
        <f t="array" aca="1" ref="U238" ca="1">AND(T238,OR(O238-N238&gt;1,P238&gt;1,ISERROR(A238:P238)))</f>
        <v>0</v>
      </c>
      <c r="W238" t="e">
        <f>MATCH(K238&amp;$W$2,Taostats_CSV!$X$3:$X$1167,0)</f>
        <v>#N/A</v>
      </c>
      <c r="X238" t="e">
        <f t="shared" ca="1" si="30"/>
        <v>#VALUE!</v>
      </c>
      <c r="Y238">
        <f t="shared" ca="1" si="31"/>
        <v>0</v>
      </c>
      <c r="Z238" t="e">
        <f t="shared" ca="1" si="32"/>
        <v>#VALUE!</v>
      </c>
    </row>
    <row r="239" spans="1:26" x14ac:dyDescent="0.4">
      <c r="A239" t="str">
        <f>MID(Taostats_CSV!C239,6,2)&amp;"/"&amp;MID(Taostats_CSV!C239,9,2)&amp;"/"&amp;LEFT(Taostats_CSV!C239,4)&amp;" "&amp;MID(Taostats_CSV!C239,12,8)</f>
        <v>04/29/2025 23:59:48</v>
      </c>
      <c r="C239" t="str">
        <f ca="1">IF(Q239,OFFSET(Taostats_CSV!$E$1,MATCH(K239&amp;D$1,Taostats_CSV!$X:$X,0)-1,0),IF(Taostats_CSV!F239="fee",IF(VALUE(Taostats_CSV!G239)&gt;0,Taostats_CSV!E239,""),""))</f>
        <v/>
      </c>
      <c r="D239" t="str">
        <f ca="1">IF(Q239,OFFSET(Taostats_CSV!$G$1,MATCH(K239&amp;D$1,Taostats_CSV!$X:$X,0)-1,0),IF(Taostats_CSV!F239="fee",IF(VALUE(Taostats_CSV!G239)&gt;0,Taostats_CSV!G239,""),""))</f>
        <v/>
      </c>
      <c r="E239" t="str">
        <f ca="1">IF(AND(Q239,P239&gt;0),OFFSET(Taostats_CSV!$E$1,MATCH(K239&amp;F$1,Taostats_CSV!$X:$X,0)-1,0),IF(LEN(F239)&gt;0,Taostats_CSV!E239,""))</f>
        <v>SN3</v>
      </c>
      <c r="F239" t="str">
        <f ca="1">TRIM(IF(AND(Q239,P239&gt;0),OFFSET(Taostats_CSV!$H$1,MATCH(K239&amp;F$1,Taostats_CSV!$X:$X,0)-1,0),IF(LEN(Taostats_CSV!H239)&gt;0,Taostats_CSV!H239,Taostats_CSV!R239)))</f>
        <v>0.442750238</v>
      </c>
      <c r="G239" t="str">
        <f ca="1">IF(AND(Q239,N239=1),OFFSET(Taostats_CSV!$E$1,MATCH(K239&amp;H$1,Taostats_CSV!$X:$X,0)-1,0),"")</f>
        <v/>
      </c>
      <c r="H239" t="str">
        <f ca="1">IF(AND(Q239,N239=1),OFFSET(Taostats_CSV!$G$1,MATCH(K239&amp;H$1,Taostats_CSV!$X:$X,0)-1,0),"")</f>
        <v/>
      </c>
      <c r="I239" t="str">
        <f ca="1">IF(AND(LEN(K239)=0,LEN(F239)&gt;0),"Income",IF(AND(O239&gt;0,P239&gt;0,C239&lt;&gt;E239),"Trade",IF(AND(NOT(Q239),Taostats_CSV!F239="fee"),'READ ME'!$C$5,"")))</f>
        <v>Income</v>
      </c>
      <c r="J239" t="str">
        <f ca="1">SUBSTITUTE(IF(LEN(I239)=0,Taostats_CSV!F239&amp;" "&amp;Taostats_CSV!J239,IF(I239="Cost","Extrinsic fee","")),"_"," ")</f>
        <v/>
      </c>
      <c r="K239" t="str">
        <f>TRIM(IF(LEN(Taostats_CSV!I239)&gt;0,Taostats_CSV!I239,""))</f>
        <v/>
      </c>
      <c r="L239">
        <f ca="1">IF(Taostats_CSV!E239&lt;&gt;"TAO",IF(LEN(F239)&gt;0,F239,IF(LEN(D239)&gt;0,D239,0))*Taostats_CSV!P239,"")</f>
        <v>14.248465075643573</v>
      </c>
      <c r="M239" t="str">
        <f t="shared" ca="1" si="33"/>
        <v>USD</v>
      </c>
      <c r="N239">
        <f>COUNTIF(Taostats_CSV!$X:$X,Taostats_CSV!$I239&amp;N$1)</f>
        <v>0</v>
      </c>
      <c r="O239">
        <f>COUNTIF(Taostats_CSV!$X:$X,Taostats_CSV!$I239&amp;O$1)</f>
        <v>0</v>
      </c>
      <c r="P239">
        <f>COUNTIF(Taostats_CSV!$X:$X,Taostats_CSV!$I239&amp;P$1)</f>
        <v>0</v>
      </c>
      <c r="Q239" t="b">
        <f t="shared" si="34"/>
        <v>0</v>
      </c>
      <c r="R239" t="b">
        <f>IF(LEN(K239)&gt;0,COUNTIF($K$3:K239,K239),FALSE)</f>
        <v>0</v>
      </c>
      <c r="S239" t="b">
        <f>IF(Taostats_CSV!A239=Taostats_CSV!$A$2,TRUE,Taostats_CSV!G239+Taostats_CSV!H239+Taostats_CSV!R239=0)</f>
        <v>0</v>
      </c>
      <c r="T239" t="b">
        <f t="shared" si="35"/>
        <v>1</v>
      </c>
      <c r="U239" t="b" cm="1">
        <f t="array" aca="1" ref="U239" ca="1">AND(T239,OR(O239-N239&gt;1,P239&gt;1,ISERROR(A239:P239)))</f>
        <v>0</v>
      </c>
      <c r="W239" t="e">
        <f>MATCH(K239&amp;$W$2,Taostats_CSV!$X$3:$X$1167,0)</f>
        <v>#N/A</v>
      </c>
      <c r="X239" t="e">
        <f t="shared" ca="1" si="30"/>
        <v>#VALUE!</v>
      </c>
      <c r="Y239">
        <f t="shared" ca="1" si="31"/>
        <v>0.44275023800000002</v>
      </c>
      <c r="Z239" t="e">
        <f t="shared" ca="1" si="32"/>
        <v>#VALUE!</v>
      </c>
    </row>
    <row r="240" spans="1:26" x14ac:dyDescent="0.4">
      <c r="A240" t="str">
        <f>MID(Taostats_CSV!C240,6,2)&amp;"/"&amp;MID(Taostats_CSV!C240,9,2)&amp;"/"&amp;LEFT(Taostats_CSV!C240,4)&amp;" "&amp;MID(Taostats_CSV!C240,12,8)</f>
        <v>04/29/2025 23:59:48</v>
      </c>
      <c r="C240" t="str">
        <f ca="1">IF(Q240,OFFSET(Taostats_CSV!$E$1,MATCH(K240&amp;D$1,Taostats_CSV!$X:$X,0)-1,0),IF(Taostats_CSV!F240="fee",IF(VALUE(Taostats_CSV!G240)&gt;0,Taostats_CSV!E240,""),""))</f>
        <v/>
      </c>
      <c r="D240" t="str">
        <f ca="1">IF(Q240,OFFSET(Taostats_CSV!$G$1,MATCH(K240&amp;D$1,Taostats_CSV!$X:$X,0)-1,0),IF(Taostats_CSV!F240="fee",IF(VALUE(Taostats_CSV!G240)&gt;0,Taostats_CSV!G240,""),""))</f>
        <v/>
      </c>
      <c r="E240" t="str">
        <f ca="1">IF(AND(Q240,P240&gt;0),OFFSET(Taostats_CSV!$E$1,MATCH(K240&amp;F$1,Taostats_CSV!$X:$X,0)-1,0),IF(LEN(F240)&gt;0,Taostats_CSV!E240,""))</f>
        <v>SN4</v>
      </c>
      <c r="F240" t="str">
        <f ca="1">TRIM(IF(AND(Q240,P240&gt;0),OFFSET(Taostats_CSV!$H$1,MATCH(K240&amp;F$1,Taostats_CSV!$X:$X,0)-1,0),IF(LEN(Taostats_CSV!H240)&gt;0,Taostats_CSV!H240,Taostats_CSV!R240)))</f>
        <v>0.384474686</v>
      </c>
      <c r="G240" t="str">
        <f ca="1">IF(AND(Q240,N240=1),OFFSET(Taostats_CSV!$E$1,MATCH(K240&amp;H$1,Taostats_CSV!$X:$X,0)-1,0),"")</f>
        <v/>
      </c>
      <c r="H240" t="str">
        <f ca="1">IF(AND(Q240,N240=1),OFFSET(Taostats_CSV!$G$1,MATCH(K240&amp;H$1,Taostats_CSV!$X:$X,0)-1,0),"")</f>
        <v/>
      </c>
      <c r="I240" t="str">
        <f ca="1">IF(AND(LEN(K240)=0,LEN(F240)&gt;0),"Income",IF(AND(O240&gt;0,P240&gt;0,C240&lt;&gt;E240),"Trade",IF(AND(NOT(Q240),Taostats_CSV!F240="fee"),'READ ME'!$C$5,"")))</f>
        <v>Income</v>
      </c>
      <c r="J240" t="str">
        <f ca="1">SUBSTITUTE(IF(LEN(I240)=0,Taostats_CSV!F240&amp;" "&amp;Taostats_CSV!J240,IF(I240="Cost","Extrinsic fee","")),"_"," ")</f>
        <v/>
      </c>
      <c r="K240" t="str">
        <f>TRIM(IF(LEN(Taostats_CSV!I240)&gt;0,Taostats_CSV!I240,""))</f>
        <v/>
      </c>
      <c r="L240">
        <f ca="1">IF(Taostats_CSV!E240&lt;&gt;"TAO",IF(LEN(F240)&gt;0,F240,IF(LEN(D240)&gt;0,D240,0))*Taostats_CSV!P240,"")</f>
        <v>18.798252492169794</v>
      </c>
      <c r="M240" t="str">
        <f t="shared" ca="1" si="33"/>
        <v>USD</v>
      </c>
      <c r="N240">
        <f>COUNTIF(Taostats_CSV!$X:$X,Taostats_CSV!$I240&amp;N$1)</f>
        <v>0</v>
      </c>
      <c r="O240">
        <f>COUNTIF(Taostats_CSV!$X:$X,Taostats_CSV!$I240&amp;O$1)</f>
        <v>0</v>
      </c>
      <c r="P240">
        <f>COUNTIF(Taostats_CSV!$X:$X,Taostats_CSV!$I240&amp;P$1)</f>
        <v>0</v>
      </c>
      <c r="Q240" t="b">
        <f t="shared" si="34"/>
        <v>0</v>
      </c>
      <c r="R240" t="b">
        <f>IF(LEN(K240)&gt;0,COUNTIF($K$3:K240,K240),FALSE)</f>
        <v>0</v>
      </c>
      <c r="S240" t="b">
        <f>IF(Taostats_CSV!A240=Taostats_CSV!$A$2,TRUE,Taostats_CSV!G240+Taostats_CSV!H240+Taostats_CSV!R240=0)</f>
        <v>0</v>
      </c>
      <c r="T240" t="b">
        <f t="shared" si="35"/>
        <v>1</v>
      </c>
      <c r="U240" t="b" cm="1">
        <f t="array" aca="1" ref="U240" ca="1">AND(T240,OR(O240-N240&gt;1,P240&gt;1,ISERROR(A240:P240)))</f>
        <v>0</v>
      </c>
      <c r="W240" t="e">
        <f>MATCH(K240&amp;$W$2,Taostats_CSV!$X$3:$X$1167,0)</f>
        <v>#N/A</v>
      </c>
      <c r="X240" t="e">
        <f t="shared" ca="1" si="30"/>
        <v>#VALUE!</v>
      </c>
      <c r="Y240">
        <f t="shared" ca="1" si="31"/>
        <v>0.38447468600000001</v>
      </c>
      <c r="Z240" t="e">
        <f t="shared" ca="1" si="32"/>
        <v>#VALUE!</v>
      </c>
    </row>
    <row r="241" spans="1:26" x14ac:dyDescent="0.4">
      <c r="A241" t="str">
        <f>MID(Taostats_CSV!C241,6,2)&amp;"/"&amp;MID(Taostats_CSV!C241,9,2)&amp;"/"&amp;LEFT(Taostats_CSV!C241,4)&amp;" "&amp;MID(Taostats_CSV!C241,12,8)</f>
        <v>04/29/2025 23:59:48</v>
      </c>
      <c r="C241" t="str">
        <f ca="1">IF(Q241,OFFSET(Taostats_CSV!$E$1,MATCH(K241&amp;D$1,Taostats_CSV!$X:$X,0)-1,0),IF(Taostats_CSV!F241="fee",IF(VALUE(Taostats_CSV!G241)&gt;0,Taostats_CSV!E241,""),""))</f>
        <v/>
      </c>
      <c r="D241" t="str">
        <f ca="1">IF(Q241,OFFSET(Taostats_CSV!$G$1,MATCH(K241&amp;D$1,Taostats_CSV!$X:$X,0)-1,0),IF(Taostats_CSV!F241="fee",IF(VALUE(Taostats_CSV!G241)&gt;0,Taostats_CSV!G241,""),""))</f>
        <v/>
      </c>
      <c r="E241" t="str">
        <f ca="1">IF(AND(Q241,P241&gt;0),OFFSET(Taostats_CSV!$E$1,MATCH(K241&amp;F$1,Taostats_CSV!$X:$X,0)-1,0),IF(LEN(F241)&gt;0,Taostats_CSV!E241,""))</f>
        <v>SN56</v>
      </c>
      <c r="F241" t="str">
        <f ca="1">TRIM(IF(AND(Q241,P241&gt;0),OFFSET(Taostats_CSV!$H$1,MATCH(K241&amp;F$1,Taostats_CSV!$X:$X,0)-1,0),IF(LEN(Taostats_CSV!H241)&gt;0,Taostats_CSV!H241,Taostats_CSV!R241)))</f>
        <v>0.252738612</v>
      </c>
      <c r="G241" t="str">
        <f ca="1">IF(AND(Q241,N241=1),OFFSET(Taostats_CSV!$E$1,MATCH(K241&amp;H$1,Taostats_CSV!$X:$X,0)-1,0),"")</f>
        <v/>
      </c>
      <c r="H241" t="str">
        <f ca="1">IF(AND(Q241,N241=1),OFFSET(Taostats_CSV!$G$1,MATCH(K241&amp;H$1,Taostats_CSV!$X:$X,0)-1,0),"")</f>
        <v/>
      </c>
      <c r="I241" t="str">
        <f ca="1">IF(AND(LEN(K241)=0,LEN(F241)&gt;0),"Income",IF(AND(O241&gt;0,P241&gt;0,C241&lt;&gt;E241),"Trade",IF(AND(NOT(Q241),Taostats_CSV!F241="fee"),'READ ME'!$C$5,"")))</f>
        <v>Income</v>
      </c>
      <c r="J241" t="str">
        <f ca="1">SUBSTITUTE(IF(LEN(I241)=0,Taostats_CSV!F241&amp;" "&amp;Taostats_CSV!J241,IF(I241="Cost","Extrinsic fee","")),"_"," ")</f>
        <v/>
      </c>
      <c r="K241" t="str">
        <f>TRIM(IF(LEN(Taostats_CSV!I241)&gt;0,Taostats_CSV!I241,""))</f>
        <v/>
      </c>
      <c r="L241">
        <f ca="1">IF(Taostats_CSV!E241&lt;&gt;"TAO",IF(LEN(F241)&gt;0,F241,IF(LEN(D241)&gt;0,D241,0))*Taostats_CSV!P241,"")</f>
        <v>12.241975587881221</v>
      </c>
      <c r="M241" t="str">
        <f t="shared" ca="1" si="33"/>
        <v>USD</v>
      </c>
      <c r="N241">
        <f>COUNTIF(Taostats_CSV!$X:$X,Taostats_CSV!$I241&amp;N$1)</f>
        <v>0</v>
      </c>
      <c r="O241">
        <f>COUNTIF(Taostats_CSV!$X:$X,Taostats_CSV!$I241&amp;O$1)</f>
        <v>0</v>
      </c>
      <c r="P241">
        <f>COUNTIF(Taostats_CSV!$X:$X,Taostats_CSV!$I241&amp;P$1)</f>
        <v>0</v>
      </c>
      <c r="Q241" t="b">
        <f t="shared" si="34"/>
        <v>0</v>
      </c>
      <c r="R241" t="b">
        <f>IF(LEN(K241)&gt;0,COUNTIF($K$3:K241,K241),FALSE)</f>
        <v>0</v>
      </c>
      <c r="S241" t="b">
        <f>IF(Taostats_CSV!A241=Taostats_CSV!$A$2,TRUE,Taostats_CSV!G241+Taostats_CSV!H241+Taostats_CSV!R241=0)</f>
        <v>0</v>
      </c>
      <c r="T241" t="b">
        <f t="shared" si="35"/>
        <v>1</v>
      </c>
      <c r="U241" t="b" cm="1">
        <f t="array" aca="1" ref="U241" ca="1">AND(T241,OR(O241-N241&gt;1,P241&gt;1,ISERROR(A241:P241)))</f>
        <v>0</v>
      </c>
      <c r="W241" t="e">
        <f>MATCH(K241&amp;$W$2,Taostats_CSV!$X$3:$X$1167,0)</f>
        <v>#N/A</v>
      </c>
      <c r="X241" t="e">
        <f t="shared" ca="1" si="30"/>
        <v>#VALUE!</v>
      </c>
      <c r="Y241">
        <f t="shared" ca="1" si="31"/>
        <v>0.25273861199999997</v>
      </c>
      <c r="Z241" t="e">
        <f t="shared" ca="1" si="32"/>
        <v>#VALUE!</v>
      </c>
    </row>
    <row r="242" spans="1:26" x14ac:dyDescent="0.4">
      <c r="A242" t="str">
        <f>MID(Taostats_CSV!C242,6,2)&amp;"/"&amp;MID(Taostats_CSV!C242,9,2)&amp;"/"&amp;LEFT(Taostats_CSV!C242,4)&amp;" "&amp;MID(Taostats_CSV!C242,12,8)</f>
        <v>04/29/2025 23:59:48</v>
      </c>
      <c r="C242" t="str">
        <f ca="1">IF(Q242,OFFSET(Taostats_CSV!$E$1,MATCH(K242&amp;D$1,Taostats_CSV!$X:$X,0)-1,0),IF(Taostats_CSV!F242="fee",IF(VALUE(Taostats_CSV!G242)&gt;0,Taostats_CSV!E242,""),""))</f>
        <v/>
      </c>
      <c r="D242" t="str">
        <f ca="1">IF(Q242,OFFSET(Taostats_CSV!$G$1,MATCH(K242&amp;D$1,Taostats_CSV!$X:$X,0)-1,0),IF(Taostats_CSV!F242="fee",IF(VALUE(Taostats_CSV!G242)&gt;0,Taostats_CSV!G242,""),""))</f>
        <v/>
      </c>
      <c r="E242" t="str">
        <f ca="1">IF(AND(Q242,P242&gt;0),OFFSET(Taostats_CSV!$E$1,MATCH(K242&amp;F$1,Taostats_CSV!$X:$X,0)-1,0),IF(LEN(F242)&gt;0,Taostats_CSV!E242,""))</f>
        <v>SN64</v>
      </c>
      <c r="F242" t="str">
        <f ca="1">TRIM(IF(AND(Q242,P242&gt;0),OFFSET(Taostats_CSV!$H$1,MATCH(K242&amp;F$1,Taostats_CSV!$X:$X,0)-1,0),IF(LEN(Taostats_CSV!H242)&gt;0,Taostats_CSV!H242,Taostats_CSV!R242)))</f>
        <v>0.14762393</v>
      </c>
      <c r="G242" t="str">
        <f ca="1">IF(AND(Q242,N242=1),OFFSET(Taostats_CSV!$E$1,MATCH(K242&amp;H$1,Taostats_CSV!$X:$X,0)-1,0),"")</f>
        <v/>
      </c>
      <c r="H242" t="str">
        <f ca="1">IF(AND(Q242,N242=1),OFFSET(Taostats_CSV!$G$1,MATCH(K242&amp;H$1,Taostats_CSV!$X:$X,0)-1,0),"")</f>
        <v/>
      </c>
      <c r="I242" t="str">
        <f ca="1">IF(AND(LEN(K242)=0,LEN(F242)&gt;0),"Income",IF(AND(O242&gt;0,P242&gt;0,C242&lt;&gt;E242),"Trade",IF(AND(NOT(Q242),Taostats_CSV!F242="fee"),'READ ME'!$C$5,"")))</f>
        <v>Income</v>
      </c>
      <c r="J242" t="str">
        <f ca="1">SUBSTITUTE(IF(LEN(I242)=0,Taostats_CSV!F242&amp;" "&amp;Taostats_CSV!J242,IF(I242="Cost","Extrinsic fee","")),"_"," ")</f>
        <v/>
      </c>
      <c r="K242" t="str">
        <f>TRIM(IF(LEN(Taostats_CSV!I242)&gt;0,Taostats_CSV!I242,""))</f>
        <v/>
      </c>
      <c r="L242">
        <f ca="1">IF(Taostats_CSV!E242&lt;&gt;"TAO",IF(LEN(F242)&gt;0,F242,IF(LEN(D242)&gt;0,D242,0))*Taostats_CSV!P242,"")</f>
        <v>15.34592748183004</v>
      </c>
      <c r="M242" t="str">
        <f t="shared" ca="1" si="33"/>
        <v>USD</v>
      </c>
      <c r="N242">
        <f>COUNTIF(Taostats_CSV!$X:$X,Taostats_CSV!$I242&amp;N$1)</f>
        <v>0</v>
      </c>
      <c r="O242">
        <f>COUNTIF(Taostats_CSV!$X:$X,Taostats_CSV!$I242&amp;O$1)</f>
        <v>0</v>
      </c>
      <c r="P242">
        <f>COUNTIF(Taostats_CSV!$X:$X,Taostats_CSV!$I242&amp;P$1)</f>
        <v>0</v>
      </c>
      <c r="Q242" t="b">
        <f t="shared" si="34"/>
        <v>0</v>
      </c>
      <c r="R242" t="b">
        <f>IF(LEN(K242)&gt;0,COUNTIF($K$3:K242,K242),FALSE)</f>
        <v>0</v>
      </c>
      <c r="S242" t="b">
        <f>IF(Taostats_CSV!A242=Taostats_CSV!$A$2,TRUE,Taostats_CSV!G242+Taostats_CSV!H242+Taostats_CSV!R242=0)</f>
        <v>0</v>
      </c>
      <c r="T242" t="b">
        <f t="shared" si="35"/>
        <v>1</v>
      </c>
      <c r="U242" t="b" cm="1">
        <f t="array" aca="1" ref="U242" ca="1">AND(T242,OR(O242-N242&gt;1,P242&gt;1,ISERROR(A242:P242)))</f>
        <v>0</v>
      </c>
      <c r="W242" t="e">
        <f>MATCH(K242&amp;$W$2,Taostats_CSV!$X$3:$X$1167,0)</f>
        <v>#N/A</v>
      </c>
      <c r="X242" t="e">
        <f t="shared" ca="1" si="30"/>
        <v>#VALUE!</v>
      </c>
      <c r="Y242">
        <f t="shared" ca="1" si="31"/>
        <v>0.14762392999999999</v>
      </c>
      <c r="Z242" t="e">
        <f t="shared" ca="1" si="32"/>
        <v>#VALUE!</v>
      </c>
    </row>
    <row r="243" spans="1:26" hidden="1" x14ac:dyDescent="0.4">
      <c r="A243" t="str">
        <f>MID(Taostats_CSV!C243,6,2)&amp;"/"&amp;MID(Taostats_CSV!C243,9,2)&amp;"/"&amp;LEFT(Taostats_CSV!C243,4)&amp;" "&amp;MID(Taostats_CSV!C243,12,8)</f>
        <v>04/29/2025 23:59:48</v>
      </c>
      <c r="C243" t="str">
        <f ca="1">IF(Q243,OFFSET(Taostats_CSV!$E$1,MATCH(K243&amp;D$1,Taostats_CSV!$X:$X,0)-1,0),IF(Taostats_CSV!F243="fee","",IF(VALUE(Taostats_CSV!G243)&gt;0,Taostats_CSV!E243,"")))</f>
        <v/>
      </c>
      <c r="D243" t="str">
        <f ca="1">IF(Q243,OFFSET(Taostats_CSV!$G$1,MATCH(K243&amp;D$1,Taostats_CSV!$X:$X,0)-1,0),IF(Taostats_CSV!F243="fee","",IF(VALUE(Taostats_CSV!G243)&gt;0,Taostats_CSV!G243,"")))</f>
        <v/>
      </c>
      <c r="E243" t="str">
        <f ca="1">IF(AND(Q243,P243&gt;0),OFFSET(Taostats_CSV!$E$1,MATCH(K243&amp;F$1,Taostats_CSV!$X:$X,0)-1,0),IF(LEN(F243)&gt;0,Taostats_CSV!E243,""))</f>
        <v>TAO</v>
      </c>
      <c r="F243" t="str">
        <f ca="1">TRIM(IF(AND(Q243,P243&gt;0),OFFSET(Taostats_CSV!$H$1,MATCH(K243&amp;F$1,Taostats_CSV!$X:$X,0)-1,0),IF(LEN(Taostats_CSV!H243)&gt;0,Taostats_CSV!H243,Taostats_CSV!R243)))</f>
        <v>0</v>
      </c>
      <c r="G243" t="str">
        <f ca="1">IF(AND(Q243,N243=1),OFFSET(Taostats_CSV!$E$1,MATCH(K243&amp;H$1,Taostats_CSV!$X:$X,0)-1,0),IF(Taostats_CSV!F243="fee",Taostats_CSV!E243,""))</f>
        <v/>
      </c>
      <c r="H243" t="str">
        <f ca="1">IF(AND(Q243,N243=1),OFFSET(Taostats_CSV!$G$1,MATCH(K243&amp;H$1,Taostats_CSV!$X:$X,0)-1,0),IF(Taostats_CSV!F243="fee",Taostats_CSV!G243,""))</f>
        <v/>
      </c>
      <c r="I243" t="str">
        <f ca="1">IF(AND(LEN(K243)=0,LEN(F243)&gt;0),"Income",IF(AND(O243&gt;0,P243&gt;0,C243&lt;&gt;E243),"Trade",IF(AND(NOT(Q243),Taostats_CSV!F243="fee"),'READ ME'!$C$5,"")))</f>
        <v>Income</v>
      </c>
      <c r="J243" t="str">
        <f ca="1">SUBSTITUTE(IF(LEN(I243)=0,Taostats_CSV!F243&amp;" "&amp;Taostats_CSV!J243,IF(I243="Cost","Extrinsic fee","")),"_"," ")</f>
        <v/>
      </c>
      <c r="K243" t="str">
        <f>TRIM(IF(LEN(Taostats_CSV!I243)&gt;0,Taostats_CSV!I243,""))</f>
        <v/>
      </c>
      <c r="L243" t="str">
        <f>IF(Taostats_CSV!E243&lt;&gt;"TAO",IF(LEN(F243)&gt;0,F243,IF(LEN(D243)&gt;0,D243,0))*Taostats_CSV!P243,"")</f>
        <v/>
      </c>
      <c r="M243" t="str">
        <f t="shared" si="33"/>
        <v/>
      </c>
      <c r="N243">
        <f>COUNTIF(Taostats_CSV!$X:$X,Taostats_CSV!$I243&amp;N$1)</f>
        <v>0</v>
      </c>
      <c r="O243">
        <f>COUNTIF(Taostats_CSV!$X:$X,Taostats_CSV!$I243&amp;O$1)</f>
        <v>0</v>
      </c>
      <c r="P243">
        <f>COUNTIF(Taostats_CSV!$X:$X,Taostats_CSV!$I243&amp;P$1)</f>
        <v>0</v>
      </c>
      <c r="Q243" t="b">
        <f t="shared" si="34"/>
        <v>0</v>
      </c>
      <c r="R243" t="b">
        <f>IF(LEN(K243)&gt;0,COUNTIF($K$3:K243,K243),FALSE)</f>
        <v>0</v>
      </c>
      <c r="S243" t="b">
        <f>IF(Taostats_CSV!A243=Taostats_CSV!$A$2,TRUE,Taostats_CSV!G243+Taostats_CSV!H243+Taostats_CSV!R243=0)</f>
        <v>1</v>
      </c>
      <c r="T243" t="b">
        <f t="shared" si="35"/>
        <v>0</v>
      </c>
      <c r="U243" t="b" cm="1">
        <f t="array" aca="1" ref="U243" ca="1">AND(T243,OR(O243-N243&gt;1,P243&gt;1,ISERROR(A243:P243)))</f>
        <v>0</v>
      </c>
      <c r="W243" t="e">
        <f>MATCH(K243&amp;$W$2,Taostats_CSV!$X$3:$X$1167,0)</f>
        <v>#N/A</v>
      </c>
      <c r="X243" t="e">
        <f t="shared" ca="1" si="30"/>
        <v>#VALUE!</v>
      </c>
      <c r="Y243">
        <f t="shared" ca="1" si="31"/>
        <v>0</v>
      </c>
      <c r="Z243" t="e">
        <f t="shared" ca="1" si="32"/>
        <v>#VALUE!</v>
      </c>
    </row>
    <row r="244" spans="1:26" x14ac:dyDescent="0.4">
      <c r="A244" t="str">
        <f>MID(Taostats_CSV!C244,6,2)&amp;"/"&amp;MID(Taostats_CSV!C244,9,2)&amp;"/"&amp;LEFT(Taostats_CSV!C244,4)&amp;" "&amp;MID(Taostats_CSV!C244,12,8)</f>
        <v>04/30/2025 23:59:48</v>
      </c>
      <c r="C244" t="str">
        <f ca="1">IF(Q244,OFFSET(Taostats_CSV!$E$1,MATCH(K244&amp;D$1,Taostats_CSV!$X:$X,0)-1,0),IF(Taostats_CSV!F244="fee",IF(VALUE(Taostats_CSV!G244)&gt;0,Taostats_CSV!E244,""),""))</f>
        <v/>
      </c>
      <c r="D244" t="str">
        <f ca="1">IF(Q244,OFFSET(Taostats_CSV!$G$1,MATCH(K244&amp;D$1,Taostats_CSV!$X:$X,0)-1,0),IF(Taostats_CSV!F244="fee",IF(VALUE(Taostats_CSV!G244)&gt;0,Taostats_CSV!G244,""),""))</f>
        <v/>
      </c>
      <c r="E244" t="str">
        <f ca="1">IF(AND(Q244,P244&gt;0),OFFSET(Taostats_CSV!$E$1,MATCH(K244&amp;F$1,Taostats_CSV!$X:$X,0)-1,0),IF(LEN(F244)&gt;0,Taostats_CSV!E244,""))</f>
        <v>SN3</v>
      </c>
      <c r="F244" t="str">
        <f ca="1">TRIM(IF(AND(Q244,P244&gt;0),OFFSET(Taostats_CSV!$H$1,MATCH(K244&amp;F$1,Taostats_CSV!$X:$X,0)-1,0),IF(LEN(Taostats_CSV!H244)&gt;0,Taostats_CSV!H244,Taostats_CSV!R244)))</f>
        <v>0.430247593</v>
      </c>
      <c r="G244" t="str">
        <f ca="1">IF(AND(Q244,N244=1),OFFSET(Taostats_CSV!$E$1,MATCH(K244&amp;H$1,Taostats_CSV!$X:$X,0)-1,0),"")</f>
        <v/>
      </c>
      <c r="H244" t="str">
        <f ca="1">IF(AND(Q244,N244=1),OFFSET(Taostats_CSV!$G$1,MATCH(K244&amp;H$1,Taostats_CSV!$X:$X,0)-1,0),"")</f>
        <v/>
      </c>
      <c r="I244" t="str">
        <f ca="1">IF(AND(LEN(K244)=0,LEN(F244)&gt;0),"Income",IF(AND(O244&gt;0,P244&gt;0,C244&lt;&gt;E244),"Trade",IF(AND(NOT(Q244),Taostats_CSV!F244="fee"),'READ ME'!$C$5,"")))</f>
        <v>Income</v>
      </c>
      <c r="J244" t="str">
        <f ca="1">SUBSTITUTE(IF(LEN(I244)=0,Taostats_CSV!F244&amp;" "&amp;Taostats_CSV!J244,IF(I244="Cost","Extrinsic fee","")),"_"," ")</f>
        <v/>
      </c>
      <c r="K244" t="str">
        <f>TRIM(IF(LEN(Taostats_CSV!I244)&gt;0,Taostats_CSV!I244,""))</f>
        <v/>
      </c>
      <c r="L244">
        <f ca="1">IF(Taostats_CSV!E244&lt;&gt;"TAO",IF(LEN(F244)&gt;0,F244,IF(LEN(D244)&gt;0,D244,0))*Taostats_CSV!P244,"")</f>
        <v>15.293259781457447</v>
      </c>
      <c r="M244" t="str">
        <f t="shared" ca="1" si="33"/>
        <v>USD</v>
      </c>
      <c r="N244">
        <f>COUNTIF(Taostats_CSV!$X:$X,Taostats_CSV!$I244&amp;N$1)</f>
        <v>0</v>
      </c>
      <c r="O244">
        <f>COUNTIF(Taostats_CSV!$X:$X,Taostats_CSV!$I244&amp;O$1)</f>
        <v>0</v>
      </c>
      <c r="P244">
        <f>COUNTIF(Taostats_CSV!$X:$X,Taostats_CSV!$I244&amp;P$1)</f>
        <v>0</v>
      </c>
      <c r="Q244" t="b">
        <f t="shared" si="34"/>
        <v>0</v>
      </c>
      <c r="R244" t="b">
        <f>IF(LEN(K244)&gt;0,COUNTIF($K$3:K244,K244),FALSE)</f>
        <v>0</v>
      </c>
      <c r="S244" t="b">
        <f>IF(Taostats_CSV!A244=Taostats_CSV!$A$2,TRUE,Taostats_CSV!G244+Taostats_CSV!H244+Taostats_CSV!R244=0)</f>
        <v>0</v>
      </c>
      <c r="T244" t="b">
        <f t="shared" si="35"/>
        <v>1</v>
      </c>
      <c r="U244" t="b" cm="1">
        <f t="array" aca="1" ref="U244" ca="1">AND(T244,OR(O244-N244&gt;1,P244&gt;1,ISERROR(A244:P244)))</f>
        <v>0</v>
      </c>
      <c r="W244" t="e">
        <f>MATCH(K244&amp;$W$2,Taostats_CSV!$X$3:$X$1167,0)</f>
        <v>#N/A</v>
      </c>
      <c r="X244" t="e">
        <f t="shared" ca="1" si="30"/>
        <v>#VALUE!</v>
      </c>
      <c r="Y244">
        <f t="shared" ca="1" si="31"/>
        <v>0.43024759299999998</v>
      </c>
      <c r="Z244" t="e">
        <f t="shared" ca="1" si="32"/>
        <v>#VALUE!</v>
      </c>
    </row>
    <row r="245" spans="1:26" x14ac:dyDescent="0.4">
      <c r="A245" t="str">
        <f>MID(Taostats_CSV!C245,6,2)&amp;"/"&amp;MID(Taostats_CSV!C245,9,2)&amp;"/"&amp;LEFT(Taostats_CSV!C245,4)&amp;" "&amp;MID(Taostats_CSV!C245,12,8)</f>
        <v>04/30/2025 23:59:48</v>
      </c>
      <c r="C245" t="str">
        <f ca="1">IF(Q245,OFFSET(Taostats_CSV!$E$1,MATCH(K245&amp;D$1,Taostats_CSV!$X:$X,0)-1,0),IF(Taostats_CSV!F245="fee",IF(VALUE(Taostats_CSV!G245)&gt;0,Taostats_CSV!E245,""),""))</f>
        <v/>
      </c>
      <c r="D245" t="str">
        <f ca="1">IF(Q245,OFFSET(Taostats_CSV!$G$1,MATCH(K245&amp;D$1,Taostats_CSV!$X:$X,0)-1,0),IF(Taostats_CSV!F245="fee",IF(VALUE(Taostats_CSV!G245)&gt;0,Taostats_CSV!G245,""),""))</f>
        <v/>
      </c>
      <c r="E245" t="str">
        <f ca="1">IF(AND(Q245,P245&gt;0),OFFSET(Taostats_CSV!$E$1,MATCH(K245&amp;F$1,Taostats_CSV!$X:$X,0)-1,0),IF(LEN(F245)&gt;0,Taostats_CSV!E245,""))</f>
        <v>SN4</v>
      </c>
      <c r="F245" t="str">
        <f ca="1">TRIM(IF(AND(Q245,P245&gt;0),OFFSET(Taostats_CSV!$H$1,MATCH(K245&amp;F$1,Taostats_CSV!$X:$X,0)-1,0),IF(LEN(Taostats_CSV!H245)&gt;0,Taostats_CSV!H245,Taostats_CSV!R245)))</f>
        <v>0.250748206</v>
      </c>
      <c r="G245" t="str">
        <f ca="1">IF(AND(Q245,N245=1),OFFSET(Taostats_CSV!$E$1,MATCH(K245&amp;H$1,Taostats_CSV!$X:$X,0)-1,0),"")</f>
        <v/>
      </c>
      <c r="H245" t="str">
        <f ca="1">IF(AND(Q245,N245=1),OFFSET(Taostats_CSV!$G$1,MATCH(K245&amp;H$1,Taostats_CSV!$X:$X,0)-1,0),"")</f>
        <v/>
      </c>
      <c r="I245" t="str">
        <f ca="1">IF(AND(LEN(K245)=0,LEN(F245)&gt;0),"Income",IF(AND(O245&gt;0,P245&gt;0,C245&lt;&gt;E245),"Trade",IF(AND(NOT(Q245),Taostats_CSV!F245="fee"),'READ ME'!$C$5,"")))</f>
        <v>Income</v>
      </c>
      <c r="J245" t="str">
        <f ca="1">SUBSTITUTE(IF(LEN(I245)=0,Taostats_CSV!F245&amp;" "&amp;Taostats_CSV!J245,IF(I245="Cost","Extrinsic fee","")),"_"," ")</f>
        <v/>
      </c>
      <c r="K245" t="str">
        <f>TRIM(IF(LEN(Taostats_CSV!I245)&gt;0,Taostats_CSV!I245,""))</f>
        <v/>
      </c>
      <c r="L245">
        <f ca="1">IF(Taostats_CSV!E245&lt;&gt;"TAO",IF(LEN(F245)&gt;0,F245,IF(LEN(D245)&gt;0,D245,0))*Taostats_CSV!P245,"")</f>
        <v>12.394946683617322</v>
      </c>
      <c r="M245" t="str">
        <f t="shared" ca="1" si="33"/>
        <v>USD</v>
      </c>
      <c r="N245">
        <f>COUNTIF(Taostats_CSV!$X:$X,Taostats_CSV!$I245&amp;N$1)</f>
        <v>0</v>
      </c>
      <c r="O245">
        <f>COUNTIF(Taostats_CSV!$X:$X,Taostats_CSV!$I245&amp;O$1)</f>
        <v>0</v>
      </c>
      <c r="P245">
        <f>COUNTIF(Taostats_CSV!$X:$X,Taostats_CSV!$I245&amp;P$1)</f>
        <v>0</v>
      </c>
      <c r="Q245" t="b">
        <f t="shared" si="34"/>
        <v>0</v>
      </c>
      <c r="R245" t="b">
        <f>IF(LEN(K245)&gt;0,COUNTIF($K$3:K245,K245),FALSE)</f>
        <v>0</v>
      </c>
      <c r="S245" t="b">
        <f>IF(Taostats_CSV!A245=Taostats_CSV!$A$2,TRUE,Taostats_CSV!G245+Taostats_CSV!H245+Taostats_CSV!R245=0)</f>
        <v>0</v>
      </c>
      <c r="T245" t="b">
        <f t="shared" si="35"/>
        <v>1</v>
      </c>
      <c r="U245" t="b" cm="1">
        <f t="array" aca="1" ref="U245" ca="1">AND(T245,OR(O245-N245&gt;1,P245&gt;1,ISERROR(A245:P245)))</f>
        <v>0</v>
      </c>
      <c r="W245" t="e">
        <f>MATCH(K245&amp;$W$2,Taostats_CSV!$X$3:$X$1167,0)</f>
        <v>#N/A</v>
      </c>
      <c r="X245" t="e">
        <f t="shared" ca="1" si="30"/>
        <v>#VALUE!</v>
      </c>
      <c r="Y245">
        <f t="shared" ca="1" si="31"/>
        <v>0.25074820599999997</v>
      </c>
      <c r="Z245" t="e">
        <f t="shared" ca="1" si="32"/>
        <v>#VALUE!</v>
      </c>
    </row>
    <row r="246" spans="1:26" x14ac:dyDescent="0.4">
      <c r="A246" t="str">
        <f>MID(Taostats_CSV!C246,6,2)&amp;"/"&amp;MID(Taostats_CSV!C246,9,2)&amp;"/"&amp;LEFT(Taostats_CSV!C246,4)&amp;" "&amp;MID(Taostats_CSV!C246,12,8)</f>
        <v>04/30/2025 23:59:48</v>
      </c>
      <c r="C246" t="str">
        <f ca="1">IF(Q246,OFFSET(Taostats_CSV!$E$1,MATCH(K246&amp;D$1,Taostats_CSV!$X:$X,0)-1,0),IF(Taostats_CSV!F246="fee",IF(VALUE(Taostats_CSV!G246)&gt;0,Taostats_CSV!E246,""),""))</f>
        <v/>
      </c>
      <c r="D246" t="str">
        <f ca="1">IF(Q246,OFFSET(Taostats_CSV!$G$1,MATCH(K246&amp;D$1,Taostats_CSV!$X:$X,0)-1,0),IF(Taostats_CSV!F246="fee",IF(VALUE(Taostats_CSV!G246)&gt;0,Taostats_CSV!G246,""),""))</f>
        <v/>
      </c>
      <c r="E246" t="str">
        <f ca="1">IF(AND(Q246,P246&gt;0),OFFSET(Taostats_CSV!$E$1,MATCH(K246&amp;F$1,Taostats_CSV!$X:$X,0)-1,0),IF(LEN(F246)&gt;0,Taostats_CSV!E246,""))</f>
        <v>SN56</v>
      </c>
      <c r="F246" t="str">
        <f ca="1">TRIM(IF(AND(Q246,P246&gt;0),OFFSET(Taostats_CSV!$H$1,MATCH(K246&amp;F$1,Taostats_CSV!$X:$X,0)-1,0),IF(LEN(Taostats_CSV!H246)&gt;0,Taostats_CSV!H246,Taostats_CSV!R246)))</f>
        <v>0.249178234</v>
      </c>
      <c r="G246" t="str">
        <f ca="1">IF(AND(Q246,N246=1),OFFSET(Taostats_CSV!$E$1,MATCH(K246&amp;H$1,Taostats_CSV!$X:$X,0)-1,0),"")</f>
        <v/>
      </c>
      <c r="H246" t="str">
        <f ca="1">IF(AND(Q246,N246=1),OFFSET(Taostats_CSV!$G$1,MATCH(K246&amp;H$1,Taostats_CSV!$X:$X,0)-1,0),"")</f>
        <v/>
      </c>
      <c r="I246" t="str">
        <f ca="1">IF(AND(LEN(K246)=0,LEN(F246)&gt;0),"Income",IF(AND(O246&gt;0,P246&gt;0,C246&lt;&gt;E246),"Trade",IF(AND(NOT(Q246),Taostats_CSV!F246="fee"),'READ ME'!$C$5,"")))</f>
        <v>Income</v>
      </c>
      <c r="J246" t="str">
        <f ca="1">SUBSTITUTE(IF(LEN(I246)=0,Taostats_CSV!F246&amp;" "&amp;Taostats_CSV!J246,IF(I246="Cost","Extrinsic fee","")),"_"," ")</f>
        <v/>
      </c>
      <c r="K246" t="str">
        <f>TRIM(IF(LEN(Taostats_CSV!I246)&gt;0,Taostats_CSV!I246,""))</f>
        <v/>
      </c>
      <c r="L246">
        <f ca="1">IF(Taostats_CSV!E246&lt;&gt;"TAO",IF(LEN(F246)&gt;0,F246,IF(LEN(D246)&gt;0,D246,0))*Taostats_CSV!P246,"")</f>
        <v>11.659766836241678</v>
      </c>
      <c r="M246" t="str">
        <f t="shared" ca="1" si="33"/>
        <v>USD</v>
      </c>
      <c r="N246">
        <f>COUNTIF(Taostats_CSV!$X:$X,Taostats_CSV!$I246&amp;N$1)</f>
        <v>0</v>
      </c>
      <c r="O246">
        <f>COUNTIF(Taostats_CSV!$X:$X,Taostats_CSV!$I246&amp;O$1)</f>
        <v>0</v>
      </c>
      <c r="P246">
        <f>COUNTIF(Taostats_CSV!$X:$X,Taostats_CSV!$I246&amp;P$1)</f>
        <v>0</v>
      </c>
      <c r="Q246" t="b">
        <f t="shared" si="34"/>
        <v>0</v>
      </c>
      <c r="R246" t="b">
        <f>IF(LEN(K246)&gt;0,COUNTIF($K$3:K246,K246),FALSE)</f>
        <v>0</v>
      </c>
      <c r="S246" t="b">
        <f>IF(Taostats_CSV!A246=Taostats_CSV!$A$2,TRUE,Taostats_CSV!G246+Taostats_CSV!H246+Taostats_CSV!R246=0)</f>
        <v>0</v>
      </c>
      <c r="T246" t="b">
        <f t="shared" si="35"/>
        <v>1</v>
      </c>
      <c r="U246" t="b" cm="1">
        <f t="array" aca="1" ref="U246" ca="1">AND(T246,OR(O246-N246&gt;1,P246&gt;1,ISERROR(A246:P246)))</f>
        <v>0</v>
      </c>
      <c r="W246" t="e">
        <f>MATCH(K246&amp;$W$2,Taostats_CSV!$X$3:$X$1167,0)</f>
        <v>#N/A</v>
      </c>
      <c r="X246" t="e">
        <f t="shared" ca="1" si="30"/>
        <v>#VALUE!</v>
      </c>
      <c r="Y246">
        <f t="shared" ca="1" si="31"/>
        <v>0.249178234</v>
      </c>
      <c r="Z246" t="e">
        <f t="shared" ca="1" si="32"/>
        <v>#VALUE!</v>
      </c>
    </row>
    <row r="247" spans="1:26" x14ac:dyDescent="0.4">
      <c r="A247" t="str">
        <f>MID(Taostats_CSV!C247,6,2)&amp;"/"&amp;MID(Taostats_CSV!C247,9,2)&amp;"/"&amp;LEFT(Taostats_CSV!C247,4)&amp;" "&amp;MID(Taostats_CSV!C247,12,8)</f>
        <v>04/30/2025 23:59:48</v>
      </c>
      <c r="C247" t="str">
        <f ca="1">IF(Q247,OFFSET(Taostats_CSV!$E$1,MATCH(K247&amp;D$1,Taostats_CSV!$X:$X,0)-1,0),IF(Taostats_CSV!F247="fee",IF(VALUE(Taostats_CSV!G247)&gt;0,Taostats_CSV!E247,""),""))</f>
        <v/>
      </c>
      <c r="D247" t="str">
        <f ca="1">IF(Q247,OFFSET(Taostats_CSV!$G$1,MATCH(K247&amp;D$1,Taostats_CSV!$X:$X,0)-1,0),IF(Taostats_CSV!F247="fee",IF(VALUE(Taostats_CSV!G247)&gt;0,Taostats_CSV!G247,""),""))</f>
        <v/>
      </c>
      <c r="E247" t="str">
        <f ca="1">IF(AND(Q247,P247&gt;0),OFFSET(Taostats_CSV!$E$1,MATCH(K247&amp;F$1,Taostats_CSV!$X:$X,0)-1,0),IF(LEN(F247)&gt;0,Taostats_CSV!E247,""))</f>
        <v>SN64</v>
      </c>
      <c r="F247" t="str">
        <f ca="1">TRIM(IF(AND(Q247,P247&gt;0),OFFSET(Taostats_CSV!$H$1,MATCH(K247&amp;F$1,Taostats_CSV!$X:$X,0)-1,0),IF(LEN(Taostats_CSV!H247)&gt;0,Taostats_CSV!H247,Taostats_CSV!R247)))</f>
        <v>0.149230772</v>
      </c>
      <c r="G247" t="str">
        <f ca="1">IF(AND(Q247,N247=1),OFFSET(Taostats_CSV!$E$1,MATCH(K247&amp;H$1,Taostats_CSV!$X:$X,0)-1,0),"")</f>
        <v/>
      </c>
      <c r="H247" t="str">
        <f ca="1">IF(AND(Q247,N247=1),OFFSET(Taostats_CSV!$G$1,MATCH(K247&amp;H$1,Taostats_CSV!$X:$X,0)-1,0),"")</f>
        <v/>
      </c>
      <c r="I247" t="str">
        <f ca="1">IF(AND(LEN(K247)=0,LEN(F247)&gt;0),"Income",IF(AND(O247&gt;0,P247&gt;0,C247&lt;&gt;E247),"Trade",IF(AND(NOT(Q247),Taostats_CSV!F247="fee"),'READ ME'!$C$5,"")))</f>
        <v>Income</v>
      </c>
      <c r="J247" t="str">
        <f ca="1">SUBSTITUTE(IF(LEN(I247)=0,Taostats_CSV!F247&amp;" "&amp;Taostats_CSV!J247,IF(I247="Cost","Extrinsic fee","")),"_"," ")</f>
        <v/>
      </c>
      <c r="K247" t="str">
        <f>TRIM(IF(LEN(Taostats_CSV!I247)&gt;0,Taostats_CSV!I247,""))</f>
        <v/>
      </c>
      <c r="L247">
        <f ca="1">IF(Taostats_CSV!E247&lt;&gt;"TAO",IF(LEN(F247)&gt;0,F247,IF(LEN(D247)&gt;0,D247,0))*Taostats_CSV!P247,"")</f>
        <v>14.910665982509995</v>
      </c>
      <c r="M247" t="str">
        <f t="shared" ca="1" si="33"/>
        <v>USD</v>
      </c>
      <c r="N247">
        <f>COUNTIF(Taostats_CSV!$X:$X,Taostats_CSV!$I247&amp;N$1)</f>
        <v>0</v>
      </c>
      <c r="O247">
        <f>COUNTIF(Taostats_CSV!$X:$X,Taostats_CSV!$I247&amp;O$1)</f>
        <v>0</v>
      </c>
      <c r="P247">
        <f>COUNTIF(Taostats_CSV!$X:$X,Taostats_CSV!$I247&amp;P$1)</f>
        <v>0</v>
      </c>
      <c r="Q247" t="b">
        <f t="shared" si="34"/>
        <v>0</v>
      </c>
      <c r="R247" t="b">
        <f>IF(LEN(K247)&gt;0,COUNTIF($K$3:K247,K247),FALSE)</f>
        <v>0</v>
      </c>
      <c r="S247" t="b">
        <f>IF(Taostats_CSV!A247=Taostats_CSV!$A$2,TRUE,Taostats_CSV!G247+Taostats_CSV!H247+Taostats_CSV!R247=0)</f>
        <v>0</v>
      </c>
      <c r="T247" t="b">
        <f t="shared" si="35"/>
        <v>1</v>
      </c>
      <c r="U247" t="b" cm="1">
        <f t="array" aca="1" ref="U247" ca="1">AND(T247,OR(O247-N247&gt;1,P247&gt;1,ISERROR(A247:P247)))</f>
        <v>0</v>
      </c>
      <c r="W247" t="e">
        <f>MATCH(K247&amp;$W$2,Taostats_CSV!$X$3:$X$1167,0)</f>
        <v>#N/A</v>
      </c>
      <c r="X247" t="e">
        <f t="shared" ca="1" si="30"/>
        <v>#VALUE!</v>
      </c>
      <c r="Y247">
        <f t="shared" ca="1" si="31"/>
        <v>0.14923077200000001</v>
      </c>
      <c r="Z247" t="e">
        <f t="shared" ca="1" si="32"/>
        <v>#VALUE!</v>
      </c>
    </row>
    <row r="248" spans="1:26" hidden="1" x14ac:dyDescent="0.4">
      <c r="A248" t="str">
        <f>MID(Taostats_CSV!C248,6,2)&amp;"/"&amp;MID(Taostats_CSV!C248,9,2)&amp;"/"&amp;LEFT(Taostats_CSV!C248,4)&amp;" "&amp;MID(Taostats_CSV!C248,12,8)</f>
        <v>04/30/2025 23:59:48</v>
      </c>
      <c r="C248" t="str">
        <f ca="1">IF(Q248,OFFSET(Taostats_CSV!$E$1,MATCH(K248&amp;D$1,Taostats_CSV!$X:$X,0)-1,0),IF(Taostats_CSV!F248="fee","",IF(VALUE(Taostats_CSV!G248)&gt;0,Taostats_CSV!E248,"")))</f>
        <v/>
      </c>
      <c r="D248" t="str">
        <f ca="1">IF(Q248,OFFSET(Taostats_CSV!$G$1,MATCH(K248&amp;D$1,Taostats_CSV!$X:$X,0)-1,0),IF(Taostats_CSV!F248="fee","",IF(VALUE(Taostats_CSV!G248)&gt;0,Taostats_CSV!G248,"")))</f>
        <v/>
      </c>
      <c r="E248" t="str">
        <f ca="1">IF(AND(Q248,P248&gt;0),OFFSET(Taostats_CSV!$E$1,MATCH(K248&amp;F$1,Taostats_CSV!$X:$X,0)-1,0),IF(LEN(F248)&gt;0,Taostats_CSV!E248,""))</f>
        <v>TAO</v>
      </c>
      <c r="F248" t="str">
        <f ca="1">TRIM(IF(AND(Q248,P248&gt;0),OFFSET(Taostats_CSV!$H$1,MATCH(K248&amp;F$1,Taostats_CSV!$X:$X,0)-1,0),IF(LEN(Taostats_CSV!H248)&gt;0,Taostats_CSV!H248,Taostats_CSV!R248)))</f>
        <v>0</v>
      </c>
      <c r="G248" t="str">
        <f ca="1">IF(AND(Q248,N248=1),OFFSET(Taostats_CSV!$E$1,MATCH(K248&amp;H$1,Taostats_CSV!$X:$X,0)-1,0),IF(Taostats_CSV!F248="fee",Taostats_CSV!E248,""))</f>
        <v/>
      </c>
      <c r="H248" t="str">
        <f ca="1">IF(AND(Q248,N248=1),OFFSET(Taostats_CSV!$G$1,MATCH(K248&amp;H$1,Taostats_CSV!$X:$X,0)-1,0),IF(Taostats_CSV!F248="fee",Taostats_CSV!G248,""))</f>
        <v/>
      </c>
      <c r="I248" t="str">
        <f ca="1">IF(AND(LEN(K248)=0,LEN(F248)&gt;0),"Income",IF(AND(O248&gt;0,P248&gt;0,C248&lt;&gt;E248),"Trade",IF(AND(NOT(Q248),Taostats_CSV!F248="fee"),'READ ME'!$C$5,"")))</f>
        <v>Income</v>
      </c>
      <c r="J248" t="str">
        <f ca="1">SUBSTITUTE(IF(LEN(I248)=0,Taostats_CSV!F248&amp;" "&amp;Taostats_CSV!J248,IF(I248="Cost","Extrinsic fee","")),"_"," ")</f>
        <v/>
      </c>
      <c r="K248" t="str">
        <f>TRIM(IF(LEN(Taostats_CSV!I248)&gt;0,Taostats_CSV!I248,""))</f>
        <v/>
      </c>
      <c r="L248" t="str">
        <f>IF(Taostats_CSV!E248&lt;&gt;"TAO",IF(LEN(F248)&gt;0,F248,IF(LEN(D248)&gt;0,D248,0))*Taostats_CSV!P248,"")</f>
        <v/>
      </c>
      <c r="M248" t="str">
        <f t="shared" si="33"/>
        <v/>
      </c>
      <c r="N248">
        <f>COUNTIF(Taostats_CSV!$X:$X,Taostats_CSV!$I248&amp;N$1)</f>
        <v>0</v>
      </c>
      <c r="O248">
        <f>COUNTIF(Taostats_CSV!$X:$X,Taostats_CSV!$I248&amp;O$1)</f>
        <v>0</v>
      </c>
      <c r="P248">
        <f>COUNTIF(Taostats_CSV!$X:$X,Taostats_CSV!$I248&amp;P$1)</f>
        <v>0</v>
      </c>
      <c r="Q248" t="b">
        <f t="shared" si="34"/>
        <v>0</v>
      </c>
      <c r="R248" t="b">
        <f>IF(LEN(K248)&gt;0,COUNTIF($K$3:K248,K248),FALSE)</f>
        <v>0</v>
      </c>
      <c r="S248" t="b">
        <f>IF(Taostats_CSV!A248=Taostats_CSV!$A$2,TRUE,Taostats_CSV!G248+Taostats_CSV!H248+Taostats_CSV!R248=0)</f>
        <v>1</v>
      </c>
      <c r="T248" t="b">
        <f t="shared" si="35"/>
        <v>0</v>
      </c>
      <c r="U248" t="b" cm="1">
        <f t="array" aca="1" ref="U248" ca="1">AND(T248,OR(O248-N248&gt;1,P248&gt;1,ISERROR(A248:P248)))</f>
        <v>0</v>
      </c>
      <c r="W248" t="e">
        <f>MATCH(K248&amp;$W$2,Taostats_CSV!$X$3:$X$1167,0)</f>
        <v>#N/A</v>
      </c>
      <c r="X248" t="e">
        <f t="shared" ca="1" si="30"/>
        <v>#VALUE!</v>
      </c>
      <c r="Y248">
        <f t="shared" ca="1" si="31"/>
        <v>0</v>
      </c>
      <c r="Z248" t="e">
        <f t="shared" ca="1" si="32"/>
        <v>#VALUE!</v>
      </c>
    </row>
    <row r="249" spans="1:26" x14ac:dyDescent="0.4">
      <c r="A249" t="str">
        <f>MID(Taostats_CSV!C249,6,2)&amp;"/"&amp;MID(Taostats_CSV!C249,9,2)&amp;"/"&amp;LEFT(Taostats_CSV!C249,4)&amp;" "&amp;MID(Taostats_CSV!C249,12,8)</f>
        <v>05/01/2025 23:59:48</v>
      </c>
      <c r="C249" t="str">
        <f ca="1">IF(Q249,OFFSET(Taostats_CSV!$E$1,MATCH(K249&amp;D$1,Taostats_CSV!$X:$X,0)-1,0),IF(Taostats_CSV!F249="fee",IF(VALUE(Taostats_CSV!G249)&gt;0,Taostats_CSV!E249,""),""))</f>
        <v/>
      </c>
      <c r="D249" t="str">
        <f ca="1">IF(Q249,OFFSET(Taostats_CSV!$G$1,MATCH(K249&amp;D$1,Taostats_CSV!$X:$X,0)-1,0),IF(Taostats_CSV!F249="fee",IF(VALUE(Taostats_CSV!G249)&gt;0,Taostats_CSV!G249,""),""))</f>
        <v/>
      </c>
      <c r="E249" t="str">
        <f ca="1">IF(AND(Q249,P249&gt;0),OFFSET(Taostats_CSV!$E$1,MATCH(K249&amp;F$1,Taostats_CSV!$X:$X,0)-1,0),IF(LEN(F249)&gt;0,Taostats_CSV!E249,""))</f>
        <v>SN3</v>
      </c>
      <c r="F249" t="str">
        <f ca="1">TRIM(IF(AND(Q249,P249&gt;0),OFFSET(Taostats_CSV!$H$1,MATCH(K249&amp;F$1,Taostats_CSV!$X:$X,0)-1,0),IF(LEN(Taostats_CSV!H249)&gt;0,Taostats_CSV!H249,Taostats_CSV!R249)))</f>
        <v>0.409682801</v>
      </c>
      <c r="G249" t="str">
        <f ca="1">IF(AND(Q249,N249=1),OFFSET(Taostats_CSV!$E$1,MATCH(K249&amp;H$1,Taostats_CSV!$X:$X,0)-1,0),"")</f>
        <v/>
      </c>
      <c r="H249" t="str">
        <f ca="1">IF(AND(Q249,N249=1),OFFSET(Taostats_CSV!$G$1,MATCH(K249&amp;H$1,Taostats_CSV!$X:$X,0)-1,0),"")</f>
        <v/>
      </c>
      <c r="I249" t="str">
        <f ca="1">IF(AND(LEN(K249)=0,LEN(F249)&gt;0),"Income",IF(AND(O249&gt;0,P249&gt;0,C249&lt;&gt;E249),"Trade",IF(AND(NOT(Q249),Taostats_CSV!F249="fee"),'READ ME'!$C$5,"")))</f>
        <v>Income</v>
      </c>
      <c r="J249" t="str">
        <f ca="1">SUBSTITUTE(IF(LEN(I249)=0,Taostats_CSV!F249&amp;" "&amp;Taostats_CSV!J249,IF(I249="Cost","Extrinsic fee","")),"_"," ")</f>
        <v/>
      </c>
      <c r="K249" t="str">
        <f>TRIM(IF(LEN(Taostats_CSV!I249)&gt;0,Taostats_CSV!I249,""))</f>
        <v/>
      </c>
      <c r="L249">
        <f ca="1">IF(Taostats_CSV!E249&lt;&gt;"TAO",IF(LEN(F249)&gt;0,F249,IF(LEN(D249)&gt;0,D249,0))*Taostats_CSV!P249,"")</f>
        <v>14.467327042205584</v>
      </c>
      <c r="M249" t="str">
        <f t="shared" ca="1" si="33"/>
        <v>USD</v>
      </c>
      <c r="N249">
        <f>COUNTIF(Taostats_CSV!$X:$X,Taostats_CSV!$I249&amp;N$1)</f>
        <v>0</v>
      </c>
      <c r="O249">
        <f>COUNTIF(Taostats_CSV!$X:$X,Taostats_CSV!$I249&amp;O$1)</f>
        <v>0</v>
      </c>
      <c r="P249">
        <f>COUNTIF(Taostats_CSV!$X:$X,Taostats_CSV!$I249&amp;P$1)</f>
        <v>0</v>
      </c>
      <c r="Q249" t="b">
        <f t="shared" si="34"/>
        <v>0</v>
      </c>
      <c r="R249" t="b">
        <f>IF(LEN(K249)&gt;0,COUNTIF($K$3:K249,K249),FALSE)</f>
        <v>0</v>
      </c>
      <c r="S249" t="b">
        <f>IF(Taostats_CSV!A249=Taostats_CSV!$A$2,TRUE,Taostats_CSV!G249+Taostats_CSV!H249+Taostats_CSV!R249=0)</f>
        <v>0</v>
      </c>
      <c r="T249" t="b">
        <f t="shared" si="35"/>
        <v>1</v>
      </c>
      <c r="U249" t="b" cm="1">
        <f t="array" aca="1" ref="U249" ca="1">AND(T249,OR(O249-N249&gt;1,P249&gt;1,ISERROR(A249:P249)))</f>
        <v>0</v>
      </c>
      <c r="W249" t="e">
        <f>MATCH(K249&amp;$W$2,Taostats_CSV!$X$3:$X$1167,0)</f>
        <v>#N/A</v>
      </c>
      <c r="X249" t="e">
        <f t="shared" ca="1" si="30"/>
        <v>#VALUE!</v>
      </c>
      <c r="Y249">
        <f t="shared" ca="1" si="31"/>
        <v>0.40968280099999999</v>
      </c>
      <c r="Z249" t="e">
        <f t="shared" ca="1" si="32"/>
        <v>#VALUE!</v>
      </c>
    </row>
    <row r="250" spans="1:26" x14ac:dyDescent="0.4">
      <c r="A250" t="str">
        <f>MID(Taostats_CSV!C250,6,2)&amp;"/"&amp;MID(Taostats_CSV!C250,9,2)&amp;"/"&amp;LEFT(Taostats_CSV!C250,4)&amp;" "&amp;MID(Taostats_CSV!C250,12,8)</f>
        <v>05/01/2025 23:59:48</v>
      </c>
      <c r="C250" t="str">
        <f ca="1">IF(Q250,OFFSET(Taostats_CSV!$E$1,MATCH(K250&amp;D$1,Taostats_CSV!$X:$X,0)-1,0),IF(Taostats_CSV!F250="fee",IF(VALUE(Taostats_CSV!G250)&gt;0,Taostats_CSV!E250,""),""))</f>
        <v/>
      </c>
      <c r="D250" t="str">
        <f ca="1">IF(Q250,OFFSET(Taostats_CSV!$G$1,MATCH(K250&amp;D$1,Taostats_CSV!$X:$X,0)-1,0),IF(Taostats_CSV!F250="fee",IF(VALUE(Taostats_CSV!G250)&gt;0,Taostats_CSV!G250,""),""))</f>
        <v/>
      </c>
      <c r="E250" t="str">
        <f ca="1">IF(AND(Q250,P250&gt;0),OFFSET(Taostats_CSV!$E$1,MATCH(K250&amp;F$1,Taostats_CSV!$X:$X,0)-1,0),IF(LEN(F250)&gt;0,Taostats_CSV!E250,""))</f>
        <v>SN4</v>
      </c>
      <c r="F250" t="str">
        <f ca="1">TRIM(IF(AND(Q250,P250&gt;0),OFFSET(Taostats_CSV!$H$1,MATCH(K250&amp;F$1,Taostats_CSV!$X:$X,0)-1,0),IF(LEN(Taostats_CSV!H250)&gt;0,Taostats_CSV!H250,Taostats_CSV!R250)))</f>
        <v>0.380381332</v>
      </c>
      <c r="G250" t="str">
        <f ca="1">IF(AND(Q250,N250=1),OFFSET(Taostats_CSV!$E$1,MATCH(K250&amp;H$1,Taostats_CSV!$X:$X,0)-1,0),"")</f>
        <v/>
      </c>
      <c r="H250" t="str">
        <f ca="1">IF(AND(Q250,N250=1),OFFSET(Taostats_CSV!$G$1,MATCH(K250&amp;H$1,Taostats_CSV!$X:$X,0)-1,0),"")</f>
        <v/>
      </c>
      <c r="I250" t="str">
        <f ca="1">IF(AND(LEN(K250)=0,LEN(F250)&gt;0),"Income",IF(AND(O250&gt;0,P250&gt;0,C250&lt;&gt;E250),"Trade",IF(AND(NOT(Q250),Taostats_CSV!F250="fee"),'READ ME'!$C$5,"")))</f>
        <v>Income</v>
      </c>
      <c r="J250" t="str">
        <f ca="1">SUBSTITUTE(IF(LEN(I250)=0,Taostats_CSV!F250&amp;" "&amp;Taostats_CSV!J250,IF(I250="Cost","Extrinsic fee","")),"_"," ")</f>
        <v/>
      </c>
      <c r="K250" t="str">
        <f>TRIM(IF(LEN(Taostats_CSV!I250)&gt;0,Taostats_CSV!I250,""))</f>
        <v/>
      </c>
      <c r="L250">
        <f ca="1">IF(Taostats_CSV!E250&lt;&gt;"TAO",IF(LEN(F250)&gt;0,F250,IF(LEN(D250)&gt;0,D250,0))*Taostats_CSV!P250,"")</f>
        <v>18.791517652936349</v>
      </c>
      <c r="M250" t="str">
        <f t="shared" ca="1" si="33"/>
        <v>USD</v>
      </c>
      <c r="N250">
        <f>COUNTIF(Taostats_CSV!$X:$X,Taostats_CSV!$I250&amp;N$1)</f>
        <v>0</v>
      </c>
      <c r="O250">
        <f>COUNTIF(Taostats_CSV!$X:$X,Taostats_CSV!$I250&amp;O$1)</f>
        <v>0</v>
      </c>
      <c r="P250">
        <f>COUNTIF(Taostats_CSV!$X:$X,Taostats_CSV!$I250&amp;P$1)</f>
        <v>0</v>
      </c>
      <c r="Q250" t="b">
        <f t="shared" si="34"/>
        <v>0</v>
      </c>
      <c r="R250" t="b">
        <f>IF(LEN(K250)&gt;0,COUNTIF($K$3:K250,K250),FALSE)</f>
        <v>0</v>
      </c>
      <c r="S250" t="b">
        <f>IF(Taostats_CSV!A250=Taostats_CSV!$A$2,TRUE,Taostats_CSV!G250+Taostats_CSV!H250+Taostats_CSV!R250=0)</f>
        <v>0</v>
      </c>
      <c r="T250" t="b">
        <f t="shared" si="35"/>
        <v>1</v>
      </c>
      <c r="U250" t="b" cm="1">
        <f t="array" aca="1" ref="U250" ca="1">AND(T250,OR(O250-N250&gt;1,P250&gt;1,ISERROR(A250:P250)))</f>
        <v>0</v>
      </c>
      <c r="W250" t="e">
        <f>MATCH(K250&amp;$W$2,Taostats_CSV!$X$3:$X$1167,0)</f>
        <v>#N/A</v>
      </c>
      <c r="X250" t="e">
        <f t="shared" ca="1" si="30"/>
        <v>#VALUE!</v>
      </c>
      <c r="Y250">
        <f t="shared" ca="1" si="31"/>
        <v>0.38038133200000002</v>
      </c>
      <c r="Z250" t="e">
        <f t="shared" ca="1" si="32"/>
        <v>#VALUE!</v>
      </c>
    </row>
    <row r="251" spans="1:26" x14ac:dyDescent="0.4">
      <c r="A251" t="str">
        <f>MID(Taostats_CSV!C251,6,2)&amp;"/"&amp;MID(Taostats_CSV!C251,9,2)&amp;"/"&amp;LEFT(Taostats_CSV!C251,4)&amp;" "&amp;MID(Taostats_CSV!C251,12,8)</f>
        <v>05/01/2025 23:59:48</v>
      </c>
      <c r="C251" t="str">
        <f ca="1">IF(Q251,OFFSET(Taostats_CSV!$E$1,MATCH(K251&amp;D$1,Taostats_CSV!$X:$X,0)-1,0),IF(Taostats_CSV!F251="fee",IF(VALUE(Taostats_CSV!G251)&gt;0,Taostats_CSV!E251,""),""))</f>
        <v/>
      </c>
      <c r="D251" t="str">
        <f ca="1">IF(Q251,OFFSET(Taostats_CSV!$G$1,MATCH(K251&amp;D$1,Taostats_CSV!$X:$X,0)-1,0),IF(Taostats_CSV!F251="fee",IF(VALUE(Taostats_CSV!G251)&gt;0,Taostats_CSV!G251,""),""))</f>
        <v/>
      </c>
      <c r="E251" t="str">
        <f ca="1">IF(AND(Q251,P251&gt;0),OFFSET(Taostats_CSV!$E$1,MATCH(K251&amp;F$1,Taostats_CSV!$X:$X,0)-1,0),IF(LEN(F251)&gt;0,Taostats_CSV!E251,""))</f>
        <v>SN56</v>
      </c>
      <c r="F251" t="str">
        <f ca="1">TRIM(IF(AND(Q251,P251&gt;0),OFFSET(Taostats_CSV!$H$1,MATCH(K251&amp;F$1,Taostats_CSV!$X:$X,0)-1,0),IF(LEN(Taostats_CSV!H251)&gt;0,Taostats_CSV!H251,Taostats_CSV!R251)))</f>
        <v>0.240744171</v>
      </c>
      <c r="G251" t="str">
        <f ca="1">IF(AND(Q251,N251=1),OFFSET(Taostats_CSV!$E$1,MATCH(K251&amp;H$1,Taostats_CSV!$X:$X,0)-1,0),"")</f>
        <v/>
      </c>
      <c r="H251" t="str">
        <f ca="1">IF(AND(Q251,N251=1),OFFSET(Taostats_CSV!$G$1,MATCH(K251&amp;H$1,Taostats_CSV!$X:$X,0)-1,0),"")</f>
        <v/>
      </c>
      <c r="I251" t="str">
        <f ca="1">IF(AND(LEN(K251)=0,LEN(F251)&gt;0),"Income",IF(AND(O251&gt;0,P251&gt;0,C251&lt;&gt;E251),"Trade",IF(AND(NOT(Q251),Taostats_CSV!F251="fee"),'READ ME'!$C$5,"")))</f>
        <v>Income</v>
      </c>
      <c r="J251" t="str">
        <f ca="1">SUBSTITUTE(IF(LEN(I251)=0,Taostats_CSV!F251&amp;" "&amp;Taostats_CSV!J251,IF(I251="Cost","Extrinsic fee","")),"_"," ")</f>
        <v/>
      </c>
      <c r="K251" t="str">
        <f>TRIM(IF(LEN(Taostats_CSV!I251)&gt;0,Taostats_CSV!I251,""))</f>
        <v/>
      </c>
      <c r="L251">
        <f ca="1">IF(Taostats_CSV!E251&lt;&gt;"TAO",IF(LEN(F251)&gt;0,F251,IF(LEN(D251)&gt;0,D251,0))*Taostats_CSV!P251,"")</f>
        <v>10.217189797977658</v>
      </c>
      <c r="M251" t="str">
        <f t="shared" ca="1" si="33"/>
        <v>USD</v>
      </c>
      <c r="N251">
        <f>COUNTIF(Taostats_CSV!$X:$X,Taostats_CSV!$I251&amp;N$1)</f>
        <v>0</v>
      </c>
      <c r="O251">
        <f>COUNTIF(Taostats_CSV!$X:$X,Taostats_CSV!$I251&amp;O$1)</f>
        <v>0</v>
      </c>
      <c r="P251">
        <f>COUNTIF(Taostats_CSV!$X:$X,Taostats_CSV!$I251&amp;P$1)</f>
        <v>0</v>
      </c>
      <c r="Q251" t="b">
        <f t="shared" si="34"/>
        <v>0</v>
      </c>
      <c r="R251" t="b">
        <f>IF(LEN(K251)&gt;0,COUNTIF($K$3:K251,K251),FALSE)</f>
        <v>0</v>
      </c>
      <c r="S251" t="b">
        <f>IF(Taostats_CSV!A251=Taostats_CSV!$A$2,TRUE,Taostats_CSV!G251+Taostats_CSV!H251+Taostats_CSV!R251=0)</f>
        <v>0</v>
      </c>
      <c r="T251" t="b">
        <f t="shared" si="35"/>
        <v>1</v>
      </c>
      <c r="U251" t="b" cm="1">
        <f t="array" aca="1" ref="U251" ca="1">AND(T251,OR(O251-N251&gt;1,P251&gt;1,ISERROR(A251:P251)))</f>
        <v>0</v>
      </c>
      <c r="W251" t="e">
        <f>MATCH(K251&amp;$W$2,Taostats_CSV!$X$3:$X$1167,0)</f>
        <v>#N/A</v>
      </c>
      <c r="X251" t="e">
        <f t="shared" ca="1" si="30"/>
        <v>#VALUE!</v>
      </c>
      <c r="Y251">
        <f t="shared" ca="1" si="31"/>
        <v>0.24074417100000001</v>
      </c>
      <c r="Z251" t="e">
        <f t="shared" ca="1" si="32"/>
        <v>#VALUE!</v>
      </c>
    </row>
    <row r="252" spans="1:26" x14ac:dyDescent="0.4">
      <c r="A252" t="str">
        <f>MID(Taostats_CSV!C252,6,2)&amp;"/"&amp;MID(Taostats_CSV!C252,9,2)&amp;"/"&amp;LEFT(Taostats_CSV!C252,4)&amp;" "&amp;MID(Taostats_CSV!C252,12,8)</f>
        <v>05/01/2025 23:59:48</v>
      </c>
      <c r="C252" t="str">
        <f ca="1">IF(Q252,OFFSET(Taostats_CSV!$E$1,MATCH(K252&amp;D$1,Taostats_CSV!$X:$X,0)-1,0),IF(Taostats_CSV!F252="fee",IF(VALUE(Taostats_CSV!G252)&gt;0,Taostats_CSV!E252,""),""))</f>
        <v/>
      </c>
      <c r="D252" t="str">
        <f ca="1">IF(Q252,OFFSET(Taostats_CSV!$G$1,MATCH(K252&amp;D$1,Taostats_CSV!$X:$X,0)-1,0),IF(Taostats_CSV!F252="fee",IF(VALUE(Taostats_CSV!G252)&gt;0,Taostats_CSV!G252,""),""))</f>
        <v/>
      </c>
      <c r="E252" t="str">
        <f ca="1">IF(AND(Q252,P252&gt;0),OFFSET(Taostats_CSV!$E$1,MATCH(K252&amp;F$1,Taostats_CSV!$X:$X,0)-1,0),IF(LEN(F252)&gt;0,Taostats_CSV!E252,""))</f>
        <v>SN64</v>
      </c>
      <c r="F252" t="str">
        <f ca="1">TRIM(IF(AND(Q252,P252&gt;0),OFFSET(Taostats_CSV!$H$1,MATCH(K252&amp;F$1,Taostats_CSV!$X:$X,0)-1,0),IF(LEN(Taostats_CSV!H252)&gt;0,Taostats_CSV!H252,Taostats_CSV!R252)))</f>
        <v>0.149494142</v>
      </c>
      <c r="G252" t="str">
        <f ca="1">IF(AND(Q252,N252=1),OFFSET(Taostats_CSV!$E$1,MATCH(K252&amp;H$1,Taostats_CSV!$X:$X,0)-1,0),"")</f>
        <v/>
      </c>
      <c r="H252" t="str">
        <f ca="1">IF(AND(Q252,N252=1),OFFSET(Taostats_CSV!$G$1,MATCH(K252&amp;H$1,Taostats_CSV!$X:$X,0)-1,0),"")</f>
        <v/>
      </c>
      <c r="I252" t="str">
        <f ca="1">IF(AND(LEN(K252)=0,LEN(F252)&gt;0),"Income",IF(AND(O252&gt;0,P252&gt;0,C252&lt;&gt;E252),"Trade",IF(AND(NOT(Q252),Taostats_CSV!F252="fee"),'READ ME'!$C$5,"")))</f>
        <v>Income</v>
      </c>
      <c r="J252" t="str">
        <f ca="1">SUBSTITUTE(IF(LEN(I252)=0,Taostats_CSV!F252&amp;" "&amp;Taostats_CSV!J252,IF(I252="Cost","Extrinsic fee","")),"_"," ")</f>
        <v/>
      </c>
      <c r="K252" t="str">
        <f>TRIM(IF(LEN(Taostats_CSV!I252)&gt;0,Taostats_CSV!I252,""))</f>
        <v/>
      </c>
      <c r="L252">
        <f ca="1">IF(Taostats_CSV!E252&lt;&gt;"TAO",IF(LEN(F252)&gt;0,F252,IF(LEN(D252)&gt;0,D252,0))*Taostats_CSV!P252,"")</f>
        <v>14.204203540707555</v>
      </c>
      <c r="M252" t="str">
        <f t="shared" ca="1" si="33"/>
        <v>USD</v>
      </c>
      <c r="N252">
        <f>COUNTIF(Taostats_CSV!$X:$X,Taostats_CSV!$I252&amp;N$1)</f>
        <v>0</v>
      </c>
      <c r="O252">
        <f>COUNTIF(Taostats_CSV!$X:$X,Taostats_CSV!$I252&amp;O$1)</f>
        <v>0</v>
      </c>
      <c r="P252">
        <f>COUNTIF(Taostats_CSV!$X:$X,Taostats_CSV!$I252&amp;P$1)</f>
        <v>0</v>
      </c>
      <c r="Q252" t="b">
        <f t="shared" si="34"/>
        <v>0</v>
      </c>
      <c r="R252" t="b">
        <f>IF(LEN(K252)&gt;0,COUNTIF($K$3:K252,K252),FALSE)</f>
        <v>0</v>
      </c>
      <c r="S252" t="b">
        <f>IF(Taostats_CSV!A252=Taostats_CSV!$A$2,TRUE,Taostats_CSV!G252+Taostats_CSV!H252+Taostats_CSV!R252=0)</f>
        <v>0</v>
      </c>
      <c r="T252" t="b">
        <f t="shared" si="35"/>
        <v>1</v>
      </c>
      <c r="U252" t="b" cm="1">
        <f t="array" aca="1" ref="U252" ca="1">AND(T252,OR(O252-N252&gt;1,P252&gt;1,ISERROR(A252:P252)))</f>
        <v>0</v>
      </c>
      <c r="W252" t="e">
        <f>MATCH(K252&amp;$W$2,Taostats_CSV!$X$3:$X$1167,0)</f>
        <v>#N/A</v>
      </c>
      <c r="X252" t="e">
        <f t="shared" ca="1" si="30"/>
        <v>#VALUE!</v>
      </c>
      <c r="Y252">
        <f t="shared" ca="1" si="31"/>
        <v>0.149494142</v>
      </c>
      <c r="Z252" t="e">
        <f t="shared" ca="1" si="32"/>
        <v>#VALUE!</v>
      </c>
    </row>
    <row r="253" spans="1:26" hidden="1" x14ac:dyDescent="0.4">
      <c r="A253" t="str">
        <f>MID(Taostats_CSV!C253,6,2)&amp;"/"&amp;MID(Taostats_CSV!C253,9,2)&amp;"/"&amp;LEFT(Taostats_CSV!C253,4)&amp;" "&amp;MID(Taostats_CSV!C253,12,8)</f>
        <v>05/01/2025 23:59:48</v>
      </c>
      <c r="C253" t="str">
        <f ca="1">IF(Q253,OFFSET(Taostats_CSV!$E$1,MATCH(K253&amp;D$1,Taostats_CSV!$X:$X,0)-1,0),IF(Taostats_CSV!F253="fee","",IF(VALUE(Taostats_CSV!G253)&gt;0,Taostats_CSV!E253,"")))</f>
        <v/>
      </c>
      <c r="D253" t="str">
        <f ca="1">IF(Q253,OFFSET(Taostats_CSV!$G$1,MATCH(K253&amp;D$1,Taostats_CSV!$X:$X,0)-1,0),IF(Taostats_CSV!F253="fee","",IF(VALUE(Taostats_CSV!G253)&gt;0,Taostats_CSV!G253,"")))</f>
        <v/>
      </c>
      <c r="E253" t="str">
        <f ca="1">IF(AND(Q253,P253&gt;0),OFFSET(Taostats_CSV!$E$1,MATCH(K253&amp;F$1,Taostats_CSV!$X:$X,0)-1,0),IF(LEN(F253)&gt;0,Taostats_CSV!E253,""))</f>
        <v>TAO</v>
      </c>
      <c r="F253" t="str">
        <f ca="1">TRIM(IF(AND(Q253,P253&gt;0),OFFSET(Taostats_CSV!$H$1,MATCH(K253&amp;F$1,Taostats_CSV!$X:$X,0)-1,0),IF(LEN(Taostats_CSV!H253)&gt;0,Taostats_CSV!H253,Taostats_CSV!R253)))</f>
        <v>0</v>
      </c>
      <c r="G253" t="str">
        <f ca="1">IF(AND(Q253,N253=1),OFFSET(Taostats_CSV!$E$1,MATCH(K253&amp;H$1,Taostats_CSV!$X:$X,0)-1,0),IF(Taostats_CSV!F253="fee",Taostats_CSV!E253,""))</f>
        <v/>
      </c>
      <c r="H253" t="str">
        <f ca="1">IF(AND(Q253,N253=1),OFFSET(Taostats_CSV!$G$1,MATCH(K253&amp;H$1,Taostats_CSV!$X:$X,0)-1,0),IF(Taostats_CSV!F253="fee",Taostats_CSV!G253,""))</f>
        <v/>
      </c>
      <c r="I253" t="str">
        <f ca="1">IF(AND(LEN(K253)=0,LEN(F253)&gt;0),"Income",IF(AND(O253&gt;0,P253&gt;0,C253&lt;&gt;E253),"Trade",IF(AND(NOT(Q253),Taostats_CSV!F253="fee"),'READ ME'!$C$5,"")))</f>
        <v>Income</v>
      </c>
      <c r="J253" t="str">
        <f ca="1">SUBSTITUTE(IF(LEN(I253)=0,Taostats_CSV!F253&amp;" "&amp;Taostats_CSV!J253,IF(I253="Cost","Extrinsic fee","")),"_"," ")</f>
        <v/>
      </c>
      <c r="K253" t="str">
        <f>TRIM(IF(LEN(Taostats_CSV!I253)&gt;0,Taostats_CSV!I253,""))</f>
        <v/>
      </c>
      <c r="L253" t="str">
        <f>IF(Taostats_CSV!E253&lt;&gt;"TAO",IF(LEN(F253)&gt;0,F253,IF(LEN(D253)&gt;0,D253,0))*Taostats_CSV!P253,"")</f>
        <v/>
      </c>
      <c r="M253" t="str">
        <f t="shared" si="33"/>
        <v/>
      </c>
      <c r="N253">
        <f>COUNTIF(Taostats_CSV!$X:$X,Taostats_CSV!$I253&amp;N$1)</f>
        <v>0</v>
      </c>
      <c r="O253">
        <f>COUNTIF(Taostats_CSV!$X:$X,Taostats_CSV!$I253&amp;O$1)</f>
        <v>0</v>
      </c>
      <c r="P253">
        <f>COUNTIF(Taostats_CSV!$X:$X,Taostats_CSV!$I253&amp;P$1)</f>
        <v>0</v>
      </c>
      <c r="Q253" t="b">
        <f t="shared" si="34"/>
        <v>0</v>
      </c>
      <c r="R253" t="b">
        <f>IF(LEN(K253)&gt;0,COUNTIF($K$3:K253,K253),FALSE)</f>
        <v>0</v>
      </c>
      <c r="S253" t="b">
        <f>IF(Taostats_CSV!A253=Taostats_CSV!$A$2,TRUE,Taostats_CSV!G253+Taostats_CSV!H253+Taostats_CSV!R253=0)</f>
        <v>1</v>
      </c>
      <c r="T253" t="b">
        <f t="shared" si="35"/>
        <v>0</v>
      </c>
      <c r="U253" t="b" cm="1">
        <f t="array" aca="1" ref="U253" ca="1">AND(T253,OR(O253-N253&gt;1,P253&gt;1,ISERROR(A253:P253)))</f>
        <v>0</v>
      </c>
      <c r="W253" t="e">
        <f>MATCH(K253&amp;$W$2,Taostats_CSV!$X$3:$X$1167,0)</f>
        <v>#N/A</v>
      </c>
      <c r="X253" t="e">
        <f t="shared" ca="1" si="30"/>
        <v>#VALUE!</v>
      </c>
      <c r="Y253">
        <f t="shared" ca="1" si="31"/>
        <v>0</v>
      </c>
      <c r="Z253" t="e">
        <f t="shared" ca="1" si="32"/>
        <v>#VALUE!</v>
      </c>
    </row>
    <row r="254" spans="1:26" x14ac:dyDescent="0.4">
      <c r="A254" t="str">
        <f>MID(Taostats_CSV!C254,6,2)&amp;"/"&amp;MID(Taostats_CSV!C254,9,2)&amp;"/"&amp;LEFT(Taostats_CSV!C254,4)&amp;" "&amp;MID(Taostats_CSV!C254,12,8)</f>
        <v>05/02/2025 23:59:48</v>
      </c>
      <c r="C254" t="str">
        <f ca="1">IF(Q254,OFFSET(Taostats_CSV!$E$1,MATCH(K254&amp;D$1,Taostats_CSV!$X:$X,0)-1,0),IF(Taostats_CSV!F254="fee",IF(VALUE(Taostats_CSV!G254)&gt;0,Taostats_CSV!E254,""),""))</f>
        <v/>
      </c>
      <c r="D254" t="str">
        <f ca="1">IF(Q254,OFFSET(Taostats_CSV!$G$1,MATCH(K254&amp;D$1,Taostats_CSV!$X:$X,0)-1,0),IF(Taostats_CSV!F254="fee",IF(VALUE(Taostats_CSV!G254)&gt;0,Taostats_CSV!G254,""),""))</f>
        <v/>
      </c>
      <c r="E254" t="str">
        <f ca="1">IF(AND(Q254,P254&gt;0),OFFSET(Taostats_CSV!$E$1,MATCH(K254&amp;F$1,Taostats_CSV!$X:$X,0)-1,0),IF(LEN(F254)&gt;0,Taostats_CSV!E254,""))</f>
        <v>SN3</v>
      </c>
      <c r="F254" t="str">
        <f ca="1">TRIM(IF(AND(Q254,P254&gt;0),OFFSET(Taostats_CSV!$H$1,MATCH(K254&amp;F$1,Taostats_CSV!$X:$X,0)-1,0),IF(LEN(Taostats_CSV!H254)&gt;0,Taostats_CSV!H254,Taostats_CSV!R254)))</f>
        <v>0.409271365</v>
      </c>
      <c r="G254" t="str">
        <f ca="1">IF(AND(Q254,N254=1),OFFSET(Taostats_CSV!$E$1,MATCH(K254&amp;H$1,Taostats_CSV!$X:$X,0)-1,0),"")</f>
        <v/>
      </c>
      <c r="H254" t="str">
        <f ca="1">IF(AND(Q254,N254=1),OFFSET(Taostats_CSV!$G$1,MATCH(K254&amp;H$1,Taostats_CSV!$X:$X,0)-1,0),"")</f>
        <v/>
      </c>
      <c r="I254" t="str">
        <f ca="1">IF(AND(LEN(K254)=0,LEN(F254)&gt;0),"Income",IF(AND(O254&gt;0,P254&gt;0,C254&lt;&gt;E254),"Trade",IF(AND(NOT(Q254),Taostats_CSV!F254="fee"),'READ ME'!$C$5,"")))</f>
        <v>Income</v>
      </c>
      <c r="J254" t="str">
        <f ca="1">SUBSTITUTE(IF(LEN(I254)=0,Taostats_CSV!F254&amp;" "&amp;Taostats_CSV!J254,IF(I254="Cost","Extrinsic fee","")),"_"," ")</f>
        <v/>
      </c>
      <c r="K254" t="str">
        <f>TRIM(IF(LEN(Taostats_CSV!I254)&gt;0,Taostats_CSV!I254,""))</f>
        <v/>
      </c>
      <c r="L254">
        <f ca="1">IF(Taostats_CSV!E254&lt;&gt;"TAO",IF(LEN(F254)&gt;0,F254,IF(LEN(D254)&gt;0,D254,0))*Taostats_CSV!P254,"")</f>
        <v>17.019512355863444</v>
      </c>
      <c r="M254" t="str">
        <f t="shared" ca="1" si="33"/>
        <v>USD</v>
      </c>
      <c r="N254">
        <f>COUNTIF(Taostats_CSV!$X:$X,Taostats_CSV!$I254&amp;N$1)</f>
        <v>0</v>
      </c>
      <c r="O254">
        <f>COUNTIF(Taostats_CSV!$X:$X,Taostats_CSV!$I254&amp;O$1)</f>
        <v>0</v>
      </c>
      <c r="P254">
        <f>COUNTIF(Taostats_CSV!$X:$X,Taostats_CSV!$I254&amp;P$1)</f>
        <v>0</v>
      </c>
      <c r="Q254" t="b">
        <f t="shared" si="34"/>
        <v>0</v>
      </c>
      <c r="R254" t="b">
        <f>IF(LEN(K254)&gt;0,COUNTIF($K$3:K254,K254),FALSE)</f>
        <v>0</v>
      </c>
      <c r="S254" t="b">
        <f>IF(Taostats_CSV!A254=Taostats_CSV!$A$2,TRUE,Taostats_CSV!G254+Taostats_CSV!H254+Taostats_CSV!R254=0)</f>
        <v>0</v>
      </c>
      <c r="T254" t="b">
        <f t="shared" si="35"/>
        <v>1</v>
      </c>
      <c r="U254" t="b" cm="1">
        <f t="array" aca="1" ref="U254" ca="1">AND(T254,OR(O254-N254&gt;1,P254&gt;1,ISERROR(A254:P254)))</f>
        <v>0</v>
      </c>
      <c r="W254" t="e">
        <f>MATCH(K254&amp;$W$2,Taostats_CSV!$X$3:$X$1167,0)</f>
        <v>#N/A</v>
      </c>
      <c r="X254" t="e">
        <f t="shared" ca="1" si="30"/>
        <v>#VALUE!</v>
      </c>
      <c r="Y254">
        <f t="shared" ca="1" si="31"/>
        <v>0.409271365</v>
      </c>
      <c r="Z254" t="e">
        <f t="shared" ca="1" si="32"/>
        <v>#VALUE!</v>
      </c>
    </row>
    <row r="255" spans="1:26" x14ac:dyDescent="0.4">
      <c r="A255" t="str">
        <f>MID(Taostats_CSV!C255,6,2)&amp;"/"&amp;MID(Taostats_CSV!C255,9,2)&amp;"/"&amp;LEFT(Taostats_CSV!C255,4)&amp;" "&amp;MID(Taostats_CSV!C255,12,8)</f>
        <v>05/02/2025 23:59:48</v>
      </c>
      <c r="C255" t="str">
        <f ca="1">IF(Q255,OFFSET(Taostats_CSV!$E$1,MATCH(K255&amp;D$1,Taostats_CSV!$X:$X,0)-1,0),IF(Taostats_CSV!F255="fee",IF(VALUE(Taostats_CSV!G255)&gt;0,Taostats_CSV!E255,""),""))</f>
        <v/>
      </c>
      <c r="D255" t="str">
        <f ca="1">IF(Q255,OFFSET(Taostats_CSV!$G$1,MATCH(K255&amp;D$1,Taostats_CSV!$X:$X,0)-1,0),IF(Taostats_CSV!F255="fee",IF(VALUE(Taostats_CSV!G255)&gt;0,Taostats_CSV!G255,""),""))</f>
        <v/>
      </c>
      <c r="E255" t="str">
        <f ca="1">IF(AND(Q255,P255&gt;0),OFFSET(Taostats_CSV!$E$1,MATCH(K255&amp;F$1,Taostats_CSV!$X:$X,0)-1,0),IF(LEN(F255)&gt;0,Taostats_CSV!E255,""))</f>
        <v>SN4</v>
      </c>
      <c r="F255" t="str">
        <f ca="1">TRIM(IF(AND(Q255,P255&gt;0),OFFSET(Taostats_CSV!$H$1,MATCH(K255&amp;F$1,Taostats_CSV!$X:$X,0)-1,0),IF(LEN(Taostats_CSV!H255)&gt;0,Taostats_CSV!H255,Taostats_CSV!R255)))</f>
        <v>0.381093837</v>
      </c>
      <c r="G255" t="str">
        <f ca="1">IF(AND(Q255,N255=1),OFFSET(Taostats_CSV!$E$1,MATCH(K255&amp;H$1,Taostats_CSV!$X:$X,0)-1,0),"")</f>
        <v/>
      </c>
      <c r="H255" t="str">
        <f ca="1">IF(AND(Q255,N255=1),OFFSET(Taostats_CSV!$G$1,MATCH(K255&amp;H$1,Taostats_CSV!$X:$X,0)-1,0),"")</f>
        <v/>
      </c>
      <c r="I255" t="str">
        <f ca="1">IF(AND(LEN(K255)=0,LEN(F255)&gt;0),"Income",IF(AND(O255&gt;0,P255&gt;0,C255&lt;&gt;E255),"Trade",IF(AND(NOT(Q255),Taostats_CSV!F255="fee"),'READ ME'!$C$5,"")))</f>
        <v>Income</v>
      </c>
      <c r="J255" t="str">
        <f ca="1">SUBSTITUTE(IF(LEN(I255)=0,Taostats_CSV!F255&amp;" "&amp;Taostats_CSV!J255,IF(I255="Cost","Extrinsic fee","")),"_"," ")</f>
        <v/>
      </c>
      <c r="K255" t="str">
        <f>TRIM(IF(LEN(Taostats_CSV!I255)&gt;0,Taostats_CSV!I255,""))</f>
        <v/>
      </c>
      <c r="L255">
        <f ca="1">IF(Taostats_CSV!E255&lt;&gt;"TAO",IF(LEN(F255)&gt;0,F255,IF(LEN(D255)&gt;0,D255,0))*Taostats_CSV!P255,"")</f>
        <v>20.584019746686202</v>
      </c>
      <c r="M255" t="str">
        <f t="shared" ca="1" si="33"/>
        <v>USD</v>
      </c>
      <c r="N255">
        <f>COUNTIF(Taostats_CSV!$X:$X,Taostats_CSV!$I255&amp;N$1)</f>
        <v>0</v>
      </c>
      <c r="O255">
        <f>COUNTIF(Taostats_CSV!$X:$X,Taostats_CSV!$I255&amp;O$1)</f>
        <v>0</v>
      </c>
      <c r="P255">
        <f>COUNTIF(Taostats_CSV!$X:$X,Taostats_CSV!$I255&amp;P$1)</f>
        <v>0</v>
      </c>
      <c r="Q255" t="b">
        <f t="shared" si="34"/>
        <v>0</v>
      </c>
      <c r="R255" t="b">
        <f>IF(LEN(K255)&gt;0,COUNTIF($K$3:K255,K255),FALSE)</f>
        <v>0</v>
      </c>
      <c r="S255" t="b">
        <f>IF(Taostats_CSV!A255=Taostats_CSV!$A$2,TRUE,Taostats_CSV!G255+Taostats_CSV!H255+Taostats_CSV!R255=0)</f>
        <v>0</v>
      </c>
      <c r="T255" t="b">
        <f t="shared" si="35"/>
        <v>1</v>
      </c>
      <c r="U255" t="b" cm="1">
        <f t="array" aca="1" ref="U255" ca="1">AND(T255,OR(O255-N255&gt;1,P255&gt;1,ISERROR(A255:P255)))</f>
        <v>0</v>
      </c>
      <c r="W255" t="e">
        <f>MATCH(K255&amp;$W$2,Taostats_CSV!$X$3:$X$1167,0)</f>
        <v>#N/A</v>
      </c>
      <c r="X255" t="e">
        <f t="shared" ca="1" si="30"/>
        <v>#VALUE!</v>
      </c>
      <c r="Y255">
        <f t="shared" ca="1" si="31"/>
        <v>0.38109383699999999</v>
      </c>
      <c r="Z255" t="e">
        <f t="shared" ca="1" si="32"/>
        <v>#VALUE!</v>
      </c>
    </row>
    <row r="256" spans="1:26" x14ac:dyDescent="0.4">
      <c r="A256" t="str">
        <f>MID(Taostats_CSV!C256,6,2)&amp;"/"&amp;MID(Taostats_CSV!C256,9,2)&amp;"/"&amp;LEFT(Taostats_CSV!C256,4)&amp;" "&amp;MID(Taostats_CSV!C256,12,8)</f>
        <v>05/02/2025 23:59:48</v>
      </c>
      <c r="C256" t="str">
        <f ca="1">IF(Q256,OFFSET(Taostats_CSV!$E$1,MATCH(K256&amp;D$1,Taostats_CSV!$X:$X,0)-1,0),IF(Taostats_CSV!F256="fee",IF(VALUE(Taostats_CSV!G256)&gt;0,Taostats_CSV!E256,""),""))</f>
        <v/>
      </c>
      <c r="D256" t="str">
        <f ca="1">IF(Q256,OFFSET(Taostats_CSV!$G$1,MATCH(K256&amp;D$1,Taostats_CSV!$X:$X,0)-1,0),IF(Taostats_CSV!F256="fee",IF(VALUE(Taostats_CSV!G256)&gt;0,Taostats_CSV!G256,""),""))</f>
        <v/>
      </c>
      <c r="E256" t="str">
        <f ca="1">IF(AND(Q256,P256&gt;0),OFFSET(Taostats_CSV!$E$1,MATCH(K256&amp;F$1,Taostats_CSV!$X:$X,0)-1,0),IF(LEN(F256)&gt;0,Taostats_CSV!E256,""))</f>
        <v>SN56</v>
      </c>
      <c r="F256" t="str">
        <f ca="1">TRIM(IF(AND(Q256,P256&gt;0),OFFSET(Taostats_CSV!$H$1,MATCH(K256&amp;F$1,Taostats_CSV!$X:$X,0)-1,0),IF(LEN(Taostats_CSV!H256)&gt;0,Taostats_CSV!H256,Taostats_CSV!R256)))</f>
        <v>0.240452636</v>
      </c>
      <c r="G256" t="str">
        <f ca="1">IF(AND(Q256,N256=1),OFFSET(Taostats_CSV!$E$1,MATCH(K256&amp;H$1,Taostats_CSV!$X:$X,0)-1,0),"")</f>
        <v/>
      </c>
      <c r="H256" t="str">
        <f ca="1">IF(AND(Q256,N256=1),OFFSET(Taostats_CSV!$G$1,MATCH(K256&amp;H$1,Taostats_CSV!$X:$X,0)-1,0),"")</f>
        <v/>
      </c>
      <c r="I256" t="str">
        <f ca="1">IF(AND(LEN(K256)=0,LEN(F256)&gt;0),"Income",IF(AND(O256&gt;0,P256&gt;0,C256&lt;&gt;E256),"Trade",IF(AND(NOT(Q256),Taostats_CSV!F256="fee"),'READ ME'!$C$5,"")))</f>
        <v>Income</v>
      </c>
      <c r="J256" t="str">
        <f ca="1">SUBSTITUTE(IF(LEN(I256)=0,Taostats_CSV!F256&amp;" "&amp;Taostats_CSV!J256,IF(I256="Cost","Extrinsic fee","")),"_"," ")</f>
        <v/>
      </c>
      <c r="K256" t="str">
        <f>TRIM(IF(LEN(Taostats_CSV!I256)&gt;0,Taostats_CSV!I256,""))</f>
        <v/>
      </c>
      <c r="L256">
        <f ca="1">IF(Taostats_CSV!E256&lt;&gt;"TAO",IF(LEN(F256)&gt;0,F256,IF(LEN(D256)&gt;0,D256,0))*Taostats_CSV!P256,"")</f>
        <v>12.347070080861771</v>
      </c>
      <c r="M256" t="str">
        <f t="shared" ca="1" si="33"/>
        <v>USD</v>
      </c>
      <c r="N256">
        <f>COUNTIF(Taostats_CSV!$X:$X,Taostats_CSV!$I256&amp;N$1)</f>
        <v>0</v>
      </c>
      <c r="O256">
        <f>COUNTIF(Taostats_CSV!$X:$X,Taostats_CSV!$I256&amp;O$1)</f>
        <v>0</v>
      </c>
      <c r="P256">
        <f>COUNTIF(Taostats_CSV!$X:$X,Taostats_CSV!$I256&amp;P$1)</f>
        <v>0</v>
      </c>
      <c r="Q256" t="b">
        <f t="shared" si="34"/>
        <v>0</v>
      </c>
      <c r="R256" t="b">
        <f>IF(LEN(K256)&gt;0,COUNTIF($K$3:K256,K256),FALSE)</f>
        <v>0</v>
      </c>
      <c r="S256" t="b">
        <f>IF(Taostats_CSV!A256=Taostats_CSV!$A$2,TRUE,Taostats_CSV!G256+Taostats_CSV!H256+Taostats_CSV!R256=0)</f>
        <v>0</v>
      </c>
      <c r="T256" t="b">
        <f t="shared" si="35"/>
        <v>1</v>
      </c>
      <c r="U256" t="b" cm="1">
        <f t="array" aca="1" ref="U256" ca="1">AND(T256,OR(O256-N256&gt;1,P256&gt;1,ISERROR(A256:P256)))</f>
        <v>0</v>
      </c>
      <c r="W256" t="e">
        <f>MATCH(K256&amp;$W$2,Taostats_CSV!$X$3:$X$1167,0)</f>
        <v>#N/A</v>
      </c>
      <c r="X256" t="e">
        <f t="shared" ca="1" si="30"/>
        <v>#VALUE!</v>
      </c>
      <c r="Y256">
        <f t="shared" ca="1" si="31"/>
        <v>0.240452636</v>
      </c>
      <c r="Z256" t="e">
        <f t="shared" ca="1" si="32"/>
        <v>#VALUE!</v>
      </c>
    </row>
    <row r="257" spans="1:26" x14ac:dyDescent="0.4">
      <c r="A257" t="str">
        <f>MID(Taostats_CSV!C257,6,2)&amp;"/"&amp;MID(Taostats_CSV!C257,9,2)&amp;"/"&amp;LEFT(Taostats_CSV!C257,4)&amp;" "&amp;MID(Taostats_CSV!C257,12,8)</f>
        <v>05/02/2025 23:59:48</v>
      </c>
      <c r="C257" t="str">
        <f ca="1">IF(Q257,OFFSET(Taostats_CSV!$E$1,MATCH(K257&amp;D$1,Taostats_CSV!$X:$X,0)-1,0),IF(Taostats_CSV!F257="fee",IF(VALUE(Taostats_CSV!G257)&gt;0,Taostats_CSV!E257,""),""))</f>
        <v/>
      </c>
      <c r="D257" t="str">
        <f ca="1">IF(Q257,OFFSET(Taostats_CSV!$G$1,MATCH(K257&amp;D$1,Taostats_CSV!$X:$X,0)-1,0),IF(Taostats_CSV!F257="fee",IF(VALUE(Taostats_CSV!G257)&gt;0,Taostats_CSV!G257,""),""))</f>
        <v/>
      </c>
      <c r="E257" t="str">
        <f ca="1">IF(AND(Q257,P257&gt;0),OFFSET(Taostats_CSV!$E$1,MATCH(K257&amp;F$1,Taostats_CSV!$X:$X,0)-1,0),IF(LEN(F257)&gt;0,Taostats_CSV!E257,""))</f>
        <v>SN64</v>
      </c>
      <c r="F257" t="str">
        <f ca="1">TRIM(IF(AND(Q257,P257&gt;0),OFFSET(Taostats_CSV!$H$1,MATCH(K257&amp;F$1,Taostats_CSV!$X:$X,0)-1,0),IF(LEN(Taostats_CSV!H257)&gt;0,Taostats_CSV!H257,Taostats_CSV!R257)))</f>
        <v>0.146082985</v>
      </c>
      <c r="G257" t="str">
        <f ca="1">IF(AND(Q257,N257=1),OFFSET(Taostats_CSV!$E$1,MATCH(K257&amp;H$1,Taostats_CSV!$X:$X,0)-1,0),"")</f>
        <v/>
      </c>
      <c r="H257" t="str">
        <f ca="1">IF(AND(Q257,N257=1),OFFSET(Taostats_CSV!$G$1,MATCH(K257&amp;H$1,Taostats_CSV!$X:$X,0)-1,0),"")</f>
        <v/>
      </c>
      <c r="I257" t="str">
        <f ca="1">IF(AND(LEN(K257)=0,LEN(F257)&gt;0),"Income",IF(AND(O257&gt;0,P257&gt;0,C257&lt;&gt;E257),"Trade",IF(AND(NOT(Q257),Taostats_CSV!F257="fee"),'READ ME'!$C$5,"")))</f>
        <v>Income</v>
      </c>
      <c r="J257" t="str">
        <f ca="1">SUBSTITUTE(IF(LEN(I257)=0,Taostats_CSV!F257&amp;" "&amp;Taostats_CSV!J257,IF(I257="Cost","Extrinsic fee","")),"_"," ")</f>
        <v/>
      </c>
      <c r="K257" t="str">
        <f>TRIM(IF(LEN(Taostats_CSV!I257)&gt;0,Taostats_CSV!I257,""))</f>
        <v/>
      </c>
      <c r="L257">
        <f ca="1">IF(Taostats_CSV!E257&lt;&gt;"TAO",IF(LEN(F257)&gt;0,F257,IF(LEN(D257)&gt;0,D257,0))*Taostats_CSV!P257,"")</f>
        <v>16.408557087667237</v>
      </c>
      <c r="M257" t="str">
        <f t="shared" ca="1" si="33"/>
        <v>USD</v>
      </c>
      <c r="N257">
        <f>COUNTIF(Taostats_CSV!$X:$X,Taostats_CSV!$I257&amp;N$1)</f>
        <v>0</v>
      </c>
      <c r="O257">
        <f>COUNTIF(Taostats_CSV!$X:$X,Taostats_CSV!$I257&amp;O$1)</f>
        <v>0</v>
      </c>
      <c r="P257">
        <f>COUNTIF(Taostats_CSV!$X:$X,Taostats_CSV!$I257&amp;P$1)</f>
        <v>0</v>
      </c>
      <c r="Q257" t="b">
        <f t="shared" si="34"/>
        <v>0</v>
      </c>
      <c r="R257" t="b">
        <f>IF(LEN(K257)&gt;0,COUNTIF($K$3:K257,K257),FALSE)</f>
        <v>0</v>
      </c>
      <c r="S257" t="b">
        <f>IF(Taostats_CSV!A257=Taostats_CSV!$A$2,TRUE,Taostats_CSV!G257+Taostats_CSV!H257+Taostats_CSV!R257=0)</f>
        <v>0</v>
      </c>
      <c r="T257" t="b">
        <f t="shared" si="35"/>
        <v>1</v>
      </c>
      <c r="U257" t="b" cm="1">
        <f t="array" aca="1" ref="U257" ca="1">AND(T257,OR(O257-N257&gt;1,P257&gt;1,ISERROR(A257:P257)))</f>
        <v>0</v>
      </c>
      <c r="W257" t="e">
        <f>MATCH(K257&amp;$W$2,Taostats_CSV!$X$3:$X$1167,0)</f>
        <v>#N/A</v>
      </c>
      <c r="X257" t="e">
        <f t="shared" ca="1" si="30"/>
        <v>#VALUE!</v>
      </c>
      <c r="Y257">
        <f t="shared" ca="1" si="31"/>
        <v>0.146082985</v>
      </c>
      <c r="Z257" t="e">
        <f t="shared" ca="1" si="32"/>
        <v>#VALUE!</v>
      </c>
    </row>
    <row r="258" spans="1:26" hidden="1" x14ac:dyDescent="0.4">
      <c r="A258" t="str">
        <f>MID(Taostats_CSV!C258,6,2)&amp;"/"&amp;MID(Taostats_CSV!C258,9,2)&amp;"/"&amp;LEFT(Taostats_CSV!C258,4)&amp;" "&amp;MID(Taostats_CSV!C258,12,8)</f>
        <v>05/02/2025 23:59:48</v>
      </c>
      <c r="C258" t="str">
        <f ca="1">IF(Q258,OFFSET(Taostats_CSV!$E$1,MATCH(K258&amp;D$1,Taostats_CSV!$X:$X,0)-1,0),IF(Taostats_CSV!F258="fee","",IF(VALUE(Taostats_CSV!G258)&gt;0,Taostats_CSV!E258,"")))</f>
        <v/>
      </c>
      <c r="D258" t="str">
        <f ca="1">IF(Q258,OFFSET(Taostats_CSV!$G$1,MATCH(K258&amp;D$1,Taostats_CSV!$X:$X,0)-1,0),IF(Taostats_CSV!F258="fee","",IF(VALUE(Taostats_CSV!G258)&gt;0,Taostats_CSV!G258,"")))</f>
        <v/>
      </c>
      <c r="E258" t="str">
        <f ca="1">IF(AND(Q258,P258&gt;0),OFFSET(Taostats_CSV!$E$1,MATCH(K258&amp;F$1,Taostats_CSV!$X:$X,0)-1,0),IF(LEN(F258)&gt;0,Taostats_CSV!E258,""))</f>
        <v>TAO</v>
      </c>
      <c r="F258" t="str">
        <f ca="1">TRIM(IF(AND(Q258,P258&gt;0),OFFSET(Taostats_CSV!$H$1,MATCH(K258&amp;F$1,Taostats_CSV!$X:$X,0)-1,0),IF(LEN(Taostats_CSV!H258)&gt;0,Taostats_CSV!H258,Taostats_CSV!R258)))</f>
        <v>0</v>
      </c>
      <c r="G258" t="str">
        <f ca="1">IF(AND(Q258,N258=1),OFFSET(Taostats_CSV!$E$1,MATCH(K258&amp;H$1,Taostats_CSV!$X:$X,0)-1,0),IF(Taostats_CSV!F258="fee",Taostats_CSV!E258,""))</f>
        <v/>
      </c>
      <c r="H258" t="str">
        <f ca="1">IF(AND(Q258,N258=1),OFFSET(Taostats_CSV!$G$1,MATCH(K258&amp;H$1,Taostats_CSV!$X:$X,0)-1,0),IF(Taostats_CSV!F258="fee",Taostats_CSV!G258,""))</f>
        <v/>
      </c>
      <c r="I258" t="str">
        <f ca="1">IF(AND(LEN(K258)=0,LEN(F258)&gt;0),"Income",IF(AND(O258&gt;0,P258&gt;0,C258&lt;&gt;E258),"Trade",IF(AND(NOT(Q258),Taostats_CSV!F258="fee"),'READ ME'!$C$5,"")))</f>
        <v>Income</v>
      </c>
      <c r="J258" t="str">
        <f ca="1">SUBSTITUTE(IF(LEN(I258)=0,Taostats_CSV!F258&amp;" "&amp;Taostats_CSV!J258,IF(I258="Cost","Extrinsic fee","")),"_"," ")</f>
        <v/>
      </c>
      <c r="K258" t="str">
        <f>TRIM(IF(LEN(Taostats_CSV!I258)&gt;0,Taostats_CSV!I258,""))</f>
        <v/>
      </c>
      <c r="L258" t="str">
        <f>IF(Taostats_CSV!E258&lt;&gt;"TAO",IF(LEN(F258)&gt;0,F258,IF(LEN(D258)&gt;0,D258,0))*Taostats_CSV!P258,"")</f>
        <v/>
      </c>
      <c r="M258" t="str">
        <f t="shared" si="33"/>
        <v/>
      </c>
      <c r="N258">
        <f>COUNTIF(Taostats_CSV!$X:$X,Taostats_CSV!$I258&amp;N$1)</f>
        <v>0</v>
      </c>
      <c r="O258">
        <f>COUNTIF(Taostats_CSV!$X:$X,Taostats_CSV!$I258&amp;O$1)</f>
        <v>0</v>
      </c>
      <c r="P258">
        <f>COUNTIF(Taostats_CSV!$X:$X,Taostats_CSV!$I258&amp;P$1)</f>
        <v>0</v>
      </c>
      <c r="Q258" t="b">
        <f t="shared" si="34"/>
        <v>0</v>
      </c>
      <c r="R258" t="b">
        <f>IF(LEN(K258)&gt;0,COUNTIF($K$3:K258,K258),FALSE)</f>
        <v>0</v>
      </c>
      <c r="S258" t="b">
        <f>IF(Taostats_CSV!A258=Taostats_CSV!$A$2,TRUE,Taostats_CSV!G258+Taostats_CSV!H258+Taostats_CSV!R258=0)</f>
        <v>1</v>
      </c>
      <c r="T258" t="b">
        <f t="shared" si="35"/>
        <v>0</v>
      </c>
      <c r="U258" t="b" cm="1">
        <f t="array" aca="1" ref="U258" ca="1">AND(T258,OR(O258-N258&gt;1,P258&gt;1,ISERROR(A258:P258)))</f>
        <v>0</v>
      </c>
      <c r="W258" t="e">
        <f>MATCH(K258&amp;$W$2,Taostats_CSV!$X$3:$X$1167,0)</f>
        <v>#N/A</v>
      </c>
      <c r="X258" t="e">
        <f t="shared" ca="1" si="30"/>
        <v>#VALUE!</v>
      </c>
      <c r="Y258">
        <f t="shared" ca="1" si="31"/>
        <v>0</v>
      </c>
      <c r="Z258" t="e">
        <f t="shared" ca="1" si="32"/>
        <v>#VALUE!</v>
      </c>
    </row>
    <row r="259" spans="1:26" x14ac:dyDescent="0.4">
      <c r="A259" t="str">
        <f>MID(Taostats_CSV!C259,6,2)&amp;"/"&amp;MID(Taostats_CSV!C259,9,2)&amp;"/"&amp;LEFT(Taostats_CSV!C259,4)&amp;" "&amp;MID(Taostats_CSV!C259,12,8)</f>
        <v>05/03/2025 23:59:48</v>
      </c>
      <c r="C259" t="str">
        <f ca="1">IF(Q259,OFFSET(Taostats_CSV!$E$1,MATCH(K259&amp;D$1,Taostats_CSV!$X:$X,0)-1,0),IF(Taostats_CSV!F259="fee",IF(VALUE(Taostats_CSV!G259)&gt;0,Taostats_CSV!E259,""),""))</f>
        <v/>
      </c>
      <c r="D259" t="str">
        <f ca="1">IF(Q259,OFFSET(Taostats_CSV!$G$1,MATCH(K259&amp;D$1,Taostats_CSV!$X:$X,0)-1,0),IF(Taostats_CSV!F259="fee",IF(VALUE(Taostats_CSV!G259)&gt;0,Taostats_CSV!G259,""),""))</f>
        <v/>
      </c>
      <c r="E259" t="str">
        <f ca="1">IF(AND(Q259,P259&gt;0),OFFSET(Taostats_CSV!$E$1,MATCH(K259&amp;F$1,Taostats_CSV!$X:$X,0)-1,0),IF(LEN(F259)&gt;0,Taostats_CSV!E259,""))</f>
        <v>SN3</v>
      </c>
      <c r="F259" t="str">
        <f ca="1">TRIM(IF(AND(Q259,P259&gt;0),OFFSET(Taostats_CSV!$H$1,MATCH(K259&amp;F$1,Taostats_CSV!$X:$X,0)-1,0),IF(LEN(Taostats_CSV!H259)&gt;0,Taostats_CSV!H259,Taostats_CSV!R259)))</f>
        <v>0.397235066</v>
      </c>
      <c r="G259" t="str">
        <f ca="1">IF(AND(Q259,N259=1),OFFSET(Taostats_CSV!$E$1,MATCH(K259&amp;H$1,Taostats_CSV!$X:$X,0)-1,0),"")</f>
        <v/>
      </c>
      <c r="H259" t="str">
        <f ca="1">IF(AND(Q259,N259=1),OFFSET(Taostats_CSV!$G$1,MATCH(K259&amp;H$1,Taostats_CSV!$X:$X,0)-1,0),"")</f>
        <v/>
      </c>
      <c r="I259" t="str">
        <f ca="1">IF(AND(LEN(K259)=0,LEN(F259)&gt;0),"Income",IF(AND(O259&gt;0,P259&gt;0,C259&lt;&gt;E259),"Trade",IF(AND(NOT(Q259),Taostats_CSV!F259="fee"),'READ ME'!$C$5,"")))</f>
        <v>Income</v>
      </c>
      <c r="J259" t="str">
        <f ca="1">SUBSTITUTE(IF(LEN(I259)=0,Taostats_CSV!F259&amp;" "&amp;Taostats_CSV!J259,IF(I259="Cost","Extrinsic fee","")),"_"," ")</f>
        <v/>
      </c>
      <c r="K259" t="str">
        <f>TRIM(IF(LEN(Taostats_CSV!I259)&gt;0,Taostats_CSV!I259,""))</f>
        <v/>
      </c>
      <c r="L259">
        <f ca="1">IF(Taostats_CSV!E259&lt;&gt;"TAO",IF(LEN(F259)&gt;0,F259,IF(LEN(D259)&gt;0,D259,0))*Taostats_CSV!P259,"")</f>
        <v>16.148841533433419</v>
      </c>
      <c r="M259" t="str">
        <f t="shared" ca="1" si="33"/>
        <v>USD</v>
      </c>
      <c r="N259">
        <f>COUNTIF(Taostats_CSV!$X:$X,Taostats_CSV!$I259&amp;N$1)</f>
        <v>0</v>
      </c>
      <c r="O259">
        <f>COUNTIF(Taostats_CSV!$X:$X,Taostats_CSV!$I259&amp;O$1)</f>
        <v>0</v>
      </c>
      <c r="P259">
        <f>COUNTIF(Taostats_CSV!$X:$X,Taostats_CSV!$I259&amp;P$1)</f>
        <v>0</v>
      </c>
      <c r="Q259" t="b">
        <f t="shared" si="34"/>
        <v>0</v>
      </c>
      <c r="R259" t="b">
        <f>IF(LEN(K259)&gt;0,COUNTIF($K$3:K259,K259),FALSE)</f>
        <v>0</v>
      </c>
      <c r="S259" t="b">
        <f>IF(Taostats_CSV!A259=Taostats_CSV!$A$2,TRUE,Taostats_CSV!G259+Taostats_CSV!H259+Taostats_CSV!R259=0)</f>
        <v>0</v>
      </c>
      <c r="T259" t="b">
        <f t="shared" si="35"/>
        <v>1</v>
      </c>
      <c r="U259" t="b" cm="1">
        <f t="array" aca="1" ref="U259" ca="1">AND(T259,OR(O259-N259&gt;1,P259&gt;1,ISERROR(A259:P259)))</f>
        <v>0</v>
      </c>
      <c r="W259" t="e">
        <f>MATCH(K259&amp;$W$2,Taostats_CSV!$X$3:$X$1167,0)</f>
        <v>#N/A</v>
      </c>
      <c r="X259" t="e">
        <f t="shared" ref="X259:X322" ca="1" si="36">VALUE(D259)</f>
        <v>#VALUE!</v>
      </c>
      <c r="Y259">
        <f t="shared" ref="Y259:Y322" ca="1" si="37">VALUE(F259)</f>
        <v>0.39723506600000003</v>
      </c>
      <c r="Z259" t="e">
        <f t="shared" ref="Z259:Z322" ca="1" si="38">VALUE(H259)</f>
        <v>#VALUE!</v>
      </c>
    </row>
    <row r="260" spans="1:26" x14ac:dyDescent="0.4">
      <c r="A260" t="str">
        <f>MID(Taostats_CSV!C260,6,2)&amp;"/"&amp;MID(Taostats_CSV!C260,9,2)&amp;"/"&amp;LEFT(Taostats_CSV!C260,4)&amp;" "&amp;MID(Taostats_CSV!C260,12,8)</f>
        <v>05/03/2025 23:59:48</v>
      </c>
      <c r="C260" t="str">
        <f ca="1">IF(Q260,OFFSET(Taostats_CSV!$E$1,MATCH(K260&amp;D$1,Taostats_CSV!$X:$X,0)-1,0),IF(Taostats_CSV!F260="fee",IF(VALUE(Taostats_CSV!G260)&gt;0,Taostats_CSV!E260,""),""))</f>
        <v/>
      </c>
      <c r="D260" t="str">
        <f ca="1">IF(Q260,OFFSET(Taostats_CSV!$G$1,MATCH(K260&amp;D$1,Taostats_CSV!$X:$X,0)-1,0),IF(Taostats_CSV!F260="fee",IF(VALUE(Taostats_CSV!G260)&gt;0,Taostats_CSV!G260,""),""))</f>
        <v/>
      </c>
      <c r="E260" t="str">
        <f ca="1">IF(AND(Q260,P260&gt;0),OFFSET(Taostats_CSV!$E$1,MATCH(K260&amp;F$1,Taostats_CSV!$X:$X,0)-1,0),IF(LEN(F260)&gt;0,Taostats_CSV!E260,""))</f>
        <v>SN4</v>
      </c>
      <c r="F260" t="str">
        <f ca="1">TRIM(IF(AND(Q260,P260&gt;0),OFFSET(Taostats_CSV!$H$1,MATCH(K260&amp;F$1,Taostats_CSV!$X:$X,0)-1,0),IF(LEN(Taostats_CSV!H260)&gt;0,Taostats_CSV!H260,Taostats_CSV!R260)))</f>
        <v>0.376712437</v>
      </c>
      <c r="G260" t="str">
        <f ca="1">IF(AND(Q260,N260=1),OFFSET(Taostats_CSV!$E$1,MATCH(K260&amp;H$1,Taostats_CSV!$X:$X,0)-1,0),"")</f>
        <v/>
      </c>
      <c r="H260" t="str">
        <f ca="1">IF(AND(Q260,N260=1),OFFSET(Taostats_CSV!$G$1,MATCH(K260&amp;H$1,Taostats_CSV!$X:$X,0)-1,0),"")</f>
        <v/>
      </c>
      <c r="I260" t="str">
        <f ca="1">IF(AND(LEN(K260)=0,LEN(F260)&gt;0),"Income",IF(AND(O260&gt;0,P260&gt;0,C260&lt;&gt;E260),"Trade",IF(AND(NOT(Q260),Taostats_CSV!F260="fee"),'READ ME'!$C$5,"")))</f>
        <v>Income</v>
      </c>
      <c r="J260" t="str">
        <f ca="1">SUBSTITUTE(IF(LEN(I260)=0,Taostats_CSV!F260&amp;" "&amp;Taostats_CSV!J260,IF(I260="Cost","Extrinsic fee","")),"_"," ")</f>
        <v/>
      </c>
      <c r="K260" t="str">
        <f>TRIM(IF(LEN(Taostats_CSV!I260)&gt;0,Taostats_CSV!I260,""))</f>
        <v/>
      </c>
      <c r="L260">
        <f ca="1">IF(Taostats_CSV!E260&lt;&gt;"TAO",IF(LEN(F260)&gt;0,F260,IF(LEN(D260)&gt;0,D260,0))*Taostats_CSV!P260,"")</f>
        <v>19.356874837814239</v>
      </c>
      <c r="M260" t="str">
        <f t="shared" ref="M260:M323" ca="1" si="39">IF(LEN(L260)&gt;0,"USD","")</f>
        <v>USD</v>
      </c>
      <c r="N260">
        <f>COUNTIF(Taostats_CSV!$X:$X,Taostats_CSV!$I260&amp;N$1)</f>
        <v>0</v>
      </c>
      <c r="O260">
        <f>COUNTIF(Taostats_CSV!$X:$X,Taostats_CSV!$I260&amp;O$1)</f>
        <v>0</v>
      </c>
      <c r="P260">
        <f>COUNTIF(Taostats_CSV!$X:$X,Taostats_CSV!$I260&amp;P$1)</f>
        <v>0</v>
      </c>
      <c r="Q260" t="b">
        <f t="shared" ref="Q260:Q323" si="40">AND(O260&lt;=1,N260&lt;=1,P260&lt;=1,O260+N260+P260&gt;=2)</f>
        <v>0</v>
      </c>
      <c r="R260" t="b">
        <f>IF(LEN(K260)&gt;0,COUNTIF($K$3:K260,K260),FALSE)</f>
        <v>0</v>
      </c>
      <c r="S260" t="b">
        <f>IF(Taostats_CSV!A260=Taostats_CSV!$A$2,TRUE,Taostats_CSV!G260+Taostats_CSV!H260+Taostats_CSV!R260=0)</f>
        <v>0</v>
      </c>
      <c r="T260" t="b">
        <f t="shared" ref="T260:T323" si="41">AND(NOT(S260),OR(NOT(Q260),R260=1))</f>
        <v>1</v>
      </c>
      <c r="U260" t="b" cm="1">
        <f t="array" aca="1" ref="U260" ca="1">AND(T260,OR(O260-N260&gt;1,P260&gt;1,ISERROR(A260:P260)))</f>
        <v>0</v>
      </c>
      <c r="W260" t="e">
        <f>MATCH(K260&amp;$W$2,Taostats_CSV!$X$3:$X$1167,0)</f>
        <v>#N/A</v>
      </c>
      <c r="X260" t="e">
        <f t="shared" ca="1" si="36"/>
        <v>#VALUE!</v>
      </c>
      <c r="Y260">
        <f t="shared" ca="1" si="37"/>
        <v>0.37671243700000001</v>
      </c>
      <c r="Z260" t="e">
        <f t="shared" ca="1" si="38"/>
        <v>#VALUE!</v>
      </c>
    </row>
    <row r="261" spans="1:26" x14ac:dyDescent="0.4">
      <c r="A261" t="str">
        <f>MID(Taostats_CSV!C261,6,2)&amp;"/"&amp;MID(Taostats_CSV!C261,9,2)&amp;"/"&amp;LEFT(Taostats_CSV!C261,4)&amp;" "&amp;MID(Taostats_CSV!C261,12,8)</f>
        <v>05/03/2025 23:59:48</v>
      </c>
      <c r="C261" t="str">
        <f ca="1">IF(Q261,OFFSET(Taostats_CSV!$E$1,MATCH(K261&amp;D$1,Taostats_CSV!$X:$X,0)-1,0),IF(Taostats_CSV!F261="fee",IF(VALUE(Taostats_CSV!G261)&gt;0,Taostats_CSV!E261,""),""))</f>
        <v/>
      </c>
      <c r="D261" t="str">
        <f ca="1">IF(Q261,OFFSET(Taostats_CSV!$G$1,MATCH(K261&amp;D$1,Taostats_CSV!$X:$X,0)-1,0),IF(Taostats_CSV!F261="fee",IF(VALUE(Taostats_CSV!G261)&gt;0,Taostats_CSV!G261,""),""))</f>
        <v/>
      </c>
      <c r="E261" t="str">
        <f ca="1">IF(AND(Q261,P261&gt;0),OFFSET(Taostats_CSV!$E$1,MATCH(K261&amp;F$1,Taostats_CSV!$X:$X,0)-1,0),IF(LEN(F261)&gt;0,Taostats_CSV!E261,""))</f>
        <v>SN56</v>
      </c>
      <c r="F261" t="str">
        <f ca="1">TRIM(IF(AND(Q261,P261&gt;0),OFFSET(Taostats_CSV!$H$1,MATCH(K261&amp;F$1,Taostats_CSV!$X:$X,0)-1,0),IF(LEN(Taostats_CSV!H261)&gt;0,Taostats_CSV!H261,Taostats_CSV!R261)))</f>
        <v>0.24024983</v>
      </c>
      <c r="G261" t="str">
        <f ca="1">IF(AND(Q261,N261=1),OFFSET(Taostats_CSV!$E$1,MATCH(K261&amp;H$1,Taostats_CSV!$X:$X,0)-1,0),"")</f>
        <v/>
      </c>
      <c r="H261" t="str">
        <f ca="1">IF(AND(Q261,N261=1),OFFSET(Taostats_CSV!$G$1,MATCH(K261&amp;H$1,Taostats_CSV!$X:$X,0)-1,0),"")</f>
        <v/>
      </c>
      <c r="I261" t="str">
        <f ca="1">IF(AND(LEN(K261)=0,LEN(F261)&gt;0),"Income",IF(AND(O261&gt;0,P261&gt;0,C261&lt;&gt;E261),"Trade",IF(AND(NOT(Q261),Taostats_CSV!F261="fee"),'READ ME'!$C$5,"")))</f>
        <v>Income</v>
      </c>
      <c r="J261" t="str">
        <f ca="1">SUBSTITUTE(IF(LEN(I261)=0,Taostats_CSV!F261&amp;" "&amp;Taostats_CSV!J261,IF(I261="Cost","Extrinsic fee","")),"_"," ")</f>
        <v/>
      </c>
      <c r="K261" t="str">
        <f>TRIM(IF(LEN(Taostats_CSV!I261)&gt;0,Taostats_CSV!I261,""))</f>
        <v/>
      </c>
      <c r="L261">
        <f ca="1">IF(Taostats_CSV!E261&lt;&gt;"TAO",IF(LEN(F261)&gt;0,F261,IF(LEN(D261)&gt;0,D261,0))*Taostats_CSV!P261,"")</f>
        <v>11.37504708228596</v>
      </c>
      <c r="M261" t="str">
        <f t="shared" ca="1" si="39"/>
        <v>USD</v>
      </c>
      <c r="N261">
        <f>COUNTIF(Taostats_CSV!$X:$X,Taostats_CSV!$I261&amp;N$1)</f>
        <v>0</v>
      </c>
      <c r="O261">
        <f>COUNTIF(Taostats_CSV!$X:$X,Taostats_CSV!$I261&amp;O$1)</f>
        <v>0</v>
      </c>
      <c r="P261">
        <f>COUNTIF(Taostats_CSV!$X:$X,Taostats_CSV!$I261&amp;P$1)</f>
        <v>0</v>
      </c>
      <c r="Q261" t="b">
        <f t="shared" si="40"/>
        <v>0</v>
      </c>
      <c r="R261" t="b">
        <f>IF(LEN(K261)&gt;0,COUNTIF($K$3:K261,K261),FALSE)</f>
        <v>0</v>
      </c>
      <c r="S261" t="b">
        <f>IF(Taostats_CSV!A261=Taostats_CSV!$A$2,TRUE,Taostats_CSV!G261+Taostats_CSV!H261+Taostats_CSV!R261=0)</f>
        <v>0</v>
      </c>
      <c r="T261" t="b">
        <f t="shared" si="41"/>
        <v>1</v>
      </c>
      <c r="U261" t="b" cm="1">
        <f t="array" aca="1" ref="U261" ca="1">AND(T261,OR(O261-N261&gt;1,P261&gt;1,ISERROR(A261:P261)))</f>
        <v>0</v>
      </c>
      <c r="W261" t="e">
        <f>MATCH(K261&amp;$W$2,Taostats_CSV!$X$3:$X$1167,0)</f>
        <v>#N/A</v>
      </c>
      <c r="X261" t="e">
        <f t="shared" ca="1" si="36"/>
        <v>#VALUE!</v>
      </c>
      <c r="Y261">
        <f t="shared" ca="1" si="37"/>
        <v>0.24024983</v>
      </c>
      <c r="Z261" t="e">
        <f t="shared" ca="1" si="38"/>
        <v>#VALUE!</v>
      </c>
    </row>
    <row r="262" spans="1:26" x14ac:dyDescent="0.4">
      <c r="A262" t="str">
        <f>MID(Taostats_CSV!C262,6,2)&amp;"/"&amp;MID(Taostats_CSV!C262,9,2)&amp;"/"&amp;LEFT(Taostats_CSV!C262,4)&amp;" "&amp;MID(Taostats_CSV!C262,12,8)</f>
        <v>05/03/2025 23:59:48</v>
      </c>
      <c r="C262" t="str">
        <f ca="1">IF(Q262,OFFSET(Taostats_CSV!$E$1,MATCH(K262&amp;D$1,Taostats_CSV!$X:$X,0)-1,0),IF(Taostats_CSV!F262="fee",IF(VALUE(Taostats_CSV!G262)&gt;0,Taostats_CSV!E262,""),""))</f>
        <v/>
      </c>
      <c r="D262" t="str">
        <f ca="1">IF(Q262,OFFSET(Taostats_CSV!$G$1,MATCH(K262&amp;D$1,Taostats_CSV!$X:$X,0)-1,0),IF(Taostats_CSV!F262="fee",IF(VALUE(Taostats_CSV!G262)&gt;0,Taostats_CSV!G262,""),""))</f>
        <v/>
      </c>
      <c r="E262" t="str">
        <f ca="1">IF(AND(Q262,P262&gt;0),OFFSET(Taostats_CSV!$E$1,MATCH(K262&amp;F$1,Taostats_CSV!$X:$X,0)-1,0),IF(LEN(F262)&gt;0,Taostats_CSV!E262,""))</f>
        <v>SN64</v>
      </c>
      <c r="F262" t="str">
        <f ca="1">TRIM(IF(AND(Q262,P262&gt;0),OFFSET(Taostats_CSV!$H$1,MATCH(K262&amp;F$1,Taostats_CSV!$X:$X,0)-1,0),IF(LEN(Taostats_CSV!H262)&gt;0,Taostats_CSV!H262,Taostats_CSV!R262)))</f>
        <v>0.141070701</v>
      </c>
      <c r="G262" t="str">
        <f ca="1">IF(AND(Q262,N262=1),OFFSET(Taostats_CSV!$E$1,MATCH(K262&amp;H$1,Taostats_CSV!$X:$X,0)-1,0),"")</f>
        <v/>
      </c>
      <c r="H262" t="str">
        <f ca="1">IF(AND(Q262,N262=1),OFFSET(Taostats_CSV!$G$1,MATCH(K262&amp;H$1,Taostats_CSV!$X:$X,0)-1,0),"")</f>
        <v/>
      </c>
      <c r="I262" t="str">
        <f ca="1">IF(AND(LEN(K262)=0,LEN(F262)&gt;0),"Income",IF(AND(O262&gt;0,P262&gt;0,C262&lt;&gt;E262),"Trade",IF(AND(NOT(Q262),Taostats_CSV!F262="fee"),'READ ME'!$C$5,"")))</f>
        <v>Income</v>
      </c>
      <c r="J262" t="str">
        <f ca="1">SUBSTITUTE(IF(LEN(I262)=0,Taostats_CSV!F262&amp;" "&amp;Taostats_CSV!J262,IF(I262="Cost","Extrinsic fee","")),"_"," ")</f>
        <v/>
      </c>
      <c r="K262" t="str">
        <f>TRIM(IF(LEN(Taostats_CSV!I262)&gt;0,Taostats_CSV!I262,""))</f>
        <v/>
      </c>
      <c r="L262">
        <f ca="1">IF(Taostats_CSV!E262&lt;&gt;"TAO",IF(LEN(F262)&gt;0,F262,IF(LEN(D262)&gt;0,D262,0))*Taostats_CSV!P262,"")</f>
        <v>15.149708655386787</v>
      </c>
      <c r="M262" t="str">
        <f t="shared" ca="1" si="39"/>
        <v>USD</v>
      </c>
      <c r="N262">
        <f>COUNTIF(Taostats_CSV!$X:$X,Taostats_CSV!$I262&amp;N$1)</f>
        <v>0</v>
      </c>
      <c r="O262">
        <f>COUNTIF(Taostats_CSV!$X:$X,Taostats_CSV!$I262&amp;O$1)</f>
        <v>0</v>
      </c>
      <c r="P262">
        <f>COUNTIF(Taostats_CSV!$X:$X,Taostats_CSV!$I262&amp;P$1)</f>
        <v>0</v>
      </c>
      <c r="Q262" t="b">
        <f t="shared" si="40"/>
        <v>0</v>
      </c>
      <c r="R262" t="b">
        <f>IF(LEN(K262)&gt;0,COUNTIF($K$3:K262,K262),FALSE)</f>
        <v>0</v>
      </c>
      <c r="S262" t="b">
        <f>IF(Taostats_CSV!A262=Taostats_CSV!$A$2,TRUE,Taostats_CSV!G262+Taostats_CSV!H262+Taostats_CSV!R262=0)</f>
        <v>0</v>
      </c>
      <c r="T262" t="b">
        <f t="shared" si="41"/>
        <v>1</v>
      </c>
      <c r="U262" t="b" cm="1">
        <f t="array" aca="1" ref="U262" ca="1">AND(T262,OR(O262-N262&gt;1,P262&gt;1,ISERROR(A262:P262)))</f>
        <v>0</v>
      </c>
      <c r="W262" t="e">
        <f>MATCH(K262&amp;$W$2,Taostats_CSV!$X$3:$X$1167,0)</f>
        <v>#N/A</v>
      </c>
      <c r="X262" t="e">
        <f t="shared" ca="1" si="36"/>
        <v>#VALUE!</v>
      </c>
      <c r="Y262">
        <f t="shared" ca="1" si="37"/>
        <v>0.14107070099999999</v>
      </c>
      <c r="Z262" t="e">
        <f t="shared" ca="1" si="38"/>
        <v>#VALUE!</v>
      </c>
    </row>
    <row r="263" spans="1:26" hidden="1" x14ac:dyDescent="0.4">
      <c r="A263" t="str">
        <f>MID(Taostats_CSV!C263,6,2)&amp;"/"&amp;MID(Taostats_CSV!C263,9,2)&amp;"/"&amp;LEFT(Taostats_CSV!C263,4)&amp;" "&amp;MID(Taostats_CSV!C263,12,8)</f>
        <v>05/03/2025 23:59:48</v>
      </c>
      <c r="C263" t="str">
        <f ca="1">IF(Q263,OFFSET(Taostats_CSV!$E$1,MATCH(K263&amp;D$1,Taostats_CSV!$X:$X,0)-1,0),IF(Taostats_CSV!F263="fee","",IF(VALUE(Taostats_CSV!G263)&gt;0,Taostats_CSV!E263,"")))</f>
        <v/>
      </c>
      <c r="D263" t="str">
        <f ca="1">IF(Q263,OFFSET(Taostats_CSV!$G$1,MATCH(K263&amp;D$1,Taostats_CSV!$X:$X,0)-1,0),IF(Taostats_CSV!F263="fee","",IF(VALUE(Taostats_CSV!G263)&gt;0,Taostats_CSV!G263,"")))</f>
        <v/>
      </c>
      <c r="E263" t="str">
        <f ca="1">IF(AND(Q263,P263&gt;0),OFFSET(Taostats_CSV!$E$1,MATCH(K263&amp;F$1,Taostats_CSV!$X:$X,0)-1,0),IF(LEN(F263)&gt;0,Taostats_CSV!E263,""))</f>
        <v>TAO</v>
      </c>
      <c r="F263" t="str">
        <f ca="1">TRIM(IF(AND(Q263,P263&gt;0),OFFSET(Taostats_CSV!$H$1,MATCH(K263&amp;F$1,Taostats_CSV!$X:$X,0)-1,0),IF(LEN(Taostats_CSV!H263)&gt;0,Taostats_CSV!H263,Taostats_CSV!R263)))</f>
        <v>0</v>
      </c>
      <c r="G263" t="str">
        <f ca="1">IF(AND(Q263,N263=1),OFFSET(Taostats_CSV!$E$1,MATCH(K263&amp;H$1,Taostats_CSV!$X:$X,0)-1,0),IF(Taostats_CSV!F263="fee",Taostats_CSV!E263,""))</f>
        <v/>
      </c>
      <c r="H263" t="str">
        <f ca="1">IF(AND(Q263,N263=1),OFFSET(Taostats_CSV!$G$1,MATCH(K263&amp;H$1,Taostats_CSV!$X:$X,0)-1,0),IF(Taostats_CSV!F263="fee",Taostats_CSV!G263,""))</f>
        <v/>
      </c>
      <c r="I263" t="str">
        <f ca="1">IF(AND(LEN(K263)=0,LEN(F263)&gt;0),"Income",IF(AND(O263&gt;0,P263&gt;0,C263&lt;&gt;E263),"Trade",IF(AND(NOT(Q263),Taostats_CSV!F263="fee"),'READ ME'!$C$5,"")))</f>
        <v>Income</v>
      </c>
      <c r="J263" t="str">
        <f ca="1">SUBSTITUTE(IF(LEN(I263)=0,Taostats_CSV!F263&amp;" "&amp;Taostats_CSV!J263,IF(I263="Cost","Extrinsic fee","")),"_"," ")</f>
        <v/>
      </c>
      <c r="K263" t="str">
        <f>TRIM(IF(LEN(Taostats_CSV!I263)&gt;0,Taostats_CSV!I263,""))</f>
        <v/>
      </c>
      <c r="L263" t="str">
        <f>IF(Taostats_CSV!E263&lt;&gt;"TAO",IF(LEN(F263)&gt;0,F263,IF(LEN(D263)&gt;0,D263,0))*Taostats_CSV!P263,"")</f>
        <v/>
      </c>
      <c r="M263" t="str">
        <f t="shared" si="39"/>
        <v/>
      </c>
      <c r="N263">
        <f>COUNTIF(Taostats_CSV!$X:$X,Taostats_CSV!$I263&amp;N$1)</f>
        <v>0</v>
      </c>
      <c r="O263">
        <f>COUNTIF(Taostats_CSV!$X:$X,Taostats_CSV!$I263&amp;O$1)</f>
        <v>0</v>
      </c>
      <c r="P263">
        <f>COUNTIF(Taostats_CSV!$X:$X,Taostats_CSV!$I263&amp;P$1)</f>
        <v>0</v>
      </c>
      <c r="Q263" t="b">
        <f t="shared" si="40"/>
        <v>0</v>
      </c>
      <c r="R263" t="b">
        <f>IF(LEN(K263)&gt;0,COUNTIF($K$3:K263,K263),FALSE)</f>
        <v>0</v>
      </c>
      <c r="S263" t="b">
        <f>IF(Taostats_CSV!A263=Taostats_CSV!$A$2,TRUE,Taostats_CSV!G263+Taostats_CSV!H263+Taostats_CSV!R263=0)</f>
        <v>1</v>
      </c>
      <c r="T263" t="b">
        <f t="shared" si="41"/>
        <v>0</v>
      </c>
      <c r="U263" t="b" cm="1">
        <f t="array" aca="1" ref="U263" ca="1">AND(T263,OR(O263-N263&gt;1,P263&gt;1,ISERROR(A263:P263)))</f>
        <v>0</v>
      </c>
      <c r="W263" t="e">
        <f>MATCH(K263&amp;$W$2,Taostats_CSV!$X$3:$X$1167,0)</f>
        <v>#N/A</v>
      </c>
      <c r="X263" t="e">
        <f t="shared" ca="1" si="36"/>
        <v>#VALUE!</v>
      </c>
      <c r="Y263">
        <f t="shared" ca="1" si="37"/>
        <v>0</v>
      </c>
      <c r="Z263" t="e">
        <f t="shared" ca="1" si="38"/>
        <v>#VALUE!</v>
      </c>
    </row>
    <row r="264" spans="1:26" x14ac:dyDescent="0.4">
      <c r="A264" t="str">
        <f>MID(Taostats_CSV!C264,6,2)&amp;"/"&amp;MID(Taostats_CSV!C264,9,2)&amp;"/"&amp;LEFT(Taostats_CSV!C264,4)&amp;" "&amp;MID(Taostats_CSV!C264,12,8)</f>
        <v>05/04/2025 23:59:48</v>
      </c>
      <c r="C264" t="str">
        <f ca="1">IF(Q264,OFFSET(Taostats_CSV!$E$1,MATCH(K264&amp;D$1,Taostats_CSV!$X:$X,0)-1,0),IF(Taostats_CSV!F264="fee",IF(VALUE(Taostats_CSV!G264)&gt;0,Taostats_CSV!E264,""),""))</f>
        <v/>
      </c>
      <c r="D264" t="str">
        <f ca="1">IF(Q264,OFFSET(Taostats_CSV!$G$1,MATCH(K264&amp;D$1,Taostats_CSV!$X:$X,0)-1,0),IF(Taostats_CSV!F264="fee",IF(VALUE(Taostats_CSV!G264)&gt;0,Taostats_CSV!G264,""),""))</f>
        <v/>
      </c>
      <c r="E264" t="str">
        <f ca="1">IF(AND(Q264,P264&gt;0),OFFSET(Taostats_CSV!$E$1,MATCH(K264&amp;F$1,Taostats_CSV!$X:$X,0)-1,0),IF(LEN(F264)&gt;0,Taostats_CSV!E264,""))</f>
        <v>SN3</v>
      </c>
      <c r="F264" t="str">
        <f ca="1">TRIM(IF(AND(Q264,P264&gt;0),OFFSET(Taostats_CSV!$H$1,MATCH(K264&amp;F$1,Taostats_CSV!$X:$X,0)-1,0),IF(LEN(Taostats_CSV!H264)&gt;0,Taostats_CSV!H264,Taostats_CSV!R264)))</f>
        <v>0.4024249</v>
      </c>
      <c r="G264" t="str">
        <f ca="1">IF(AND(Q264,N264=1),OFFSET(Taostats_CSV!$E$1,MATCH(K264&amp;H$1,Taostats_CSV!$X:$X,0)-1,0),"")</f>
        <v/>
      </c>
      <c r="H264" t="str">
        <f ca="1">IF(AND(Q264,N264=1),OFFSET(Taostats_CSV!$G$1,MATCH(K264&amp;H$1,Taostats_CSV!$X:$X,0)-1,0),"")</f>
        <v/>
      </c>
      <c r="I264" t="str">
        <f ca="1">IF(AND(LEN(K264)=0,LEN(F264)&gt;0),"Income",IF(AND(O264&gt;0,P264&gt;0,C264&lt;&gt;E264),"Trade",IF(AND(NOT(Q264),Taostats_CSV!F264="fee"),'READ ME'!$C$5,"")))</f>
        <v>Income</v>
      </c>
      <c r="J264" t="str">
        <f ca="1">SUBSTITUTE(IF(LEN(I264)=0,Taostats_CSV!F264&amp;" "&amp;Taostats_CSV!J264,IF(I264="Cost","Extrinsic fee","")),"_"," ")</f>
        <v/>
      </c>
      <c r="K264" t="str">
        <f>TRIM(IF(LEN(Taostats_CSV!I264)&gt;0,Taostats_CSV!I264,""))</f>
        <v/>
      </c>
      <c r="L264">
        <f ca="1">IF(Taostats_CSV!E264&lt;&gt;"TAO",IF(LEN(F264)&gt;0,F264,IF(LEN(D264)&gt;0,D264,0))*Taostats_CSV!P264,"")</f>
        <v>14.365067398517128</v>
      </c>
      <c r="M264" t="str">
        <f t="shared" ca="1" si="39"/>
        <v>USD</v>
      </c>
      <c r="N264">
        <f>COUNTIF(Taostats_CSV!$X:$X,Taostats_CSV!$I264&amp;N$1)</f>
        <v>0</v>
      </c>
      <c r="O264">
        <f>COUNTIF(Taostats_CSV!$X:$X,Taostats_CSV!$I264&amp;O$1)</f>
        <v>0</v>
      </c>
      <c r="P264">
        <f>COUNTIF(Taostats_CSV!$X:$X,Taostats_CSV!$I264&amp;P$1)</f>
        <v>0</v>
      </c>
      <c r="Q264" t="b">
        <f t="shared" si="40"/>
        <v>0</v>
      </c>
      <c r="R264" t="b">
        <f>IF(LEN(K264)&gt;0,COUNTIF($K$3:K264,K264),FALSE)</f>
        <v>0</v>
      </c>
      <c r="S264" t="b">
        <f>IF(Taostats_CSV!A264=Taostats_CSV!$A$2,TRUE,Taostats_CSV!G264+Taostats_CSV!H264+Taostats_CSV!R264=0)</f>
        <v>0</v>
      </c>
      <c r="T264" t="b">
        <f t="shared" si="41"/>
        <v>1</v>
      </c>
      <c r="U264" t="b" cm="1">
        <f t="array" aca="1" ref="U264" ca="1">AND(T264,OR(O264-N264&gt;1,P264&gt;1,ISERROR(A264:P264)))</f>
        <v>0</v>
      </c>
      <c r="W264" t="e">
        <f>MATCH(K264&amp;$W$2,Taostats_CSV!$X$3:$X$1167,0)</f>
        <v>#N/A</v>
      </c>
      <c r="X264" t="e">
        <f t="shared" ca="1" si="36"/>
        <v>#VALUE!</v>
      </c>
      <c r="Y264">
        <f t="shared" ca="1" si="37"/>
        <v>0.40242489999999997</v>
      </c>
      <c r="Z264" t="e">
        <f t="shared" ca="1" si="38"/>
        <v>#VALUE!</v>
      </c>
    </row>
    <row r="265" spans="1:26" x14ac:dyDescent="0.4">
      <c r="A265" t="str">
        <f>MID(Taostats_CSV!C265,6,2)&amp;"/"&amp;MID(Taostats_CSV!C265,9,2)&amp;"/"&amp;LEFT(Taostats_CSV!C265,4)&amp;" "&amp;MID(Taostats_CSV!C265,12,8)</f>
        <v>05/04/2025 23:59:48</v>
      </c>
      <c r="C265" t="str">
        <f ca="1">IF(Q265,OFFSET(Taostats_CSV!$E$1,MATCH(K265&amp;D$1,Taostats_CSV!$X:$X,0)-1,0),IF(Taostats_CSV!F265="fee",IF(VALUE(Taostats_CSV!G265)&gt;0,Taostats_CSV!E265,""),""))</f>
        <v/>
      </c>
      <c r="D265" t="str">
        <f ca="1">IF(Q265,OFFSET(Taostats_CSV!$G$1,MATCH(K265&amp;D$1,Taostats_CSV!$X:$X,0)-1,0),IF(Taostats_CSV!F265="fee",IF(VALUE(Taostats_CSV!G265)&gt;0,Taostats_CSV!G265,""),""))</f>
        <v/>
      </c>
      <c r="E265" t="str">
        <f ca="1">IF(AND(Q265,P265&gt;0),OFFSET(Taostats_CSV!$E$1,MATCH(K265&amp;F$1,Taostats_CSV!$X:$X,0)-1,0),IF(LEN(F265)&gt;0,Taostats_CSV!E265,""))</f>
        <v>SN4</v>
      </c>
      <c r="F265" t="str">
        <f ca="1">TRIM(IF(AND(Q265,P265&gt;0),OFFSET(Taostats_CSV!$H$1,MATCH(K265&amp;F$1,Taostats_CSV!$X:$X,0)-1,0),IF(LEN(Taostats_CSV!H265)&gt;0,Taostats_CSV!H265,Taostats_CSV!R265)))</f>
        <v>0.374527114</v>
      </c>
      <c r="G265" t="str">
        <f ca="1">IF(AND(Q265,N265=1),OFFSET(Taostats_CSV!$E$1,MATCH(K265&amp;H$1,Taostats_CSV!$X:$X,0)-1,0),"")</f>
        <v/>
      </c>
      <c r="H265" t="str">
        <f ca="1">IF(AND(Q265,N265=1),OFFSET(Taostats_CSV!$G$1,MATCH(K265&amp;H$1,Taostats_CSV!$X:$X,0)-1,0),"")</f>
        <v/>
      </c>
      <c r="I265" t="str">
        <f ca="1">IF(AND(LEN(K265)=0,LEN(F265)&gt;0),"Income",IF(AND(O265&gt;0,P265&gt;0,C265&lt;&gt;E265),"Trade",IF(AND(NOT(Q265),Taostats_CSV!F265="fee"),'READ ME'!$C$5,"")))</f>
        <v>Income</v>
      </c>
      <c r="J265" t="str">
        <f ca="1">SUBSTITUTE(IF(LEN(I265)=0,Taostats_CSV!F265&amp;" "&amp;Taostats_CSV!J265,IF(I265="Cost","Extrinsic fee","")),"_"," ")</f>
        <v/>
      </c>
      <c r="K265" t="str">
        <f>TRIM(IF(LEN(Taostats_CSV!I265)&gt;0,Taostats_CSV!I265,""))</f>
        <v/>
      </c>
      <c r="L265">
        <f ca="1">IF(Taostats_CSV!E265&lt;&gt;"TAO",IF(LEN(F265)&gt;0,F265,IF(LEN(D265)&gt;0,D265,0))*Taostats_CSV!P265,"")</f>
        <v>18.328952666127364</v>
      </c>
      <c r="M265" t="str">
        <f t="shared" ca="1" si="39"/>
        <v>USD</v>
      </c>
      <c r="N265">
        <f>COUNTIF(Taostats_CSV!$X:$X,Taostats_CSV!$I265&amp;N$1)</f>
        <v>0</v>
      </c>
      <c r="O265">
        <f>COUNTIF(Taostats_CSV!$X:$X,Taostats_CSV!$I265&amp;O$1)</f>
        <v>0</v>
      </c>
      <c r="P265">
        <f>COUNTIF(Taostats_CSV!$X:$X,Taostats_CSV!$I265&amp;P$1)</f>
        <v>0</v>
      </c>
      <c r="Q265" t="b">
        <f t="shared" si="40"/>
        <v>0</v>
      </c>
      <c r="R265" t="b">
        <f>IF(LEN(K265)&gt;0,COUNTIF($K$3:K265,K265),FALSE)</f>
        <v>0</v>
      </c>
      <c r="S265" t="b">
        <f>IF(Taostats_CSV!A265=Taostats_CSV!$A$2,TRUE,Taostats_CSV!G265+Taostats_CSV!H265+Taostats_CSV!R265=0)</f>
        <v>0</v>
      </c>
      <c r="T265" t="b">
        <f t="shared" si="41"/>
        <v>1</v>
      </c>
      <c r="U265" t="b" cm="1">
        <f t="array" aca="1" ref="U265" ca="1">AND(T265,OR(O265-N265&gt;1,P265&gt;1,ISERROR(A265:P265)))</f>
        <v>0</v>
      </c>
      <c r="W265" t="e">
        <f>MATCH(K265&amp;$W$2,Taostats_CSV!$X$3:$X$1167,0)</f>
        <v>#N/A</v>
      </c>
      <c r="X265" t="e">
        <f t="shared" ca="1" si="36"/>
        <v>#VALUE!</v>
      </c>
      <c r="Y265">
        <f t="shared" ca="1" si="37"/>
        <v>0.37452711399999999</v>
      </c>
      <c r="Z265" t="e">
        <f t="shared" ca="1" si="38"/>
        <v>#VALUE!</v>
      </c>
    </row>
    <row r="266" spans="1:26" x14ac:dyDescent="0.4">
      <c r="A266" t="str">
        <f>MID(Taostats_CSV!C266,6,2)&amp;"/"&amp;MID(Taostats_CSV!C266,9,2)&amp;"/"&amp;LEFT(Taostats_CSV!C266,4)&amp;" "&amp;MID(Taostats_CSV!C266,12,8)</f>
        <v>05/04/2025 23:59:48</v>
      </c>
      <c r="C266" t="str">
        <f ca="1">IF(Q266,OFFSET(Taostats_CSV!$E$1,MATCH(K266&amp;D$1,Taostats_CSV!$X:$X,0)-1,0),IF(Taostats_CSV!F266="fee",IF(VALUE(Taostats_CSV!G266)&gt;0,Taostats_CSV!E266,""),""))</f>
        <v/>
      </c>
      <c r="D266" t="str">
        <f ca="1">IF(Q266,OFFSET(Taostats_CSV!$G$1,MATCH(K266&amp;D$1,Taostats_CSV!$X:$X,0)-1,0),IF(Taostats_CSV!F266="fee",IF(VALUE(Taostats_CSV!G266)&gt;0,Taostats_CSV!G266,""),""))</f>
        <v/>
      </c>
      <c r="E266" t="str">
        <f ca="1">IF(AND(Q266,P266&gt;0),OFFSET(Taostats_CSV!$E$1,MATCH(K266&amp;F$1,Taostats_CSV!$X:$X,0)-1,0),IF(LEN(F266)&gt;0,Taostats_CSV!E266,""))</f>
        <v>SN56</v>
      </c>
      <c r="F266" t="str">
        <f ca="1">TRIM(IF(AND(Q266,P266&gt;0),OFFSET(Taostats_CSV!$H$1,MATCH(K266&amp;F$1,Taostats_CSV!$X:$X,0)-1,0),IF(LEN(Taostats_CSV!H266)&gt;0,Taostats_CSV!H266,Taostats_CSV!R266)))</f>
        <v>0.243051532</v>
      </c>
      <c r="G266" t="str">
        <f ca="1">IF(AND(Q266,N266=1),OFFSET(Taostats_CSV!$E$1,MATCH(K266&amp;H$1,Taostats_CSV!$X:$X,0)-1,0),"")</f>
        <v/>
      </c>
      <c r="H266" t="str">
        <f ca="1">IF(AND(Q266,N266=1),OFFSET(Taostats_CSV!$G$1,MATCH(K266&amp;H$1,Taostats_CSV!$X:$X,0)-1,0),"")</f>
        <v/>
      </c>
      <c r="I266" t="str">
        <f ca="1">IF(AND(LEN(K266)=0,LEN(F266)&gt;0),"Income",IF(AND(O266&gt;0,P266&gt;0,C266&lt;&gt;E266),"Trade",IF(AND(NOT(Q266),Taostats_CSV!F266="fee"),'READ ME'!$C$5,"")))</f>
        <v>Income</v>
      </c>
      <c r="J266" t="str">
        <f ca="1">SUBSTITUTE(IF(LEN(I266)=0,Taostats_CSV!F266&amp;" "&amp;Taostats_CSV!J266,IF(I266="Cost","Extrinsic fee","")),"_"," ")</f>
        <v/>
      </c>
      <c r="K266" t="str">
        <f>TRIM(IF(LEN(Taostats_CSV!I266)&gt;0,Taostats_CSV!I266,""))</f>
        <v/>
      </c>
      <c r="L266">
        <f ca="1">IF(Taostats_CSV!E266&lt;&gt;"TAO",IF(LEN(F266)&gt;0,F266,IF(LEN(D266)&gt;0,D266,0))*Taostats_CSV!P266,"")</f>
        <v>10.122175664286033</v>
      </c>
      <c r="M266" t="str">
        <f t="shared" ca="1" si="39"/>
        <v>USD</v>
      </c>
      <c r="N266">
        <f>COUNTIF(Taostats_CSV!$X:$X,Taostats_CSV!$I266&amp;N$1)</f>
        <v>0</v>
      </c>
      <c r="O266">
        <f>COUNTIF(Taostats_CSV!$X:$X,Taostats_CSV!$I266&amp;O$1)</f>
        <v>0</v>
      </c>
      <c r="P266">
        <f>COUNTIF(Taostats_CSV!$X:$X,Taostats_CSV!$I266&amp;P$1)</f>
        <v>0</v>
      </c>
      <c r="Q266" t="b">
        <f t="shared" si="40"/>
        <v>0</v>
      </c>
      <c r="R266" t="b">
        <f>IF(LEN(K266)&gt;0,COUNTIF($K$3:K266,K266),FALSE)</f>
        <v>0</v>
      </c>
      <c r="S266" t="b">
        <f>IF(Taostats_CSV!A266=Taostats_CSV!$A$2,TRUE,Taostats_CSV!G266+Taostats_CSV!H266+Taostats_CSV!R266=0)</f>
        <v>0</v>
      </c>
      <c r="T266" t="b">
        <f t="shared" si="41"/>
        <v>1</v>
      </c>
      <c r="U266" t="b" cm="1">
        <f t="array" aca="1" ref="U266" ca="1">AND(T266,OR(O266-N266&gt;1,P266&gt;1,ISERROR(A266:P266)))</f>
        <v>0</v>
      </c>
      <c r="W266" t="e">
        <f>MATCH(K266&amp;$W$2,Taostats_CSV!$X$3:$X$1167,0)</f>
        <v>#N/A</v>
      </c>
      <c r="X266" t="e">
        <f t="shared" ca="1" si="36"/>
        <v>#VALUE!</v>
      </c>
      <c r="Y266">
        <f t="shared" ca="1" si="37"/>
        <v>0.24305153199999999</v>
      </c>
      <c r="Z266" t="e">
        <f t="shared" ca="1" si="38"/>
        <v>#VALUE!</v>
      </c>
    </row>
    <row r="267" spans="1:26" x14ac:dyDescent="0.4">
      <c r="A267" t="str">
        <f>MID(Taostats_CSV!C267,6,2)&amp;"/"&amp;MID(Taostats_CSV!C267,9,2)&amp;"/"&amp;LEFT(Taostats_CSV!C267,4)&amp;" "&amp;MID(Taostats_CSV!C267,12,8)</f>
        <v>05/04/2025 23:59:48</v>
      </c>
      <c r="C267" t="str">
        <f ca="1">IF(Q267,OFFSET(Taostats_CSV!$E$1,MATCH(K267&amp;D$1,Taostats_CSV!$X:$X,0)-1,0),IF(Taostats_CSV!F267="fee",IF(VALUE(Taostats_CSV!G267)&gt;0,Taostats_CSV!E267,""),""))</f>
        <v/>
      </c>
      <c r="D267" t="str">
        <f ca="1">IF(Q267,OFFSET(Taostats_CSV!$G$1,MATCH(K267&amp;D$1,Taostats_CSV!$X:$X,0)-1,0),IF(Taostats_CSV!F267="fee",IF(VALUE(Taostats_CSV!G267)&gt;0,Taostats_CSV!G267,""),""))</f>
        <v/>
      </c>
      <c r="E267" t="str">
        <f ca="1">IF(AND(Q267,P267&gt;0),OFFSET(Taostats_CSV!$E$1,MATCH(K267&amp;F$1,Taostats_CSV!$X:$X,0)-1,0),IF(LEN(F267)&gt;0,Taostats_CSV!E267,""))</f>
        <v>SN64</v>
      </c>
      <c r="F267" t="str">
        <f ca="1">TRIM(IF(AND(Q267,P267&gt;0),OFFSET(Taostats_CSV!$H$1,MATCH(K267&amp;F$1,Taostats_CSV!$X:$X,0)-1,0),IF(LEN(Taostats_CSV!H267)&gt;0,Taostats_CSV!H267,Taostats_CSV!R267)))</f>
        <v>0.143277499</v>
      </c>
      <c r="G267" t="str">
        <f ca="1">IF(AND(Q267,N267=1),OFFSET(Taostats_CSV!$E$1,MATCH(K267&amp;H$1,Taostats_CSV!$X:$X,0)-1,0),"")</f>
        <v/>
      </c>
      <c r="H267" t="str">
        <f ca="1">IF(AND(Q267,N267=1),OFFSET(Taostats_CSV!$G$1,MATCH(K267&amp;H$1,Taostats_CSV!$X:$X,0)-1,0),"")</f>
        <v/>
      </c>
      <c r="I267" t="str">
        <f ca="1">IF(AND(LEN(K267)=0,LEN(F267)&gt;0),"Income",IF(AND(O267&gt;0,P267&gt;0,C267&lt;&gt;E267),"Trade",IF(AND(NOT(Q267),Taostats_CSV!F267="fee"),'READ ME'!$C$5,"")))</f>
        <v>Income</v>
      </c>
      <c r="J267" t="str">
        <f ca="1">SUBSTITUTE(IF(LEN(I267)=0,Taostats_CSV!F267&amp;" "&amp;Taostats_CSV!J267,IF(I267="Cost","Extrinsic fee","")),"_"," ")</f>
        <v/>
      </c>
      <c r="K267" t="str">
        <f>TRIM(IF(LEN(Taostats_CSV!I267)&gt;0,Taostats_CSV!I267,""))</f>
        <v/>
      </c>
      <c r="L267">
        <f ca="1">IF(Taostats_CSV!E267&lt;&gt;"TAO",IF(LEN(F267)&gt;0,F267,IF(LEN(D267)&gt;0,D267,0))*Taostats_CSV!P267,"")</f>
        <v>14.058693312386623</v>
      </c>
      <c r="M267" t="str">
        <f t="shared" ca="1" si="39"/>
        <v>USD</v>
      </c>
      <c r="N267">
        <f>COUNTIF(Taostats_CSV!$X:$X,Taostats_CSV!$I267&amp;N$1)</f>
        <v>0</v>
      </c>
      <c r="O267">
        <f>COUNTIF(Taostats_CSV!$X:$X,Taostats_CSV!$I267&amp;O$1)</f>
        <v>0</v>
      </c>
      <c r="P267">
        <f>COUNTIF(Taostats_CSV!$X:$X,Taostats_CSV!$I267&amp;P$1)</f>
        <v>0</v>
      </c>
      <c r="Q267" t="b">
        <f t="shared" si="40"/>
        <v>0</v>
      </c>
      <c r="R267" t="b">
        <f>IF(LEN(K267)&gt;0,COUNTIF($K$3:K267,K267),FALSE)</f>
        <v>0</v>
      </c>
      <c r="S267" t="b">
        <f>IF(Taostats_CSV!A267=Taostats_CSV!$A$2,TRUE,Taostats_CSV!G267+Taostats_CSV!H267+Taostats_CSV!R267=0)</f>
        <v>0</v>
      </c>
      <c r="T267" t="b">
        <f t="shared" si="41"/>
        <v>1</v>
      </c>
      <c r="U267" t="b" cm="1">
        <f t="array" aca="1" ref="U267" ca="1">AND(T267,OR(O267-N267&gt;1,P267&gt;1,ISERROR(A267:P267)))</f>
        <v>0</v>
      </c>
      <c r="W267" t="e">
        <f>MATCH(K267&amp;$W$2,Taostats_CSV!$X$3:$X$1167,0)</f>
        <v>#N/A</v>
      </c>
      <c r="X267" t="e">
        <f t="shared" ca="1" si="36"/>
        <v>#VALUE!</v>
      </c>
      <c r="Y267">
        <f t="shared" ca="1" si="37"/>
        <v>0.143277499</v>
      </c>
      <c r="Z267" t="e">
        <f t="shared" ca="1" si="38"/>
        <v>#VALUE!</v>
      </c>
    </row>
    <row r="268" spans="1:26" hidden="1" x14ac:dyDescent="0.4">
      <c r="A268" t="str">
        <f>MID(Taostats_CSV!C268,6,2)&amp;"/"&amp;MID(Taostats_CSV!C268,9,2)&amp;"/"&amp;LEFT(Taostats_CSV!C268,4)&amp;" "&amp;MID(Taostats_CSV!C268,12,8)</f>
        <v>05/04/2025 23:59:48</v>
      </c>
      <c r="C268" t="str">
        <f ca="1">IF(Q268,OFFSET(Taostats_CSV!$E$1,MATCH(K268&amp;D$1,Taostats_CSV!$X:$X,0)-1,0),IF(Taostats_CSV!F268="fee","",IF(VALUE(Taostats_CSV!G268)&gt;0,Taostats_CSV!E268,"")))</f>
        <v/>
      </c>
      <c r="D268" t="str">
        <f ca="1">IF(Q268,OFFSET(Taostats_CSV!$G$1,MATCH(K268&amp;D$1,Taostats_CSV!$X:$X,0)-1,0),IF(Taostats_CSV!F268="fee","",IF(VALUE(Taostats_CSV!G268)&gt;0,Taostats_CSV!G268,"")))</f>
        <v/>
      </c>
      <c r="E268" t="str">
        <f ca="1">IF(AND(Q268,P268&gt;0),OFFSET(Taostats_CSV!$E$1,MATCH(K268&amp;F$1,Taostats_CSV!$X:$X,0)-1,0),IF(LEN(F268)&gt;0,Taostats_CSV!E268,""))</f>
        <v>TAO</v>
      </c>
      <c r="F268" t="str">
        <f ca="1">TRIM(IF(AND(Q268,P268&gt;0),OFFSET(Taostats_CSV!$H$1,MATCH(K268&amp;F$1,Taostats_CSV!$X:$X,0)-1,0),IF(LEN(Taostats_CSV!H268)&gt;0,Taostats_CSV!H268,Taostats_CSV!R268)))</f>
        <v>0</v>
      </c>
      <c r="G268" t="str">
        <f ca="1">IF(AND(Q268,N268=1),OFFSET(Taostats_CSV!$E$1,MATCH(K268&amp;H$1,Taostats_CSV!$X:$X,0)-1,0),IF(Taostats_CSV!F268="fee",Taostats_CSV!E268,""))</f>
        <v/>
      </c>
      <c r="H268" t="str">
        <f ca="1">IF(AND(Q268,N268=1),OFFSET(Taostats_CSV!$G$1,MATCH(K268&amp;H$1,Taostats_CSV!$X:$X,0)-1,0),IF(Taostats_CSV!F268="fee",Taostats_CSV!G268,""))</f>
        <v/>
      </c>
      <c r="I268" t="str">
        <f ca="1">IF(AND(LEN(K268)=0,LEN(F268)&gt;0),"Income",IF(AND(O268&gt;0,P268&gt;0,C268&lt;&gt;E268),"Trade",IF(AND(NOT(Q268),Taostats_CSV!F268="fee"),'READ ME'!$C$5,"")))</f>
        <v>Income</v>
      </c>
      <c r="J268" t="str">
        <f ca="1">SUBSTITUTE(IF(LEN(I268)=0,Taostats_CSV!F268&amp;" "&amp;Taostats_CSV!J268,IF(I268="Cost","Extrinsic fee","")),"_"," ")</f>
        <v/>
      </c>
      <c r="K268" t="str">
        <f>TRIM(IF(LEN(Taostats_CSV!I268)&gt;0,Taostats_CSV!I268,""))</f>
        <v/>
      </c>
      <c r="L268" t="str">
        <f>IF(Taostats_CSV!E268&lt;&gt;"TAO",IF(LEN(F268)&gt;0,F268,IF(LEN(D268)&gt;0,D268,0))*Taostats_CSV!P268,"")</f>
        <v/>
      </c>
      <c r="M268" t="str">
        <f t="shared" si="39"/>
        <v/>
      </c>
      <c r="N268">
        <f>COUNTIF(Taostats_CSV!$X:$X,Taostats_CSV!$I268&amp;N$1)</f>
        <v>0</v>
      </c>
      <c r="O268">
        <f>COUNTIF(Taostats_CSV!$X:$X,Taostats_CSV!$I268&amp;O$1)</f>
        <v>0</v>
      </c>
      <c r="P268">
        <f>COUNTIF(Taostats_CSV!$X:$X,Taostats_CSV!$I268&amp;P$1)</f>
        <v>0</v>
      </c>
      <c r="Q268" t="b">
        <f t="shared" si="40"/>
        <v>0</v>
      </c>
      <c r="R268" t="b">
        <f>IF(LEN(K268)&gt;0,COUNTIF($K$3:K268,K268),FALSE)</f>
        <v>0</v>
      </c>
      <c r="S268" t="b">
        <f>IF(Taostats_CSV!A268=Taostats_CSV!$A$2,TRUE,Taostats_CSV!G268+Taostats_CSV!H268+Taostats_CSV!R268=0)</f>
        <v>1</v>
      </c>
      <c r="T268" t="b">
        <f t="shared" si="41"/>
        <v>0</v>
      </c>
      <c r="U268" t="b" cm="1">
        <f t="array" aca="1" ref="U268" ca="1">AND(T268,OR(O268-N268&gt;1,P268&gt;1,ISERROR(A268:P268)))</f>
        <v>0</v>
      </c>
      <c r="W268" t="e">
        <f>MATCH(K268&amp;$W$2,Taostats_CSV!$X$3:$X$1167,0)</f>
        <v>#N/A</v>
      </c>
      <c r="X268" t="e">
        <f t="shared" ca="1" si="36"/>
        <v>#VALUE!</v>
      </c>
      <c r="Y268">
        <f t="shared" ca="1" si="37"/>
        <v>0</v>
      </c>
      <c r="Z268" t="e">
        <f t="shared" ca="1" si="38"/>
        <v>#VALUE!</v>
      </c>
    </row>
    <row r="269" spans="1:26" x14ac:dyDescent="0.4">
      <c r="A269" t="str">
        <f>MID(Taostats_CSV!C269,6,2)&amp;"/"&amp;MID(Taostats_CSV!C269,9,2)&amp;"/"&amp;LEFT(Taostats_CSV!C269,4)&amp;" "&amp;MID(Taostats_CSV!C269,12,8)</f>
        <v>05/05/2025 23:59:48</v>
      </c>
      <c r="C269" t="str">
        <f ca="1">IF(Q269,OFFSET(Taostats_CSV!$E$1,MATCH(K269&amp;D$1,Taostats_CSV!$X:$X,0)-1,0),IF(Taostats_CSV!F269="fee",IF(VALUE(Taostats_CSV!G269)&gt;0,Taostats_CSV!E269,""),""))</f>
        <v/>
      </c>
      <c r="D269" t="str">
        <f ca="1">IF(Q269,OFFSET(Taostats_CSV!$G$1,MATCH(K269&amp;D$1,Taostats_CSV!$X:$X,0)-1,0),IF(Taostats_CSV!F269="fee",IF(VALUE(Taostats_CSV!G269)&gt;0,Taostats_CSV!G269,""),""))</f>
        <v/>
      </c>
      <c r="E269" t="str">
        <f ca="1">IF(AND(Q269,P269&gt;0),OFFSET(Taostats_CSV!$E$1,MATCH(K269&amp;F$1,Taostats_CSV!$X:$X,0)-1,0),IF(LEN(F269)&gt;0,Taostats_CSV!E269,""))</f>
        <v>SN3</v>
      </c>
      <c r="F269" t="str">
        <f ca="1">TRIM(IF(AND(Q269,P269&gt;0),OFFSET(Taostats_CSV!$H$1,MATCH(K269&amp;F$1,Taostats_CSV!$X:$X,0)-1,0),IF(LEN(Taostats_CSV!H269)&gt;0,Taostats_CSV!H269,Taostats_CSV!R269)))</f>
        <v>0.410943844</v>
      </c>
      <c r="G269" t="str">
        <f ca="1">IF(AND(Q269,N269=1),OFFSET(Taostats_CSV!$E$1,MATCH(K269&amp;H$1,Taostats_CSV!$X:$X,0)-1,0),"")</f>
        <v/>
      </c>
      <c r="H269" t="str">
        <f ca="1">IF(AND(Q269,N269=1),OFFSET(Taostats_CSV!$G$1,MATCH(K269&amp;H$1,Taostats_CSV!$X:$X,0)-1,0),"")</f>
        <v/>
      </c>
      <c r="I269" t="str">
        <f ca="1">IF(AND(LEN(K269)=0,LEN(F269)&gt;0),"Income",IF(AND(O269&gt;0,P269&gt;0,C269&lt;&gt;E269),"Trade",IF(AND(NOT(Q269),Taostats_CSV!F269="fee"),'READ ME'!$C$5,"")))</f>
        <v>Income</v>
      </c>
      <c r="J269" t="str">
        <f ca="1">SUBSTITUTE(IF(LEN(I269)=0,Taostats_CSV!F269&amp;" "&amp;Taostats_CSV!J269,IF(I269="Cost","Extrinsic fee","")),"_"," ")</f>
        <v/>
      </c>
      <c r="K269" t="str">
        <f>TRIM(IF(LEN(Taostats_CSV!I269)&gt;0,Taostats_CSV!I269,""))</f>
        <v/>
      </c>
      <c r="L269">
        <f ca="1">IF(Taostats_CSV!E269&lt;&gt;"TAO",IF(LEN(F269)&gt;0,F269,IF(LEN(D269)&gt;0,D269,0))*Taostats_CSV!P269,"")</f>
        <v>16.193851928802861</v>
      </c>
      <c r="M269" t="str">
        <f t="shared" ca="1" si="39"/>
        <v>USD</v>
      </c>
      <c r="N269">
        <f>COUNTIF(Taostats_CSV!$X:$X,Taostats_CSV!$I269&amp;N$1)</f>
        <v>0</v>
      </c>
      <c r="O269">
        <f>COUNTIF(Taostats_CSV!$X:$X,Taostats_CSV!$I269&amp;O$1)</f>
        <v>0</v>
      </c>
      <c r="P269">
        <f>COUNTIF(Taostats_CSV!$X:$X,Taostats_CSV!$I269&amp;P$1)</f>
        <v>0</v>
      </c>
      <c r="Q269" t="b">
        <f t="shared" si="40"/>
        <v>0</v>
      </c>
      <c r="R269" t="b">
        <f>IF(LEN(K269)&gt;0,COUNTIF($K$3:K269,K269),FALSE)</f>
        <v>0</v>
      </c>
      <c r="S269" t="b">
        <f>IF(Taostats_CSV!A269=Taostats_CSV!$A$2,TRUE,Taostats_CSV!G269+Taostats_CSV!H269+Taostats_CSV!R269=0)</f>
        <v>0</v>
      </c>
      <c r="T269" t="b">
        <f t="shared" si="41"/>
        <v>1</v>
      </c>
      <c r="U269" t="b" cm="1">
        <f t="array" aca="1" ref="U269" ca="1">AND(T269,OR(O269-N269&gt;1,P269&gt;1,ISERROR(A269:P269)))</f>
        <v>0</v>
      </c>
      <c r="W269" t="e">
        <f>MATCH(K269&amp;$W$2,Taostats_CSV!$X$3:$X$1167,0)</f>
        <v>#N/A</v>
      </c>
      <c r="X269" t="e">
        <f t="shared" ca="1" si="36"/>
        <v>#VALUE!</v>
      </c>
      <c r="Y269">
        <f t="shared" ca="1" si="37"/>
        <v>0.410943844</v>
      </c>
      <c r="Z269" t="e">
        <f t="shared" ca="1" si="38"/>
        <v>#VALUE!</v>
      </c>
    </row>
    <row r="270" spans="1:26" x14ac:dyDescent="0.4">
      <c r="A270" t="str">
        <f>MID(Taostats_CSV!C270,6,2)&amp;"/"&amp;MID(Taostats_CSV!C270,9,2)&amp;"/"&amp;LEFT(Taostats_CSV!C270,4)&amp;" "&amp;MID(Taostats_CSV!C270,12,8)</f>
        <v>05/05/2025 23:59:48</v>
      </c>
      <c r="C270" t="str">
        <f ca="1">IF(Q270,OFFSET(Taostats_CSV!$E$1,MATCH(K270&amp;D$1,Taostats_CSV!$X:$X,0)-1,0),IF(Taostats_CSV!F270="fee",IF(VALUE(Taostats_CSV!G270)&gt;0,Taostats_CSV!E270,""),""))</f>
        <v/>
      </c>
      <c r="D270" t="str">
        <f ca="1">IF(Q270,OFFSET(Taostats_CSV!$G$1,MATCH(K270&amp;D$1,Taostats_CSV!$X:$X,0)-1,0),IF(Taostats_CSV!F270="fee",IF(VALUE(Taostats_CSV!G270)&gt;0,Taostats_CSV!G270,""),""))</f>
        <v/>
      </c>
      <c r="E270" t="str">
        <f ca="1">IF(AND(Q270,P270&gt;0),OFFSET(Taostats_CSV!$E$1,MATCH(K270&amp;F$1,Taostats_CSV!$X:$X,0)-1,0),IF(LEN(F270)&gt;0,Taostats_CSV!E270,""))</f>
        <v>SN4</v>
      </c>
      <c r="F270" t="str">
        <f ca="1">TRIM(IF(AND(Q270,P270&gt;0),OFFSET(Taostats_CSV!$H$1,MATCH(K270&amp;F$1,Taostats_CSV!$X:$X,0)-1,0),IF(LEN(Taostats_CSV!H270)&gt;0,Taostats_CSV!H270,Taostats_CSV!R270)))</f>
        <v>0.370599185</v>
      </c>
      <c r="G270" t="str">
        <f ca="1">IF(AND(Q270,N270=1),OFFSET(Taostats_CSV!$E$1,MATCH(K270&amp;H$1,Taostats_CSV!$X:$X,0)-1,0),"")</f>
        <v/>
      </c>
      <c r="H270" t="str">
        <f ca="1">IF(AND(Q270,N270=1),OFFSET(Taostats_CSV!$G$1,MATCH(K270&amp;H$1,Taostats_CSV!$X:$X,0)-1,0),"")</f>
        <v/>
      </c>
      <c r="I270" t="str">
        <f ca="1">IF(AND(LEN(K270)=0,LEN(F270)&gt;0),"Income",IF(AND(O270&gt;0,P270&gt;0,C270&lt;&gt;E270),"Trade",IF(AND(NOT(Q270),Taostats_CSV!F270="fee"),'READ ME'!$C$5,"")))</f>
        <v>Income</v>
      </c>
      <c r="J270" t="str">
        <f ca="1">SUBSTITUTE(IF(LEN(I270)=0,Taostats_CSV!F270&amp;" "&amp;Taostats_CSV!J270,IF(I270="Cost","Extrinsic fee","")),"_"," ")</f>
        <v/>
      </c>
      <c r="K270" t="str">
        <f>TRIM(IF(LEN(Taostats_CSV!I270)&gt;0,Taostats_CSV!I270,""))</f>
        <v/>
      </c>
      <c r="L270">
        <f ca="1">IF(Taostats_CSV!E270&lt;&gt;"TAO",IF(LEN(F270)&gt;0,F270,IF(LEN(D270)&gt;0,D270,0))*Taostats_CSV!P270,"")</f>
        <v>20.027742859576524</v>
      </c>
      <c r="M270" t="str">
        <f t="shared" ca="1" si="39"/>
        <v>USD</v>
      </c>
      <c r="N270">
        <f>COUNTIF(Taostats_CSV!$X:$X,Taostats_CSV!$I270&amp;N$1)</f>
        <v>0</v>
      </c>
      <c r="O270">
        <f>COUNTIF(Taostats_CSV!$X:$X,Taostats_CSV!$I270&amp;O$1)</f>
        <v>0</v>
      </c>
      <c r="P270">
        <f>COUNTIF(Taostats_CSV!$X:$X,Taostats_CSV!$I270&amp;P$1)</f>
        <v>0</v>
      </c>
      <c r="Q270" t="b">
        <f t="shared" si="40"/>
        <v>0</v>
      </c>
      <c r="R270" t="b">
        <f>IF(LEN(K270)&gt;0,COUNTIF($K$3:K270,K270),FALSE)</f>
        <v>0</v>
      </c>
      <c r="S270" t="b">
        <f>IF(Taostats_CSV!A270=Taostats_CSV!$A$2,TRUE,Taostats_CSV!G270+Taostats_CSV!H270+Taostats_CSV!R270=0)</f>
        <v>0</v>
      </c>
      <c r="T270" t="b">
        <f t="shared" si="41"/>
        <v>1</v>
      </c>
      <c r="U270" t="b" cm="1">
        <f t="array" aca="1" ref="U270" ca="1">AND(T270,OR(O270-N270&gt;1,P270&gt;1,ISERROR(A270:P270)))</f>
        <v>0</v>
      </c>
      <c r="W270" t="e">
        <f>MATCH(K270&amp;$W$2,Taostats_CSV!$X$3:$X$1167,0)</f>
        <v>#N/A</v>
      </c>
      <c r="X270" t="e">
        <f t="shared" ca="1" si="36"/>
        <v>#VALUE!</v>
      </c>
      <c r="Y270">
        <f t="shared" ca="1" si="37"/>
        <v>0.370599185</v>
      </c>
      <c r="Z270" t="e">
        <f t="shared" ca="1" si="38"/>
        <v>#VALUE!</v>
      </c>
    </row>
    <row r="271" spans="1:26" x14ac:dyDescent="0.4">
      <c r="A271" t="str">
        <f>MID(Taostats_CSV!C271,6,2)&amp;"/"&amp;MID(Taostats_CSV!C271,9,2)&amp;"/"&amp;LEFT(Taostats_CSV!C271,4)&amp;" "&amp;MID(Taostats_CSV!C271,12,8)</f>
        <v>05/05/2025 23:59:48</v>
      </c>
      <c r="C271" t="str">
        <f ca="1">IF(Q271,OFFSET(Taostats_CSV!$E$1,MATCH(K271&amp;D$1,Taostats_CSV!$X:$X,0)-1,0),IF(Taostats_CSV!F271="fee",IF(VALUE(Taostats_CSV!G271)&gt;0,Taostats_CSV!E271,""),""))</f>
        <v/>
      </c>
      <c r="D271" t="str">
        <f ca="1">IF(Q271,OFFSET(Taostats_CSV!$G$1,MATCH(K271&amp;D$1,Taostats_CSV!$X:$X,0)-1,0),IF(Taostats_CSV!F271="fee",IF(VALUE(Taostats_CSV!G271)&gt;0,Taostats_CSV!G271,""),""))</f>
        <v/>
      </c>
      <c r="E271" t="str">
        <f ca="1">IF(AND(Q271,P271&gt;0),OFFSET(Taostats_CSV!$E$1,MATCH(K271&amp;F$1,Taostats_CSV!$X:$X,0)-1,0),IF(LEN(F271)&gt;0,Taostats_CSV!E271,""))</f>
        <v>SN56</v>
      </c>
      <c r="F271" t="str">
        <f ca="1">TRIM(IF(AND(Q271,P271&gt;0),OFFSET(Taostats_CSV!$H$1,MATCH(K271&amp;F$1,Taostats_CSV!$X:$X,0)-1,0),IF(LEN(Taostats_CSV!H271)&gt;0,Taostats_CSV!H271,Taostats_CSV!R271)))</f>
        <v>0.244780187</v>
      </c>
      <c r="G271" t="str">
        <f ca="1">IF(AND(Q271,N271=1),OFFSET(Taostats_CSV!$E$1,MATCH(K271&amp;H$1,Taostats_CSV!$X:$X,0)-1,0),"")</f>
        <v/>
      </c>
      <c r="H271" t="str">
        <f ca="1">IF(AND(Q271,N271=1),OFFSET(Taostats_CSV!$G$1,MATCH(K271&amp;H$1,Taostats_CSV!$X:$X,0)-1,0),"")</f>
        <v/>
      </c>
      <c r="I271" t="str">
        <f ca="1">IF(AND(LEN(K271)=0,LEN(F271)&gt;0),"Income",IF(AND(O271&gt;0,P271&gt;0,C271&lt;&gt;E271),"Trade",IF(AND(NOT(Q271),Taostats_CSV!F271="fee"),'READ ME'!$C$5,"")))</f>
        <v>Income</v>
      </c>
      <c r="J271" t="str">
        <f ca="1">SUBSTITUTE(IF(LEN(I271)=0,Taostats_CSV!F271&amp;" "&amp;Taostats_CSV!J271,IF(I271="Cost","Extrinsic fee","")),"_"," ")</f>
        <v/>
      </c>
      <c r="K271" t="str">
        <f>TRIM(IF(LEN(Taostats_CSV!I271)&gt;0,Taostats_CSV!I271,""))</f>
        <v/>
      </c>
      <c r="L271">
        <f ca="1">IF(Taostats_CSV!E271&lt;&gt;"TAO",IF(LEN(F271)&gt;0,F271,IF(LEN(D271)&gt;0,D271,0))*Taostats_CSV!P271,"")</f>
        <v>11.456766532054456</v>
      </c>
      <c r="M271" t="str">
        <f t="shared" ca="1" si="39"/>
        <v>USD</v>
      </c>
      <c r="N271">
        <f>COUNTIF(Taostats_CSV!$X:$X,Taostats_CSV!$I271&amp;N$1)</f>
        <v>0</v>
      </c>
      <c r="O271">
        <f>COUNTIF(Taostats_CSV!$X:$X,Taostats_CSV!$I271&amp;O$1)</f>
        <v>0</v>
      </c>
      <c r="P271">
        <f>COUNTIF(Taostats_CSV!$X:$X,Taostats_CSV!$I271&amp;P$1)</f>
        <v>0</v>
      </c>
      <c r="Q271" t="b">
        <f t="shared" si="40"/>
        <v>0</v>
      </c>
      <c r="R271" t="b">
        <f>IF(LEN(K271)&gt;0,COUNTIF($K$3:K271,K271),FALSE)</f>
        <v>0</v>
      </c>
      <c r="S271" t="b">
        <f>IF(Taostats_CSV!A271=Taostats_CSV!$A$2,TRUE,Taostats_CSV!G271+Taostats_CSV!H271+Taostats_CSV!R271=0)</f>
        <v>0</v>
      </c>
      <c r="T271" t="b">
        <f t="shared" si="41"/>
        <v>1</v>
      </c>
      <c r="U271" t="b" cm="1">
        <f t="array" aca="1" ref="U271" ca="1">AND(T271,OR(O271-N271&gt;1,P271&gt;1,ISERROR(A271:P271)))</f>
        <v>0</v>
      </c>
      <c r="W271" t="e">
        <f>MATCH(K271&amp;$W$2,Taostats_CSV!$X$3:$X$1167,0)</f>
        <v>#N/A</v>
      </c>
      <c r="X271" t="e">
        <f t="shared" ca="1" si="36"/>
        <v>#VALUE!</v>
      </c>
      <c r="Y271">
        <f t="shared" ca="1" si="37"/>
        <v>0.24478018700000001</v>
      </c>
      <c r="Z271" t="e">
        <f t="shared" ca="1" si="38"/>
        <v>#VALUE!</v>
      </c>
    </row>
    <row r="272" spans="1:26" x14ac:dyDescent="0.4">
      <c r="A272" t="str">
        <f>MID(Taostats_CSV!C272,6,2)&amp;"/"&amp;MID(Taostats_CSV!C272,9,2)&amp;"/"&amp;LEFT(Taostats_CSV!C272,4)&amp;" "&amp;MID(Taostats_CSV!C272,12,8)</f>
        <v>05/05/2025 23:59:48</v>
      </c>
      <c r="C272" t="str">
        <f ca="1">IF(Q272,OFFSET(Taostats_CSV!$E$1,MATCH(K272&amp;D$1,Taostats_CSV!$X:$X,0)-1,0),IF(Taostats_CSV!F272="fee",IF(VALUE(Taostats_CSV!G272)&gt;0,Taostats_CSV!E272,""),""))</f>
        <v/>
      </c>
      <c r="D272" t="str">
        <f ca="1">IF(Q272,OFFSET(Taostats_CSV!$G$1,MATCH(K272&amp;D$1,Taostats_CSV!$X:$X,0)-1,0),IF(Taostats_CSV!F272="fee",IF(VALUE(Taostats_CSV!G272)&gt;0,Taostats_CSV!G272,""),""))</f>
        <v/>
      </c>
      <c r="E272" t="str">
        <f ca="1">IF(AND(Q272,P272&gt;0),OFFSET(Taostats_CSV!$E$1,MATCH(K272&amp;F$1,Taostats_CSV!$X:$X,0)-1,0),IF(LEN(F272)&gt;0,Taostats_CSV!E272,""))</f>
        <v>SN64</v>
      </c>
      <c r="F272" t="str">
        <f ca="1">TRIM(IF(AND(Q272,P272&gt;0),OFFSET(Taostats_CSV!$H$1,MATCH(K272&amp;F$1,Taostats_CSV!$X:$X,0)-1,0),IF(LEN(Taostats_CSV!H272)&gt;0,Taostats_CSV!H272,Taostats_CSV!R272)))</f>
        <v>0.14400586</v>
      </c>
      <c r="G272" t="str">
        <f ca="1">IF(AND(Q272,N272=1),OFFSET(Taostats_CSV!$E$1,MATCH(K272&amp;H$1,Taostats_CSV!$X:$X,0)-1,0),"")</f>
        <v/>
      </c>
      <c r="H272" t="str">
        <f ca="1">IF(AND(Q272,N272=1),OFFSET(Taostats_CSV!$G$1,MATCH(K272&amp;H$1,Taostats_CSV!$X:$X,0)-1,0),"")</f>
        <v/>
      </c>
      <c r="I272" t="str">
        <f ca="1">IF(AND(LEN(K272)=0,LEN(F272)&gt;0),"Income",IF(AND(O272&gt;0,P272&gt;0,C272&lt;&gt;E272),"Trade",IF(AND(NOT(Q272),Taostats_CSV!F272="fee"),'READ ME'!$C$5,"")))</f>
        <v>Income</v>
      </c>
      <c r="J272" t="str">
        <f ca="1">SUBSTITUTE(IF(LEN(I272)=0,Taostats_CSV!F272&amp;" "&amp;Taostats_CSV!J272,IF(I272="Cost","Extrinsic fee","")),"_"," ")</f>
        <v/>
      </c>
      <c r="K272" t="str">
        <f>TRIM(IF(LEN(Taostats_CSV!I272)&gt;0,Taostats_CSV!I272,""))</f>
        <v/>
      </c>
      <c r="L272">
        <f ca="1">IF(Taostats_CSV!E272&lt;&gt;"TAO",IF(LEN(F272)&gt;0,F272,IF(LEN(D272)&gt;0,D272,0))*Taostats_CSV!P272,"")</f>
        <v>15.552149158338866</v>
      </c>
      <c r="M272" t="str">
        <f t="shared" ca="1" si="39"/>
        <v>USD</v>
      </c>
      <c r="N272">
        <f>COUNTIF(Taostats_CSV!$X:$X,Taostats_CSV!$I272&amp;N$1)</f>
        <v>0</v>
      </c>
      <c r="O272">
        <f>COUNTIF(Taostats_CSV!$X:$X,Taostats_CSV!$I272&amp;O$1)</f>
        <v>0</v>
      </c>
      <c r="P272">
        <f>COUNTIF(Taostats_CSV!$X:$X,Taostats_CSV!$I272&amp;P$1)</f>
        <v>0</v>
      </c>
      <c r="Q272" t="b">
        <f t="shared" si="40"/>
        <v>0</v>
      </c>
      <c r="R272" t="b">
        <f>IF(LEN(K272)&gt;0,COUNTIF($K$3:K272,K272),FALSE)</f>
        <v>0</v>
      </c>
      <c r="S272" t="b">
        <f>IF(Taostats_CSV!A272=Taostats_CSV!$A$2,TRUE,Taostats_CSV!G272+Taostats_CSV!H272+Taostats_CSV!R272=0)</f>
        <v>0</v>
      </c>
      <c r="T272" t="b">
        <f t="shared" si="41"/>
        <v>1</v>
      </c>
      <c r="U272" t="b" cm="1">
        <f t="array" aca="1" ref="U272" ca="1">AND(T272,OR(O272-N272&gt;1,P272&gt;1,ISERROR(A272:P272)))</f>
        <v>0</v>
      </c>
      <c r="W272" t="e">
        <f>MATCH(K272&amp;$W$2,Taostats_CSV!$X$3:$X$1167,0)</f>
        <v>#N/A</v>
      </c>
      <c r="X272" t="e">
        <f t="shared" ca="1" si="36"/>
        <v>#VALUE!</v>
      </c>
      <c r="Y272">
        <f t="shared" ca="1" si="37"/>
        <v>0.14400586000000001</v>
      </c>
      <c r="Z272" t="e">
        <f t="shared" ca="1" si="38"/>
        <v>#VALUE!</v>
      </c>
    </row>
    <row r="273" spans="1:26" hidden="1" x14ac:dyDescent="0.4">
      <c r="A273" t="str">
        <f>MID(Taostats_CSV!C273,6,2)&amp;"/"&amp;MID(Taostats_CSV!C273,9,2)&amp;"/"&amp;LEFT(Taostats_CSV!C273,4)&amp;" "&amp;MID(Taostats_CSV!C273,12,8)</f>
        <v>05/05/2025 23:59:48</v>
      </c>
      <c r="C273" t="str">
        <f ca="1">IF(Q273,OFFSET(Taostats_CSV!$E$1,MATCH(K273&amp;D$1,Taostats_CSV!$X:$X,0)-1,0),IF(Taostats_CSV!F273="fee","",IF(VALUE(Taostats_CSV!G273)&gt;0,Taostats_CSV!E273,"")))</f>
        <v/>
      </c>
      <c r="D273" t="str">
        <f ca="1">IF(Q273,OFFSET(Taostats_CSV!$G$1,MATCH(K273&amp;D$1,Taostats_CSV!$X:$X,0)-1,0),IF(Taostats_CSV!F273="fee","",IF(VALUE(Taostats_CSV!G273)&gt;0,Taostats_CSV!G273,"")))</f>
        <v/>
      </c>
      <c r="E273" t="str">
        <f ca="1">IF(AND(Q273,P273&gt;0),OFFSET(Taostats_CSV!$E$1,MATCH(K273&amp;F$1,Taostats_CSV!$X:$X,0)-1,0),IF(LEN(F273)&gt;0,Taostats_CSV!E273,""))</f>
        <v>TAO</v>
      </c>
      <c r="F273" t="str">
        <f ca="1">TRIM(IF(AND(Q273,P273&gt;0),OFFSET(Taostats_CSV!$H$1,MATCH(K273&amp;F$1,Taostats_CSV!$X:$X,0)-1,0),IF(LEN(Taostats_CSV!H273)&gt;0,Taostats_CSV!H273,Taostats_CSV!R273)))</f>
        <v>0</v>
      </c>
      <c r="G273" t="str">
        <f ca="1">IF(AND(Q273,N273=1),OFFSET(Taostats_CSV!$E$1,MATCH(K273&amp;H$1,Taostats_CSV!$X:$X,0)-1,0),IF(Taostats_CSV!F273="fee",Taostats_CSV!E273,""))</f>
        <v/>
      </c>
      <c r="H273" t="str">
        <f ca="1">IF(AND(Q273,N273=1),OFFSET(Taostats_CSV!$G$1,MATCH(K273&amp;H$1,Taostats_CSV!$X:$X,0)-1,0),IF(Taostats_CSV!F273="fee",Taostats_CSV!G273,""))</f>
        <v/>
      </c>
      <c r="I273" t="str">
        <f ca="1">IF(AND(LEN(K273)=0,LEN(F273)&gt;0),"Income",IF(AND(O273&gt;0,P273&gt;0,C273&lt;&gt;E273),"Trade",IF(AND(NOT(Q273),Taostats_CSV!F273="fee"),'READ ME'!$C$5,"")))</f>
        <v>Income</v>
      </c>
      <c r="J273" t="str">
        <f ca="1">SUBSTITUTE(IF(LEN(I273)=0,Taostats_CSV!F273&amp;" "&amp;Taostats_CSV!J273,IF(I273="Cost","Extrinsic fee","")),"_"," ")</f>
        <v/>
      </c>
      <c r="K273" t="str">
        <f>TRIM(IF(LEN(Taostats_CSV!I273)&gt;0,Taostats_CSV!I273,""))</f>
        <v/>
      </c>
      <c r="L273" t="str">
        <f>IF(Taostats_CSV!E273&lt;&gt;"TAO",IF(LEN(F273)&gt;0,F273,IF(LEN(D273)&gt;0,D273,0))*Taostats_CSV!P273,"")</f>
        <v/>
      </c>
      <c r="M273" t="str">
        <f t="shared" si="39"/>
        <v/>
      </c>
      <c r="N273">
        <f>COUNTIF(Taostats_CSV!$X:$X,Taostats_CSV!$I273&amp;N$1)</f>
        <v>0</v>
      </c>
      <c r="O273">
        <f>COUNTIF(Taostats_CSV!$X:$X,Taostats_CSV!$I273&amp;O$1)</f>
        <v>0</v>
      </c>
      <c r="P273">
        <f>COUNTIF(Taostats_CSV!$X:$X,Taostats_CSV!$I273&amp;P$1)</f>
        <v>0</v>
      </c>
      <c r="Q273" t="b">
        <f t="shared" si="40"/>
        <v>0</v>
      </c>
      <c r="R273" t="b">
        <f>IF(LEN(K273)&gt;0,COUNTIF($K$3:K273,K273),FALSE)</f>
        <v>0</v>
      </c>
      <c r="S273" t="b">
        <f>IF(Taostats_CSV!A273=Taostats_CSV!$A$2,TRUE,Taostats_CSV!G273+Taostats_CSV!H273+Taostats_CSV!R273=0)</f>
        <v>1</v>
      </c>
      <c r="T273" t="b">
        <f t="shared" si="41"/>
        <v>0</v>
      </c>
      <c r="U273" t="b" cm="1">
        <f t="array" aca="1" ref="U273" ca="1">AND(T273,OR(O273-N273&gt;1,P273&gt;1,ISERROR(A273:P273)))</f>
        <v>0</v>
      </c>
      <c r="W273" t="e">
        <f>MATCH(K273&amp;$W$2,Taostats_CSV!$X$3:$X$1167,0)</f>
        <v>#N/A</v>
      </c>
      <c r="X273" t="e">
        <f t="shared" ca="1" si="36"/>
        <v>#VALUE!</v>
      </c>
      <c r="Y273">
        <f t="shared" ca="1" si="37"/>
        <v>0</v>
      </c>
      <c r="Z273" t="e">
        <f t="shared" ca="1" si="38"/>
        <v>#VALUE!</v>
      </c>
    </row>
    <row r="274" spans="1:26" x14ac:dyDescent="0.4">
      <c r="A274" t="str">
        <f>MID(Taostats_CSV!C274,6,2)&amp;"/"&amp;MID(Taostats_CSV!C274,9,2)&amp;"/"&amp;LEFT(Taostats_CSV!C274,4)&amp;" "&amp;MID(Taostats_CSV!C274,12,8)</f>
        <v>05/06/2025 23:59:48</v>
      </c>
      <c r="C274" t="str">
        <f ca="1">IF(Q274,OFFSET(Taostats_CSV!$E$1,MATCH(K274&amp;D$1,Taostats_CSV!$X:$X,0)-1,0),IF(Taostats_CSV!F274="fee",IF(VALUE(Taostats_CSV!G274)&gt;0,Taostats_CSV!E274,""),""))</f>
        <v/>
      </c>
      <c r="D274" t="str">
        <f ca="1">IF(Q274,OFFSET(Taostats_CSV!$G$1,MATCH(K274&amp;D$1,Taostats_CSV!$X:$X,0)-1,0),IF(Taostats_CSV!F274="fee",IF(VALUE(Taostats_CSV!G274)&gt;0,Taostats_CSV!G274,""),""))</f>
        <v/>
      </c>
      <c r="E274" t="str">
        <f ca="1">IF(AND(Q274,P274&gt;0),OFFSET(Taostats_CSV!$E$1,MATCH(K274&amp;F$1,Taostats_CSV!$X:$X,0)-1,0),IF(LEN(F274)&gt;0,Taostats_CSV!E274,""))</f>
        <v>SN3</v>
      </c>
      <c r="F274" t="str">
        <f ca="1">TRIM(IF(AND(Q274,P274&gt;0),OFFSET(Taostats_CSV!$H$1,MATCH(K274&amp;F$1,Taostats_CSV!$X:$X,0)-1,0),IF(LEN(Taostats_CSV!H274)&gt;0,Taostats_CSV!H274,Taostats_CSV!R274)))</f>
        <v>0.414322527</v>
      </c>
      <c r="G274" t="str">
        <f ca="1">IF(AND(Q274,N274=1),OFFSET(Taostats_CSV!$E$1,MATCH(K274&amp;H$1,Taostats_CSV!$X:$X,0)-1,0),"")</f>
        <v/>
      </c>
      <c r="H274" t="str">
        <f ca="1">IF(AND(Q274,N274=1),OFFSET(Taostats_CSV!$G$1,MATCH(K274&amp;H$1,Taostats_CSV!$X:$X,0)-1,0),"")</f>
        <v/>
      </c>
      <c r="I274" t="str">
        <f ca="1">IF(AND(LEN(K274)=0,LEN(F274)&gt;0),"Income",IF(AND(O274&gt;0,P274&gt;0,C274&lt;&gt;E274),"Trade",IF(AND(NOT(Q274),Taostats_CSV!F274="fee"),'READ ME'!$C$5,"")))</f>
        <v>Income</v>
      </c>
      <c r="J274" t="str">
        <f ca="1">SUBSTITUTE(IF(LEN(I274)=0,Taostats_CSV!F274&amp;" "&amp;Taostats_CSV!J274,IF(I274="Cost","Extrinsic fee","")),"_"," ")</f>
        <v/>
      </c>
      <c r="K274" t="str">
        <f>TRIM(IF(LEN(Taostats_CSV!I274)&gt;0,Taostats_CSV!I274,""))</f>
        <v/>
      </c>
      <c r="L274">
        <f ca="1">IF(Taostats_CSV!E274&lt;&gt;"TAO",IF(LEN(F274)&gt;0,F274,IF(LEN(D274)&gt;0,D274,0))*Taostats_CSV!P274,"")</f>
        <v>15.95444833380364</v>
      </c>
      <c r="M274" t="str">
        <f t="shared" ca="1" si="39"/>
        <v>USD</v>
      </c>
      <c r="N274">
        <f>COUNTIF(Taostats_CSV!$X:$X,Taostats_CSV!$I274&amp;N$1)</f>
        <v>0</v>
      </c>
      <c r="O274">
        <f>COUNTIF(Taostats_CSV!$X:$X,Taostats_CSV!$I274&amp;O$1)</f>
        <v>0</v>
      </c>
      <c r="P274">
        <f>COUNTIF(Taostats_CSV!$X:$X,Taostats_CSV!$I274&amp;P$1)</f>
        <v>0</v>
      </c>
      <c r="Q274" t="b">
        <f t="shared" si="40"/>
        <v>0</v>
      </c>
      <c r="R274" t="b">
        <f>IF(LEN(K274)&gt;0,COUNTIF($K$3:K274,K274),FALSE)</f>
        <v>0</v>
      </c>
      <c r="S274" t="b">
        <f>IF(Taostats_CSV!A274=Taostats_CSV!$A$2,TRUE,Taostats_CSV!G274+Taostats_CSV!H274+Taostats_CSV!R274=0)</f>
        <v>0</v>
      </c>
      <c r="T274" t="b">
        <f t="shared" si="41"/>
        <v>1</v>
      </c>
      <c r="U274" t="b" cm="1">
        <f t="array" aca="1" ref="U274" ca="1">AND(T274,OR(O274-N274&gt;1,P274&gt;1,ISERROR(A274:P274)))</f>
        <v>0</v>
      </c>
      <c r="W274" t="e">
        <f>MATCH(K274&amp;$W$2,Taostats_CSV!$X$3:$X$1167,0)</f>
        <v>#N/A</v>
      </c>
      <c r="X274" t="e">
        <f t="shared" ca="1" si="36"/>
        <v>#VALUE!</v>
      </c>
      <c r="Y274">
        <f t="shared" ca="1" si="37"/>
        <v>0.414322527</v>
      </c>
      <c r="Z274" t="e">
        <f t="shared" ca="1" si="38"/>
        <v>#VALUE!</v>
      </c>
    </row>
    <row r="275" spans="1:26" x14ac:dyDescent="0.4">
      <c r="A275" t="str">
        <f>MID(Taostats_CSV!C275,6,2)&amp;"/"&amp;MID(Taostats_CSV!C275,9,2)&amp;"/"&amp;LEFT(Taostats_CSV!C275,4)&amp;" "&amp;MID(Taostats_CSV!C275,12,8)</f>
        <v>05/06/2025 23:59:48</v>
      </c>
      <c r="C275" t="str">
        <f ca="1">IF(Q275,OFFSET(Taostats_CSV!$E$1,MATCH(K275&amp;D$1,Taostats_CSV!$X:$X,0)-1,0),IF(Taostats_CSV!F275="fee",IF(VALUE(Taostats_CSV!G275)&gt;0,Taostats_CSV!E275,""),""))</f>
        <v/>
      </c>
      <c r="D275" t="str">
        <f ca="1">IF(Q275,OFFSET(Taostats_CSV!$G$1,MATCH(K275&amp;D$1,Taostats_CSV!$X:$X,0)-1,0),IF(Taostats_CSV!F275="fee",IF(VALUE(Taostats_CSV!G275)&gt;0,Taostats_CSV!G275,""),""))</f>
        <v/>
      </c>
      <c r="E275" t="str">
        <f ca="1">IF(AND(Q275,P275&gt;0),OFFSET(Taostats_CSV!$E$1,MATCH(K275&amp;F$1,Taostats_CSV!$X:$X,0)-1,0),IF(LEN(F275)&gt;0,Taostats_CSV!E275,""))</f>
        <v>SN4</v>
      </c>
      <c r="F275" t="str">
        <f ca="1">TRIM(IF(AND(Q275,P275&gt;0),OFFSET(Taostats_CSV!$H$1,MATCH(K275&amp;F$1,Taostats_CSV!$X:$X,0)-1,0),IF(LEN(Taostats_CSV!H275)&gt;0,Taostats_CSV!H275,Taostats_CSV!R275)))</f>
        <v>0.375049746</v>
      </c>
      <c r="G275" t="str">
        <f ca="1">IF(AND(Q275,N275=1),OFFSET(Taostats_CSV!$E$1,MATCH(K275&amp;H$1,Taostats_CSV!$X:$X,0)-1,0),"")</f>
        <v/>
      </c>
      <c r="H275" t="str">
        <f ca="1">IF(AND(Q275,N275=1),OFFSET(Taostats_CSV!$G$1,MATCH(K275&amp;H$1,Taostats_CSV!$X:$X,0)-1,0),"")</f>
        <v/>
      </c>
      <c r="I275" t="str">
        <f ca="1">IF(AND(LEN(K275)=0,LEN(F275)&gt;0),"Income",IF(AND(O275&gt;0,P275&gt;0,C275&lt;&gt;E275),"Trade",IF(AND(NOT(Q275),Taostats_CSV!F275="fee"),'READ ME'!$C$5,"")))</f>
        <v>Income</v>
      </c>
      <c r="J275" t="str">
        <f ca="1">SUBSTITUTE(IF(LEN(I275)=0,Taostats_CSV!F275&amp;" "&amp;Taostats_CSV!J275,IF(I275="Cost","Extrinsic fee","")),"_"," ")</f>
        <v/>
      </c>
      <c r="K275" t="str">
        <f>TRIM(IF(LEN(Taostats_CSV!I275)&gt;0,Taostats_CSV!I275,""))</f>
        <v/>
      </c>
      <c r="L275">
        <f ca="1">IF(Taostats_CSV!E275&lt;&gt;"TAO",IF(LEN(F275)&gt;0,F275,IF(LEN(D275)&gt;0,D275,0))*Taostats_CSV!P275,"")</f>
        <v>19.659874649097198</v>
      </c>
      <c r="M275" t="str">
        <f t="shared" ca="1" si="39"/>
        <v>USD</v>
      </c>
      <c r="N275">
        <f>COUNTIF(Taostats_CSV!$X:$X,Taostats_CSV!$I275&amp;N$1)</f>
        <v>0</v>
      </c>
      <c r="O275">
        <f>COUNTIF(Taostats_CSV!$X:$X,Taostats_CSV!$I275&amp;O$1)</f>
        <v>0</v>
      </c>
      <c r="P275">
        <f>COUNTIF(Taostats_CSV!$X:$X,Taostats_CSV!$I275&amp;P$1)</f>
        <v>0</v>
      </c>
      <c r="Q275" t="b">
        <f t="shared" si="40"/>
        <v>0</v>
      </c>
      <c r="R275" t="b">
        <f>IF(LEN(K275)&gt;0,COUNTIF($K$3:K275,K275),FALSE)</f>
        <v>0</v>
      </c>
      <c r="S275" t="b">
        <f>IF(Taostats_CSV!A275=Taostats_CSV!$A$2,TRUE,Taostats_CSV!G275+Taostats_CSV!H275+Taostats_CSV!R275=0)</f>
        <v>0</v>
      </c>
      <c r="T275" t="b">
        <f t="shared" si="41"/>
        <v>1</v>
      </c>
      <c r="U275" t="b" cm="1">
        <f t="array" aca="1" ref="U275" ca="1">AND(T275,OR(O275-N275&gt;1,P275&gt;1,ISERROR(A275:P275)))</f>
        <v>0</v>
      </c>
      <c r="W275" t="e">
        <f>MATCH(K275&amp;$W$2,Taostats_CSV!$X$3:$X$1167,0)</f>
        <v>#N/A</v>
      </c>
      <c r="X275" t="e">
        <f t="shared" ca="1" si="36"/>
        <v>#VALUE!</v>
      </c>
      <c r="Y275">
        <f t="shared" ca="1" si="37"/>
        <v>0.37504974600000002</v>
      </c>
      <c r="Z275" t="e">
        <f t="shared" ca="1" si="38"/>
        <v>#VALUE!</v>
      </c>
    </row>
    <row r="276" spans="1:26" x14ac:dyDescent="0.4">
      <c r="A276" t="str">
        <f>MID(Taostats_CSV!C276,6,2)&amp;"/"&amp;MID(Taostats_CSV!C276,9,2)&amp;"/"&amp;LEFT(Taostats_CSV!C276,4)&amp;" "&amp;MID(Taostats_CSV!C276,12,8)</f>
        <v>05/06/2025 23:59:48</v>
      </c>
      <c r="C276" t="str">
        <f ca="1">IF(Q276,OFFSET(Taostats_CSV!$E$1,MATCH(K276&amp;D$1,Taostats_CSV!$X:$X,0)-1,0),IF(Taostats_CSV!F276="fee",IF(VALUE(Taostats_CSV!G276)&gt;0,Taostats_CSV!E276,""),""))</f>
        <v/>
      </c>
      <c r="D276" t="str">
        <f ca="1">IF(Q276,OFFSET(Taostats_CSV!$G$1,MATCH(K276&amp;D$1,Taostats_CSV!$X:$X,0)-1,0),IF(Taostats_CSV!F276="fee",IF(VALUE(Taostats_CSV!G276)&gt;0,Taostats_CSV!G276,""),""))</f>
        <v/>
      </c>
      <c r="E276" t="str">
        <f ca="1">IF(AND(Q276,P276&gt;0),OFFSET(Taostats_CSV!$E$1,MATCH(K276&amp;F$1,Taostats_CSV!$X:$X,0)-1,0),IF(LEN(F276)&gt;0,Taostats_CSV!E276,""))</f>
        <v>SN56</v>
      </c>
      <c r="F276" t="str">
        <f ca="1">TRIM(IF(AND(Q276,P276&gt;0),OFFSET(Taostats_CSV!$H$1,MATCH(K276&amp;F$1,Taostats_CSV!$X:$X,0)-1,0),IF(LEN(Taostats_CSV!H276)&gt;0,Taostats_CSV!H276,Taostats_CSV!R276)))</f>
        <v>0.244441554</v>
      </c>
      <c r="G276" t="str">
        <f ca="1">IF(AND(Q276,N276=1),OFFSET(Taostats_CSV!$E$1,MATCH(K276&amp;H$1,Taostats_CSV!$X:$X,0)-1,0),"")</f>
        <v/>
      </c>
      <c r="H276" t="str">
        <f ca="1">IF(AND(Q276,N276=1),OFFSET(Taostats_CSV!$G$1,MATCH(K276&amp;H$1,Taostats_CSV!$X:$X,0)-1,0),"")</f>
        <v/>
      </c>
      <c r="I276" t="str">
        <f ca="1">IF(AND(LEN(K276)=0,LEN(F276)&gt;0),"Income",IF(AND(O276&gt;0,P276&gt;0,C276&lt;&gt;E276),"Trade",IF(AND(NOT(Q276),Taostats_CSV!F276="fee"),'READ ME'!$C$5,"")))</f>
        <v>Income</v>
      </c>
      <c r="J276" t="str">
        <f ca="1">SUBSTITUTE(IF(LEN(I276)=0,Taostats_CSV!F276&amp;" "&amp;Taostats_CSV!J276,IF(I276="Cost","Extrinsic fee","")),"_"," ")</f>
        <v/>
      </c>
      <c r="K276" t="str">
        <f>TRIM(IF(LEN(Taostats_CSV!I276)&gt;0,Taostats_CSV!I276,""))</f>
        <v/>
      </c>
      <c r="L276">
        <f ca="1">IF(Taostats_CSV!E276&lt;&gt;"TAO",IF(LEN(F276)&gt;0,F276,IF(LEN(D276)&gt;0,D276,0))*Taostats_CSV!P276,"")</f>
        <v>10.287542336357799</v>
      </c>
      <c r="M276" t="str">
        <f t="shared" ca="1" si="39"/>
        <v>USD</v>
      </c>
      <c r="N276">
        <f>COUNTIF(Taostats_CSV!$X:$X,Taostats_CSV!$I276&amp;N$1)</f>
        <v>0</v>
      </c>
      <c r="O276">
        <f>COUNTIF(Taostats_CSV!$X:$X,Taostats_CSV!$I276&amp;O$1)</f>
        <v>0</v>
      </c>
      <c r="P276">
        <f>COUNTIF(Taostats_CSV!$X:$X,Taostats_CSV!$I276&amp;P$1)</f>
        <v>0</v>
      </c>
      <c r="Q276" t="b">
        <f t="shared" si="40"/>
        <v>0</v>
      </c>
      <c r="R276" t="b">
        <f>IF(LEN(K276)&gt;0,COUNTIF($K$3:K276,K276),FALSE)</f>
        <v>0</v>
      </c>
      <c r="S276" t="b">
        <f>IF(Taostats_CSV!A276=Taostats_CSV!$A$2,TRUE,Taostats_CSV!G276+Taostats_CSV!H276+Taostats_CSV!R276=0)</f>
        <v>0</v>
      </c>
      <c r="T276" t="b">
        <f t="shared" si="41"/>
        <v>1</v>
      </c>
      <c r="U276" t="b" cm="1">
        <f t="array" aca="1" ref="U276" ca="1">AND(T276,OR(O276-N276&gt;1,P276&gt;1,ISERROR(A276:P276)))</f>
        <v>0</v>
      </c>
      <c r="W276" t="e">
        <f>MATCH(K276&amp;$W$2,Taostats_CSV!$X$3:$X$1167,0)</f>
        <v>#N/A</v>
      </c>
      <c r="X276" t="e">
        <f t="shared" ca="1" si="36"/>
        <v>#VALUE!</v>
      </c>
      <c r="Y276">
        <f t="shared" ca="1" si="37"/>
        <v>0.24444155400000001</v>
      </c>
      <c r="Z276" t="e">
        <f t="shared" ca="1" si="38"/>
        <v>#VALUE!</v>
      </c>
    </row>
    <row r="277" spans="1:26" x14ac:dyDescent="0.4">
      <c r="A277" t="str">
        <f>MID(Taostats_CSV!C277,6,2)&amp;"/"&amp;MID(Taostats_CSV!C277,9,2)&amp;"/"&amp;LEFT(Taostats_CSV!C277,4)&amp;" "&amp;MID(Taostats_CSV!C277,12,8)</f>
        <v>05/06/2025 23:59:48</v>
      </c>
      <c r="C277" t="str">
        <f ca="1">IF(Q277,OFFSET(Taostats_CSV!$E$1,MATCH(K277&amp;D$1,Taostats_CSV!$X:$X,0)-1,0),IF(Taostats_CSV!F277="fee",IF(VALUE(Taostats_CSV!G277)&gt;0,Taostats_CSV!E277,""),""))</f>
        <v/>
      </c>
      <c r="D277" t="str">
        <f ca="1">IF(Q277,OFFSET(Taostats_CSV!$G$1,MATCH(K277&amp;D$1,Taostats_CSV!$X:$X,0)-1,0),IF(Taostats_CSV!F277="fee",IF(VALUE(Taostats_CSV!G277)&gt;0,Taostats_CSV!G277,""),""))</f>
        <v/>
      </c>
      <c r="E277" t="str">
        <f ca="1">IF(AND(Q277,P277&gt;0),OFFSET(Taostats_CSV!$E$1,MATCH(K277&amp;F$1,Taostats_CSV!$X:$X,0)-1,0),IF(LEN(F277)&gt;0,Taostats_CSV!E277,""))</f>
        <v>SN64</v>
      </c>
      <c r="F277" t="str">
        <f ca="1">TRIM(IF(AND(Q277,P277&gt;0),OFFSET(Taostats_CSV!$H$1,MATCH(K277&amp;F$1,Taostats_CSV!$X:$X,0)-1,0),IF(LEN(Taostats_CSV!H277)&gt;0,Taostats_CSV!H277,Taostats_CSV!R277)))</f>
        <v>0.144954437</v>
      </c>
      <c r="G277" t="str">
        <f ca="1">IF(AND(Q277,N277=1),OFFSET(Taostats_CSV!$E$1,MATCH(K277&amp;H$1,Taostats_CSV!$X:$X,0)-1,0),"")</f>
        <v/>
      </c>
      <c r="H277" t="str">
        <f ca="1">IF(AND(Q277,N277=1),OFFSET(Taostats_CSV!$G$1,MATCH(K277&amp;H$1,Taostats_CSV!$X:$X,0)-1,0),"")</f>
        <v/>
      </c>
      <c r="I277" t="str">
        <f ca="1">IF(AND(LEN(K277)=0,LEN(F277)&gt;0),"Income",IF(AND(O277&gt;0,P277&gt;0,C277&lt;&gt;E277),"Trade",IF(AND(NOT(Q277),Taostats_CSV!F277="fee"),'READ ME'!$C$5,"")))</f>
        <v>Income</v>
      </c>
      <c r="J277" t="str">
        <f ca="1">SUBSTITUTE(IF(LEN(I277)=0,Taostats_CSV!F277&amp;" "&amp;Taostats_CSV!J277,IF(I277="Cost","Extrinsic fee","")),"_"," ")</f>
        <v/>
      </c>
      <c r="K277" t="str">
        <f>TRIM(IF(LEN(Taostats_CSV!I277)&gt;0,Taostats_CSV!I277,""))</f>
        <v/>
      </c>
      <c r="L277">
        <f ca="1">IF(Taostats_CSV!E277&lt;&gt;"TAO",IF(LEN(F277)&gt;0,F277,IF(LEN(D277)&gt;0,D277,0))*Taostats_CSV!P277,"")</f>
        <v>14.799150518367913</v>
      </c>
      <c r="M277" t="str">
        <f t="shared" ca="1" si="39"/>
        <v>USD</v>
      </c>
      <c r="N277">
        <f>COUNTIF(Taostats_CSV!$X:$X,Taostats_CSV!$I277&amp;N$1)</f>
        <v>0</v>
      </c>
      <c r="O277">
        <f>COUNTIF(Taostats_CSV!$X:$X,Taostats_CSV!$I277&amp;O$1)</f>
        <v>0</v>
      </c>
      <c r="P277">
        <f>COUNTIF(Taostats_CSV!$X:$X,Taostats_CSV!$I277&amp;P$1)</f>
        <v>0</v>
      </c>
      <c r="Q277" t="b">
        <f t="shared" si="40"/>
        <v>0</v>
      </c>
      <c r="R277" t="b">
        <f>IF(LEN(K277)&gt;0,COUNTIF($K$3:K277,K277),FALSE)</f>
        <v>0</v>
      </c>
      <c r="S277" t="b">
        <f>IF(Taostats_CSV!A277=Taostats_CSV!$A$2,TRUE,Taostats_CSV!G277+Taostats_CSV!H277+Taostats_CSV!R277=0)</f>
        <v>0</v>
      </c>
      <c r="T277" t="b">
        <f t="shared" si="41"/>
        <v>1</v>
      </c>
      <c r="U277" t="b" cm="1">
        <f t="array" aca="1" ref="U277" ca="1">AND(T277,OR(O277-N277&gt;1,P277&gt;1,ISERROR(A277:P277)))</f>
        <v>0</v>
      </c>
      <c r="W277" t="e">
        <f>MATCH(K277&amp;$W$2,Taostats_CSV!$X$3:$X$1167,0)</f>
        <v>#N/A</v>
      </c>
      <c r="X277" t="e">
        <f t="shared" ca="1" si="36"/>
        <v>#VALUE!</v>
      </c>
      <c r="Y277">
        <f t="shared" ca="1" si="37"/>
        <v>0.14495443699999999</v>
      </c>
      <c r="Z277" t="e">
        <f t="shared" ca="1" si="38"/>
        <v>#VALUE!</v>
      </c>
    </row>
    <row r="278" spans="1:26" hidden="1" x14ac:dyDescent="0.4">
      <c r="A278" t="str">
        <f>MID(Taostats_CSV!C278,6,2)&amp;"/"&amp;MID(Taostats_CSV!C278,9,2)&amp;"/"&amp;LEFT(Taostats_CSV!C278,4)&amp;" "&amp;MID(Taostats_CSV!C278,12,8)</f>
        <v>05/06/2025 23:59:48</v>
      </c>
      <c r="C278" t="str">
        <f ca="1">IF(Q278,OFFSET(Taostats_CSV!$E$1,MATCH(K278&amp;D$1,Taostats_CSV!$X:$X,0)-1,0),IF(Taostats_CSV!F278="fee","",IF(VALUE(Taostats_CSV!G278)&gt;0,Taostats_CSV!E278,"")))</f>
        <v/>
      </c>
      <c r="D278" t="str">
        <f ca="1">IF(Q278,OFFSET(Taostats_CSV!$G$1,MATCH(K278&amp;D$1,Taostats_CSV!$X:$X,0)-1,0),IF(Taostats_CSV!F278="fee","",IF(VALUE(Taostats_CSV!G278)&gt;0,Taostats_CSV!G278,"")))</f>
        <v/>
      </c>
      <c r="E278" t="str">
        <f ca="1">IF(AND(Q278,P278&gt;0),OFFSET(Taostats_CSV!$E$1,MATCH(K278&amp;F$1,Taostats_CSV!$X:$X,0)-1,0),IF(LEN(F278)&gt;0,Taostats_CSV!E278,""))</f>
        <v>TAO</v>
      </c>
      <c r="F278" t="str">
        <f ca="1">TRIM(IF(AND(Q278,P278&gt;0),OFFSET(Taostats_CSV!$H$1,MATCH(K278&amp;F$1,Taostats_CSV!$X:$X,0)-1,0),IF(LEN(Taostats_CSV!H278)&gt;0,Taostats_CSV!H278,Taostats_CSV!R278)))</f>
        <v>0</v>
      </c>
      <c r="G278" t="str">
        <f ca="1">IF(AND(Q278,N278=1),OFFSET(Taostats_CSV!$E$1,MATCH(K278&amp;H$1,Taostats_CSV!$X:$X,0)-1,0),IF(Taostats_CSV!F278="fee",Taostats_CSV!E278,""))</f>
        <v/>
      </c>
      <c r="H278" t="str">
        <f ca="1">IF(AND(Q278,N278=1),OFFSET(Taostats_CSV!$G$1,MATCH(K278&amp;H$1,Taostats_CSV!$X:$X,0)-1,0),IF(Taostats_CSV!F278="fee",Taostats_CSV!G278,""))</f>
        <v/>
      </c>
      <c r="I278" t="str">
        <f ca="1">IF(AND(LEN(K278)=0,LEN(F278)&gt;0),"Income",IF(AND(O278&gt;0,P278&gt;0,C278&lt;&gt;E278),"Trade",IF(AND(NOT(Q278),Taostats_CSV!F278="fee"),'READ ME'!$C$5,"")))</f>
        <v>Income</v>
      </c>
      <c r="J278" t="str">
        <f ca="1">SUBSTITUTE(IF(LEN(I278)=0,Taostats_CSV!F278&amp;" "&amp;Taostats_CSV!J278,IF(I278="Cost","Extrinsic fee","")),"_"," ")</f>
        <v/>
      </c>
      <c r="K278" t="str">
        <f>TRIM(IF(LEN(Taostats_CSV!I278)&gt;0,Taostats_CSV!I278,""))</f>
        <v/>
      </c>
      <c r="L278" t="str">
        <f>IF(Taostats_CSV!E278&lt;&gt;"TAO",IF(LEN(F278)&gt;0,F278,IF(LEN(D278)&gt;0,D278,0))*Taostats_CSV!P278,"")</f>
        <v/>
      </c>
      <c r="M278" t="str">
        <f t="shared" si="39"/>
        <v/>
      </c>
      <c r="N278">
        <f>COUNTIF(Taostats_CSV!$X:$X,Taostats_CSV!$I278&amp;N$1)</f>
        <v>0</v>
      </c>
      <c r="O278">
        <f>COUNTIF(Taostats_CSV!$X:$X,Taostats_CSV!$I278&amp;O$1)</f>
        <v>0</v>
      </c>
      <c r="P278">
        <f>COUNTIF(Taostats_CSV!$X:$X,Taostats_CSV!$I278&amp;P$1)</f>
        <v>0</v>
      </c>
      <c r="Q278" t="b">
        <f t="shared" si="40"/>
        <v>0</v>
      </c>
      <c r="R278" t="b">
        <f>IF(LEN(K278)&gt;0,COUNTIF($K$3:K278,K278),FALSE)</f>
        <v>0</v>
      </c>
      <c r="S278" t="b">
        <f>IF(Taostats_CSV!A278=Taostats_CSV!$A$2,TRUE,Taostats_CSV!G278+Taostats_CSV!H278+Taostats_CSV!R278=0)</f>
        <v>1</v>
      </c>
      <c r="T278" t="b">
        <f t="shared" si="41"/>
        <v>0</v>
      </c>
      <c r="U278" t="b" cm="1">
        <f t="array" aca="1" ref="U278" ca="1">AND(T278,OR(O278-N278&gt;1,P278&gt;1,ISERROR(A278:P278)))</f>
        <v>0</v>
      </c>
      <c r="W278" t="e">
        <f>MATCH(K278&amp;$W$2,Taostats_CSV!$X$3:$X$1167,0)</f>
        <v>#N/A</v>
      </c>
      <c r="X278" t="e">
        <f t="shared" ca="1" si="36"/>
        <v>#VALUE!</v>
      </c>
      <c r="Y278">
        <f t="shared" ca="1" si="37"/>
        <v>0</v>
      </c>
      <c r="Z278" t="e">
        <f t="shared" ca="1" si="38"/>
        <v>#VALUE!</v>
      </c>
    </row>
    <row r="279" spans="1:26" x14ac:dyDescent="0.4">
      <c r="A279" t="str">
        <f>MID(Taostats_CSV!C279,6,2)&amp;"/"&amp;MID(Taostats_CSV!C279,9,2)&amp;"/"&amp;LEFT(Taostats_CSV!C279,4)&amp;" "&amp;MID(Taostats_CSV!C279,12,8)</f>
        <v>05/07/2025 23:59:48</v>
      </c>
      <c r="C279" t="str">
        <f ca="1">IF(Q279,OFFSET(Taostats_CSV!$E$1,MATCH(K279&amp;D$1,Taostats_CSV!$X:$X,0)-1,0),IF(Taostats_CSV!F279="fee",IF(VALUE(Taostats_CSV!G279)&gt;0,Taostats_CSV!E279,""),""))</f>
        <v/>
      </c>
      <c r="D279" t="str">
        <f ca="1">IF(Q279,OFFSET(Taostats_CSV!$G$1,MATCH(K279&amp;D$1,Taostats_CSV!$X:$X,0)-1,0),IF(Taostats_CSV!F279="fee",IF(VALUE(Taostats_CSV!G279)&gt;0,Taostats_CSV!G279,""),""))</f>
        <v/>
      </c>
      <c r="E279" t="str">
        <f ca="1">IF(AND(Q279,P279&gt;0),OFFSET(Taostats_CSV!$E$1,MATCH(K279&amp;F$1,Taostats_CSV!$X:$X,0)-1,0),IF(LEN(F279)&gt;0,Taostats_CSV!E279,""))</f>
        <v>SN3</v>
      </c>
      <c r="F279" t="str">
        <f ca="1">TRIM(IF(AND(Q279,P279&gt;0),OFFSET(Taostats_CSV!$H$1,MATCH(K279&amp;F$1,Taostats_CSV!$X:$X,0)-1,0),IF(LEN(Taostats_CSV!H279)&gt;0,Taostats_CSV!H279,Taostats_CSV!R279)))</f>
        <v>0.419900966</v>
      </c>
      <c r="G279" t="str">
        <f ca="1">IF(AND(Q279,N279=1),OFFSET(Taostats_CSV!$E$1,MATCH(K279&amp;H$1,Taostats_CSV!$X:$X,0)-1,0),"")</f>
        <v/>
      </c>
      <c r="H279" t="str">
        <f ca="1">IF(AND(Q279,N279=1),OFFSET(Taostats_CSV!$G$1,MATCH(K279&amp;H$1,Taostats_CSV!$X:$X,0)-1,0),"")</f>
        <v/>
      </c>
      <c r="I279" t="str">
        <f ca="1">IF(AND(LEN(K279)=0,LEN(F279)&gt;0),"Income",IF(AND(O279&gt;0,P279&gt;0,C279&lt;&gt;E279),"Trade",IF(AND(NOT(Q279),Taostats_CSV!F279="fee"),'READ ME'!$C$5,"")))</f>
        <v>Income</v>
      </c>
      <c r="J279" t="str">
        <f ca="1">SUBSTITUTE(IF(LEN(I279)=0,Taostats_CSV!F279&amp;" "&amp;Taostats_CSV!J279,IF(I279="Cost","Extrinsic fee","")),"_"," ")</f>
        <v/>
      </c>
      <c r="K279" t="str">
        <f>TRIM(IF(LEN(Taostats_CSV!I279)&gt;0,Taostats_CSV!I279,""))</f>
        <v/>
      </c>
      <c r="L279">
        <f ca="1">IF(Taostats_CSV!E279&lt;&gt;"TAO",IF(LEN(F279)&gt;0,F279,IF(LEN(D279)&gt;0,D279,0))*Taostats_CSV!P279,"")</f>
        <v>16.752878172224676</v>
      </c>
      <c r="M279" t="str">
        <f t="shared" ca="1" si="39"/>
        <v>USD</v>
      </c>
      <c r="N279">
        <f>COUNTIF(Taostats_CSV!$X:$X,Taostats_CSV!$I279&amp;N$1)</f>
        <v>0</v>
      </c>
      <c r="O279">
        <f>COUNTIF(Taostats_CSV!$X:$X,Taostats_CSV!$I279&amp;O$1)</f>
        <v>0</v>
      </c>
      <c r="P279">
        <f>COUNTIF(Taostats_CSV!$X:$X,Taostats_CSV!$I279&amp;P$1)</f>
        <v>0</v>
      </c>
      <c r="Q279" t="b">
        <f t="shared" si="40"/>
        <v>0</v>
      </c>
      <c r="R279" t="b">
        <f>IF(LEN(K279)&gt;0,COUNTIF($K$3:K279,K279),FALSE)</f>
        <v>0</v>
      </c>
      <c r="S279" t="b">
        <f>IF(Taostats_CSV!A279=Taostats_CSV!$A$2,TRUE,Taostats_CSV!G279+Taostats_CSV!H279+Taostats_CSV!R279=0)</f>
        <v>0</v>
      </c>
      <c r="T279" t="b">
        <f t="shared" si="41"/>
        <v>1</v>
      </c>
      <c r="U279" t="b" cm="1">
        <f t="array" aca="1" ref="U279" ca="1">AND(T279,OR(O279-N279&gt;1,P279&gt;1,ISERROR(A279:P279)))</f>
        <v>0</v>
      </c>
      <c r="W279" t="e">
        <f>MATCH(K279&amp;$W$2,Taostats_CSV!$X$3:$X$1167,0)</f>
        <v>#N/A</v>
      </c>
      <c r="X279" t="e">
        <f t="shared" ca="1" si="36"/>
        <v>#VALUE!</v>
      </c>
      <c r="Y279">
        <f t="shared" ca="1" si="37"/>
        <v>0.41990096599999999</v>
      </c>
      <c r="Z279" t="e">
        <f t="shared" ca="1" si="38"/>
        <v>#VALUE!</v>
      </c>
    </row>
    <row r="280" spans="1:26" x14ac:dyDescent="0.4">
      <c r="A280" t="str">
        <f>MID(Taostats_CSV!C280,6,2)&amp;"/"&amp;MID(Taostats_CSV!C280,9,2)&amp;"/"&amp;LEFT(Taostats_CSV!C280,4)&amp;" "&amp;MID(Taostats_CSV!C280,12,8)</f>
        <v>05/07/2025 23:59:48</v>
      </c>
      <c r="C280" t="str">
        <f ca="1">IF(Q280,OFFSET(Taostats_CSV!$E$1,MATCH(K280&amp;D$1,Taostats_CSV!$X:$X,0)-1,0),IF(Taostats_CSV!F280="fee",IF(VALUE(Taostats_CSV!G280)&gt;0,Taostats_CSV!E280,""),""))</f>
        <v/>
      </c>
      <c r="D280" t="str">
        <f ca="1">IF(Q280,OFFSET(Taostats_CSV!$G$1,MATCH(K280&amp;D$1,Taostats_CSV!$X:$X,0)-1,0),IF(Taostats_CSV!F280="fee",IF(VALUE(Taostats_CSV!G280)&gt;0,Taostats_CSV!G280,""),""))</f>
        <v/>
      </c>
      <c r="E280" t="str">
        <f ca="1">IF(AND(Q280,P280&gt;0),OFFSET(Taostats_CSV!$E$1,MATCH(K280&amp;F$1,Taostats_CSV!$X:$X,0)-1,0),IF(LEN(F280)&gt;0,Taostats_CSV!E280,""))</f>
        <v>SN4</v>
      </c>
      <c r="F280" t="str">
        <f ca="1">TRIM(IF(AND(Q280,P280&gt;0),OFFSET(Taostats_CSV!$H$1,MATCH(K280&amp;F$1,Taostats_CSV!$X:$X,0)-1,0),IF(LEN(Taostats_CSV!H280)&gt;0,Taostats_CSV!H280,Taostats_CSV!R280)))</f>
        <v>0.378427743</v>
      </c>
      <c r="G280" t="str">
        <f ca="1">IF(AND(Q280,N280=1),OFFSET(Taostats_CSV!$E$1,MATCH(K280&amp;H$1,Taostats_CSV!$X:$X,0)-1,0),"")</f>
        <v/>
      </c>
      <c r="H280" t="str">
        <f ca="1">IF(AND(Q280,N280=1),OFFSET(Taostats_CSV!$G$1,MATCH(K280&amp;H$1,Taostats_CSV!$X:$X,0)-1,0),"")</f>
        <v/>
      </c>
      <c r="I280" t="str">
        <f ca="1">IF(AND(LEN(K280)=0,LEN(F280)&gt;0),"Income",IF(AND(O280&gt;0,P280&gt;0,C280&lt;&gt;E280),"Trade",IF(AND(NOT(Q280),Taostats_CSV!F280="fee"),'READ ME'!$C$5,"")))</f>
        <v>Income</v>
      </c>
      <c r="J280" t="str">
        <f ca="1">SUBSTITUTE(IF(LEN(I280)=0,Taostats_CSV!F280&amp;" "&amp;Taostats_CSV!J280,IF(I280="Cost","Extrinsic fee","")),"_"," ")</f>
        <v/>
      </c>
      <c r="K280" t="str">
        <f>TRIM(IF(LEN(Taostats_CSV!I280)&gt;0,Taostats_CSV!I280,""))</f>
        <v/>
      </c>
      <c r="L280">
        <f ca="1">IF(Taostats_CSV!E280&lt;&gt;"TAO",IF(LEN(F280)&gt;0,F280,IF(LEN(D280)&gt;0,D280,0))*Taostats_CSV!P280,"")</f>
        <v>19.116561529431223</v>
      </c>
      <c r="M280" t="str">
        <f t="shared" ca="1" si="39"/>
        <v>USD</v>
      </c>
      <c r="N280">
        <f>COUNTIF(Taostats_CSV!$X:$X,Taostats_CSV!$I280&amp;N$1)</f>
        <v>0</v>
      </c>
      <c r="O280">
        <f>COUNTIF(Taostats_CSV!$X:$X,Taostats_CSV!$I280&amp;O$1)</f>
        <v>0</v>
      </c>
      <c r="P280">
        <f>COUNTIF(Taostats_CSV!$X:$X,Taostats_CSV!$I280&amp;P$1)</f>
        <v>0</v>
      </c>
      <c r="Q280" t="b">
        <f t="shared" si="40"/>
        <v>0</v>
      </c>
      <c r="R280" t="b">
        <f>IF(LEN(K280)&gt;0,COUNTIF($K$3:K280,K280),FALSE)</f>
        <v>0</v>
      </c>
      <c r="S280" t="b">
        <f>IF(Taostats_CSV!A280=Taostats_CSV!$A$2,TRUE,Taostats_CSV!G280+Taostats_CSV!H280+Taostats_CSV!R280=0)</f>
        <v>0</v>
      </c>
      <c r="T280" t="b">
        <f t="shared" si="41"/>
        <v>1</v>
      </c>
      <c r="U280" t="b" cm="1">
        <f t="array" aca="1" ref="U280" ca="1">AND(T280,OR(O280-N280&gt;1,P280&gt;1,ISERROR(A280:P280)))</f>
        <v>0</v>
      </c>
      <c r="W280" t="e">
        <f>MATCH(K280&amp;$W$2,Taostats_CSV!$X$3:$X$1167,0)</f>
        <v>#N/A</v>
      </c>
      <c r="X280" t="e">
        <f t="shared" ca="1" si="36"/>
        <v>#VALUE!</v>
      </c>
      <c r="Y280">
        <f t="shared" ca="1" si="37"/>
        <v>0.37842774299999998</v>
      </c>
      <c r="Z280" t="e">
        <f t="shared" ca="1" si="38"/>
        <v>#VALUE!</v>
      </c>
    </row>
    <row r="281" spans="1:26" x14ac:dyDescent="0.4">
      <c r="A281" t="str">
        <f>MID(Taostats_CSV!C281,6,2)&amp;"/"&amp;MID(Taostats_CSV!C281,9,2)&amp;"/"&amp;LEFT(Taostats_CSV!C281,4)&amp;" "&amp;MID(Taostats_CSV!C281,12,8)</f>
        <v>05/07/2025 23:59:48</v>
      </c>
      <c r="C281" t="str">
        <f ca="1">IF(Q281,OFFSET(Taostats_CSV!$E$1,MATCH(K281&amp;D$1,Taostats_CSV!$X:$X,0)-1,0),IF(Taostats_CSV!F281="fee",IF(VALUE(Taostats_CSV!G281)&gt;0,Taostats_CSV!E281,""),""))</f>
        <v/>
      </c>
      <c r="D281" t="str">
        <f ca="1">IF(Q281,OFFSET(Taostats_CSV!$G$1,MATCH(K281&amp;D$1,Taostats_CSV!$X:$X,0)-1,0),IF(Taostats_CSV!F281="fee",IF(VALUE(Taostats_CSV!G281)&gt;0,Taostats_CSV!G281,""),""))</f>
        <v/>
      </c>
      <c r="E281" t="str">
        <f ca="1">IF(AND(Q281,P281&gt;0),OFFSET(Taostats_CSV!$E$1,MATCH(K281&amp;F$1,Taostats_CSV!$X:$X,0)-1,0),IF(LEN(F281)&gt;0,Taostats_CSV!E281,""))</f>
        <v>SN56</v>
      </c>
      <c r="F281" t="str">
        <f ca="1">TRIM(IF(AND(Q281,P281&gt;0),OFFSET(Taostats_CSV!$H$1,MATCH(K281&amp;F$1,Taostats_CSV!$X:$X,0)-1,0),IF(LEN(Taostats_CSV!H281)&gt;0,Taostats_CSV!H281,Taostats_CSV!R281)))</f>
        <v>0.248477571</v>
      </c>
      <c r="G281" t="str">
        <f ca="1">IF(AND(Q281,N281=1),OFFSET(Taostats_CSV!$E$1,MATCH(K281&amp;H$1,Taostats_CSV!$X:$X,0)-1,0),"")</f>
        <v/>
      </c>
      <c r="H281" t="str">
        <f ca="1">IF(AND(Q281,N281=1),OFFSET(Taostats_CSV!$G$1,MATCH(K281&amp;H$1,Taostats_CSV!$X:$X,0)-1,0),"")</f>
        <v/>
      </c>
      <c r="I281" t="str">
        <f ca="1">IF(AND(LEN(K281)=0,LEN(F281)&gt;0),"Income",IF(AND(O281&gt;0,P281&gt;0,C281&lt;&gt;E281),"Trade",IF(AND(NOT(Q281),Taostats_CSV!F281="fee"),'READ ME'!$C$5,"")))</f>
        <v>Income</v>
      </c>
      <c r="J281" t="str">
        <f ca="1">SUBSTITUTE(IF(LEN(I281)=0,Taostats_CSV!F281&amp;" "&amp;Taostats_CSV!J281,IF(I281="Cost","Extrinsic fee","")),"_"," ")</f>
        <v/>
      </c>
      <c r="K281" t="str">
        <f>TRIM(IF(LEN(Taostats_CSV!I281)&gt;0,Taostats_CSV!I281,""))</f>
        <v/>
      </c>
      <c r="L281">
        <f ca="1">IF(Taostats_CSV!E281&lt;&gt;"TAO",IF(LEN(F281)&gt;0,F281,IF(LEN(D281)&gt;0,D281,0))*Taostats_CSV!P281,"")</f>
        <v>9.3692637628966953</v>
      </c>
      <c r="M281" t="str">
        <f t="shared" ca="1" si="39"/>
        <v>USD</v>
      </c>
      <c r="N281">
        <f>COUNTIF(Taostats_CSV!$X:$X,Taostats_CSV!$I281&amp;N$1)</f>
        <v>0</v>
      </c>
      <c r="O281">
        <f>COUNTIF(Taostats_CSV!$X:$X,Taostats_CSV!$I281&amp;O$1)</f>
        <v>0</v>
      </c>
      <c r="P281">
        <f>COUNTIF(Taostats_CSV!$X:$X,Taostats_CSV!$I281&amp;P$1)</f>
        <v>0</v>
      </c>
      <c r="Q281" t="b">
        <f t="shared" si="40"/>
        <v>0</v>
      </c>
      <c r="R281" t="b">
        <f>IF(LEN(K281)&gt;0,COUNTIF($K$3:K281,K281),FALSE)</f>
        <v>0</v>
      </c>
      <c r="S281" t="b">
        <f>IF(Taostats_CSV!A281=Taostats_CSV!$A$2,TRUE,Taostats_CSV!G281+Taostats_CSV!H281+Taostats_CSV!R281=0)</f>
        <v>0</v>
      </c>
      <c r="T281" t="b">
        <f t="shared" si="41"/>
        <v>1</v>
      </c>
      <c r="U281" t="b" cm="1">
        <f t="array" aca="1" ref="U281" ca="1">AND(T281,OR(O281-N281&gt;1,P281&gt;1,ISERROR(A281:P281)))</f>
        <v>0</v>
      </c>
      <c r="W281" t="e">
        <f>MATCH(K281&amp;$W$2,Taostats_CSV!$X$3:$X$1167,0)</f>
        <v>#N/A</v>
      </c>
      <c r="X281" t="e">
        <f t="shared" ca="1" si="36"/>
        <v>#VALUE!</v>
      </c>
      <c r="Y281">
        <f t="shared" ca="1" si="37"/>
        <v>0.24847757100000001</v>
      </c>
      <c r="Z281" t="e">
        <f t="shared" ca="1" si="38"/>
        <v>#VALUE!</v>
      </c>
    </row>
    <row r="282" spans="1:26" x14ac:dyDescent="0.4">
      <c r="A282" t="str">
        <f>MID(Taostats_CSV!C282,6,2)&amp;"/"&amp;MID(Taostats_CSV!C282,9,2)&amp;"/"&amp;LEFT(Taostats_CSV!C282,4)&amp;" "&amp;MID(Taostats_CSV!C282,12,8)</f>
        <v>05/07/2025 23:59:48</v>
      </c>
      <c r="C282" t="str">
        <f ca="1">IF(Q282,OFFSET(Taostats_CSV!$E$1,MATCH(K282&amp;D$1,Taostats_CSV!$X:$X,0)-1,0),IF(Taostats_CSV!F282="fee",IF(VALUE(Taostats_CSV!G282)&gt;0,Taostats_CSV!E282,""),""))</f>
        <v/>
      </c>
      <c r="D282" t="str">
        <f ca="1">IF(Q282,OFFSET(Taostats_CSV!$G$1,MATCH(K282&amp;D$1,Taostats_CSV!$X:$X,0)-1,0),IF(Taostats_CSV!F282="fee",IF(VALUE(Taostats_CSV!G282)&gt;0,Taostats_CSV!G282,""),""))</f>
        <v/>
      </c>
      <c r="E282" t="str">
        <f ca="1">IF(AND(Q282,P282&gt;0),OFFSET(Taostats_CSV!$E$1,MATCH(K282&amp;F$1,Taostats_CSV!$X:$X,0)-1,0),IF(LEN(F282)&gt;0,Taostats_CSV!E282,""))</f>
        <v>SN64</v>
      </c>
      <c r="F282" t="str">
        <f ca="1">TRIM(IF(AND(Q282,P282&gt;0),OFFSET(Taostats_CSV!$H$1,MATCH(K282&amp;F$1,Taostats_CSV!$X:$X,0)-1,0),IF(LEN(Taostats_CSV!H282)&gt;0,Taostats_CSV!H282,Taostats_CSV!R282)))</f>
        <v>0.14665993</v>
      </c>
      <c r="G282" t="str">
        <f ca="1">IF(AND(Q282,N282=1),OFFSET(Taostats_CSV!$E$1,MATCH(K282&amp;H$1,Taostats_CSV!$X:$X,0)-1,0),"")</f>
        <v/>
      </c>
      <c r="H282" t="str">
        <f ca="1">IF(AND(Q282,N282=1),OFFSET(Taostats_CSV!$G$1,MATCH(K282&amp;H$1,Taostats_CSV!$X:$X,0)-1,0),"")</f>
        <v/>
      </c>
      <c r="I282" t="str">
        <f ca="1">IF(AND(LEN(K282)=0,LEN(F282)&gt;0),"Income",IF(AND(O282&gt;0,P282&gt;0,C282&lt;&gt;E282),"Trade",IF(AND(NOT(Q282),Taostats_CSV!F282="fee"),'READ ME'!$C$5,"")))</f>
        <v>Income</v>
      </c>
      <c r="J282" t="str">
        <f ca="1">SUBSTITUTE(IF(LEN(I282)=0,Taostats_CSV!F282&amp;" "&amp;Taostats_CSV!J282,IF(I282="Cost","Extrinsic fee","")),"_"," ")</f>
        <v/>
      </c>
      <c r="K282" t="str">
        <f>TRIM(IF(LEN(Taostats_CSV!I282)&gt;0,Taostats_CSV!I282,""))</f>
        <v/>
      </c>
      <c r="L282">
        <f ca="1">IF(Taostats_CSV!E282&lt;&gt;"TAO",IF(LEN(F282)&gt;0,F282,IF(LEN(D282)&gt;0,D282,0))*Taostats_CSV!P282,"")</f>
        <v>14.477889687826313</v>
      </c>
      <c r="M282" t="str">
        <f t="shared" ca="1" si="39"/>
        <v>USD</v>
      </c>
      <c r="N282">
        <f>COUNTIF(Taostats_CSV!$X:$X,Taostats_CSV!$I282&amp;N$1)</f>
        <v>0</v>
      </c>
      <c r="O282">
        <f>COUNTIF(Taostats_CSV!$X:$X,Taostats_CSV!$I282&amp;O$1)</f>
        <v>0</v>
      </c>
      <c r="P282">
        <f>COUNTIF(Taostats_CSV!$X:$X,Taostats_CSV!$I282&amp;P$1)</f>
        <v>0</v>
      </c>
      <c r="Q282" t="b">
        <f t="shared" si="40"/>
        <v>0</v>
      </c>
      <c r="R282" t="b">
        <f>IF(LEN(K282)&gt;0,COUNTIF($K$3:K282,K282),FALSE)</f>
        <v>0</v>
      </c>
      <c r="S282" t="b">
        <f>IF(Taostats_CSV!A282=Taostats_CSV!$A$2,TRUE,Taostats_CSV!G282+Taostats_CSV!H282+Taostats_CSV!R282=0)</f>
        <v>0</v>
      </c>
      <c r="T282" t="b">
        <f t="shared" si="41"/>
        <v>1</v>
      </c>
      <c r="U282" t="b" cm="1">
        <f t="array" aca="1" ref="U282" ca="1">AND(T282,OR(O282-N282&gt;1,P282&gt;1,ISERROR(A282:P282)))</f>
        <v>0</v>
      </c>
      <c r="W282" t="e">
        <f>MATCH(K282&amp;$W$2,Taostats_CSV!$X$3:$X$1167,0)</f>
        <v>#N/A</v>
      </c>
      <c r="X282" t="e">
        <f t="shared" ca="1" si="36"/>
        <v>#VALUE!</v>
      </c>
      <c r="Y282">
        <f t="shared" ca="1" si="37"/>
        <v>0.14665992999999999</v>
      </c>
      <c r="Z282" t="e">
        <f t="shared" ca="1" si="38"/>
        <v>#VALUE!</v>
      </c>
    </row>
    <row r="283" spans="1:26" hidden="1" x14ac:dyDescent="0.4">
      <c r="A283" t="str">
        <f>MID(Taostats_CSV!C283,6,2)&amp;"/"&amp;MID(Taostats_CSV!C283,9,2)&amp;"/"&amp;LEFT(Taostats_CSV!C283,4)&amp;" "&amp;MID(Taostats_CSV!C283,12,8)</f>
        <v>05/07/2025 23:59:48</v>
      </c>
      <c r="C283" t="str">
        <f ca="1">IF(Q283,OFFSET(Taostats_CSV!$E$1,MATCH(K283&amp;D$1,Taostats_CSV!$X:$X,0)-1,0),IF(Taostats_CSV!F283="fee","",IF(VALUE(Taostats_CSV!G283)&gt;0,Taostats_CSV!E283,"")))</f>
        <v/>
      </c>
      <c r="D283" t="str">
        <f ca="1">IF(Q283,OFFSET(Taostats_CSV!$G$1,MATCH(K283&amp;D$1,Taostats_CSV!$X:$X,0)-1,0),IF(Taostats_CSV!F283="fee","",IF(VALUE(Taostats_CSV!G283)&gt;0,Taostats_CSV!G283,"")))</f>
        <v/>
      </c>
      <c r="E283" t="str">
        <f ca="1">IF(AND(Q283,P283&gt;0),OFFSET(Taostats_CSV!$E$1,MATCH(K283&amp;F$1,Taostats_CSV!$X:$X,0)-1,0),IF(LEN(F283)&gt;0,Taostats_CSV!E283,""))</f>
        <v>TAO</v>
      </c>
      <c r="F283" t="str">
        <f ca="1">TRIM(IF(AND(Q283,P283&gt;0),OFFSET(Taostats_CSV!$H$1,MATCH(K283&amp;F$1,Taostats_CSV!$X:$X,0)-1,0),IF(LEN(Taostats_CSV!H283)&gt;0,Taostats_CSV!H283,Taostats_CSV!R283)))</f>
        <v>0</v>
      </c>
      <c r="G283" t="str">
        <f ca="1">IF(AND(Q283,N283=1),OFFSET(Taostats_CSV!$E$1,MATCH(K283&amp;H$1,Taostats_CSV!$X:$X,0)-1,0),IF(Taostats_CSV!F283="fee",Taostats_CSV!E283,""))</f>
        <v/>
      </c>
      <c r="H283" t="str">
        <f ca="1">IF(AND(Q283,N283=1),OFFSET(Taostats_CSV!$G$1,MATCH(K283&amp;H$1,Taostats_CSV!$X:$X,0)-1,0),IF(Taostats_CSV!F283="fee",Taostats_CSV!G283,""))</f>
        <v/>
      </c>
      <c r="I283" t="str">
        <f ca="1">IF(AND(LEN(K283)=0,LEN(F283)&gt;0),"Income",IF(AND(O283&gt;0,P283&gt;0,C283&lt;&gt;E283),"Trade",IF(AND(NOT(Q283),Taostats_CSV!F283="fee"),'READ ME'!$C$5,"")))</f>
        <v>Income</v>
      </c>
      <c r="J283" t="str">
        <f ca="1">SUBSTITUTE(IF(LEN(I283)=0,Taostats_CSV!F283&amp;" "&amp;Taostats_CSV!J283,IF(I283="Cost","Extrinsic fee","")),"_"," ")</f>
        <v/>
      </c>
      <c r="K283" t="str">
        <f>TRIM(IF(LEN(Taostats_CSV!I283)&gt;0,Taostats_CSV!I283,""))</f>
        <v/>
      </c>
      <c r="L283" t="str">
        <f>IF(Taostats_CSV!E283&lt;&gt;"TAO",IF(LEN(F283)&gt;0,F283,IF(LEN(D283)&gt;0,D283,0))*Taostats_CSV!P283,"")</f>
        <v/>
      </c>
      <c r="M283" t="str">
        <f t="shared" si="39"/>
        <v/>
      </c>
      <c r="N283">
        <f>COUNTIF(Taostats_CSV!$X:$X,Taostats_CSV!$I283&amp;N$1)</f>
        <v>0</v>
      </c>
      <c r="O283">
        <f>COUNTIF(Taostats_CSV!$X:$X,Taostats_CSV!$I283&amp;O$1)</f>
        <v>0</v>
      </c>
      <c r="P283">
        <f>COUNTIF(Taostats_CSV!$X:$X,Taostats_CSV!$I283&amp;P$1)</f>
        <v>0</v>
      </c>
      <c r="Q283" t="b">
        <f t="shared" si="40"/>
        <v>0</v>
      </c>
      <c r="R283" t="b">
        <f>IF(LEN(K283)&gt;0,COUNTIF($K$3:K283,K283),FALSE)</f>
        <v>0</v>
      </c>
      <c r="S283" t="b">
        <f>IF(Taostats_CSV!A283=Taostats_CSV!$A$2,TRUE,Taostats_CSV!G283+Taostats_CSV!H283+Taostats_CSV!R283=0)</f>
        <v>1</v>
      </c>
      <c r="T283" t="b">
        <f t="shared" si="41"/>
        <v>0</v>
      </c>
      <c r="U283" t="b" cm="1">
        <f t="array" aca="1" ref="U283" ca="1">AND(T283,OR(O283-N283&gt;1,P283&gt;1,ISERROR(A283:P283)))</f>
        <v>0</v>
      </c>
      <c r="W283" t="e">
        <f>MATCH(K283&amp;$W$2,Taostats_CSV!$X$3:$X$1167,0)</f>
        <v>#N/A</v>
      </c>
      <c r="X283" t="e">
        <f t="shared" ca="1" si="36"/>
        <v>#VALUE!</v>
      </c>
      <c r="Y283">
        <f t="shared" ca="1" si="37"/>
        <v>0</v>
      </c>
      <c r="Z283" t="e">
        <f t="shared" ca="1" si="38"/>
        <v>#VALUE!</v>
      </c>
    </row>
    <row r="284" spans="1:26" x14ac:dyDescent="0.4">
      <c r="A284" t="str">
        <f>MID(Taostats_CSV!C284,6,2)&amp;"/"&amp;MID(Taostats_CSV!C284,9,2)&amp;"/"&amp;LEFT(Taostats_CSV!C284,4)&amp;" "&amp;MID(Taostats_CSV!C284,12,8)</f>
        <v>05/08/2025 23:59:48</v>
      </c>
      <c r="C284" t="str">
        <f ca="1">IF(Q284,OFFSET(Taostats_CSV!$E$1,MATCH(K284&amp;D$1,Taostats_CSV!$X:$X,0)-1,0),IF(Taostats_CSV!F284="fee",IF(VALUE(Taostats_CSV!G284)&gt;0,Taostats_CSV!E284,""),""))</f>
        <v/>
      </c>
      <c r="D284" t="str">
        <f ca="1">IF(Q284,OFFSET(Taostats_CSV!$G$1,MATCH(K284&amp;D$1,Taostats_CSV!$X:$X,0)-1,0),IF(Taostats_CSV!F284="fee",IF(VALUE(Taostats_CSV!G284)&gt;0,Taostats_CSV!G284,""),""))</f>
        <v/>
      </c>
      <c r="E284" t="str">
        <f ca="1">IF(AND(Q284,P284&gt;0),OFFSET(Taostats_CSV!$E$1,MATCH(K284&amp;F$1,Taostats_CSV!$X:$X,0)-1,0),IF(LEN(F284)&gt;0,Taostats_CSV!E284,""))</f>
        <v>SN3</v>
      </c>
      <c r="F284" t="str">
        <f ca="1">TRIM(IF(AND(Q284,P284&gt;0),OFFSET(Taostats_CSV!$H$1,MATCH(K284&amp;F$1,Taostats_CSV!$X:$X,0)-1,0),IF(LEN(Taostats_CSV!H284)&gt;0,Taostats_CSV!H284,Taostats_CSV!R284)))</f>
        <v>0.422195482</v>
      </c>
      <c r="G284" t="str">
        <f ca="1">IF(AND(Q284,N284=1),OFFSET(Taostats_CSV!$E$1,MATCH(K284&amp;H$1,Taostats_CSV!$X:$X,0)-1,0),"")</f>
        <v/>
      </c>
      <c r="H284" t="str">
        <f ca="1">IF(AND(Q284,N284=1),OFFSET(Taostats_CSV!$G$1,MATCH(K284&amp;H$1,Taostats_CSV!$X:$X,0)-1,0),"")</f>
        <v/>
      </c>
      <c r="I284" t="str">
        <f ca="1">IF(AND(LEN(K284)=0,LEN(F284)&gt;0),"Income",IF(AND(O284&gt;0,P284&gt;0,C284&lt;&gt;E284),"Trade",IF(AND(NOT(Q284),Taostats_CSV!F284="fee"),'READ ME'!$C$5,"")))</f>
        <v>Income</v>
      </c>
      <c r="J284" t="str">
        <f ca="1">SUBSTITUTE(IF(LEN(I284)=0,Taostats_CSV!F284&amp;" "&amp;Taostats_CSV!J284,IF(I284="Cost","Extrinsic fee","")),"_"," ")</f>
        <v/>
      </c>
      <c r="K284" t="str">
        <f>TRIM(IF(LEN(Taostats_CSV!I284)&gt;0,Taostats_CSV!I284,""))</f>
        <v/>
      </c>
      <c r="L284">
        <f ca="1">IF(Taostats_CSV!E284&lt;&gt;"TAO",IF(LEN(F284)&gt;0,F284,IF(LEN(D284)&gt;0,D284,0))*Taostats_CSV!P284,"")</f>
        <v>18.344334360442545</v>
      </c>
      <c r="M284" t="str">
        <f t="shared" ca="1" si="39"/>
        <v>USD</v>
      </c>
      <c r="N284">
        <f>COUNTIF(Taostats_CSV!$X:$X,Taostats_CSV!$I284&amp;N$1)</f>
        <v>0</v>
      </c>
      <c r="O284">
        <f>COUNTIF(Taostats_CSV!$X:$X,Taostats_CSV!$I284&amp;O$1)</f>
        <v>0</v>
      </c>
      <c r="P284">
        <f>COUNTIF(Taostats_CSV!$X:$X,Taostats_CSV!$I284&amp;P$1)</f>
        <v>0</v>
      </c>
      <c r="Q284" t="b">
        <f t="shared" si="40"/>
        <v>0</v>
      </c>
      <c r="R284" t="b">
        <f>IF(LEN(K284)&gt;0,COUNTIF($K$3:K284,K284),FALSE)</f>
        <v>0</v>
      </c>
      <c r="S284" t="b">
        <f>IF(Taostats_CSV!A284=Taostats_CSV!$A$2,TRUE,Taostats_CSV!G284+Taostats_CSV!H284+Taostats_CSV!R284=0)</f>
        <v>0</v>
      </c>
      <c r="T284" t="b">
        <f t="shared" si="41"/>
        <v>1</v>
      </c>
      <c r="U284" t="b" cm="1">
        <f t="array" aca="1" ref="U284" ca="1">AND(T284,OR(O284-N284&gt;1,P284&gt;1,ISERROR(A284:P284)))</f>
        <v>0</v>
      </c>
      <c r="W284" t="e">
        <f>MATCH(K284&amp;$W$2,Taostats_CSV!$X$3:$X$1167,0)</f>
        <v>#N/A</v>
      </c>
      <c r="X284" t="e">
        <f t="shared" ca="1" si="36"/>
        <v>#VALUE!</v>
      </c>
      <c r="Y284">
        <f t="shared" ca="1" si="37"/>
        <v>0.42219548200000001</v>
      </c>
      <c r="Z284" t="e">
        <f t="shared" ca="1" si="38"/>
        <v>#VALUE!</v>
      </c>
    </row>
    <row r="285" spans="1:26" x14ac:dyDescent="0.4">
      <c r="A285" t="str">
        <f>MID(Taostats_CSV!C285,6,2)&amp;"/"&amp;MID(Taostats_CSV!C285,9,2)&amp;"/"&amp;LEFT(Taostats_CSV!C285,4)&amp;" "&amp;MID(Taostats_CSV!C285,12,8)</f>
        <v>05/08/2025 23:59:48</v>
      </c>
      <c r="C285" t="str">
        <f ca="1">IF(Q285,OFFSET(Taostats_CSV!$E$1,MATCH(K285&amp;D$1,Taostats_CSV!$X:$X,0)-1,0),IF(Taostats_CSV!F285="fee",IF(VALUE(Taostats_CSV!G285)&gt;0,Taostats_CSV!E285,""),""))</f>
        <v/>
      </c>
      <c r="D285" t="str">
        <f ca="1">IF(Q285,OFFSET(Taostats_CSV!$G$1,MATCH(K285&amp;D$1,Taostats_CSV!$X:$X,0)-1,0),IF(Taostats_CSV!F285="fee",IF(VALUE(Taostats_CSV!G285)&gt;0,Taostats_CSV!G285,""),""))</f>
        <v/>
      </c>
      <c r="E285" t="str">
        <f ca="1">IF(AND(Q285,P285&gt;0),OFFSET(Taostats_CSV!$E$1,MATCH(K285&amp;F$1,Taostats_CSV!$X:$X,0)-1,0),IF(LEN(F285)&gt;0,Taostats_CSV!E285,""))</f>
        <v>SN4</v>
      </c>
      <c r="F285" t="str">
        <f ca="1">TRIM(IF(AND(Q285,P285&gt;0),OFFSET(Taostats_CSV!$H$1,MATCH(K285&amp;F$1,Taostats_CSV!$X:$X,0)-1,0),IF(LEN(Taostats_CSV!H285)&gt;0,Taostats_CSV!H285,Taostats_CSV!R285)))</f>
        <v>0.381831732</v>
      </c>
      <c r="G285" t="str">
        <f ca="1">IF(AND(Q285,N285=1),OFFSET(Taostats_CSV!$E$1,MATCH(K285&amp;H$1,Taostats_CSV!$X:$X,0)-1,0),"")</f>
        <v/>
      </c>
      <c r="H285" t="str">
        <f ca="1">IF(AND(Q285,N285=1),OFFSET(Taostats_CSV!$G$1,MATCH(K285&amp;H$1,Taostats_CSV!$X:$X,0)-1,0),"")</f>
        <v/>
      </c>
      <c r="I285" t="str">
        <f ca="1">IF(AND(LEN(K285)=0,LEN(F285)&gt;0),"Income",IF(AND(O285&gt;0,P285&gt;0,C285&lt;&gt;E285),"Trade",IF(AND(NOT(Q285),Taostats_CSV!F285="fee"),'READ ME'!$C$5,"")))</f>
        <v>Income</v>
      </c>
      <c r="J285" t="str">
        <f ca="1">SUBSTITUTE(IF(LEN(I285)=0,Taostats_CSV!F285&amp;" "&amp;Taostats_CSV!J285,IF(I285="Cost","Extrinsic fee","")),"_"," ")</f>
        <v/>
      </c>
      <c r="K285" t="str">
        <f>TRIM(IF(LEN(Taostats_CSV!I285)&gt;0,Taostats_CSV!I285,""))</f>
        <v/>
      </c>
      <c r="L285">
        <f ca="1">IF(Taostats_CSV!E285&lt;&gt;"TAO",IF(LEN(F285)&gt;0,F285,IF(LEN(D285)&gt;0,D285,0))*Taostats_CSV!P285,"")</f>
        <v>20.707604683102005</v>
      </c>
      <c r="M285" t="str">
        <f t="shared" ca="1" si="39"/>
        <v>USD</v>
      </c>
      <c r="N285">
        <f>COUNTIF(Taostats_CSV!$X:$X,Taostats_CSV!$I285&amp;N$1)</f>
        <v>0</v>
      </c>
      <c r="O285">
        <f>COUNTIF(Taostats_CSV!$X:$X,Taostats_CSV!$I285&amp;O$1)</f>
        <v>0</v>
      </c>
      <c r="P285">
        <f>COUNTIF(Taostats_CSV!$X:$X,Taostats_CSV!$I285&amp;P$1)</f>
        <v>0</v>
      </c>
      <c r="Q285" t="b">
        <f t="shared" si="40"/>
        <v>0</v>
      </c>
      <c r="R285" t="b">
        <f>IF(LEN(K285)&gt;0,COUNTIF($K$3:K285,K285),FALSE)</f>
        <v>0</v>
      </c>
      <c r="S285" t="b">
        <f>IF(Taostats_CSV!A285=Taostats_CSV!$A$2,TRUE,Taostats_CSV!G285+Taostats_CSV!H285+Taostats_CSV!R285=0)</f>
        <v>0</v>
      </c>
      <c r="T285" t="b">
        <f t="shared" si="41"/>
        <v>1</v>
      </c>
      <c r="U285" t="b" cm="1">
        <f t="array" aca="1" ref="U285" ca="1">AND(T285,OR(O285-N285&gt;1,P285&gt;1,ISERROR(A285:P285)))</f>
        <v>0</v>
      </c>
      <c r="W285" t="e">
        <f>MATCH(K285&amp;$W$2,Taostats_CSV!$X$3:$X$1167,0)</f>
        <v>#N/A</v>
      </c>
      <c r="X285" t="e">
        <f t="shared" ca="1" si="36"/>
        <v>#VALUE!</v>
      </c>
      <c r="Y285">
        <f t="shared" ca="1" si="37"/>
        <v>0.38183173199999998</v>
      </c>
      <c r="Z285" t="e">
        <f t="shared" ca="1" si="38"/>
        <v>#VALUE!</v>
      </c>
    </row>
    <row r="286" spans="1:26" x14ac:dyDescent="0.4">
      <c r="A286" t="str">
        <f>MID(Taostats_CSV!C286,6,2)&amp;"/"&amp;MID(Taostats_CSV!C286,9,2)&amp;"/"&amp;LEFT(Taostats_CSV!C286,4)&amp;" "&amp;MID(Taostats_CSV!C286,12,8)</f>
        <v>05/08/2025 23:59:48</v>
      </c>
      <c r="C286" t="str">
        <f ca="1">IF(Q286,OFFSET(Taostats_CSV!$E$1,MATCH(K286&amp;D$1,Taostats_CSV!$X:$X,0)-1,0),IF(Taostats_CSV!F286="fee",IF(VALUE(Taostats_CSV!G286)&gt;0,Taostats_CSV!E286,""),""))</f>
        <v/>
      </c>
      <c r="D286" t="str">
        <f ca="1">IF(Q286,OFFSET(Taostats_CSV!$G$1,MATCH(K286&amp;D$1,Taostats_CSV!$X:$X,0)-1,0),IF(Taostats_CSV!F286="fee",IF(VALUE(Taostats_CSV!G286)&gt;0,Taostats_CSV!G286,""),""))</f>
        <v/>
      </c>
      <c r="E286" t="str">
        <f ca="1">IF(AND(Q286,P286&gt;0),OFFSET(Taostats_CSV!$E$1,MATCH(K286&amp;F$1,Taostats_CSV!$X:$X,0)-1,0),IF(LEN(F286)&gt;0,Taostats_CSV!E286,""))</f>
        <v>SN56</v>
      </c>
      <c r="F286" t="str">
        <f ca="1">TRIM(IF(AND(Q286,P286&gt;0),OFFSET(Taostats_CSV!$H$1,MATCH(K286&amp;F$1,Taostats_CSV!$X:$X,0)-1,0),IF(LEN(Taostats_CSV!H286)&gt;0,Taostats_CSV!H286,Taostats_CSV!R286)))</f>
        <v>0.252411833</v>
      </c>
      <c r="G286" t="str">
        <f ca="1">IF(AND(Q286,N286=1),OFFSET(Taostats_CSV!$E$1,MATCH(K286&amp;H$1,Taostats_CSV!$X:$X,0)-1,0),"")</f>
        <v/>
      </c>
      <c r="H286" t="str">
        <f ca="1">IF(AND(Q286,N286=1),OFFSET(Taostats_CSV!$G$1,MATCH(K286&amp;H$1,Taostats_CSV!$X:$X,0)-1,0),"")</f>
        <v/>
      </c>
      <c r="I286" t="str">
        <f ca="1">IF(AND(LEN(K286)=0,LEN(F286)&gt;0),"Income",IF(AND(O286&gt;0,P286&gt;0,C286&lt;&gt;E286),"Trade",IF(AND(NOT(Q286),Taostats_CSV!F286="fee"),'READ ME'!$C$5,"")))</f>
        <v>Income</v>
      </c>
      <c r="J286" t="str">
        <f ca="1">SUBSTITUTE(IF(LEN(I286)=0,Taostats_CSV!F286&amp;" "&amp;Taostats_CSV!J286,IF(I286="Cost","Extrinsic fee","")),"_"," ")</f>
        <v/>
      </c>
      <c r="K286" t="str">
        <f>TRIM(IF(LEN(Taostats_CSV!I286)&gt;0,Taostats_CSV!I286,""))</f>
        <v/>
      </c>
      <c r="L286">
        <f ca="1">IF(Taostats_CSV!E286&lt;&gt;"TAO",IF(LEN(F286)&gt;0,F286,IF(LEN(D286)&gt;0,D286,0))*Taostats_CSV!P286,"")</f>
        <v>10.343281701126791</v>
      </c>
      <c r="M286" t="str">
        <f t="shared" ca="1" si="39"/>
        <v>USD</v>
      </c>
      <c r="N286">
        <f>COUNTIF(Taostats_CSV!$X:$X,Taostats_CSV!$I286&amp;N$1)</f>
        <v>0</v>
      </c>
      <c r="O286">
        <f>COUNTIF(Taostats_CSV!$X:$X,Taostats_CSV!$I286&amp;O$1)</f>
        <v>0</v>
      </c>
      <c r="P286">
        <f>COUNTIF(Taostats_CSV!$X:$X,Taostats_CSV!$I286&amp;P$1)</f>
        <v>0</v>
      </c>
      <c r="Q286" t="b">
        <f t="shared" si="40"/>
        <v>0</v>
      </c>
      <c r="R286" t="b">
        <f>IF(LEN(K286)&gt;0,COUNTIF($K$3:K286,K286),FALSE)</f>
        <v>0</v>
      </c>
      <c r="S286" t="b">
        <f>IF(Taostats_CSV!A286=Taostats_CSV!$A$2,TRUE,Taostats_CSV!G286+Taostats_CSV!H286+Taostats_CSV!R286=0)</f>
        <v>0</v>
      </c>
      <c r="T286" t="b">
        <f t="shared" si="41"/>
        <v>1</v>
      </c>
      <c r="U286" t="b" cm="1">
        <f t="array" aca="1" ref="U286" ca="1">AND(T286,OR(O286-N286&gt;1,P286&gt;1,ISERROR(A286:P286)))</f>
        <v>0</v>
      </c>
      <c r="W286" t="e">
        <f>MATCH(K286&amp;$W$2,Taostats_CSV!$X$3:$X$1167,0)</f>
        <v>#N/A</v>
      </c>
      <c r="X286" t="e">
        <f t="shared" ca="1" si="36"/>
        <v>#VALUE!</v>
      </c>
      <c r="Y286">
        <f t="shared" ca="1" si="37"/>
        <v>0.25241183299999997</v>
      </c>
      <c r="Z286" t="e">
        <f t="shared" ca="1" si="38"/>
        <v>#VALUE!</v>
      </c>
    </row>
    <row r="287" spans="1:26" x14ac:dyDescent="0.4">
      <c r="A287" t="str">
        <f>MID(Taostats_CSV!C287,6,2)&amp;"/"&amp;MID(Taostats_CSV!C287,9,2)&amp;"/"&amp;LEFT(Taostats_CSV!C287,4)&amp;" "&amp;MID(Taostats_CSV!C287,12,8)</f>
        <v>05/08/2025 23:59:48</v>
      </c>
      <c r="C287" t="str">
        <f ca="1">IF(Q287,OFFSET(Taostats_CSV!$E$1,MATCH(K287&amp;D$1,Taostats_CSV!$X:$X,0)-1,0),IF(Taostats_CSV!F287="fee",IF(VALUE(Taostats_CSV!G287)&gt;0,Taostats_CSV!E287,""),""))</f>
        <v/>
      </c>
      <c r="D287" t="str">
        <f ca="1">IF(Q287,OFFSET(Taostats_CSV!$G$1,MATCH(K287&amp;D$1,Taostats_CSV!$X:$X,0)-1,0),IF(Taostats_CSV!F287="fee",IF(VALUE(Taostats_CSV!G287)&gt;0,Taostats_CSV!G287,""),""))</f>
        <v/>
      </c>
      <c r="E287" t="str">
        <f ca="1">IF(AND(Q287,P287&gt;0),OFFSET(Taostats_CSV!$E$1,MATCH(K287&amp;F$1,Taostats_CSV!$X:$X,0)-1,0),IF(LEN(F287)&gt;0,Taostats_CSV!E287,""))</f>
        <v>SN64</v>
      </c>
      <c r="F287" t="str">
        <f ca="1">TRIM(IF(AND(Q287,P287&gt;0),OFFSET(Taostats_CSV!$H$1,MATCH(K287&amp;F$1,Taostats_CSV!$X:$X,0)-1,0),IF(LEN(Taostats_CSV!H287)&gt;0,Taostats_CSV!H287,Taostats_CSV!R287)))</f>
        <v>0.147482179</v>
      </c>
      <c r="G287" t="str">
        <f ca="1">IF(AND(Q287,N287=1),OFFSET(Taostats_CSV!$E$1,MATCH(K287&amp;H$1,Taostats_CSV!$X:$X,0)-1,0),"")</f>
        <v/>
      </c>
      <c r="H287" t="str">
        <f ca="1">IF(AND(Q287,N287=1),OFFSET(Taostats_CSV!$G$1,MATCH(K287&amp;H$1,Taostats_CSV!$X:$X,0)-1,0),"")</f>
        <v/>
      </c>
      <c r="I287" t="str">
        <f ca="1">IF(AND(LEN(K287)=0,LEN(F287)&gt;0),"Income",IF(AND(O287&gt;0,P287&gt;0,C287&lt;&gt;E287),"Trade",IF(AND(NOT(Q287),Taostats_CSV!F287="fee"),'READ ME'!$C$5,"")))</f>
        <v>Income</v>
      </c>
      <c r="J287" t="str">
        <f ca="1">SUBSTITUTE(IF(LEN(I287)=0,Taostats_CSV!F287&amp;" "&amp;Taostats_CSV!J287,IF(I287="Cost","Extrinsic fee","")),"_"," ")</f>
        <v/>
      </c>
      <c r="K287" t="str">
        <f>TRIM(IF(LEN(Taostats_CSV!I287)&gt;0,Taostats_CSV!I287,""))</f>
        <v/>
      </c>
      <c r="L287">
        <f ca="1">IF(Taostats_CSV!E287&lt;&gt;"TAO",IF(LEN(F287)&gt;0,F287,IF(LEN(D287)&gt;0,D287,0))*Taostats_CSV!P287,"")</f>
        <v>15.715618221258529</v>
      </c>
      <c r="M287" t="str">
        <f t="shared" ca="1" si="39"/>
        <v>USD</v>
      </c>
      <c r="N287">
        <f>COUNTIF(Taostats_CSV!$X:$X,Taostats_CSV!$I287&amp;N$1)</f>
        <v>0</v>
      </c>
      <c r="O287">
        <f>COUNTIF(Taostats_CSV!$X:$X,Taostats_CSV!$I287&amp;O$1)</f>
        <v>0</v>
      </c>
      <c r="P287">
        <f>COUNTIF(Taostats_CSV!$X:$X,Taostats_CSV!$I287&amp;P$1)</f>
        <v>0</v>
      </c>
      <c r="Q287" t="b">
        <f t="shared" si="40"/>
        <v>0</v>
      </c>
      <c r="R287" t="b">
        <f>IF(LEN(K287)&gt;0,COUNTIF($K$3:K287,K287),FALSE)</f>
        <v>0</v>
      </c>
      <c r="S287" t="b">
        <f>IF(Taostats_CSV!A287=Taostats_CSV!$A$2,TRUE,Taostats_CSV!G287+Taostats_CSV!H287+Taostats_CSV!R287=0)</f>
        <v>0</v>
      </c>
      <c r="T287" t="b">
        <f t="shared" si="41"/>
        <v>1</v>
      </c>
      <c r="U287" t="b" cm="1">
        <f t="array" aca="1" ref="U287" ca="1">AND(T287,OR(O287-N287&gt;1,P287&gt;1,ISERROR(A287:P287)))</f>
        <v>0</v>
      </c>
      <c r="W287" t="e">
        <f>MATCH(K287&amp;$W$2,Taostats_CSV!$X$3:$X$1167,0)</f>
        <v>#N/A</v>
      </c>
      <c r="X287" t="e">
        <f t="shared" ca="1" si="36"/>
        <v>#VALUE!</v>
      </c>
      <c r="Y287">
        <f t="shared" ca="1" si="37"/>
        <v>0.14748217899999999</v>
      </c>
      <c r="Z287" t="e">
        <f t="shared" ca="1" si="38"/>
        <v>#VALUE!</v>
      </c>
    </row>
    <row r="288" spans="1:26" hidden="1" x14ac:dyDescent="0.4">
      <c r="A288" t="str">
        <f>MID(Taostats_CSV!C288,6,2)&amp;"/"&amp;MID(Taostats_CSV!C288,9,2)&amp;"/"&amp;LEFT(Taostats_CSV!C288,4)&amp;" "&amp;MID(Taostats_CSV!C288,12,8)</f>
        <v>05/08/2025 23:59:48</v>
      </c>
      <c r="C288" t="str">
        <f ca="1">IF(Q288,OFFSET(Taostats_CSV!$E$1,MATCH(K288&amp;D$1,Taostats_CSV!$X:$X,0)-1,0),IF(Taostats_CSV!F288="fee","",IF(VALUE(Taostats_CSV!G288)&gt;0,Taostats_CSV!E288,"")))</f>
        <v/>
      </c>
      <c r="D288" t="str">
        <f ca="1">IF(Q288,OFFSET(Taostats_CSV!$G$1,MATCH(K288&amp;D$1,Taostats_CSV!$X:$X,0)-1,0),IF(Taostats_CSV!F288="fee","",IF(VALUE(Taostats_CSV!G288)&gt;0,Taostats_CSV!G288,"")))</f>
        <v/>
      </c>
      <c r="E288" t="str">
        <f ca="1">IF(AND(Q288,P288&gt;0),OFFSET(Taostats_CSV!$E$1,MATCH(K288&amp;F$1,Taostats_CSV!$X:$X,0)-1,0),IF(LEN(F288)&gt;0,Taostats_CSV!E288,""))</f>
        <v>TAO</v>
      </c>
      <c r="F288" t="str">
        <f ca="1">TRIM(IF(AND(Q288,P288&gt;0),OFFSET(Taostats_CSV!$H$1,MATCH(K288&amp;F$1,Taostats_CSV!$X:$X,0)-1,0),IF(LEN(Taostats_CSV!H288)&gt;0,Taostats_CSV!H288,Taostats_CSV!R288)))</f>
        <v>0</v>
      </c>
      <c r="G288" t="str">
        <f ca="1">IF(AND(Q288,N288=1),OFFSET(Taostats_CSV!$E$1,MATCH(K288&amp;H$1,Taostats_CSV!$X:$X,0)-1,0),IF(Taostats_CSV!F288="fee",Taostats_CSV!E288,""))</f>
        <v/>
      </c>
      <c r="H288" t="str">
        <f ca="1">IF(AND(Q288,N288=1),OFFSET(Taostats_CSV!$G$1,MATCH(K288&amp;H$1,Taostats_CSV!$X:$X,0)-1,0),IF(Taostats_CSV!F288="fee",Taostats_CSV!G288,""))</f>
        <v/>
      </c>
      <c r="I288" t="str">
        <f ca="1">IF(AND(LEN(K288)=0,LEN(F288)&gt;0),"Income",IF(AND(O288&gt;0,P288&gt;0,C288&lt;&gt;E288),"Trade",IF(AND(NOT(Q288),Taostats_CSV!F288="fee"),'READ ME'!$C$5,"")))</f>
        <v>Income</v>
      </c>
      <c r="J288" t="str">
        <f ca="1">SUBSTITUTE(IF(LEN(I288)=0,Taostats_CSV!F288&amp;" "&amp;Taostats_CSV!J288,IF(I288="Cost","Extrinsic fee","")),"_"," ")</f>
        <v/>
      </c>
      <c r="K288" t="str">
        <f>TRIM(IF(LEN(Taostats_CSV!I288)&gt;0,Taostats_CSV!I288,""))</f>
        <v/>
      </c>
      <c r="L288" t="str">
        <f>IF(Taostats_CSV!E288&lt;&gt;"TAO",IF(LEN(F288)&gt;0,F288,IF(LEN(D288)&gt;0,D288,0))*Taostats_CSV!P288,"")</f>
        <v/>
      </c>
      <c r="M288" t="str">
        <f t="shared" si="39"/>
        <v/>
      </c>
      <c r="N288">
        <f>COUNTIF(Taostats_CSV!$X:$X,Taostats_CSV!$I288&amp;N$1)</f>
        <v>0</v>
      </c>
      <c r="O288">
        <f>COUNTIF(Taostats_CSV!$X:$X,Taostats_CSV!$I288&amp;O$1)</f>
        <v>0</v>
      </c>
      <c r="P288">
        <f>COUNTIF(Taostats_CSV!$X:$X,Taostats_CSV!$I288&amp;P$1)</f>
        <v>0</v>
      </c>
      <c r="Q288" t="b">
        <f t="shared" si="40"/>
        <v>0</v>
      </c>
      <c r="R288" t="b">
        <f>IF(LEN(K288)&gt;0,COUNTIF($K$3:K288,K288),FALSE)</f>
        <v>0</v>
      </c>
      <c r="S288" t="b">
        <f>IF(Taostats_CSV!A288=Taostats_CSV!$A$2,TRUE,Taostats_CSV!G288+Taostats_CSV!H288+Taostats_CSV!R288=0)</f>
        <v>1</v>
      </c>
      <c r="T288" t="b">
        <f t="shared" si="41"/>
        <v>0</v>
      </c>
      <c r="U288" t="b" cm="1">
        <f t="array" aca="1" ref="U288" ca="1">AND(T288,OR(O288-N288&gt;1,P288&gt;1,ISERROR(A288:P288)))</f>
        <v>0</v>
      </c>
      <c r="W288" t="e">
        <f>MATCH(K288&amp;$W$2,Taostats_CSV!$X$3:$X$1167,0)</f>
        <v>#N/A</v>
      </c>
      <c r="X288" t="e">
        <f t="shared" ca="1" si="36"/>
        <v>#VALUE!</v>
      </c>
      <c r="Y288">
        <f t="shared" ca="1" si="37"/>
        <v>0</v>
      </c>
      <c r="Z288" t="e">
        <f t="shared" ca="1" si="38"/>
        <v>#VALUE!</v>
      </c>
    </row>
    <row r="289" spans="1:26" x14ac:dyDescent="0.4">
      <c r="A289" t="str">
        <f>MID(Taostats_CSV!C289,6,2)&amp;"/"&amp;MID(Taostats_CSV!C289,9,2)&amp;"/"&amp;LEFT(Taostats_CSV!C289,4)&amp;" "&amp;MID(Taostats_CSV!C289,12,8)</f>
        <v>05/09/2025 23:59:48</v>
      </c>
      <c r="C289" t="str">
        <f ca="1">IF(Q289,OFFSET(Taostats_CSV!$E$1,MATCH(K289&amp;D$1,Taostats_CSV!$X:$X,0)-1,0),IF(Taostats_CSV!F289="fee",IF(VALUE(Taostats_CSV!G289)&gt;0,Taostats_CSV!E289,""),""))</f>
        <v/>
      </c>
      <c r="D289" t="str">
        <f ca="1">IF(Q289,OFFSET(Taostats_CSV!$G$1,MATCH(K289&amp;D$1,Taostats_CSV!$X:$X,0)-1,0),IF(Taostats_CSV!F289="fee",IF(VALUE(Taostats_CSV!G289)&gt;0,Taostats_CSV!G289,""),""))</f>
        <v/>
      </c>
      <c r="E289" t="str">
        <f ca="1">IF(AND(Q289,P289&gt;0),OFFSET(Taostats_CSV!$E$1,MATCH(K289&amp;F$1,Taostats_CSV!$X:$X,0)-1,0),IF(LEN(F289)&gt;0,Taostats_CSV!E289,""))</f>
        <v>SN3</v>
      </c>
      <c r="F289" t="str">
        <f ca="1">TRIM(IF(AND(Q289,P289&gt;0),OFFSET(Taostats_CSV!$H$1,MATCH(K289&amp;F$1,Taostats_CSV!$X:$X,0)-1,0),IF(LEN(Taostats_CSV!H289)&gt;0,Taostats_CSV!H289,Taostats_CSV!R289)))</f>
        <v>0.405757937</v>
      </c>
      <c r="G289" t="str">
        <f ca="1">IF(AND(Q289,N289=1),OFFSET(Taostats_CSV!$E$1,MATCH(K289&amp;H$1,Taostats_CSV!$X:$X,0)-1,0),"")</f>
        <v/>
      </c>
      <c r="H289" t="str">
        <f ca="1">IF(AND(Q289,N289=1),OFFSET(Taostats_CSV!$G$1,MATCH(K289&amp;H$1,Taostats_CSV!$X:$X,0)-1,0),"")</f>
        <v/>
      </c>
      <c r="I289" t="str">
        <f ca="1">IF(AND(LEN(K289)=0,LEN(F289)&gt;0),"Income",IF(AND(O289&gt;0,P289&gt;0,C289&lt;&gt;E289),"Trade",IF(AND(NOT(Q289),Taostats_CSV!F289="fee"),'READ ME'!$C$5,"")))</f>
        <v>Income</v>
      </c>
      <c r="J289" t="str">
        <f ca="1">SUBSTITUTE(IF(LEN(I289)=0,Taostats_CSV!F289&amp;" "&amp;Taostats_CSV!J289,IF(I289="Cost","Extrinsic fee","")),"_"," ")</f>
        <v/>
      </c>
      <c r="K289" t="str">
        <f>TRIM(IF(LEN(Taostats_CSV!I289)&gt;0,Taostats_CSV!I289,""))</f>
        <v/>
      </c>
      <c r="L289">
        <f ca="1">IF(Taostats_CSV!E289&lt;&gt;"TAO",IF(LEN(F289)&gt;0,F289,IF(LEN(D289)&gt;0,D289,0))*Taostats_CSV!P289,"")</f>
        <v>15.390186815721169</v>
      </c>
      <c r="M289" t="str">
        <f t="shared" ca="1" si="39"/>
        <v>USD</v>
      </c>
      <c r="N289">
        <f>COUNTIF(Taostats_CSV!$X:$X,Taostats_CSV!$I289&amp;N$1)</f>
        <v>0</v>
      </c>
      <c r="O289">
        <f>COUNTIF(Taostats_CSV!$X:$X,Taostats_CSV!$I289&amp;O$1)</f>
        <v>0</v>
      </c>
      <c r="P289">
        <f>COUNTIF(Taostats_CSV!$X:$X,Taostats_CSV!$I289&amp;P$1)</f>
        <v>0</v>
      </c>
      <c r="Q289" t="b">
        <f t="shared" si="40"/>
        <v>0</v>
      </c>
      <c r="R289" t="b">
        <f>IF(LEN(K289)&gt;0,COUNTIF($K$3:K289,K289),FALSE)</f>
        <v>0</v>
      </c>
      <c r="S289" t="b">
        <f>IF(Taostats_CSV!A289=Taostats_CSV!$A$2,TRUE,Taostats_CSV!G289+Taostats_CSV!H289+Taostats_CSV!R289=0)</f>
        <v>0</v>
      </c>
      <c r="T289" t="b">
        <f t="shared" si="41"/>
        <v>1</v>
      </c>
      <c r="U289" t="b" cm="1">
        <f t="array" aca="1" ref="U289" ca="1">AND(T289,OR(O289-N289&gt;1,P289&gt;1,ISERROR(A289:P289)))</f>
        <v>0</v>
      </c>
      <c r="W289" t="e">
        <f>MATCH(K289&amp;$W$2,Taostats_CSV!$X$3:$X$1167,0)</f>
        <v>#N/A</v>
      </c>
      <c r="X289" t="e">
        <f t="shared" ca="1" si="36"/>
        <v>#VALUE!</v>
      </c>
      <c r="Y289">
        <f t="shared" ca="1" si="37"/>
        <v>0.40575793700000001</v>
      </c>
      <c r="Z289" t="e">
        <f t="shared" ca="1" si="38"/>
        <v>#VALUE!</v>
      </c>
    </row>
    <row r="290" spans="1:26" x14ac:dyDescent="0.4">
      <c r="A290" t="str">
        <f>MID(Taostats_CSV!C290,6,2)&amp;"/"&amp;MID(Taostats_CSV!C290,9,2)&amp;"/"&amp;LEFT(Taostats_CSV!C290,4)&amp;" "&amp;MID(Taostats_CSV!C290,12,8)</f>
        <v>05/09/2025 23:59:48</v>
      </c>
      <c r="C290" t="str">
        <f ca="1">IF(Q290,OFFSET(Taostats_CSV!$E$1,MATCH(K290&amp;D$1,Taostats_CSV!$X:$X,0)-1,0),IF(Taostats_CSV!F290="fee",IF(VALUE(Taostats_CSV!G290)&gt;0,Taostats_CSV!E290,""),""))</f>
        <v/>
      </c>
      <c r="D290" t="str">
        <f ca="1">IF(Q290,OFFSET(Taostats_CSV!$G$1,MATCH(K290&amp;D$1,Taostats_CSV!$X:$X,0)-1,0),IF(Taostats_CSV!F290="fee",IF(VALUE(Taostats_CSV!G290)&gt;0,Taostats_CSV!G290,""),""))</f>
        <v/>
      </c>
      <c r="E290" t="str">
        <f ca="1">IF(AND(Q290,P290&gt;0),OFFSET(Taostats_CSV!$E$1,MATCH(K290&amp;F$1,Taostats_CSV!$X:$X,0)-1,0),IF(LEN(F290)&gt;0,Taostats_CSV!E290,""))</f>
        <v>SN4</v>
      </c>
      <c r="F290" t="str">
        <f ca="1">TRIM(IF(AND(Q290,P290&gt;0),OFFSET(Taostats_CSV!$H$1,MATCH(K290&amp;F$1,Taostats_CSV!$X:$X,0)-1,0),IF(LEN(Taostats_CSV!H290)&gt;0,Taostats_CSV!H290,Taostats_CSV!R290)))</f>
        <v>0.376657908</v>
      </c>
      <c r="G290" t="str">
        <f ca="1">IF(AND(Q290,N290=1),OFFSET(Taostats_CSV!$E$1,MATCH(K290&amp;H$1,Taostats_CSV!$X:$X,0)-1,0),"")</f>
        <v/>
      </c>
      <c r="H290" t="str">
        <f ca="1">IF(AND(Q290,N290=1),OFFSET(Taostats_CSV!$G$1,MATCH(K290&amp;H$1,Taostats_CSV!$X:$X,0)-1,0),"")</f>
        <v/>
      </c>
      <c r="I290" t="str">
        <f ca="1">IF(AND(LEN(K290)=0,LEN(F290)&gt;0),"Income",IF(AND(O290&gt;0,P290&gt;0,C290&lt;&gt;E290),"Trade",IF(AND(NOT(Q290),Taostats_CSV!F290="fee"),'READ ME'!$C$5,"")))</f>
        <v>Income</v>
      </c>
      <c r="J290" t="str">
        <f ca="1">SUBSTITUTE(IF(LEN(I290)=0,Taostats_CSV!F290&amp;" "&amp;Taostats_CSV!J290,IF(I290="Cost","Extrinsic fee","")),"_"," ")</f>
        <v/>
      </c>
      <c r="K290" t="str">
        <f>TRIM(IF(LEN(Taostats_CSV!I290)&gt;0,Taostats_CSV!I290,""))</f>
        <v/>
      </c>
      <c r="L290">
        <f ca="1">IF(Taostats_CSV!E290&lt;&gt;"TAO",IF(LEN(F290)&gt;0,F290,IF(LEN(D290)&gt;0,D290,0))*Taostats_CSV!P290,"")</f>
        <v>19.592335604318951</v>
      </c>
      <c r="M290" t="str">
        <f t="shared" ca="1" si="39"/>
        <v>USD</v>
      </c>
      <c r="N290">
        <f>COUNTIF(Taostats_CSV!$X:$X,Taostats_CSV!$I290&amp;N$1)</f>
        <v>0</v>
      </c>
      <c r="O290">
        <f>COUNTIF(Taostats_CSV!$X:$X,Taostats_CSV!$I290&amp;O$1)</f>
        <v>0</v>
      </c>
      <c r="P290">
        <f>COUNTIF(Taostats_CSV!$X:$X,Taostats_CSV!$I290&amp;P$1)</f>
        <v>0</v>
      </c>
      <c r="Q290" t="b">
        <f t="shared" si="40"/>
        <v>0</v>
      </c>
      <c r="R290" t="b">
        <f>IF(LEN(K290)&gt;0,COUNTIF($K$3:K290,K290),FALSE)</f>
        <v>0</v>
      </c>
      <c r="S290" t="b">
        <f>IF(Taostats_CSV!A290=Taostats_CSV!$A$2,TRUE,Taostats_CSV!G290+Taostats_CSV!H290+Taostats_CSV!R290=0)</f>
        <v>0</v>
      </c>
      <c r="T290" t="b">
        <f t="shared" si="41"/>
        <v>1</v>
      </c>
      <c r="U290" t="b" cm="1">
        <f t="array" aca="1" ref="U290" ca="1">AND(T290,OR(O290-N290&gt;1,P290&gt;1,ISERROR(A290:P290)))</f>
        <v>0</v>
      </c>
      <c r="W290" t="e">
        <f>MATCH(K290&amp;$W$2,Taostats_CSV!$X$3:$X$1167,0)</f>
        <v>#N/A</v>
      </c>
      <c r="X290" t="e">
        <f t="shared" ca="1" si="36"/>
        <v>#VALUE!</v>
      </c>
      <c r="Y290">
        <f t="shared" ca="1" si="37"/>
        <v>0.37665790799999999</v>
      </c>
      <c r="Z290" t="e">
        <f t="shared" ca="1" si="38"/>
        <v>#VALUE!</v>
      </c>
    </row>
    <row r="291" spans="1:26" x14ac:dyDescent="0.4">
      <c r="A291" t="str">
        <f>MID(Taostats_CSV!C291,6,2)&amp;"/"&amp;MID(Taostats_CSV!C291,9,2)&amp;"/"&amp;LEFT(Taostats_CSV!C291,4)&amp;" "&amp;MID(Taostats_CSV!C291,12,8)</f>
        <v>05/09/2025 23:59:48</v>
      </c>
      <c r="C291" t="str">
        <f ca="1">IF(Q291,OFFSET(Taostats_CSV!$E$1,MATCH(K291&amp;D$1,Taostats_CSV!$X:$X,0)-1,0),IF(Taostats_CSV!F291="fee",IF(VALUE(Taostats_CSV!G291)&gt;0,Taostats_CSV!E291,""),""))</f>
        <v/>
      </c>
      <c r="D291" t="str">
        <f ca="1">IF(Q291,OFFSET(Taostats_CSV!$G$1,MATCH(K291&amp;D$1,Taostats_CSV!$X:$X,0)-1,0),IF(Taostats_CSV!F291="fee",IF(VALUE(Taostats_CSV!G291)&gt;0,Taostats_CSV!G291,""),""))</f>
        <v/>
      </c>
      <c r="E291" t="str">
        <f ca="1">IF(AND(Q291,P291&gt;0),OFFSET(Taostats_CSV!$E$1,MATCH(K291&amp;F$1,Taostats_CSV!$X:$X,0)-1,0),IF(LEN(F291)&gt;0,Taostats_CSV!E291,""))</f>
        <v>SN56</v>
      </c>
      <c r="F291" t="str">
        <f ca="1">TRIM(IF(AND(Q291,P291&gt;0),OFFSET(Taostats_CSV!$H$1,MATCH(K291&amp;F$1,Taostats_CSV!$X:$X,0)-1,0),IF(LEN(Taostats_CSV!H291)&gt;0,Taostats_CSV!H291,Taostats_CSV!R291)))</f>
        <v>0.253653344</v>
      </c>
      <c r="G291" t="str">
        <f ca="1">IF(AND(Q291,N291=1),OFFSET(Taostats_CSV!$E$1,MATCH(K291&amp;H$1,Taostats_CSV!$X:$X,0)-1,0),"")</f>
        <v/>
      </c>
      <c r="H291" t="str">
        <f ca="1">IF(AND(Q291,N291=1),OFFSET(Taostats_CSV!$G$1,MATCH(K291&amp;H$1,Taostats_CSV!$X:$X,0)-1,0),"")</f>
        <v/>
      </c>
      <c r="I291" t="str">
        <f ca="1">IF(AND(LEN(K291)=0,LEN(F291)&gt;0),"Income",IF(AND(O291&gt;0,P291&gt;0,C291&lt;&gt;E291),"Trade",IF(AND(NOT(Q291),Taostats_CSV!F291="fee"),'READ ME'!$C$5,"")))</f>
        <v>Income</v>
      </c>
      <c r="J291" t="str">
        <f ca="1">SUBSTITUTE(IF(LEN(I291)=0,Taostats_CSV!F291&amp;" "&amp;Taostats_CSV!J291,IF(I291="Cost","Extrinsic fee","")),"_"," ")</f>
        <v/>
      </c>
      <c r="K291" t="str">
        <f>TRIM(IF(LEN(Taostats_CSV!I291)&gt;0,Taostats_CSV!I291,""))</f>
        <v/>
      </c>
      <c r="L291">
        <f ca="1">IF(Taostats_CSV!E291&lt;&gt;"TAO",IF(LEN(F291)&gt;0,F291,IF(LEN(D291)&gt;0,D291,0))*Taostats_CSV!P291,"")</f>
        <v>11.308670500398859</v>
      </c>
      <c r="M291" t="str">
        <f t="shared" ca="1" si="39"/>
        <v>USD</v>
      </c>
      <c r="N291">
        <f>COUNTIF(Taostats_CSV!$X:$X,Taostats_CSV!$I291&amp;N$1)</f>
        <v>0</v>
      </c>
      <c r="O291">
        <f>COUNTIF(Taostats_CSV!$X:$X,Taostats_CSV!$I291&amp;O$1)</f>
        <v>0</v>
      </c>
      <c r="P291">
        <f>COUNTIF(Taostats_CSV!$X:$X,Taostats_CSV!$I291&amp;P$1)</f>
        <v>0</v>
      </c>
      <c r="Q291" t="b">
        <f t="shared" si="40"/>
        <v>0</v>
      </c>
      <c r="R291" t="b">
        <f>IF(LEN(K291)&gt;0,COUNTIF($K$3:K291,K291),FALSE)</f>
        <v>0</v>
      </c>
      <c r="S291" t="b">
        <f>IF(Taostats_CSV!A291=Taostats_CSV!$A$2,TRUE,Taostats_CSV!G291+Taostats_CSV!H291+Taostats_CSV!R291=0)</f>
        <v>0</v>
      </c>
      <c r="T291" t="b">
        <f t="shared" si="41"/>
        <v>1</v>
      </c>
      <c r="U291" t="b" cm="1">
        <f t="array" aca="1" ref="U291" ca="1">AND(T291,OR(O291-N291&gt;1,P291&gt;1,ISERROR(A291:P291)))</f>
        <v>0</v>
      </c>
      <c r="W291" t="e">
        <f>MATCH(K291&amp;$W$2,Taostats_CSV!$X$3:$X$1167,0)</f>
        <v>#N/A</v>
      </c>
      <c r="X291" t="e">
        <f t="shared" ca="1" si="36"/>
        <v>#VALUE!</v>
      </c>
      <c r="Y291">
        <f t="shared" ca="1" si="37"/>
        <v>0.253653344</v>
      </c>
      <c r="Z291" t="e">
        <f t="shared" ca="1" si="38"/>
        <v>#VALUE!</v>
      </c>
    </row>
    <row r="292" spans="1:26" x14ac:dyDescent="0.4">
      <c r="A292" t="str">
        <f>MID(Taostats_CSV!C292,6,2)&amp;"/"&amp;MID(Taostats_CSV!C292,9,2)&amp;"/"&amp;LEFT(Taostats_CSV!C292,4)&amp;" "&amp;MID(Taostats_CSV!C292,12,8)</f>
        <v>05/09/2025 23:59:48</v>
      </c>
      <c r="C292" t="str">
        <f ca="1">IF(Q292,OFFSET(Taostats_CSV!$E$1,MATCH(K292&amp;D$1,Taostats_CSV!$X:$X,0)-1,0),IF(Taostats_CSV!F292="fee",IF(VALUE(Taostats_CSV!G292)&gt;0,Taostats_CSV!E292,""),""))</f>
        <v/>
      </c>
      <c r="D292" t="str">
        <f ca="1">IF(Q292,OFFSET(Taostats_CSV!$G$1,MATCH(K292&amp;D$1,Taostats_CSV!$X:$X,0)-1,0),IF(Taostats_CSV!F292="fee",IF(VALUE(Taostats_CSV!G292)&gt;0,Taostats_CSV!G292,""),""))</f>
        <v/>
      </c>
      <c r="E292" t="str">
        <f ca="1">IF(AND(Q292,P292&gt;0),OFFSET(Taostats_CSV!$E$1,MATCH(K292&amp;F$1,Taostats_CSV!$X:$X,0)-1,0),IF(LEN(F292)&gt;0,Taostats_CSV!E292,""))</f>
        <v>SN64</v>
      </c>
      <c r="F292" t="str">
        <f ca="1">TRIM(IF(AND(Q292,P292&gt;0),OFFSET(Taostats_CSV!$H$1,MATCH(K292&amp;F$1,Taostats_CSV!$X:$X,0)-1,0),IF(LEN(Taostats_CSV!H292)&gt;0,Taostats_CSV!H292,Taostats_CSV!R292)))</f>
        <v>0.147796654</v>
      </c>
      <c r="G292" t="str">
        <f ca="1">IF(AND(Q292,N292=1),OFFSET(Taostats_CSV!$E$1,MATCH(K292&amp;H$1,Taostats_CSV!$X:$X,0)-1,0),"")</f>
        <v/>
      </c>
      <c r="H292" t="str">
        <f ca="1">IF(AND(Q292,N292=1),OFFSET(Taostats_CSV!$G$1,MATCH(K292&amp;H$1,Taostats_CSV!$X:$X,0)-1,0),"")</f>
        <v/>
      </c>
      <c r="I292" t="str">
        <f ca="1">IF(AND(LEN(K292)=0,LEN(F292)&gt;0),"Income",IF(AND(O292&gt;0,P292&gt;0,C292&lt;&gt;E292),"Trade",IF(AND(NOT(Q292),Taostats_CSV!F292="fee"),'READ ME'!$C$5,"")))</f>
        <v>Income</v>
      </c>
      <c r="J292" t="str">
        <f ca="1">SUBSTITUTE(IF(LEN(I292)=0,Taostats_CSV!F292&amp;" "&amp;Taostats_CSV!J292,IF(I292="Cost","Extrinsic fee","")),"_"," ")</f>
        <v/>
      </c>
      <c r="K292" t="str">
        <f>TRIM(IF(LEN(Taostats_CSV!I292)&gt;0,Taostats_CSV!I292,""))</f>
        <v/>
      </c>
      <c r="L292">
        <f ca="1">IF(Taostats_CSV!E292&lt;&gt;"TAO",IF(LEN(F292)&gt;0,F292,IF(LEN(D292)&gt;0,D292,0))*Taostats_CSV!P292,"")</f>
        <v>16.386250778577526</v>
      </c>
      <c r="M292" t="str">
        <f t="shared" ca="1" si="39"/>
        <v>USD</v>
      </c>
      <c r="N292">
        <f>COUNTIF(Taostats_CSV!$X:$X,Taostats_CSV!$I292&amp;N$1)</f>
        <v>0</v>
      </c>
      <c r="O292">
        <f>COUNTIF(Taostats_CSV!$X:$X,Taostats_CSV!$I292&amp;O$1)</f>
        <v>0</v>
      </c>
      <c r="P292">
        <f>COUNTIF(Taostats_CSV!$X:$X,Taostats_CSV!$I292&amp;P$1)</f>
        <v>0</v>
      </c>
      <c r="Q292" t="b">
        <f t="shared" si="40"/>
        <v>0</v>
      </c>
      <c r="R292" t="b">
        <f>IF(LEN(K292)&gt;0,COUNTIF($K$3:K292,K292),FALSE)</f>
        <v>0</v>
      </c>
      <c r="S292" t="b">
        <f>IF(Taostats_CSV!A292=Taostats_CSV!$A$2,TRUE,Taostats_CSV!G292+Taostats_CSV!H292+Taostats_CSV!R292=0)</f>
        <v>0</v>
      </c>
      <c r="T292" t="b">
        <f t="shared" si="41"/>
        <v>1</v>
      </c>
      <c r="U292" t="b" cm="1">
        <f t="array" aca="1" ref="U292" ca="1">AND(T292,OR(O292-N292&gt;1,P292&gt;1,ISERROR(A292:P292)))</f>
        <v>0</v>
      </c>
      <c r="W292" t="e">
        <f>MATCH(K292&amp;$W$2,Taostats_CSV!$X$3:$X$1167,0)</f>
        <v>#N/A</v>
      </c>
      <c r="X292" t="e">
        <f t="shared" ca="1" si="36"/>
        <v>#VALUE!</v>
      </c>
      <c r="Y292">
        <f t="shared" ca="1" si="37"/>
        <v>0.147796654</v>
      </c>
      <c r="Z292" t="e">
        <f t="shared" ca="1" si="38"/>
        <v>#VALUE!</v>
      </c>
    </row>
    <row r="293" spans="1:26" hidden="1" x14ac:dyDescent="0.4">
      <c r="A293" t="str">
        <f>MID(Taostats_CSV!C293,6,2)&amp;"/"&amp;MID(Taostats_CSV!C293,9,2)&amp;"/"&amp;LEFT(Taostats_CSV!C293,4)&amp;" "&amp;MID(Taostats_CSV!C293,12,8)</f>
        <v>05/09/2025 23:59:48</v>
      </c>
      <c r="C293" t="str">
        <f ca="1">IF(Q293,OFFSET(Taostats_CSV!$E$1,MATCH(K293&amp;D$1,Taostats_CSV!$X:$X,0)-1,0),IF(Taostats_CSV!F293="fee","",IF(VALUE(Taostats_CSV!G293)&gt;0,Taostats_CSV!E293,"")))</f>
        <v/>
      </c>
      <c r="D293" t="str">
        <f ca="1">IF(Q293,OFFSET(Taostats_CSV!$G$1,MATCH(K293&amp;D$1,Taostats_CSV!$X:$X,0)-1,0),IF(Taostats_CSV!F293="fee","",IF(VALUE(Taostats_CSV!G293)&gt;0,Taostats_CSV!G293,"")))</f>
        <v/>
      </c>
      <c r="E293" t="str">
        <f ca="1">IF(AND(Q293,P293&gt;0),OFFSET(Taostats_CSV!$E$1,MATCH(K293&amp;F$1,Taostats_CSV!$X:$X,0)-1,0),IF(LEN(F293)&gt;0,Taostats_CSV!E293,""))</f>
        <v>TAO</v>
      </c>
      <c r="F293" t="str">
        <f ca="1">TRIM(IF(AND(Q293,P293&gt;0),OFFSET(Taostats_CSV!$H$1,MATCH(K293&amp;F$1,Taostats_CSV!$X:$X,0)-1,0),IF(LEN(Taostats_CSV!H293)&gt;0,Taostats_CSV!H293,Taostats_CSV!R293)))</f>
        <v>0</v>
      </c>
      <c r="G293" t="str">
        <f ca="1">IF(AND(Q293,N293=1),OFFSET(Taostats_CSV!$E$1,MATCH(K293&amp;H$1,Taostats_CSV!$X:$X,0)-1,0),IF(Taostats_CSV!F293="fee",Taostats_CSV!E293,""))</f>
        <v/>
      </c>
      <c r="H293" t="str">
        <f ca="1">IF(AND(Q293,N293=1),OFFSET(Taostats_CSV!$G$1,MATCH(K293&amp;H$1,Taostats_CSV!$X:$X,0)-1,0),IF(Taostats_CSV!F293="fee",Taostats_CSV!G293,""))</f>
        <v/>
      </c>
      <c r="I293" t="str">
        <f ca="1">IF(AND(LEN(K293)=0,LEN(F293)&gt;0),"Income",IF(AND(O293&gt;0,P293&gt;0,C293&lt;&gt;E293),"Trade",IF(AND(NOT(Q293),Taostats_CSV!F293="fee"),'READ ME'!$C$5,"")))</f>
        <v>Income</v>
      </c>
      <c r="J293" t="str">
        <f ca="1">SUBSTITUTE(IF(LEN(I293)=0,Taostats_CSV!F293&amp;" "&amp;Taostats_CSV!J293,IF(I293="Cost","Extrinsic fee","")),"_"," ")</f>
        <v/>
      </c>
      <c r="K293" t="str">
        <f>TRIM(IF(LEN(Taostats_CSV!I293)&gt;0,Taostats_CSV!I293,""))</f>
        <v/>
      </c>
      <c r="L293" t="str">
        <f>IF(Taostats_CSV!E293&lt;&gt;"TAO",IF(LEN(F293)&gt;0,F293,IF(LEN(D293)&gt;0,D293,0))*Taostats_CSV!P293,"")</f>
        <v/>
      </c>
      <c r="M293" t="str">
        <f t="shared" si="39"/>
        <v/>
      </c>
      <c r="N293">
        <f>COUNTIF(Taostats_CSV!$X:$X,Taostats_CSV!$I293&amp;N$1)</f>
        <v>0</v>
      </c>
      <c r="O293">
        <f>COUNTIF(Taostats_CSV!$X:$X,Taostats_CSV!$I293&amp;O$1)</f>
        <v>0</v>
      </c>
      <c r="P293">
        <f>COUNTIF(Taostats_CSV!$X:$X,Taostats_CSV!$I293&amp;P$1)</f>
        <v>0</v>
      </c>
      <c r="Q293" t="b">
        <f t="shared" si="40"/>
        <v>0</v>
      </c>
      <c r="R293" t="b">
        <f>IF(LEN(K293)&gt;0,COUNTIF($K$3:K293,K293),FALSE)</f>
        <v>0</v>
      </c>
      <c r="S293" t="b">
        <f>IF(Taostats_CSV!A293=Taostats_CSV!$A$2,TRUE,Taostats_CSV!G293+Taostats_CSV!H293+Taostats_CSV!R293=0)</f>
        <v>1</v>
      </c>
      <c r="T293" t="b">
        <f t="shared" si="41"/>
        <v>0</v>
      </c>
      <c r="U293" t="b" cm="1">
        <f t="array" aca="1" ref="U293" ca="1">AND(T293,OR(O293-N293&gt;1,P293&gt;1,ISERROR(A293:P293)))</f>
        <v>0</v>
      </c>
      <c r="W293" t="e">
        <f>MATCH(K293&amp;$W$2,Taostats_CSV!$X$3:$X$1167,0)</f>
        <v>#N/A</v>
      </c>
      <c r="X293" t="e">
        <f t="shared" ca="1" si="36"/>
        <v>#VALUE!</v>
      </c>
      <c r="Y293">
        <f t="shared" ca="1" si="37"/>
        <v>0</v>
      </c>
      <c r="Z293" t="e">
        <f t="shared" ca="1" si="38"/>
        <v>#VALUE!</v>
      </c>
    </row>
    <row r="294" spans="1:26" x14ac:dyDescent="0.4">
      <c r="A294" t="str">
        <f>MID(Taostats_CSV!C294,6,2)&amp;"/"&amp;MID(Taostats_CSV!C294,9,2)&amp;"/"&amp;LEFT(Taostats_CSV!C294,4)&amp;" "&amp;MID(Taostats_CSV!C294,12,8)</f>
        <v>05/10/2025 23:59:48</v>
      </c>
      <c r="C294" t="str">
        <f ca="1">IF(Q294,OFFSET(Taostats_CSV!$E$1,MATCH(K294&amp;D$1,Taostats_CSV!$X:$X,0)-1,0),IF(Taostats_CSV!F294="fee",IF(VALUE(Taostats_CSV!G294)&gt;0,Taostats_CSV!E294,""),""))</f>
        <v/>
      </c>
      <c r="D294" t="str">
        <f ca="1">IF(Q294,OFFSET(Taostats_CSV!$G$1,MATCH(K294&amp;D$1,Taostats_CSV!$X:$X,0)-1,0),IF(Taostats_CSV!F294="fee",IF(VALUE(Taostats_CSV!G294)&gt;0,Taostats_CSV!G294,""),""))</f>
        <v/>
      </c>
      <c r="E294" t="str">
        <f ca="1">IF(AND(Q294,P294&gt;0),OFFSET(Taostats_CSV!$E$1,MATCH(K294&amp;F$1,Taostats_CSV!$X:$X,0)-1,0),IF(LEN(F294)&gt;0,Taostats_CSV!E294,""))</f>
        <v>SN3</v>
      </c>
      <c r="F294" t="str">
        <f ca="1">TRIM(IF(AND(Q294,P294&gt;0),OFFSET(Taostats_CSV!$H$1,MATCH(K294&amp;F$1,Taostats_CSV!$X:$X,0)-1,0),IF(LEN(Taostats_CSV!H294)&gt;0,Taostats_CSV!H294,Taostats_CSV!R294)))</f>
        <v>0.417424363</v>
      </c>
      <c r="G294" t="str">
        <f ca="1">IF(AND(Q294,N294=1),OFFSET(Taostats_CSV!$E$1,MATCH(K294&amp;H$1,Taostats_CSV!$X:$X,0)-1,0),"")</f>
        <v/>
      </c>
      <c r="H294" t="str">
        <f ca="1">IF(AND(Q294,N294=1),OFFSET(Taostats_CSV!$G$1,MATCH(K294&amp;H$1,Taostats_CSV!$X:$X,0)-1,0),"")</f>
        <v/>
      </c>
      <c r="I294" t="str">
        <f ca="1">IF(AND(LEN(K294)=0,LEN(F294)&gt;0),"Income",IF(AND(O294&gt;0,P294&gt;0,C294&lt;&gt;E294),"Trade",IF(AND(NOT(Q294),Taostats_CSV!F294="fee"),'READ ME'!$C$5,"")))</f>
        <v>Income</v>
      </c>
      <c r="J294" t="str">
        <f ca="1">SUBSTITUTE(IF(LEN(I294)=0,Taostats_CSV!F294&amp;" "&amp;Taostats_CSV!J294,IF(I294="Cost","Extrinsic fee","")),"_"," ")</f>
        <v/>
      </c>
      <c r="K294" t="str">
        <f>TRIM(IF(LEN(Taostats_CSV!I294)&gt;0,Taostats_CSV!I294,""))</f>
        <v/>
      </c>
      <c r="L294">
        <f ca="1">IF(Taostats_CSV!E294&lt;&gt;"TAO",IF(LEN(F294)&gt;0,F294,IF(LEN(D294)&gt;0,D294,0))*Taostats_CSV!P294,"")</f>
        <v>19.140185866412697</v>
      </c>
      <c r="M294" t="str">
        <f t="shared" ca="1" si="39"/>
        <v>USD</v>
      </c>
      <c r="N294">
        <f>COUNTIF(Taostats_CSV!$X:$X,Taostats_CSV!$I294&amp;N$1)</f>
        <v>0</v>
      </c>
      <c r="O294">
        <f>COUNTIF(Taostats_CSV!$X:$X,Taostats_CSV!$I294&amp;O$1)</f>
        <v>0</v>
      </c>
      <c r="P294">
        <f>COUNTIF(Taostats_CSV!$X:$X,Taostats_CSV!$I294&amp;P$1)</f>
        <v>0</v>
      </c>
      <c r="Q294" t="b">
        <f t="shared" si="40"/>
        <v>0</v>
      </c>
      <c r="R294" t="b">
        <f>IF(LEN(K294)&gt;0,COUNTIF($K$3:K294,K294),FALSE)</f>
        <v>0</v>
      </c>
      <c r="S294" t="b">
        <f>IF(Taostats_CSV!A294=Taostats_CSV!$A$2,TRUE,Taostats_CSV!G294+Taostats_CSV!H294+Taostats_CSV!R294=0)</f>
        <v>0</v>
      </c>
      <c r="T294" t="b">
        <f t="shared" si="41"/>
        <v>1</v>
      </c>
      <c r="U294" t="b" cm="1">
        <f t="array" aca="1" ref="U294" ca="1">AND(T294,OR(O294-N294&gt;1,P294&gt;1,ISERROR(A294:P294)))</f>
        <v>0</v>
      </c>
      <c r="W294" t="e">
        <f>MATCH(K294&amp;$W$2,Taostats_CSV!$X$3:$X$1167,0)</f>
        <v>#N/A</v>
      </c>
      <c r="X294" t="e">
        <f t="shared" ca="1" si="36"/>
        <v>#VALUE!</v>
      </c>
      <c r="Y294">
        <f t="shared" ca="1" si="37"/>
        <v>0.41742436300000002</v>
      </c>
      <c r="Z294" t="e">
        <f t="shared" ca="1" si="38"/>
        <v>#VALUE!</v>
      </c>
    </row>
    <row r="295" spans="1:26" x14ac:dyDescent="0.4">
      <c r="A295" t="str">
        <f>MID(Taostats_CSV!C295,6,2)&amp;"/"&amp;MID(Taostats_CSV!C295,9,2)&amp;"/"&amp;LEFT(Taostats_CSV!C295,4)&amp;" "&amp;MID(Taostats_CSV!C295,12,8)</f>
        <v>05/10/2025 23:59:48</v>
      </c>
      <c r="C295" t="str">
        <f ca="1">IF(Q295,OFFSET(Taostats_CSV!$E$1,MATCH(K295&amp;D$1,Taostats_CSV!$X:$X,0)-1,0),IF(Taostats_CSV!F295="fee",IF(VALUE(Taostats_CSV!G295)&gt;0,Taostats_CSV!E295,""),""))</f>
        <v/>
      </c>
      <c r="D295" t="str">
        <f ca="1">IF(Q295,OFFSET(Taostats_CSV!$G$1,MATCH(K295&amp;D$1,Taostats_CSV!$X:$X,0)-1,0),IF(Taostats_CSV!F295="fee",IF(VALUE(Taostats_CSV!G295)&gt;0,Taostats_CSV!G295,""),""))</f>
        <v/>
      </c>
      <c r="E295" t="str">
        <f ca="1">IF(AND(Q295,P295&gt;0),OFFSET(Taostats_CSV!$E$1,MATCH(K295&amp;F$1,Taostats_CSV!$X:$X,0)-1,0),IF(LEN(F295)&gt;0,Taostats_CSV!E295,""))</f>
        <v>SN4</v>
      </c>
      <c r="F295" t="str">
        <f ca="1">TRIM(IF(AND(Q295,P295&gt;0),OFFSET(Taostats_CSV!$H$1,MATCH(K295&amp;F$1,Taostats_CSV!$X:$X,0)-1,0),IF(LEN(Taostats_CSV!H295)&gt;0,Taostats_CSV!H295,Taostats_CSV!R295)))</f>
        <v>0.395044526</v>
      </c>
      <c r="G295" t="str">
        <f ca="1">IF(AND(Q295,N295=1),OFFSET(Taostats_CSV!$E$1,MATCH(K295&amp;H$1,Taostats_CSV!$X:$X,0)-1,0),"")</f>
        <v/>
      </c>
      <c r="H295" t="str">
        <f ca="1">IF(AND(Q295,N295=1),OFFSET(Taostats_CSV!$G$1,MATCH(K295&amp;H$1,Taostats_CSV!$X:$X,0)-1,0),"")</f>
        <v/>
      </c>
      <c r="I295" t="str">
        <f ca="1">IF(AND(LEN(K295)=0,LEN(F295)&gt;0),"Income",IF(AND(O295&gt;0,P295&gt;0,C295&lt;&gt;E295),"Trade",IF(AND(NOT(Q295),Taostats_CSV!F295="fee"),'READ ME'!$C$5,"")))</f>
        <v>Income</v>
      </c>
      <c r="J295" t="str">
        <f ca="1">SUBSTITUTE(IF(LEN(I295)=0,Taostats_CSV!F295&amp;" "&amp;Taostats_CSV!J295,IF(I295="Cost","Extrinsic fee","")),"_"," ")</f>
        <v/>
      </c>
      <c r="K295" t="str">
        <f>TRIM(IF(LEN(Taostats_CSV!I295)&gt;0,Taostats_CSV!I295,""))</f>
        <v/>
      </c>
      <c r="L295">
        <f ca="1">IF(Taostats_CSV!E295&lt;&gt;"TAO",IF(LEN(F295)&gt;0,F295,IF(LEN(D295)&gt;0,D295,0))*Taostats_CSV!P295,"")</f>
        <v>22.527272466453798</v>
      </c>
      <c r="M295" t="str">
        <f t="shared" ca="1" si="39"/>
        <v>USD</v>
      </c>
      <c r="N295">
        <f>COUNTIF(Taostats_CSV!$X:$X,Taostats_CSV!$I295&amp;N$1)</f>
        <v>0</v>
      </c>
      <c r="O295">
        <f>COUNTIF(Taostats_CSV!$X:$X,Taostats_CSV!$I295&amp;O$1)</f>
        <v>0</v>
      </c>
      <c r="P295">
        <f>COUNTIF(Taostats_CSV!$X:$X,Taostats_CSV!$I295&amp;P$1)</f>
        <v>0</v>
      </c>
      <c r="Q295" t="b">
        <f t="shared" si="40"/>
        <v>0</v>
      </c>
      <c r="R295" t="b">
        <f>IF(LEN(K295)&gt;0,COUNTIF($K$3:K295,K295),FALSE)</f>
        <v>0</v>
      </c>
      <c r="S295" t="b">
        <f>IF(Taostats_CSV!A295=Taostats_CSV!$A$2,TRUE,Taostats_CSV!G295+Taostats_CSV!H295+Taostats_CSV!R295=0)</f>
        <v>0</v>
      </c>
      <c r="T295" t="b">
        <f t="shared" si="41"/>
        <v>1</v>
      </c>
      <c r="U295" t="b" cm="1">
        <f t="array" aca="1" ref="U295" ca="1">AND(T295,OR(O295-N295&gt;1,P295&gt;1,ISERROR(A295:P295)))</f>
        <v>0</v>
      </c>
      <c r="W295" t="e">
        <f>MATCH(K295&amp;$W$2,Taostats_CSV!$X$3:$X$1167,0)</f>
        <v>#N/A</v>
      </c>
      <c r="X295" t="e">
        <f t="shared" ca="1" si="36"/>
        <v>#VALUE!</v>
      </c>
      <c r="Y295">
        <f t="shared" ca="1" si="37"/>
        <v>0.39504452600000001</v>
      </c>
      <c r="Z295" t="e">
        <f t="shared" ca="1" si="38"/>
        <v>#VALUE!</v>
      </c>
    </row>
    <row r="296" spans="1:26" x14ac:dyDescent="0.4">
      <c r="A296" t="str">
        <f>MID(Taostats_CSV!C296,6,2)&amp;"/"&amp;MID(Taostats_CSV!C296,9,2)&amp;"/"&amp;LEFT(Taostats_CSV!C296,4)&amp;" "&amp;MID(Taostats_CSV!C296,12,8)</f>
        <v>05/10/2025 23:59:48</v>
      </c>
      <c r="C296" t="str">
        <f ca="1">IF(Q296,OFFSET(Taostats_CSV!$E$1,MATCH(K296&amp;D$1,Taostats_CSV!$X:$X,0)-1,0),IF(Taostats_CSV!F296="fee",IF(VALUE(Taostats_CSV!G296)&gt;0,Taostats_CSV!E296,""),""))</f>
        <v/>
      </c>
      <c r="D296" t="str">
        <f ca="1">IF(Q296,OFFSET(Taostats_CSV!$G$1,MATCH(K296&amp;D$1,Taostats_CSV!$X:$X,0)-1,0),IF(Taostats_CSV!F296="fee",IF(VALUE(Taostats_CSV!G296)&gt;0,Taostats_CSV!G296,""),""))</f>
        <v/>
      </c>
      <c r="E296" t="str">
        <f ca="1">IF(AND(Q296,P296&gt;0),OFFSET(Taostats_CSV!$E$1,MATCH(K296&amp;F$1,Taostats_CSV!$X:$X,0)-1,0),IF(LEN(F296)&gt;0,Taostats_CSV!E296,""))</f>
        <v>SN56</v>
      </c>
      <c r="F296" t="str">
        <f ca="1">TRIM(IF(AND(Q296,P296&gt;0),OFFSET(Taostats_CSV!$H$1,MATCH(K296&amp;F$1,Taostats_CSV!$X:$X,0)-1,0),IF(LEN(Taostats_CSV!H296)&gt;0,Taostats_CSV!H296,Taostats_CSV!R296)))</f>
        <v>0.241865667</v>
      </c>
      <c r="G296" t="str">
        <f ca="1">IF(AND(Q296,N296=1),OFFSET(Taostats_CSV!$E$1,MATCH(K296&amp;H$1,Taostats_CSV!$X:$X,0)-1,0),"")</f>
        <v/>
      </c>
      <c r="H296" t="str">
        <f ca="1">IF(AND(Q296,N296=1),OFFSET(Taostats_CSV!$G$1,MATCH(K296&amp;H$1,Taostats_CSV!$X:$X,0)-1,0),"")</f>
        <v/>
      </c>
      <c r="I296" t="str">
        <f ca="1">IF(AND(LEN(K296)=0,LEN(F296)&gt;0),"Income",IF(AND(O296&gt;0,P296&gt;0,C296&lt;&gt;E296),"Trade",IF(AND(NOT(Q296),Taostats_CSV!F296="fee"),'READ ME'!$C$5,"")))</f>
        <v>Income</v>
      </c>
      <c r="J296" t="str">
        <f ca="1">SUBSTITUTE(IF(LEN(I296)=0,Taostats_CSV!F296&amp;" "&amp;Taostats_CSV!J296,IF(I296="Cost","Extrinsic fee","")),"_"," ")</f>
        <v/>
      </c>
      <c r="K296" t="str">
        <f>TRIM(IF(LEN(Taostats_CSV!I296)&gt;0,Taostats_CSV!I296,""))</f>
        <v/>
      </c>
      <c r="L296">
        <f ca="1">IF(Taostats_CSV!E296&lt;&gt;"TAO",IF(LEN(F296)&gt;0,F296,IF(LEN(D296)&gt;0,D296,0))*Taostats_CSV!P296,"")</f>
        <v>13.423129705464953</v>
      </c>
      <c r="M296" t="str">
        <f t="shared" ca="1" si="39"/>
        <v>USD</v>
      </c>
      <c r="N296">
        <f>COUNTIF(Taostats_CSV!$X:$X,Taostats_CSV!$I296&amp;N$1)</f>
        <v>0</v>
      </c>
      <c r="O296">
        <f>COUNTIF(Taostats_CSV!$X:$X,Taostats_CSV!$I296&amp;O$1)</f>
        <v>0</v>
      </c>
      <c r="P296">
        <f>COUNTIF(Taostats_CSV!$X:$X,Taostats_CSV!$I296&amp;P$1)</f>
        <v>0</v>
      </c>
      <c r="Q296" t="b">
        <f t="shared" si="40"/>
        <v>0</v>
      </c>
      <c r="R296" t="b">
        <f>IF(LEN(K296)&gt;0,COUNTIF($K$3:K296,K296),FALSE)</f>
        <v>0</v>
      </c>
      <c r="S296" t="b">
        <f>IF(Taostats_CSV!A296=Taostats_CSV!$A$2,TRUE,Taostats_CSV!G296+Taostats_CSV!H296+Taostats_CSV!R296=0)</f>
        <v>0</v>
      </c>
      <c r="T296" t="b">
        <f t="shared" si="41"/>
        <v>1</v>
      </c>
      <c r="U296" t="b" cm="1">
        <f t="array" aca="1" ref="U296" ca="1">AND(T296,OR(O296-N296&gt;1,P296&gt;1,ISERROR(A296:P296)))</f>
        <v>0</v>
      </c>
      <c r="W296" t="e">
        <f>MATCH(K296&amp;$W$2,Taostats_CSV!$X$3:$X$1167,0)</f>
        <v>#N/A</v>
      </c>
      <c r="X296" t="e">
        <f t="shared" ca="1" si="36"/>
        <v>#VALUE!</v>
      </c>
      <c r="Y296">
        <f t="shared" ca="1" si="37"/>
        <v>0.24186566700000001</v>
      </c>
      <c r="Z296" t="e">
        <f t="shared" ca="1" si="38"/>
        <v>#VALUE!</v>
      </c>
    </row>
    <row r="297" spans="1:26" x14ac:dyDescent="0.4">
      <c r="A297" t="str">
        <f>MID(Taostats_CSV!C297,6,2)&amp;"/"&amp;MID(Taostats_CSV!C297,9,2)&amp;"/"&amp;LEFT(Taostats_CSV!C297,4)&amp;" "&amp;MID(Taostats_CSV!C297,12,8)</f>
        <v>05/10/2025 23:59:48</v>
      </c>
      <c r="C297" t="str">
        <f ca="1">IF(Q297,OFFSET(Taostats_CSV!$E$1,MATCH(K297&amp;D$1,Taostats_CSV!$X:$X,0)-1,0),IF(Taostats_CSV!F297="fee",IF(VALUE(Taostats_CSV!G297)&gt;0,Taostats_CSV!E297,""),""))</f>
        <v/>
      </c>
      <c r="D297" t="str">
        <f ca="1">IF(Q297,OFFSET(Taostats_CSV!$G$1,MATCH(K297&amp;D$1,Taostats_CSV!$X:$X,0)-1,0),IF(Taostats_CSV!F297="fee",IF(VALUE(Taostats_CSV!G297)&gt;0,Taostats_CSV!G297,""),""))</f>
        <v/>
      </c>
      <c r="E297" t="str">
        <f ca="1">IF(AND(Q297,P297&gt;0),OFFSET(Taostats_CSV!$E$1,MATCH(K297&amp;F$1,Taostats_CSV!$X:$X,0)-1,0),IF(LEN(F297)&gt;0,Taostats_CSV!E297,""))</f>
        <v>SN64</v>
      </c>
      <c r="F297" t="str">
        <f ca="1">TRIM(IF(AND(Q297,P297&gt;0),OFFSET(Taostats_CSV!$H$1,MATCH(K297&amp;F$1,Taostats_CSV!$X:$X,0)-1,0),IF(LEN(Taostats_CSV!H297)&gt;0,Taostats_CSV!H297,Taostats_CSV!R297)))</f>
        <v>0.144990787</v>
      </c>
      <c r="G297" t="str">
        <f ca="1">IF(AND(Q297,N297=1),OFFSET(Taostats_CSV!$E$1,MATCH(K297&amp;H$1,Taostats_CSV!$X:$X,0)-1,0),"")</f>
        <v/>
      </c>
      <c r="H297" t="str">
        <f ca="1">IF(AND(Q297,N297=1),OFFSET(Taostats_CSV!$G$1,MATCH(K297&amp;H$1,Taostats_CSV!$X:$X,0)-1,0),"")</f>
        <v/>
      </c>
      <c r="I297" t="str">
        <f ca="1">IF(AND(LEN(K297)=0,LEN(F297)&gt;0),"Income",IF(AND(O297&gt;0,P297&gt;0,C297&lt;&gt;E297),"Trade",IF(AND(NOT(Q297),Taostats_CSV!F297="fee"),'READ ME'!$C$5,"")))</f>
        <v>Income</v>
      </c>
      <c r="J297" t="str">
        <f ca="1">SUBSTITUTE(IF(LEN(I297)=0,Taostats_CSV!F297&amp;" "&amp;Taostats_CSV!J297,IF(I297="Cost","Extrinsic fee","")),"_"," ")</f>
        <v/>
      </c>
      <c r="K297" t="str">
        <f>TRIM(IF(LEN(Taostats_CSV!I297)&gt;0,Taostats_CSV!I297,""))</f>
        <v/>
      </c>
      <c r="L297">
        <f ca="1">IF(Taostats_CSV!E297&lt;&gt;"TAO",IF(LEN(F297)&gt;0,F297,IF(LEN(D297)&gt;0,D297,0))*Taostats_CSV!P297,"")</f>
        <v>18.296818093053513</v>
      </c>
      <c r="M297" t="str">
        <f t="shared" ca="1" si="39"/>
        <v>USD</v>
      </c>
      <c r="N297">
        <f>COUNTIF(Taostats_CSV!$X:$X,Taostats_CSV!$I297&amp;N$1)</f>
        <v>0</v>
      </c>
      <c r="O297">
        <f>COUNTIF(Taostats_CSV!$X:$X,Taostats_CSV!$I297&amp;O$1)</f>
        <v>0</v>
      </c>
      <c r="P297">
        <f>COUNTIF(Taostats_CSV!$X:$X,Taostats_CSV!$I297&amp;P$1)</f>
        <v>0</v>
      </c>
      <c r="Q297" t="b">
        <f t="shared" si="40"/>
        <v>0</v>
      </c>
      <c r="R297" t="b">
        <f>IF(LEN(K297)&gt;0,COUNTIF($K$3:K297,K297),FALSE)</f>
        <v>0</v>
      </c>
      <c r="S297" t="b">
        <f>IF(Taostats_CSV!A297=Taostats_CSV!$A$2,TRUE,Taostats_CSV!G297+Taostats_CSV!H297+Taostats_CSV!R297=0)</f>
        <v>0</v>
      </c>
      <c r="T297" t="b">
        <f t="shared" si="41"/>
        <v>1</v>
      </c>
      <c r="U297" t="b" cm="1">
        <f t="array" aca="1" ref="U297" ca="1">AND(T297,OR(O297-N297&gt;1,P297&gt;1,ISERROR(A297:P297)))</f>
        <v>0</v>
      </c>
      <c r="W297" t="e">
        <f>MATCH(K297&amp;$W$2,Taostats_CSV!$X$3:$X$1167,0)</f>
        <v>#N/A</v>
      </c>
      <c r="X297" t="e">
        <f t="shared" ca="1" si="36"/>
        <v>#VALUE!</v>
      </c>
      <c r="Y297">
        <f t="shared" ca="1" si="37"/>
        <v>0.14499078700000001</v>
      </c>
      <c r="Z297" t="e">
        <f t="shared" ca="1" si="38"/>
        <v>#VALUE!</v>
      </c>
    </row>
    <row r="298" spans="1:26" hidden="1" x14ac:dyDescent="0.4">
      <c r="A298" t="str">
        <f>MID(Taostats_CSV!C298,6,2)&amp;"/"&amp;MID(Taostats_CSV!C298,9,2)&amp;"/"&amp;LEFT(Taostats_CSV!C298,4)&amp;" "&amp;MID(Taostats_CSV!C298,12,8)</f>
        <v>05/10/2025 23:59:48</v>
      </c>
      <c r="C298" t="str">
        <f ca="1">IF(Q298,OFFSET(Taostats_CSV!$E$1,MATCH(K298&amp;D$1,Taostats_CSV!$X:$X,0)-1,0),IF(Taostats_CSV!F298="fee","",IF(VALUE(Taostats_CSV!G298)&gt;0,Taostats_CSV!E298,"")))</f>
        <v/>
      </c>
      <c r="D298" t="str">
        <f ca="1">IF(Q298,OFFSET(Taostats_CSV!$G$1,MATCH(K298&amp;D$1,Taostats_CSV!$X:$X,0)-1,0),IF(Taostats_CSV!F298="fee","",IF(VALUE(Taostats_CSV!G298)&gt;0,Taostats_CSV!G298,"")))</f>
        <v/>
      </c>
      <c r="E298" t="str">
        <f ca="1">IF(AND(Q298,P298&gt;0),OFFSET(Taostats_CSV!$E$1,MATCH(K298&amp;F$1,Taostats_CSV!$X:$X,0)-1,0),IF(LEN(F298)&gt;0,Taostats_CSV!E298,""))</f>
        <v>TAO</v>
      </c>
      <c r="F298" t="str">
        <f ca="1">TRIM(IF(AND(Q298,P298&gt;0),OFFSET(Taostats_CSV!$H$1,MATCH(K298&amp;F$1,Taostats_CSV!$X:$X,0)-1,0),IF(LEN(Taostats_CSV!H298)&gt;0,Taostats_CSV!H298,Taostats_CSV!R298)))</f>
        <v>0</v>
      </c>
      <c r="G298" t="str">
        <f ca="1">IF(AND(Q298,N298=1),OFFSET(Taostats_CSV!$E$1,MATCH(K298&amp;H$1,Taostats_CSV!$X:$X,0)-1,0),IF(Taostats_CSV!F298="fee",Taostats_CSV!E298,""))</f>
        <v/>
      </c>
      <c r="H298" t="str">
        <f ca="1">IF(AND(Q298,N298=1),OFFSET(Taostats_CSV!$G$1,MATCH(K298&amp;H$1,Taostats_CSV!$X:$X,0)-1,0),IF(Taostats_CSV!F298="fee",Taostats_CSV!G298,""))</f>
        <v/>
      </c>
      <c r="I298" t="str">
        <f ca="1">IF(AND(LEN(K298)=0,LEN(F298)&gt;0),"Income",IF(AND(O298&gt;0,P298&gt;0,C298&lt;&gt;E298),"Trade",IF(AND(NOT(Q298),Taostats_CSV!F298="fee"),'READ ME'!$C$5,"")))</f>
        <v>Income</v>
      </c>
      <c r="J298" t="str">
        <f ca="1">SUBSTITUTE(IF(LEN(I298)=0,Taostats_CSV!F298&amp;" "&amp;Taostats_CSV!J298,IF(I298="Cost","Extrinsic fee","")),"_"," ")</f>
        <v/>
      </c>
      <c r="K298" t="str">
        <f>TRIM(IF(LEN(Taostats_CSV!I298)&gt;0,Taostats_CSV!I298,""))</f>
        <v/>
      </c>
      <c r="L298" t="str">
        <f>IF(Taostats_CSV!E298&lt;&gt;"TAO",IF(LEN(F298)&gt;0,F298,IF(LEN(D298)&gt;0,D298,0))*Taostats_CSV!P298,"")</f>
        <v/>
      </c>
      <c r="M298" t="str">
        <f t="shared" si="39"/>
        <v/>
      </c>
      <c r="N298">
        <f>COUNTIF(Taostats_CSV!$X:$X,Taostats_CSV!$I298&amp;N$1)</f>
        <v>0</v>
      </c>
      <c r="O298">
        <f>COUNTIF(Taostats_CSV!$X:$X,Taostats_CSV!$I298&amp;O$1)</f>
        <v>0</v>
      </c>
      <c r="P298">
        <f>COUNTIF(Taostats_CSV!$X:$X,Taostats_CSV!$I298&amp;P$1)</f>
        <v>0</v>
      </c>
      <c r="Q298" t="b">
        <f t="shared" si="40"/>
        <v>0</v>
      </c>
      <c r="R298" t="b">
        <f>IF(LEN(K298)&gt;0,COUNTIF($K$3:K298,K298),FALSE)</f>
        <v>0</v>
      </c>
      <c r="S298" t="b">
        <f>IF(Taostats_CSV!A298=Taostats_CSV!$A$2,TRUE,Taostats_CSV!G298+Taostats_CSV!H298+Taostats_CSV!R298=0)</f>
        <v>1</v>
      </c>
      <c r="T298" t="b">
        <f t="shared" si="41"/>
        <v>0</v>
      </c>
      <c r="U298" t="b" cm="1">
        <f t="array" aca="1" ref="U298" ca="1">AND(T298,OR(O298-N298&gt;1,P298&gt;1,ISERROR(A298:P298)))</f>
        <v>0</v>
      </c>
      <c r="W298" t="e">
        <f>MATCH(K298&amp;$W$2,Taostats_CSV!$X$3:$X$1167,0)</f>
        <v>#N/A</v>
      </c>
      <c r="X298" t="e">
        <f t="shared" ca="1" si="36"/>
        <v>#VALUE!</v>
      </c>
      <c r="Y298">
        <f t="shared" ca="1" si="37"/>
        <v>0</v>
      </c>
      <c r="Z298" t="e">
        <f t="shared" ca="1" si="38"/>
        <v>#VALUE!</v>
      </c>
    </row>
    <row r="299" spans="1:26" x14ac:dyDescent="0.4">
      <c r="A299" t="str">
        <f>MID(Taostats_CSV!C299,6,2)&amp;"/"&amp;MID(Taostats_CSV!C299,9,2)&amp;"/"&amp;LEFT(Taostats_CSV!C299,4)&amp;" "&amp;MID(Taostats_CSV!C299,12,8)</f>
        <v>05/11/2025 23:59:48</v>
      </c>
      <c r="C299" t="str">
        <f ca="1">IF(Q299,OFFSET(Taostats_CSV!$E$1,MATCH(K299&amp;D$1,Taostats_CSV!$X:$X,0)-1,0),IF(Taostats_CSV!F299="fee",IF(VALUE(Taostats_CSV!G299)&gt;0,Taostats_CSV!E299,""),""))</f>
        <v/>
      </c>
      <c r="D299" t="str">
        <f ca="1">IF(Q299,OFFSET(Taostats_CSV!$G$1,MATCH(K299&amp;D$1,Taostats_CSV!$X:$X,0)-1,0),IF(Taostats_CSV!F299="fee",IF(VALUE(Taostats_CSV!G299)&gt;0,Taostats_CSV!G299,""),""))</f>
        <v/>
      </c>
      <c r="E299" t="str">
        <f ca="1">IF(AND(Q299,P299&gt;0),OFFSET(Taostats_CSV!$E$1,MATCH(K299&amp;F$1,Taostats_CSV!$X:$X,0)-1,0),IF(LEN(F299)&gt;0,Taostats_CSV!E299,""))</f>
        <v>SN3</v>
      </c>
      <c r="F299" t="str">
        <f ca="1">TRIM(IF(AND(Q299,P299&gt;0),OFFSET(Taostats_CSV!$H$1,MATCH(K299&amp;F$1,Taostats_CSV!$X:$X,0)-1,0),IF(LEN(Taostats_CSV!H299)&gt;0,Taostats_CSV!H299,Taostats_CSV!R299)))</f>
        <v>0.421747349</v>
      </c>
      <c r="G299" t="str">
        <f ca="1">IF(AND(Q299,N299=1),OFFSET(Taostats_CSV!$E$1,MATCH(K299&amp;H$1,Taostats_CSV!$X:$X,0)-1,0),"")</f>
        <v/>
      </c>
      <c r="H299" t="str">
        <f ca="1">IF(AND(Q299,N299=1),OFFSET(Taostats_CSV!$G$1,MATCH(K299&amp;H$1,Taostats_CSV!$X:$X,0)-1,0),"")</f>
        <v/>
      </c>
      <c r="I299" t="str">
        <f ca="1">IF(AND(LEN(K299)=0,LEN(F299)&gt;0),"Income",IF(AND(O299&gt;0,P299&gt;0,C299&lt;&gt;E299),"Trade",IF(AND(NOT(Q299),Taostats_CSV!F299="fee"),'READ ME'!$C$5,"")))</f>
        <v>Income</v>
      </c>
      <c r="J299" t="str">
        <f ca="1">SUBSTITUTE(IF(LEN(I299)=0,Taostats_CSV!F299&amp;" "&amp;Taostats_CSV!J299,IF(I299="Cost","Extrinsic fee","")),"_"," ")</f>
        <v/>
      </c>
      <c r="K299" t="str">
        <f>TRIM(IF(LEN(Taostats_CSV!I299)&gt;0,Taostats_CSV!I299,""))</f>
        <v/>
      </c>
      <c r="L299">
        <f ca="1">IF(Taostats_CSV!E299&lt;&gt;"TAO",IF(LEN(F299)&gt;0,F299,IF(LEN(D299)&gt;0,D299,0))*Taostats_CSV!P299,"")</f>
        <v>17.25584342726339</v>
      </c>
      <c r="M299" t="str">
        <f t="shared" ca="1" si="39"/>
        <v>USD</v>
      </c>
      <c r="N299">
        <f>COUNTIF(Taostats_CSV!$X:$X,Taostats_CSV!$I299&amp;N$1)</f>
        <v>0</v>
      </c>
      <c r="O299">
        <f>COUNTIF(Taostats_CSV!$X:$X,Taostats_CSV!$I299&amp;O$1)</f>
        <v>0</v>
      </c>
      <c r="P299">
        <f>COUNTIF(Taostats_CSV!$X:$X,Taostats_CSV!$I299&amp;P$1)</f>
        <v>0</v>
      </c>
      <c r="Q299" t="b">
        <f t="shared" si="40"/>
        <v>0</v>
      </c>
      <c r="R299" t="b">
        <f>IF(LEN(K299)&gt;0,COUNTIF($K$3:K299,K299),FALSE)</f>
        <v>0</v>
      </c>
      <c r="S299" t="b">
        <f>IF(Taostats_CSV!A299=Taostats_CSV!$A$2,TRUE,Taostats_CSV!G299+Taostats_CSV!H299+Taostats_CSV!R299=0)</f>
        <v>0</v>
      </c>
      <c r="T299" t="b">
        <f t="shared" si="41"/>
        <v>1</v>
      </c>
      <c r="U299" t="b" cm="1">
        <f t="array" aca="1" ref="U299" ca="1">AND(T299,OR(O299-N299&gt;1,P299&gt;1,ISERROR(A299:P299)))</f>
        <v>0</v>
      </c>
      <c r="W299" t="e">
        <f>MATCH(K299&amp;$W$2,Taostats_CSV!$X$3:$X$1167,0)</f>
        <v>#N/A</v>
      </c>
      <c r="X299" t="e">
        <f t="shared" ca="1" si="36"/>
        <v>#VALUE!</v>
      </c>
      <c r="Y299">
        <f t="shared" ca="1" si="37"/>
        <v>0.42174734899999999</v>
      </c>
      <c r="Z299" t="e">
        <f t="shared" ca="1" si="38"/>
        <v>#VALUE!</v>
      </c>
    </row>
    <row r="300" spans="1:26" x14ac:dyDescent="0.4">
      <c r="A300" t="str">
        <f>MID(Taostats_CSV!C300,6,2)&amp;"/"&amp;MID(Taostats_CSV!C300,9,2)&amp;"/"&amp;LEFT(Taostats_CSV!C300,4)&amp;" "&amp;MID(Taostats_CSV!C300,12,8)</f>
        <v>05/11/2025 23:59:48</v>
      </c>
      <c r="C300" t="str">
        <f ca="1">IF(Q300,OFFSET(Taostats_CSV!$E$1,MATCH(K300&amp;D$1,Taostats_CSV!$X:$X,0)-1,0),IF(Taostats_CSV!F300="fee",IF(VALUE(Taostats_CSV!G300)&gt;0,Taostats_CSV!E300,""),""))</f>
        <v/>
      </c>
      <c r="D300" t="str">
        <f ca="1">IF(Q300,OFFSET(Taostats_CSV!$G$1,MATCH(K300&amp;D$1,Taostats_CSV!$X:$X,0)-1,0),IF(Taostats_CSV!F300="fee",IF(VALUE(Taostats_CSV!G300)&gt;0,Taostats_CSV!G300,""),""))</f>
        <v/>
      </c>
      <c r="E300" t="str">
        <f ca="1">IF(AND(Q300,P300&gt;0),OFFSET(Taostats_CSV!$E$1,MATCH(K300&amp;F$1,Taostats_CSV!$X:$X,0)-1,0),IF(LEN(F300)&gt;0,Taostats_CSV!E300,""))</f>
        <v>SN4</v>
      </c>
      <c r="F300" t="str">
        <f ca="1">TRIM(IF(AND(Q300,P300&gt;0),OFFSET(Taostats_CSV!$H$1,MATCH(K300&amp;F$1,Taostats_CSV!$X:$X,0)-1,0),IF(LEN(Taostats_CSV!H300)&gt;0,Taostats_CSV!H300,Taostats_CSV!R300)))</f>
        <v>0.404609736</v>
      </c>
      <c r="G300" t="str">
        <f ca="1">IF(AND(Q300,N300=1),OFFSET(Taostats_CSV!$E$1,MATCH(K300&amp;H$1,Taostats_CSV!$X:$X,0)-1,0),"")</f>
        <v/>
      </c>
      <c r="H300" t="str">
        <f ca="1">IF(AND(Q300,N300=1),OFFSET(Taostats_CSV!$G$1,MATCH(K300&amp;H$1,Taostats_CSV!$X:$X,0)-1,0),"")</f>
        <v/>
      </c>
      <c r="I300" t="str">
        <f ca="1">IF(AND(LEN(K300)=0,LEN(F300)&gt;0),"Income",IF(AND(O300&gt;0,P300&gt;0,C300&lt;&gt;E300),"Trade",IF(AND(NOT(Q300),Taostats_CSV!F300="fee"),'READ ME'!$C$5,"")))</f>
        <v>Income</v>
      </c>
      <c r="J300" t="str">
        <f ca="1">SUBSTITUTE(IF(LEN(I300)=0,Taostats_CSV!F300&amp;" "&amp;Taostats_CSV!J300,IF(I300="Cost","Extrinsic fee","")),"_"," ")</f>
        <v/>
      </c>
      <c r="K300" t="str">
        <f>TRIM(IF(LEN(Taostats_CSV!I300)&gt;0,Taostats_CSV!I300,""))</f>
        <v/>
      </c>
      <c r="L300">
        <f ca="1">IF(Taostats_CSV!E300&lt;&gt;"TAO",IF(LEN(F300)&gt;0,F300,IF(LEN(D300)&gt;0,D300,0))*Taostats_CSV!P300,"")</f>
        <v>22.35004224550449</v>
      </c>
      <c r="M300" t="str">
        <f t="shared" ca="1" si="39"/>
        <v>USD</v>
      </c>
      <c r="N300">
        <f>COUNTIF(Taostats_CSV!$X:$X,Taostats_CSV!$I300&amp;N$1)</f>
        <v>0</v>
      </c>
      <c r="O300">
        <f>COUNTIF(Taostats_CSV!$X:$X,Taostats_CSV!$I300&amp;O$1)</f>
        <v>0</v>
      </c>
      <c r="P300">
        <f>COUNTIF(Taostats_CSV!$X:$X,Taostats_CSV!$I300&amp;P$1)</f>
        <v>0</v>
      </c>
      <c r="Q300" t="b">
        <f t="shared" si="40"/>
        <v>0</v>
      </c>
      <c r="R300" t="b">
        <f>IF(LEN(K300)&gt;0,COUNTIF($K$3:K300,K300),FALSE)</f>
        <v>0</v>
      </c>
      <c r="S300" t="b">
        <f>IF(Taostats_CSV!A300=Taostats_CSV!$A$2,TRUE,Taostats_CSV!G300+Taostats_CSV!H300+Taostats_CSV!R300=0)</f>
        <v>0</v>
      </c>
      <c r="T300" t="b">
        <f t="shared" si="41"/>
        <v>1</v>
      </c>
      <c r="U300" t="b" cm="1">
        <f t="array" aca="1" ref="U300" ca="1">AND(T300,OR(O300-N300&gt;1,P300&gt;1,ISERROR(A300:P300)))</f>
        <v>0</v>
      </c>
      <c r="W300" t="e">
        <f>MATCH(K300&amp;$W$2,Taostats_CSV!$X$3:$X$1167,0)</f>
        <v>#N/A</v>
      </c>
      <c r="X300" t="e">
        <f t="shared" ca="1" si="36"/>
        <v>#VALUE!</v>
      </c>
      <c r="Y300">
        <f t="shared" ca="1" si="37"/>
        <v>0.404609736</v>
      </c>
      <c r="Z300" t="e">
        <f t="shared" ca="1" si="38"/>
        <v>#VALUE!</v>
      </c>
    </row>
    <row r="301" spans="1:26" x14ac:dyDescent="0.4">
      <c r="A301" t="str">
        <f>MID(Taostats_CSV!C301,6,2)&amp;"/"&amp;MID(Taostats_CSV!C301,9,2)&amp;"/"&amp;LEFT(Taostats_CSV!C301,4)&amp;" "&amp;MID(Taostats_CSV!C301,12,8)</f>
        <v>05/11/2025 23:59:48</v>
      </c>
      <c r="C301" t="str">
        <f ca="1">IF(Q301,OFFSET(Taostats_CSV!$E$1,MATCH(K301&amp;D$1,Taostats_CSV!$X:$X,0)-1,0),IF(Taostats_CSV!F301="fee",IF(VALUE(Taostats_CSV!G301)&gt;0,Taostats_CSV!E301,""),""))</f>
        <v/>
      </c>
      <c r="D301" t="str">
        <f ca="1">IF(Q301,OFFSET(Taostats_CSV!$G$1,MATCH(K301&amp;D$1,Taostats_CSV!$X:$X,0)-1,0),IF(Taostats_CSV!F301="fee",IF(VALUE(Taostats_CSV!G301)&gt;0,Taostats_CSV!G301,""),""))</f>
        <v/>
      </c>
      <c r="E301" t="str">
        <f ca="1">IF(AND(Q301,P301&gt;0),OFFSET(Taostats_CSV!$E$1,MATCH(K301&amp;F$1,Taostats_CSV!$X:$X,0)-1,0),IF(LEN(F301)&gt;0,Taostats_CSV!E301,""))</f>
        <v>SN56</v>
      </c>
      <c r="F301" t="str">
        <f ca="1">TRIM(IF(AND(Q301,P301&gt;0),OFFSET(Taostats_CSV!$H$1,MATCH(K301&amp;F$1,Taostats_CSV!$X:$X,0)-1,0),IF(LEN(Taostats_CSV!H301)&gt;0,Taostats_CSV!H301,Taostats_CSV!R301)))</f>
        <v>0.238495493</v>
      </c>
      <c r="G301" t="str">
        <f ca="1">IF(AND(Q301,N301=1),OFFSET(Taostats_CSV!$E$1,MATCH(K301&amp;H$1,Taostats_CSV!$X:$X,0)-1,0),"")</f>
        <v/>
      </c>
      <c r="H301" t="str">
        <f ca="1">IF(AND(Q301,N301=1),OFFSET(Taostats_CSV!$G$1,MATCH(K301&amp;H$1,Taostats_CSV!$X:$X,0)-1,0),"")</f>
        <v/>
      </c>
      <c r="I301" t="str">
        <f ca="1">IF(AND(LEN(K301)=0,LEN(F301)&gt;0),"Income",IF(AND(O301&gt;0,P301&gt;0,C301&lt;&gt;E301),"Trade",IF(AND(NOT(Q301),Taostats_CSV!F301="fee"),'READ ME'!$C$5,"")))</f>
        <v>Income</v>
      </c>
      <c r="J301" t="str">
        <f ca="1">SUBSTITUTE(IF(LEN(I301)=0,Taostats_CSV!F301&amp;" "&amp;Taostats_CSV!J301,IF(I301="Cost","Extrinsic fee","")),"_"," ")</f>
        <v/>
      </c>
      <c r="K301" t="str">
        <f>TRIM(IF(LEN(Taostats_CSV!I301)&gt;0,Taostats_CSV!I301,""))</f>
        <v/>
      </c>
      <c r="L301">
        <f ca="1">IF(Taostats_CSV!E301&lt;&gt;"TAO",IF(LEN(F301)&gt;0,F301,IF(LEN(D301)&gt;0,D301,0))*Taostats_CSV!P301,"")</f>
        <v>12.028693618535025</v>
      </c>
      <c r="M301" t="str">
        <f t="shared" ca="1" si="39"/>
        <v>USD</v>
      </c>
      <c r="N301">
        <f>COUNTIF(Taostats_CSV!$X:$X,Taostats_CSV!$I301&amp;N$1)</f>
        <v>0</v>
      </c>
      <c r="O301">
        <f>COUNTIF(Taostats_CSV!$X:$X,Taostats_CSV!$I301&amp;O$1)</f>
        <v>0</v>
      </c>
      <c r="P301">
        <f>COUNTIF(Taostats_CSV!$X:$X,Taostats_CSV!$I301&amp;P$1)</f>
        <v>0</v>
      </c>
      <c r="Q301" t="b">
        <f t="shared" si="40"/>
        <v>0</v>
      </c>
      <c r="R301" t="b">
        <f>IF(LEN(K301)&gt;0,COUNTIF($K$3:K301,K301),FALSE)</f>
        <v>0</v>
      </c>
      <c r="S301" t="b">
        <f>IF(Taostats_CSV!A301=Taostats_CSV!$A$2,TRUE,Taostats_CSV!G301+Taostats_CSV!H301+Taostats_CSV!R301=0)</f>
        <v>0</v>
      </c>
      <c r="T301" t="b">
        <f t="shared" si="41"/>
        <v>1</v>
      </c>
      <c r="U301" t="b" cm="1">
        <f t="array" aca="1" ref="U301" ca="1">AND(T301,OR(O301-N301&gt;1,P301&gt;1,ISERROR(A301:P301)))</f>
        <v>0</v>
      </c>
      <c r="W301" t="e">
        <f>MATCH(K301&amp;$W$2,Taostats_CSV!$X$3:$X$1167,0)</f>
        <v>#N/A</v>
      </c>
      <c r="X301" t="e">
        <f t="shared" ca="1" si="36"/>
        <v>#VALUE!</v>
      </c>
      <c r="Y301">
        <f t="shared" ca="1" si="37"/>
        <v>0.238495493</v>
      </c>
      <c r="Z301" t="e">
        <f t="shared" ca="1" si="38"/>
        <v>#VALUE!</v>
      </c>
    </row>
    <row r="302" spans="1:26" x14ac:dyDescent="0.4">
      <c r="A302" t="str">
        <f>MID(Taostats_CSV!C302,6,2)&amp;"/"&amp;MID(Taostats_CSV!C302,9,2)&amp;"/"&amp;LEFT(Taostats_CSV!C302,4)&amp;" "&amp;MID(Taostats_CSV!C302,12,8)</f>
        <v>05/11/2025 23:59:48</v>
      </c>
      <c r="C302" t="str">
        <f ca="1">IF(Q302,OFFSET(Taostats_CSV!$E$1,MATCH(K302&amp;D$1,Taostats_CSV!$X:$X,0)-1,0),IF(Taostats_CSV!F302="fee",IF(VALUE(Taostats_CSV!G302)&gt;0,Taostats_CSV!E302,""),""))</f>
        <v/>
      </c>
      <c r="D302" t="str">
        <f ca="1">IF(Q302,OFFSET(Taostats_CSV!$G$1,MATCH(K302&amp;D$1,Taostats_CSV!$X:$X,0)-1,0),IF(Taostats_CSV!F302="fee",IF(VALUE(Taostats_CSV!G302)&gt;0,Taostats_CSV!G302,""),""))</f>
        <v/>
      </c>
      <c r="E302" t="str">
        <f ca="1">IF(AND(Q302,P302&gt;0),OFFSET(Taostats_CSV!$E$1,MATCH(K302&amp;F$1,Taostats_CSV!$X:$X,0)-1,0),IF(LEN(F302)&gt;0,Taostats_CSV!E302,""))</f>
        <v>SN64</v>
      </c>
      <c r="F302" t="str">
        <f ca="1">TRIM(IF(AND(Q302,P302&gt;0),OFFSET(Taostats_CSV!$H$1,MATCH(K302&amp;F$1,Taostats_CSV!$X:$X,0)-1,0),IF(LEN(Taostats_CSV!H302)&gt;0,Taostats_CSV!H302,Taostats_CSV!R302)))</f>
        <v>0.144414611</v>
      </c>
      <c r="G302" t="str">
        <f ca="1">IF(AND(Q302,N302=1),OFFSET(Taostats_CSV!$E$1,MATCH(K302&amp;H$1,Taostats_CSV!$X:$X,0)-1,0),"")</f>
        <v/>
      </c>
      <c r="H302" t="str">
        <f ca="1">IF(AND(Q302,N302=1),OFFSET(Taostats_CSV!$G$1,MATCH(K302&amp;H$1,Taostats_CSV!$X:$X,0)-1,0),"")</f>
        <v/>
      </c>
      <c r="I302" t="str">
        <f ca="1">IF(AND(LEN(K302)=0,LEN(F302)&gt;0),"Income",IF(AND(O302&gt;0,P302&gt;0,C302&lt;&gt;E302),"Trade",IF(AND(NOT(Q302),Taostats_CSV!F302="fee"),'READ ME'!$C$5,"")))</f>
        <v>Income</v>
      </c>
      <c r="J302" t="str">
        <f ca="1">SUBSTITUTE(IF(LEN(I302)=0,Taostats_CSV!F302&amp;" "&amp;Taostats_CSV!J302,IF(I302="Cost","Extrinsic fee","")),"_"," ")</f>
        <v/>
      </c>
      <c r="K302" t="str">
        <f>TRIM(IF(LEN(Taostats_CSV!I302)&gt;0,Taostats_CSV!I302,""))</f>
        <v/>
      </c>
      <c r="L302">
        <f ca="1">IF(Taostats_CSV!E302&lt;&gt;"TAO",IF(LEN(F302)&gt;0,F302,IF(LEN(D302)&gt;0,D302,0))*Taostats_CSV!P302,"")</f>
        <v>17.221472132851229</v>
      </c>
      <c r="M302" t="str">
        <f t="shared" ca="1" si="39"/>
        <v>USD</v>
      </c>
      <c r="N302">
        <f>COUNTIF(Taostats_CSV!$X:$X,Taostats_CSV!$I302&amp;N$1)</f>
        <v>0</v>
      </c>
      <c r="O302">
        <f>COUNTIF(Taostats_CSV!$X:$X,Taostats_CSV!$I302&amp;O$1)</f>
        <v>0</v>
      </c>
      <c r="P302">
        <f>COUNTIF(Taostats_CSV!$X:$X,Taostats_CSV!$I302&amp;P$1)</f>
        <v>0</v>
      </c>
      <c r="Q302" t="b">
        <f t="shared" si="40"/>
        <v>0</v>
      </c>
      <c r="R302" t="b">
        <f>IF(LEN(K302)&gt;0,COUNTIF($K$3:K302,K302),FALSE)</f>
        <v>0</v>
      </c>
      <c r="S302" t="b">
        <f>IF(Taostats_CSV!A302=Taostats_CSV!$A$2,TRUE,Taostats_CSV!G302+Taostats_CSV!H302+Taostats_CSV!R302=0)</f>
        <v>0</v>
      </c>
      <c r="T302" t="b">
        <f t="shared" si="41"/>
        <v>1</v>
      </c>
      <c r="U302" t="b" cm="1">
        <f t="array" aca="1" ref="U302" ca="1">AND(T302,OR(O302-N302&gt;1,P302&gt;1,ISERROR(A302:P302)))</f>
        <v>0</v>
      </c>
      <c r="W302" t="e">
        <f>MATCH(K302&amp;$W$2,Taostats_CSV!$X$3:$X$1167,0)</f>
        <v>#N/A</v>
      </c>
      <c r="X302" t="e">
        <f t="shared" ca="1" si="36"/>
        <v>#VALUE!</v>
      </c>
      <c r="Y302">
        <f t="shared" ca="1" si="37"/>
        <v>0.144414611</v>
      </c>
      <c r="Z302" t="e">
        <f t="shared" ca="1" si="38"/>
        <v>#VALUE!</v>
      </c>
    </row>
    <row r="303" spans="1:26" hidden="1" x14ac:dyDescent="0.4">
      <c r="A303" t="str">
        <f>MID(Taostats_CSV!C303,6,2)&amp;"/"&amp;MID(Taostats_CSV!C303,9,2)&amp;"/"&amp;LEFT(Taostats_CSV!C303,4)&amp;" "&amp;MID(Taostats_CSV!C303,12,8)</f>
        <v>05/11/2025 23:59:48</v>
      </c>
      <c r="C303" t="str">
        <f ca="1">IF(Q303,OFFSET(Taostats_CSV!$E$1,MATCH(K303&amp;D$1,Taostats_CSV!$X:$X,0)-1,0),IF(Taostats_CSV!F303="fee","",IF(VALUE(Taostats_CSV!G303)&gt;0,Taostats_CSV!E303,"")))</f>
        <v/>
      </c>
      <c r="D303" t="str">
        <f ca="1">IF(Q303,OFFSET(Taostats_CSV!$G$1,MATCH(K303&amp;D$1,Taostats_CSV!$X:$X,0)-1,0),IF(Taostats_CSV!F303="fee","",IF(VALUE(Taostats_CSV!G303)&gt;0,Taostats_CSV!G303,"")))</f>
        <v/>
      </c>
      <c r="E303" t="str">
        <f ca="1">IF(AND(Q303,P303&gt;0),OFFSET(Taostats_CSV!$E$1,MATCH(K303&amp;F$1,Taostats_CSV!$X:$X,0)-1,0),IF(LEN(F303)&gt;0,Taostats_CSV!E303,""))</f>
        <v>TAO</v>
      </c>
      <c r="F303" t="str">
        <f ca="1">TRIM(IF(AND(Q303,P303&gt;0),OFFSET(Taostats_CSV!$H$1,MATCH(K303&amp;F$1,Taostats_CSV!$X:$X,0)-1,0),IF(LEN(Taostats_CSV!H303)&gt;0,Taostats_CSV!H303,Taostats_CSV!R303)))</f>
        <v>0</v>
      </c>
      <c r="G303" t="str">
        <f ca="1">IF(AND(Q303,N303=1),OFFSET(Taostats_CSV!$E$1,MATCH(K303&amp;H$1,Taostats_CSV!$X:$X,0)-1,0),IF(Taostats_CSV!F303="fee",Taostats_CSV!E303,""))</f>
        <v/>
      </c>
      <c r="H303" t="str">
        <f ca="1">IF(AND(Q303,N303=1),OFFSET(Taostats_CSV!$G$1,MATCH(K303&amp;H$1,Taostats_CSV!$X:$X,0)-1,0),IF(Taostats_CSV!F303="fee",Taostats_CSV!G303,""))</f>
        <v/>
      </c>
      <c r="I303" t="str">
        <f ca="1">IF(AND(LEN(K303)=0,LEN(F303)&gt;0),"Income",IF(AND(O303&gt;0,P303&gt;0,C303&lt;&gt;E303),"Trade",IF(AND(NOT(Q303),Taostats_CSV!F303="fee"),'READ ME'!$C$5,"")))</f>
        <v>Income</v>
      </c>
      <c r="J303" t="str">
        <f ca="1">SUBSTITUTE(IF(LEN(I303)=0,Taostats_CSV!F303&amp;" "&amp;Taostats_CSV!J303,IF(I303="Cost","Extrinsic fee","")),"_"," ")</f>
        <v/>
      </c>
      <c r="K303" t="str">
        <f>TRIM(IF(LEN(Taostats_CSV!I303)&gt;0,Taostats_CSV!I303,""))</f>
        <v/>
      </c>
      <c r="L303" t="str">
        <f>IF(Taostats_CSV!E303&lt;&gt;"TAO",IF(LEN(F303)&gt;0,F303,IF(LEN(D303)&gt;0,D303,0))*Taostats_CSV!P303,"")</f>
        <v/>
      </c>
      <c r="M303" t="str">
        <f t="shared" si="39"/>
        <v/>
      </c>
      <c r="N303">
        <f>COUNTIF(Taostats_CSV!$X:$X,Taostats_CSV!$I303&amp;N$1)</f>
        <v>0</v>
      </c>
      <c r="O303">
        <f>COUNTIF(Taostats_CSV!$X:$X,Taostats_CSV!$I303&amp;O$1)</f>
        <v>0</v>
      </c>
      <c r="P303">
        <f>COUNTIF(Taostats_CSV!$X:$X,Taostats_CSV!$I303&amp;P$1)</f>
        <v>0</v>
      </c>
      <c r="Q303" t="b">
        <f t="shared" si="40"/>
        <v>0</v>
      </c>
      <c r="R303" t="b">
        <f>IF(LEN(K303)&gt;0,COUNTIF($K$3:K303,K303),FALSE)</f>
        <v>0</v>
      </c>
      <c r="S303" t="b">
        <f>IF(Taostats_CSV!A303=Taostats_CSV!$A$2,TRUE,Taostats_CSV!G303+Taostats_CSV!H303+Taostats_CSV!R303=0)</f>
        <v>1</v>
      </c>
      <c r="T303" t="b">
        <f t="shared" si="41"/>
        <v>0</v>
      </c>
      <c r="U303" t="b" cm="1">
        <f t="array" aca="1" ref="U303" ca="1">AND(T303,OR(O303-N303&gt;1,P303&gt;1,ISERROR(A303:P303)))</f>
        <v>0</v>
      </c>
      <c r="W303" t="e">
        <f>MATCH(K303&amp;$W$2,Taostats_CSV!$X$3:$X$1167,0)</f>
        <v>#N/A</v>
      </c>
      <c r="X303" t="e">
        <f t="shared" ca="1" si="36"/>
        <v>#VALUE!</v>
      </c>
      <c r="Y303">
        <f t="shared" ca="1" si="37"/>
        <v>0</v>
      </c>
      <c r="Z303" t="e">
        <f t="shared" ca="1" si="38"/>
        <v>#VALUE!</v>
      </c>
    </row>
    <row r="304" spans="1:26" x14ac:dyDescent="0.4">
      <c r="A304" t="str">
        <f>MID(Taostats_CSV!C304,6,2)&amp;"/"&amp;MID(Taostats_CSV!C304,9,2)&amp;"/"&amp;LEFT(Taostats_CSV!C304,4)&amp;" "&amp;MID(Taostats_CSV!C304,12,8)</f>
        <v>05/12/2025 23:59:48</v>
      </c>
      <c r="C304" t="str">
        <f ca="1">IF(Q304,OFFSET(Taostats_CSV!$E$1,MATCH(K304&amp;D$1,Taostats_CSV!$X:$X,0)-1,0),IF(Taostats_CSV!F304="fee",IF(VALUE(Taostats_CSV!G304)&gt;0,Taostats_CSV!E304,""),""))</f>
        <v/>
      </c>
      <c r="D304" t="str">
        <f ca="1">IF(Q304,OFFSET(Taostats_CSV!$G$1,MATCH(K304&amp;D$1,Taostats_CSV!$X:$X,0)-1,0),IF(Taostats_CSV!F304="fee",IF(VALUE(Taostats_CSV!G304)&gt;0,Taostats_CSV!G304,""),""))</f>
        <v/>
      </c>
      <c r="E304" t="str">
        <f ca="1">IF(AND(Q304,P304&gt;0),OFFSET(Taostats_CSV!$E$1,MATCH(K304&amp;F$1,Taostats_CSV!$X:$X,0)-1,0),IF(LEN(F304)&gt;0,Taostats_CSV!E304,""))</f>
        <v>SN3</v>
      </c>
      <c r="F304" t="str">
        <f ca="1">TRIM(IF(AND(Q304,P304&gt;0),OFFSET(Taostats_CSV!$H$1,MATCH(K304&amp;F$1,Taostats_CSV!$X:$X,0)-1,0),IF(LEN(Taostats_CSV!H304)&gt;0,Taostats_CSV!H304,Taostats_CSV!R304)))</f>
        <v>0.434864453</v>
      </c>
      <c r="G304" t="str">
        <f ca="1">IF(AND(Q304,N304=1),OFFSET(Taostats_CSV!$E$1,MATCH(K304&amp;H$1,Taostats_CSV!$X:$X,0)-1,0),"")</f>
        <v/>
      </c>
      <c r="H304" t="str">
        <f ca="1">IF(AND(Q304,N304=1),OFFSET(Taostats_CSV!$G$1,MATCH(K304&amp;H$1,Taostats_CSV!$X:$X,0)-1,0),"")</f>
        <v/>
      </c>
      <c r="I304" t="str">
        <f ca="1">IF(AND(LEN(K304)=0,LEN(F304)&gt;0),"Income",IF(AND(O304&gt;0,P304&gt;0,C304&lt;&gt;E304),"Trade",IF(AND(NOT(Q304),Taostats_CSV!F304="fee"),'READ ME'!$C$5,"")))</f>
        <v>Income</v>
      </c>
      <c r="J304" t="str">
        <f ca="1">SUBSTITUTE(IF(LEN(I304)=0,Taostats_CSV!F304&amp;" "&amp;Taostats_CSV!J304,IF(I304="Cost","Extrinsic fee","")),"_"," ")</f>
        <v/>
      </c>
      <c r="K304" t="str">
        <f>TRIM(IF(LEN(Taostats_CSV!I304)&gt;0,Taostats_CSV!I304,""))</f>
        <v/>
      </c>
      <c r="L304">
        <f ca="1">IF(Taostats_CSV!E304&lt;&gt;"TAO",IF(LEN(F304)&gt;0,F304,IF(LEN(D304)&gt;0,D304,0))*Taostats_CSV!P304,"")</f>
        <v>17.966043329013662</v>
      </c>
      <c r="M304" t="str">
        <f t="shared" ca="1" si="39"/>
        <v>USD</v>
      </c>
      <c r="N304">
        <f>COUNTIF(Taostats_CSV!$X:$X,Taostats_CSV!$I304&amp;N$1)</f>
        <v>0</v>
      </c>
      <c r="O304">
        <f>COUNTIF(Taostats_CSV!$X:$X,Taostats_CSV!$I304&amp;O$1)</f>
        <v>0</v>
      </c>
      <c r="P304">
        <f>COUNTIF(Taostats_CSV!$X:$X,Taostats_CSV!$I304&amp;P$1)</f>
        <v>0</v>
      </c>
      <c r="Q304" t="b">
        <f t="shared" si="40"/>
        <v>0</v>
      </c>
      <c r="R304" t="b">
        <f>IF(LEN(K304)&gt;0,COUNTIF($K$3:K304,K304),FALSE)</f>
        <v>0</v>
      </c>
      <c r="S304" t="b">
        <f>IF(Taostats_CSV!A304=Taostats_CSV!$A$2,TRUE,Taostats_CSV!G304+Taostats_CSV!H304+Taostats_CSV!R304=0)</f>
        <v>0</v>
      </c>
      <c r="T304" t="b">
        <f t="shared" si="41"/>
        <v>1</v>
      </c>
      <c r="U304" t="b" cm="1">
        <f t="array" aca="1" ref="U304" ca="1">AND(T304,OR(O304-N304&gt;1,P304&gt;1,ISERROR(A304:P304)))</f>
        <v>0</v>
      </c>
      <c r="W304" t="e">
        <f>MATCH(K304&amp;$W$2,Taostats_CSV!$X$3:$X$1167,0)</f>
        <v>#N/A</v>
      </c>
      <c r="X304" t="e">
        <f t="shared" ca="1" si="36"/>
        <v>#VALUE!</v>
      </c>
      <c r="Y304">
        <f t="shared" ca="1" si="37"/>
        <v>0.43486445299999998</v>
      </c>
      <c r="Z304" t="e">
        <f t="shared" ca="1" si="38"/>
        <v>#VALUE!</v>
      </c>
    </row>
    <row r="305" spans="1:26" x14ac:dyDescent="0.4">
      <c r="A305" t="str">
        <f>MID(Taostats_CSV!C305,6,2)&amp;"/"&amp;MID(Taostats_CSV!C305,9,2)&amp;"/"&amp;LEFT(Taostats_CSV!C305,4)&amp;" "&amp;MID(Taostats_CSV!C305,12,8)</f>
        <v>05/12/2025 23:59:48</v>
      </c>
      <c r="C305" t="str">
        <f ca="1">IF(Q305,OFFSET(Taostats_CSV!$E$1,MATCH(K305&amp;D$1,Taostats_CSV!$X:$X,0)-1,0),IF(Taostats_CSV!F305="fee",IF(VALUE(Taostats_CSV!G305)&gt;0,Taostats_CSV!E305,""),""))</f>
        <v/>
      </c>
      <c r="D305" t="str">
        <f ca="1">IF(Q305,OFFSET(Taostats_CSV!$G$1,MATCH(K305&amp;D$1,Taostats_CSV!$X:$X,0)-1,0),IF(Taostats_CSV!F305="fee",IF(VALUE(Taostats_CSV!G305)&gt;0,Taostats_CSV!G305,""),""))</f>
        <v/>
      </c>
      <c r="E305" t="str">
        <f ca="1">IF(AND(Q305,P305&gt;0),OFFSET(Taostats_CSV!$E$1,MATCH(K305&amp;F$1,Taostats_CSV!$X:$X,0)-1,0),IF(LEN(F305)&gt;0,Taostats_CSV!E305,""))</f>
        <v>SN4</v>
      </c>
      <c r="F305" t="str">
        <f ca="1">TRIM(IF(AND(Q305,P305&gt;0),OFFSET(Taostats_CSV!$H$1,MATCH(K305&amp;F$1,Taostats_CSV!$X:$X,0)-1,0),IF(LEN(Taostats_CSV!H305)&gt;0,Taostats_CSV!H305,Taostats_CSV!R305)))</f>
        <v>0.403172172</v>
      </c>
      <c r="G305" t="str">
        <f ca="1">IF(AND(Q305,N305=1),OFFSET(Taostats_CSV!$E$1,MATCH(K305&amp;H$1,Taostats_CSV!$X:$X,0)-1,0),"")</f>
        <v/>
      </c>
      <c r="H305" t="str">
        <f ca="1">IF(AND(Q305,N305=1),OFFSET(Taostats_CSV!$G$1,MATCH(K305&amp;H$1,Taostats_CSV!$X:$X,0)-1,0),"")</f>
        <v/>
      </c>
      <c r="I305" t="str">
        <f ca="1">IF(AND(LEN(K305)=0,LEN(F305)&gt;0),"Income",IF(AND(O305&gt;0,P305&gt;0,C305&lt;&gt;E305),"Trade",IF(AND(NOT(Q305),Taostats_CSV!F305="fee"),'READ ME'!$C$5,"")))</f>
        <v>Income</v>
      </c>
      <c r="J305" t="str">
        <f ca="1">SUBSTITUTE(IF(LEN(I305)=0,Taostats_CSV!F305&amp;" "&amp;Taostats_CSV!J305,IF(I305="Cost","Extrinsic fee","")),"_"," ")</f>
        <v/>
      </c>
      <c r="K305" t="str">
        <f>TRIM(IF(LEN(Taostats_CSV!I305)&gt;0,Taostats_CSV!I305,""))</f>
        <v/>
      </c>
      <c r="L305">
        <f ca="1">IF(Taostats_CSV!E305&lt;&gt;"TAO",IF(LEN(F305)&gt;0,F305,IF(LEN(D305)&gt;0,D305,0))*Taostats_CSV!P305,"")</f>
        <v>21.711739601754015</v>
      </c>
      <c r="M305" t="str">
        <f t="shared" ca="1" si="39"/>
        <v>USD</v>
      </c>
      <c r="N305">
        <f>COUNTIF(Taostats_CSV!$X:$X,Taostats_CSV!$I305&amp;N$1)</f>
        <v>0</v>
      </c>
      <c r="O305">
        <f>COUNTIF(Taostats_CSV!$X:$X,Taostats_CSV!$I305&amp;O$1)</f>
        <v>0</v>
      </c>
      <c r="P305">
        <f>COUNTIF(Taostats_CSV!$X:$X,Taostats_CSV!$I305&amp;P$1)</f>
        <v>0</v>
      </c>
      <c r="Q305" t="b">
        <f t="shared" si="40"/>
        <v>0</v>
      </c>
      <c r="R305" t="b">
        <f>IF(LEN(K305)&gt;0,COUNTIF($K$3:K305,K305),FALSE)</f>
        <v>0</v>
      </c>
      <c r="S305" t="b">
        <f>IF(Taostats_CSV!A305=Taostats_CSV!$A$2,TRUE,Taostats_CSV!G305+Taostats_CSV!H305+Taostats_CSV!R305=0)</f>
        <v>0</v>
      </c>
      <c r="T305" t="b">
        <f t="shared" si="41"/>
        <v>1</v>
      </c>
      <c r="U305" t="b" cm="1">
        <f t="array" aca="1" ref="U305" ca="1">AND(T305,OR(O305-N305&gt;1,P305&gt;1,ISERROR(A305:P305)))</f>
        <v>0</v>
      </c>
      <c r="W305" t="e">
        <f>MATCH(K305&amp;$W$2,Taostats_CSV!$X$3:$X$1167,0)</f>
        <v>#N/A</v>
      </c>
      <c r="X305" t="e">
        <f t="shared" ca="1" si="36"/>
        <v>#VALUE!</v>
      </c>
      <c r="Y305">
        <f t="shared" ca="1" si="37"/>
        <v>0.403172172</v>
      </c>
      <c r="Z305" t="e">
        <f t="shared" ca="1" si="38"/>
        <v>#VALUE!</v>
      </c>
    </row>
    <row r="306" spans="1:26" x14ac:dyDescent="0.4">
      <c r="A306" t="str">
        <f>MID(Taostats_CSV!C306,6,2)&amp;"/"&amp;MID(Taostats_CSV!C306,9,2)&amp;"/"&amp;LEFT(Taostats_CSV!C306,4)&amp;" "&amp;MID(Taostats_CSV!C306,12,8)</f>
        <v>05/12/2025 23:59:48</v>
      </c>
      <c r="C306" t="str">
        <f ca="1">IF(Q306,OFFSET(Taostats_CSV!$E$1,MATCH(K306&amp;D$1,Taostats_CSV!$X:$X,0)-1,0),IF(Taostats_CSV!F306="fee",IF(VALUE(Taostats_CSV!G306)&gt;0,Taostats_CSV!E306,""),""))</f>
        <v/>
      </c>
      <c r="D306" t="str">
        <f ca="1">IF(Q306,OFFSET(Taostats_CSV!$G$1,MATCH(K306&amp;D$1,Taostats_CSV!$X:$X,0)-1,0),IF(Taostats_CSV!F306="fee",IF(VALUE(Taostats_CSV!G306)&gt;0,Taostats_CSV!G306,""),""))</f>
        <v/>
      </c>
      <c r="E306" t="str">
        <f ca="1">IF(AND(Q306,P306&gt;0),OFFSET(Taostats_CSV!$E$1,MATCH(K306&amp;F$1,Taostats_CSV!$X:$X,0)-1,0),IF(LEN(F306)&gt;0,Taostats_CSV!E306,""))</f>
        <v>SN56</v>
      </c>
      <c r="F306" t="str">
        <f ca="1">TRIM(IF(AND(Q306,P306&gt;0),OFFSET(Taostats_CSV!$H$1,MATCH(K306&amp;F$1,Taostats_CSV!$X:$X,0)-1,0),IF(LEN(Taostats_CSV!H306)&gt;0,Taostats_CSV!H306,Taostats_CSV!R306)))</f>
        <v>0.236946967</v>
      </c>
      <c r="G306" t="str">
        <f ca="1">IF(AND(Q306,N306=1),OFFSET(Taostats_CSV!$E$1,MATCH(K306&amp;H$1,Taostats_CSV!$X:$X,0)-1,0),"")</f>
        <v/>
      </c>
      <c r="H306" t="str">
        <f ca="1">IF(AND(Q306,N306=1),OFFSET(Taostats_CSV!$G$1,MATCH(K306&amp;H$1,Taostats_CSV!$X:$X,0)-1,0),"")</f>
        <v/>
      </c>
      <c r="I306" t="str">
        <f ca="1">IF(AND(LEN(K306)=0,LEN(F306)&gt;0),"Income",IF(AND(O306&gt;0,P306&gt;0,C306&lt;&gt;E306),"Trade",IF(AND(NOT(Q306),Taostats_CSV!F306="fee"),'READ ME'!$C$5,"")))</f>
        <v>Income</v>
      </c>
      <c r="J306" t="str">
        <f ca="1">SUBSTITUTE(IF(LEN(I306)=0,Taostats_CSV!F306&amp;" "&amp;Taostats_CSV!J306,IF(I306="Cost","Extrinsic fee","")),"_"," ")</f>
        <v/>
      </c>
      <c r="K306" t="str">
        <f>TRIM(IF(LEN(Taostats_CSV!I306)&gt;0,Taostats_CSV!I306,""))</f>
        <v/>
      </c>
      <c r="L306">
        <f ca="1">IF(Taostats_CSV!E306&lt;&gt;"TAO",IF(LEN(F306)&gt;0,F306,IF(LEN(D306)&gt;0,D306,0))*Taostats_CSV!P306,"")</f>
        <v>10.609338021590787</v>
      </c>
      <c r="M306" t="str">
        <f t="shared" ca="1" si="39"/>
        <v>USD</v>
      </c>
      <c r="N306">
        <f>COUNTIF(Taostats_CSV!$X:$X,Taostats_CSV!$I306&amp;N$1)</f>
        <v>0</v>
      </c>
      <c r="O306">
        <f>COUNTIF(Taostats_CSV!$X:$X,Taostats_CSV!$I306&amp;O$1)</f>
        <v>0</v>
      </c>
      <c r="P306">
        <f>COUNTIF(Taostats_CSV!$X:$X,Taostats_CSV!$I306&amp;P$1)</f>
        <v>0</v>
      </c>
      <c r="Q306" t="b">
        <f t="shared" si="40"/>
        <v>0</v>
      </c>
      <c r="R306" t="b">
        <f>IF(LEN(K306)&gt;0,COUNTIF($K$3:K306,K306),FALSE)</f>
        <v>0</v>
      </c>
      <c r="S306" t="b">
        <f>IF(Taostats_CSV!A306=Taostats_CSV!$A$2,TRUE,Taostats_CSV!G306+Taostats_CSV!H306+Taostats_CSV!R306=0)</f>
        <v>0</v>
      </c>
      <c r="T306" t="b">
        <f t="shared" si="41"/>
        <v>1</v>
      </c>
      <c r="U306" t="b" cm="1">
        <f t="array" aca="1" ref="U306" ca="1">AND(T306,OR(O306-N306&gt;1,P306&gt;1,ISERROR(A306:P306)))</f>
        <v>0</v>
      </c>
      <c r="W306" t="e">
        <f>MATCH(K306&amp;$W$2,Taostats_CSV!$X$3:$X$1167,0)</f>
        <v>#N/A</v>
      </c>
      <c r="X306" t="e">
        <f t="shared" ca="1" si="36"/>
        <v>#VALUE!</v>
      </c>
      <c r="Y306">
        <f t="shared" ca="1" si="37"/>
        <v>0.23694696700000001</v>
      </c>
      <c r="Z306" t="e">
        <f t="shared" ca="1" si="38"/>
        <v>#VALUE!</v>
      </c>
    </row>
    <row r="307" spans="1:26" x14ac:dyDescent="0.4">
      <c r="A307" t="str">
        <f>MID(Taostats_CSV!C307,6,2)&amp;"/"&amp;MID(Taostats_CSV!C307,9,2)&amp;"/"&amp;LEFT(Taostats_CSV!C307,4)&amp;" "&amp;MID(Taostats_CSV!C307,12,8)</f>
        <v>05/12/2025 23:59:48</v>
      </c>
      <c r="C307" t="str">
        <f ca="1">IF(Q307,OFFSET(Taostats_CSV!$E$1,MATCH(K307&amp;D$1,Taostats_CSV!$X:$X,0)-1,0),IF(Taostats_CSV!F307="fee",IF(VALUE(Taostats_CSV!G307)&gt;0,Taostats_CSV!E307,""),""))</f>
        <v/>
      </c>
      <c r="D307" t="str">
        <f ca="1">IF(Q307,OFFSET(Taostats_CSV!$G$1,MATCH(K307&amp;D$1,Taostats_CSV!$X:$X,0)-1,0),IF(Taostats_CSV!F307="fee",IF(VALUE(Taostats_CSV!G307)&gt;0,Taostats_CSV!G307,""),""))</f>
        <v/>
      </c>
      <c r="E307" t="str">
        <f ca="1">IF(AND(Q307,P307&gt;0),OFFSET(Taostats_CSV!$E$1,MATCH(K307&amp;F$1,Taostats_CSV!$X:$X,0)-1,0),IF(LEN(F307)&gt;0,Taostats_CSV!E307,""))</f>
        <v>SN64</v>
      </c>
      <c r="F307" t="str">
        <f ca="1">TRIM(IF(AND(Q307,P307&gt;0),OFFSET(Taostats_CSV!$H$1,MATCH(K307&amp;F$1,Taostats_CSV!$X:$X,0)-1,0),IF(LEN(Taostats_CSV!H307)&gt;0,Taostats_CSV!H307,Taostats_CSV!R307)))</f>
        <v>0.1410053</v>
      </c>
      <c r="G307" t="str">
        <f ca="1">IF(AND(Q307,N307=1),OFFSET(Taostats_CSV!$E$1,MATCH(K307&amp;H$1,Taostats_CSV!$X:$X,0)-1,0),"")</f>
        <v/>
      </c>
      <c r="H307" t="str">
        <f ca="1">IF(AND(Q307,N307=1),OFFSET(Taostats_CSV!$G$1,MATCH(K307&amp;H$1,Taostats_CSV!$X:$X,0)-1,0),"")</f>
        <v/>
      </c>
      <c r="I307" t="str">
        <f ca="1">IF(AND(LEN(K307)=0,LEN(F307)&gt;0),"Income",IF(AND(O307&gt;0,P307&gt;0,C307&lt;&gt;E307),"Trade",IF(AND(NOT(Q307),Taostats_CSV!F307="fee"),'READ ME'!$C$5,"")))</f>
        <v>Income</v>
      </c>
      <c r="J307" t="str">
        <f ca="1">SUBSTITUTE(IF(LEN(I307)=0,Taostats_CSV!F307&amp;" "&amp;Taostats_CSV!J307,IF(I307="Cost","Extrinsic fee","")),"_"," ")</f>
        <v/>
      </c>
      <c r="K307" t="str">
        <f>TRIM(IF(LEN(Taostats_CSV!I307)&gt;0,Taostats_CSV!I307,""))</f>
        <v/>
      </c>
      <c r="L307">
        <f ca="1">IF(Taostats_CSV!E307&lt;&gt;"TAO",IF(LEN(F307)&gt;0,F307,IF(LEN(D307)&gt;0,D307,0))*Taostats_CSV!P307,"")</f>
        <v>15.516032332783734</v>
      </c>
      <c r="M307" t="str">
        <f t="shared" ca="1" si="39"/>
        <v>USD</v>
      </c>
      <c r="N307">
        <f>COUNTIF(Taostats_CSV!$X:$X,Taostats_CSV!$I307&amp;N$1)</f>
        <v>0</v>
      </c>
      <c r="O307">
        <f>COUNTIF(Taostats_CSV!$X:$X,Taostats_CSV!$I307&amp;O$1)</f>
        <v>0</v>
      </c>
      <c r="P307">
        <f>COUNTIF(Taostats_CSV!$X:$X,Taostats_CSV!$I307&amp;P$1)</f>
        <v>0</v>
      </c>
      <c r="Q307" t="b">
        <f t="shared" si="40"/>
        <v>0</v>
      </c>
      <c r="R307" t="b">
        <f>IF(LEN(K307)&gt;0,COUNTIF($K$3:K307,K307),FALSE)</f>
        <v>0</v>
      </c>
      <c r="S307" t="b">
        <f>IF(Taostats_CSV!A307=Taostats_CSV!$A$2,TRUE,Taostats_CSV!G307+Taostats_CSV!H307+Taostats_CSV!R307=0)</f>
        <v>0</v>
      </c>
      <c r="T307" t="b">
        <f t="shared" si="41"/>
        <v>1</v>
      </c>
      <c r="U307" t="b" cm="1">
        <f t="array" aca="1" ref="U307" ca="1">AND(T307,OR(O307-N307&gt;1,P307&gt;1,ISERROR(A307:P307)))</f>
        <v>0</v>
      </c>
      <c r="W307" t="e">
        <f>MATCH(K307&amp;$W$2,Taostats_CSV!$X$3:$X$1167,0)</f>
        <v>#N/A</v>
      </c>
      <c r="X307" t="e">
        <f t="shared" ca="1" si="36"/>
        <v>#VALUE!</v>
      </c>
      <c r="Y307">
        <f t="shared" ca="1" si="37"/>
        <v>0.1410053</v>
      </c>
      <c r="Z307" t="e">
        <f t="shared" ca="1" si="38"/>
        <v>#VALUE!</v>
      </c>
    </row>
    <row r="308" spans="1:26" hidden="1" x14ac:dyDescent="0.4">
      <c r="A308" t="str">
        <f>MID(Taostats_CSV!C308,6,2)&amp;"/"&amp;MID(Taostats_CSV!C308,9,2)&amp;"/"&amp;LEFT(Taostats_CSV!C308,4)&amp;" "&amp;MID(Taostats_CSV!C308,12,8)</f>
        <v>05/12/2025 23:59:48</v>
      </c>
      <c r="C308" t="str">
        <f ca="1">IF(Q308,OFFSET(Taostats_CSV!$E$1,MATCH(K308&amp;D$1,Taostats_CSV!$X:$X,0)-1,0),IF(Taostats_CSV!F308="fee","",IF(VALUE(Taostats_CSV!G308)&gt;0,Taostats_CSV!E308,"")))</f>
        <v/>
      </c>
      <c r="D308" t="str">
        <f ca="1">IF(Q308,OFFSET(Taostats_CSV!$G$1,MATCH(K308&amp;D$1,Taostats_CSV!$X:$X,0)-1,0),IF(Taostats_CSV!F308="fee","",IF(VALUE(Taostats_CSV!G308)&gt;0,Taostats_CSV!G308,"")))</f>
        <v/>
      </c>
      <c r="E308" t="str">
        <f ca="1">IF(AND(Q308,P308&gt;0),OFFSET(Taostats_CSV!$E$1,MATCH(K308&amp;F$1,Taostats_CSV!$X:$X,0)-1,0),IF(LEN(F308)&gt;0,Taostats_CSV!E308,""))</f>
        <v>TAO</v>
      </c>
      <c r="F308" t="str">
        <f ca="1">TRIM(IF(AND(Q308,P308&gt;0),OFFSET(Taostats_CSV!$H$1,MATCH(K308&amp;F$1,Taostats_CSV!$X:$X,0)-1,0),IF(LEN(Taostats_CSV!H308)&gt;0,Taostats_CSV!H308,Taostats_CSV!R308)))</f>
        <v>0</v>
      </c>
      <c r="G308" t="str">
        <f ca="1">IF(AND(Q308,N308=1),OFFSET(Taostats_CSV!$E$1,MATCH(K308&amp;H$1,Taostats_CSV!$X:$X,0)-1,0),IF(Taostats_CSV!F308="fee",Taostats_CSV!E308,""))</f>
        <v/>
      </c>
      <c r="H308" t="str">
        <f ca="1">IF(AND(Q308,N308=1),OFFSET(Taostats_CSV!$G$1,MATCH(K308&amp;H$1,Taostats_CSV!$X:$X,0)-1,0),IF(Taostats_CSV!F308="fee",Taostats_CSV!G308,""))</f>
        <v/>
      </c>
      <c r="I308" t="str">
        <f ca="1">IF(AND(LEN(K308)=0,LEN(F308)&gt;0),"Income",IF(AND(O308&gt;0,P308&gt;0,C308&lt;&gt;E308),"Trade",IF(AND(NOT(Q308),Taostats_CSV!F308="fee"),'READ ME'!$C$5,"")))</f>
        <v>Income</v>
      </c>
      <c r="J308" t="str">
        <f ca="1">SUBSTITUTE(IF(LEN(I308)=0,Taostats_CSV!F308&amp;" "&amp;Taostats_CSV!J308,IF(I308="Cost","Extrinsic fee","")),"_"," ")</f>
        <v/>
      </c>
      <c r="K308" t="str">
        <f>TRIM(IF(LEN(Taostats_CSV!I308)&gt;0,Taostats_CSV!I308,""))</f>
        <v/>
      </c>
      <c r="L308" t="str">
        <f>IF(Taostats_CSV!E308&lt;&gt;"TAO",IF(LEN(F308)&gt;0,F308,IF(LEN(D308)&gt;0,D308,0))*Taostats_CSV!P308,"")</f>
        <v/>
      </c>
      <c r="M308" t="str">
        <f t="shared" si="39"/>
        <v/>
      </c>
      <c r="N308">
        <f>COUNTIF(Taostats_CSV!$X:$X,Taostats_CSV!$I308&amp;N$1)</f>
        <v>0</v>
      </c>
      <c r="O308">
        <f>COUNTIF(Taostats_CSV!$X:$X,Taostats_CSV!$I308&amp;O$1)</f>
        <v>0</v>
      </c>
      <c r="P308">
        <f>COUNTIF(Taostats_CSV!$X:$X,Taostats_CSV!$I308&amp;P$1)</f>
        <v>0</v>
      </c>
      <c r="Q308" t="b">
        <f t="shared" si="40"/>
        <v>0</v>
      </c>
      <c r="R308" t="b">
        <f>IF(LEN(K308)&gt;0,COUNTIF($K$3:K308,K308),FALSE)</f>
        <v>0</v>
      </c>
      <c r="S308" t="b">
        <f>IF(Taostats_CSV!A308=Taostats_CSV!$A$2,TRUE,Taostats_CSV!G308+Taostats_CSV!H308+Taostats_CSV!R308=0)</f>
        <v>1</v>
      </c>
      <c r="T308" t="b">
        <f t="shared" si="41"/>
        <v>0</v>
      </c>
      <c r="U308" t="b" cm="1">
        <f t="array" aca="1" ref="U308" ca="1">AND(T308,OR(O308-N308&gt;1,P308&gt;1,ISERROR(A308:P308)))</f>
        <v>0</v>
      </c>
      <c r="W308" t="e">
        <f>MATCH(K308&amp;$W$2,Taostats_CSV!$X$3:$X$1167,0)</f>
        <v>#N/A</v>
      </c>
      <c r="X308" t="e">
        <f t="shared" ca="1" si="36"/>
        <v>#VALUE!</v>
      </c>
      <c r="Y308">
        <f t="shared" ca="1" si="37"/>
        <v>0</v>
      </c>
      <c r="Z308" t="e">
        <f t="shared" ca="1" si="38"/>
        <v>#VALUE!</v>
      </c>
    </row>
    <row r="309" spans="1:26" x14ac:dyDescent="0.4">
      <c r="A309" t="str">
        <f>MID(Taostats_CSV!C309,6,2)&amp;"/"&amp;MID(Taostats_CSV!C309,9,2)&amp;"/"&amp;LEFT(Taostats_CSV!C309,4)&amp;" "&amp;MID(Taostats_CSV!C309,12,8)</f>
        <v>05/13/2025 23:59:48</v>
      </c>
      <c r="C309" t="str">
        <f ca="1">IF(Q309,OFFSET(Taostats_CSV!$E$1,MATCH(K309&amp;D$1,Taostats_CSV!$X:$X,0)-1,0),IF(Taostats_CSV!F309="fee",IF(VALUE(Taostats_CSV!G309)&gt;0,Taostats_CSV!E309,""),""))</f>
        <v/>
      </c>
      <c r="D309" t="str">
        <f ca="1">IF(Q309,OFFSET(Taostats_CSV!$G$1,MATCH(K309&amp;D$1,Taostats_CSV!$X:$X,0)-1,0),IF(Taostats_CSV!F309="fee",IF(VALUE(Taostats_CSV!G309)&gt;0,Taostats_CSV!G309,""),""))</f>
        <v/>
      </c>
      <c r="E309" t="str">
        <f ca="1">IF(AND(Q309,P309&gt;0),OFFSET(Taostats_CSV!$E$1,MATCH(K309&amp;F$1,Taostats_CSV!$X:$X,0)-1,0),IF(LEN(F309)&gt;0,Taostats_CSV!E309,""))</f>
        <v>SN3</v>
      </c>
      <c r="F309" t="str">
        <f ca="1">TRIM(IF(AND(Q309,P309&gt;0),OFFSET(Taostats_CSV!$H$1,MATCH(K309&amp;F$1,Taostats_CSV!$X:$X,0)-1,0),IF(LEN(Taostats_CSV!H309)&gt;0,Taostats_CSV!H309,Taostats_CSV!R309)))</f>
        <v>0.430776987</v>
      </c>
      <c r="G309" t="str">
        <f ca="1">IF(AND(Q309,N309=1),OFFSET(Taostats_CSV!$E$1,MATCH(K309&amp;H$1,Taostats_CSV!$X:$X,0)-1,0),"")</f>
        <v/>
      </c>
      <c r="H309" t="str">
        <f ca="1">IF(AND(Q309,N309=1),OFFSET(Taostats_CSV!$G$1,MATCH(K309&amp;H$1,Taostats_CSV!$X:$X,0)-1,0),"")</f>
        <v/>
      </c>
      <c r="I309" t="str">
        <f ca="1">IF(AND(LEN(K309)=0,LEN(F309)&gt;0),"Income",IF(AND(O309&gt;0,P309&gt;0,C309&lt;&gt;E309),"Trade",IF(AND(NOT(Q309),Taostats_CSV!F309="fee"),'READ ME'!$C$5,"")))</f>
        <v>Income</v>
      </c>
      <c r="J309" t="str">
        <f ca="1">SUBSTITUTE(IF(LEN(I309)=0,Taostats_CSV!F309&amp;" "&amp;Taostats_CSV!J309,IF(I309="Cost","Extrinsic fee","")),"_"," ")</f>
        <v/>
      </c>
      <c r="K309" t="str">
        <f>TRIM(IF(LEN(Taostats_CSV!I309)&gt;0,Taostats_CSV!I309,""))</f>
        <v/>
      </c>
      <c r="L309">
        <f ca="1">IF(Taostats_CSV!E309&lt;&gt;"TAO",IF(LEN(F309)&gt;0,F309,IF(LEN(D309)&gt;0,D309,0))*Taostats_CSV!P309,"")</f>
        <v>18.655172484448681</v>
      </c>
      <c r="M309" t="str">
        <f t="shared" ca="1" si="39"/>
        <v>USD</v>
      </c>
      <c r="N309">
        <f>COUNTIF(Taostats_CSV!$X:$X,Taostats_CSV!$I309&amp;N$1)</f>
        <v>0</v>
      </c>
      <c r="O309">
        <f>COUNTIF(Taostats_CSV!$X:$X,Taostats_CSV!$I309&amp;O$1)</f>
        <v>0</v>
      </c>
      <c r="P309">
        <f>COUNTIF(Taostats_CSV!$X:$X,Taostats_CSV!$I309&amp;P$1)</f>
        <v>0</v>
      </c>
      <c r="Q309" t="b">
        <f t="shared" si="40"/>
        <v>0</v>
      </c>
      <c r="R309" t="b">
        <f>IF(LEN(K309)&gt;0,COUNTIF($K$3:K309,K309),FALSE)</f>
        <v>0</v>
      </c>
      <c r="S309" t="b">
        <f>IF(Taostats_CSV!A309=Taostats_CSV!$A$2,TRUE,Taostats_CSV!G309+Taostats_CSV!H309+Taostats_CSV!R309=0)</f>
        <v>0</v>
      </c>
      <c r="T309" t="b">
        <f t="shared" si="41"/>
        <v>1</v>
      </c>
      <c r="U309" t="b" cm="1">
        <f t="array" aca="1" ref="U309" ca="1">AND(T309,OR(O309-N309&gt;1,P309&gt;1,ISERROR(A309:P309)))</f>
        <v>0</v>
      </c>
      <c r="W309" t="e">
        <f>MATCH(K309&amp;$W$2,Taostats_CSV!$X$3:$X$1167,0)</f>
        <v>#N/A</v>
      </c>
      <c r="X309" t="e">
        <f t="shared" ca="1" si="36"/>
        <v>#VALUE!</v>
      </c>
      <c r="Y309">
        <f t="shared" ca="1" si="37"/>
        <v>0.430776987</v>
      </c>
      <c r="Z309" t="e">
        <f t="shared" ca="1" si="38"/>
        <v>#VALUE!</v>
      </c>
    </row>
    <row r="310" spans="1:26" x14ac:dyDescent="0.4">
      <c r="A310" t="str">
        <f>MID(Taostats_CSV!C310,6,2)&amp;"/"&amp;MID(Taostats_CSV!C310,9,2)&amp;"/"&amp;LEFT(Taostats_CSV!C310,4)&amp;" "&amp;MID(Taostats_CSV!C310,12,8)</f>
        <v>05/13/2025 23:59:48</v>
      </c>
      <c r="C310" t="str">
        <f ca="1">IF(Q310,OFFSET(Taostats_CSV!$E$1,MATCH(K310&amp;D$1,Taostats_CSV!$X:$X,0)-1,0),IF(Taostats_CSV!F310="fee",IF(VALUE(Taostats_CSV!G310)&gt;0,Taostats_CSV!E310,""),""))</f>
        <v/>
      </c>
      <c r="D310" t="str">
        <f ca="1">IF(Q310,OFFSET(Taostats_CSV!$G$1,MATCH(K310&amp;D$1,Taostats_CSV!$X:$X,0)-1,0),IF(Taostats_CSV!F310="fee",IF(VALUE(Taostats_CSV!G310)&gt;0,Taostats_CSV!G310,""),""))</f>
        <v/>
      </c>
      <c r="E310" t="str">
        <f ca="1">IF(AND(Q310,P310&gt;0),OFFSET(Taostats_CSV!$E$1,MATCH(K310&amp;F$1,Taostats_CSV!$X:$X,0)-1,0),IF(LEN(F310)&gt;0,Taostats_CSV!E310,""))</f>
        <v>SN4</v>
      </c>
      <c r="F310" t="str">
        <f ca="1">TRIM(IF(AND(Q310,P310&gt;0),OFFSET(Taostats_CSV!$H$1,MATCH(K310&amp;F$1,Taostats_CSV!$X:$X,0)-1,0),IF(LEN(Taostats_CSV!H310)&gt;0,Taostats_CSV!H310,Taostats_CSV!R310)))</f>
        <v>0.396675681</v>
      </c>
      <c r="G310" t="str">
        <f ca="1">IF(AND(Q310,N310=1),OFFSET(Taostats_CSV!$E$1,MATCH(K310&amp;H$1,Taostats_CSV!$X:$X,0)-1,0),"")</f>
        <v/>
      </c>
      <c r="H310" t="str">
        <f ca="1">IF(AND(Q310,N310=1),OFFSET(Taostats_CSV!$G$1,MATCH(K310&amp;H$1,Taostats_CSV!$X:$X,0)-1,0),"")</f>
        <v/>
      </c>
      <c r="I310" t="str">
        <f ca="1">IF(AND(LEN(K310)=0,LEN(F310)&gt;0),"Income",IF(AND(O310&gt;0,P310&gt;0,C310&lt;&gt;E310),"Trade",IF(AND(NOT(Q310),Taostats_CSV!F310="fee"),'READ ME'!$C$5,"")))</f>
        <v>Income</v>
      </c>
      <c r="J310" t="str">
        <f ca="1">SUBSTITUTE(IF(LEN(I310)=0,Taostats_CSV!F310&amp;" "&amp;Taostats_CSV!J310,IF(I310="Cost","Extrinsic fee","")),"_"," ")</f>
        <v/>
      </c>
      <c r="K310" t="str">
        <f>TRIM(IF(LEN(Taostats_CSV!I310)&gt;0,Taostats_CSV!I310,""))</f>
        <v/>
      </c>
      <c r="L310">
        <f ca="1">IF(Taostats_CSV!E310&lt;&gt;"TAO",IF(LEN(F310)&gt;0,F310,IF(LEN(D310)&gt;0,D310,0))*Taostats_CSV!P310,"")</f>
        <v>21.337779088657516</v>
      </c>
      <c r="M310" t="str">
        <f t="shared" ca="1" si="39"/>
        <v>USD</v>
      </c>
      <c r="N310">
        <f>COUNTIF(Taostats_CSV!$X:$X,Taostats_CSV!$I310&amp;N$1)</f>
        <v>0</v>
      </c>
      <c r="O310">
        <f>COUNTIF(Taostats_CSV!$X:$X,Taostats_CSV!$I310&amp;O$1)</f>
        <v>0</v>
      </c>
      <c r="P310">
        <f>COUNTIF(Taostats_CSV!$X:$X,Taostats_CSV!$I310&amp;P$1)</f>
        <v>0</v>
      </c>
      <c r="Q310" t="b">
        <f t="shared" si="40"/>
        <v>0</v>
      </c>
      <c r="R310" t="b">
        <f>IF(LEN(K310)&gt;0,COUNTIF($K$3:K310,K310),FALSE)</f>
        <v>0</v>
      </c>
      <c r="S310" t="b">
        <f>IF(Taostats_CSV!A310=Taostats_CSV!$A$2,TRUE,Taostats_CSV!G310+Taostats_CSV!H310+Taostats_CSV!R310=0)</f>
        <v>0</v>
      </c>
      <c r="T310" t="b">
        <f t="shared" si="41"/>
        <v>1</v>
      </c>
      <c r="U310" t="b" cm="1">
        <f t="array" aca="1" ref="U310" ca="1">AND(T310,OR(O310-N310&gt;1,P310&gt;1,ISERROR(A310:P310)))</f>
        <v>0</v>
      </c>
      <c r="W310" t="e">
        <f>MATCH(K310&amp;$W$2,Taostats_CSV!$X$3:$X$1167,0)</f>
        <v>#N/A</v>
      </c>
      <c r="X310" t="e">
        <f t="shared" ca="1" si="36"/>
        <v>#VALUE!</v>
      </c>
      <c r="Y310">
        <f t="shared" ca="1" si="37"/>
        <v>0.396675681</v>
      </c>
      <c r="Z310" t="e">
        <f t="shared" ca="1" si="38"/>
        <v>#VALUE!</v>
      </c>
    </row>
    <row r="311" spans="1:26" x14ac:dyDescent="0.4">
      <c r="A311" t="str">
        <f>MID(Taostats_CSV!C311,6,2)&amp;"/"&amp;MID(Taostats_CSV!C311,9,2)&amp;"/"&amp;LEFT(Taostats_CSV!C311,4)&amp;" "&amp;MID(Taostats_CSV!C311,12,8)</f>
        <v>05/13/2025 23:59:48</v>
      </c>
      <c r="C311" t="str">
        <f ca="1">IF(Q311,OFFSET(Taostats_CSV!$E$1,MATCH(K311&amp;D$1,Taostats_CSV!$X:$X,0)-1,0),IF(Taostats_CSV!F311="fee",IF(VALUE(Taostats_CSV!G311)&gt;0,Taostats_CSV!E311,""),""))</f>
        <v/>
      </c>
      <c r="D311" t="str">
        <f ca="1">IF(Q311,OFFSET(Taostats_CSV!$G$1,MATCH(K311&amp;D$1,Taostats_CSV!$X:$X,0)-1,0),IF(Taostats_CSV!F311="fee",IF(VALUE(Taostats_CSV!G311)&gt;0,Taostats_CSV!G311,""),""))</f>
        <v/>
      </c>
      <c r="E311" t="str">
        <f ca="1">IF(AND(Q311,P311&gt;0),OFFSET(Taostats_CSV!$E$1,MATCH(K311&amp;F$1,Taostats_CSV!$X:$X,0)-1,0),IF(LEN(F311)&gt;0,Taostats_CSV!E311,""))</f>
        <v>SN56</v>
      </c>
      <c r="F311" t="str">
        <f ca="1">TRIM(IF(AND(Q311,P311&gt;0),OFFSET(Taostats_CSV!$H$1,MATCH(K311&amp;F$1,Taostats_CSV!$X:$X,0)-1,0),IF(LEN(Taostats_CSV!H311)&gt;0,Taostats_CSV!H311,Taostats_CSV!R311)))</f>
        <v>0.248365153</v>
      </c>
      <c r="G311" t="str">
        <f ca="1">IF(AND(Q311,N311=1),OFFSET(Taostats_CSV!$E$1,MATCH(K311&amp;H$1,Taostats_CSV!$X:$X,0)-1,0),"")</f>
        <v/>
      </c>
      <c r="H311" t="str">
        <f ca="1">IF(AND(Q311,N311=1),OFFSET(Taostats_CSV!$G$1,MATCH(K311&amp;H$1,Taostats_CSV!$X:$X,0)-1,0),"")</f>
        <v/>
      </c>
      <c r="I311" t="str">
        <f ca="1">IF(AND(LEN(K311)=0,LEN(F311)&gt;0),"Income",IF(AND(O311&gt;0,P311&gt;0,C311&lt;&gt;E311),"Trade",IF(AND(NOT(Q311),Taostats_CSV!F311="fee"),'READ ME'!$C$5,"")))</f>
        <v>Income</v>
      </c>
      <c r="J311" t="str">
        <f ca="1">SUBSTITUTE(IF(LEN(I311)=0,Taostats_CSV!F311&amp;" "&amp;Taostats_CSV!J311,IF(I311="Cost","Extrinsic fee","")),"_"," ")</f>
        <v/>
      </c>
      <c r="K311" t="str">
        <f>TRIM(IF(LEN(Taostats_CSV!I311)&gt;0,Taostats_CSV!I311,""))</f>
        <v/>
      </c>
      <c r="L311">
        <f ca="1">IF(Taostats_CSV!E311&lt;&gt;"TAO",IF(LEN(F311)&gt;0,F311,IF(LEN(D311)&gt;0,D311,0))*Taostats_CSV!P311,"")</f>
        <v>12.158872822166797</v>
      </c>
      <c r="M311" t="str">
        <f t="shared" ca="1" si="39"/>
        <v>USD</v>
      </c>
      <c r="N311">
        <f>COUNTIF(Taostats_CSV!$X:$X,Taostats_CSV!$I311&amp;N$1)</f>
        <v>0</v>
      </c>
      <c r="O311">
        <f>COUNTIF(Taostats_CSV!$X:$X,Taostats_CSV!$I311&amp;O$1)</f>
        <v>0</v>
      </c>
      <c r="P311">
        <f>COUNTIF(Taostats_CSV!$X:$X,Taostats_CSV!$I311&amp;P$1)</f>
        <v>0</v>
      </c>
      <c r="Q311" t="b">
        <f t="shared" si="40"/>
        <v>0</v>
      </c>
      <c r="R311" t="b">
        <f>IF(LEN(K311)&gt;0,COUNTIF($K$3:K311,K311),FALSE)</f>
        <v>0</v>
      </c>
      <c r="S311" t="b">
        <f>IF(Taostats_CSV!A311=Taostats_CSV!$A$2,TRUE,Taostats_CSV!G311+Taostats_CSV!H311+Taostats_CSV!R311=0)</f>
        <v>0</v>
      </c>
      <c r="T311" t="b">
        <f t="shared" si="41"/>
        <v>1</v>
      </c>
      <c r="U311" t="b" cm="1">
        <f t="array" aca="1" ref="U311" ca="1">AND(T311,OR(O311-N311&gt;1,P311&gt;1,ISERROR(A311:P311)))</f>
        <v>0</v>
      </c>
      <c r="W311" t="e">
        <f>MATCH(K311&amp;$W$2,Taostats_CSV!$X$3:$X$1167,0)</f>
        <v>#N/A</v>
      </c>
      <c r="X311" t="e">
        <f t="shared" ca="1" si="36"/>
        <v>#VALUE!</v>
      </c>
      <c r="Y311">
        <f t="shared" ca="1" si="37"/>
        <v>0.24836515300000001</v>
      </c>
      <c r="Z311" t="e">
        <f t="shared" ca="1" si="38"/>
        <v>#VALUE!</v>
      </c>
    </row>
    <row r="312" spans="1:26" x14ac:dyDescent="0.4">
      <c r="A312" t="str">
        <f>MID(Taostats_CSV!C312,6,2)&amp;"/"&amp;MID(Taostats_CSV!C312,9,2)&amp;"/"&amp;LEFT(Taostats_CSV!C312,4)&amp;" "&amp;MID(Taostats_CSV!C312,12,8)</f>
        <v>05/13/2025 23:59:48</v>
      </c>
      <c r="C312" t="str">
        <f ca="1">IF(Q312,OFFSET(Taostats_CSV!$E$1,MATCH(K312&amp;D$1,Taostats_CSV!$X:$X,0)-1,0),IF(Taostats_CSV!F312="fee",IF(VALUE(Taostats_CSV!G312)&gt;0,Taostats_CSV!E312,""),""))</f>
        <v/>
      </c>
      <c r="D312" t="str">
        <f ca="1">IF(Q312,OFFSET(Taostats_CSV!$G$1,MATCH(K312&amp;D$1,Taostats_CSV!$X:$X,0)-1,0),IF(Taostats_CSV!F312="fee",IF(VALUE(Taostats_CSV!G312)&gt;0,Taostats_CSV!G312,""),""))</f>
        <v/>
      </c>
      <c r="E312" t="str">
        <f ca="1">IF(AND(Q312,P312&gt;0),OFFSET(Taostats_CSV!$E$1,MATCH(K312&amp;F$1,Taostats_CSV!$X:$X,0)-1,0),IF(LEN(F312)&gt;0,Taostats_CSV!E312,""))</f>
        <v>SN64</v>
      </c>
      <c r="F312" t="str">
        <f ca="1">TRIM(IF(AND(Q312,P312&gt;0),OFFSET(Taostats_CSV!$H$1,MATCH(K312&amp;F$1,Taostats_CSV!$X:$X,0)-1,0),IF(LEN(Taostats_CSV!H312)&gt;0,Taostats_CSV!H312,Taostats_CSV!R312)))</f>
        <v>0.14878295</v>
      </c>
      <c r="G312" t="str">
        <f ca="1">IF(AND(Q312,N312=1),OFFSET(Taostats_CSV!$E$1,MATCH(K312&amp;H$1,Taostats_CSV!$X:$X,0)-1,0),"")</f>
        <v/>
      </c>
      <c r="H312" t="str">
        <f ca="1">IF(AND(Q312,N312=1),OFFSET(Taostats_CSV!$G$1,MATCH(K312&amp;H$1,Taostats_CSV!$X:$X,0)-1,0),"")</f>
        <v/>
      </c>
      <c r="I312" t="str">
        <f ca="1">IF(AND(LEN(K312)=0,LEN(F312)&gt;0),"Income",IF(AND(O312&gt;0,P312&gt;0,C312&lt;&gt;E312),"Trade",IF(AND(NOT(Q312),Taostats_CSV!F312="fee"),'READ ME'!$C$5,"")))</f>
        <v>Income</v>
      </c>
      <c r="J312" t="str">
        <f ca="1">SUBSTITUTE(IF(LEN(I312)=0,Taostats_CSV!F312&amp;" "&amp;Taostats_CSV!J312,IF(I312="Cost","Extrinsic fee","")),"_"," ")</f>
        <v/>
      </c>
      <c r="K312" t="str">
        <f>TRIM(IF(LEN(Taostats_CSV!I312)&gt;0,Taostats_CSV!I312,""))</f>
        <v/>
      </c>
      <c r="L312">
        <f ca="1">IF(Taostats_CSV!E312&lt;&gt;"TAO",IF(LEN(F312)&gt;0,F312,IF(LEN(D312)&gt;0,D312,0))*Taostats_CSV!P312,"")</f>
        <v>16.178394228298849</v>
      </c>
      <c r="M312" t="str">
        <f t="shared" ca="1" si="39"/>
        <v>USD</v>
      </c>
      <c r="N312">
        <f>COUNTIF(Taostats_CSV!$X:$X,Taostats_CSV!$I312&amp;N$1)</f>
        <v>0</v>
      </c>
      <c r="O312">
        <f>COUNTIF(Taostats_CSV!$X:$X,Taostats_CSV!$I312&amp;O$1)</f>
        <v>0</v>
      </c>
      <c r="P312">
        <f>COUNTIF(Taostats_CSV!$X:$X,Taostats_CSV!$I312&amp;P$1)</f>
        <v>0</v>
      </c>
      <c r="Q312" t="b">
        <f t="shared" si="40"/>
        <v>0</v>
      </c>
      <c r="R312" t="b">
        <f>IF(LEN(K312)&gt;0,COUNTIF($K$3:K312,K312),FALSE)</f>
        <v>0</v>
      </c>
      <c r="S312" t="b">
        <f>IF(Taostats_CSV!A312=Taostats_CSV!$A$2,TRUE,Taostats_CSV!G312+Taostats_CSV!H312+Taostats_CSV!R312=0)</f>
        <v>0</v>
      </c>
      <c r="T312" t="b">
        <f t="shared" si="41"/>
        <v>1</v>
      </c>
      <c r="U312" t="b" cm="1">
        <f t="array" aca="1" ref="U312" ca="1">AND(T312,OR(O312-N312&gt;1,P312&gt;1,ISERROR(A312:P312)))</f>
        <v>0</v>
      </c>
      <c r="W312" t="e">
        <f>MATCH(K312&amp;$W$2,Taostats_CSV!$X$3:$X$1167,0)</f>
        <v>#N/A</v>
      </c>
      <c r="X312" t="e">
        <f t="shared" ca="1" si="36"/>
        <v>#VALUE!</v>
      </c>
      <c r="Y312">
        <f t="shared" ca="1" si="37"/>
        <v>0.14878295</v>
      </c>
      <c r="Z312" t="e">
        <f t="shared" ca="1" si="38"/>
        <v>#VALUE!</v>
      </c>
    </row>
    <row r="313" spans="1:26" hidden="1" x14ac:dyDescent="0.4">
      <c r="A313" t="str">
        <f>MID(Taostats_CSV!C313,6,2)&amp;"/"&amp;MID(Taostats_CSV!C313,9,2)&amp;"/"&amp;LEFT(Taostats_CSV!C313,4)&amp;" "&amp;MID(Taostats_CSV!C313,12,8)</f>
        <v>05/13/2025 23:59:48</v>
      </c>
      <c r="C313" t="str">
        <f ca="1">IF(Q313,OFFSET(Taostats_CSV!$E$1,MATCH(K313&amp;D$1,Taostats_CSV!$X:$X,0)-1,0),IF(Taostats_CSV!F313="fee","",IF(VALUE(Taostats_CSV!G313)&gt;0,Taostats_CSV!E313,"")))</f>
        <v/>
      </c>
      <c r="D313" t="str">
        <f ca="1">IF(Q313,OFFSET(Taostats_CSV!$G$1,MATCH(K313&amp;D$1,Taostats_CSV!$X:$X,0)-1,0),IF(Taostats_CSV!F313="fee","",IF(VALUE(Taostats_CSV!G313)&gt;0,Taostats_CSV!G313,"")))</f>
        <v/>
      </c>
      <c r="E313" t="str">
        <f ca="1">IF(AND(Q313,P313&gt;0),OFFSET(Taostats_CSV!$E$1,MATCH(K313&amp;F$1,Taostats_CSV!$X:$X,0)-1,0),IF(LEN(F313)&gt;0,Taostats_CSV!E313,""))</f>
        <v>TAO</v>
      </c>
      <c r="F313" t="str">
        <f ca="1">TRIM(IF(AND(Q313,P313&gt;0),OFFSET(Taostats_CSV!$H$1,MATCH(K313&amp;F$1,Taostats_CSV!$X:$X,0)-1,0),IF(LEN(Taostats_CSV!H313)&gt;0,Taostats_CSV!H313,Taostats_CSV!R313)))</f>
        <v>0</v>
      </c>
      <c r="G313" t="str">
        <f ca="1">IF(AND(Q313,N313=1),OFFSET(Taostats_CSV!$E$1,MATCH(K313&amp;H$1,Taostats_CSV!$X:$X,0)-1,0),IF(Taostats_CSV!F313="fee",Taostats_CSV!E313,""))</f>
        <v/>
      </c>
      <c r="H313" t="str">
        <f ca="1">IF(AND(Q313,N313=1),OFFSET(Taostats_CSV!$G$1,MATCH(K313&amp;H$1,Taostats_CSV!$X:$X,0)-1,0),IF(Taostats_CSV!F313="fee",Taostats_CSV!G313,""))</f>
        <v/>
      </c>
      <c r="I313" t="str">
        <f ca="1">IF(AND(LEN(K313)=0,LEN(F313)&gt;0),"Income",IF(AND(O313&gt;0,P313&gt;0,C313&lt;&gt;E313),"Trade",IF(AND(NOT(Q313),Taostats_CSV!F313="fee"),'READ ME'!$C$5,"")))</f>
        <v>Income</v>
      </c>
      <c r="J313" t="str">
        <f ca="1">SUBSTITUTE(IF(LEN(I313)=0,Taostats_CSV!F313&amp;" "&amp;Taostats_CSV!J313,IF(I313="Cost","Extrinsic fee","")),"_"," ")</f>
        <v/>
      </c>
      <c r="K313" t="str">
        <f>TRIM(IF(LEN(Taostats_CSV!I313)&gt;0,Taostats_CSV!I313,""))</f>
        <v/>
      </c>
      <c r="L313" t="str">
        <f>IF(Taostats_CSV!E313&lt;&gt;"TAO",IF(LEN(F313)&gt;0,F313,IF(LEN(D313)&gt;0,D313,0))*Taostats_CSV!P313,"")</f>
        <v/>
      </c>
      <c r="M313" t="str">
        <f t="shared" si="39"/>
        <v/>
      </c>
      <c r="N313">
        <f>COUNTIF(Taostats_CSV!$X:$X,Taostats_CSV!$I313&amp;N$1)</f>
        <v>0</v>
      </c>
      <c r="O313">
        <f>COUNTIF(Taostats_CSV!$X:$X,Taostats_CSV!$I313&amp;O$1)</f>
        <v>0</v>
      </c>
      <c r="P313">
        <f>COUNTIF(Taostats_CSV!$X:$X,Taostats_CSV!$I313&amp;P$1)</f>
        <v>0</v>
      </c>
      <c r="Q313" t="b">
        <f t="shared" si="40"/>
        <v>0</v>
      </c>
      <c r="R313" t="b">
        <f>IF(LEN(K313)&gt;0,COUNTIF($K$3:K313,K313),FALSE)</f>
        <v>0</v>
      </c>
      <c r="S313" t="b">
        <f>IF(Taostats_CSV!A313=Taostats_CSV!$A$2,TRUE,Taostats_CSV!G313+Taostats_CSV!H313+Taostats_CSV!R313=0)</f>
        <v>1</v>
      </c>
      <c r="T313" t="b">
        <f t="shared" si="41"/>
        <v>0</v>
      </c>
      <c r="U313" t="b" cm="1">
        <f t="array" aca="1" ref="U313" ca="1">AND(T313,OR(O313-N313&gt;1,P313&gt;1,ISERROR(A313:P313)))</f>
        <v>0</v>
      </c>
      <c r="W313" t="e">
        <f>MATCH(K313&amp;$W$2,Taostats_CSV!$X$3:$X$1167,0)</f>
        <v>#N/A</v>
      </c>
      <c r="X313" t="e">
        <f t="shared" ca="1" si="36"/>
        <v>#VALUE!</v>
      </c>
      <c r="Y313">
        <f t="shared" ca="1" si="37"/>
        <v>0</v>
      </c>
      <c r="Z313" t="e">
        <f t="shared" ca="1" si="38"/>
        <v>#VALUE!</v>
      </c>
    </row>
    <row r="314" spans="1:26" x14ac:dyDescent="0.4">
      <c r="A314" t="str">
        <f>MID(Taostats_CSV!C314,6,2)&amp;"/"&amp;MID(Taostats_CSV!C314,9,2)&amp;"/"&amp;LEFT(Taostats_CSV!C314,4)&amp;" "&amp;MID(Taostats_CSV!C314,12,8)</f>
        <v>05/14/2025 23:59:48</v>
      </c>
      <c r="C314" t="str">
        <f ca="1">IF(Q314,OFFSET(Taostats_CSV!$E$1,MATCH(K314&amp;D$1,Taostats_CSV!$X:$X,0)-1,0),IF(Taostats_CSV!F314="fee",IF(VALUE(Taostats_CSV!G314)&gt;0,Taostats_CSV!E314,""),""))</f>
        <v/>
      </c>
      <c r="D314" t="str">
        <f ca="1">IF(Q314,OFFSET(Taostats_CSV!$G$1,MATCH(K314&amp;D$1,Taostats_CSV!$X:$X,0)-1,0),IF(Taostats_CSV!F314="fee",IF(VALUE(Taostats_CSV!G314)&gt;0,Taostats_CSV!G314,""),""))</f>
        <v/>
      </c>
      <c r="E314" t="str">
        <f ca="1">IF(AND(Q314,P314&gt;0),OFFSET(Taostats_CSV!$E$1,MATCH(K314&amp;F$1,Taostats_CSV!$X:$X,0)-1,0),IF(LEN(F314)&gt;0,Taostats_CSV!E314,""))</f>
        <v>SN3</v>
      </c>
      <c r="F314" t="str">
        <f ca="1">TRIM(IF(AND(Q314,P314&gt;0),OFFSET(Taostats_CSV!$H$1,MATCH(K314&amp;F$1,Taostats_CSV!$X:$X,0)-1,0),IF(LEN(Taostats_CSV!H314)&gt;0,Taostats_CSV!H314,Taostats_CSV!R314)))</f>
        <v>0.425187196</v>
      </c>
      <c r="G314" t="str">
        <f ca="1">IF(AND(Q314,N314=1),OFFSET(Taostats_CSV!$E$1,MATCH(K314&amp;H$1,Taostats_CSV!$X:$X,0)-1,0),"")</f>
        <v/>
      </c>
      <c r="H314" t="str">
        <f ca="1">IF(AND(Q314,N314=1),OFFSET(Taostats_CSV!$G$1,MATCH(K314&amp;H$1,Taostats_CSV!$X:$X,0)-1,0),"")</f>
        <v/>
      </c>
      <c r="I314" t="str">
        <f ca="1">IF(AND(LEN(K314)=0,LEN(F314)&gt;0),"Income",IF(AND(O314&gt;0,P314&gt;0,C314&lt;&gt;E314),"Trade",IF(AND(NOT(Q314),Taostats_CSV!F314="fee"),'READ ME'!$C$5,"")))</f>
        <v>Income</v>
      </c>
      <c r="J314" t="str">
        <f ca="1">SUBSTITUTE(IF(LEN(I314)=0,Taostats_CSV!F314&amp;" "&amp;Taostats_CSV!J314,IF(I314="Cost","Extrinsic fee","")),"_"," ")</f>
        <v/>
      </c>
      <c r="K314" t="str">
        <f>TRIM(IF(LEN(Taostats_CSV!I314)&gt;0,Taostats_CSV!I314,""))</f>
        <v/>
      </c>
      <c r="L314">
        <f ca="1">IF(Taostats_CSV!E314&lt;&gt;"TAO",IF(LEN(F314)&gt;0,F314,IF(LEN(D314)&gt;0,D314,0))*Taostats_CSV!P314,"")</f>
        <v>15.707199101552945</v>
      </c>
      <c r="M314" t="str">
        <f t="shared" ca="1" si="39"/>
        <v>USD</v>
      </c>
      <c r="N314">
        <f>COUNTIF(Taostats_CSV!$X:$X,Taostats_CSV!$I314&amp;N$1)</f>
        <v>0</v>
      </c>
      <c r="O314">
        <f>COUNTIF(Taostats_CSV!$X:$X,Taostats_CSV!$I314&amp;O$1)</f>
        <v>0</v>
      </c>
      <c r="P314">
        <f>COUNTIF(Taostats_CSV!$X:$X,Taostats_CSV!$I314&amp;P$1)</f>
        <v>0</v>
      </c>
      <c r="Q314" t="b">
        <f t="shared" si="40"/>
        <v>0</v>
      </c>
      <c r="R314" t="b">
        <f>IF(LEN(K314)&gt;0,COUNTIF($K$3:K314,K314),FALSE)</f>
        <v>0</v>
      </c>
      <c r="S314" t="b">
        <f>IF(Taostats_CSV!A314=Taostats_CSV!$A$2,TRUE,Taostats_CSV!G314+Taostats_CSV!H314+Taostats_CSV!R314=0)</f>
        <v>0</v>
      </c>
      <c r="T314" t="b">
        <f t="shared" si="41"/>
        <v>1</v>
      </c>
      <c r="U314" t="b" cm="1">
        <f t="array" aca="1" ref="U314" ca="1">AND(T314,OR(O314-N314&gt;1,P314&gt;1,ISERROR(A314:P314)))</f>
        <v>0</v>
      </c>
      <c r="W314" t="e">
        <f>MATCH(K314&amp;$W$2,Taostats_CSV!$X$3:$X$1167,0)</f>
        <v>#N/A</v>
      </c>
      <c r="X314" t="e">
        <f t="shared" ca="1" si="36"/>
        <v>#VALUE!</v>
      </c>
      <c r="Y314">
        <f t="shared" ca="1" si="37"/>
        <v>0.42518719599999999</v>
      </c>
      <c r="Z314" t="e">
        <f t="shared" ca="1" si="38"/>
        <v>#VALUE!</v>
      </c>
    </row>
    <row r="315" spans="1:26" x14ac:dyDescent="0.4">
      <c r="A315" t="str">
        <f>MID(Taostats_CSV!C315,6,2)&amp;"/"&amp;MID(Taostats_CSV!C315,9,2)&amp;"/"&amp;LEFT(Taostats_CSV!C315,4)&amp;" "&amp;MID(Taostats_CSV!C315,12,8)</f>
        <v>05/14/2025 23:59:48</v>
      </c>
      <c r="C315" t="str">
        <f ca="1">IF(Q315,OFFSET(Taostats_CSV!$E$1,MATCH(K315&amp;D$1,Taostats_CSV!$X:$X,0)-1,0),IF(Taostats_CSV!F315="fee",IF(VALUE(Taostats_CSV!G315)&gt;0,Taostats_CSV!E315,""),""))</f>
        <v/>
      </c>
      <c r="D315" t="str">
        <f ca="1">IF(Q315,OFFSET(Taostats_CSV!$G$1,MATCH(K315&amp;D$1,Taostats_CSV!$X:$X,0)-1,0),IF(Taostats_CSV!F315="fee",IF(VALUE(Taostats_CSV!G315)&gt;0,Taostats_CSV!G315,""),""))</f>
        <v/>
      </c>
      <c r="E315" t="str">
        <f ca="1">IF(AND(Q315,P315&gt;0),OFFSET(Taostats_CSV!$E$1,MATCH(K315&amp;F$1,Taostats_CSV!$X:$X,0)-1,0),IF(LEN(F315)&gt;0,Taostats_CSV!E315,""))</f>
        <v>SN4</v>
      </c>
      <c r="F315" t="str">
        <f ca="1">TRIM(IF(AND(Q315,P315&gt;0),OFFSET(Taostats_CSV!$H$1,MATCH(K315&amp;F$1,Taostats_CSV!$X:$X,0)-1,0),IF(LEN(Taostats_CSV!H315)&gt;0,Taostats_CSV!H315,Taostats_CSV!R315)))</f>
        <v>0.397639228</v>
      </c>
      <c r="G315" t="str">
        <f ca="1">IF(AND(Q315,N315=1),OFFSET(Taostats_CSV!$E$1,MATCH(K315&amp;H$1,Taostats_CSV!$X:$X,0)-1,0),"")</f>
        <v/>
      </c>
      <c r="H315" t="str">
        <f ca="1">IF(AND(Q315,N315=1),OFFSET(Taostats_CSV!$G$1,MATCH(K315&amp;H$1,Taostats_CSV!$X:$X,0)-1,0),"")</f>
        <v/>
      </c>
      <c r="I315" t="str">
        <f ca="1">IF(AND(LEN(K315)=0,LEN(F315)&gt;0),"Income",IF(AND(O315&gt;0,P315&gt;0,C315&lt;&gt;E315),"Trade",IF(AND(NOT(Q315),Taostats_CSV!F315="fee"),'READ ME'!$C$5,"")))</f>
        <v>Income</v>
      </c>
      <c r="J315" t="str">
        <f ca="1">SUBSTITUTE(IF(LEN(I315)=0,Taostats_CSV!F315&amp;" "&amp;Taostats_CSV!J315,IF(I315="Cost","Extrinsic fee","")),"_"," ")</f>
        <v/>
      </c>
      <c r="K315" t="str">
        <f>TRIM(IF(LEN(Taostats_CSV!I315)&gt;0,Taostats_CSV!I315,""))</f>
        <v/>
      </c>
      <c r="L315">
        <f ca="1">IF(Taostats_CSV!E315&lt;&gt;"TAO",IF(LEN(F315)&gt;0,F315,IF(LEN(D315)&gt;0,D315,0))*Taostats_CSV!P315,"")</f>
        <v>20.718993439193373</v>
      </c>
      <c r="M315" t="str">
        <f t="shared" ca="1" si="39"/>
        <v>USD</v>
      </c>
      <c r="N315">
        <f>COUNTIF(Taostats_CSV!$X:$X,Taostats_CSV!$I315&amp;N$1)</f>
        <v>0</v>
      </c>
      <c r="O315">
        <f>COUNTIF(Taostats_CSV!$X:$X,Taostats_CSV!$I315&amp;O$1)</f>
        <v>0</v>
      </c>
      <c r="P315">
        <f>COUNTIF(Taostats_CSV!$X:$X,Taostats_CSV!$I315&amp;P$1)</f>
        <v>0</v>
      </c>
      <c r="Q315" t="b">
        <f t="shared" si="40"/>
        <v>0</v>
      </c>
      <c r="R315" t="b">
        <f>IF(LEN(K315)&gt;0,COUNTIF($K$3:K315,K315),FALSE)</f>
        <v>0</v>
      </c>
      <c r="S315" t="b">
        <f>IF(Taostats_CSV!A315=Taostats_CSV!$A$2,TRUE,Taostats_CSV!G315+Taostats_CSV!H315+Taostats_CSV!R315=0)</f>
        <v>0</v>
      </c>
      <c r="T315" t="b">
        <f t="shared" si="41"/>
        <v>1</v>
      </c>
      <c r="U315" t="b" cm="1">
        <f t="array" aca="1" ref="U315" ca="1">AND(T315,OR(O315-N315&gt;1,P315&gt;1,ISERROR(A315:P315)))</f>
        <v>0</v>
      </c>
      <c r="W315" t="e">
        <f>MATCH(K315&amp;$W$2,Taostats_CSV!$X$3:$X$1167,0)</f>
        <v>#N/A</v>
      </c>
      <c r="X315" t="e">
        <f t="shared" ca="1" si="36"/>
        <v>#VALUE!</v>
      </c>
      <c r="Y315">
        <f t="shared" ca="1" si="37"/>
        <v>0.39763922800000001</v>
      </c>
      <c r="Z315" t="e">
        <f t="shared" ca="1" si="38"/>
        <v>#VALUE!</v>
      </c>
    </row>
    <row r="316" spans="1:26" x14ac:dyDescent="0.4">
      <c r="A316" t="str">
        <f>MID(Taostats_CSV!C316,6,2)&amp;"/"&amp;MID(Taostats_CSV!C316,9,2)&amp;"/"&amp;LEFT(Taostats_CSV!C316,4)&amp;" "&amp;MID(Taostats_CSV!C316,12,8)</f>
        <v>05/14/2025 23:59:48</v>
      </c>
      <c r="C316" t="str">
        <f ca="1">IF(Q316,OFFSET(Taostats_CSV!$E$1,MATCH(K316&amp;D$1,Taostats_CSV!$X:$X,0)-1,0),IF(Taostats_CSV!F316="fee",IF(VALUE(Taostats_CSV!G316)&gt;0,Taostats_CSV!E316,""),""))</f>
        <v/>
      </c>
      <c r="D316" t="str">
        <f ca="1">IF(Q316,OFFSET(Taostats_CSV!$G$1,MATCH(K316&amp;D$1,Taostats_CSV!$X:$X,0)-1,0),IF(Taostats_CSV!F316="fee",IF(VALUE(Taostats_CSV!G316)&gt;0,Taostats_CSV!G316,""),""))</f>
        <v/>
      </c>
      <c r="E316" t="str">
        <f ca="1">IF(AND(Q316,P316&gt;0),OFFSET(Taostats_CSV!$E$1,MATCH(K316&amp;F$1,Taostats_CSV!$X:$X,0)-1,0),IF(LEN(F316)&gt;0,Taostats_CSV!E316,""))</f>
        <v>SN56</v>
      </c>
      <c r="F316" t="str">
        <f ca="1">TRIM(IF(AND(Q316,P316&gt;0),OFFSET(Taostats_CSV!$H$1,MATCH(K316&amp;F$1,Taostats_CSV!$X:$X,0)-1,0),IF(LEN(Taostats_CSV!H316)&gt;0,Taostats_CSV!H316,Taostats_CSV!R316)))</f>
        <v>0.246682596</v>
      </c>
      <c r="G316" t="str">
        <f ca="1">IF(AND(Q316,N316=1),OFFSET(Taostats_CSV!$E$1,MATCH(K316&amp;H$1,Taostats_CSV!$X:$X,0)-1,0),"")</f>
        <v/>
      </c>
      <c r="H316" t="str">
        <f ca="1">IF(AND(Q316,N316=1),OFFSET(Taostats_CSV!$G$1,MATCH(K316&amp;H$1,Taostats_CSV!$X:$X,0)-1,0),"")</f>
        <v/>
      </c>
      <c r="I316" t="str">
        <f ca="1">IF(AND(LEN(K316)=0,LEN(F316)&gt;0),"Income",IF(AND(O316&gt;0,P316&gt;0,C316&lt;&gt;E316),"Trade",IF(AND(NOT(Q316),Taostats_CSV!F316="fee"),'READ ME'!$C$5,"")))</f>
        <v>Income</v>
      </c>
      <c r="J316" t="str">
        <f ca="1">SUBSTITUTE(IF(LEN(I316)=0,Taostats_CSV!F316&amp;" "&amp;Taostats_CSV!J316,IF(I316="Cost","Extrinsic fee","")),"_"," ")</f>
        <v/>
      </c>
      <c r="K316" t="str">
        <f>TRIM(IF(LEN(Taostats_CSV!I316)&gt;0,Taostats_CSV!I316,""))</f>
        <v/>
      </c>
      <c r="L316">
        <f ca="1">IF(Taostats_CSV!E316&lt;&gt;"TAO",IF(LEN(F316)&gt;0,F316,IF(LEN(D316)&gt;0,D316,0))*Taostats_CSV!P316,"")</f>
        <v>11.259329071256239</v>
      </c>
      <c r="M316" t="str">
        <f t="shared" ca="1" si="39"/>
        <v>USD</v>
      </c>
      <c r="N316">
        <f>COUNTIF(Taostats_CSV!$X:$X,Taostats_CSV!$I316&amp;N$1)</f>
        <v>0</v>
      </c>
      <c r="O316">
        <f>COUNTIF(Taostats_CSV!$X:$X,Taostats_CSV!$I316&amp;O$1)</f>
        <v>0</v>
      </c>
      <c r="P316">
        <f>COUNTIF(Taostats_CSV!$X:$X,Taostats_CSV!$I316&amp;P$1)</f>
        <v>0</v>
      </c>
      <c r="Q316" t="b">
        <f t="shared" si="40"/>
        <v>0</v>
      </c>
      <c r="R316" t="b">
        <f>IF(LEN(K316)&gt;0,COUNTIF($K$3:K316,K316),FALSE)</f>
        <v>0</v>
      </c>
      <c r="S316" t="b">
        <f>IF(Taostats_CSV!A316=Taostats_CSV!$A$2,TRUE,Taostats_CSV!G316+Taostats_CSV!H316+Taostats_CSV!R316=0)</f>
        <v>0</v>
      </c>
      <c r="T316" t="b">
        <f t="shared" si="41"/>
        <v>1</v>
      </c>
      <c r="U316" t="b" cm="1">
        <f t="array" aca="1" ref="U316" ca="1">AND(T316,OR(O316-N316&gt;1,P316&gt;1,ISERROR(A316:P316)))</f>
        <v>0</v>
      </c>
      <c r="W316" t="e">
        <f>MATCH(K316&amp;$W$2,Taostats_CSV!$X$3:$X$1167,0)</f>
        <v>#N/A</v>
      </c>
      <c r="X316" t="e">
        <f t="shared" ca="1" si="36"/>
        <v>#VALUE!</v>
      </c>
      <c r="Y316">
        <f t="shared" ca="1" si="37"/>
        <v>0.246682596</v>
      </c>
      <c r="Z316" t="e">
        <f t="shared" ca="1" si="38"/>
        <v>#VALUE!</v>
      </c>
    </row>
    <row r="317" spans="1:26" x14ac:dyDescent="0.4">
      <c r="A317" t="str">
        <f>MID(Taostats_CSV!C317,6,2)&amp;"/"&amp;MID(Taostats_CSV!C317,9,2)&amp;"/"&amp;LEFT(Taostats_CSV!C317,4)&amp;" "&amp;MID(Taostats_CSV!C317,12,8)</f>
        <v>05/14/2025 23:59:48</v>
      </c>
      <c r="C317" t="str">
        <f ca="1">IF(Q317,OFFSET(Taostats_CSV!$E$1,MATCH(K317&amp;D$1,Taostats_CSV!$X:$X,0)-1,0),IF(Taostats_CSV!F317="fee",IF(VALUE(Taostats_CSV!G317)&gt;0,Taostats_CSV!E317,""),""))</f>
        <v/>
      </c>
      <c r="D317" t="str">
        <f ca="1">IF(Q317,OFFSET(Taostats_CSV!$G$1,MATCH(K317&amp;D$1,Taostats_CSV!$X:$X,0)-1,0),IF(Taostats_CSV!F317="fee",IF(VALUE(Taostats_CSV!G317)&gt;0,Taostats_CSV!G317,""),""))</f>
        <v/>
      </c>
      <c r="E317" t="str">
        <f ca="1">IF(AND(Q317,P317&gt;0),OFFSET(Taostats_CSV!$E$1,MATCH(K317&amp;F$1,Taostats_CSV!$X:$X,0)-1,0),IF(LEN(F317)&gt;0,Taostats_CSV!E317,""))</f>
        <v>SN64</v>
      </c>
      <c r="F317" t="str">
        <f ca="1">TRIM(IF(AND(Q317,P317&gt;0),OFFSET(Taostats_CSV!$H$1,MATCH(K317&amp;F$1,Taostats_CSV!$X:$X,0)-1,0),IF(LEN(Taostats_CSV!H317)&gt;0,Taostats_CSV!H317,Taostats_CSV!R317)))</f>
        <v>0.148874324</v>
      </c>
      <c r="G317" t="str">
        <f ca="1">IF(AND(Q317,N317=1),OFFSET(Taostats_CSV!$E$1,MATCH(K317&amp;H$1,Taostats_CSV!$X:$X,0)-1,0),"")</f>
        <v/>
      </c>
      <c r="H317" t="str">
        <f ca="1">IF(AND(Q317,N317=1),OFFSET(Taostats_CSV!$G$1,MATCH(K317&amp;H$1,Taostats_CSV!$X:$X,0)-1,0),"")</f>
        <v/>
      </c>
      <c r="I317" t="str">
        <f ca="1">IF(AND(LEN(K317)=0,LEN(F317)&gt;0),"Income",IF(AND(O317&gt;0,P317&gt;0,C317&lt;&gt;E317),"Trade",IF(AND(NOT(Q317),Taostats_CSV!F317="fee"),'READ ME'!$C$5,"")))</f>
        <v>Income</v>
      </c>
      <c r="J317" t="str">
        <f ca="1">SUBSTITUTE(IF(LEN(I317)=0,Taostats_CSV!F317&amp;" "&amp;Taostats_CSV!J317,IF(I317="Cost","Extrinsic fee","")),"_"," ")</f>
        <v/>
      </c>
      <c r="K317" t="str">
        <f>TRIM(IF(LEN(Taostats_CSV!I317)&gt;0,Taostats_CSV!I317,""))</f>
        <v/>
      </c>
      <c r="L317">
        <f ca="1">IF(Taostats_CSV!E317&lt;&gt;"TAO",IF(LEN(F317)&gt;0,F317,IF(LEN(D317)&gt;0,D317,0))*Taostats_CSV!P317,"")</f>
        <v>15.637834091517771</v>
      </c>
      <c r="M317" t="str">
        <f t="shared" ca="1" si="39"/>
        <v>USD</v>
      </c>
      <c r="N317">
        <f>COUNTIF(Taostats_CSV!$X:$X,Taostats_CSV!$I317&amp;N$1)</f>
        <v>0</v>
      </c>
      <c r="O317">
        <f>COUNTIF(Taostats_CSV!$X:$X,Taostats_CSV!$I317&amp;O$1)</f>
        <v>0</v>
      </c>
      <c r="P317">
        <f>COUNTIF(Taostats_CSV!$X:$X,Taostats_CSV!$I317&amp;P$1)</f>
        <v>0</v>
      </c>
      <c r="Q317" t="b">
        <f t="shared" si="40"/>
        <v>0</v>
      </c>
      <c r="R317" t="b">
        <f>IF(LEN(K317)&gt;0,COUNTIF($K$3:K317,K317),FALSE)</f>
        <v>0</v>
      </c>
      <c r="S317" t="b">
        <f>IF(Taostats_CSV!A317=Taostats_CSV!$A$2,TRUE,Taostats_CSV!G317+Taostats_CSV!H317+Taostats_CSV!R317=0)</f>
        <v>0</v>
      </c>
      <c r="T317" t="b">
        <f t="shared" si="41"/>
        <v>1</v>
      </c>
      <c r="U317" t="b" cm="1">
        <f t="array" aca="1" ref="U317" ca="1">AND(T317,OR(O317-N317&gt;1,P317&gt;1,ISERROR(A317:P317)))</f>
        <v>0</v>
      </c>
      <c r="W317" t="e">
        <f>MATCH(K317&amp;$W$2,Taostats_CSV!$X$3:$X$1167,0)</f>
        <v>#N/A</v>
      </c>
      <c r="X317" t="e">
        <f t="shared" ca="1" si="36"/>
        <v>#VALUE!</v>
      </c>
      <c r="Y317">
        <f t="shared" ca="1" si="37"/>
        <v>0.148874324</v>
      </c>
      <c r="Z317" t="e">
        <f t="shared" ca="1" si="38"/>
        <v>#VALUE!</v>
      </c>
    </row>
    <row r="318" spans="1:26" hidden="1" x14ac:dyDescent="0.4">
      <c r="A318" t="str">
        <f>MID(Taostats_CSV!C318,6,2)&amp;"/"&amp;MID(Taostats_CSV!C318,9,2)&amp;"/"&amp;LEFT(Taostats_CSV!C318,4)&amp;" "&amp;MID(Taostats_CSV!C318,12,8)</f>
        <v>05/14/2025 23:59:48</v>
      </c>
      <c r="C318" t="str">
        <f ca="1">IF(Q318,OFFSET(Taostats_CSV!$E$1,MATCH(K318&amp;D$1,Taostats_CSV!$X:$X,0)-1,0),IF(Taostats_CSV!F318="fee","",IF(VALUE(Taostats_CSV!G318)&gt;0,Taostats_CSV!E318,"")))</f>
        <v/>
      </c>
      <c r="D318" t="str">
        <f ca="1">IF(Q318,OFFSET(Taostats_CSV!$G$1,MATCH(K318&amp;D$1,Taostats_CSV!$X:$X,0)-1,0),IF(Taostats_CSV!F318="fee","",IF(VALUE(Taostats_CSV!G318)&gt;0,Taostats_CSV!G318,"")))</f>
        <v/>
      </c>
      <c r="E318" t="str">
        <f ca="1">IF(AND(Q318,P318&gt;0),OFFSET(Taostats_CSV!$E$1,MATCH(K318&amp;F$1,Taostats_CSV!$X:$X,0)-1,0),IF(LEN(F318)&gt;0,Taostats_CSV!E318,""))</f>
        <v>TAO</v>
      </c>
      <c r="F318" t="str">
        <f ca="1">TRIM(IF(AND(Q318,P318&gt;0),OFFSET(Taostats_CSV!$H$1,MATCH(K318&amp;F$1,Taostats_CSV!$X:$X,0)-1,0),IF(LEN(Taostats_CSV!H318)&gt;0,Taostats_CSV!H318,Taostats_CSV!R318)))</f>
        <v>0</v>
      </c>
      <c r="G318" t="str">
        <f ca="1">IF(AND(Q318,N318=1),OFFSET(Taostats_CSV!$E$1,MATCH(K318&amp;H$1,Taostats_CSV!$X:$X,0)-1,0),IF(Taostats_CSV!F318="fee",Taostats_CSV!E318,""))</f>
        <v/>
      </c>
      <c r="H318" t="str">
        <f ca="1">IF(AND(Q318,N318=1),OFFSET(Taostats_CSV!$G$1,MATCH(K318&amp;H$1,Taostats_CSV!$X:$X,0)-1,0),IF(Taostats_CSV!F318="fee",Taostats_CSV!G318,""))</f>
        <v/>
      </c>
      <c r="I318" t="str">
        <f ca="1">IF(AND(LEN(K318)=0,LEN(F318)&gt;0),"Income",IF(AND(O318&gt;0,P318&gt;0,C318&lt;&gt;E318),"Trade",IF(AND(NOT(Q318),Taostats_CSV!F318="fee"),'READ ME'!$C$5,"")))</f>
        <v>Income</v>
      </c>
      <c r="J318" t="str">
        <f ca="1">SUBSTITUTE(IF(LEN(I318)=0,Taostats_CSV!F318&amp;" "&amp;Taostats_CSV!J318,IF(I318="Cost","Extrinsic fee","")),"_"," ")</f>
        <v/>
      </c>
      <c r="K318" t="str">
        <f>TRIM(IF(LEN(Taostats_CSV!I318)&gt;0,Taostats_CSV!I318,""))</f>
        <v/>
      </c>
      <c r="L318" t="str">
        <f>IF(Taostats_CSV!E318&lt;&gt;"TAO",IF(LEN(F318)&gt;0,F318,IF(LEN(D318)&gt;0,D318,0))*Taostats_CSV!P318,"")</f>
        <v/>
      </c>
      <c r="M318" t="str">
        <f t="shared" si="39"/>
        <v/>
      </c>
      <c r="N318">
        <f>COUNTIF(Taostats_CSV!$X:$X,Taostats_CSV!$I318&amp;N$1)</f>
        <v>0</v>
      </c>
      <c r="O318">
        <f>COUNTIF(Taostats_CSV!$X:$X,Taostats_CSV!$I318&amp;O$1)</f>
        <v>0</v>
      </c>
      <c r="P318">
        <f>COUNTIF(Taostats_CSV!$X:$X,Taostats_CSV!$I318&amp;P$1)</f>
        <v>0</v>
      </c>
      <c r="Q318" t="b">
        <f t="shared" si="40"/>
        <v>0</v>
      </c>
      <c r="R318" t="b">
        <f>IF(LEN(K318)&gt;0,COUNTIF($K$3:K318,K318),FALSE)</f>
        <v>0</v>
      </c>
      <c r="S318" t="b">
        <f>IF(Taostats_CSV!A318=Taostats_CSV!$A$2,TRUE,Taostats_CSV!G318+Taostats_CSV!H318+Taostats_CSV!R318=0)</f>
        <v>1</v>
      </c>
      <c r="T318" t="b">
        <f t="shared" si="41"/>
        <v>0</v>
      </c>
      <c r="U318" t="b" cm="1">
        <f t="array" aca="1" ref="U318" ca="1">AND(T318,OR(O318-N318&gt;1,P318&gt;1,ISERROR(A318:P318)))</f>
        <v>0</v>
      </c>
      <c r="W318" t="e">
        <f>MATCH(K318&amp;$W$2,Taostats_CSV!$X$3:$X$1167,0)</f>
        <v>#N/A</v>
      </c>
      <c r="X318" t="e">
        <f t="shared" ca="1" si="36"/>
        <v>#VALUE!</v>
      </c>
      <c r="Y318">
        <f t="shared" ca="1" si="37"/>
        <v>0</v>
      </c>
      <c r="Z318" t="e">
        <f t="shared" ca="1" si="38"/>
        <v>#VALUE!</v>
      </c>
    </row>
    <row r="319" spans="1:26" x14ac:dyDescent="0.4">
      <c r="A319" t="str">
        <f>MID(Taostats_CSV!C319,6,2)&amp;"/"&amp;MID(Taostats_CSV!C319,9,2)&amp;"/"&amp;LEFT(Taostats_CSV!C319,4)&amp;" "&amp;MID(Taostats_CSV!C319,12,8)</f>
        <v>05/15/2025 23:59:48</v>
      </c>
      <c r="C319" t="str">
        <f ca="1">IF(Q319,OFFSET(Taostats_CSV!$E$1,MATCH(K319&amp;D$1,Taostats_CSV!$X:$X,0)-1,0),IF(Taostats_CSV!F319="fee",IF(VALUE(Taostats_CSV!G319)&gt;0,Taostats_CSV!E319,""),""))</f>
        <v/>
      </c>
      <c r="D319" t="str">
        <f ca="1">IF(Q319,OFFSET(Taostats_CSV!$G$1,MATCH(K319&amp;D$1,Taostats_CSV!$X:$X,0)-1,0),IF(Taostats_CSV!F319="fee",IF(VALUE(Taostats_CSV!G319)&gt;0,Taostats_CSV!G319,""),""))</f>
        <v/>
      </c>
      <c r="E319" t="str">
        <f ca="1">IF(AND(Q319,P319&gt;0),OFFSET(Taostats_CSV!$E$1,MATCH(K319&amp;F$1,Taostats_CSV!$X:$X,0)-1,0),IF(LEN(F319)&gt;0,Taostats_CSV!E319,""))</f>
        <v>SN3</v>
      </c>
      <c r="F319" t="str">
        <f ca="1">TRIM(IF(AND(Q319,P319&gt;0),OFFSET(Taostats_CSV!$H$1,MATCH(K319&amp;F$1,Taostats_CSV!$X:$X,0)-1,0),IF(LEN(Taostats_CSV!H319)&gt;0,Taostats_CSV!H319,Taostats_CSV!R319)))</f>
        <v>0.427236407</v>
      </c>
      <c r="G319" t="str">
        <f ca="1">IF(AND(Q319,N319=1),OFFSET(Taostats_CSV!$E$1,MATCH(K319&amp;H$1,Taostats_CSV!$X:$X,0)-1,0),"")</f>
        <v/>
      </c>
      <c r="H319" t="str">
        <f ca="1">IF(AND(Q319,N319=1),OFFSET(Taostats_CSV!$G$1,MATCH(K319&amp;H$1,Taostats_CSV!$X:$X,0)-1,0),"")</f>
        <v/>
      </c>
      <c r="I319" t="str">
        <f ca="1">IF(AND(LEN(K319)=0,LEN(F319)&gt;0),"Income",IF(AND(O319&gt;0,P319&gt;0,C319&lt;&gt;E319),"Trade",IF(AND(NOT(Q319),Taostats_CSV!F319="fee"),'READ ME'!$C$5,"")))</f>
        <v>Income</v>
      </c>
      <c r="J319" t="str">
        <f ca="1">SUBSTITUTE(IF(LEN(I319)=0,Taostats_CSV!F319&amp;" "&amp;Taostats_CSV!J319,IF(I319="Cost","Extrinsic fee","")),"_"," ")</f>
        <v/>
      </c>
      <c r="K319" t="str">
        <f>TRIM(IF(LEN(Taostats_CSV!I319)&gt;0,Taostats_CSV!I319,""))</f>
        <v/>
      </c>
      <c r="L319">
        <f ca="1">IF(Taostats_CSV!E319&lt;&gt;"TAO",IF(LEN(F319)&gt;0,F319,IF(LEN(D319)&gt;0,D319,0))*Taostats_CSV!P319,"")</f>
        <v>17.574055713486722</v>
      </c>
      <c r="M319" t="str">
        <f t="shared" ca="1" si="39"/>
        <v>USD</v>
      </c>
      <c r="N319">
        <f>COUNTIF(Taostats_CSV!$X:$X,Taostats_CSV!$I319&amp;N$1)</f>
        <v>0</v>
      </c>
      <c r="O319">
        <f>COUNTIF(Taostats_CSV!$X:$X,Taostats_CSV!$I319&amp;O$1)</f>
        <v>0</v>
      </c>
      <c r="P319">
        <f>COUNTIF(Taostats_CSV!$X:$X,Taostats_CSV!$I319&amp;P$1)</f>
        <v>0</v>
      </c>
      <c r="Q319" t="b">
        <f t="shared" si="40"/>
        <v>0</v>
      </c>
      <c r="R319" t="b">
        <f>IF(LEN(K319)&gt;0,COUNTIF($K$3:K319,K319),FALSE)</f>
        <v>0</v>
      </c>
      <c r="S319" t="b">
        <f>IF(Taostats_CSV!A319=Taostats_CSV!$A$2,TRUE,Taostats_CSV!G319+Taostats_CSV!H319+Taostats_CSV!R319=0)</f>
        <v>0</v>
      </c>
      <c r="T319" t="b">
        <f t="shared" si="41"/>
        <v>1</v>
      </c>
      <c r="U319" t="b" cm="1">
        <f t="array" aca="1" ref="U319" ca="1">AND(T319,OR(O319-N319&gt;1,P319&gt;1,ISERROR(A319:P319)))</f>
        <v>0</v>
      </c>
      <c r="W319" t="e">
        <f>MATCH(K319&amp;$W$2,Taostats_CSV!$X$3:$X$1167,0)</f>
        <v>#N/A</v>
      </c>
      <c r="X319" t="e">
        <f t="shared" ca="1" si="36"/>
        <v>#VALUE!</v>
      </c>
      <c r="Y319">
        <f t="shared" ca="1" si="37"/>
        <v>0.42723640699999998</v>
      </c>
      <c r="Z319" t="e">
        <f t="shared" ca="1" si="38"/>
        <v>#VALUE!</v>
      </c>
    </row>
    <row r="320" spans="1:26" x14ac:dyDescent="0.4">
      <c r="A320" t="str">
        <f>MID(Taostats_CSV!C320,6,2)&amp;"/"&amp;MID(Taostats_CSV!C320,9,2)&amp;"/"&amp;LEFT(Taostats_CSV!C320,4)&amp;" "&amp;MID(Taostats_CSV!C320,12,8)</f>
        <v>05/15/2025 23:59:48</v>
      </c>
      <c r="C320" t="str">
        <f ca="1">IF(Q320,OFFSET(Taostats_CSV!$E$1,MATCH(K320&amp;D$1,Taostats_CSV!$X:$X,0)-1,0),IF(Taostats_CSV!F320="fee",IF(VALUE(Taostats_CSV!G320)&gt;0,Taostats_CSV!E320,""),""))</f>
        <v/>
      </c>
      <c r="D320" t="str">
        <f ca="1">IF(Q320,OFFSET(Taostats_CSV!$G$1,MATCH(K320&amp;D$1,Taostats_CSV!$X:$X,0)-1,0),IF(Taostats_CSV!F320="fee",IF(VALUE(Taostats_CSV!G320)&gt;0,Taostats_CSV!G320,""),""))</f>
        <v/>
      </c>
      <c r="E320" t="str">
        <f ca="1">IF(AND(Q320,P320&gt;0),OFFSET(Taostats_CSV!$E$1,MATCH(K320&amp;F$1,Taostats_CSV!$X:$X,0)-1,0),IF(LEN(F320)&gt;0,Taostats_CSV!E320,""))</f>
        <v>SN4</v>
      </c>
      <c r="F320" t="str">
        <f ca="1">TRIM(IF(AND(Q320,P320&gt;0),OFFSET(Taostats_CSV!$H$1,MATCH(K320&amp;F$1,Taostats_CSV!$X:$X,0)-1,0),IF(LEN(Taostats_CSV!H320)&gt;0,Taostats_CSV!H320,Taostats_CSV!R320)))</f>
        <v>0.399866983</v>
      </c>
      <c r="G320" t="str">
        <f ca="1">IF(AND(Q320,N320=1),OFFSET(Taostats_CSV!$E$1,MATCH(K320&amp;H$1,Taostats_CSV!$X:$X,0)-1,0),"")</f>
        <v/>
      </c>
      <c r="H320" t="str">
        <f ca="1">IF(AND(Q320,N320=1),OFFSET(Taostats_CSV!$G$1,MATCH(K320&amp;H$1,Taostats_CSV!$X:$X,0)-1,0),"")</f>
        <v/>
      </c>
      <c r="I320" t="str">
        <f ca="1">IF(AND(LEN(K320)=0,LEN(F320)&gt;0),"Income",IF(AND(O320&gt;0,P320&gt;0,C320&lt;&gt;E320),"Trade",IF(AND(NOT(Q320),Taostats_CSV!F320="fee"),'READ ME'!$C$5,"")))</f>
        <v>Income</v>
      </c>
      <c r="J320" t="str">
        <f ca="1">SUBSTITUTE(IF(LEN(I320)=0,Taostats_CSV!F320&amp;" "&amp;Taostats_CSV!J320,IF(I320="Cost","Extrinsic fee","")),"_"," ")</f>
        <v/>
      </c>
      <c r="K320" t="str">
        <f>TRIM(IF(LEN(Taostats_CSV!I320)&gt;0,Taostats_CSV!I320,""))</f>
        <v/>
      </c>
      <c r="L320">
        <f ca="1">IF(Taostats_CSV!E320&lt;&gt;"TAO",IF(LEN(F320)&gt;0,F320,IF(LEN(D320)&gt;0,D320,0))*Taostats_CSV!P320,"")</f>
        <v>19.340106534754248</v>
      </c>
      <c r="M320" t="str">
        <f t="shared" ca="1" si="39"/>
        <v>USD</v>
      </c>
      <c r="N320">
        <f>COUNTIF(Taostats_CSV!$X:$X,Taostats_CSV!$I320&amp;N$1)</f>
        <v>0</v>
      </c>
      <c r="O320">
        <f>COUNTIF(Taostats_CSV!$X:$X,Taostats_CSV!$I320&amp;O$1)</f>
        <v>0</v>
      </c>
      <c r="P320">
        <f>COUNTIF(Taostats_CSV!$X:$X,Taostats_CSV!$I320&amp;P$1)</f>
        <v>0</v>
      </c>
      <c r="Q320" t="b">
        <f t="shared" si="40"/>
        <v>0</v>
      </c>
      <c r="R320" t="b">
        <f>IF(LEN(K320)&gt;0,COUNTIF($K$3:K320,K320),FALSE)</f>
        <v>0</v>
      </c>
      <c r="S320" t="b">
        <f>IF(Taostats_CSV!A320=Taostats_CSV!$A$2,TRUE,Taostats_CSV!G320+Taostats_CSV!H320+Taostats_CSV!R320=0)</f>
        <v>0</v>
      </c>
      <c r="T320" t="b">
        <f t="shared" si="41"/>
        <v>1</v>
      </c>
      <c r="U320" t="b" cm="1">
        <f t="array" aca="1" ref="U320" ca="1">AND(T320,OR(O320-N320&gt;1,P320&gt;1,ISERROR(A320:P320)))</f>
        <v>0</v>
      </c>
      <c r="W320" t="e">
        <f>MATCH(K320&amp;$W$2,Taostats_CSV!$X$3:$X$1167,0)</f>
        <v>#N/A</v>
      </c>
      <c r="X320" t="e">
        <f t="shared" ca="1" si="36"/>
        <v>#VALUE!</v>
      </c>
      <c r="Y320">
        <f t="shared" ca="1" si="37"/>
        <v>0.39986698300000001</v>
      </c>
      <c r="Z320" t="e">
        <f t="shared" ca="1" si="38"/>
        <v>#VALUE!</v>
      </c>
    </row>
    <row r="321" spans="1:26" x14ac:dyDescent="0.4">
      <c r="A321" t="str">
        <f>MID(Taostats_CSV!C321,6,2)&amp;"/"&amp;MID(Taostats_CSV!C321,9,2)&amp;"/"&amp;LEFT(Taostats_CSV!C321,4)&amp;" "&amp;MID(Taostats_CSV!C321,12,8)</f>
        <v>05/15/2025 23:59:48</v>
      </c>
      <c r="C321" t="str">
        <f ca="1">IF(Q321,OFFSET(Taostats_CSV!$E$1,MATCH(K321&amp;D$1,Taostats_CSV!$X:$X,0)-1,0),IF(Taostats_CSV!F321="fee",IF(VALUE(Taostats_CSV!G321)&gt;0,Taostats_CSV!E321,""),""))</f>
        <v/>
      </c>
      <c r="D321" t="str">
        <f ca="1">IF(Q321,OFFSET(Taostats_CSV!$G$1,MATCH(K321&amp;D$1,Taostats_CSV!$X:$X,0)-1,0),IF(Taostats_CSV!F321="fee",IF(VALUE(Taostats_CSV!G321)&gt;0,Taostats_CSV!G321,""),""))</f>
        <v/>
      </c>
      <c r="E321" t="str">
        <f ca="1">IF(AND(Q321,P321&gt;0),OFFSET(Taostats_CSV!$E$1,MATCH(K321&amp;F$1,Taostats_CSV!$X:$X,0)-1,0),IF(LEN(F321)&gt;0,Taostats_CSV!E321,""))</f>
        <v>SN56</v>
      </c>
      <c r="F321" t="str">
        <f ca="1">TRIM(IF(AND(Q321,P321&gt;0),OFFSET(Taostats_CSV!$H$1,MATCH(K321&amp;F$1,Taostats_CSV!$X:$X,0)-1,0),IF(LEN(Taostats_CSV!H321)&gt;0,Taostats_CSV!H321,Taostats_CSV!R321)))</f>
        <v>0.243804402</v>
      </c>
      <c r="G321" t="str">
        <f ca="1">IF(AND(Q321,N321=1),OFFSET(Taostats_CSV!$E$1,MATCH(K321&amp;H$1,Taostats_CSV!$X:$X,0)-1,0),"")</f>
        <v/>
      </c>
      <c r="H321" t="str">
        <f ca="1">IF(AND(Q321,N321=1),OFFSET(Taostats_CSV!$G$1,MATCH(K321&amp;H$1,Taostats_CSV!$X:$X,0)-1,0),"")</f>
        <v/>
      </c>
      <c r="I321" t="str">
        <f ca="1">IF(AND(LEN(K321)=0,LEN(F321)&gt;0),"Income",IF(AND(O321&gt;0,P321&gt;0,C321&lt;&gt;E321),"Trade",IF(AND(NOT(Q321),Taostats_CSV!F321="fee"),'READ ME'!$C$5,"")))</f>
        <v>Income</v>
      </c>
      <c r="J321" t="str">
        <f ca="1">SUBSTITUTE(IF(LEN(I321)=0,Taostats_CSV!F321&amp;" "&amp;Taostats_CSV!J321,IF(I321="Cost","Extrinsic fee","")),"_"," ")</f>
        <v/>
      </c>
      <c r="K321" t="str">
        <f>TRIM(IF(LEN(Taostats_CSV!I321)&gt;0,Taostats_CSV!I321,""))</f>
        <v/>
      </c>
      <c r="L321">
        <f ca="1">IF(Taostats_CSV!E321&lt;&gt;"TAO",IF(LEN(F321)&gt;0,F321,IF(LEN(D321)&gt;0,D321,0))*Taostats_CSV!P321,"")</f>
        <v>12.227083387529198</v>
      </c>
      <c r="M321" t="str">
        <f t="shared" ca="1" si="39"/>
        <v>USD</v>
      </c>
      <c r="N321">
        <f>COUNTIF(Taostats_CSV!$X:$X,Taostats_CSV!$I321&amp;N$1)</f>
        <v>0</v>
      </c>
      <c r="O321">
        <f>COUNTIF(Taostats_CSV!$X:$X,Taostats_CSV!$I321&amp;O$1)</f>
        <v>0</v>
      </c>
      <c r="P321">
        <f>COUNTIF(Taostats_CSV!$X:$X,Taostats_CSV!$I321&amp;P$1)</f>
        <v>0</v>
      </c>
      <c r="Q321" t="b">
        <f t="shared" si="40"/>
        <v>0</v>
      </c>
      <c r="R321" t="b">
        <f>IF(LEN(K321)&gt;0,COUNTIF($K$3:K321,K321),FALSE)</f>
        <v>0</v>
      </c>
      <c r="S321" t="b">
        <f>IF(Taostats_CSV!A321=Taostats_CSV!$A$2,TRUE,Taostats_CSV!G321+Taostats_CSV!H321+Taostats_CSV!R321=0)</f>
        <v>0</v>
      </c>
      <c r="T321" t="b">
        <f t="shared" si="41"/>
        <v>1</v>
      </c>
      <c r="U321" t="b" cm="1">
        <f t="array" aca="1" ref="U321" ca="1">AND(T321,OR(O321-N321&gt;1,P321&gt;1,ISERROR(A321:P321)))</f>
        <v>0</v>
      </c>
      <c r="W321" t="e">
        <f>MATCH(K321&amp;$W$2,Taostats_CSV!$X$3:$X$1167,0)</f>
        <v>#N/A</v>
      </c>
      <c r="X321" t="e">
        <f t="shared" ca="1" si="36"/>
        <v>#VALUE!</v>
      </c>
      <c r="Y321">
        <f t="shared" ca="1" si="37"/>
        <v>0.243804402</v>
      </c>
      <c r="Z321" t="e">
        <f t="shared" ca="1" si="38"/>
        <v>#VALUE!</v>
      </c>
    </row>
    <row r="322" spans="1:26" x14ac:dyDescent="0.4">
      <c r="A322" t="str">
        <f>MID(Taostats_CSV!C322,6,2)&amp;"/"&amp;MID(Taostats_CSV!C322,9,2)&amp;"/"&amp;LEFT(Taostats_CSV!C322,4)&amp;" "&amp;MID(Taostats_CSV!C322,12,8)</f>
        <v>05/15/2025 23:59:48</v>
      </c>
      <c r="C322" t="str">
        <f ca="1">IF(Q322,OFFSET(Taostats_CSV!$E$1,MATCH(K322&amp;D$1,Taostats_CSV!$X:$X,0)-1,0),IF(Taostats_CSV!F322="fee",IF(VALUE(Taostats_CSV!G322)&gt;0,Taostats_CSV!E322,""),""))</f>
        <v/>
      </c>
      <c r="D322" t="str">
        <f ca="1">IF(Q322,OFFSET(Taostats_CSV!$G$1,MATCH(K322&amp;D$1,Taostats_CSV!$X:$X,0)-1,0),IF(Taostats_CSV!F322="fee",IF(VALUE(Taostats_CSV!G322)&gt;0,Taostats_CSV!G322,""),""))</f>
        <v/>
      </c>
      <c r="E322" t="str">
        <f ca="1">IF(AND(Q322,P322&gt;0),OFFSET(Taostats_CSV!$E$1,MATCH(K322&amp;F$1,Taostats_CSV!$X:$X,0)-1,0),IF(LEN(F322)&gt;0,Taostats_CSV!E322,""))</f>
        <v>SN64</v>
      </c>
      <c r="F322" t="str">
        <f ca="1">TRIM(IF(AND(Q322,P322&gt;0),OFFSET(Taostats_CSV!$H$1,MATCH(K322&amp;F$1,Taostats_CSV!$X:$X,0)-1,0),IF(LEN(Taostats_CSV!H322)&gt;0,Taostats_CSV!H322,Taostats_CSV!R322)))</f>
        <v>0.150965743</v>
      </c>
      <c r="G322" t="str">
        <f ca="1">IF(AND(Q322,N322=1),OFFSET(Taostats_CSV!$E$1,MATCH(K322&amp;H$1,Taostats_CSV!$X:$X,0)-1,0),"")</f>
        <v/>
      </c>
      <c r="H322" t="str">
        <f ca="1">IF(AND(Q322,N322=1),OFFSET(Taostats_CSV!$G$1,MATCH(K322&amp;H$1,Taostats_CSV!$X:$X,0)-1,0),"")</f>
        <v/>
      </c>
      <c r="I322" t="str">
        <f ca="1">IF(AND(LEN(K322)=0,LEN(F322)&gt;0),"Income",IF(AND(O322&gt;0,P322&gt;0,C322&lt;&gt;E322),"Trade",IF(AND(NOT(Q322),Taostats_CSV!F322="fee"),'READ ME'!$C$5,"")))</f>
        <v>Income</v>
      </c>
      <c r="J322" t="str">
        <f ca="1">SUBSTITUTE(IF(LEN(I322)=0,Taostats_CSV!F322&amp;" "&amp;Taostats_CSV!J322,IF(I322="Cost","Extrinsic fee","")),"_"," ")</f>
        <v/>
      </c>
      <c r="K322" t="str">
        <f>TRIM(IF(LEN(Taostats_CSV!I322)&gt;0,Taostats_CSV!I322,""))</f>
        <v/>
      </c>
      <c r="L322">
        <f ca="1">IF(Taostats_CSV!E322&lt;&gt;"TAO",IF(LEN(F322)&gt;0,F322,IF(LEN(D322)&gt;0,D322,0))*Taostats_CSV!P322,"")</f>
        <v>15.96881814533965</v>
      </c>
      <c r="M322" t="str">
        <f t="shared" ca="1" si="39"/>
        <v>USD</v>
      </c>
      <c r="N322">
        <f>COUNTIF(Taostats_CSV!$X:$X,Taostats_CSV!$I322&amp;N$1)</f>
        <v>0</v>
      </c>
      <c r="O322">
        <f>COUNTIF(Taostats_CSV!$X:$X,Taostats_CSV!$I322&amp;O$1)</f>
        <v>0</v>
      </c>
      <c r="P322">
        <f>COUNTIF(Taostats_CSV!$X:$X,Taostats_CSV!$I322&amp;P$1)</f>
        <v>0</v>
      </c>
      <c r="Q322" t="b">
        <f t="shared" si="40"/>
        <v>0</v>
      </c>
      <c r="R322" t="b">
        <f>IF(LEN(K322)&gt;0,COUNTIF($K$3:K322,K322),FALSE)</f>
        <v>0</v>
      </c>
      <c r="S322" t="b">
        <f>IF(Taostats_CSV!A322=Taostats_CSV!$A$2,TRUE,Taostats_CSV!G322+Taostats_CSV!H322+Taostats_CSV!R322=0)</f>
        <v>0</v>
      </c>
      <c r="T322" t="b">
        <f t="shared" si="41"/>
        <v>1</v>
      </c>
      <c r="U322" t="b" cm="1">
        <f t="array" aca="1" ref="U322" ca="1">AND(T322,OR(O322-N322&gt;1,P322&gt;1,ISERROR(A322:P322)))</f>
        <v>0</v>
      </c>
      <c r="W322" t="e">
        <f>MATCH(K322&amp;$W$2,Taostats_CSV!$X$3:$X$1167,0)</f>
        <v>#N/A</v>
      </c>
      <c r="X322" t="e">
        <f t="shared" ca="1" si="36"/>
        <v>#VALUE!</v>
      </c>
      <c r="Y322">
        <f t="shared" ca="1" si="37"/>
        <v>0.15096574300000001</v>
      </c>
      <c r="Z322" t="e">
        <f t="shared" ca="1" si="38"/>
        <v>#VALUE!</v>
      </c>
    </row>
    <row r="323" spans="1:26" hidden="1" x14ac:dyDescent="0.4">
      <c r="A323" t="str">
        <f>MID(Taostats_CSV!C323,6,2)&amp;"/"&amp;MID(Taostats_CSV!C323,9,2)&amp;"/"&amp;LEFT(Taostats_CSV!C323,4)&amp;" "&amp;MID(Taostats_CSV!C323,12,8)</f>
        <v>05/15/2025 23:59:48</v>
      </c>
      <c r="C323" t="str">
        <f ca="1">IF(Q323,OFFSET(Taostats_CSV!$E$1,MATCH(K323&amp;D$1,Taostats_CSV!$X:$X,0)-1,0),IF(Taostats_CSV!F323="fee","",IF(VALUE(Taostats_CSV!G323)&gt;0,Taostats_CSV!E323,"")))</f>
        <v/>
      </c>
      <c r="D323" t="str">
        <f ca="1">IF(Q323,OFFSET(Taostats_CSV!$G$1,MATCH(K323&amp;D$1,Taostats_CSV!$X:$X,0)-1,0),IF(Taostats_CSV!F323="fee","",IF(VALUE(Taostats_CSV!G323)&gt;0,Taostats_CSV!G323,"")))</f>
        <v/>
      </c>
      <c r="E323" t="str">
        <f ca="1">IF(AND(Q323,P323&gt;0),OFFSET(Taostats_CSV!$E$1,MATCH(K323&amp;F$1,Taostats_CSV!$X:$X,0)-1,0),IF(LEN(F323)&gt;0,Taostats_CSV!E323,""))</f>
        <v>TAO</v>
      </c>
      <c r="F323" t="str">
        <f ca="1">TRIM(IF(AND(Q323,P323&gt;0),OFFSET(Taostats_CSV!$H$1,MATCH(K323&amp;F$1,Taostats_CSV!$X:$X,0)-1,0),IF(LEN(Taostats_CSV!H323)&gt;0,Taostats_CSV!H323,Taostats_CSV!R323)))</f>
        <v>0</v>
      </c>
      <c r="G323" t="str">
        <f ca="1">IF(AND(Q323,N323=1),OFFSET(Taostats_CSV!$E$1,MATCH(K323&amp;H$1,Taostats_CSV!$X:$X,0)-1,0),IF(Taostats_CSV!F323="fee",Taostats_CSV!E323,""))</f>
        <v/>
      </c>
      <c r="H323" t="str">
        <f ca="1">IF(AND(Q323,N323=1),OFFSET(Taostats_CSV!$G$1,MATCH(K323&amp;H$1,Taostats_CSV!$X:$X,0)-1,0),IF(Taostats_CSV!F323="fee",Taostats_CSV!G323,""))</f>
        <v/>
      </c>
      <c r="I323" t="str">
        <f ca="1">IF(AND(LEN(K323)=0,LEN(F323)&gt;0),"Income",IF(AND(O323&gt;0,P323&gt;0,C323&lt;&gt;E323),"Trade",IF(AND(NOT(Q323),Taostats_CSV!F323="fee"),'READ ME'!$C$5,"")))</f>
        <v>Income</v>
      </c>
      <c r="J323" t="str">
        <f ca="1">SUBSTITUTE(IF(LEN(I323)=0,Taostats_CSV!F323&amp;" "&amp;Taostats_CSV!J323,IF(I323="Cost","Extrinsic fee","")),"_"," ")</f>
        <v/>
      </c>
      <c r="K323" t="str">
        <f>TRIM(IF(LEN(Taostats_CSV!I323)&gt;0,Taostats_CSV!I323,""))</f>
        <v/>
      </c>
      <c r="L323" t="str">
        <f>IF(Taostats_CSV!E323&lt;&gt;"TAO",IF(LEN(F323)&gt;0,F323,IF(LEN(D323)&gt;0,D323,0))*Taostats_CSV!P323,"")</f>
        <v/>
      </c>
      <c r="M323" t="str">
        <f t="shared" si="39"/>
        <v/>
      </c>
      <c r="N323">
        <f>COUNTIF(Taostats_CSV!$X:$X,Taostats_CSV!$I323&amp;N$1)</f>
        <v>0</v>
      </c>
      <c r="O323">
        <f>COUNTIF(Taostats_CSV!$X:$X,Taostats_CSV!$I323&amp;O$1)</f>
        <v>0</v>
      </c>
      <c r="P323">
        <f>COUNTIF(Taostats_CSV!$X:$X,Taostats_CSV!$I323&amp;P$1)</f>
        <v>0</v>
      </c>
      <c r="Q323" t="b">
        <f t="shared" si="40"/>
        <v>0</v>
      </c>
      <c r="R323" t="b">
        <f>IF(LEN(K323)&gt;0,COUNTIF($K$3:K323,K323),FALSE)</f>
        <v>0</v>
      </c>
      <c r="S323" t="b">
        <f>IF(Taostats_CSV!A323=Taostats_CSV!$A$2,TRUE,Taostats_CSV!G323+Taostats_CSV!H323+Taostats_CSV!R323=0)</f>
        <v>1</v>
      </c>
      <c r="T323" t="b">
        <f t="shared" si="41"/>
        <v>0</v>
      </c>
      <c r="U323" t="b" cm="1">
        <f t="array" aca="1" ref="U323" ca="1">AND(T323,OR(O323-N323&gt;1,P323&gt;1,ISERROR(A323:P323)))</f>
        <v>0</v>
      </c>
      <c r="W323" t="e">
        <f>MATCH(K323&amp;$W$2,Taostats_CSV!$X$3:$X$1167,0)</f>
        <v>#N/A</v>
      </c>
      <c r="X323" t="e">
        <f t="shared" ref="X323:X386" ca="1" si="42">VALUE(D323)</f>
        <v>#VALUE!</v>
      </c>
      <c r="Y323">
        <f t="shared" ref="Y323:Y386" ca="1" si="43">VALUE(F323)</f>
        <v>0</v>
      </c>
      <c r="Z323" t="e">
        <f t="shared" ref="Z323:Z386" ca="1" si="44">VALUE(H323)</f>
        <v>#VALUE!</v>
      </c>
    </row>
    <row r="324" spans="1:26" x14ac:dyDescent="0.4">
      <c r="A324" t="str">
        <f>MID(Taostats_CSV!C324,6,2)&amp;"/"&amp;MID(Taostats_CSV!C324,9,2)&amp;"/"&amp;LEFT(Taostats_CSV!C324,4)&amp;" "&amp;MID(Taostats_CSV!C324,12,8)</f>
        <v>05/16/2025 23:59:48</v>
      </c>
      <c r="C324" t="str">
        <f ca="1">IF(Q324,OFFSET(Taostats_CSV!$E$1,MATCH(K324&amp;D$1,Taostats_CSV!$X:$X,0)-1,0),IF(Taostats_CSV!F324="fee",IF(VALUE(Taostats_CSV!G324)&gt;0,Taostats_CSV!E324,""),""))</f>
        <v/>
      </c>
      <c r="D324" t="str">
        <f ca="1">IF(Q324,OFFSET(Taostats_CSV!$G$1,MATCH(K324&amp;D$1,Taostats_CSV!$X:$X,0)-1,0),IF(Taostats_CSV!F324="fee",IF(VALUE(Taostats_CSV!G324)&gt;0,Taostats_CSV!G324,""),""))</f>
        <v/>
      </c>
      <c r="E324" t="str">
        <f ca="1">IF(AND(Q324,P324&gt;0),OFFSET(Taostats_CSV!$E$1,MATCH(K324&amp;F$1,Taostats_CSV!$X:$X,0)-1,0),IF(LEN(F324)&gt;0,Taostats_CSV!E324,""))</f>
        <v>SN3</v>
      </c>
      <c r="F324" t="str">
        <f ca="1">TRIM(IF(AND(Q324,P324&gt;0),OFFSET(Taostats_CSV!$H$1,MATCH(K324&amp;F$1,Taostats_CSV!$X:$X,0)-1,0),IF(LEN(Taostats_CSV!H324)&gt;0,Taostats_CSV!H324,Taostats_CSV!R324)))</f>
        <v>0.440467835</v>
      </c>
      <c r="G324" t="str">
        <f ca="1">IF(AND(Q324,N324=1),OFFSET(Taostats_CSV!$E$1,MATCH(K324&amp;H$1,Taostats_CSV!$X:$X,0)-1,0),"")</f>
        <v/>
      </c>
      <c r="H324" t="str">
        <f ca="1">IF(AND(Q324,N324=1),OFFSET(Taostats_CSV!$G$1,MATCH(K324&amp;H$1,Taostats_CSV!$X:$X,0)-1,0),"")</f>
        <v/>
      </c>
      <c r="I324" t="str">
        <f ca="1">IF(AND(LEN(K324)=0,LEN(F324)&gt;0),"Income",IF(AND(O324&gt;0,P324&gt;0,C324&lt;&gt;E324),"Trade",IF(AND(NOT(Q324),Taostats_CSV!F324="fee"),'READ ME'!$C$5,"")))</f>
        <v>Income</v>
      </c>
      <c r="J324" t="str">
        <f ca="1">SUBSTITUTE(IF(LEN(I324)=0,Taostats_CSV!F324&amp;" "&amp;Taostats_CSV!J324,IF(I324="Cost","Extrinsic fee","")),"_"," ")</f>
        <v/>
      </c>
      <c r="K324" t="str">
        <f>TRIM(IF(LEN(Taostats_CSV!I324)&gt;0,Taostats_CSV!I324,""))</f>
        <v/>
      </c>
      <c r="L324">
        <f ca="1">IF(Taostats_CSV!E324&lt;&gt;"TAO",IF(LEN(F324)&gt;0,F324,IF(LEN(D324)&gt;0,D324,0))*Taostats_CSV!P324,"")</f>
        <v>17.594096521841127</v>
      </c>
      <c r="M324" t="str">
        <f t="shared" ref="M324:M387" ca="1" si="45">IF(LEN(L324)&gt;0,"USD","")</f>
        <v>USD</v>
      </c>
      <c r="N324">
        <f>COUNTIF(Taostats_CSV!$X:$X,Taostats_CSV!$I324&amp;N$1)</f>
        <v>0</v>
      </c>
      <c r="O324">
        <f>COUNTIF(Taostats_CSV!$X:$X,Taostats_CSV!$I324&amp;O$1)</f>
        <v>0</v>
      </c>
      <c r="P324">
        <f>COUNTIF(Taostats_CSV!$X:$X,Taostats_CSV!$I324&amp;P$1)</f>
        <v>0</v>
      </c>
      <c r="Q324" t="b">
        <f t="shared" ref="Q324:Q387" si="46">AND(O324&lt;=1,N324&lt;=1,P324&lt;=1,O324+N324+P324&gt;=2)</f>
        <v>0</v>
      </c>
      <c r="R324" t="b">
        <f>IF(LEN(K324)&gt;0,COUNTIF($K$3:K324,K324),FALSE)</f>
        <v>0</v>
      </c>
      <c r="S324" t="b">
        <f>IF(Taostats_CSV!A324=Taostats_CSV!$A$2,TRUE,Taostats_CSV!G324+Taostats_CSV!H324+Taostats_CSV!R324=0)</f>
        <v>0</v>
      </c>
      <c r="T324" t="b">
        <f t="shared" ref="T324:T387" si="47">AND(NOT(S324),OR(NOT(Q324),R324=1))</f>
        <v>1</v>
      </c>
      <c r="U324" t="b" cm="1">
        <f t="array" aca="1" ref="U324" ca="1">AND(T324,OR(O324-N324&gt;1,P324&gt;1,ISERROR(A324:P324)))</f>
        <v>0</v>
      </c>
      <c r="W324" t="e">
        <f>MATCH(K324&amp;$W$2,Taostats_CSV!$X$3:$X$1167,0)</f>
        <v>#N/A</v>
      </c>
      <c r="X324" t="e">
        <f t="shared" ca="1" si="42"/>
        <v>#VALUE!</v>
      </c>
      <c r="Y324">
        <f t="shared" ca="1" si="43"/>
        <v>0.44046783499999997</v>
      </c>
      <c r="Z324" t="e">
        <f t="shared" ca="1" si="44"/>
        <v>#VALUE!</v>
      </c>
    </row>
    <row r="325" spans="1:26" x14ac:dyDescent="0.4">
      <c r="A325" t="str">
        <f>MID(Taostats_CSV!C325,6,2)&amp;"/"&amp;MID(Taostats_CSV!C325,9,2)&amp;"/"&amp;LEFT(Taostats_CSV!C325,4)&amp;" "&amp;MID(Taostats_CSV!C325,12,8)</f>
        <v>05/16/2025 23:59:48</v>
      </c>
      <c r="C325" t="str">
        <f ca="1">IF(Q325,OFFSET(Taostats_CSV!$E$1,MATCH(K325&amp;D$1,Taostats_CSV!$X:$X,0)-1,0),IF(Taostats_CSV!F325="fee",IF(VALUE(Taostats_CSV!G325)&gt;0,Taostats_CSV!E325,""),""))</f>
        <v/>
      </c>
      <c r="D325" t="str">
        <f ca="1">IF(Q325,OFFSET(Taostats_CSV!$G$1,MATCH(K325&amp;D$1,Taostats_CSV!$X:$X,0)-1,0),IF(Taostats_CSV!F325="fee",IF(VALUE(Taostats_CSV!G325)&gt;0,Taostats_CSV!G325,""),""))</f>
        <v/>
      </c>
      <c r="E325" t="str">
        <f ca="1">IF(AND(Q325,P325&gt;0),OFFSET(Taostats_CSV!$E$1,MATCH(K325&amp;F$1,Taostats_CSV!$X:$X,0)-1,0),IF(LEN(F325)&gt;0,Taostats_CSV!E325,""))</f>
        <v>SN4</v>
      </c>
      <c r="F325" t="str">
        <f ca="1">TRIM(IF(AND(Q325,P325&gt;0),OFFSET(Taostats_CSV!$H$1,MATCH(K325&amp;F$1,Taostats_CSV!$X:$X,0)-1,0),IF(LEN(Taostats_CSV!H325)&gt;0,Taostats_CSV!H325,Taostats_CSV!R325)))</f>
        <v>0.409988573</v>
      </c>
      <c r="G325" t="str">
        <f ca="1">IF(AND(Q325,N325=1),OFFSET(Taostats_CSV!$E$1,MATCH(K325&amp;H$1,Taostats_CSV!$X:$X,0)-1,0),"")</f>
        <v/>
      </c>
      <c r="H325" t="str">
        <f ca="1">IF(AND(Q325,N325=1),OFFSET(Taostats_CSV!$G$1,MATCH(K325&amp;H$1,Taostats_CSV!$X:$X,0)-1,0),"")</f>
        <v/>
      </c>
      <c r="I325" t="str">
        <f ca="1">IF(AND(LEN(K325)=0,LEN(F325)&gt;0),"Income",IF(AND(O325&gt;0,P325&gt;0,C325&lt;&gt;E325),"Trade",IF(AND(NOT(Q325),Taostats_CSV!F325="fee"),'READ ME'!$C$5,"")))</f>
        <v>Income</v>
      </c>
      <c r="J325" t="str">
        <f ca="1">SUBSTITUTE(IF(LEN(I325)=0,Taostats_CSV!F325&amp;" "&amp;Taostats_CSV!J325,IF(I325="Cost","Extrinsic fee","")),"_"," ")</f>
        <v/>
      </c>
      <c r="K325" t="str">
        <f>TRIM(IF(LEN(Taostats_CSV!I325)&gt;0,Taostats_CSV!I325,""))</f>
        <v/>
      </c>
      <c r="L325">
        <f ca="1">IF(Taostats_CSV!E325&lt;&gt;"TAO",IF(LEN(F325)&gt;0,F325,IF(LEN(D325)&gt;0,D325,0))*Taostats_CSV!P325,"")</f>
        <v>19.281857636120943</v>
      </c>
      <c r="M325" t="str">
        <f t="shared" ca="1" si="45"/>
        <v>USD</v>
      </c>
      <c r="N325">
        <f>COUNTIF(Taostats_CSV!$X:$X,Taostats_CSV!$I325&amp;N$1)</f>
        <v>0</v>
      </c>
      <c r="O325">
        <f>COUNTIF(Taostats_CSV!$X:$X,Taostats_CSV!$I325&amp;O$1)</f>
        <v>0</v>
      </c>
      <c r="P325">
        <f>COUNTIF(Taostats_CSV!$X:$X,Taostats_CSV!$I325&amp;P$1)</f>
        <v>0</v>
      </c>
      <c r="Q325" t="b">
        <f t="shared" si="46"/>
        <v>0</v>
      </c>
      <c r="R325" t="b">
        <f>IF(LEN(K325)&gt;0,COUNTIF($K$3:K325,K325),FALSE)</f>
        <v>0</v>
      </c>
      <c r="S325" t="b">
        <f>IF(Taostats_CSV!A325=Taostats_CSV!$A$2,TRUE,Taostats_CSV!G325+Taostats_CSV!H325+Taostats_CSV!R325=0)</f>
        <v>0</v>
      </c>
      <c r="T325" t="b">
        <f t="shared" si="47"/>
        <v>1</v>
      </c>
      <c r="U325" t="b" cm="1">
        <f t="array" aca="1" ref="U325" ca="1">AND(T325,OR(O325-N325&gt;1,P325&gt;1,ISERROR(A325:P325)))</f>
        <v>0</v>
      </c>
      <c r="W325" t="e">
        <f>MATCH(K325&amp;$W$2,Taostats_CSV!$X$3:$X$1167,0)</f>
        <v>#N/A</v>
      </c>
      <c r="X325" t="e">
        <f t="shared" ca="1" si="42"/>
        <v>#VALUE!</v>
      </c>
      <c r="Y325">
        <f t="shared" ca="1" si="43"/>
        <v>0.40998857300000002</v>
      </c>
      <c r="Z325" t="e">
        <f t="shared" ca="1" si="44"/>
        <v>#VALUE!</v>
      </c>
    </row>
    <row r="326" spans="1:26" x14ac:dyDescent="0.4">
      <c r="A326" t="str">
        <f>MID(Taostats_CSV!C326,6,2)&amp;"/"&amp;MID(Taostats_CSV!C326,9,2)&amp;"/"&amp;LEFT(Taostats_CSV!C326,4)&amp;" "&amp;MID(Taostats_CSV!C326,12,8)</f>
        <v>05/16/2025 23:59:48</v>
      </c>
      <c r="C326" t="str">
        <f ca="1">IF(Q326,OFFSET(Taostats_CSV!$E$1,MATCH(K326&amp;D$1,Taostats_CSV!$X:$X,0)-1,0),IF(Taostats_CSV!F326="fee",IF(VALUE(Taostats_CSV!G326)&gt;0,Taostats_CSV!E326,""),""))</f>
        <v/>
      </c>
      <c r="D326" t="str">
        <f ca="1">IF(Q326,OFFSET(Taostats_CSV!$G$1,MATCH(K326&amp;D$1,Taostats_CSV!$X:$X,0)-1,0),IF(Taostats_CSV!F326="fee",IF(VALUE(Taostats_CSV!G326)&gt;0,Taostats_CSV!G326,""),""))</f>
        <v/>
      </c>
      <c r="E326" t="str">
        <f ca="1">IF(AND(Q326,P326&gt;0),OFFSET(Taostats_CSV!$E$1,MATCH(K326&amp;F$1,Taostats_CSV!$X:$X,0)-1,0),IF(LEN(F326)&gt;0,Taostats_CSV!E326,""))</f>
        <v>SN56</v>
      </c>
      <c r="F326" t="str">
        <f ca="1">TRIM(IF(AND(Q326,P326&gt;0),OFFSET(Taostats_CSV!$H$1,MATCH(K326&amp;F$1,Taostats_CSV!$X:$X,0)-1,0),IF(LEN(Taostats_CSV!H326)&gt;0,Taostats_CSV!H326,Taostats_CSV!R326)))</f>
        <v>0.240926531</v>
      </c>
      <c r="G326" t="str">
        <f ca="1">IF(AND(Q326,N326=1),OFFSET(Taostats_CSV!$E$1,MATCH(K326&amp;H$1,Taostats_CSV!$X:$X,0)-1,0),"")</f>
        <v/>
      </c>
      <c r="H326" t="str">
        <f ca="1">IF(AND(Q326,N326=1),OFFSET(Taostats_CSV!$G$1,MATCH(K326&amp;H$1,Taostats_CSV!$X:$X,0)-1,0),"")</f>
        <v/>
      </c>
      <c r="I326" t="str">
        <f ca="1">IF(AND(LEN(K326)=0,LEN(F326)&gt;0),"Income",IF(AND(O326&gt;0,P326&gt;0,C326&lt;&gt;E326),"Trade",IF(AND(NOT(Q326),Taostats_CSV!F326="fee"),'READ ME'!$C$5,"")))</f>
        <v>Income</v>
      </c>
      <c r="J326" t="str">
        <f ca="1">SUBSTITUTE(IF(LEN(I326)=0,Taostats_CSV!F326&amp;" "&amp;Taostats_CSV!J326,IF(I326="Cost","Extrinsic fee","")),"_"," ")</f>
        <v/>
      </c>
      <c r="K326" t="str">
        <f>TRIM(IF(LEN(Taostats_CSV!I326)&gt;0,Taostats_CSV!I326,""))</f>
        <v/>
      </c>
      <c r="L326">
        <f ca="1">IF(Taostats_CSV!E326&lt;&gt;"TAO",IF(LEN(F326)&gt;0,F326,IF(LEN(D326)&gt;0,D326,0))*Taostats_CSV!P326,"")</f>
        <v>11.257788471094054</v>
      </c>
      <c r="M326" t="str">
        <f t="shared" ca="1" si="45"/>
        <v>USD</v>
      </c>
      <c r="N326">
        <f>COUNTIF(Taostats_CSV!$X:$X,Taostats_CSV!$I326&amp;N$1)</f>
        <v>0</v>
      </c>
      <c r="O326">
        <f>COUNTIF(Taostats_CSV!$X:$X,Taostats_CSV!$I326&amp;O$1)</f>
        <v>0</v>
      </c>
      <c r="P326">
        <f>COUNTIF(Taostats_CSV!$X:$X,Taostats_CSV!$I326&amp;P$1)</f>
        <v>0</v>
      </c>
      <c r="Q326" t="b">
        <f t="shared" si="46"/>
        <v>0</v>
      </c>
      <c r="R326" t="b">
        <f>IF(LEN(K326)&gt;0,COUNTIF($K$3:K326,K326),FALSE)</f>
        <v>0</v>
      </c>
      <c r="S326" t="b">
        <f>IF(Taostats_CSV!A326=Taostats_CSV!$A$2,TRUE,Taostats_CSV!G326+Taostats_CSV!H326+Taostats_CSV!R326=0)</f>
        <v>0</v>
      </c>
      <c r="T326" t="b">
        <f t="shared" si="47"/>
        <v>1</v>
      </c>
      <c r="U326" t="b" cm="1">
        <f t="array" aca="1" ref="U326" ca="1">AND(T326,OR(O326-N326&gt;1,P326&gt;1,ISERROR(A326:P326)))</f>
        <v>0</v>
      </c>
      <c r="W326" t="e">
        <f>MATCH(K326&amp;$W$2,Taostats_CSV!$X$3:$X$1167,0)</f>
        <v>#N/A</v>
      </c>
      <c r="X326" t="e">
        <f t="shared" ca="1" si="42"/>
        <v>#VALUE!</v>
      </c>
      <c r="Y326">
        <f t="shared" ca="1" si="43"/>
        <v>0.240926531</v>
      </c>
      <c r="Z326" t="e">
        <f t="shared" ca="1" si="44"/>
        <v>#VALUE!</v>
      </c>
    </row>
    <row r="327" spans="1:26" x14ac:dyDescent="0.4">
      <c r="A327" t="str">
        <f>MID(Taostats_CSV!C327,6,2)&amp;"/"&amp;MID(Taostats_CSV!C327,9,2)&amp;"/"&amp;LEFT(Taostats_CSV!C327,4)&amp;" "&amp;MID(Taostats_CSV!C327,12,8)</f>
        <v>05/16/2025 23:59:48</v>
      </c>
      <c r="C327" t="str">
        <f ca="1">IF(Q327,OFFSET(Taostats_CSV!$E$1,MATCH(K327&amp;D$1,Taostats_CSV!$X:$X,0)-1,0),IF(Taostats_CSV!F327="fee",IF(VALUE(Taostats_CSV!G327)&gt;0,Taostats_CSV!E327,""),""))</f>
        <v/>
      </c>
      <c r="D327" t="str">
        <f ca="1">IF(Q327,OFFSET(Taostats_CSV!$G$1,MATCH(K327&amp;D$1,Taostats_CSV!$X:$X,0)-1,0),IF(Taostats_CSV!F327="fee",IF(VALUE(Taostats_CSV!G327)&gt;0,Taostats_CSV!G327,""),""))</f>
        <v/>
      </c>
      <c r="E327" t="str">
        <f ca="1">IF(AND(Q327,P327&gt;0),OFFSET(Taostats_CSV!$E$1,MATCH(K327&amp;F$1,Taostats_CSV!$X:$X,0)-1,0),IF(LEN(F327)&gt;0,Taostats_CSV!E327,""))</f>
        <v>SN64</v>
      </c>
      <c r="F327" t="str">
        <f ca="1">TRIM(IF(AND(Q327,P327&gt;0),OFFSET(Taostats_CSV!$H$1,MATCH(K327&amp;F$1,Taostats_CSV!$X:$X,0)-1,0),IF(LEN(Taostats_CSV!H327)&gt;0,Taostats_CSV!H327,Taostats_CSV!R327)))</f>
        <v>0.154338249</v>
      </c>
      <c r="G327" t="str">
        <f ca="1">IF(AND(Q327,N327=1),OFFSET(Taostats_CSV!$E$1,MATCH(K327&amp;H$1,Taostats_CSV!$X:$X,0)-1,0),"")</f>
        <v/>
      </c>
      <c r="H327" t="str">
        <f ca="1">IF(AND(Q327,N327=1),OFFSET(Taostats_CSV!$G$1,MATCH(K327&amp;H$1,Taostats_CSV!$X:$X,0)-1,0),"")</f>
        <v/>
      </c>
      <c r="I327" t="str">
        <f ca="1">IF(AND(LEN(K327)=0,LEN(F327)&gt;0),"Income",IF(AND(O327&gt;0,P327&gt;0,C327&lt;&gt;E327),"Trade",IF(AND(NOT(Q327),Taostats_CSV!F327="fee"),'READ ME'!$C$5,"")))</f>
        <v>Income</v>
      </c>
      <c r="J327" t="str">
        <f ca="1">SUBSTITUTE(IF(LEN(I327)=0,Taostats_CSV!F327&amp;" "&amp;Taostats_CSV!J327,IF(I327="Cost","Extrinsic fee","")),"_"," ")</f>
        <v/>
      </c>
      <c r="K327" t="str">
        <f>TRIM(IF(LEN(Taostats_CSV!I327)&gt;0,Taostats_CSV!I327,""))</f>
        <v/>
      </c>
      <c r="L327">
        <f ca="1">IF(Taostats_CSV!E327&lt;&gt;"TAO",IF(LEN(F327)&gt;0,F327,IF(LEN(D327)&gt;0,D327,0))*Taostats_CSV!P327,"")</f>
        <v>15.276767147489988</v>
      </c>
      <c r="M327" t="str">
        <f t="shared" ca="1" si="45"/>
        <v>USD</v>
      </c>
      <c r="N327">
        <f>COUNTIF(Taostats_CSV!$X:$X,Taostats_CSV!$I327&amp;N$1)</f>
        <v>0</v>
      </c>
      <c r="O327">
        <f>COUNTIF(Taostats_CSV!$X:$X,Taostats_CSV!$I327&amp;O$1)</f>
        <v>0</v>
      </c>
      <c r="P327">
        <f>COUNTIF(Taostats_CSV!$X:$X,Taostats_CSV!$I327&amp;P$1)</f>
        <v>0</v>
      </c>
      <c r="Q327" t="b">
        <f t="shared" si="46"/>
        <v>0</v>
      </c>
      <c r="R327" t="b">
        <f>IF(LEN(K327)&gt;0,COUNTIF($K$3:K327,K327),FALSE)</f>
        <v>0</v>
      </c>
      <c r="S327" t="b">
        <f>IF(Taostats_CSV!A327=Taostats_CSV!$A$2,TRUE,Taostats_CSV!G327+Taostats_CSV!H327+Taostats_CSV!R327=0)</f>
        <v>0</v>
      </c>
      <c r="T327" t="b">
        <f t="shared" si="47"/>
        <v>1</v>
      </c>
      <c r="U327" t="b" cm="1">
        <f t="array" aca="1" ref="U327" ca="1">AND(T327,OR(O327-N327&gt;1,P327&gt;1,ISERROR(A327:P327)))</f>
        <v>0</v>
      </c>
      <c r="W327" t="e">
        <f>MATCH(K327&amp;$W$2,Taostats_CSV!$X$3:$X$1167,0)</f>
        <v>#N/A</v>
      </c>
      <c r="X327" t="e">
        <f t="shared" ca="1" si="42"/>
        <v>#VALUE!</v>
      </c>
      <c r="Y327">
        <f t="shared" ca="1" si="43"/>
        <v>0.15433824900000001</v>
      </c>
      <c r="Z327" t="e">
        <f t="shared" ca="1" si="44"/>
        <v>#VALUE!</v>
      </c>
    </row>
    <row r="328" spans="1:26" hidden="1" x14ac:dyDescent="0.4">
      <c r="A328" t="str">
        <f>MID(Taostats_CSV!C328,6,2)&amp;"/"&amp;MID(Taostats_CSV!C328,9,2)&amp;"/"&amp;LEFT(Taostats_CSV!C328,4)&amp;" "&amp;MID(Taostats_CSV!C328,12,8)</f>
        <v>05/16/2025 23:59:48</v>
      </c>
      <c r="C328" t="str">
        <f ca="1">IF(Q328,OFFSET(Taostats_CSV!$E$1,MATCH(K328&amp;D$1,Taostats_CSV!$X:$X,0)-1,0),IF(Taostats_CSV!F328="fee","",IF(VALUE(Taostats_CSV!G328)&gt;0,Taostats_CSV!E328,"")))</f>
        <v/>
      </c>
      <c r="D328" t="str">
        <f ca="1">IF(Q328,OFFSET(Taostats_CSV!$G$1,MATCH(K328&amp;D$1,Taostats_CSV!$X:$X,0)-1,0),IF(Taostats_CSV!F328="fee","",IF(VALUE(Taostats_CSV!G328)&gt;0,Taostats_CSV!G328,"")))</f>
        <v/>
      </c>
      <c r="E328" t="str">
        <f ca="1">IF(AND(Q328,P328&gt;0),OFFSET(Taostats_CSV!$E$1,MATCH(K328&amp;F$1,Taostats_CSV!$X:$X,0)-1,0),IF(LEN(F328)&gt;0,Taostats_CSV!E328,""))</f>
        <v>TAO</v>
      </c>
      <c r="F328" t="str">
        <f ca="1">TRIM(IF(AND(Q328,P328&gt;0),OFFSET(Taostats_CSV!$H$1,MATCH(K328&amp;F$1,Taostats_CSV!$X:$X,0)-1,0),IF(LEN(Taostats_CSV!H328)&gt;0,Taostats_CSV!H328,Taostats_CSV!R328)))</f>
        <v>0</v>
      </c>
      <c r="G328" t="str">
        <f ca="1">IF(AND(Q328,N328=1),OFFSET(Taostats_CSV!$E$1,MATCH(K328&amp;H$1,Taostats_CSV!$X:$X,0)-1,0),IF(Taostats_CSV!F328="fee",Taostats_CSV!E328,""))</f>
        <v/>
      </c>
      <c r="H328" t="str">
        <f ca="1">IF(AND(Q328,N328=1),OFFSET(Taostats_CSV!$G$1,MATCH(K328&amp;H$1,Taostats_CSV!$X:$X,0)-1,0),IF(Taostats_CSV!F328="fee",Taostats_CSV!G328,""))</f>
        <v/>
      </c>
      <c r="I328" t="str">
        <f ca="1">IF(AND(LEN(K328)=0,LEN(F328)&gt;0),"Income",IF(AND(O328&gt;0,P328&gt;0,C328&lt;&gt;E328),"Trade",IF(AND(NOT(Q328),Taostats_CSV!F328="fee"),'READ ME'!$C$5,"")))</f>
        <v>Income</v>
      </c>
      <c r="J328" t="str">
        <f ca="1">SUBSTITUTE(IF(LEN(I328)=0,Taostats_CSV!F328&amp;" "&amp;Taostats_CSV!J328,IF(I328="Cost","Extrinsic fee","")),"_"," ")</f>
        <v/>
      </c>
      <c r="K328" t="str">
        <f>TRIM(IF(LEN(Taostats_CSV!I328)&gt;0,Taostats_CSV!I328,""))</f>
        <v/>
      </c>
      <c r="L328" t="str">
        <f>IF(Taostats_CSV!E328&lt;&gt;"TAO",IF(LEN(F328)&gt;0,F328,IF(LEN(D328)&gt;0,D328,0))*Taostats_CSV!P328,"")</f>
        <v/>
      </c>
      <c r="M328" t="str">
        <f t="shared" si="45"/>
        <v/>
      </c>
      <c r="N328">
        <f>COUNTIF(Taostats_CSV!$X:$X,Taostats_CSV!$I328&amp;N$1)</f>
        <v>0</v>
      </c>
      <c r="O328">
        <f>COUNTIF(Taostats_CSV!$X:$X,Taostats_CSV!$I328&amp;O$1)</f>
        <v>0</v>
      </c>
      <c r="P328">
        <f>COUNTIF(Taostats_CSV!$X:$X,Taostats_CSV!$I328&amp;P$1)</f>
        <v>0</v>
      </c>
      <c r="Q328" t="b">
        <f t="shared" si="46"/>
        <v>0</v>
      </c>
      <c r="R328" t="b">
        <f>IF(LEN(K328)&gt;0,COUNTIF($K$3:K328,K328),FALSE)</f>
        <v>0</v>
      </c>
      <c r="S328" t="b">
        <f>IF(Taostats_CSV!A328=Taostats_CSV!$A$2,TRUE,Taostats_CSV!G328+Taostats_CSV!H328+Taostats_CSV!R328=0)</f>
        <v>1</v>
      </c>
      <c r="T328" t="b">
        <f t="shared" si="47"/>
        <v>0</v>
      </c>
      <c r="U328" t="b" cm="1">
        <f t="array" aca="1" ref="U328" ca="1">AND(T328,OR(O328-N328&gt;1,P328&gt;1,ISERROR(A328:P328)))</f>
        <v>0</v>
      </c>
      <c r="W328" t="e">
        <f>MATCH(K328&amp;$W$2,Taostats_CSV!$X$3:$X$1167,0)</f>
        <v>#N/A</v>
      </c>
      <c r="X328" t="e">
        <f t="shared" ca="1" si="42"/>
        <v>#VALUE!</v>
      </c>
      <c r="Y328">
        <f t="shared" ca="1" si="43"/>
        <v>0</v>
      </c>
      <c r="Z328" t="e">
        <f t="shared" ca="1" si="44"/>
        <v>#VALUE!</v>
      </c>
    </row>
    <row r="329" spans="1:26" x14ac:dyDescent="0.4">
      <c r="A329" t="str">
        <f>MID(Taostats_CSV!C329,6,2)&amp;"/"&amp;MID(Taostats_CSV!C329,9,2)&amp;"/"&amp;LEFT(Taostats_CSV!C329,4)&amp;" "&amp;MID(Taostats_CSV!C329,12,8)</f>
        <v>05/17/2025 23:59:48</v>
      </c>
      <c r="C329" t="str">
        <f ca="1">IF(Q329,OFFSET(Taostats_CSV!$E$1,MATCH(K329&amp;D$1,Taostats_CSV!$X:$X,0)-1,0),IF(Taostats_CSV!F329="fee",IF(VALUE(Taostats_CSV!G329)&gt;0,Taostats_CSV!E329,""),""))</f>
        <v/>
      </c>
      <c r="D329" t="str">
        <f ca="1">IF(Q329,OFFSET(Taostats_CSV!$G$1,MATCH(K329&amp;D$1,Taostats_CSV!$X:$X,0)-1,0),IF(Taostats_CSV!F329="fee",IF(VALUE(Taostats_CSV!G329)&gt;0,Taostats_CSV!G329,""),""))</f>
        <v/>
      </c>
      <c r="E329" t="str">
        <f ca="1">IF(AND(Q329,P329&gt;0),OFFSET(Taostats_CSV!$E$1,MATCH(K329&amp;F$1,Taostats_CSV!$X:$X,0)-1,0),IF(LEN(F329)&gt;0,Taostats_CSV!E329,""))</f>
        <v>SN3</v>
      </c>
      <c r="F329" t="str">
        <f ca="1">TRIM(IF(AND(Q329,P329&gt;0),OFFSET(Taostats_CSV!$H$1,MATCH(K329&amp;F$1,Taostats_CSV!$X:$X,0)-1,0),IF(LEN(Taostats_CSV!H329)&gt;0,Taostats_CSV!H329,Taostats_CSV!R329)))</f>
        <v>0.479409836</v>
      </c>
      <c r="G329" t="str">
        <f ca="1">IF(AND(Q329,N329=1),OFFSET(Taostats_CSV!$E$1,MATCH(K329&amp;H$1,Taostats_CSV!$X:$X,0)-1,0),"")</f>
        <v/>
      </c>
      <c r="H329" t="str">
        <f ca="1">IF(AND(Q329,N329=1),OFFSET(Taostats_CSV!$G$1,MATCH(K329&amp;H$1,Taostats_CSV!$X:$X,0)-1,0),"")</f>
        <v/>
      </c>
      <c r="I329" t="str">
        <f ca="1">IF(AND(LEN(K329)=0,LEN(F329)&gt;0),"Income",IF(AND(O329&gt;0,P329&gt;0,C329&lt;&gt;E329),"Trade",IF(AND(NOT(Q329),Taostats_CSV!F329="fee"),'READ ME'!$C$5,"")))</f>
        <v>Income</v>
      </c>
      <c r="J329" t="str">
        <f ca="1">SUBSTITUTE(IF(LEN(I329)=0,Taostats_CSV!F329&amp;" "&amp;Taostats_CSV!J329,IF(I329="Cost","Extrinsic fee","")),"_"," ")</f>
        <v/>
      </c>
      <c r="K329" t="str">
        <f>TRIM(IF(LEN(Taostats_CSV!I329)&gt;0,Taostats_CSV!I329,""))</f>
        <v/>
      </c>
      <c r="L329">
        <f ca="1">IF(Taostats_CSV!E329&lt;&gt;"TAO",IF(LEN(F329)&gt;0,F329,IF(LEN(D329)&gt;0,D329,0))*Taostats_CSV!P329,"")</f>
        <v>18.144743207422685</v>
      </c>
      <c r="M329" t="str">
        <f t="shared" ca="1" si="45"/>
        <v>USD</v>
      </c>
      <c r="N329">
        <f>COUNTIF(Taostats_CSV!$X:$X,Taostats_CSV!$I329&amp;N$1)</f>
        <v>0</v>
      </c>
      <c r="O329">
        <f>COUNTIF(Taostats_CSV!$X:$X,Taostats_CSV!$I329&amp;O$1)</f>
        <v>0</v>
      </c>
      <c r="P329">
        <f>COUNTIF(Taostats_CSV!$X:$X,Taostats_CSV!$I329&amp;P$1)</f>
        <v>0</v>
      </c>
      <c r="Q329" t="b">
        <f t="shared" si="46"/>
        <v>0</v>
      </c>
      <c r="R329" t="b">
        <f>IF(LEN(K329)&gt;0,COUNTIF($K$3:K329,K329),FALSE)</f>
        <v>0</v>
      </c>
      <c r="S329" t="b">
        <f>IF(Taostats_CSV!A329=Taostats_CSV!$A$2,TRUE,Taostats_CSV!G329+Taostats_CSV!H329+Taostats_CSV!R329=0)</f>
        <v>0</v>
      </c>
      <c r="T329" t="b">
        <f t="shared" si="47"/>
        <v>1</v>
      </c>
      <c r="U329" t="b" cm="1">
        <f t="array" aca="1" ref="U329" ca="1">AND(T329,OR(O329-N329&gt;1,P329&gt;1,ISERROR(A329:P329)))</f>
        <v>0</v>
      </c>
      <c r="W329" t="e">
        <f>MATCH(K329&amp;$W$2,Taostats_CSV!$X$3:$X$1167,0)</f>
        <v>#N/A</v>
      </c>
      <c r="X329" t="e">
        <f t="shared" ca="1" si="42"/>
        <v>#VALUE!</v>
      </c>
      <c r="Y329">
        <f t="shared" ca="1" si="43"/>
        <v>0.47940983599999998</v>
      </c>
      <c r="Z329" t="e">
        <f t="shared" ca="1" si="44"/>
        <v>#VALUE!</v>
      </c>
    </row>
    <row r="330" spans="1:26" x14ac:dyDescent="0.4">
      <c r="A330" t="str">
        <f>MID(Taostats_CSV!C330,6,2)&amp;"/"&amp;MID(Taostats_CSV!C330,9,2)&amp;"/"&amp;LEFT(Taostats_CSV!C330,4)&amp;" "&amp;MID(Taostats_CSV!C330,12,8)</f>
        <v>05/17/2025 23:59:48</v>
      </c>
      <c r="C330" t="str">
        <f ca="1">IF(Q330,OFFSET(Taostats_CSV!$E$1,MATCH(K330&amp;D$1,Taostats_CSV!$X:$X,0)-1,0),IF(Taostats_CSV!F330="fee",IF(VALUE(Taostats_CSV!G330)&gt;0,Taostats_CSV!E330,""),""))</f>
        <v/>
      </c>
      <c r="D330" t="str">
        <f ca="1">IF(Q330,OFFSET(Taostats_CSV!$G$1,MATCH(K330&amp;D$1,Taostats_CSV!$X:$X,0)-1,0),IF(Taostats_CSV!F330="fee",IF(VALUE(Taostats_CSV!G330)&gt;0,Taostats_CSV!G330,""),""))</f>
        <v/>
      </c>
      <c r="E330" t="str">
        <f ca="1">IF(AND(Q330,P330&gt;0),OFFSET(Taostats_CSV!$E$1,MATCH(K330&amp;F$1,Taostats_CSV!$X:$X,0)-1,0),IF(LEN(F330)&gt;0,Taostats_CSV!E330,""))</f>
        <v>SN4</v>
      </c>
      <c r="F330" t="str">
        <f ca="1">TRIM(IF(AND(Q330,P330&gt;0),OFFSET(Taostats_CSV!$H$1,MATCH(K330&amp;F$1,Taostats_CSV!$X:$X,0)-1,0),IF(LEN(Taostats_CSV!H330)&gt;0,Taostats_CSV!H330,Taostats_CSV!R330)))</f>
        <v>0.406330086</v>
      </c>
      <c r="G330" t="str">
        <f ca="1">IF(AND(Q330,N330=1),OFFSET(Taostats_CSV!$E$1,MATCH(K330&amp;H$1,Taostats_CSV!$X:$X,0)-1,0),"")</f>
        <v/>
      </c>
      <c r="H330" t="str">
        <f ca="1">IF(AND(Q330,N330=1),OFFSET(Taostats_CSV!$G$1,MATCH(K330&amp;H$1,Taostats_CSV!$X:$X,0)-1,0),"")</f>
        <v/>
      </c>
      <c r="I330" t="str">
        <f ca="1">IF(AND(LEN(K330)=0,LEN(F330)&gt;0),"Income",IF(AND(O330&gt;0,P330&gt;0,C330&lt;&gt;E330),"Trade",IF(AND(NOT(Q330),Taostats_CSV!F330="fee"),'READ ME'!$C$5,"")))</f>
        <v>Income</v>
      </c>
      <c r="J330" t="str">
        <f ca="1">SUBSTITUTE(IF(LEN(I330)=0,Taostats_CSV!F330&amp;" "&amp;Taostats_CSV!J330,IF(I330="Cost","Extrinsic fee","")),"_"," ")</f>
        <v/>
      </c>
      <c r="K330" t="str">
        <f>TRIM(IF(LEN(Taostats_CSV!I330)&gt;0,Taostats_CSV!I330,""))</f>
        <v/>
      </c>
      <c r="L330">
        <f ca="1">IF(Taostats_CSV!E330&lt;&gt;"TAO",IF(LEN(F330)&gt;0,F330,IF(LEN(D330)&gt;0,D330,0))*Taostats_CSV!P330,"")</f>
        <v>18.70423561557838</v>
      </c>
      <c r="M330" t="str">
        <f t="shared" ca="1" si="45"/>
        <v>USD</v>
      </c>
      <c r="N330">
        <f>COUNTIF(Taostats_CSV!$X:$X,Taostats_CSV!$I330&amp;N$1)</f>
        <v>0</v>
      </c>
      <c r="O330">
        <f>COUNTIF(Taostats_CSV!$X:$X,Taostats_CSV!$I330&amp;O$1)</f>
        <v>0</v>
      </c>
      <c r="P330">
        <f>COUNTIF(Taostats_CSV!$X:$X,Taostats_CSV!$I330&amp;P$1)</f>
        <v>0</v>
      </c>
      <c r="Q330" t="b">
        <f t="shared" si="46"/>
        <v>0</v>
      </c>
      <c r="R330" t="b">
        <f>IF(LEN(K330)&gt;0,COUNTIF($K$3:K330,K330),FALSE)</f>
        <v>0</v>
      </c>
      <c r="S330" t="b">
        <f>IF(Taostats_CSV!A330=Taostats_CSV!$A$2,TRUE,Taostats_CSV!G330+Taostats_CSV!H330+Taostats_CSV!R330=0)</f>
        <v>0</v>
      </c>
      <c r="T330" t="b">
        <f t="shared" si="47"/>
        <v>1</v>
      </c>
      <c r="U330" t="b" cm="1">
        <f t="array" aca="1" ref="U330" ca="1">AND(T330,OR(O330-N330&gt;1,P330&gt;1,ISERROR(A330:P330)))</f>
        <v>0</v>
      </c>
      <c r="W330" t="e">
        <f>MATCH(K330&amp;$W$2,Taostats_CSV!$X$3:$X$1167,0)</f>
        <v>#N/A</v>
      </c>
      <c r="X330" t="e">
        <f t="shared" ca="1" si="42"/>
        <v>#VALUE!</v>
      </c>
      <c r="Y330">
        <f t="shared" ca="1" si="43"/>
        <v>0.40633008599999998</v>
      </c>
      <c r="Z330" t="e">
        <f t="shared" ca="1" si="44"/>
        <v>#VALUE!</v>
      </c>
    </row>
    <row r="331" spans="1:26" x14ac:dyDescent="0.4">
      <c r="A331" t="str">
        <f>MID(Taostats_CSV!C331,6,2)&amp;"/"&amp;MID(Taostats_CSV!C331,9,2)&amp;"/"&amp;LEFT(Taostats_CSV!C331,4)&amp;" "&amp;MID(Taostats_CSV!C331,12,8)</f>
        <v>05/17/2025 23:59:48</v>
      </c>
      <c r="C331" t="str">
        <f ca="1">IF(Q331,OFFSET(Taostats_CSV!$E$1,MATCH(K331&amp;D$1,Taostats_CSV!$X:$X,0)-1,0),IF(Taostats_CSV!F331="fee",IF(VALUE(Taostats_CSV!G331)&gt;0,Taostats_CSV!E331,""),""))</f>
        <v/>
      </c>
      <c r="D331" t="str">
        <f ca="1">IF(Q331,OFFSET(Taostats_CSV!$G$1,MATCH(K331&amp;D$1,Taostats_CSV!$X:$X,0)-1,0),IF(Taostats_CSV!F331="fee",IF(VALUE(Taostats_CSV!G331)&gt;0,Taostats_CSV!G331,""),""))</f>
        <v/>
      </c>
      <c r="E331" t="str">
        <f ca="1">IF(AND(Q331,P331&gt;0),OFFSET(Taostats_CSV!$E$1,MATCH(K331&amp;F$1,Taostats_CSV!$X:$X,0)-1,0),IF(LEN(F331)&gt;0,Taostats_CSV!E331,""))</f>
        <v>SN56</v>
      </c>
      <c r="F331" t="str">
        <f ca="1">TRIM(IF(AND(Q331,P331&gt;0),OFFSET(Taostats_CSV!$H$1,MATCH(K331&amp;F$1,Taostats_CSV!$X:$X,0)-1,0),IF(LEN(Taostats_CSV!H331)&gt;0,Taostats_CSV!H331,Taostats_CSV!R331)))</f>
        <v>0.243992684</v>
      </c>
      <c r="G331" t="str">
        <f ca="1">IF(AND(Q331,N331=1),OFFSET(Taostats_CSV!$E$1,MATCH(K331&amp;H$1,Taostats_CSV!$X:$X,0)-1,0),"")</f>
        <v/>
      </c>
      <c r="H331" t="str">
        <f ca="1">IF(AND(Q331,N331=1),OFFSET(Taostats_CSV!$G$1,MATCH(K331&amp;H$1,Taostats_CSV!$X:$X,0)-1,0),"")</f>
        <v/>
      </c>
      <c r="I331" t="str">
        <f ca="1">IF(AND(LEN(K331)=0,LEN(F331)&gt;0),"Income",IF(AND(O331&gt;0,P331&gt;0,C331&lt;&gt;E331),"Trade",IF(AND(NOT(Q331),Taostats_CSV!F331="fee"),'READ ME'!$C$5,"")))</f>
        <v>Income</v>
      </c>
      <c r="J331" t="str">
        <f ca="1">SUBSTITUTE(IF(LEN(I331)=0,Taostats_CSV!F331&amp;" "&amp;Taostats_CSV!J331,IF(I331="Cost","Extrinsic fee","")),"_"," ")</f>
        <v/>
      </c>
      <c r="K331" t="str">
        <f>TRIM(IF(LEN(Taostats_CSV!I331)&gt;0,Taostats_CSV!I331,""))</f>
        <v/>
      </c>
      <c r="L331">
        <f ca="1">IF(Taostats_CSV!E331&lt;&gt;"TAO",IF(LEN(F331)&gt;0,F331,IF(LEN(D331)&gt;0,D331,0))*Taostats_CSV!P331,"")</f>
        <v>10.518102452685364</v>
      </c>
      <c r="M331" t="str">
        <f t="shared" ca="1" si="45"/>
        <v>USD</v>
      </c>
      <c r="N331">
        <f>COUNTIF(Taostats_CSV!$X:$X,Taostats_CSV!$I331&amp;N$1)</f>
        <v>0</v>
      </c>
      <c r="O331">
        <f>COUNTIF(Taostats_CSV!$X:$X,Taostats_CSV!$I331&amp;O$1)</f>
        <v>0</v>
      </c>
      <c r="P331">
        <f>COUNTIF(Taostats_CSV!$X:$X,Taostats_CSV!$I331&amp;P$1)</f>
        <v>0</v>
      </c>
      <c r="Q331" t="b">
        <f t="shared" si="46"/>
        <v>0</v>
      </c>
      <c r="R331" t="b">
        <f>IF(LEN(K331)&gt;0,COUNTIF($K$3:K331,K331),FALSE)</f>
        <v>0</v>
      </c>
      <c r="S331" t="b">
        <f>IF(Taostats_CSV!A331=Taostats_CSV!$A$2,TRUE,Taostats_CSV!G331+Taostats_CSV!H331+Taostats_CSV!R331=0)</f>
        <v>0</v>
      </c>
      <c r="T331" t="b">
        <f t="shared" si="47"/>
        <v>1</v>
      </c>
      <c r="U331" t="b" cm="1">
        <f t="array" aca="1" ref="U331" ca="1">AND(T331,OR(O331-N331&gt;1,P331&gt;1,ISERROR(A331:P331)))</f>
        <v>0</v>
      </c>
      <c r="W331" t="e">
        <f>MATCH(K331&amp;$W$2,Taostats_CSV!$X$3:$X$1167,0)</f>
        <v>#N/A</v>
      </c>
      <c r="X331" t="e">
        <f t="shared" ca="1" si="42"/>
        <v>#VALUE!</v>
      </c>
      <c r="Y331">
        <f t="shared" ca="1" si="43"/>
        <v>0.24399268399999999</v>
      </c>
      <c r="Z331" t="e">
        <f t="shared" ca="1" si="44"/>
        <v>#VALUE!</v>
      </c>
    </row>
    <row r="332" spans="1:26" x14ac:dyDescent="0.4">
      <c r="A332" t="str">
        <f>MID(Taostats_CSV!C332,6,2)&amp;"/"&amp;MID(Taostats_CSV!C332,9,2)&amp;"/"&amp;LEFT(Taostats_CSV!C332,4)&amp;" "&amp;MID(Taostats_CSV!C332,12,8)</f>
        <v>05/17/2025 23:59:48</v>
      </c>
      <c r="C332" t="str">
        <f ca="1">IF(Q332,OFFSET(Taostats_CSV!$E$1,MATCH(K332&amp;D$1,Taostats_CSV!$X:$X,0)-1,0),IF(Taostats_CSV!F332="fee",IF(VALUE(Taostats_CSV!G332)&gt;0,Taostats_CSV!E332,""),""))</f>
        <v/>
      </c>
      <c r="D332" t="str">
        <f ca="1">IF(Q332,OFFSET(Taostats_CSV!$G$1,MATCH(K332&amp;D$1,Taostats_CSV!$X:$X,0)-1,0),IF(Taostats_CSV!F332="fee",IF(VALUE(Taostats_CSV!G332)&gt;0,Taostats_CSV!G332,""),""))</f>
        <v/>
      </c>
      <c r="E332" t="str">
        <f ca="1">IF(AND(Q332,P332&gt;0),OFFSET(Taostats_CSV!$E$1,MATCH(K332&amp;F$1,Taostats_CSV!$X:$X,0)-1,0),IF(LEN(F332)&gt;0,Taostats_CSV!E332,""))</f>
        <v>SN64</v>
      </c>
      <c r="F332" t="str">
        <f ca="1">TRIM(IF(AND(Q332,P332&gt;0),OFFSET(Taostats_CSV!$H$1,MATCH(K332&amp;F$1,Taostats_CSV!$X:$X,0)-1,0),IF(LEN(Taostats_CSV!H332)&gt;0,Taostats_CSV!H332,Taostats_CSV!R332)))</f>
        <v>0.151567781</v>
      </c>
      <c r="G332" t="str">
        <f ca="1">IF(AND(Q332,N332=1),OFFSET(Taostats_CSV!$E$1,MATCH(K332&amp;H$1,Taostats_CSV!$X:$X,0)-1,0),"")</f>
        <v/>
      </c>
      <c r="H332" t="str">
        <f ca="1">IF(AND(Q332,N332=1),OFFSET(Taostats_CSV!$G$1,MATCH(K332&amp;H$1,Taostats_CSV!$X:$X,0)-1,0),"")</f>
        <v/>
      </c>
      <c r="I332" t="str">
        <f ca="1">IF(AND(LEN(K332)=0,LEN(F332)&gt;0),"Income",IF(AND(O332&gt;0,P332&gt;0,C332&lt;&gt;E332),"Trade",IF(AND(NOT(Q332),Taostats_CSV!F332="fee"),'READ ME'!$C$5,"")))</f>
        <v>Income</v>
      </c>
      <c r="J332" t="str">
        <f ca="1">SUBSTITUTE(IF(LEN(I332)=0,Taostats_CSV!F332&amp;" "&amp;Taostats_CSV!J332,IF(I332="Cost","Extrinsic fee","")),"_"," ")</f>
        <v/>
      </c>
      <c r="K332" t="str">
        <f>TRIM(IF(LEN(Taostats_CSV!I332)&gt;0,Taostats_CSV!I332,""))</f>
        <v/>
      </c>
      <c r="L332">
        <f ca="1">IF(Taostats_CSV!E332&lt;&gt;"TAO",IF(LEN(F332)&gt;0,F332,IF(LEN(D332)&gt;0,D332,0))*Taostats_CSV!P332,"")</f>
        <v>13.702612368552856</v>
      </c>
      <c r="M332" t="str">
        <f t="shared" ca="1" si="45"/>
        <v>USD</v>
      </c>
      <c r="N332">
        <f>COUNTIF(Taostats_CSV!$X:$X,Taostats_CSV!$I332&amp;N$1)</f>
        <v>0</v>
      </c>
      <c r="O332">
        <f>COUNTIF(Taostats_CSV!$X:$X,Taostats_CSV!$I332&amp;O$1)</f>
        <v>0</v>
      </c>
      <c r="P332">
        <f>COUNTIF(Taostats_CSV!$X:$X,Taostats_CSV!$I332&amp;P$1)</f>
        <v>0</v>
      </c>
      <c r="Q332" t="b">
        <f t="shared" si="46"/>
        <v>0</v>
      </c>
      <c r="R332" t="b">
        <f>IF(LEN(K332)&gt;0,COUNTIF($K$3:K332,K332),FALSE)</f>
        <v>0</v>
      </c>
      <c r="S332" t="b">
        <f>IF(Taostats_CSV!A332=Taostats_CSV!$A$2,TRUE,Taostats_CSV!G332+Taostats_CSV!H332+Taostats_CSV!R332=0)</f>
        <v>0</v>
      </c>
      <c r="T332" t="b">
        <f t="shared" si="47"/>
        <v>1</v>
      </c>
      <c r="U332" t="b" cm="1">
        <f t="array" aca="1" ref="U332" ca="1">AND(T332,OR(O332-N332&gt;1,P332&gt;1,ISERROR(A332:P332)))</f>
        <v>0</v>
      </c>
      <c r="W332" t="e">
        <f>MATCH(K332&amp;$W$2,Taostats_CSV!$X$3:$X$1167,0)</f>
        <v>#N/A</v>
      </c>
      <c r="X332" t="e">
        <f t="shared" ca="1" si="42"/>
        <v>#VALUE!</v>
      </c>
      <c r="Y332">
        <f t="shared" ca="1" si="43"/>
        <v>0.15156778100000001</v>
      </c>
      <c r="Z332" t="e">
        <f t="shared" ca="1" si="44"/>
        <v>#VALUE!</v>
      </c>
    </row>
    <row r="333" spans="1:26" hidden="1" x14ac:dyDescent="0.4">
      <c r="A333" t="str">
        <f>MID(Taostats_CSV!C333,6,2)&amp;"/"&amp;MID(Taostats_CSV!C333,9,2)&amp;"/"&amp;LEFT(Taostats_CSV!C333,4)&amp;" "&amp;MID(Taostats_CSV!C333,12,8)</f>
        <v>05/17/2025 23:59:48</v>
      </c>
      <c r="C333" t="str">
        <f ca="1">IF(Q333,OFFSET(Taostats_CSV!$E$1,MATCH(K333&amp;D$1,Taostats_CSV!$X:$X,0)-1,0),IF(Taostats_CSV!F333="fee","",IF(VALUE(Taostats_CSV!G333)&gt;0,Taostats_CSV!E333,"")))</f>
        <v/>
      </c>
      <c r="D333" t="str">
        <f ca="1">IF(Q333,OFFSET(Taostats_CSV!$G$1,MATCH(K333&amp;D$1,Taostats_CSV!$X:$X,0)-1,0),IF(Taostats_CSV!F333="fee","",IF(VALUE(Taostats_CSV!G333)&gt;0,Taostats_CSV!G333,"")))</f>
        <v/>
      </c>
      <c r="E333" t="str">
        <f ca="1">IF(AND(Q333,P333&gt;0),OFFSET(Taostats_CSV!$E$1,MATCH(K333&amp;F$1,Taostats_CSV!$X:$X,0)-1,0),IF(LEN(F333)&gt;0,Taostats_CSV!E333,""))</f>
        <v>TAO</v>
      </c>
      <c r="F333" t="str">
        <f ca="1">TRIM(IF(AND(Q333,P333&gt;0),OFFSET(Taostats_CSV!$H$1,MATCH(K333&amp;F$1,Taostats_CSV!$X:$X,0)-1,0),IF(LEN(Taostats_CSV!H333)&gt;0,Taostats_CSV!H333,Taostats_CSV!R333)))</f>
        <v>0</v>
      </c>
      <c r="G333" t="str">
        <f ca="1">IF(AND(Q333,N333=1),OFFSET(Taostats_CSV!$E$1,MATCH(K333&amp;H$1,Taostats_CSV!$X:$X,0)-1,0),IF(Taostats_CSV!F333="fee",Taostats_CSV!E333,""))</f>
        <v/>
      </c>
      <c r="H333" t="str">
        <f ca="1">IF(AND(Q333,N333=1),OFFSET(Taostats_CSV!$G$1,MATCH(K333&amp;H$1,Taostats_CSV!$X:$X,0)-1,0),IF(Taostats_CSV!F333="fee",Taostats_CSV!G333,""))</f>
        <v/>
      </c>
      <c r="I333" t="str">
        <f ca="1">IF(AND(LEN(K333)=0,LEN(F333)&gt;0),"Income",IF(AND(O333&gt;0,P333&gt;0,C333&lt;&gt;E333),"Trade",IF(AND(NOT(Q333),Taostats_CSV!F333="fee"),'READ ME'!$C$5,"")))</f>
        <v>Income</v>
      </c>
      <c r="J333" t="str">
        <f ca="1">SUBSTITUTE(IF(LEN(I333)=0,Taostats_CSV!F333&amp;" "&amp;Taostats_CSV!J333,IF(I333="Cost","Extrinsic fee","")),"_"," ")</f>
        <v/>
      </c>
      <c r="K333" t="str">
        <f>TRIM(IF(LEN(Taostats_CSV!I333)&gt;0,Taostats_CSV!I333,""))</f>
        <v/>
      </c>
      <c r="L333" t="str">
        <f>IF(Taostats_CSV!E333&lt;&gt;"TAO",IF(LEN(F333)&gt;0,F333,IF(LEN(D333)&gt;0,D333,0))*Taostats_CSV!P333,"")</f>
        <v/>
      </c>
      <c r="M333" t="str">
        <f t="shared" si="45"/>
        <v/>
      </c>
      <c r="N333">
        <f>COUNTIF(Taostats_CSV!$X:$X,Taostats_CSV!$I333&amp;N$1)</f>
        <v>0</v>
      </c>
      <c r="O333">
        <f>COUNTIF(Taostats_CSV!$X:$X,Taostats_CSV!$I333&amp;O$1)</f>
        <v>0</v>
      </c>
      <c r="P333">
        <f>COUNTIF(Taostats_CSV!$X:$X,Taostats_CSV!$I333&amp;P$1)</f>
        <v>0</v>
      </c>
      <c r="Q333" t="b">
        <f t="shared" si="46"/>
        <v>0</v>
      </c>
      <c r="R333" t="b">
        <f>IF(LEN(K333)&gt;0,COUNTIF($K$3:K333,K333),FALSE)</f>
        <v>0</v>
      </c>
      <c r="S333" t="b">
        <f>IF(Taostats_CSV!A333=Taostats_CSV!$A$2,TRUE,Taostats_CSV!G333+Taostats_CSV!H333+Taostats_CSV!R333=0)</f>
        <v>1</v>
      </c>
      <c r="T333" t="b">
        <f t="shared" si="47"/>
        <v>0</v>
      </c>
      <c r="U333" t="b" cm="1">
        <f t="array" aca="1" ref="U333" ca="1">AND(T333,OR(O333-N333&gt;1,P333&gt;1,ISERROR(A333:P333)))</f>
        <v>0</v>
      </c>
      <c r="W333" t="e">
        <f>MATCH(K333&amp;$W$2,Taostats_CSV!$X$3:$X$1167,0)</f>
        <v>#N/A</v>
      </c>
      <c r="X333" t="e">
        <f t="shared" ca="1" si="42"/>
        <v>#VALUE!</v>
      </c>
      <c r="Y333">
        <f t="shared" ca="1" si="43"/>
        <v>0</v>
      </c>
      <c r="Z333" t="e">
        <f t="shared" ca="1" si="44"/>
        <v>#VALUE!</v>
      </c>
    </row>
    <row r="334" spans="1:26" x14ac:dyDescent="0.4">
      <c r="A334" t="str">
        <f>MID(Taostats_CSV!C334,6,2)&amp;"/"&amp;MID(Taostats_CSV!C334,9,2)&amp;"/"&amp;LEFT(Taostats_CSV!C334,4)&amp;" "&amp;MID(Taostats_CSV!C334,12,8)</f>
        <v>05/18/2025 23:59:48</v>
      </c>
      <c r="C334" t="str">
        <f ca="1">IF(Q334,OFFSET(Taostats_CSV!$E$1,MATCH(K334&amp;D$1,Taostats_CSV!$X:$X,0)-1,0),IF(Taostats_CSV!F334="fee",IF(VALUE(Taostats_CSV!G334)&gt;0,Taostats_CSV!E334,""),""))</f>
        <v/>
      </c>
      <c r="D334" t="str">
        <f ca="1">IF(Q334,OFFSET(Taostats_CSV!$G$1,MATCH(K334&amp;D$1,Taostats_CSV!$X:$X,0)-1,0),IF(Taostats_CSV!F334="fee",IF(VALUE(Taostats_CSV!G334)&gt;0,Taostats_CSV!G334,""),""))</f>
        <v/>
      </c>
      <c r="E334" t="str">
        <f ca="1">IF(AND(Q334,P334&gt;0),OFFSET(Taostats_CSV!$E$1,MATCH(K334&amp;F$1,Taostats_CSV!$X:$X,0)-1,0),IF(LEN(F334)&gt;0,Taostats_CSV!E334,""))</f>
        <v>SN3</v>
      </c>
      <c r="F334" t="str">
        <f ca="1">TRIM(IF(AND(Q334,P334&gt;0),OFFSET(Taostats_CSV!$H$1,MATCH(K334&amp;F$1,Taostats_CSV!$X:$X,0)-1,0),IF(LEN(Taostats_CSV!H334)&gt;0,Taostats_CSV!H334,Taostats_CSV!R334)))</f>
        <v>0.47694046</v>
      </c>
      <c r="G334" t="str">
        <f ca="1">IF(AND(Q334,N334=1),OFFSET(Taostats_CSV!$E$1,MATCH(K334&amp;H$1,Taostats_CSV!$X:$X,0)-1,0),"")</f>
        <v/>
      </c>
      <c r="H334" t="str">
        <f ca="1">IF(AND(Q334,N334=1),OFFSET(Taostats_CSV!$G$1,MATCH(K334&amp;H$1,Taostats_CSV!$X:$X,0)-1,0),"")</f>
        <v/>
      </c>
      <c r="I334" t="str">
        <f ca="1">IF(AND(LEN(K334)=0,LEN(F334)&gt;0),"Income",IF(AND(O334&gt;0,P334&gt;0,C334&lt;&gt;E334),"Trade",IF(AND(NOT(Q334),Taostats_CSV!F334="fee"),'READ ME'!$C$5,"")))</f>
        <v>Income</v>
      </c>
      <c r="J334" t="str">
        <f ca="1">SUBSTITUTE(IF(LEN(I334)=0,Taostats_CSV!F334&amp;" "&amp;Taostats_CSV!J334,IF(I334="Cost","Extrinsic fee","")),"_"," ")</f>
        <v/>
      </c>
      <c r="K334" t="str">
        <f>TRIM(IF(LEN(Taostats_CSV!I334)&gt;0,Taostats_CSV!I334,""))</f>
        <v/>
      </c>
      <c r="L334">
        <f ca="1">IF(Taostats_CSV!E334&lt;&gt;"TAO",IF(LEN(F334)&gt;0,F334,IF(LEN(D334)&gt;0,D334,0))*Taostats_CSV!P334,"")</f>
        <v>16.925563268835813</v>
      </c>
      <c r="M334" t="str">
        <f t="shared" ca="1" si="45"/>
        <v>USD</v>
      </c>
      <c r="N334">
        <f>COUNTIF(Taostats_CSV!$X:$X,Taostats_CSV!$I334&amp;N$1)</f>
        <v>0</v>
      </c>
      <c r="O334">
        <f>COUNTIF(Taostats_CSV!$X:$X,Taostats_CSV!$I334&amp;O$1)</f>
        <v>0</v>
      </c>
      <c r="P334">
        <f>COUNTIF(Taostats_CSV!$X:$X,Taostats_CSV!$I334&amp;P$1)</f>
        <v>0</v>
      </c>
      <c r="Q334" t="b">
        <f t="shared" si="46"/>
        <v>0</v>
      </c>
      <c r="R334" t="b">
        <f>IF(LEN(K334)&gt;0,COUNTIF($K$3:K334,K334),FALSE)</f>
        <v>0</v>
      </c>
      <c r="S334" t="b">
        <f>IF(Taostats_CSV!A334=Taostats_CSV!$A$2,TRUE,Taostats_CSV!G334+Taostats_CSV!H334+Taostats_CSV!R334=0)</f>
        <v>0</v>
      </c>
      <c r="T334" t="b">
        <f t="shared" si="47"/>
        <v>1</v>
      </c>
      <c r="U334" t="b" cm="1">
        <f t="array" aca="1" ref="U334" ca="1">AND(T334,OR(O334-N334&gt;1,P334&gt;1,ISERROR(A334:P334)))</f>
        <v>0</v>
      </c>
      <c r="W334" t="e">
        <f>MATCH(K334&amp;$W$2,Taostats_CSV!$X$3:$X$1167,0)</f>
        <v>#N/A</v>
      </c>
      <c r="X334" t="e">
        <f t="shared" ca="1" si="42"/>
        <v>#VALUE!</v>
      </c>
      <c r="Y334">
        <f t="shared" ca="1" si="43"/>
        <v>0.47694046000000001</v>
      </c>
      <c r="Z334" t="e">
        <f t="shared" ca="1" si="44"/>
        <v>#VALUE!</v>
      </c>
    </row>
    <row r="335" spans="1:26" x14ac:dyDescent="0.4">
      <c r="A335" t="str">
        <f>MID(Taostats_CSV!C335,6,2)&amp;"/"&amp;MID(Taostats_CSV!C335,9,2)&amp;"/"&amp;LEFT(Taostats_CSV!C335,4)&amp;" "&amp;MID(Taostats_CSV!C335,12,8)</f>
        <v>05/18/2025 23:59:48</v>
      </c>
      <c r="C335" t="str">
        <f ca="1">IF(Q335,OFFSET(Taostats_CSV!$E$1,MATCH(K335&amp;D$1,Taostats_CSV!$X:$X,0)-1,0),IF(Taostats_CSV!F335="fee",IF(VALUE(Taostats_CSV!G335)&gt;0,Taostats_CSV!E335,""),""))</f>
        <v/>
      </c>
      <c r="D335" t="str">
        <f ca="1">IF(Q335,OFFSET(Taostats_CSV!$G$1,MATCH(K335&amp;D$1,Taostats_CSV!$X:$X,0)-1,0),IF(Taostats_CSV!F335="fee",IF(VALUE(Taostats_CSV!G335)&gt;0,Taostats_CSV!G335,""),""))</f>
        <v/>
      </c>
      <c r="E335" t="str">
        <f ca="1">IF(AND(Q335,P335&gt;0),OFFSET(Taostats_CSV!$E$1,MATCH(K335&amp;F$1,Taostats_CSV!$X:$X,0)-1,0),IF(LEN(F335)&gt;0,Taostats_CSV!E335,""))</f>
        <v>SN4</v>
      </c>
      <c r="F335" t="str">
        <f ca="1">TRIM(IF(AND(Q335,P335&gt;0),OFFSET(Taostats_CSV!$H$1,MATCH(K335&amp;F$1,Taostats_CSV!$X:$X,0)-1,0),IF(LEN(Taostats_CSV!H335)&gt;0,Taostats_CSV!H335,Taostats_CSV!R335)))</f>
        <v>0.406989581</v>
      </c>
      <c r="G335" t="str">
        <f ca="1">IF(AND(Q335,N335=1),OFFSET(Taostats_CSV!$E$1,MATCH(K335&amp;H$1,Taostats_CSV!$X:$X,0)-1,0),"")</f>
        <v/>
      </c>
      <c r="H335" t="str">
        <f ca="1">IF(AND(Q335,N335=1),OFFSET(Taostats_CSV!$G$1,MATCH(K335&amp;H$1,Taostats_CSV!$X:$X,0)-1,0),"")</f>
        <v/>
      </c>
      <c r="I335" t="str">
        <f ca="1">IF(AND(LEN(K335)=0,LEN(F335)&gt;0),"Income",IF(AND(O335&gt;0,P335&gt;0,C335&lt;&gt;E335),"Trade",IF(AND(NOT(Q335),Taostats_CSV!F335="fee"),'READ ME'!$C$5,"")))</f>
        <v>Income</v>
      </c>
      <c r="J335" t="str">
        <f ca="1">SUBSTITUTE(IF(LEN(I335)=0,Taostats_CSV!F335&amp;" "&amp;Taostats_CSV!J335,IF(I335="Cost","Extrinsic fee","")),"_"," ")</f>
        <v/>
      </c>
      <c r="K335" t="str">
        <f>TRIM(IF(LEN(Taostats_CSV!I335)&gt;0,Taostats_CSV!I335,""))</f>
        <v/>
      </c>
      <c r="L335">
        <f ca="1">IF(Taostats_CSV!E335&lt;&gt;"TAO",IF(LEN(F335)&gt;0,F335,IF(LEN(D335)&gt;0,D335,0))*Taostats_CSV!P335,"")</f>
        <v>18.419245837229756</v>
      </c>
      <c r="M335" t="str">
        <f t="shared" ca="1" si="45"/>
        <v>USD</v>
      </c>
      <c r="N335">
        <f>COUNTIF(Taostats_CSV!$X:$X,Taostats_CSV!$I335&amp;N$1)</f>
        <v>0</v>
      </c>
      <c r="O335">
        <f>COUNTIF(Taostats_CSV!$X:$X,Taostats_CSV!$I335&amp;O$1)</f>
        <v>0</v>
      </c>
      <c r="P335">
        <f>COUNTIF(Taostats_CSV!$X:$X,Taostats_CSV!$I335&amp;P$1)</f>
        <v>0</v>
      </c>
      <c r="Q335" t="b">
        <f t="shared" si="46"/>
        <v>0</v>
      </c>
      <c r="R335" t="b">
        <f>IF(LEN(K335)&gt;0,COUNTIF($K$3:K335,K335),FALSE)</f>
        <v>0</v>
      </c>
      <c r="S335" t="b">
        <f>IF(Taostats_CSV!A335=Taostats_CSV!$A$2,TRUE,Taostats_CSV!G335+Taostats_CSV!H335+Taostats_CSV!R335=0)</f>
        <v>0</v>
      </c>
      <c r="T335" t="b">
        <f t="shared" si="47"/>
        <v>1</v>
      </c>
      <c r="U335" t="b" cm="1">
        <f t="array" aca="1" ref="U335" ca="1">AND(T335,OR(O335-N335&gt;1,P335&gt;1,ISERROR(A335:P335)))</f>
        <v>0</v>
      </c>
      <c r="W335" t="e">
        <f>MATCH(K335&amp;$W$2,Taostats_CSV!$X$3:$X$1167,0)</f>
        <v>#N/A</v>
      </c>
      <c r="X335" t="e">
        <f t="shared" ca="1" si="42"/>
        <v>#VALUE!</v>
      </c>
      <c r="Y335">
        <f t="shared" ca="1" si="43"/>
        <v>0.40698958099999999</v>
      </c>
      <c r="Z335" t="e">
        <f t="shared" ca="1" si="44"/>
        <v>#VALUE!</v>
      </c>
    </row>
    <row r="336" spans="1:26" x14ac:dyDescent="0.4">
      <c r="A336" t="str">
        <f>MID(Taostats_CSV!C336,6,2)&amp;"/"&amp;MID(Taostats_CSV!C336,9,2)&amp;"/"&amp;LEFT(Taostats_CSV!C336,4)&amp;" "&amp;MID(Taostats_CSV!C336,12,8)</f>
        <v>05/18/2025 23:59:48</v>
      </c>
      <c r="C336" t="str">
        <f ca="1">IF(Q336,OFFSET(Taostats_CSV!$E$1,MATCH(K336&amp;D$1,Taostats_CSV!$X:$X,0)-1,0),IF(Taostats_CSV!F336="fee",IF(VALUE(Taostats_CSV!G336)&gt;0,Taostats_CSV!E336,""),""))</f>
        <v/>
      </c>
      <c r="D336" t="str">
        <f ca="1">IF(Q336,OFFSET(Taostats_CSV!$G$1,MATCH(K336&amp;D$1,Taostats_CSV!$X:$X,0)-1,0),IF(Taostats_CSV!F336="fee",IF(VALUE(Taostats_CSV!G336)&gt;0,Taostats_CSV!G336,""),""))</f>
        <v/>
      </c>
      <c r="E336" t="str">
        <f ca="1">IF(AND(Q336,P336&gt;0),OFFSET(Taostats_CSV!$E$1,MATCH(K336&amp;F$1,Taostats_CSV!$X:$X,0)-1,0),IF(LEN(F336)&gt;0,Taostats_CSV!E336,""))</f>
        <v>SN56</v>
      </c>
      <c r="F336" t="str">
        <f ca="1">TRIM(IF(AND(Q336,P336&gt;0),OFFSET(Taostats_CSV!$H$1,MATCH(K336&amp;F$1,Taostats_CSV!$X:$X,0)-1,0),IF(LEN(Taostats_CSV!H336)&gt;0,Taostats_CSV!H336,Taostats_CSV!R336)))</f>
        <v>0.247378682</v>
      </c>
      <c r="G336" t="str">
        <f ca="1">IF(AND(Q336,N336=1),OFFSET(Taostats_CSV!$E$1,MATCH(K336&amp;H$1,Taostats_CSV!$X:$X,0)-1,0),"")</f>
        <v/>
      </c>
      <c r="H336" t="str">
        <f ca="1">IF(AND(Q336,N336=1),OFFSET(Taostats_CSV!$G$1,MATCH(K336&amp;H$1,Taostats_CSV!$X:$X,0)-1,0),"")</f>
        <v/>
      </c>
      <c r="I336" t="str">
        <f ca="1">IF(AND(LEN(K336)=0,LEN(F336)&gt;0),"Income",IF(AND(O336&gt;0,P336&gt;0,C336&lt;&gt;E336),"Trade",IF(AND(NOT(Q336),Taostats_CSV!F336="fee"),'READ ME'!$C$5,"")))</f>
        <v>Income</v>
      </c>
      <c r="J336" t="str">
        <f ca="1">SUBSTITUTE(IF(LEN(I336)=0,Taostats_CSV!F336&amp;" "&amp;Taostats_CSV!J336,IF(I336="Cost","Extrinsic fee","")),"_"," ")</f>
        <v/>
      </c>
      <c r="K336" t="str">
        <f>TRIM(IF(LEN(Taostats_CSV!I336)&gt;0,Taostats_CSV!I336,""))</f>
        <v/>
      </c>
      <c r="L336">
        <f ca="1">IF(Taostats_CSV!E336&lt;&gt;"TAO",IF(LEN(F336)&gt;0,F336,IF(LEN(D336)&gt;0,D336,0))*Taostats_CSV!P336,"")</f>
        <v>9.9115341170114153</v>
      </c>
      <c r="M336" t="str">
        <f t="shared" ca="1" si="45"/>
        <v>USD</v>
      </c>
      <c r="N336">
        <f>COUNTIF(Taostats_CSV!$X:$X,Taostats_CSV!$I336&amp;N$1)</f>
        <v>0</v>
      </c>
      <c r="O336">
        <f>COUNTIF(Taostats_CSV!$X:$X,Taostats_CSV!$I336&amp;O$1)</f>
        <v>0</v>
      </c>
      <c r="P336">
        <f>COUNTIF(Taostats_CSV!$X:$X,Taostats_CSV!$I336&amp;P$1)</f>
        <v>0</v>
      </c>
      <c r="Q336" t="b">
        <f t="shared" si="46"/>
        <v>0</v>
      </c>
      <c r="R336" t="b">
        <f>IF(LEN(K336)&gt;0,COUNTIF($K$3:K336,K336),FALSE)</f>
        <v>0</v>
      </c>
      <c r="S336" t="b">
        <f>IF(Taostats_CSV!A336=Taostats_CSV!$A$2,TRUE,Taostats_CSV!G336+Taostats_CSV!H336+Taostats_CSV!R336=0)</f>
        <v>0</v>
      </c>
      <c r="T336" t="b">
        <f t="shared" si="47"/>
        <v>1</v>
      </c>
      <c r="U336" t="b" cm="1">
        <f t="array" aca="1" ref="U336" ca="1">AND(T336,OR(O336-N336&gt;1,P336&gt;1,ISERROR(A336:P336)))</f>
        <v>0</v>
      </c>
      <c r="W336" t="e">
        <f>MATCH(K336&amp;$W$2,Taostats_CSV!$X$3:$X$1167,0)</f>
        <v>#N/A</v>
      </c>
      <c r="X336" t="e">
        <f t="shared" ca="1" si="42"/>
        <v>#VALUE!</v>
      </c>
      <c r="Y336">
        <f t="shared" ca="1" si="43"/>
        <v>0.24737868199999999</v>
      </c>
      <c r="Z336" t="e">
        <f t="shared" ca="1" si="44"/>
        <v>#VALUE!</v>
      </c>
    </row>
    <row r="337" spans="1:26" x14ac:dyDescent="0.4">
      <c r="A337" t="str">
        <f>MID(Taostats_CSV!C337,6,2)&amp;"/"&amp;MID(Taostats_CSV!C337,9,2)&amp;"/"&amp;LEFT(Taostats_CSV!C337,4)&amp;" "&amp;MID(Taostats_CSV!C337,12,8)</f>
        <v>05/18/2025 23:59:48</v>
      </c>
      <c r="C337" t="str">
        <f ca="1">IF(Q337,OFFSET(Taostats_CSV!$E$1,MATCH(K337&amp;D$1,Taostats_CSV!$X:$X,0)-1,0),IF(Taostats_CSV!F337="fee",IF(VALUE(Taostats_CSV!G337)&gt;0,Taostats_CSV!E337,""),""))</f>
        <v/>
      </c>
      <c r="D337" t="str">
        <f ca="1">IF(Q337,OFFSET(Taostats_CSV!$G$1,MATCH(K337&amp;D$1,Taostats_CSV!$X:$X,0)-1,0),IF(Taostats_CSV!F337="fee",IF(VALUE(Taostats_CSV!G337)&gt;0,Taostats_CSV!G337,""),""))</f>
        <v/>
      </c>
      <c r="E337" t="str">
        <f ca="1">IF(AND(Q337,P337&gt;0),OFFSET(Taostats_CSV!$E$1,MATCH(K337&amp;F$1,Taostats_CSV!$X:$X,0)-1,0),IF(LEN(F337)&gt;0,Taostats_CSV!E337,""))</f>
        <v>SN64</v>
      </c>
      <c r="F337" t="str">
        <f ca="1">TRIM(IF(AND(Q337,P337&gt;0),OFFSET(Taostats_CSV!$H$1,MATCH(K337&amp;F$1,Taostats_CSV!$X:$X,0)-1,0),IF(LEN(Taostats_CSV!H337)&gt;0,Taostats_CSV!H337,Taostats_CSV!R337)))</f>
        <v>0.153271421</v>
      </c>
      <c r="G337" t="str">
        <f ca="1">IF(AND(Q337,N337=1),OFFSET(Taostats_CSV!$E$1,MATCH(K337&amp;H$1,Taostats_CSV!$X:$X,0)-1,0),"")</f>
        <v/>
      </c>
      <c r="H337" t="str">
        <f ca="1">IF(AND(Q337,N337=1),OFFSET(Taostats_CSV!$G$1,MATCH(K337&amp;H$1,Taostats_CSV!$X:$X,0)-1,0),"")</f>
        <v/>
      </c>
      <c r="I337" t="str">
        <f ca="1">IF(AND(LEN(K337)=0,LEN(F337)&gt;0),"Income",IF(AND(O337&gt;0,P337&gt;0,C337&lt;&gt;E337),"Trade",IF(AND(NOT(Q337),Taostats_CSV!F337="fee"),'READ ME'!$C$5,"")))</f>
        <v>Income</v>
      </c>
      <c r="J337" t="str">
        <f ca="1">SUBSTITUTE(IF(LEN(I337)=0,Taostats_CSV!F337&amp;" "&amp;Taostats_CSV!J337,IF(I337="Cost","Extrinsic fee","")),"_"," ")</f>
        <v/>
      </c>
      <c r="K337" t="str">
        <f>TRIM(IF(LEN(Taostats_CSV!I337)&gt;0,Taostats_CSV!I337,""))</f>
        <v/>
      </c>
      <c r="L337">
        <f ca="1">IF(Taostats_CSV!E337&lt;&gt;"TAO",IF(LEN(F337)&gt;0,F337,IF(LEN(D337)&gt;0,D337,0))*Taostats_CSV!P337,"")</f>
        <v>13.257500176081054</v>
      </c>
      <c r="M337" t="str">
        <f t="shared" ca="1" si="45"/>
        <v>USD</v>
      </c>
      <c r="N337">
        <f>COUNTIF(Taostats_CSV!$X:$X,Taostats_CSV!$I337&amp;N$1)</f>
        <v>0</v>
      </c>
      <c r="O337">
        <f>COUNTIF(Taostats_CSV!$X:$X,Taostats_CSV!$I337&amp;O$1)</f>
        <v>0</v>
      </c>
      <c r="P337">
        <f>COUNTIF(Taostats_CSV!$X:$X,Taostats_CSV!$I337&amp;P$1)</f>
        <v>0</v>
      </c>
      <c r="Q337" t="b">
        <f t="shared" si="46"/>
        <v>0</v>
      </c>
      <c r="R337" t="b">
        <f>IF(LEN(K337)&gt;0,COUNTIF($K$3:K337,K337),FALSE)</f>
        <v>0</v>
      </c>
      <c r="S337" t="b">
        <f>IF(Taostats_CSV!A337=Taostats_CSV!$A$2,TRUE,Taostats_CSV!G337+Taostats_CSV!H337+Taostats_CSV!R337=0)</f>
        <v>0</v>
      </c>
      <c r="T337" t="b">
        <f t="shared" si="47"/>
        <v>1</v>
      </c>
      <c r="U337" t="b" cm="1">
        <f t="array" aca="1" ref="U337" ca="1">AND(T337,OR(O337-N337&gt;1,P337&gt;1,ISERROR(A337:P337)))</f>
        <v>0</v>
      </c>
      <c r="W337" t="e">
        <f>MATCH(K337&amp;$W$2,Taostats_CSV!$X$3:$X$1167,0)</f>
        <v>#N/A</v>
      </c>
      <c r="X337" t="e">
        <f t="shared" ca="1" si="42"/>
        <v>#VALUE!</v>
      </c>
      <c r="Y337">
        <f t="shared" ca="1" si="43"/>
        <v>0.15327142099999999</v>
      </c>
      <c r="Z337" t="e">
        <f t="shared" ca="1" si="44"/>
        <v>#VALUE!</v>
      </c>
    </row>
    <row r="338" spans="1:26" hidden="1" x14ac:dyDescent="0.4">
      <c r="A338" t="str">
        <f>MID(Taostats_CSV!C338,6,2)&amp;"/"&amp;MID(Taostats_CSV!C338,9,2)&amp;"/"&amp;LEFT(Taostats_CSV!C338,4)&amp;" "&amp;MID(Taostats_CSV!C338,12,8)</f>
        <v>05/18/2025 23:59:48</v>
      </c>
      <c r="C338" t="str">
        <f ca="1">IF(Q338,OFFSET(Taostats_CSV!$E$1,MATCH(K338&amp;D$1,Taostats_CSV!$X:$X,0)-1,0),IF(Taostats_CSV!F338="fee","",IF(VALUE(Taostats_CSV!G338)&gt;0,Taostats_CSV!E338,"")))</f>
        <v/>
      </c>
      <c r="D338" t="str">
        <f ca="1">IF(Q338,OFFSET(Taostats_CSV!$G$1,MATCH(K338&amp;D$1,Taostats_CSV!$X:$X,0)-1,0),IF(Taostats_CSV!F338="fee","",IF(VALUE(Taostats_CSV!G338)&gt;0,Taostats_CSV!G338,"")))</f>
        <v/>
      </c>
      <c r="E338" t="str">
        <f ca="1">IF(AND(Q338,P338&gt;0),OFFSET(Taostats_CSV!$E$1,MATCH(K338&amp;F$1,Taostats_CSV!$X:$X,0)-1,0),IF(LEN(F338)&gt;0,Taostats_CSV!E338,""))</f>
        <v>TAO</v>
      </c>
      <c r="F338" t="str">
        <f ca="1">TRIM(IF(AND(Q338,P338&gt;0),OFFSET(Taostats_CSV!$H$1,MATCH(K338&amp;F$1,Taostats_CSV!$X:$X,0)-1,0),IF(LEN(Taostats_CSV!H338)&gt;0,Taostats_CSV!H338,Taostats_CSV!R338)))</f>
        <v>0</v>
      </c>
      <c r="G338" t="str">
        <f ca="1">IF(AND(Q338,N338=1),OFFSET(Taostats_CSV!$E$1,MATCH(K338&amp;H$1,Taostats_CSV!$X:$X,0)-1,0),IF(Taostats_CSV!F338="fee",Taostats_CSV!E338,""))</f>
        <v/>
      </c>
      <c r="H338" t="str">
        <f ca="1">IF(AND(Q338,N338=1),OFFSET(Taostats_CSV!$G$1,MATCH(K338&amp;H$1,Taostats_CSV!$X:$X,0)-1,0),IF(Taostats_CSV!F338="fee",Taostats_CSV!G338,""))</f>
        <v/>
      </c>
      <c r="I338" t="str">
        <f ca="1">IF(AND(LEN(K338)=0,LEN(F338)&gt;0),"Income",IF(AND(O338&gt;0,P338&gt;0,C338&lt;&gt;E338),"Trade",IF(AND(NOT(Q338),Taostats_CSV!F338="fee"),'READ ME'!$C$5,"")))</f>
        <v>Income</v>
      </c>
      <c r="J338" t="str">
        <f ca="1">SUBSTITUTE(IF(LEN(I338)=0,Taostats_CSV!F338&amp;" "&amp;Taostats_CSV!J338,IF(I338="Cost","Extrinsic fee","")),"_"," ")</f>
        <v/>
      </c>
      <c r="K338" t="str">
        <f>TRIM(IF(LEN(Taostats_CSV!I338)&gt;0,Taostats_CSV!I338,""))</f>
        <v/>
      </c>
      <c r="L338" t="str">
        <f>IF(Taostats_CSV!E338&lt;&gt;"TAO",IF(LEN(F338)&gt;0,F338,IF(LEN(D338)&gt;0,D338,0))*Taostats_CSV!P338,"")</f>
        <v/>
      </c>
      <c r="M338" t="str">
        <f t="shared" si="45"/>
        <v/>
      </c>
      <c r="N338">
        <f>COUNTIF(Taostats_CSV!$X:$X,Taostats_CSV!$I338&amp;N$1)</f>
        <v>0</v>
      </c>
      <c r="O338">
        <f>COUNTIF(Taostats_CSV!$X:$X,Taostats_CSV!$I338&amp;O$1)</f>
        <v>0</v>
      </c>
      <c r="P338">
        <f>COUNTIF(Taostats_CSV!$X:$X,Taostats_CSV!$I338&amp;P$1)</f>
        <v>0</v>
      </c>
      <c r="Q338" t="b">
        <f t="shared" si="46"/>
        <v>0</v>
      </c>
      <c r="R338" t="b">
        <f>IF(LEN(K338)&gt;0,COUNTIF($K$3:K338,K338),FALSE)</f>
        <v>0</v>
      </c>
      <c r="S338" t="b">
        <f>IF(Taostats_CSV!A338=Taostats_CSV!$A$2,TRUE,Taostats_CSV!G338+Taostats_CSV!H338+Taostats_CSV!R338=0)</f>
        <v>1</v>
      </c>
      <c r="T338" t="b">
        <f t="shared" si="47"/>
        <v>0</v>
      </c>
      <c r="U338" t="b" cm="1">
        <f t="array" aca="1" ref="U338" ca="1">AND(T338,OR(O338-N338&gt;1,P338&gt;1,ISERROR(A338:P338)))</f>
        <v>0</v>
      </c>
      <c r="W338" t="e">
        <f>MATCH(K338&amp;$W$2,Taostats_CSV!$X$3:$X$1167,0)</f>
        <v>#N/A</v>
      </c>
      <c r="X338" t="e">
        <f t="shared" ca="1" si="42"/>
        <v>#VALUE!</v>
      </c>
      <c r="Y338">
        <f t="shared" ca="1" si="43"/>
        <v>0</v>
      </c>
      <c r="Z338" t="e">
        <f t="shared" ca="1" si="44"/>
        <v>#VALUE!</v>
      </c>
    </row>
    <row r="339" spans="1:26" x14ac:dyDescent="0.4">
      <c r="A339" t="str">
        <f>MID(Taostats_CSV!C339,6,2)&amp;"/"&amp;MID(Taostats_CSV!C339,9,2)&amp;"/"&amp;LEFT(Taostats_CSV!C339,4)&amp;" "&amp;MID(Taostats_CSV!C339,12,8)</f>
        <v>05/19/2025 23:59:48</v>
      </c>
      <c r="C339" t="str">
        <f ca="1">IF(Q339,OFFSET(Taostats_CSV!$E$1,MATCH(K339&amp;D$1,Taostats_CSV!$X:$X,0)-1,0),IF(Taostats_CSV!F339="fee",IF(VALUE(Taostats_CSV!G339)&gt;0,Taostats_CSV!E339,""),""))</f>
        <v/>
      </c>
      <c r="D339" t="str">
        <f ca="1">IF(Q339,OFFSET(Taostats_CSV!$G$1,MATCH(K339&amp;D$1,Taostats_CSV!$X:$X,0)-1,0),IF(Taostats_CSV!F339="fee",IF(VALUE(Taostats_CSV!G339)&gt;0,Taostats_CSV!G339,""),""))</f>
        <v/>
      </c>
      <c r="E339" t="str">
        <f ca="1">IF(AND(Q339,P339&gt;0),OFFSET(Taostats_CSV!$E$1,MATCH(K339&amp;F$1,Taostats_CSV!$X:$X,0)-1,0),IF(LEN(F339)&gt;0,Taostats_CSV!E339,""))</f>
        <v>SN3</v>
      </c>
      <c r="F339" t="str">
        <f ca="1">TRIM(IF(AND(Q339,P339&gt;0),OFFSET(Taostats_CSV!$H$1,MATCH(K339&amp;F$1,Taostats_CSV!$X:$X,0)-1,0),IF(LEN(Taostats_CSV!H339)&gt;0,Taostats_CSV!H339,Taostats_CSV!R339)))</f>
        <v>0.465048023</v>
      </c>
      <c r="G339" t="str">
        <f ca="1">IF(AND(Q339,N339=1),OFFSET(Taostats_CSV!$E$1,MATCH(K339&amp;H$1,Taostats_CSV!$X:$X,0)-1,0),"")</f>
        <v/>
      </c>
      <c r="H339" t="str">
        <f ca="1">IF(AND(Q339,N339=1),OFFSET(Taostats_CSV!$G$1,MATCH(K339&amp;H$1,Taostats_CSV!$X:$X,0)-1,0),"")</f>
        <v/>
      </c>
      <c r="I339" t="str">
        <f ca="1">IF(AND(LEN(K339)=0,LEN(F339)&gt;0),"Income",IF(AND(O339&gt;0,P339&gt;0,C339&lt;&gt;E339),"Trade",IF(AND(NOT(Q339),Taostats_CSV!F339="fee"),'READ ME'!$C$5,"")))</f>
        <v>Income</v>
      </c>
      <c r="J339" t="str">
        <f ca="1">SUBSTITUTE(IF(LEN(I339)=0,Taostats_CSV!F339&amp;" "&amp;Taostats_CSV!J339,IF(I339="Cost","Extrinsic fee","")),"_"," ")</f>
        <v/>
      </c>
      <c r="K339" t="str">
        <f>TRIM(IF(LEN(Taostats_CSV!I339)&gt;0,Taostats_CSV!I339,""))</f>
        <v/>
      </c>
      <c r="L339">
        <f ca="1">IF(Taostats_CSV!E339&lt;&gt;"TAO",IF(LEN(F339)&gt;0,F339,IF(LEN(D339)&gt;0,D339,0))*Taostats_CSV!P339,"")</f>
        <v>16.927984268204717</v>
      </c>
      <c r="M339" t="str">
        <f t="shared" ca="1" si="45"/>
        <v>USD</v>
      </c>
      <c r="N339">
        <f>COUNTIF(Taostats_CSV!$X:$X,Taostats_CSV!$I339&amp;N$1)</f>
        <v>0</v>
      </c>
      <c r="O339">
        <f>COUNTIF(Taostats_CSV!$X:$X,Taostats_CSV!$I339&amp;O$1)</f>
        <v>0</v>
      </c>
      <c r="P339">
        <f>COUNTIF(Taostats_CSV!$X:$X,Taostats_CSV!$I339&amp;P$1)</f>
        <v>0</v>
      </c>
      <c r="Q339" t="b">
        <f t="shared" si="46"/>
        <v>0</v>
      </c>
      <c r="R339" t="b">
        <f>IF(LEN(K339)&gt;0,COUNTIF($K$3:K339,K339),FALSE)</f>
        <v>0</v>
      </c>
      <c r="S339" t="b">
        <f>IF(Taostats_CSV!A339=Taostats_CSV!$A$2,TRUE,Taostats_CSV!G339+Taostats_CSV!H339+Taostats_CSV!R339=0)</f>
        <v>0</v>
      </c>
      <c r="T339" t="b">
        <f t="shared" si="47"/>
        <v>1</v>
      </c>
      <c r="U339" t="b" cm="1">
        <f t="array" aca="1" ref="U339" ca="1">AND(T339,OR(O339-N339&gt;1,P339&gt;1,ISERROR(A339:P339)))</f>
        <v>0</v>
      </c>
      <c r="W339" t="e">
        <f>MATCH(K339&amp;$W$2,Taostats_CSV!$X$3:$X$1167,0)</f>
        <v>#N/A</v>
      </c>
      <c r="X339" t="e">
        <f t="shared" ca="1" si="42"/>
        <v>#VALUE!</v>
      </c>
      <c r="Y339">
        <f t="shared" ca="1" si="43"/>
        <v>0.46504802299999998</v>
      </c>
      <c r="Z339" t="e">
        <f t="shared" ca="1" si="44"/>
        <v>#VALUE!</v>
      </c>
    </row>
    <row r="340" spans="1:26" x14ac:dyDescent="0.4">
      <c r="A340" t="str">
        <f>MID(Taostats_CSV!C340,6,2)&amp;"/"&amp;MID(Taostats_CSV!C340,9,2)&amp;"/"&amp;LEFT(Taostats_CSV!C340,4)&amp;" "&amp;MID(Taostats_CSV!C340,12,8)</f>
        <v>05/19/2025 23:59:48</v>
      </c>
      <c r="C340" t="str">
        <f ca="1">IF(Q340,OFFSET(Taostats_CSV!$E$1,MATCH(K340&amp;D$1,Taostats_CSV!$X:$X,0)-1,0),IF(Taostats_CSV!F340="fee",IF(VALUE(Taostats_CSV!G340)&gt;0,Taostats_CSV!E340,""),""))</f>
        <v/>
      </c>
      <c r="D340" t="str">
        <f ca="1">IF(Q340,OFFSET(Taostats_CSV!$G$1,MATCH(K340&amp;D$1,Taostats_CSV!$X:$X,0)-1,0),IF(Taostats_CSV!F340="fee",IF(VALUE(Taostats_CSV!G340)&gt;0,Taostats_CSV!G340,""),""))</f>
        <v/>
      </c>
      <c r="E340" t="str">
        <f ca="1">IF(AND(Q340,P340&gt;0),OFFSET(Taostats_CSV!$E$1,MATCH(K340&amp;F$1,Taostats_CSV!$X:$X,0)-1,0),IF(LEN(F340)&gt;0,Taostats_CSV!E340,""))</f>
        <v>SN4</v>
      </c>
      <c r="F340" t="str">
        <f ca="1">TRIM(IF(AND(Q340,P340&gt;0),OFFSET(Taostats_CSV!$H$1,MATCH(K340&amp;F$1,Taostats_CSV!$X:$X,0)-1,0),IF(LEN(Taostats_CSV!H340)&gt;0,Taostats_CSV!H340,Taostats_CSV!R340)))</f>
        <v>0.409063394</v>
      </c>
      <c r="G340" t="str">
        <f ca="1">IF(AND(Q340,N340=1),OFFSET(Taostats_CSV!$E$1,MATCH(K340&amp;H$1,Taostats_CSV!$X:$X,0)-1,0),"")</f>
        <v/>
      </c>
      <c r="H340" t="str">
        <f ca="1">IF(AND(Q340,N340=1),OFFSET(Taostats_CSV!$G$1,MATCH(K340&amp;H$1,Taostats_CSV!$X:$X,0)-1,0),"")</f>
        <v/>
      </c>
      <c r="I340" t="str">
        <f ca="1">IF(AND(LEN(K340)=0,LEN(F340)&gt;0),"Income",IF(AND(O340&gt;0,P340&gt;0,C340&lt;&gt;E340),"Trade",IF(AND(NOT(Q340),Taostats_CSV!F340="fee"),'READ ME'!$C$5,"")))</f>
        <v>Income</v>
      </c>
      <c r="J340" t="str">
        <f ca="1">SUBSTITUTE(IF(LEN(I340)=0,Taostats_CSV!F340&amp;" "&amp;Taostats_CSV!J340,IF(I340="Cost","Extrinsic fee","")),"_"," ")</f>
        <v/>
      </c>
      <c r="K340" t="str">
        <f>TRIM(IF(LEN(Taostats_CSV!I340)&gt;0,Taostats_CSV!I340,""))</f>
        <v/>
      </c>
      <c r="L340">
        <f ca="1">IF(Taostats_CSV!E340&lt;&gt;"TAO",IF(LEN(F340)&gt;0,F340,IF(LEN(D340)&gt;0,D340,0))*Taostats_CSV!P340,"")</f>
        <v>17.878570939935248</v>
      </c>
      <c r="M340" t="str">
        <f t="shared" ca="1" si="45"/>
        <v>USD</v>
      </c>
      <c r="N340">
        <f>COUNTIF(Taostats_CSV!$X:$X,Taostats_CSV!$I340&amp;N$1)</f>
        <v>0</v>
      </c>
      <c r="O340">
        <f>COUNTIF(Taostats_CSV!$X:$X,Taostats_CSV!$I340&amp;O$1)</f>
        <v>0</v>
      </c>
      <c r="P340">
        <f>COUNTIF(Taostats_CSV!$X:$X,Taostats_CSV!$I340&amp;P$1)</f>
        <v>0</v>
      </c>
      <c r="Q340" t="b">
        <f t="shared" si="46"/>
        <v>0</v>
      </c>
      <c r="R340" t="b">
        <f>IF(LEN(K340)&gt;0,COUNTIF($K$3:K340,K340),FALSE)</f>
        <v>0</v>
      </c>
      <c r="S340" t="b">
        <f>IF(Taostats_CSV!A340=Taostats_CSV!$A$2,TRUE,Taostats_CSV!G340+Taostats_CSV!H340+Taostats_CSV!R340=0)</f>
        <v>0</v>
      </c>
      <c r="T340" t="b">
        <f t="shared" si="47"/>
        <v>1</v>
      </c>
      <c r="U340" t="b" cm="1">
        <f t="array" aca="1" ref="U340" ca="1">AND(T340,OR(O340-N340&gt;1,P340&gt;1,ISERROR(A340:P340)))</f>
        <v>0</v>
      </c>
      <c r="W340" t="e">
        <f>MATCH(K340&amp;$W$2,Taostats_CSV!$X$3:$X$1167,0)</f>
        <v>#N/A</v>
      </c>
      <c r="X340" t="e">
        <f t="shared" ca="1" si="42"/>
        <v>#VALUE!</v>
      </c>
      <c r="Y340">
        <f t="shared" ca="1" si="43"/>
        <v>0.40906339400000002</v>
      </c>
      <c r="Z340" t="e">
        <f t="shared" ca="1" si="44"/>
        <v>#VALUE!</v>
      </c>
    </row>
    <row r="341" spans="1:26" x14ac:dyDescent="0.4">
      <c r="A341" t="str">
        <f>MID(Taostats_CSV!C341,6,2)&amp;"/"&amp;MID(Taostats_CSV!C341,9,2)&amp;"/"&amp;LEFT(Taostats_CSV!C341,4)&amp;" "&amp;MID(Taostats_CSV!C341,12,8)</f>
        <v>05/19/2025 23:59:48</v>
      </c>
      <c r="C341" t="str">
        <f ca="1">IF(Q341,OFFSET(Taostats_CSV!$E$1,MATCH(K341&amp;D$1,Taostats_CSV!$X:$X,0)-1,0),IF(Taostats_CSV!F341="fee",IF(VALUE(Taostats_CSV!G341)&gt;0,Taostats_CSV!E341,""),""))</f>
        <v/>
      </c>
      <c r="D341" t="str">
        <f ca="1">IF(Q341,OFFSET(Taostats_CSV!$G$1,MATCH(K341&amp;D$1,Taostats_CSV!$X:$X,0)-1,0),IF(Taostats_CSV!F341="fee",IF(VALUE(Taostats_CSV!G341)&gt;0,Taostats_CSV!G341,""),""))</f>
        <v/>
      </c>
      <c r="E341" t="str">
        <f ca="1">IF(AND(Q341,P341&gt;0),OFFSET(Taostats_CSV!$E$1,MATCH(K341&amp;F$1,Taostats_CSV!$X:$X,0)-1,0),IF(LEN(F341)&gt;0,Taostats_CSV!E341,""))</f>
        <v>SN56</v>
      </c>
      <c r="F341" t="str">
        <f ca="1">TRIM(IF(AND(Q341,P341&gt;0),OFFSET(Taostats_CSV!$H$1,MATCH(K341&amp;F$1,Taostats_CSV!$X:$X,0)-1,0),IF(LEN(Taostats_CSV!H341)&gt;0,Taostats_CSV!H341,Taostats_CSV!R341)))</f>
        <v>0.248891379</v>
      </c>
      <c r="G341" t="str">
        <f ca="1">IF(AND(Q341,N341=1),OFFSET(Taostats_CSV!$E$1,MATCH(K341&amp;H$1,Taostats_CSV!$X:$X,0)-1,0),"")</f>
        <v/>
      </c>
      <c r="H341" t="str">
        <f ca="1">IF(AND(Q341,N341=1),OFFSET(Taostats_CSV!$G$1,MATCH(K341&amp;H$1,Taostats_CSV!$X:$X,0)-1,0),"")</f>
        <v/>
      </c>
      <c r="I341" t="str">
        <f ca="1">IF(AND(LEN(K341)=0,LEN(F341)&gt;0),"Income",IF(AND(O341&gt;0,P341&gt;0,C341&lt;&gt;E341),"Trade",IF(AND(NOT(Q341),Taostats_CSV!F341="fee"),'READ ME'!$C$5,"")))</f>
        <v>Income</v>
      </c>
      <c r="J341" t="str">
        <f ca="1">SUBSTITUTE(IF(LEN(I341)=0,Taostats_CSV!F341&amp;" "&amp;Taostats_CSV!J341,IF(I341="Cost","Extrinsic fee","")),"_"," ")</f>
        <v/>
      </c>
      <c r="K341" t="str">
        <f>TRIM(IF(LEN(Taostats_CSV!I341)&gt;0,Taostats_CSV!I341,""))</f>
        <v/>
      </c>
      <c r="L341">
        <f ca="1">IF(Taostats_CSV!E341&lt;&gt;"TAO",IF(LEN(F341)&gt;0,F341,IF(LEN(D341)&gt;0,D341,0))*Taostats_CSV!P341,"")</f>
        <v>10.603588707985731</v>
      </c>
      <c r="M341" t="str">
        <f t="shared" ca="1" si="45"/>
        <v>USD</v>
      </c>
      <c r="N341">
        <f>COUNTIF(Taostats_CSV!$X:$X,Taostats_CSV!$I341&amp;N$1)</f>
        <v>0</v>
      </c>
      <c r="O341">
        <f>COUNTIF(Taostats_CSV!$X:$X,Taostats_CSV!$I341&amp;O$1)</f>
        <v>0</v>
      </c>
      <c r="P341">
        <f>COUNTIF(Taostats_CSV!$X:$X,Taostats_CSV!$I341&amp;P$1)</f>
        <v>0</v>
      </c>
      <c r="Q341" t="b">
        <f t="shared" si="46"/>
        <v>0</v>
      </c>
      <c r="R341" t="b">
        <f>IF(LEN(K341)&gt;0,COUNTIF($K$3:K341,K341),FALSE)</f>
        <v>0</v>
      </c>
      <c r="S341" t="b">
        <f>IF(Taostats_CSV!A341=Taostats_CSV!$A$2,TRUE,Taostats_CSV!G341+Taostats_CSV!H341+Taostats_CSV!R341=0)</f>
        <v>0</v>
      </c>
      <c r="T341" t="b">
        <f t="shared" si="47"/>
        <v>1</v>
      </c>
      <c r="U341" t="b" cm="1">
        <f t="array" aca="1" ref="U341" ca="1">AND(T341,OR(O341-N341&gt;1,P341&gt;1,ISERROR(A341:P341)))</f>
        <v>0</v>
      </c>
      <c r="W341" t="e">
        <f>MATCH(K341&amp;$W$2,Taostats_CSV!$X$3:$X$1167,0)</f>
        <v>#N/A</v>
      </c>
      <c r="X341" t="e">
        <f t="shared" ca="1" si="42"/>
        <v>#VALUE!</v>
      </c>
      <c r="Y341">
        <f t="shared" ca="1" si="43"/>
        <v>0.248891379</v>
      </c>
      <c r="Z341" t="e">
        <f t="shared" ca="1" si="44"/>
        <v>#VALUE!</v>
      </c>
    </row>
    <row r="342" spans="1:26" x14ac:dyDescent="0.4">
      <c r="A342" t="str">
        <f>MID(Taostats_CSV!C342,6,2)&amp;"/"&amp;MID(Taostats_CSV!C342,9,2)&amp;"/"&amp;LEFT(Taostats_CSV!C342,4)&amp;" "&amp;MID(Taostats_CSV!C342,12,8)</f>
        <v>05/19/2025 23:59:48</v>
      </c>
      <c r="C342" t="str">
        <f ca="1">IF(Q342,OFFSET(Taostats_CSV!$E$1,MATCH(K342&amp;D$1,Taostats_CSV!$X:$X,0)-1,0),IF(Taostats_CSV!F342="fee",IF(VALUE(Taostats_CSV!G342)&gt;0,Taostats_CSV!E342,""),""))</f>
        <v/>
      </c>
      <c r="D342" t="str">
        <f ca="1">IF(Q342,OFFSET(Taostats_CSV!$G$1,MATCH(K342&amp;D$1,Taostats_CSV!$X:$X,0)-1,0),IF(Taostats_CSV!F342="fee",IF(VALUE(Taostats_CSV!G342)&gt;0,Taostats_CSV!G342,""),""))</f>
        <v/>
      </c>
      <c r="E342" t="str">
        <f ca="1">IF(AND(Q342,P342&gt;0),OFFSET(Taostats_CSV!$E$1,MATCH(K342&amp;F$1,Taostats_CSV!$X:$X,0)-1,0),IF(LEN(F342)&gt;0,Taostats_CSV!E342,""))</f>
        <v>SN64</v>
      </c>
      <c r="F342" t="str">
        <f ca="1">TRIM(IF(AND(Q342,P342&gt;0),OFFSET(Taostats_CSV!$H$1,MATCH(K342&amp;F$1,Taostats_CSV!$X:$X,0)-1,0),IF(LEN(Taostats_CSV!H342)&gt;0,Taostats_CSV!H342,Taostats_CSV!R342)))</f>
        <v>0.151446416</v>
      </c>
      <c r="G342" t="str">
        <f ca="1">IF(AND(Q342,N342=1),OFFSET(Taostats_CSV!$E$1,MATCH(K342&amp;H$1,Taostats_CSV!$X:$X,0)-1,0),"")</f>
        <v/>
      </c>
      <c r="H342" t="str">
        <f ca="1">IF(AND(Q342,N342=1),OFFSET(Taostats_CSV!$G$1,MATCH(K342&amp;H$1,Taostats_CSV!$X:$X,0)-1,0),"")</f>
        <v/>
      </c>
      <c r="I342" t="str">
        <f ca="1">IF(AND(LEN(K342)=0,LEN(F342)&gt;0),"Income",IF(AND(O342&gt;0,P342&gt;0,C342&lt;&gt;E342),"Trade",IF(AND(NOT(Q342),Taostats_CSV!F342="fee"),'READ ME'!$C$5,"")))</f>
        <v>Income</v>
      </c>
      <c r="J342" t="str">
        <f ca="1">SUBSTITUTE(IF(LEN(I342)=0,Taostats_CSV!F342&amp;" "&amp;Taostats_CSV!J342,IF(I342="Cost","Extrinsic fee","")),"_"," ")</f>
        <v/>
      </c>
      <c r="K342" t="str">
        <f>TRIM(IF(LEN(Taostats_CSV!I342)&gt;0,Taostats_CSV!I342,""))</f>
        <v/>
      </c>
      <c r="L342">
        <f ca="1">IF(Taostats_CSV!E342&lt;&gt;"TAO",IF(LEN(F342)&gt;0,F342,IF(LEN(D342)&gt;0,D342,0))*Taostats_CSV!P342,"")</f>
        <v>14.418631242125281</v>
      </c>
      <c r="M342" t="str">
        <f t="shared" ca="1" si="45"/>
        <v>USD</v>
      </c>
      <c r="N342">
        <f>COUNTIF(Taostats_CSV!$X:$X,Taostats_CSV!$I342&amp;N$1)</f>
        <v>0</v>
      </c>
      <c r="O342">
        <f>COUNTIF(Taostats_CSV!$X:$X,Taostats_CSV!$I342&amp;O$1)</f>
        <v>0</v>
      </c>
      <c r="P342">
        <f>COUNTIF(Taostats_CSV!$X:$X,Taostats_CSV!$I342&amp;P$1)</f>
        <v>0</v>
      </c>
      <c r="Q342" t="b">
        <f t="shared" si="46"/>
        <v>0</v>
      </c>
      <c r="R342" t="b">
        <f>IF(LEN(K342)&gt;0,COUNTIF($K$3:K342,K342),FALSE)</f>
        <v>0</v>
      </c>
      <c r="S342" t="b">
        <f>IF(Taostats_CSV!A342=Taostats_CSV!$A$2,TRUE,Taostats_CSV!G342+Taostats_CSV!H342+Taostats_CSV!R342=0)</f>
        <v>0</v>
      </c>
      <c r="T342" t="b">
        <f t="shared" si="47"/>
        <v>1</v>
      </c>
      <c r="U342" t="b" cm="1">
        <f t="array" aca="1" ref="U342" ca="1">AND(T342,OR(O342-N342&gt;1,P342&gt;1,ISERROR(A342:P342)))</f>
        <v>0</v>
      </c>
      <c r="W342" t="e">
        <f>MATCH(K342&amp;$W$2,Taostats_CSV!$X$3:$X$1167,0)</f>
        <v>#N/A</v>
      </c>
      <c r="X342" t="e">
        <f t="shared" ca="1" si="42"/>
        <v>#VALUE!</v>
      </c>
      <c r="Y342">
        <f t="shared" ca="1" si="43"/>
        <v>0.151446416</v>
      </c>
      <c r="Z342" t="e">
        <f t="shared" ca="1" si="44"/>
        <v>#VALUE!</v>
      </c>
    </row>
    <row r="343" spans="1:26" hidden="1" x14ac:dyDescent="0.4">
      <c r="A343" t="str">
        <f>MID(Taostats_CSV!C343,6,2)&amp;"/"&amp;MID(Taostats_CSV!C343,9,2)&amp;"/"&amp;LEFT(Taostats_CSV!C343,4)&amp;" "&amp;MID(Taostats_CSV!C343,12,8)</f>
        <v>05/19/2025 23:59:48</v>
      </c>
      <c r="C343" t="str">
        <f ca="1">IF(Q343,OFFSET(Taostats_CSV!$E$1,MATCH(K343&amp;D$1,Taostats_CSV!$X:$X,0)-1,0),IF(Taostats_CSV!F343="fee","",IF(VALUE(Taostats_CSV!G343)&gt;0,Taostats_CSV!E343,"")))</f>
        <v/>
      </c>
      <c r="D343" t="str">
        <f ca="1">IF(Q343,OFFSET(Taostats_CSV!$G$1,MATCH(K343&amp;D$1,Taostats_CSV!$X:$X,0)-1,0),IF(Taostats_CSV!F343="fee","",IF(VALUE(Taostats_CSV!G343)&gt;0,Taostats_CSV!G343,"")))</f>
        <v/>
      </c>
      <c r="E343" t="str">
        <f ca="1">IF(AND(Q343,P343&gt;0),OFFSET(Taostats_CSV!$E$1,MATCH(K343&amp;F$1,Taostats_CSV!$X:$X,0)-1,0),IF(LEN(F343)&gt;0,Taostats_CSV!E343,""))</f>
        <v>TAO</v>
      </c>
      <c r="F343" t="str">
        <f ca="1">TRIM(IF(AND(Q343,P343&gt;0),OFFSET(Taostats_CSV!$H$1,MATCH(K343&amp;F$1,Taostats_CSV!$X:$X,0)-1,0),IF(LEN(Taostats_CSV!H343)&gt;0,Taostats_CSV!H343,Taostats_CSV!R343)))</f>
        <v>0</v>
      </c>
      <c r="G343" t="str">
        <f ca="1">IF(AND(Q343,N343=1),OFFSET(Taostats_CSV!$E$1,MATCH(K343&amp;H$1,Taostats_CSV!$X:$X,0)-1,0),IF(Taostats_CSV!F343="fee",Taostats_CSV!E343,""))</f>
        <v/>
      </c>
      <c r="H343" t="str">
        <f ca="1">IF(AND(Q343,N343=1),OFFSET(Taostats_CSV!$G$1,MATCH(K343&amp;H$1,Taostats_CSV!$X:$X,0)-1,0),IF(Taostats_CSV!F343="fee",Taostats_CSV!G343,""))</f>
        <v/>
      </c>
      <c r="I343" t="str">
        <f ca="1">IF(AND(LEN(K343)=0,LEN(F343)&gt;0),"Income",IF(AND(O343&gt;0,P343&gt;0,C343&lt;&gt;E343),"Trade",IF(AND(NOT(Q343),Taostats_CSV!F343="fee"),'READ ME'!$C$5,"")))</f>
        <v>Income</v>
      </c>
      <c r="J343" t="str">
        <f ca="1">SUBSTITUTE(IF(LEN(I343)=0,Taostats_CSV!F343&amp;" "&amp;Taostats_CSV!J343,IF(I343="Cost","Extrinsic fee","")),"_"," ")</f>
        <v/>
      </c>
      <c r="K343" t="str">
        <f>TRIM(IF(LEN(Taostats_CSV!I343)&gt;0,Taostats_CSV!I343,""))</f>
        <v/>
      </c>
      <c r="L343" t="str">
        <f>IF(Taostats_CSV!E343&lt;&gt;"TAO",IF(LEN(F343)&gt;0,F343,IF(LEN(D343)&gt;0,D343,0))*Taostats_CSV!P343,"")</f>
        <v/>
      </c>
      <c r="M343" t="str">
        <f t="shared" si="45"/>
        <v/>
      </c>
      <c r="N343">
        <f>COUNTIF(Taostats_CSV!$X:$X,Taostats_CSV!$I343&amp;N$1)</f>
        <v>0</v>
      </c>
      <c r="O343">
        <f>COUNTIF(Taostats_CSV!$X:$X,Taostats_CSV!$I343&amp;O$1)</f>
        <v>0</v>
      </c>
      <c r="P343">
        <f>COUNTIF(Taostats_CSV!$X:$X,Taostats_CSV!$I343&amp;P$1)</f>
        <v>0</v>
      </c>
      <c r="Q343" t="b">
        <f t="shared" si="46"/>
        <v>0</v>
      </c>
      <c r="R343" t="b">
        <f>IF(LEN(K343)&gt;0,COUNTIF($K$3:K343,K343),FALSE)</f>
        <v>0</v>
      </c>
      <c r="S343" t="b">
        <f>IF(Taostats_CSV!A343=Taostats_CSV!$A$2,TRUE,Taostats_CSV!G343+Taostats_CSV!H343+Taostats_CSV!R343=0)</f>
        <v>1</v>
      </c>
      <c r="T343" t="b">
        <f t="shared" si="47"/>
        <v>0</v>
      </c>
      <c r="U343" t="b" cm="1">
        <f t="array" aca="1" ref="U343" ca="1">AND(T343,OR(O343-N343&gt;1,P343&gt;1,ISERROR(A343:P343)))</f>
        <v>0</v>
      </c>
      <c r="W343" t="e">
        <f>MATCH(K343&amp;$W$2,Taostats_CSV!$X$3:$X$1167,0)</f>
        <v>#N/A</v>
      </c>
      <c r="X343" t="e">
        <f t="shared" ca="1" si="42"/>
        <v>#VALUE!</v>
      </c>
      <c r="Y343">
        <f t="shared" ca="1" si="43"/>
        <v>0</v>
      </c>
      <c r="Z343" t="e">
        <f t="shared" ca="1" si="44"/>
        <v>#VALUE!</v>
      </c>
    </row>
    <row r="344" spans="1:26" x14ac:dyDescent="0.4">
      <c r="A344" t="str">
        <f>MID(Taostats_CSV!C344,6,2)&amp;"/"&amp;MID(Taostats_CSV!C344,9,2)&amp;"/"&amp;LEFT(Taostats_CSV!C344,4)&amp;" "&amp;MID(Taostats_CSV!C344,12,8)</f>
        <v>05/20/2025 22:05:12</v>
      </c>
      <c r="C344" t="str">
        <f ca="1">IF(Q344,OFFSET(Taostats_CSV!$E$1,MATCH(K344&amp;D$1,Taostats_CSV!$X:$X,0)-1,0),IF(Taostats_CSV!F344="fee",IF(VALUE(Taostats_CSV!G344)&gt;0,Taostats_CSV!E344,""),""))</f>
        <v/>
      </c>
      <c r="D344" t="str">
        <f ca="1">IF(Q344,OFFSET(Taostats_CSV!$G$1,MATCH(K344&amp;D$1,Taostats_CSV!$X:$X,0)-1,0),IF(Taostats_CSV!F344="fee",IF(VALUE(Taostats_CSV!G344)&gt;0,Taostats_CSV!G344,""),""))</f>
        <v/>
      </c>
      <c r="E344" t="str">
        <f ca="1">IF(AND(Q344,P344&gt;0),OFFSET(Taostats_CSV!$E$1,MATCH(K344&amp;F$1,Taostats_CSV!$X:$X,0)-1,0),IF(LEN(F344)&gt;0,Taostats_CSV!E344,""))</f>
        <v>SN3</v>
      </c>
      <c r="F344" t="str">
        <f ca="1">TRIM(IF(AND(Q344,P344&gt;0),OFFSET(Taostats_CSV!$H$1,MATCH(K344&amp;F$1,Taostats_CSV!$X:$X,0)-1,0),IF(LEN(Taostats_CSV!H344)&gt;0,Taostats_CSV!H344,Taostats_CSV!R344)))</f>
        <v>0.413644438</v>
      </c>
      <c r="G344" t="str">
        <f ca="1">IF(AND(Q344,N344=1),OFFSET(Taostats_CSV!$E$1,MATCH(K344&amp;H$1,Taostats_CSV!$X:$X,0)-1,0),"")</f>
        <v/>
      </c>
      <c r="H344" t="str">
        <f ca="1">IF(AND(Q344,N344=1),OFFSET(Taostats_CSV!$G$1,MATCH(K344&amp;H$1,Taostats_CSV!$X:$X,0)-1,0),"")</f>
        <v/>
      </c>
      <c r="I344" t="str">
        <f ca="1">IF(AND(LEN(K344)=0,LEN(F344)&gt;0),"Income",IF(AND(O344&gt;0,P344&gt;0,C344&lt;&gt;E344),"Trade",IF(AND(NOT(Q344),Taostats_CSV!F344="fee"),'READ ME'!$C$5,"")))</f>
        <v>Income</v>
      </c>
      <c r="J344" t="str">
        <f ca="1">SUBSTITUTE(IF(LEN(I344)=0,Taostats_CSV!F344&amp;" "&amp;Taostats_CSV!J344,IF(I344="Cost","Extrinsic fee","")),"_"," ")</f>
        <v/>
      </c>
      <c r="K344" t="str">
        <f>TRIM(IF(LEN(Taostats_CSV!I344)&gt;0,Taostats_CSV!I344,""))</f>
        <v/>
      </c>
      <c r="L344">
        <f ca="1">IF(Taostats_CSV!E344&lt;&gt;"TAO",IF(LEN(F344)&gt;0,F344,IF(LEN(D344)&gt;0,D344,0))*Taostats_CSV!P344,"")</f>
        <v>15.00517335094197</v>
      </c>
      <c r="M344" t="str">
        <f t="shared" ca="1" si="45"/>
        <v>USD</v>
      </c>
      <c r="N344">
        <f>COUNTIF(Taostats_CSV!$X:$X,Taostats_CSV!$I344&amp;N$1)</f>
        <v>0</v>
      </c>
      <c r="O344">
        <f>COUNTIF(Taostats_CSV!$X:$X,Taostats_CSV!$I344&amp;O$1)</f>
        <v>0</v>
      </c>
      <c r="P344">
        <f>COUNTIF(Taostats_CSV!$X:$X,Taostats_CSV!$I344&amp;P$1)</f>
        <v>0</v>
      </c>
      <c r="Q344" t="b">
        <f t="shared" si="46"/>
        <v>0</v>
      </c>
      <c r="R344" t="b">
        <f>IF(LEN(K344)&gt;0,COUNTIF($K$3:K344,K344),FALSE)</f>
        <v>0</v>
      </c>
      <c r="S344" t="b">
        <f>IF(Taostats_CSV!A344=Taostats_CSV!$A$2,TRUE,Taostats_CSV!G344+Taostats_CSV!H344+Taostats_CSV!R344=0)</f>
        <v>0</v>
      </c>
      <c r="T344" t="b">
        <f t="shared" si="47"/>
        <v>1</v>
      </c>
      <c r="U344" t="b" cm="1">
        <f t="array" aca="1" ref="U344" ca="1">AND(T344,OR(O344-N344&gt;1,P344&gt;1,ISERROR(A344:P344)))</f>
        <v>0</v>
      </c>
      <c r="W344" t="e">
        <f>MATCH(K344&amp;$W$2,Taostats_CSV!$X$3:$X$1167,0)</f>
        <v>#N/A</v>
      </c>
      <c r="X344" t="e">
        <f t="shared" ca="1" si="42"/>
        <v>#VALUE!</v>
      </c>
      <c r="Y344">
        <f t="shared" ca="1" si="43"/>
        <v>0.413644438</v>
      </c>
      <c r="Z344" t="e">
        <f t="shared" ca="1" si="44"/>
        <v>#VALUE!</v>
      </c>
    </row>
    <row r="345" spans="1:26" x14ac:dyDescent="0.4">
      <c r="A345" t="str">
        <f>MID(Taostats_CSV!C345,6,2)&amp;"/"&amp;MID(Taostats_CSV!C345,9,2)&amp;"/"&amp;LEFT(Taostats_CSV!C345,4)&amp;" "&amp;MID(Taostats_CSV!C345,12,8)</f>
        <v>05/20/2025 22:05:12</v>
      </c>
      <c r="C345" t="str">
        <f ca="1">IF(Q345,OFFSET(Taostats_CSV!$E$1,MATCH(K345&amp;D$1,Taostats_CSV!$X:$X,0)-1,0),IF(Taostats_CSV!F345="fee",IF(VALUE(Taostats_CSV!G345)&gt;0,Taostats_CSV!E345,""),""))</f>
        <v/>
      </c>
      <c r="D345" t="str">
        <f ca="1">IF(Q345,OFFSET(Taostats_CSV!$G$1,MATCH(K345&amp;D$1,Taostats_CSV!$X:$X,0)-1,0),IF(Taostats_CSV!F345="fee",IF(VALUE(Taostats_CSV!G345)&gt;0,Taostats_CSV!G345,""),""))</f>
        <v/>
      </c>
      <c r="E345" t="str">
        <f ca="1">IF(AND(Q345,P345&gt;0),OFFSET(Taostats_CSV!$E$1,MATCH(K345&amp;F$1,Taostats_CSV!$X:$X,0)-1,0),IF(LEN(F345)&gt;0,Taostats_CSV!E345,""))</f>
        <v>SN4</v>
      </c>
      <c r="F345" t="str">
        <f ca="1">TRIM(IF(AND(Q345,P345&gt;0),OFFSET(Taostats_CSV!$H$1,MATCH(K345&amp;F$1,Taostats_CSV!$X:$X,0)-1,0),IF(LEN(Taostats_CSV!H345)&gt;0,Taostats_CSV!H345,Taostats_CSV!R345)))</f>
        <v>0.369109378</v>
      </c>
      <c r="G345" t="str">
        <f ca="1">IF(AND(Q345,N345=1),OFFSET(Taostats_CSV!$E$1,MATCH(K345&amp;H$1,Taostats_CSV!$X:$X,0)-1,0),"")</f>
        <v/>
      </c>
      <c r="H345" t="str">
        <f ca="1">IF(AND(Q345,N345=1),OFFSET(Taostats_CSV!$G$1,MATCH(K345&amp;H$1,Taostats_CSV!$X:$X,0)-1,0),"")</f>
        <v/>
      </c>
      <c r="I345" t="str">
        <f ca="1">IF(AND(LEN(K345)=0,LEN(F345)&gt;0),"Income",IF(AND(O345&gt;0,P345&gt;0,C345&lt;&gt;E345),"Trade",IF(AND(NOT(Q345),Taostats_CSV!F345="fee"),'READ ME'!$C$5,"")))</f>
        <v>Income</v>
      </c>
      <c r="J345" t="str">
        <f ca="1">SUBSTITUTE(IF(LEN(I345)=0,Taostats_CSV!F345&amp;" "&amp;Taostats_CSV!J345,IF(I345="Cost","Extrinsic fee","")),"_"," ")</f>
        <v/>
      </c>
      <c r="K345" t="str">
        <f>TRIM(IF(LEN(Taostats_CSV!I345)&gt;0,Taostats_CSV!I345,""))</f>
        <v/>
      </c>
      <c r="L345">
        <f ca="1">IF(Taostats_CSV!E345&lt;&gt;"TAO",IF(LEN(F345)&gt;0,F345,IF(LEN(D345)&gt;0,D345,0))*Taostats_CSV!P345,"")</f>
        <v>16.197707190912894</v>
      </c>
      <c r="M345" t="str">
        <f t="shared" ca="1" si="45"/>
        <v>USD</v>
      </c>
      <c r="N345">
        <f>COUNTIF(Taostats_CSV!$X:$X,Taostats_CSV!$I345&amp;N$1)</f>
        <v>0</v>
      </c>
      <c r="O345">
        <f>COUNTIF(Taostats_CSV!$X:$X,Taostats_CSV!$I345&amp;O$1)</f>
        <v>0</v>
      </c>
      <c r="P345">
        <f>COUNTIF(Taostats_CSV!$X:$X,Taostats_CSV!$I345&amp;P$1)</f>
        <v>0</v>
      </c>
      <c r="Q345" t="b">
        <f t="shared" si="46"/>
        <v>0</v>
      </c>
      <c r="R345" t="b">
        <f>IF(LEN(K345)&gt;0,COUNTIF($K$3:K345,K345),FALSE)</f>
        <v>0</v>
      </c>
      <c r="S345" t="b">
        <f>IF(Taostats_CSV!A345=Taostats_CSV!$A$2,TRUE,Taostats_CSV!G345+Taostats_CSV!H345+Taostats_CSV!R345=0)</f>
        <v>0</v>
      </c>
      <c r="T345" t="b">
        <f t="shared" si="47"/>
        <v>1</v>
      </c>
      <c r="U345" t="b" cm="1">
        <f t="array" aca="1" ref="U345" ca="1">AND(T345,OR(O345-N345&gt;1,P345&gt;1,ISERROR(A345:P345)))</f>
        <v>0</v>
      </c>
      <c r="W345" t="e">
        <f>MATCH(K345&amp;$W$2,Taostats_CSV!$X$3:$X$1167,0)</f>
        <v>#N/A</v>
      </c>
      <c r="X345" t="e">
        <f t="shared" ca="1" si="42"/>
        <v>#VALUE!</v>
      </c>
      <c r="Y345">
        <f t="shared" ca="1" si="43"/>
        <v>0.36910937799999999</v>
      </c>
      <c r="Z345" t="e">
        <f t="shared" ca="1" si="44"/>
        <v>#VALUE!</v>
      </c>
    </row>
    <row r="346" spans="1:26" x14ac:dyDescent="0.4">
      <c r="A346" t="str">
        <f>MID(Taostats_CSV!C346,6,2)&amp;"/"&amp;MID(Taostats_CSV!C346,9,2)&amp;"/"&amp;LEFT(Taostats_CSV!C346,4)&amp;" "&amp;MID(Taostats_CSV!C346,12,8)</f>
        <v>05/20/2025 22:05:12</v>
      </c>
      <c r="C346" t="str">
        <f ca="1">IF(Q346,OFFSET(Taostats_CSV!$E$1,MATCH(K346&amp;D$1,Taostats_CSV!$X:$X,0)-1,0),IF(Taostats_CSV!F346="fee",IF(VALUE(Taostats_CSV!G346)&gt;0,Taostats_CSV!E346,""),""))</f>
        <v/>
      </c>
      <c r="D346" t="str">
        <f ca="1">IF(Q346,OFFSET(Taostats_CSV!$G$1,MATCH(K346&amp;D$1,Taostats_CSV!$X:$X,0)-1,0),IF(Taostats_CSV!F346="fee",IF(VALUE(Taostats_CSV!G346)&gt;0,Taostats_CSV!G346,""),""))</f>
        <v/>
      </c>
      <c r="E346" t="str">
        <f ca="1">IF(AND(Q346,P346&gt;0),OFFSET(Taostats_CSV!$E$1,MATCH(K346&amp;F$1,Taostats_CSV!$X:$X,0)-1,0),IF(LEN(F346)&gt;0,Taostats_CSV!E346,""))</f>
        <v>SN56</v>
      </c>
      <c r="F346" t="str">
        <f ca="1">TRIM(IF(AND(Q346,P346&gt;0),OFFSET(Taostats_CSV!$H$1,MATCH(K346&amp;F$1,Taostats_CSV!$X:$X,0)-1,0),IF(LEN(Taostats_CSV!H346)&gt;0,Taostats_CSV!H346,Taostats_CSV!R346)))</f>
        <v>0.221222812</v>
      </c>
      <c r="G346" t="str">
        <f ca="1">IF(AND(Q346,N346=1),OFFSET(Taostats_CSV!$E$1,MATCH(K346&amp;H$1,Taostats_CSV!$X:$X,0)-1,0),"")</f>
        <v/>
      </c>
      <c r="H346" t="str">
        <f ca="1">IF(AND(Q346,N346=1),OFFSET(Taostats_CSV!$G$1,MATCH(K346&amp;H$1,Taostats_CSV!$X:$X,0)-1,0),"")</f>
        <v/>
      </c>
      <c r="I346" t="str">
        <f ca="1">IF(AND(LEN(K346)=0,LEN(F346)&gt;0),"Income",IF(AND(O346&gt;0,P346&gt;0,C346&lt;&gt;E346),"Trade",IF(AND(NOT(Q346),Taostats_CSV!F346="fee"),'READ ME'!$C$5,"")))</f>
        <v>Income</v>
      </c>
      <c r="J346" t="str">
        <f ca="1">SUBSTITUTE(IF(LEN(I346)=0,Taostats_CSV!F346&amp;" "&amp;Taostats_CSV!J346,IF(I346="Cost","Extrinsic fee","")),"_"," ")</f>
        <v/>
      </c>
      <c r="K346" t="str">
        <f>TRIM(IF(LEN(Taostats_CSV!I346)&gt;0,Taostats_CSV!I346,""))</f>
        <v/>
      </c>
      <c r="L346">
        <f ca="1">IF(Taostats_CSV!E346&lt;&gt;"TAO",IF(LEN(F346)&gt;0,F346,IF(LEN(D346)&gt;0,D346,0))*Taostats_CSV!P346,"")</f>
        <v>9.2561812811387387</v>
      </c>
      <c r="M346" t="str">
        <f t="shared" ca="1" si="45"/>
        <v>USD</v>
      </c>
      <c r="N346">
        <f>COUNTIF(Taostats_CSV!$X:$X,Taostats_CSV!$I346&amp;N$1)</f>
        <v>0</v>
      </c>
      <c r="O346">
        <f>COUNTIF(Taostats_CSV!$X:$X,Taostats_CSV!$I346&amp;O$1)</f>
        <v>0</v>
      </c>
      <c r="P346">
        <f>COUNTIF(Taostats_CSV!$X:$X,Taostats_CSV!$I346&amp;P$1)</f>
        <v>0</v>
      </c>
      <c r="Q346" t="b">
        <f t="shared" si="46"/>
        <v>0</v>
      </c>
      <c r="R346" t="b">
        <f>IF(LEN(K346)&gt;0,COUNTIF($K$3:K346,K346),FALSE)</f>
        <v>0</v>
      </c>
      <c r="S346" t="b">
        <f>IF(Taostats_CSV!A346=Taostats_CSV!$A$2,TRUE,Taostats_CSV!G346+Taostats_CSV!H346+Taostats_CSV!R346=0)</f>
        <v>0</v>
      </c>
      <c r="T346" t="b">
        <f t="shared" si="47"/>
        <v>1</v>
      </c>
      <c r="U346" t="b" cm="1">
        <f t="array" aca="1" ref="U346" ca="1">AND(T346,OR(O346-N346&gt;1,P346&gt;1,ISERROR(A346:P346)))</f>
        <v>0</v>
      </c>
      <c r="W346" t="e">
        <f>MATCH(K346&amp;$W$2,Taostats_CSV!$X$3:$X$1167,0)</f>
        <v>#N/A</v>
      </c>
      <c r="X346" t="e">
        <f t="shared" ca="1" si="42"/>
        <v>#VALUE!</v>
      </c>
      <c r="Y346">
        <f t="shared" ca="1" si="43"/>
        <v>0.22122281199999999</v>
      </c>
      <c r="Z346" t="e">
        <f t="shared" ca="1" si="44"/>
        <v>#VALUE!</v>
      </c>
    </row>
    <row r="347" spans="1:26" x14ac:dyDescent="0.4">
      <c r="A347" t="str">
        <f>MID(Taostats_CSV!C347,6,2)&amp;"/"&amp;MID(Taostats_CSV!C347,9,2)&amp;"/"&amp;LEFT(Taostats_CSV!C347,4)&amp;" "&amp;MID(Taostats_CSV!C347,12,8)</f>
        <v>05/20/2025 22:05:12</v>
      </c>
      <c r="C347" t="str">
        <f ca="1">IF(Q347,OFFSET(Taostats_CSV!$E$1,MATCH(K347&amp;D$1,Taostats_CSV!$X:$X,0)-1,0),IF(Taostats_CSV!F347="fee",IF(VALUE(Taostats_CSV!G347)&gt;0,Taostats_CSV!E347,""),""))</f>
        <v/>
      </c>
      <c r="D347" t="str">
        <f ca="1">IF(Q347,OFFSET(Taostats_CSV!$G$1,MATCH(K347&amp;D$1,Taostats_CSV!$X:$X,0)-1,0),IF(Taostats_CSV!F347="fee",IF(VALUE(Taostats_CSV!G347)&gt;0,Taostats_CSV!G347,""),""))</f>
        <v/>
      </c>
      <c r="E347" t="str">
        <f ca="1">IF(AND(Q347,P347&gt;0),OFFSET(Taostats_CSV!$E$1,MATCH(K347&amp;F$1,Taostats_CSV!$X:$X,0)-1,0),IF(LEN(F347)&gt;0,Taostats_CSV!E347,""))</f>
        <v>SN64</v>
      </c>
      <c r="F347" t="str">
        <f ca="1">TRIM(IF(AND(Q347,P347&gt;0),OFFSET(Taostats_CSV!$H$1,MATCH(K347&amp;F$1,Taostats_CSV!$X:$X,0)-1,0),IF(LEN(Taostats_CSV!H347)&gt;0,Taostats_CSV!H347,Taostats_CSV!R347)))</f>
        <v>0.133408601</v>
      </c>
      <c r="G347" t="str">
        <f ca="1">IF(AND(Q347,N347=1),OFFSET(Taostats_CSV!$E$1,MATCH(K347&amp;H$1,Taostats_CSV!$X:$X,0)-1,0),"")</f>
        <v/>
      </c>
      <c r="H347" t="str">
        <f ca="1">IF(AND(Q347,N347=1),OFFSET(Taostats_CSV!$G$1,MATCH(K347&amp;H$1,Taostats_CSV!$X:$X,0)-1,0),"")</f>
        <v/>
      </c>
      <c r="I347" t="str">
        <f ca="1">IF(AND(LEN(K347)=0,LEN(F347)&gt;0),"Income",IF(AND(O347&gt;0,P347&gt;0,C347&lt;&gt;E347),"Trade",IF(AND(NOT(Q347),Taostats_CSV!F347="fee"),'READ ME'!$C$5,"")))</f>
        <v>Income</v>
      </c>
      <c r="J347" t="str">
        <f ca="1">SUBSTITUTE(IF(LEN(I347)=0,Taostats_CSV!F347&amp;" "&amp;Taostats_CSV!J347,IF(I347="Cost","Extrinsic fee","")),"_"," ")</f>
        <v/>
      </c>
      <c r="K347" t="str">
        <f>TRIM(IF(LEN(Taostats_CSV!I347)&gt;0,Taostats_CSV!I347,""))</f>
        <v/>
      </c>
      <c r="L347">
        <f ca="1">IF(Taostats_CSV!E347&lt;&gt;"TAO",IF(LEN(F347)&gt;0,F347,IF(LEN(D347)&gt;0,D347,0))*Taostats_CSV!P347,"")</f>
        <v>12.871194793623539</v>
      </c>
      <c r="M347" t="str">
        <f t="shared" ca="1" si="45"/>
        <v>USD</v>
      </c>
      <c r="N347">
        <f>COUNTIF(Taostats_CSV!$X:$X,Taostats_CSV!$I347&amp;N$1)</f>
        <v>0</v>
      </c>
      <c r="O347">
        <f>COUNTIF(Taostats_CSV!$X:$X,Taostats_CSV!$I347&amp;O$1)</f>
        <v>0</v>
      </c>
      <c r="P347">
        <f>COUNTIF(Taostats_CSV!$X:$X,Taostats_CSV!$I347&amp;P$1)</f>
        <v>0</v>
      </c>
      <c r="Q347" t="b">
        <f t="shared" si="46"/>
        <v>0</v>
      </c>
      <c r="R347" t="b">
        <f>IF(LEN(K347)&gt;0,COUNTIF($K$3:K347,K347),FALSE)</f>
        <v>0</v>
      </c>
      <c r="S347" t="b">
        <f>IF(Taostats_CSV!A347=Taostats_CSV!$A$2,TRUE,Taostats_CSV!G347+Taostats_CSV!H347+Taostats_CSV!R347=0)</f>
        <v>0</v>
      </c>
      <c r="T347" t="b">
        <f t="shared" si="47"/>
        <v>1</v>
      </c>
      <c r="U347" t="b" cm="1">
        <f t="array" aca="1" ref="U347" ca="1">AND(T347,OR(O347-N347&gt;1,P347&gt;1,ISERROR(A347:P347)))</f>
        <v>0</v>
      </c>
      <c r="W347" t="e">
        <f>MATCH(K347&amp;$W$2,Taostats_CSV!$X$3:$X$1167,0)</f>
        <v>#N/A</v>
      </c>
      <c r="X347" t="e">
        <f t="shared" ca="1" si="42"/>
        <v>#VALUE!</v>
      </c>
      <c r="Y347">
        <f t="shared" ca="1" si="43"/>
        <v>0.13340860099999999</v>
      </c>
      <c r="Z347" t="e">
        <f t="shared" ca="1" si="44"/>
        <v>#VALUE!</v>
      </c>
    </row>
    <row r="348" spans="1:26" hidden="1" x14ac:dyDescent="0.4">
      <c r="A348" t="str">
        <f>MID(Taostats_CSV!C348,6,2)&amp;"/"&amp;MID(Taostats_CSV!C348,9,2)&amp;"/"&amp;LEFT(Taostats_CSV!C348,4)&amp;" "&amp;MID(Taostats_CSV!C348,12,8)</f>
        <v>05/20/2025 22:05:12</v>
      </c>
      <c r="C348" t="str">
        <f ca="1">IF(Q348,OFFSET(Taostats_CSV!$E$1,MATCH(K348&amp;D$1,Taostats_CSV!$X:$X,0)-1,0),IF(Taostats_CSV!F348="fee","",IF(VALUE(Taostats_CSV!G348)&gt;0,Taostats_CSV!E348,"")))</f>
        <v/>
      </c>
      <c r="D348" t="str">
        <f ca="1">IF(Q348,OFFSET(Taostats_CSV!$G$1,MATCH(K348&amp;D$1,Taostats_CSV!$X:$X,0)-1,0),IF(Taostats_CSV!F348="fee","",IF(VALUE(Taostats_CSV!G348)&gt;0,Taostats_CSV!G348,"")))</f>
        <v/>
      </c>
      <c r="E348" t="str">
        <f ca="1">IF(AND(Q348,P348&gt;0),OFFSET(Taostats_CSV!$E$1,MATCH(K348&amp;F$1,Taostats_CSV!$X:$X,0)-1,0),IF(LEN(F348)&gt;0,Taostats_CSV!E348,""))</f>
        <v>TAO</v>
      </c>
      <c r="F348" t="str">
        <f ca="1">TRIM(IF(AND(Q348,P348&gt;0),OFFSET(Taostats_CSV!$H$1,MATCH(K348&amp;F$1,Taostats_CSV!$X:$X,0)-1,0),IF(LEN(Taostats_CSV!H348)&gt;0,Taostats_CSV!H348,Taostats_CSV!R348)))</f>
        <v>0</v>
      </c>
      <c r="G348" t="str">
        <f ca="1">IF(AND(Q348,N348=1),OFFSET(Taostats_CSV!$E$1,MATCH(K348&amp;H$1,Taostats_CSV!$X:$X,0)-1,0),IF(Taostats_CSV!F348="fee",Taostats_CSV!E348,""))</f>
        <v/>
      </c>
      <c r="H348" t="str">
        <f ca="1">IF(AND(Q348,N348=1),OFFSET(Taostats_CSV!$G$1,MATCH(K348&amp;H$1,Taostats_CSV!$X:$X,0)-1,0),IF(Taostats_CSV!F348="fee",Taostats_CSV!G348,""))</f>
        <v/>
      </c>
      <c r="I348" t="str">
        <f ca="1">IF(AND(LEN(K348)=0,LEN(F348)&gt;0),"Income",IF(AND(O348&gt;0,P348&gt;0,C348&lt;&gt;E348),"Trade",IF(AND(NOT(Q348),Taostats_CSV!F348="fee"),'READ ME'!$C$5,"")))</f>
        <v>Income</v>
      </c>
      <c r="J348" t="str">
        <f ca="1">SUBSTITUTE(IF(LEN(I348)=0,Taostats_CSV!F348&amp;" "&amp;Taostats_CSV!J348,IF(I348="Cost","Extrinsic fee","")),"_"," ")</f>
        <v/>
      </c>
      <c r="K348" t="str">
        <f>TRIM(IF(LEN(Taostats_CSV!I348)&gt;0,Taostats_CSV!I348,""))</f>
        <v/>
      </c>
      <c r="L348" t="str">
        <f>IF(Taostats_CSV!E348&lt;&gt;"TAO",IF(LEN(F348)&gt;0,F348,IF(LEN(D348)&gt;0,D348,0))*Taostats_CSV!P348,"")</f>
        <v/>
      </c>
      <c r="M348" t="str">
        <f t="shared" si="45"/>
        <v/>
      </c>
      <c r="N348">
        <f>COUNTIF(Taostats_CSV!$X:$X,Taostats_CSV!$I348&amp;N$1)</f>
        <v>0</v>
      </c>
      <c r="O348">
        <f>COUNTIF(Taostats_CSV!$X:$X,Taostats_CSV!$I348&amp;O$1)</f>
        <v>0</v>
      </c>
      <c r="P348">
        <f>COUNTIF(Taostats_CSV!$X:$X,Taostats_CSV!$I348&amp;P$1)</f>
        <v>0</v>
      </c>
      <c r="Q348" t="b">
        <f t="shared" si="46"/>
        <v>0</v>
      </c>
      <c r="R348" t="b">
        <f>IF(LEN(K348)&gt;0,COUNTIF($K$3:K348,K348),FALSE)</f>
        <v>0</v>
      </c>
      <c r="S348" t="b">
        <f>IF(Taostats_CSV!A348=Taostats_CSV!$A$2,TRUE,Taostats_CSV!G348+Taostats_CSV!H348+Taostats_CSV!R348=0)</f>
        <v>1</v>
      </c>
      <c r="T348" t="b">
        <f t="shared" si="47"/>
        <v>0</v>
      </c>
      <c r="U348" t="b" cm="1">
        <f t="array" aca="1" ref="U348" ca="1">AND(T348,OR(O348-N348&gt;1,P348&gt;1,ISERROR(A348:P348)))</f>
        <v>0</v>
      </c>
      <c r="W348" t="e">
        <f>MATCH(K348&amp;$W$2,Taostats_CSV!$X$3:$X$1167,0)</f>
        <v>#N/A</v>
      </c>
      <c r="X348" t="e">
        <f t="shared" ca="1" si="42"/>
        <v>#VALUE!</v>
      </c>
      <c r="Y348">
        <f t="shared" ca="1" si="43"/>
        <v>0</v>
      </c>
      <c r="Z348" t="e">
        <f t="shared" ca="1" si="44"/>
        <v>#VALUE!</v>
      </c>
    </row>
    <row r="349" spans="1:26" x14ac:dyDescent="0.4">
      <c r="A349" t="str">
        <f>MID(Taostats_CSV!C349,6,2)&amp;"/"&amp;MID(Taostats_CSV!C349,9,2)&amp;"/"&amp;LEFT(Taostats_CSV!C349,4)&amp;" "&amp;MID(Taostats_CSV!C349,12,8)</f>
        <v>05/21/2025 23:46:12</v>
      </c>
      <c r="C349" t="str">
        <f ca="1">IF(Q349,OFFSET(Taostats_CSV!$E$1,MATCH(K349&amp;D$1,Taostats_CSV!$X:$X,0)-1,0),IF(Taostats_CSV!F349="fee",IF(VALUE(Taostats_CSV!G349)&gt;0,Taostats_CSV!E349,""),""))</f>
        <v/>
      </c>
      <c r="D349" t="str">
        <f ca="1">IF(Q349,OFFSET(Taostats_CSV!$G$1,MATCH(K349&amp;D$1,Taostats_CSV!$X:$X,0)-1,0),IF(Taostats_CSV!F349="fee",IF(VALUE(Taostats_CSV!G349)&gt;0,Taostats_CSV!G349,""),""))</f>
        <v/>
      </c>
      <c r="E349" t="str">
        <f ca="1">IF(AND(Q349,P349&gt;0),OFFSET(Taostats_CSV!$E$1,MATCH(K349&amp;F$1,Taostats_CSV!$X:$X,0)-1,0),IF(LEN(F349)&gt;0,Taostats_CSV!E349,""))</f>
        <v>SN3</v>
      </c>
      <c r="F349" t="str">
        <f ca="1">TRIM(IF(AND(Q349,P349&gt;0),OFFSET(Taostats_CSV!$H$1,MATCH(K349&amp;F$1,Taostats_CSV!$X:$X,0)-1,0),IF(LEN(Taostats_CSV!H349)&gt;0,Taostats_CSV!H349,Taostats_CSV!R349)))</f>
        <v>0.139109154</v>
      </c>
      <c r="G349" t="str">
        <f ca="1">IF(AND(Q349,N349=1),OFFSET(Taostats_CSV!$E$1,MATCH(K349&amp;H$1,Taostats_CSV!$X:$X,0)-1,0),"")</f>
        <v/>
      </c>
      <c r="H349" t="str">
        <f ca="1">IF(AND(Q349,N349=1),OFFSET(Taostats_CSV!$G$1,MATCH(K349&amp;H$1,Taostats_CSV!$X:$X,0)-1,0),"")</f>
        <v/>
      </c>
      <c r="I349" t="str">
        <f ca="1">IF(AND(LEN(K349)=0,LEN(F349)&gt;0),"Income",IF(AND(O349&gt;0,P349&gt;0,C349&lt;&gt;E349),"Trade",IF(AND(NOT(Q349),Taostats_CSV!F349="fee"),'READ ME'!$C$5,"")))</f>
        <v>Income</v>
      </c>
      <c r="J349" t="str">
        <f ca="1">SUBSTITUTE(IF(LEN(I349)=0,Taostats_CSV!F349&amp;" "&amp;Taostats_CSV!J349,IF(I349="Cost","Extrinsic fee","")),"_"," ")</f>
        <v/>
      </c>
      <c r="K349" t="str">
        <f>TRIM(IF(LEN(Taostats_CSV!I349)&gt;0,Taostats_CSV!I349,""))</f>
        <v/>
      </c>
      <c r="L349">
        <f ca="1">IF(Taostats_CSV!E349&lt;&gt;"TAO",IF(LEN(F349)&gt;0,F349,IF(LEN(D349)&gt;0,D349,0))*Taostats_CSV!P349,"")</f>
        <v>5.4694063223319755</v>
      </c>
      <c r="M349" t="str">
        <f t="shared" ca="1" si="45"/>
        <v>USD</v>
      </c>
      <c r="N349">
        <f>COUNTIF(Taostats_CSV!$X:$X,Taostats_CSV!$I349&amp;N$1)</f>
        <v>0</v>
      </c>
      <c r="O349">
        <f>COUNTIF(Taostats_CSV!$X:$X,Taostats_CSV!$I349&amp;O$1)</f>
        <v>0</v>
      </c>
      <c r="P349">
        <f>COUNTIF(Taostats_CSV!$X:$X,Taostats_CSV!$I349&amp;P$1)</f>
        <v>0</v>
      </c>
      <c r="Q349" t="b">
        <f t="shared" si="46"/>
        <v>0</v>
      </c>
      <c r="R349" t="b">
        <f>IF(LEN(K349)&gt;0,COUNTIF($K$3:K349,K349),FALSE)</f>
        <v>0</v>
      </c>
      <c r="S349" t="b">
        <f>IF(Taostats_CSV!A349=Taostats_CSV!$A$2,TRUE,Taostats_CSV!G349+Taostats_CSV!H349+Taostats_CSV!R349=0)</f>
        <v>0</v>
      </c>
      <c r="T349" t="b">
        <f t="shared" si="47"/>
        <v>1</v>
      </c>
      <c r="U349" t="b" cm="1">
        <f t="array" aca="1" ref="U349" ca="1">AND(T349,OR(O349-N349&gt;1,P349&gt;1,ISERROR(A349:P349)))</f>
        <v>0</v>
      </c>
      <c r="W349" t="e">
        <f>MATCH(K349&amp;$W$2,Taostats_CSV!$X$3:$X$1167,0)</f>
        <v>#N/A</v>
      </c>
      <c r="X349" t="e">
        <f t="shared" ca="1" si="42"/>
        <v>#VALUE!</v>
      </c>
      <c r="Y349">
        <f t="shared" ca="1" si="43"/>
        <v>0.13910915400000001</v>
      </c>
      <c r="Z349" t="e">
        <f t="shared" ca="1" si="44"/>
        <v>#VALUE!</v>
      </c>
    </row>
    <row r="350" spans="1:26" x14ac:dyDescent="0.4">
      <c r="A350" t="str">
        <f>MID(Taostats_CSV!C350,6,2)&amp;"/"&amp;MID(Taostats_CSV!C350,9,2)&amp;"/"&amp;LEFT(Taostats_CSV!C350,4)&amp;" "&amp;MID(Taostats_CSV!C350,12,8)</f>
        <v>05/21/2025 23:46:12</v>
      </c>
      <c r="C350" t="str">
        <f ca="1">IF(Q350,OFFSET(Taostats_CSV!$E$1,MATCH(K350&amp;D$1,Taostats_CSV!$X:$X,0)-1,0),IF(Taostats_CSV!F350="fee",IF(VALUE(Taostats_CSV!G350)&gt;0,Taostats_CSV!E350,""),""))</f>
        <v/>
      </c>
      <c r="D350" t="str">
        <f ca="1">IF(Q350,OFFSET(Taostats_CSV!$G$1,MATCH(K350&amp;D$1,Taostats_CSV!$X:$X,0)-1,0),IF(Taostats_CSV!F350="fee",IF(VALUE(Taostats_CSV!G350)&gt;0,Taostats_CSV!G350,""),""))</f>
        <v/>
      </c>
      <c r="E350" t="str">
        <f ca="1">IF(AND(Q350,P350&gt;0),OFFSET(Taostats_CSV!$E$1,MATCH(K350&amp;F$1,Taostats_CSV!$X:$X,0)-1,0),IF(LEN(F350)&gt;0,Taostats_CSV!E350,""))</f>
        <v>SN4</v>
      </c>
      <c r="F350" t="str">
        <f ca="1">TRIM(IF(AND(Q350,P350&gt;0),OFFSET(Taostats_CSV!$H$1,MATCH(K350&amp;F$1,Taostats_CSV!$X:$X,0)-1,0),IF(LEN(Taostats_CSV!H350)&gt;0,Taostats_CSV!H350,Taostats_CSV!R350)))</f>
        <v>0.123315452</v>
      </c>
      <c r="G350" t="str">
        <f ca="1">IF(AND(Q350,N350=1),OFFSET(Taostats_CSV!$E$1,MATCH(K350&amp;H$1,Taostats_CSV!$X:$X,0)-1,0),"")</f>
        <v/>
      </c>
      <c r="H350" t="str">
        <f ca="1">IF(AND(Q350,N350=1),OFFSET(Taostats_CSV!$G$1,MATCH(K350&amp;H$1,Taostats_CSV!$X:$X,0)-1,0),"")</f>
        <v/>
      </c>
      <c r="I350" t="str">
        <f ca="1">IF(AND(LEN(K350)=0,LEN(F350)&gt;0),"Income",IF(AND(O350&gt;0,P350&gt;0,C350&lt;&gt;E350),"Trade",IF(AND(NOT(Q350),Taostats_CSV!F350="fee"),'READ ME'!$C$5,"")))</f>
        <v>Income</v>
      </c>
      <c r="J350" t="str">
        <f ca="1">SUBSTITUTE(IF(LEN(I350)=0,Taostats_CSV!F350&amp;" "&amp;Taostats_CSV!J350,IF(I350="Cost","Extrinsic fee","")),"_"," ")</f>
        <v/>
      </c>
      <c r="K350" t="str">
        <f>TRIM(IF(LEN(Taostats_CSV!I350)&gt;0,Taostats_CSV!I350,""))</f>
        <v/>
      </c>
      <c r="L350">
        <f ca="1">IF(Taostats_CSV!E350&lt;&gt;"TAO",IF(LEN(F350)&gt;0,F350,IF(LEN(D350)&gt;0,D350,0))*Taostats_CSV!P350,"")</f>
        <v>5.8703690484343412</v>
      </c>
      <c r="M350" t="str">
        <f t="shared" ca="1" si="45"/>
        <v>USD</v>
      </c>
      <c r="N350">
        <f>COUNTIF(Taostats_CSV!$X:$X,Taostats_CSV!$I350&amp;N$1)</f>
        <v>0</v>
      </c>
      <c r="O350">
        <f>COUNTIF(Taostats_CSV!$X:$X,Taostats_CSV!$I350&amp;O$1)</f>
        <v>0</v>
      </c>
      <c r="P350">
        <f>COUNTIF(Taostats_CSV!$X:$X,Taostats_CSV!$I350&amp;P$1)</f>
        <v>0</v>
      </c>
      <c r="Q350" t="b">
        <f t="shared" si="46"/>
        <v>0</v>
      </c>
      <c r="R350" t="b">
        <f>IF(LEN(K350)&gt;0,COUNTIF($K$3:K350,K350),FALSE)</f>
        <v>0</v>
      </c>
      <c r="S350" t="b">
        <f>IF(Taostats_CSV!A350=Taostats_CSV!$A$2,TRUE,Taostats_CSV!G350+Taostats_CSV!H350+Taostats_CSV!R350=0)</f>
        <v>0</v>
      </c>
      <c r="T350" t="b">
        <f t="shared" si="47"/>
        <v>1</v>
      </c>
      <c r="U350" t="b" cm="1">
        <f t="array" aca="1" ref="U350" ca="1">AND(T350,OR(O350-N350&gt;1,P350&gt;1,ISERROR(A350:P350)))</f>
        <v>0</v>
      </c>
      <c r="W350" t="e">
        <f>MATCH(K350&amp;$W$2,Taostats_CSV!$X$3:$X$1167,0)</f>
        <v>#N/A</v>
      </c>
      <c r="X350" t="e">
        <f t="shared" ca="1" si="42"/>
        <v>#VALUE!</v>
      </c>
      <c r="Y350">
        <f t="shared" ca="1" si="43"/>
        <v>0.12331545200000001</v>
      </c>
      <c r="Z350" t="e">
        <f t="shared" ca="1" si="44"/>
        <v>#VALUE!</v>
      </c>
    </row>
    <row r="351" spans="1:26" x14ac:dyDescent="0.4">
      <c r="A351" t="str">
        <f>MID(Taostats_CSV!C351,6,2)&amp;"/"&amp;MID(Taostats_CSV!C351,9,2)&amp;"/"&amp;LEFT(Taostats_CSV!C351,4)&amp;" "&amp;MID(Taostats_CSV!C351,12,8)</f>
        <v>05/21/2025 23:46:12</v>
      </c>
      <c r="C351" t="str">
        <f ca="1">IF(Q351,OFFSET(Taostats_CSV!$E$1,MATCH(K351&amp;D$1,Taostats_CSV!$X:$X,0)-1,0),IF(Taostats_CSV!F351="fee",IF(VALUE(Taostats_CSV!G351)&gt;0,Taostats_CSV!E351,""),""))</f>
        <v/>
      </c>
      <c r="D351" t="str">
        <f ca="1">IF(Q351,OFFSET(Taostats_CSV!$G$1,MATCH(K351&amp;D$1,Taostats_CSV!$X:$X,0)-1,0),IF(Taostats_CSV!F351="fee",IF(VALUE(Taostats_CSV!G351)&gt;0,Taostats_CSV!G351,""),""))</f>
        <v/>
      </c>
      <c r="E351" t="str">
        <f ca="1">IF(AND(Q351,P351&gt;0),OFFSET(Taostats_CSV!$E$1,MATCH(K351&amp;F$1,Taostats_CSV!$X:$X,0)-1,0),IF(LEN(F351)&gt;0,Taostats_CSV!E351,""))</f>
        <v>SN56</v>
      </c>
      <c r="F351" t="str">
        <f ca="1">TRIM(IF(AND(Q351,P351&gt;0),OFFSET(Taostats_CSV!$H$1,MATCH(K351&amp;F$1,Taostats_CSV!$X:$X,0)-1,0),IF(LEN(Taostats_CSV!H351)&gt;0,Taostats_CSV!H351,Taostats_CSV!R351)))</f>
        <v>0.073686374</v>
      </c>
      <c r="G351" t="str">
        <f ca="1">IF(AND(Q351,N351=1),OFFSET(Taostats_CSV!$E$1,MATCH(K351&amp;H$1,Taostats_CSV!$X:$X,0)-1,0),"")</f>
        <v/>
      </c>
      <c r="H351" t="str">
        <f ca="1">IF(AND(Q351,N351=1),OFFSET(Taostats_CSV!$G$1,MATCH(K351&amp;H$1,Taostats_CSV!$X:$X,0)-1,0),"")</f>
        <v/>
      </c>
      <c r="I351" t="str">
        <f ca="1">IF(AND(LEN(K351)=0,LEN(F351)&gt;0),"Income",IF(AND(O351&gt;0,P351&gt;0,C351&lt;&gt;E351),"Trade",IF(AND(NOT(Q351),Taostats_CSV!F351="fee"),'READ ME'!$C$5,"")))</f>
        <v>Income</v>
      </c>
      <c r="J351" t="str">
        <f ca="1">SUBSTITUTE(IF(LEN(I351)=0,Taostats_CSV!F351&amp;" "&amp;Taostats_CSV!J351,IF(I351="Cost","Extrinsic fee","")),"_"," ")</f>
        <v/>
      </c>
      <c r="K351" t="str">
        <f>TRIM(IF(LEN(Taostats_CSV!I351)&gt;0,Taostats_CSV!I351,""))</f>
        <v/>
      </c>
      <c r="L351">
        <f ca="1">IF(Taostats_CSV!E351&lt;&gt;"TAO",IF(LEN(F351)&gt;0,F351,IF(LEN(D351)&gt;0,D351,0))*Taostats_CSV!P351,"")</f>
        <v>3.3413584235708487</v>
      </c>
      <c r="M351" t="str">
        <f t="shared" ca="1" si="45"/>
        <v>USD</v>
      </c>
      <c r="N351">
        <f>COUNTIF(Taostats_CSV!$X:$X,Taostats_CSV!$I351&amp;N$1)</f>
        <v>0</v>
      </c>
      <c r="O351">
        <f>COUNTIF(Taostats_CSV!$X:$X,Taostats_CSV!$I351&amp;O$1)</f>
        <v>0</v>
      </c>
      <c r="P351">
        <f>COUNTIF(Taostats_CSV!$X:$X,Taostats_CSV!$I351&amp;P$1)</f>
        <v>0</v>
      </c>
      <c r="Q351" t="b">
        <f t="shared" si="46"/>
        <v>0</v>
      </c>
      <c r="R351" t="b">
        <f>IF(LEN(K351)&gt;0,COUNTIF($K$3:K351,K351),FALSE)</f>
        <v>0</v>
      </c>
      <c r="S351" t="b">
        <f>IF(Taostats_CSV!A351=Taostats_CSV!$A$2,TRUE,Taostats_CSV!G351+Taostats_CSV!H351+Taostats_CSV!R351=0)</f>
        <v>0</v>
      </c>
      <c r="T351" t="b">
        <f t="shared" si="47"/>
        <v>1</v>
      </c>
      <c r="U351" t="b" cm="1">
        <f t="array" aca="1" ref="U351" ca="1">AND(T351,OR(O351-N351&gt;1,P351&gt;1,ISERROR(A351:P351)))</f>
        <v>0</v>
      </c>
      <c r="W351" t="e">
        <f>MATCH(K351&amp;$W$2,Taostats_CSV!$X$3:$X$1167,0)</f>
        <v>#N/A</v>
      </c>
      <c r="X351" t="e">
        <f t="shared" ca="1" si="42"/>
        <v>#VALUE!</v>
      </c>
      <c r="Y351">
        <f t="shared" ca="1" si="43"/>
        <v>7.3686373999999999E-2</v>
      </c>
      <c r="Z351" t="e">
        <f t="shared" ca="1" si="44"/>
        <v>#VALUE!</v>
      </c>
    </row>
    <row r="352" spans="1:26" x14ac:dyDescent="0.4">
      <c r="A352" t="str">
        <f>MID(Taostats_CSV!C352,6,2)&amp;"/"&amp;MID(Taostats_CSV!C352,9,2)&amp;"/"&amp;LEFT(Taostats_CSV!C352,4)&amp;" "&amp;MID(Taostats_CSV!C352,12,8)</f>
        <v>05/21/2025 23:46:12</v>
      </c>
      <c r="C352" t="str">
        <f ca="1">IF(Q352,OFFSET(Taostats_CSV!$E$1,MATCH(K352&amp;D$1,Taostats_CSV!$X:$X,0)-1,0),IF(Taostats_CSV!F352="fee",IF(VALUE(Taostats_CSV!G352)&gt;0,Taostats_CSV!E352,""),""))</f>
        <v/>
      </c>
      <c r="D352" t="str">
        <f ca="1">IF(Q352,OFFSET(Taostats_CSV!$G$1,MATCH(K352&amp;D$1,Taostats_CSV!$X:$X,0)-1,0),IF(Taostats_CSV!F352="fee",IF(VALUE(Taostats_CSV!G352)&gt;0,Taostats_CSV!G352,""),""))</f>
        <v/>
      </c>
      <c r="E352" t="str">
        <f ca="1">IF(AND(Q352,P352&gt;0),OFFSET(Taostats_CSV!$E$1,MATCH(K352&amp;F$1,Taostats_CSV!$X:$X,0)-1,0),IF(LEN(F352)&gt;0,Taostats_CSV!E352,""))</f>
        <v>SN64</v>
      </c>
      <c r="F352" t="str">
        <f ca="1">TRIM(IF(AND(Q352,P352&gt;0),OFFSET(Taostats_CSV!$H$1,MATCH(K352&amp;F$1,Taostats_CSV!$X:$X,0)-1,0),IF(LEN(Taostats_CSV!H352)&gt;0,Taostats_CSV!H352,Taostats_CSV!R352)))</f>
        <v>0.050457301</v>
      </c>
      <c r="G352" t="str">
        <f ca="1">IF(AND(Q352,N352=1),OFFSET(Taostats_CSV!$E$1,MATCH(K352&amp;H$1,Taostats_CSV!$X:$X,0)-1,0),"")</f>
        <v/>
      </c>
      <c r="H352" t="str">
        <f ca="1">IF(AND(Q352,N352=1),OFFSET(Taostats_CSV!$G$1,MATCH(K352&amp;H$1,Taostats_CSV!$X:$X,0)-1,0),"")</f>
        <v/>
      </c>
      <c r="I352" t="str">
        <f ca="1">IF(AND(LEN(K352)=0,LEN(F352)&gt;0),"Income",IF(AND(O352&gt;0,P352&gt;0,C352&lt;&gt;E352),"Trade",IF(AND(NOT(Q352),Taostats_CSV!F352="fee"),'READ ME'!$C$5,"")))</f>
        <v>Income</v>
      </c>
      <c r="J352" t="str">
        <f ca="1">SUBSTITUTE(IF(LEN(I352)=0,Taostats_CSV!F352&amp;" "&amp;Taostats_CSV!J352,IF(I352="Cost","Extrinsic fee","")),"_"," ")</f>
        <v/>
      </c>
      <c r="K352" t="str">
        <f>TRIM(IF(LEN(Taostats_CSV!I352)&gt;0,Taostats_CSV!I352,""))</f>
        <v/>
      </c>
      <c r="L352">
        <f ca="1">IF(Taostats_CSV!E352&lt;&gt;"TAO",IF(LEN(F352)&gt;0,F352,IF(LEN(D352)&gt;0,D352,0))*Taostats_CSV!P352,"")</f>
        <v>5.2788295657710709</v>
      </c>
      <c r="M352" t="str">
        <f t="shared" ca="1" si="45"/>
        <v>USD</v>
      </c>
      <c r="N352">
        <f>COUNTIF(Taostats_CSV!$X:$X,Taostats_CSV!$I352&amp;N$1)</f>
        <v>0</v>
      </c>
      <c r="O352">
        <f>COUNTIF(Taostats_CSV!$X:$X,Taostats_CSV!$I352&amp;O$1)</f>
        <v>0</v>
      </c>
      <c r="P352">
        <f>COUNTIF(Taostats_CSV!$X:$X,Taostats_CSV!$I352&amp;P$1)</f>
        <v>0</v>
      </c>
      <c r="Q352" t="b">
        <f t="shared" si="46"/>
        <v>0</v>
      </c>
      <c r="R352" t="b">
        <f>IF(LEN(K352)&gt;0,COUNTIF($K$3:K352,K352),FALSE)</f>
        <v>0</v>
      </c>
      <c r="S352" t="b">
        <f>IF(Taostats_CSV!A352=Taostats_CSV!$A$2,TRUE,Taostats_CSV!G352+Taostats_CSV!H352+Taostats_CSV!R352=0)</f>
        <v>0</v>
      </c>
      <c r="T352" t="b">
        <f t="shared" si="47"/>
        <v>1</v>
      </c>
      <c r="U352" t="b" cm="1">
        <f t="array" aca="1" ref="U352" ca="1">AND(T352,OR(O352-N352&gt;1,P352&gt;1,ISERROR(A352:P352)))</f>
        <v>0</v>
      </c>
      <c r="W352" t="e">
        <f>MATCH(K352&amp;$W$2,Taostats_CSV!$X$3:$X$1167,0)</f>
        <v>#N/A</v>
      </c>
      <c r="X352" t="e">
        <f t="shared" ca="1" si="42"/>
        <v>#VALUE!</v>
      </c>
      <c r="Y352">
        <f t="shared" ca="1" si="43"/>
        <v>5.0457301000000003E-2</v>
      </c>
      <c r="Z352" t="e">
        <f t="shared" ca="1" si="44"/>
        <v>#VALUE!</v>
      </c>
    </row>
    <row r="353" spans="1:26" hidden="1" x14ac:dyDescent="0.4">
      <c r="A353" t="str">
        <f>MID(Taostats_CSV!C353,6,2)&amp;"/"&amp;MID(Taostats_CSV!C353,9,2)&amp;"/"&amp;LEFT(Taostats_CSV!C353,4)&amp;" "&amp;MID(Taostats_CSV!C353,12,8)</f>
        <v>05/21/2025 23:46:12</v>
      </c>
      <c r="C353" t="str">
        <f ca="1">IF(Q353,OFFSET(Taostats_CSV!$E$1,MATCH(K353&amp;D$1,Taostats_CSV!$X:$X,0)-1,0),IF(Taostats_CSV!F353="fee","",IF(VALUE(Taostats_CSV!G353)&gt;0,Taostats_CSV!E353,"")))</f>
        <v/>
      </c>
      <c r="D353" t="str">
        <f ca="1">IF(Q353,OFFSET(Taostats_CSV!$G$1,MATCH(K353&amp;D$1,Taostats_CSV!$X:$X,0)-1,0),IF(Taostats_CSV!F353="fee","",IF(VALUE(Taostats_CSV!G353)&gt;0,Taostats_CSV!G353,"")))</f>
        <v/>
      </c>
      <c r="E353" t="str">
        <f ca="1">IF(AND(Q353,P353&gt;0),OFFSET(Taostats_CSV!$E$1,MATCH(K353&amp;F$1,Taostats_CSV!$X:$X,0)-1,0),IF(LEN(F353)&gt;0,Taostats_CSV!E353,""))</f>
        <v>TAO</v>
      </c>
      <c r="F353" t="str">
        <f ca="1">TRIM(IF(AND(Q353,P353&gt;0),OFFSET(Taostats_CSV!$H$1,MATCH(K353&amp;F$1,Taostats_CSV!$X:$X,0)-1,0),IF(LEN(Taostats_CSV!H353)&gt;0,Taostats_CSV!H353,Taostats_CSV!R353)))</f>
        <v>0</v>
      </c>
      <c r="G353" t="str">
        <f ca="1">IF(AND(Q353,N353=1),OFFSET(Taostats_CSV!$E$1,MATCH(K353&amp;H$1,Taostats_CSV!$X:$X,0)-1,0),IF(Taostats_CSV!F353="fee",Taostats_CSV!E353,""))</f>
        <v/>
      </c>
      <c r="H353" t="str">
        <f ca="1">IF(AND(Q353,N353=1),OFFSET(Taostats_CSV!$G$1,MATCH(K353&amp;H$1,Taostats_CSV!$X:$X,0)-1,0),IF(Taostats_CSV!F353="fee",Taostats_CSV!G353,""))</f>
        <v/>
      </c>
      <c r="I353" t="str">
        <f ca="1">IF(AND(LEN(K353)=0,LEN(F353)&gt;0),"Income",IF(AND(O353&gt;0,P353&gt;0,C353&lt;&gt;E353),"Trade",IF(AND(NOT(Q353),Taostats_CSV!F353="fee"),'READ ME'!$C$5,"")))</f>
        <v>Income</v>
      </c>
      <c r="J353" t="str">
        <f ca="1">SUBSTITUTE(IF(LEN(I353)=0,Taostats_CSV!F353&amp;" "&amp;Taostats_CSV!J353,IF(I353="Cost","Extrinsic fee","")),"_"," ")</f>
        <v/>
      </c>
      <c r="K353" t="str">
        <f>TRIM(IF(LEN(Taostats_CSV!I353)&gt;0,Taostats_CSV!I353,""))</f>
        <v/>
      </c>
      <c r="L353" t="str">
        <f>IF(Taostats_CSV!E353&lt;&gt;"TAO",IF(LEN(F353)&gt;0,F353,IF(LEN(D353)&gt;0,D353,0))*Taostats_CSV!P353,"")</f>
        <v/>
      </c>
      <c r="M353" t="str">
        <f t="shared" si="45"/>
        <v/>
      </c>
      <c r="N353">
        <f>COUNTIF(Taostats_CSV!$X:$X,Taostats_CSV!$I353&amp;N$1)</f>
        <v>0</v>
      </c>
      <c r="O353">
        <f>COUNTIF(Taostats_CSV!$X:$X,Taostats_CSV!$I353&amp;O$1)</f>
        <v>0</v>
      </c>
      <c r="P353">
        <f>COUNTIF(Taostats_CSV!$X:$X,Taostats_CSV!$I353&amp;P$1)</f>
        <v>0</v>
      </c>
      <c r="Q353" t="b">
        <f t="shared" si="46"/>
        <v>0</v>
      </c>
      <c r="R353" t="b">
        <f>IF(LEN(K353)&gt;0,COUNTIF($K$3:K353,K353),FALSE)</f>
        <v>0</v>
      </c>
      <c r="S353" t="b">
        <f>IF(Taostats_CSV!A353=Taostats_CSV!$A$2,TRUE,Taostats_CSV!G353+Taostats_CSV!H353+Taostats_CSV!R353=0)</f>
        <v>1</v>
      </c>
      <c r="T353" t="b">
        <f t="shared" si="47"/>
        <v>0</v>
      </c>
      <c r="U353" t="b" cm="1">
        <f t="array" aca="1" ref="U353" ca="1">AND(T353,OR(O353-N353&gt;1,P353&gt;1,ISERROR(A353:P353)))</f>
        <v>0</v>
      </c>
      <c r="W353" t="e">
        <f>MATCH(K353&amp;$W$2,Taostats_CSV!$X$3:$X$1167,0)</f>
        <v>#N/A</v>
      </c>
      <c r="X353" t="e">
        <f t="shared" ca="1" si="42"/>
        <v>#VALUE!</v>
      </c>
      <c r="Y353">
        <f t="shared" ca="1" si="43"/>
        <v>0</v>
      </c>
      <c r="Z353" t="e">
        <f t="shared" ca="1" si="44"/>
        <v>#VALUE!</v>
      </c>
    </row>
    <row r="354" spans="1:26" x14ac:dyDescent="0.4">
      <c r="A354" t="str">
        <f>MID(Taostats_CSV!C354,6,2)&amp;"/"&amp;MID(Taostats_CSV!C354,9,2)&amp;"/"&amp;LEFT(Taostats_CSV!C354,4)&amp;" "&amp;MID(Taostats_CSV!C354,12,8)</f>
        <v>05/22/2025 23:59:48</v>
      </c>
      <c r="C354" t="str">
        <f ca="1">IF(Q354,OFFSET(Taostats_CSV!$E$1,MATCH(K354&amp;D$1,Taostats_CSV!$X:$X,0)-1,0),IF(Taostats_CSV!F354="fee",IF(VALUE(Taostats_CSV!G354)&gt;0,Taostats_CSV!E354,""),""))</f>
        <v/>
      </c>
      <c r="D354" t="str">
        <f ca="1">IF(Q354,OFFSET(Taostats_CSV!$G$1,MATCH(K354&amp;D$1,Taostats_CSV!$X:$X,0)-1,0),IF(Taostats_CSV!F354="fee",IF(VALUE(Taostats_CSV!G354)&gt;0,Taostats_CSV!G354,""),""))</f>
        <v/>
      </c>
      <c r="E354" t="str">
        <f ca="1">IF(AND(Q354,P354&gt;0),OFFSET(Taostats_CSV!$E$1,MATCH(K354&amp;F$1,Taostats_CSV!$X:$X,0)-1,0),IF(LEN(F354)&gt;0,Taostats_CSV!E354,""))</f>
        <v>SN3</v>
      </c>
      <c r="F354" t="str">
        <f ca="1">TRIM(IF(AND(Q354,P354&gt;0),OFFSET(Taostats_CSV!$H$1,MATCH(K354&amp;F$1,Taostats_CSV!$X:$X,0)-1,0),IF(LEN(Taostats_CSV!H354)&gt;0,Taostats_CSV!H354,Taostats_CSV!R354)))</f>
        <v>0.209826975</v>
      </c>
      <c r="G354" t="str">
        <f ca="1">IF(AND(Q354,N354=1),OFFSET(Taostats_CSV!$E$1,MATCH(K354&amp;H$1,Taostats_CSV!$X:$X,0)-1,0),"")</f>
        <v/>
      </c>
      <c r="H354" t="str">
        <f ca="1">IF(AND(Q354,N354=1),OFFSET(Taostats_CSV!$G$1,MATCH(K354&amp;H$1,Taostats_CSV!$X:$X,0)-1,0),"")</f>
        <v/>
      </c>
      <c r="I354" t="str">
        <f ca="1">IF(AND(LEN(K354)=0,LEN(F354)&gt;0),"Income",IF(AND(O354&gt;0,P354&gt;0,C354&lt;&gt;E354),"Trade",IF(AND(NOT(Q354),Taostats_CSV!F354="fee"),'READ ME'!$C$5,"")))</f>
        <v>Income</v>
      </c>
      <c r="J354" t="str">
        <f ca="1">SUBSTITUTE(IF(LEN(I354)=0,Taostats_CSV!F354&amp;" "&amp;Taostats_CSV!J354,IF(I354="Cost","Extrinsic fee","")),"_"," ")</f>
        <v/>
      </c>
      <c r="K354" t="str">
        <f>TRIM(IF(LEN(Taostats_CSV!I354)&gt;0,Taostats_CSV!I354,""))</f>
        <v/>
      </c>
      <c r="L354">
        <f ca="1">IF(Taostats_CSV!E354&lt;&gt;"TAO",IF(LEN(F354)&gt;0,F354,IF(LEN(D354)&gt;0,D354,0))*Taostats_CSV!P354,"")</f>
        <v>8.400258110407357</v>
      </c>
      <c r="M354" t="str">
        <f t="shared" ca="1" si="45"/>
        <v>USD</v>
      </c>
      <c r="N354">
        <f>COUNTIF(Taostats_CSV!$X:$X,Taostats_CSV!$I354&amp;N$1)</f>
        <v>0</v>
      </c>
      <c r="O354">
        <f>COUNTIF(Taostats_CSV!$X:$X,Taostats_CSV!$I354&amp;O$1)</f>
        <v>0</v>
      </c>
      <c r="P354">
        <f>COUNTIF(Taostats_CSV!$X:$X,Taostats_CSV!$I354&amp;P$1)</f>
        <v>0</v>
      </c>
      <c r="Q354" t="b">
        <f t="shared" si="46"/>
        <v>0</v>
      </c>
      <c r="R354" t="b">
        <f>IF(LEN(K354)&gt;0,COUNTIF($K$3:K354,K354),FALSE)</f>
        <v>0</v>
      </c>
      <c r="S354" t="b">
        <f>IF(Taostats_CSV!A354=Taostats_CSV!$A$2,TRUE,Taostats_CSV!G354+Taostats_CSV!H354+Taostats_CSV!R354=0)</f>
        <v>0</v>
      </c>
      <c r="T354" t="b">
        <f t="shared" si="47"/>
        <v>1</v>
      </c>
      <c r="U354" t="b" cm="1">
        <f t="array" aca="1" ref="U354" ca="1">AND(T354,OR(O354-N354&gt;1,P354&gt;1,ISERROR(A354:P354)))</f>
        <v>0</v>
      </c>
      <c r="W354" t="e">
        <f>MATCH(K354&amp;$W$2,Taostats_CSV!$X$3:$X$1167,0)</f>
        <v>#N/A</v>
      </c>
      <c r="X354" t="e">
        <f t="shared" ca="1" si="42"/>
        <v>#VALUE!</v>
      </c>
      <c r="Y354">
        <f t="shared" ca="1" si="43"/>
        <v>0.209826975</v>
      </c>
      <c r="Z354" t="e">
        <f t="shared" ca="1" si="44"/>
        <v>#VALUE!</v>
      </c>
    </row>
    <row r="355" spans="1:26" x14ac:dyDescent="0.4">
      <c r="A355" t="str">
        <f>MID(Taostats_CSV!C355,6,2)&amp;"/"&amp;MID(Taostats_CSV!C355,9,2)&amp;"/"&amp;LEFT(Taostats_CSV!C355,4)&amp;" "&amp;MID(Taostats_CSV!C355,12,8)</f>
        <v>05/22/2025 23:59:48</v>
      </c>
      <c r="C355" t="str">
        <f ca="1">IF(Q355,OFFSET(Taostats_CSV!$E$1,MATCH(K355&amp;D$1,Taostats_CSV!$X:$X,0)-1,0),IF(Taostats_CSV!F355="fee",IF(VALUE(Taostats_CSV!G355)&gt;0,Taostats_CSV!E355,""),""))</f>
        <v/>
      </c>
      <c r="D355" t="str">
        <f ca="1">IF(Q355,OFFSET(Taostats_CSV!$G$1,MATCH(K355&amp;D$1,Taostats_CSV!$X:$X,0)-1,0),IF(Taostats_CSV!F355="fee",IF(VALUE(Taostats_CSV!G355)&gt;0,Taostats_CSV!G355,""),""))</f>
        <v/>
      </c>
      <c r="E355" t="str">
        <f ca="1">IF(AND(Q355,P355&gt;0),OFFSET(Taostats_CSV!$E$1,MATCH(K355&amp;F$1,Taostats_CSV!$X:$X,0)-1,0),IF(LEN(F355)&gt;0,Taostats_CSV!E355,""))</f>
        <v>SN4</v>
      </c>
      <c r="F355" t="str">
        <f ca="1">TRIM(IF(AND(Q355,P355&gt;0),OFFSET(Taostats_CSV!$H$1,MATCH(K355&amp;F$1,Taostats_CSV!$X:$X,0)-1,0),IF(LEN(Taostats_CSV!H355)&gt;0,Taostats_CSV!H355,Taostats_CSV!R355)))</f>
        <v>0.185933223</v>
      </c>
      <c r="G355" t="str">
        <f ca="1">IF(AND(Q355,N355=1),OFFSET(Taostats_CSV!$E$1,MATCH(K355&amp;H$1,Taostats_CSV!$X:$X,0)-1,0),"")</f>
        <v/>
      </c>
      <c r="H355" t="str">
        <f ca="1">IF(AND(Q355,N355=1),OFFSET(Taostats_CSV!$G$1,MATCH(K355&amp;H$1,Taostats_CSV!$X:$X,0)-1,0),"")</f>
        <v/>
      </c>
      <c r="I355" t="str">
        <f ca="1">IF(AND(LEN(K355)=0,LEN(F355)&gt;0),"Income",IF(AND(O355&gt;0,P355&gt;0,C355&lt;&gt;E355),"Trade",IF(AND(NOT(Q355),Taostats_CSV!F355="fee"),'READ ME'!$C$5,"")))</f>
        <v>Income</v>
      </c>
      <c r="J355" t="str">
        <f ca="1">SUBSTITUTE(IF(LEN(I355)=0,Taostats_CSV!F355&amp;" "&amp;Taostats_CSV!J355,IF(I355="Cost","Extrinsic fee","")),"_"," ")</f>
        <v/>
      </c>
      <c r="K355" t="str">
        <f>TRIM(IF(LEN(Taostats_CSV!I355)&gt;0,Taostats_CSV!I355,""))</f>
        <v/>
      </c>
      <c r="L355">
        <f ca="1">IF(Taostats_CSV!E355&lt;&gt;"TAO",IF(LEN(F355)&gt;0,F355,IF(LEN(D355)&gt;0,D355,0))*Taostats_CSV!P355,"")</f>
        <v>9.0611340180587021</v>
      </c>
      <c r="M355" t="str">
        <f t="shared" ca="1" si="45"/>
        <v>USD</v>
      </c>
      <c r="N355">
        <f>COUNTIF(Taostats_CSV!$X:$X,Taostats_CSV!$I355&amp;N$1)</f>
        <v>0</v>
      </c>
      <c r="O355">
        <f>COUNTIF(Taostats_CSV!$X:$X,Taostats_CSV!$I355&amp;O$1)</f>
        <v>0</v>
      </c>
      <c r="P355">
        <f>COUNTIF(Taostats_CSV!$X:$X,Taostats_CSV!$I355&amp;P$1)</f>
        <v>0</v>
      </c>
      <c r="Q355" t="b">
        <f t="shared" si="46"/>
        <v>0</v>
      </c>
      <c r="R355" t="b">
        <f>IF(LEN(K355)&gt;0,COUNTIF($K$3:K355,K355),FALSE)</f>
        <v>0</v>
      </c>
      <c r="S355" t="b">
        <f>IF(Taostats_CSV!A355=Taostats_CSV!$A$2,TRUE,Taostats_CSV!G355+Taostats_CSV!H355+Taostats_CSV!R355=0)</f>
        <v>0</v>
      </c>
      <c r="T355" t="b">
        <f t="shared" si="47"/>
        <v>1</v>
      </c>
      <c r="U355" t="b" cm="1">
        <f t="array" aca="1" ref="U355" ca="1">AND(T355,OR(O355-N355&gt;1,P355&gt;1,ISERROR(A355:P355)))</f>
        <v>0</v>
      </c>
      <c r="W355" t="e">
        <f>MATCH(K355&amp;$W$2,Taostats_CSV!$X$3:$X$1167,0)</f>
        <v>#N/A</v>
      </c>
      <c r="X355" t="e">
        <f t="shared" ca="1" si="42"/>
        <v>#VALUE!</v>
      </c>
      <c r="Y355">
        <f t="shared" ca="1" si="43"/>
        <v>0.18593322300000001</v>
      </c>
      <c r="Z355" t="e">
        <f t="shared" ca="1" si="44"/>
        <v>#VALUE!</v>
      </c>
    </row>
    <row r="356" spans="1:26" x14ac:dyDescent="0.4">
      <c r="A356" t="str">
        <f>MID(Taostats_CSV!C356,6,2)&amp;"/"&amp;MID(Taostats_CSV!C356,9,2)&amp;"/"&amp;LEFT(Taostats_CSV!C356,4)&amp;" "&amp;MID(Taostats_CSV!C356,12,8)</f>
        <v>05/22/2025 23:59:48</v>
      </c>
      <c r="C356" t="str">
        <f ca="1">IF(Q356,OFFSET(Taostats_CSV!$E$1,MATCH(K356&amp;D$1,Taostats_CSV!$X:$X,0)-1,0),IF(Taostats_CSV!F356="fee",IF(VALUE(Taostats_CSV!G356)&gt;0,Taostats_CSV!E356,""),""))</f>
        <v/>
      </c>
      <c r="D356" t="str">
        <f ca="1">IF(Q356,OFFSET(Taostats_CSV!$G$1,MATCH(K356&amp;D$1,Taostats_CSV!$X:$X,0)-1,0),IF(Taostats_CSV!F356="fee",IF(VALUE(Taostats_CSV!G356)&gt;0,Taostats_CSV!G356,""),""))</f>
        <v/>
      </c>
      <c r="E356" t="str">
        <f ca="1">IF(AND(Q356,P356&gt;0),OFFSET(Taostats_CSV!$E$1,MATCH(K356&amp;F$1,Taostats_CSV!$X:$X,0)-1,0),IF(LEN(F356)&gt;0,Taostats_CSV!E356,""))</f>
        <v>SN56</v>
      </c>
      <c r="F356" t="str">
        <f ca="1">TRIM(IF(AND(Q356,P356&gt;0),OFFSET(Taostats_CSV!$H$1,MATCH(K356&amp;F$1,Taostats_CSV!$X:$X,0)-1,0),IF(LEN(Taostats_CSV!H356)&gt;0,Taostats_CSV!H356,Taostats_CSV!R356)))</f>
        <v>0.111100549</v>
      </c>
      <c r="G356" t="str">
        <f ca="1">IF(AND(Q356,N356=1),OFFSET(Taostats_CSV!$E$1,MATCH(K356&amp;H$1,Taostats_CSV!$X:$X,0)-1,0),"")</f>
        <v/>
      </c>
      <c r="H356" t="str">
        <f ca="1">IF(AND(Q356,N356=1),OFFSET(Taostats_CSV!$G$1,MATCH(K356&amp;H$1,Taostats_CSV!$X:$X,0)-1,0),"")</f>
        <v/>
      </c>
      <c r="I356" t="str">
        <f ca="1">IF(AND(LEN(K356)=0,LEN(F356)&gt;0),"Income",IF(AND(O356&gt;0,P356&gt;0,C356&lt;&gt;E356),"Trade",IF(AND(NOT(Q356),Taostats_CSV!F356="fee"),'READ ME'!$C$5,"")))</f>
        <v>Income</v>
      </c>
      <c r="J356" t="str">
        <f ca="1">SUBSTITUTE(IF(LEN(I356)=0,Taostats_CSV!F356&amp;" "&amp;Taostats_CSV!J356,IF(I356="Cost","Extrinsic fee","")),"_"," ")</f>
        <v/>
      </c>
      <c r="K356" t="str">
        <f>TRIM(IF(LEN(Taostats_CSV!I356)&gt;0,Taostats_CSV!I356,""))</f>
        <v/>
      </c>
      <c r="L356">
        <f ca="1">IF(Taostats_CSV!E356&lt;&gt;"TAO",IF(LEN(F356)&gt;0,F356,IF(LEN(D356)&gt;0,D356,0))*Taostats_CSV!P356,"")</f>
        <v>4.9431672440312333</v>
      </c>
      <c r="M356" t="str">
        <f t="shared" ca="1" si="45"/>
        <v>USD</v>
      </c>
      <c r="N356">
        <f>COUNTIF(Taostats_CSV!$X:$X,Taostats_CSV!$I356&amp;N$1)</f>
        <v>0</v>
      </c>
      <c r="O356">
        <f>COUNTIF(Taostats_CSV!$X:$X,Taostats_CSV!$I356&amp;O$1)</f>
        <v>0</v>
      </c>
      <c r="P356">
        <f>COUNTIF(Taostats_CSV!$X:$X,Taostats_CSV!$I356&amp;P$1)</f>
        <v>0</v>
      </c>
      <c r="Q356" t="b">
        <f t="shared" si="46"/>
        <v>0</v>
      </c>
      <c r="R356" t="b">
        <f>IF(LEN(K356)&gt;0,COUNTIF($K$3:K356,K356),FALSE)</f>
        <v>0</v>
      </c>
      <c r="S356" t="b">
        <f>IF(Taostats_CSV!A356=Taostats_CSV!$A$2,TRUE,Taostats_CSV!G356+Taostats_CSV!H356+Taostats_CSV!R356=0)</f>
        <v>0</v>
      </c>
      <c r="T356" t="b">
        <f t="shared" si="47"/>
        <v>1</v>
      </c>
      <c r="U356" t="b" cm="1">
        <f t="array" aca="1" ref="U356" ca="1">AND(T356,OR(O356-N356&gt;1,P356&gt;1,ISERROR(A356:P356)))</f>
        <v>0</v>
      </c>
      <c r="W356" t="e">
        <f>MATCH(K356&amp;$W$2,Taostats_CSV!$X$3:$X$1167,0)</f>
        <v>#N/A</v>
      </c>
      <c r="X356" t="e">
        <f t="shared" ca="1" si="42"/>
        <v>#VALUE!</v>
      </c>
      <c r="Y356">
        <f t="shared" ca="1" si="43"/>
        <v>0.11110054900000001</v>
      </c>
      <c r="Z356" t="e">
        <f t="shared" ca="1" si="44"/>
        <v>#VALUE!</v>
      </c>
    </row>
    <row r="357" spans="1:26" x14ac:dyDescent="0.4">
      <c r="A357" t="str">
        <f>MID(Taostats_CSV!C357,6,2)&amp;"/"&amp;MID(Taostats_CSV!C357,9,2)&amp;"/"&amp;LEFT(Taostats_CSV!C357,4)&amp;" "&amp;MID(Taostats_CSV!C357,12,8)</f>
        <v>05/22/2025 23:59:48</v>
      </c>
      <c r="C357" t="str">
        <f ca="1">IF(Q357,OFFSET(Taostats_CSV!$E$1,MATCH(K357&amp;D$1,Taostats_CSV!$X:$X,0)-1,0),IF(Taostats_CSV!F357="fee",IF(VALUE(Taostats_CSV!G357)&gt;0,Taostats_CSV!E357,""),""))</f>
        <v/>
      </c>
      <c r="D357" t="str">
        <f ca="1">IF(Q357,OFFSET(Taostats_CSV!$G$1,MATCH(K357&amp;D$1,Taostats_CSV!$X:$X,0)-1,0),IF(Taostats_CSV!F357="fee",IF(VALUE(Taostats_CSV!G357)&gt;0,Taostats_CSV!G357,""),""))</f>
        <v/>
      </c>
      <c r="E357" t="str">
        <f ca="1">IF(AND(Q357,P357&gt;0),OFFSET(Taostats_CSV!$E$1,MATCH(K357&amp;F$1,Taostats_CSV!$X:$X,0)-1,0),IF(LEN(F357)&gt;0,Taostats_CSV!E357,""))</f>
        <v>SN64</v>
      </c>
      <c r="F357" t="str">
        <f ca="1">TRIM(IF(AND(Q357,P357&gt;0),OFFSET(Taostats_CSV!$H$1,MATCH(K357&amp;F$1,Taostats_CSV!$X:$X,0)-1,0),IF(LEN(Taostats_CSV!H357)&gt;0,Taostats_CSV!H357,Taostats_CSV!R357)))</f>
        <v>0.066893563</v>
      </c>
      <c r="G357" t="str">
        <f ca="1">IF(AND(Q357,N357=1),OFFSET(Taostats_CSV!$E$1,MATCH(K357&amp;H$1,Taostats_CSV!$X:$X,0)-1,0),"")</f>
        <v/>
      </c>
      <c r="H357" t="str">
        <f ca="1">IF(AND(Q357,N357=1),OFFSET(Taostats_CSV!$G$1,MATCH(K357&amp;H$1,Taostats_CSV!$X:$X,0)-1,0),"")</f>
        <v/>
      </c>
      <c r="I357" t="str">
        <f ca="1">IF(AND(LEN(K357)=0,LEN(F357)&gt;0),"Income",IF(AND(O357&gt;0,P357&gt;0,C357&lt;&gt;E357),"Trade",IF(AND(NOT(Q357),Taostats_CSV!F357="fee"),'READ ME'!$C$5,"")))</f>
        <v>Income</v>
      </c>
      <c r="J357" t="str">
        <f ca="1">SUBSTITUTE(IF(LEN(I357)=0,Taostats_CSV!F357&amp;" "&amp;Taostats_CSV!J357,IF(I357="Cost","Extrinsic fee","")),"_"," ")</f>
        <v/>
      </c>
      <c r="K357" t="str">
        <f>TRIM(IF(LEN(Taostats_CSV!I357)&gt;0,Taostats_CSV!I357,""))</f>
        <v/>
      </c>
      <c r="L357">
        <f ca="1">IF(Taostats_CSV!E357&lt;&gt;"TAO",IF(LEN(F357)&gt;0,F357,IF(LEN(D357)&gt;0,D357,0))*Taostats_CSV!P357,"")</f>
        <v>6.9478452651497928</v>
      </c>
      <c r="M357" t="str">
        <f t="shared" ca="1" si="45"/>
        <v>USD</v>
      </c>
      <c r="N357">
        <f>COUNTIF(Taostats_CSV!$X:$X,Taostats_CSV!$I357&amp;N$1)</f>
        <v>0</v>
      </c>
      <c r="O357">
        <f>COUNTIF(Taostats_CSV!$X:$X,Taostats_CSV!$I357&amp;O$1)</f>
        <v>0</v>
      </c>
      <c r="P357">
        <f>COUNTIF(Taostats_CSV!$X:$X,Taostats_CSV!$I357&amp;P$1)</f>
        <v>0</v>
      </c>
      <c r="Q357" t="b">
        <f t="shared" si="46"/>
        <v>0</v>
      </c>
      <c r="R357" t="b">
        <f>IF(LEN(K357)&gt;0,COUNTIF($K$3:K357,K357),FALSE)</f>
        <v>0</v>
      </c>
      <c r="S357" t="b">
        <f>IF(Taostats_CSV!A357=Taostats_CSV!$A$2,TRUE,Taostats_CSV!G357+Taostats_CSV!H357+Taostats_CSV!R357=0)</f>
        <v>0</v>
      </c>
      <c r="T357" t="b">
        <f t="shared" si="47"/>
        <v>1</v>
      </c>
      <c r="U357" t="b" cm="1">
        <f t="array" aca="1" ref="U357" ca="1">AND(T357,OR(O357-N357&gt;1,P357&gt;1,ISERROR(A357:P357)))</f>
        <v>0</v>
      </c>
      <c r="W357" t="e">
        <f>MATCH(K357&amp;$W$2,Taostats_CSV!$X$3:$X$1167,0)</f>
        <v>#N/A</v>
      </c>
      <c r="X357" t="e">
        <f t="shared" ca="1" si="42"/>
        <v>#VALUE!</v>
      </c>
      <c r="Y357">
        <f t="shared" ca="1" si="43"/>
        <v>6.6893563000000003E-2</v>
      </c>
      <c r="Z357" t="e">
        <f t="shared" ca="1" si="44"/>
        <v>#VALUE!</v>
      </c>
    </row>
    <row r="358" spans="1:26" hidden="1" x14ac:dyDescent="0.4">
      <c r="A358" t="str">
        <f>MID(Taostats_CSV!C358,6,2)&amp;"/"&amp;MID(Taostats_CSV!C358,9,2)&amp;"/"&amp;LEFT(Taostats_CSV!C358,4)&amp;" "&amp;MID(Taostats_CSV!C358,12,8)</f>
        <v>05/22/2025 23:59:48</v>
      </c>
      <c r="C358" t="str">
        <f ca="1">IF(Q358,OFFSET(Taostats_CSV!$E$1,MATCH(K358&amp;D$1,Taostats_CSV!$X:$X,0)-1,0),IF(Taostats_CSV!F358="fee","",IF(VALUE(Taostats_CSV!G358)&gt;0,Taostats_CSV!E358,"")))</f>
        <v/>
      </c>
      <c r="D358" t="str">
        <f ca="1">IF(Q358,OFFSET(Taostats_CSV!$G$1,MATCH(K358&amp;D$1,Taostats_CSV!$X:$X,0)-1,0),IF(Taostats_CSV!F358="fee","",IF(VALUE(Taostats_CSV!G358)&gt;0,Taostats_CSV!G358,"")))</f>
        <v/>
      </c>
      <c r="E358" t="str">
        <f ca="1">IF(AND(Q358,P358&gt;0),OFFSET(Taostats_CSV!$E$1,MATCH(K358&amp;F$1,Taostats_CSV!$X:$X,0)-1,0),IF(LEN(F358)&gt;0,Taostats_CSV!E358,""))</f>
        <v>TAO</v>
      </c>
      <c r="F358" t="str">
        <f ca="1">TRIM(IF(AND(Q358,P358&gt;0),OFFSET(Taostats_CSV!$H$1,MATCH(K358&amp;F$1,Taostats_CSV!$X:$X,0)-1,0),IF(LEN(Taostats_CSV!H358)&gt;0,Taostats_CSV!H358,Taostats_CSV!R358)))</f>
        <v>0</v>
      </c>
      <c r="G358" t="str">
        <f ca="1">IF(AND(Q358,N358=1),OFFSET(Taostats_CSV!$E$1,MATCH(K358&amp;H$1,Taostats_CSV!$X:$X,0)-1,0),IF(Taostats_CSV!F358="fee",Taostats_CSV!E358,""))</f>
        <v/>
      </c>
      <c r="H358" t="str">
        <f ca="1">IF(AND(Q358,N358=1),OFFSET(Taostats_CSV!$G$1,MATCH(K358&amp;H$1,Taostats_CSV!$X:$X,0)-1,0),IF(Taostats_CSV!F358="fee",Taostats_CSV!G358,""))</f>
        <v/>
      </c>
      <c r="I358" t="str">
        <f ca="1">IF(AND(LEN(K358)=0,LEN(F358)&gt;0),"Income",IF(AND(O358&gt;0,P358&gt;0,C358&lt;&gt;E358),"Trade",IF(AND(NOT(Q358),Taostats_CSV!F358="fee"),'READ ME'!$C$5,"")))</f>
        <v>Income</v>
      </c>
      <c r="J358" t="str">
        <f ca="1">SUBSTITUTE(IF(LEN(I358)=0,Taostats_CSV!F358&amp;" "&amp;Taostats_CSV!J358,IF(I358="Cost","Extrinsic fee","")),"_"," ")</f>
        <v/>
      </c>
      <c r="K358" t="str">
        <f>TRIM(IF(LEN(Taostats_CSV!I358)&gt;0,Taostats_CSV!I358,""))</f>
        <v/>
      </c>
      <c r="L358" t="str">
        <f>IF(Taostats_CSV!E358&lt;&gt;"TAO",IF(LEN(F358)&gt;0,F358,IF(LEN(D358)&gt;0,D358,0))*Taostats_CSV!P358,"")</f>
        <v/>
      </c>
      <c r="M358" t="str">
        <f t="shared" si="45"/>
        <v/>
      </c>
      <c r="N358">
        <f>COUNTIF(Taostats_CSV!$X:$X,Taostats_CSV!$I358&amp;N$1)</f>
        <v>0</v>
      </c>
      <c r="O358">
        <f>COUNTIF(Taostats_CSV!$X:$X,Taostats_CSV!$I358&amp;O$1)</f>
        <v>0</v>
      </c>
      <c r="P358">
        <f>COUNTIF(Taostats_CSV!$X:$X,Taostats_CSV!$I358&amp;P$1)</f>
        <v>0</v>
      </c>
      <c r="Q358" t="b">
        <f t="shared" si="46"/>
        <v>0</v>
      </c>
      <c r="R358" t="b">
        <f>IF(LEN(K358)&gt;0,COUNTIF($K$3:K358,K358),FALSE)</f>
        <v>0</v>
      </c>
      <c r="S358" t="b">
        <f>IF(Taostats_CSV!A358=Taostats_CSV!$A$2,TRUE,Taostats_CSV!G358+Taostats_CSV!H358+Taostats_CSV!R358=0)</f>
        <v>1</v>
      </c>
      <c r="T358" t="b">
        <f t="shared" si="47"/>
        <v>0</v>
      </c>
      <c r="U358" t="b" cm="1">
        <f t="array" aca="1" ref="U358" ca="1">AND(T358,OR(O358-N358&gt;1,P358&gt;1,ISERROR(A358:P358)))</f>
        <v>0</v>
      </c>
      <c r="W358" t="e">
        <f>MATCH(K358&amp;$W$2,Taostats_CSV!$X$3:$X$1167,0)</f>
        <v>#N/A</v>
      </c>
      <c r="X358" t="e">
        <f t="shared" ca="1" si="42"/>
        <v>#VALUE!</v>
      </c>
      <c r="Y358">
        <f t="shared" ca="1" si="43"/>
        <v>0</v>
      </c>
      <c r="Z358" t="e">
        <f t="shared" ca="1" si="44"/>
        <v>#VALUE!</v>
      </c>
    </row>
    <row r="359" spans="1:26" x14ac:dyDescent="0.4">
      <c r="A359" t="str">
        <f>MID(Taostats_CSV!C359,6,2)&amp;"/"&amp;MID(Taostats_CSV!C359,9,2)&amp;"/"&amp;LEFT(Taostats_CSV!C359,4)&amp;" "&amp;MID(Taostats_CSV!C359,12,8)</f>
        <v>05/23/2025 23:59:48</v>
      </c>
      <c r="C359" t="str">
        <f ca="1">IF(Q359,OFFSET(Taostats_CSV!$E$1,MATCH(K359&amp;D$1,Taostats_CSV!$X:$X,0)-1,0),IF(Taostats_CSV!F359="fee",IF(VALUE(Taostats_CSV!G359)&gt;0,Taostats_CSV!E359,""),""))</f>
        <v/>
      </c>
      <c r="D359" t="str">
        <f ca="1">IF(Q359,OFFSET(Taostats_CSV!$G$1,MATCH(K359&amp;D$1,Taostats_CSV!$X:$X,0)-1,0),IF(Taostats_CSV!F359="fee",IF(VALUE(Taostats_CSV!G359)&gt;0,Taostats_CSV!G359,""),""))</f>
        <v/>
      </c>
      <c r="E359" t="str">
        <f ca="1">IF(AND(Q359,P359&gt;0),OFFSET(Taostats_CSV!$E$1,MATCH(K359&amp;F$1,Taostats_CSV!$X:$X,0)-1,0),IF(LEN(F359)&gt;0,Taostats_CSV!E359,""))</f>
        <v>SN3</v>
      </c>
      <c r="F359" t="str">
        <f ca="1">TRIM(IF(AND(Q359,P359&gt;0),OFFSET(Taostats_CSV!$H$1,MATCH(K359&amp;F$1,Taostats_CSV!$X:$X,0)-1,0),IF(LEN(Taostats_CSV!H359)&gt;0,Taostats_CSV!H359,Taostats_CSV!R359)))</f>
        <v>0.459686427</v>
      </c>
      <c r="G359" t="str">
        <f ca="1">IF(AND(Q359,N359=1),OFFSET(Taostats_CSV!$E$1,MATCH(K359&amp;H$1,Taostats_CSV!$X:$X,0)-1,0),"")</f>
        <v/>
      </c>
      <c r="H359" t="str">
        <f ca="1">IF(AND(Q359,N359=1),OFFSET(Taostats_CSV!$G$1,MATCH(K359&amp;H$1,Taostats_CSV!$X:$X,0)-1,0),"")</f>
        <v/>
      </c>
      <c r="I359" t="str">
        <f ca="1">IF(AND(LEN(K359)=0,LEN(F359)&gt;0),"Income",IF(AND(O359&gt;0,P359&gt;0,C359&lt;&gt;E359),"Trade",IF(AND(NOT(Q359),Taostats_CSV!F359="fee"),'READ ME'!$C$5,"")))</f>
        <v>Income</v>
      </c>
      <c r="J359" t="str">
        <f ca="1">SUBSTITUTE(IF(LEN(I359)=0,Taostats_CSV!F359&amp;" "&amp;Taostats_CSV!J359,IF(I359="Cost","Extrinsic fee","")),"_"," ")</f>
        <v/>
      </c>
      <c r="K359" t="str">
        <f>TRIM(IF(LEN(Taostats_CSV!I359)&gt;0,Taostats_CSV!I359,""))</f>
        <v/>
      </c>
      <c r="L359">
        <f ca="1">IF(Taostats_CSV!E359&lt;&gt;"TAO",IF(LEN(F359)&gt;0,F359,IF(LEN(D359)&gt;0,D359,0))*Taostats_CSV!P359,"")</f>
        <v>16.612255866824032</v>
      </c>
      <c r="M359" t="str">
        <f t="shared" ca="1" si="45"/>
        <v>USD</v>
      </c>
      <c r="N359">
        <f>COUNTIF(Taostats_CSV!$X:$X,Taostats_CSV!$I359&amp;N$1)</f>
        <v>0</v>
      </c>
      <c r="O359">
        <f>COUNTIF(Taostats_CSV!$X:$X,Taostats_CSV!$I359&amp;O$1)</f>
        <v>0</v>
      </c>
      <c r="P359">
        <f>COUNTIF(Taostats_CSV!$X:$X,Taostats_CSV!$I359&amp;P$1)</f>
        <v>0</v>
      </c>
      <c r="Q359" t="b">
        <f t="shared" si="46"/>
        <v>0</v>
      </c>
      <c r="R359" t="b">
        <f>IF(LEN(K359)&gt;0,COUNTIF($K$3:K359,K359),FALSE)</f>
        <v>0</v>
      </c>
      <c r="S359" t="b">
        <f>IF(Taostats_CSV!A359=Taostats_CSV!$A$2,TRUE,Taostats_CSV!G359+Taostats_CSV!H359+Taostats_CSV!R359=0)</f>
        <v>0</v>
      </c>
      <c r="T359" t="b">
        <f t="shared" si="47"/>
        <v>1</v>
      </c>
      <c r="U359" t="b" cm="1">
        <f t="array" aca="1" ref="U359" ca="1">AND(T359,OR(O359-N359&gt;1,P359&gt;1,ISERROR(A359:P359)))</f>
        <v>0</v>
      </c>
      <c r="W359" t="e">
        <f>MATCH(K359&amp;$W$2,Taostats_CSV!$X$3:$X$1167,0)</f>
        <v>#N/A</v>
      </c>
      <c r="X359" t="e">
        <f t="shared" ca="1" si="42"/>
        <v>#VALUE!</v>
      </c>
      <c r="Y359">
        <f t="shared" ca="1" si="43"/>
        <v>0.45968642700000001</v>
      </c>
      <c r="Z359" t="e">
        <f t="shared" ca="1" si="44"/>
        <v>#VALUE!</v>
      </c>
    </row>
    <row r="360" spans="1:26" x14ac:dyDescent="0.4">
      <c r="A360" t="str">
        <f>MID(Taostats_CSV!C360,6,2)&amp;"/"&amp;MID(Taostats_CSV!C360,9,2)&amp;"/"&amp;LEFT(Taostats_CSV!C360,4)&amp;" "&amp;MID(Taostats_CSV!C360,12,8)</f>
        <v>05/23/2025 23:59:48</v>
      </c>
      <c r="C360" t="str">
        <f ca="1">IF(Q360,OFFSET(Taostats_CSV!$E$1,MATCH(K360&amp;D$1,Taostats_CSV!$X:$X,0)-1,0),IF(Taostats_CSV!F360="fee",IF(VALUE(Taostats_CSV!G360)&gt;0,Taostats_CSV!E360,""),""))</f>
        <v/>
      </c>
      <c r="D360" t="str">
        <f ca="1">IF(Q360,OFFSET(Taostats_CSV!$G$1,MATCH(K360&amp;D$1,Taostats_CSV!$X:$X,0)-1,0),IF(Taostats_CSV!F360="fee",IF(VALUE(Taostats_CSV!G360)&gt;0,Taostats_CSV!G360,""),""))</f>
        <v/>
      </c>
      <c r="E360" t="str">
        <f ca="1">IF(AND(Q360,P360&gt;0),OFFSET(Taostats_CSV!$E$1,MATCH(K360&amp;F$1,Taostats_CSV!$X:$X,0)-1,0),IF(LEN(F360)&gt;0,Taostats_CSV!E360,""))</f>
        <v>SN4</v>
      </c>
      <c r="F360" t="str">
        <f ca="1">TRIM(IF(AND(Q360,P360&gt;0),OFFSET(Taostats_CSV!$H$1,MATCH(K360&amp;F$1,Taostats_CSV!$X:$X,0)-1,0),IF(LEN(Taostats_CSV!H360)&gt;0,Taostats_CSV!H360,Taostats_CSV!R360)))</f>
        <v>0.412300558</v>
      </c>
      <c r="G360" t="str">
        <f ca="1">IF(AND(Q360,N360=1),OFFSET(Taostats_CSV!$E$1,MATCH(K360&amp;H$1,Taostats_CSV!$X:$X,0)-1,0),"")</f>
        <v/>
      </c>
      <c r="H360" t="str">
        <f ca="1">IF(AND(Q360,N360=1),OFFSET(Taostats_CSV!$G$1,MATCH(K360&amp;H$1,Taostats_CSV!$X:$X,0)-1,0),"")</f>
        <v/>
      </c>
      <c r="I360" t="str">
        <f ca="1">IF(AND(LEN(K360)=0,LEN(F360)&gt;0),"Income",IF(AND(O360&gt;0,P360&gt;0,C360&lt;&gt;E360),"Trade",IF(AND(NOT(Q360),Taostats_CSV!F360="fee"),'READ ME'!$C$5,"")))</f>
        <v>Income</v>
      </c>
      <c r="J360" t="str">
        <f ca="1">SUBSTITUTE(IF(LEN(I360)=0,Taostats_CSV!F360&amp;" "&amp;Taostats_CSV!J360,IF(I360="Cost","Extrinsic fee","")),"_"," ")</f>
        <v/>
      </c>
      <c r="K360" t="str">
        <f>TRIM(IF(LEN(Taostats_CSV!I360)&gt;0,Taostats_CSV!I360,""))</f>
        <v/>
      </c>
      <c r="L360">
        <f ca="1">IF(Taostats_CSV!E360&lt;&gt;"TAO",IF(LEN(F360)&gt;0,F360,IF(LEN(D360)&gt;0,D360,0))*Taostats_CSV!P360,"")</f>
        <v>17.739250997487051</v>
      </c>
      <c r="M360" t="str">
        <f t="shared" ca="1" si="45"/>
        <v>USD</v>
      </c>
      <c r="N360">
        <f>COUNTIF(Taostats_CSV!$X:$X,Taostats_CSV!$I360&amp;N$1)</f>
        <v>0</v>
      </c>
      <c r="O360">
        <f>COUNTIF(Taostats_CSV!$X:$X,Taostats_CSV!$I360&amp;O$1)</f>
        <v>0</v>
      </c>
      <c r="P360">
        <f>COUNTIF(Taostats_CSV!$X:$X,Taostats_CSV!$I360&amp;P$1)</f>
        <v>0</v>
      </c>
      <c r="Q360" t="b">
        <f t="shared" si="46"/>
        <v>0</v>
      </c>
      <c r="R360" t="b">
        <f>IF(LEN(K360)&gt;0,COUNTIF($K$3:K360,K360),FALSE)</f>
        <v>0</v>
      </c>
      <c r="S360" t="b">
        <f>IF(Taostats_CSV!A360=Taostats_CSV!$A$2,TRUE,Taostats_CSV!G360+Taostats_CSV!H360+Taostats_CSV!R360=0)</f>
        <v>0</v>
      </c>
      <c r="T360" t="b">
        <f t="shared" si="47"/>
        <v>1</v>
      </c>
      <c r="U360" t="b" cm="1">
        <f t="array" aca="1" ref="U360" ca="1">AND(T360,OR(O360-N360&gt;1,P360&gt;1,ISERROR(A360:P360)))</f>
        <v>0</v>
      </c>
      <c r="W360" t="e">
        <f>MATCH(K360&amp;$W$2,Taostats_CSV!$X$3:$X$1167,0)</f>
        <v>#N/A</v>
      </c>
      <c r="X360" t="e">
        <f t="shared" ca="1" si="42"/>
        <v>#VALUE!</v>
      </c>
      <c r="Y360">
        <f t="shared" ca="1" si="43"/>
        <v>0.41230055799999998</v>
      </c>
      <c r="Z360" t="e">
        <f t="shared" ca="1" si="44"/>
        <v>#VALUE!</v>
      </c>
    </row>
    <row r="361" spans="1:26" x14ac:dyDescent="0.4">
      <c r="A361" t="str">
        <f>MID(Taostats_CSV!C361,6,2)&amp;"/"&amp;MID(Taostats_CSV!C361,9,2)&amp;"/"&amp;LEFT(Taostats_CSV!C361,4)&amp;" "&amp;MID(Taostats_CSV!C361,12,8)</f>
        <v>05/23/2025 23:59:48</v>
      </c>
      <c r="C361" t="str">
        <f ca="1">IF(Q361,OFFSET(Taostats_CSV!$E$1,MATCH(K361&amp;D$1,Taostats_CSV!$X:$X,0)-1,0),IF(Taostats_CSV!F361="fee",IF(VALUE(Taostats_CSV!G361)&gt;0,Taostats_CSV!E361,""),""))</f>
        <v/>
      </c>
      <c r="D361" t="str">
        <f ca="1">IF(Q361,OFFSET(Taostats_CSV!$G$1,MATCH(K361&amp;D$1,Taostats_CSV!$X:$X,0)-1,0),IF(Taostats_CSV!F361="fee",IF(VALUE(Taostats_CSV!G361)&gt;0,Taostats_CSV!G361,""),""))</f>
        <v/>
      </c>
      <c r="E361" t="str">
        <f ca="1">IF(AND(Q361,P361&gt;0),OFFSET(Taostats_CSV!$E$1,MATCH(K361&amp;F$1,Taostats_CSV!$X:$X,0)-1,0),IF(LEN(F361)&gt;0,Taostats_CSV!E361,""))</f>
        <v>SN56</v>
      </c>
      <c r="F361" t="str">
        <f ca="1">TRIM(IF(AND(Q361,P361&gt;0),OFFSET(Taostats_CSV!$H$1,MATCH(K361&amp;F$1,Taostats_CSV!$X:$X,0)-1,0),IF(LEN(Taostats_CSV!H361)&gt;0,Taostats_CSV!H361,Taostats_CSV!R361)))</f>
        <v>0.246344992</v>
      </c>
      <c r="G361" t="str">
        <f ca="1">IF(AND(Q361,N361=1),OFFSET(Taostats_CSV!$E$1,MATCH(K361&amp;H$1,Taostats_CSV!$X:$X,0)-1,0),"")</f>
        <v/>
      </c>
      <c r="H361" t="str">
        <f ca="1">IF(AND(Q361,N361=1),OFFSET(Taostats_CSV!$G$1,MATCH(K361&amp;H$1,Taostats_CSV!$X:$X,0)-1,0),"")</f>
        <v/>
      </c>
      <c r="I361" t="str">
        <f ca="1">IF(AND(LEN(K361)=0,LEN(F361)&gt;0),"Income",IF(AND(O361&gt;0,P361&gt;0,C361&lt;&gt;E361),"Trade",IF(AND(NOT(Q361),Taostats_CSV!F361="fee"),'READ ME'!$C$5,"")))</f>
        <v>Income</v>
      </c>
      <c r="J361" t="str">
        <f ca="1">SUBSTITUTE(IF(LEN(I361)=0,Taostats_CSV!F361&amp;" "&amp;Taostats_CSV!J361,IF(I361="Cost","Extrinsic fee","")),"_"," ")</f>
        <v/>
      </c>
      <c r="K361" t="str">
        <f>TRIM(IF(LEN(Taostats_CSV!I361)&gt;0,Taostats_CSV!I361,""))</f>
        <v/>
      </c>
      <c r="L361">
        <f ca="1">IF(Taostats_CSV!E361&lt;&gt;"TAO",IF(LEN(F361)&gt;0,F361,IF(LEN(D361)&gt;0,D361,0))*Taostats_CSV!P361,"")</f>
        <v>10.161716625819448</v>
      </c>
      <c r="M361" t="str">
        <f t="shared" ca="1" si="45"/>
        <v>USD</v>
      </c>
      <c r="N361">
        <f>COUNTIF(Taostats_CSV!$X:$X,Taostats_CSV!$I361&amp;N$1)</f>
        <v>0</v>
      </c>
      <c r="O361">
        <f>COUNTIF(Taostats_CSV!$X:$X,Taostats_CSV!$I361&amp;O$1)</f>
        <v>0</v>
      </c>
      <c r="P361">
        <f>COUNTIF(Taostats_CSV!$X:$X,Taostats_CSV!$I361&amp;P$1)</f>
        <v>0</v>
      </c>
      <c r="Q361" t="b">
        <f t="shared" si="46"/>
        <v>0</v>
      </c>
      <c r="R361" t="b">
        <f>IF(LEN(K361)&gt;0,COUNTIF($K$3:K361,K361),FALSE)</f>
        <v>0</v>
      </c>
      <c r="S361" t="b">
        <f>IF(Taostats_CSV!A361=Taostats_CSV!$A$2,TRUE,Taostats_CSV!G361+Taostats_CSV!H361+Taostats_CSV!R361=0)</f>
        <v>0</v>
      </c>
      <c r="T361" t="b">
        <f t="shared" si="47"/>
        <v>1</v>
      </c>
      <c r="U361" t="b" cm="1">
        <f t="array" aca="1" ref="U361" ca="1">AND(T361,OR(O361-N361&gt;1,P361&gt;1,ISERROR(A361:P361)))</f>
        <v>0</v>
      </c>
      <c r="W361" t="e">
        <f>MATCH(K361&amp;$W$2,Taostats_CSV!$X$3:$X$1167,0)</f>
        <v>#N/A</v>
      </c>
      <c r="X361" t="e">
        <f t="shared" ca="1" si="42"/>
        <v>#VALUE!</v>
      </c>
      <c r="Y361">
        <f t="shared" ca="1" si="43"/>
        <v>0.24634499200000001</v>
      </c>
      <c r="Z361" t="e">
        <f t="shared" ca="1" si="44"/>
        <v>#VALUE!</v>
      </c>
    </row>
    <row r="362" spans="1:26" x14ac:dyDescent="0.4">
      <c r="A362" t="str">
        <f>MID(Taostats_CSV!C362,6,2)&amp;"/"&amp;MID(Taostats_CSV!C362,9,2)&amp;"/"&amp;LEFT(Taostats_CSV!C362,4)&amp;" "&amp;MID(Taostats_CSV!C362,12,8)</f>
        <v>05/23/2025 23:59:48</v>
      </c>
      <c r="C362" t="str">
        <f ca="1">IF(Q362,OFFSET(Taostats_CSV!$E$1,MATCH(K362&amp;D$1,Taostats_CSV!$X:$X,0)-1,0),IF(Taostats_CSV!F362="fee",IF(VALUE(Taostats_CSV!G362)&gt;0,Taostats_CSV!E362,""),""))</f>
        <v/>
      </c>
      <c r="D362" t="str">
        <f ca="1">IF(Q362,OFFSET(Taostats_CSV!$G$1,MATCH(K362&amp;D$1,Taostats_CSV!$X:$X,0)-1,0),IF(Taostats_CSV!F362="fee",IF(VALUE(Taostats_CSV!G362)&gt;0,Taostats_CSV!G362,""),""))</f>
        <v/>
      </c>
      <c r="E362" t="str">
        <f ca="1">IF(AND(Q362,P362&gt;0),OFFSET(Taostats_CSV!$E$1,MATCH(K362&amp;F$1,Taostats_CSV!$X:$X,0)-1,0),IF(LEN(F362)&gt;0,Taostats_CSV!E362,""))</f>
        <v>SN64</v>
      </c>
      <c r="F362" t="str">
        <f ca="1">TRIM(IF(AND(Q362,P362&gt;0),OFFSET(Taostats_CSV!$H$1,MATCH(K362&amp;F$1,Taostats_CSV!$X:$X,0)-1,0),IF(LEN(Taostats_CSV!H362)&gt;0,Taostats_CSV!H362,Taostats_CSV!R362)))</f>
        <v>0.147244552</v>
      </c>
      <c r="G362" t="str">
        <f ca="1">IF(AND(Q362,N362=1),OFFSET(Taostats_CSV!$E$1,MATCH(K362&amp;H$1,Taostats_CSV!$X:$X,0)-1,0),"")</f>
        <v/>
      </c>
      <c r="H362" t="str">
        <f ca="1">IF(AND(Q362,N362=1),OFFSET(Taostats_CSV!$G$1,MATCH(K362&amp;H$1,Taostats_CSV!$X:$X,0)-1,0),"")</f>
        <v/>
      </c>
      <c r="I362" t="str">
        <f ca="1">IF(AND(LEN(K362)=0,LEN(F362)&gt;0),"Income",IF(AND(O362&gt;0,P362&gt;0,C362&lt;&gt;E362),"Trade",IF(AND(NOT(Q362),Taostats_CSV!F362="fee"),'READ ME'!$C$5,"")))</f>
        <v>Income</v>
      </c>
      <c r="J362" t="str">
        <f ca="1">SUBSTITUTE(IF(LEN(I362)=0,Taostats_CSV!F362&amp;" "&amp;Taostats_CSV!J362,IF(I362="Cost","Extrinsic fee","")),"_"," ")</f>
        <v/>
      </c>
      <c r="K362" t="str">
        <f>TRIM(IF(LEN(Taostats_CSV!I362)&gt;0,Taostats_CSV!I362,""))</f>
        <v/>
      </c>
      <c r="L362">
        <f ca="1">IF(Taostats_CSV!E362&lt;&gt;"TAO",IF(LEN(F362)&gt;0,F362,IF(LEN(D362)&gt;0,D362,0))*Taostats_CSV!P362,"")</f>
        <v>14.088193912703685</v>
      </c>
      <c r="M362" t="str">
        <f t="shared" ca="1" si="45"/>
        <v>USD</v>
      </c>
      <c r="N362">
        <f>COUNTIF(Taostats_CSV!$X:$X,Taostats_CSV!$I362&amp;N$1)</f>
        <v>0</v>
      </c>
      <c r="O362">
        <f>COUNTIF(Taostats_CSV!$X:$X,Taostats_CSV!$I362&amp;O$1)</f>
        <v>0</v>
      </c>
      <c r="P362">
        <f>COUNTIF(Taostats_CSV!$X:$X,Taostats_CSV!$I362&amp;P$1)</f>
        <v>0</v>
      </c>
      <c r="Q362" t="b">
        <f t="shared" si="46"/>
        <v>0</v>
      </c>
      <c r="R362" t="b">
        <f>IF(LEN(K362)&gt;0,COUNTIF($K$3:K362,K362),FALSE)</f>
        <v>0</v>
      </c>
      <c r="S362" t="b">
        <f>IF(Taostats_CSV!A362=Taostats_CSV!$A$2,TRUE,Taostats_CSV!G362+Taostats_CSV!H362+Taostats_CSV!R362=0)</f>
        <v>0</v>
      </c>
      <c r="T362" t="b">
        <f t="shared" si="47"/>
        <v>1</v>
      </c>
      <c r="U362" t="b" cm="1">
        <f t="array" aca="1" ref="U362" ca="1">AND(T362,OR(O362-N362&gt;1,P362&gt;1,ISERROR(A362:P362)))</f>
        <v>0</v>
      </c>
      <c r="W362" t="e">
        <f>MATCH(K362&amp;$W$2,Taostats_CSV!$X$3:$X$1167,0)</f>
        <v>#N/A</v>
      </c>
      <c r="X362" t="e">
        <f t="shared" ca="1" si="42"/>
        <v>#VALUE!</v>
      </c>
      <c r="Y362">
        <f t="shared" ca="1" si="43"/>
        <v>0.147244552</v>
      </c>
      <c r="Z362" t="e">
        <f t="shared" ca="1" si="44"/>
        <v>#VALUE!</v>
      </c>
    </row>
    <row r="363" spans="1:26" hidden="1" x14ac:dyDescent="0.4">
      <c r="A363" t="str">
        <f>MID(Taostats_CSV!C363,6,2)&amp;"/"&amp;MID(Taostats_CSV!C363,9,2)&amp;"/"&amp;LEFT(Taostats_CSV!C363,4)&amp;" "&amp;MID(Taostats_CSV!C363,12,8)</f>
        <v>05/23/2025 23:59:48</v>
      </c>
      <c r="C363" t="str">
        <f ca="1">IF(Q363,OFFSET(Taostats_CSV!$E$1,MATCH(K363&amp;D$1,Taostats_CSV!$X:$X,0)-1,0),IF(Taostats_CSV!F363="fee","",IF(VALUE(Taostats_CSV!G363)&gt;0,Taostats_CSV!E363,"")))</f>
        <v/>
      </c>
      <c r="D363" t="str">
        <f ca="1">IF(Q363,OFFSET(Taostats_CSV!$G$1,MATCH(K363&amp;D$1,Taostats_CSV!$X:$X,0)-1,0),IF(Taostats_CSV!F363="fee","",IF(VALUE(Taostats_CSV!G363)&gt;0,Taostats_CSV!G363,"")))</f>
        <v/>
      </c>
      <c r="E363" t="str">
        <f ca="1">IF(AND(Q363,P363&gt;0),OFFSET(Taostats_CSV!$E$1,MATCH(K363&amp;F$1,Taostats_CSV!$X:$X,0)-1,0),IF(LEN(F363)&gt;0,Taostats_CSV!E363,""))</f>
        <v>TAO</v>
      </c>
      <c r="F363" t="str">
        <f ca="1">TRIM(IF(AND(Q363,P363&gt;0),OFFSET(Taostats_CSV!$H$1,MATCH(K363&amp;F$1,Taostats_CSV!$X:$X,0)-1,0),IF(LEN(Taostats_CSV!H363)&gt;0,Taostats_CSV!H363,Taostats_CSV!R363)))</f>
        <v>0</v>
      </c>
      <c r="G363" t="str">
        <f ca="1">IF(AND(Q363,N363=1),OFFSET(Taostats_CSV!$E$1,MATCH(K363&amp;H$1,Taostats_CSV!$X:$X,0)-1,0),IF(Taostats_CSV!F363="fee",Taostats_CSV!E363,""))</f>
        <v/>
      </c>
      <c r="H363" t="str">
        <f ca="1">IF(AND(Q363,N363=1),OFFSET(Taostats_CSV!$G$1,MATCH(K363&amp;H$1,Taostats_CSV!$X:$X,0)-1,0),IF(Taostats_CSV!F363="fee",Taostats_CSV!G363,""))</f>
        <v/>
      </c>
      <c r="I363" t="str">
        <f ca="1">IF(AND(LEN(K363)=0,LEN(F363)&gt;0),"Income",IF(AND(O363&gt;0,P363&gt;0,C363&lt;&gt;E363),"Trade",IF(AND(NOT(Q363),Taostats_CSV!F363="fee"),'READ ME'!$C$5,"")))</f>
        <v>Income</v>
      </c>
      <c r="J363" t="str">
        <f ca="1">SUBSTITUTE(IF(LEN(I363)=0,Taostats_CSV!F363&amp;" "&amp;Taostats_CSV!J363,IF(I363="Cost","Extrinsic fee","")),"_"," ")</f>
        <v/>
      </c>
      <c r="K363" t="str">
        <f>TRIM(IF(LEN(Taostats_CSV!I363)&gt;0,Taostats_CSV!I363,""))</f>
        <v/>
      </c>
      <c r="L363" t="str">
        <f>IF(Taostats_CSV!E363&lt;&gt;"TAO",IF(LEN(F363)&gt;0,F363,IF(LEN(D363)&gt;0,D363,0))*Taostats_CSV!P363,"")</f>
        <v/>
      </c>
      <c r="M363" t="str">
        <f t="shared" si="45"/>
        <v/>
      </c>
      <c r="N363">
        <f>COUNTIF(Taostats_CSV!$X:$X,Taostats_CSV!$I363&amp;N$1)</f>
        <v>0</v>
      </c>
      <c r="O363">
        <f>COUNTIF(Taostats_CSV!$X:$X,Taostats_CSV!$I363&amp;O$1)</f>
        <v>0</v>
      </c>
      <c r="P363">
        <f>COUNTIF(Taostats_CSV!$X:$X,Taostats_CSV!$I363&amp;P$1)</f>
        <v>0</v>
      </c>
      <c r="Q363" t="b">
        <f t="shared" si="46"/>
        <v>0</v>
      </c>
      <c r="R363" t="b">
        <f>IF(LEN(K363)&gt;0,COUNTIF($K$3:K363,K363),FALSE)</f>
        <v>0</v>
      </c>
      <c r="S363" t="b">
        <f>IF(Taostats_CSV!A363=Taostats_CSV!$A$2,TRUE,Taostats_CSV!G363+Taostats_CSV!H363+Taostats_CSV!R363=0)</f>
        <v>1</v>
      </c>
      <c r="T363" t="b">
        <f t="shared" si="47"/>
        <v>0</v>
      </c>
      <c r="U363" t="b" cm="1">
        <f t="array" aca="1" ref="U363" ca="1">AND(T363,OR(O363-N363&gt;1,P363&gt;1,ISERROR(A363:P363)))</f>
        <v>0</v>
      </c>
      <c r="W363" t="e">
        <f>MATCH(K363&amp;$W$2,Taostats_CSV!$X$3:$X$1167,0)</f>
        <v>#N/A</v>
      </c>
      <c r="X363" t="e">
        <f t="shared" ca="1" si="42"/>
        <v>#VALUE!</v>
      </c>
      <c r="Y363">
        <f t="shared" ca="1" si="43"/>
        <v>0</v>
      </c>
      <c r="Z363" t="e">
        <f t="shared" ca="1" si="44"/>
        <v>#VALUE!</v>
      </c>
    </row>
    <row r="364" spans="1:26" x14ac:dyDescent="0.4">
      <c r="A364" t="str">
        <f>MID(Taostats_CSV!C364,6,2)&amp;"/"&amp;MID(Taostats_CSV!C364,9,2)&amp;"/"&amp;LEFT(Taostats_CSV!C364,4)&amp;" "&amp;MID(Taostats_CSV!C364,12,8)</f>
        <v>05/24/2025 23:59:48</v>
      </c>
      <c r="C364" t="str">
        <f ca="1">IF(Q364,OFFSET(Taostats_CSV!$E$1,MATCH(K364&amp;D$1,Taostats_CSV!$X:$X,0)-1,0),IF(Taostats_CSV!F364="fee",IF(VALUE(Taostats_CSV!G364)&gt;0,Taostats_CSV!E364,""),""))</f>
        <v/>
      </c>
      <c r="D364" t="str">
        <f ca="1">IF(Q364,OFFSET(Taostats_CSV!$G$1,MATCH(K364&amp;D$1,Taostats_CSV!$X:$X,0)-1,0),IF(Taostats_CSV!F364="fee",IF(VALUE(Taostats_CSV!G364)&gt;0,Taostats_CSV!G364,""),""))</f>
        <v/>
      </c>
      <c r="E364" t="str">
        <f ca="1">IF(AND(Q364,P364&gt;0),OFFSET(Taostats_CSV!$E$1,MATCH(K364&amp;F$1,Taostats_CSV!$X:$X,0)-1,0),IF(LEN(F364)&gt;0,Taostats_CSV!E364,""))</f>
        <v>SN3</v>
      </c>
      <c r="F364" t="str">
        <f ca="1">TRIM(IF(AND(Q364,P364&gt;0),OFFSET(Taostats_CSV!$H$1,MATCH(K364&amp;F$1,Taostats_CSV!$X:$X,0)-1,0),IF(LEN(Taostats_CSV!H364)&gt;0,Taostats_CSV!H364,Taostats_CSV!R364)))</f>
        <v>0.447896185</v>
      </c>
      <c r="G364" t="str">
        <f ca="1">IF(AND(Q364,N364=1),OFFSET(Taostats_CSV!$E$1,MATCH(K364&amp;H$1,Taostats_CSV!$X:$X,0)-1,0),"")</f>
        <v/>
      </c>
      <c r="H364" t="str">
        <f ca="1">IF(AND(Q364,N364=1),OFFSET(Taostats_CSV!$G$1,MATCH(K364&amp;H$1,Taostats_CSV!$X:$X,0)-1,0),"")</f>
        <v/>
      </c>
      <c r="I364" t="str">
        <f ca="1">IF(AND(LEN(K364)=0,LEN(F364)&gt;0),"Income",IF(AND(O364&gt;0,P364&gt;0,C364&lt;&gt;E364),"Trade",IF(AND(NOT(Q364),Taostats_CSV!F364="fee"),'READ ME'!$C$5,"")))</f>
        <v>Income</v>
      </c>
      <c r="J364" t="str">
        <f ca="1">SUBSTITUTE(IF(LEN(I364)=0,Taostats_CSV!F364&amp;" "&amp;Taostats_CSV!J364,IF(I364="Cost","Extrinsic fee","")),"_"," ")</f>
        <v/>
      </c>
      <c r="K364" t="str">
        <f>TRIM(IF(LEN(Taostats_CSV!I364)&gt;0,Taostats_CSV!I364,""))</f>
        <v/>
      </c>
      <c r="L364">
        <f ca="1">IF(Taostats_CSV!E364&lt;&gt;"TAO",IF(LEN(F364)&gt;0,F364,IF(LEN(D364)&gt;0,D364,0))*Taostats_CSV!P364,"")</f>
        <v>16.92858643043423</v>
      </c>
      <c r="M364" t="str">
        <f t="shared" ca="1" si="45"/>
        <v>USD</v>
      </c>
      <c r="N364">
        <f>COUNTIF(Taostats_CSV!$X:$X,Taostats_CSV!$I364&amp;N$1)</f>
        <v>0</v>
      </c>
      <c r="O364">
        <f>COUNTIF(Taostats_CSV!$X:$X,Taostats_CSV!$I364&amp;O$1)</f>
        <v>0</v>
      </c>
      <c r="P364">
        <f>COUNTIF(Taostats_CSV!$X:$X,Taostats_CSV!$I364&amp;P$1)</f>
        <v>0</v>
      </c>
      <c r="Q364" t="b">
        <f t="shared" si="46"/>
        <v>0</v>
      </c>
      <c r="R364" t="b">
        <f>IF(LEN(K364)&gt;0,COUNTIF($K$3:K364,K364),FALSE)</f>
        <v>0</v>
      </c>
      <c r="S364" t="b">
        <f>IF(Taostats_CSV!A364=Taostats_CSV!$A$2,TRUE,Taostats_CSV!G364+Taostats_CSV!H364+Taostats_CSV!R364=0)</f>
        <v>0</v>
      </c>
      <c r="T364" t="b">
        <f t="shared" si="47"/>
        <v>1</v>
      </c>
      <c r="U364" t="b" cm="1">
        <f t="array" aca="1" ref="U364" ca="1">AND(T364,OR(O364-N364&gt;1,P364&gt;1,ISERROR(A364:P364)))</f>
        <v>0</v>
      </c>
      <c r="W364" t="e">
        <f>MATCH(K364&amp;$W$2,Taostats_CSV!$X$3:$X$1167,0)</f>
        <v>#N/A</v>
      </c>
      <c r="X364" t="e">
        <f t="shared" ca="1" si="42"/>
        <v>#VALUE!</v>
      </c>
      <c r="Y364">
        <f t="shared" ca="1" si="43"/>
        <v>0.447896185</v>
      </c>
      <c r="Z364" t="e">
        <f t="shared" ca="1" si="44"/>
        <v>#VALUE!</v>
      </c>
    </row>
    <row r="365" spans="1:26" x14ac:dyDescent="0.4">
      <c r="A365" t="str">
        <f>MID(Taostats_CSV!C365,6,2)&amp;"/"&amp;MID(Taostats_CSV!C365,9,2)&amp;"/"&amp;LEFT(Taostats_CSV!C365,4)&amp;" "&amp;MID(Taostats_CSV!C365,12,8)</f>
        <v>05/24/2025 23:59:48</v>
      </c>
      <c r="C365" t="str">
        <f ca="1">IF(Q365,OFFSET(Taostats_CSV!$E$1,MATCH(K365&amp;D$1,Taostats_CSV!$X:$X,0)-1,0),IF(Taostats_CSV!F365="fee",IF(VALUE(Taostats_CSV!G365)&gt;0,Taostats_CSV!E365,""),""))</f>
        <v/>
      </c>
      <c r="D365" t="str">
        <f ca="1">IF(Q365,OFFSET(Taostats_CSV!$G$1,MATCH(K365&amp;D$1,Taostats_CSV!$X:$X,0)-1,0),IF(Taostats_CSV!F365="fee",IF(VALUE(Taostats_CSV!G365)&gt;0,Taostats_CSV!G365,""),""))</f>
        <v/>
      </c>
      <c r="E365" t="str">
        <f ca="1">IF(AND(Q365,P365&gt;0),OFFSET(Taostats_CSV!$E$1,MATCH(K365&amp;F$1,Taostats_CSV!$X:$X,0)-1,0),IF(LEN(F365)&gt;0,Taostats_CSV!E365,""))</f>
        <v>SN4</v>
      </c>
      <c r="F365" t="str">
        <f ca="1">TRIM(IF(AND(Q365,P365&gt;0),OFFSET(Taostats_CSV!$H$1,MATCH(K365&amp;F$1,Taostats_CSV!$X:$X,0)-1,0),IF(LEN(Taostats_CSV!H365)&gt;0,Taostats_CSV!H365,Taostats_CSV!R365)))</f>
        <v>0.411385897</v>
      </c>
      <c r="G365" t="str">
        <f ca="1">IF(AND(Q365,N365=1),OFFSET(Taostats_CSV!$E$1,MATCH(K365&amp;H$1,Taostats_CSV!$X:$X,0)-1,0),"")</f>
        <v/>
      </c>
      <c r="H365" t="str">
        <f ca="1">IF(AND(Q365,N365=1),OFFSET(Taostats_CSV!$G$1,MATCH(K365&amp;H$1,Taostats_CSV!$X:$X,0)-1,0),"")</f>
        <v/>
      </c>
      <c r="I365" t="str">
        <f ca="1">IF(AND(LEN(K365)=0,LEN(F365)&gt;0),"Income",IF(AND(O365&gt;0,P365&gt;0,C365&lt;&gt;E365),"Trade",IF(AND(NOT(Q365),Taostats_CSV!F365="fee"),'READ ME'!$C$5,"")))</f>
        <v>Income</v>
      </c>
      <c r="J365" t="str">
        <f ca="1">SUBSTITUTE(IF(LEN(I365)=0,Taostats_CSV!F365&amp;" "&amp;Taostats_CSV!J365,IF(I365="Cost","Extrinsic fee","")),"_"," ")</f>
        <v/>
      </c>
      <c r="K365" t="str">
        <f>TRIM(IF(LEN(Taostats_CSV!I365)&gt;0,Taostats_CSV!I365,""))</f>
        <v/>
      </c>
      <c r="L365">
        <f ca="1">IF(Taostats_CSV!E365&lt;&gt;"TAO",IF(LEN(F365)&gt;0,F365,IF(LEN(D365)&gt;0,D365,0))*Taostats_CSV!P365,"")</f>
        <v>18.44431521597987</v>
      </c>
      <c r="M365" t="str">
        <f t="shared" ca="1" si="45"/>
        <v>USD</v>
      </c>
      <c r="N365">
        <f>COUNTIF(Taostats_CSV!$X:$X,Taostats_CSV!$I365&amp;N$1)</f>
        <v>0</v>
      </c>
      <c r="O365">
        <f>COUNTIF(Taostats_CSV!$X:$X,Taostats_CSV!$I365&amp;O$1)</f>
        <v>0</v>
      </c>
      <c r="P365">
        <f>COUNTIF(Taostats_CSV!$X:$X,Taostats_CSV!$I365&amp;P$1)</f>
        <v>0</v>
      </c>
      <c r="Q365" t="b">
        <f t="shared" si="46"/>
        <v>0</v>
      </c>
      <c r="R365" t="b">
        <f>IF(LEN(K365)&gt;0,COUNTIF($K$3:K365,K365),FALSE)</f>
        <v>0</v>
      </c>
      <c r="S365" t="b">
        <f>IF(Taostats_CSV!A365=Taostats_CSV!$A$2,TRUE,Taostats_CSV!G365+Taostats_CSV!H365+Taostats_CSV!R365=0)</f>
        <v>0</v>
      </c>
      <c r="T365" t="b">
        <f t="shared" si="47"/>
        <v>1</v>
      </c>
      <c r="U365" t="b" cm="1">
        <f t="array" aca="1" ref="U365" ca="1">AND(T365,OR(O365-N365&gt;1,P365&gt;1,ISERROR(A365:P365)))</f>
        <v>0</v>
      </c>
      <c r="W365" t="e">
        <f>MATCH(K365&amp;$W$2,Taostats_CSV!$X$3:$X$1167,0)</f>
        <v>#N/A</v>
      </c>
      <c r="X365" t="e">
        <f t="shared" ca="1" si="42"/>
        <v>#VALUE!</v>
      </c>
      <c r="Y365">
        <f t="shared" ca="1" si="43"/>
        <v>0.411385897</v>
      </c>
      <c r="Z365" t="e">
        <f t="shared" ca="1" si="44"/>
        <v>#VALUE!</v>
      </c>
    </row>
    <row r="366" spans="1:26" x14ac:dyDescent="0.4">
      <c r="A366" t="str">
        <f>MID(Taostats_CSV!C366,6,2)&amp;"/"&amp;MID(Taostats_CSV!C366,9,2)&amp;"/"&amp;LEFT(Taostats_CSV!C366,4)&amp;" "&amp;MID(Taostats_CSV!C366,12,8)</f>
        <v>05/24/2025 23:59:48</v>
      </c>
      <c r="C366" t="str">
        <f ca="1">IF(Q366,OFFSET(Taostats_CSV!$E$1,MATCH(K366&amp;D$1,Taostats_CSV!$X:$X,0)-1,0),IF(Taostats_CSV!F366="fee",IF(VALUE(Taostats_CSV!G366)&gt;0,Taostats_CSV!E366,""),""))</f>
        <v/>
      </c>
      <c r="D366" t="str">
        <f ca="1">IF(Q366,OFFSET(Taostats_CSV!$G$1,MATCH(K366&amp;D$1,Taostats_CSV!$X:$X,0)-1,0),IF(Taostats_CSV!F366="fee",IF(VALUE(Taostats_CSV!G366)&gt;0,Taostats_CSV!G366,""),""))</f>
        <v/>
      </c>
      <c r="E366" t="str">
        <f ca="1">IF(AND(Q366,P366&gt;0),OFFSET(Taostats_CSV!$E$1,MATCH(K366&amp;F$1,Taostats_CSV!$X:$X,0)-1,0),IF(LEN(F366)&gt;0,Taostats_CSV!E366,""))</f>
        <v>SN56</v>
      </c>
      <c r="F366" t="str">
        <f ca="1">TRIM(IF(AND(Q366,P366&gt;0),OFFSET(Taostats_CSV!$H$1,MATCH(K366&amp;F$1,Taostats_CSV!$X:$X,0)-1,0),IF(LEN(Taostats_CSV!H366)&gt;0,Taostats_CSV!H366,Taostats_CSV!R366)))</f>
        <v>0.24363452</v>
      </c>
      <c r="G366" t="str">
        <f ca="1">IF(AND(Q366,N366=1),OFFSET(Taostats_CSV!$E$1,MATCH(K366&amp;H$1,Taostats_CSV!$X:$X,0)-1,0),"")</f>
        <v/>
      </c>
      <c r="H366" t="str">
        <f ca="1">IF(AND(Q366,N366=1),OFFSET(Taostats_CSV!$G$1,MATCH(K366&amp;H$1,Taostats_CSV!$X:$X,0)-1,0),"")</f>
        <v/>
      </c>
      <c r="I366" t="str">
        <f ca="1">IF(AND(LEN(K366)=0,LEN(F366)&gt;0),"Income",IF(AND(O366&gt;0,P366&gt;0,C366&lt;&gt;E366),"Trade",IF(AND(NOT(Q366),Taostats_CSV!F366="fee"),'READ ME'!$C$5,"")))</f>
        <v>Income</v>
      </c>
      <c r="J366" t="str">
        <f ca="1">SUBSTITUTE(IF(LEN(I366)=0,Taostats_CSV!F366&amp;" "&amp;Taostats_CSV!J366,IF(I366="Cost","Extrinsic fee","")),"_"," ")</f>
        <v/>
      </c>
      <c r="K366" t="str">
        <f>TRIM(IF(LEN(Taostats_CSV!I366)&gt;0,Taostats_CSV!I366,""))</f>
        <v/>
      </c>
      <c r="L366">
        <f ca="1">IF(Taostats_CSV!E366&lt;&gt;"TAO",IF(LEN(F366)&gt;0,F366,IF(LEN(D366)&gt;0,D366,0))*Taostats_CSV!P366,"")</f>
        <v>11.919743179620568</v>
      </c>
      <c r="M366" t="str">
        <f t="shared" ca="1" si="45"/>
        <v>USD</v>
      </c>
      <c r="N366">
        <f>COUNTIF(Taostats_CSV!$X:$X,Taostats_CSV!$I366&amp;N$1)</f>
        <v>0</v>
      </c>
      <c r="O366">
        <f>COUNTIF(Taostats_CSV!$X:$X,Taostats_CSV!$I366&amp;O$1)</f>
        <v>0</v>
      </c>
      <c r="P366">
        <f>COUNTIF(Taostats_CSV!$X:$X,Taostats_CSV!$I366&amp;P$1)</f>
        <v>0</v>
      </c>
      <c r="Q366" t="b">
        <f t="shared" si="46"/>
        <v>0</v>
      </c>
      <c r="R366" t="b">
        <f>IF(LEN(K366)&gt;0,COUNTIF($K$3:K366,K366),FALSE)</f>
        <v>0</v>
      </c>
      <c r="S366" t="b">
        <f>IF(Taostats_CSV!A366=Taostats_CSV!$A$2,TRUE,Taostats_CSV!G366+Taostats_CSV!H366+Taostats_CSV!R366=0)</f>
        <v>0</v>
      </c>
      <c r="T366" t="b">
        <f t="shared" si="47"/>
        <v>1</v>
      </c>
      <c r="U366" t="b" cm="1">
        <f t="array" aca="1" ref="U366" ca="1">AND(T366,OR(O366-N366&gt;1,P366&gt;1,ISERROR(A366:P366)))</f>
        <v>0</v>
      </c>
      <c r="W366" t="e">
        <f>MATCH(K366&amp;$W$2,Taostats_CSV!$X$3:$X$1167,0)</f>
        <v>#N/A</v>
      </c>
      <c r="X366" t="e">
        <f t="shared" ca="1" si="42"/>
        <v>#VALUE!</v>
      </c>
      <c r="Y366">
        <f t="shared" ca="1" si="43"/>
        <v>0.24363451999999999</v>
      </c>
      <c r="Z366" t="e">
        <f t="shared" ca="1" si="44"/>
        <v>#VALUE!</v>
      </c>
    </row>
    <row r="367" spans="1:26" x14ac:dyDescent="0.4">
      <c r="A367" t="str">
        <f>MID(Taostats_CSV!C367,6,2)&amp;"/"&amp;MID(Taostats_CSV!C367,9,2)&amp;"/"&amp;LEFT(Taostats_CSV!C367,4)&amp;" "&amp;MID(Taostats_CSV!C367,12,8)</f>
        <v>05/24/2025 23:59:48</v>
      </c>
      <c r="C367" t="str">
        <f ca="1">IF(Q367,OFFSET(Taostats_CSV!$E$1,MATCH(K367&amp;D$1,Taostats_CSV!$X:$X,0)-1,0),IF(Taostats_CSV!F367="fee",IF(VALUE(Taostats_CSV!G367)&gt;0,Taostats_CSV!E367,""),""))</f>
        <v/>
      </c>
      <c r="D367" t="str">
        <f ca="1">IF(Q367,OFFSET(Taostats_CSV!$G$1,MATCH(K367&amp;D$1,Taostats_CSV!$X:$X,0)-1,0),IF(Taostats_CSV!F367="fee",IF(VALUE(Taostats_CSV!G367)&gt;0,Taostats_CSV!G367,""),""))</f>
        <v/>
      </c>
      <c r="E367" t="str">
        <f ca="1">IF(AND(Q367,P367&gt;0),OFFSET(Taostats_CSV!$E$1,MATCH(K367&amp;F$1,Taostats_CSV!$X:$X,0)-1,0),IF(LEN(F367)&gt;0,Taostats_CSV!E367,""))</f>
        <v>SN64</v>
      </c>
      <c r="F367" t="str">
        <f ca="1">TRIM(IF(AND(Q367,P367&gt;0),OFFSET(Taostats_CSV!$H$1,MATCH(K367&amp;F$1,Taostats_CSV!$X:$X,0)-1,0),IF(LEN(Taostats_CSV!H367)&gt;0,Taostats_CSV!H367,Taostats_CSV!R367)))</f>
        <v>0.151504045</v>
      </c>
      <c r="G367" t="str">
        <f ca="1">IF(AND(Q367,N367=1),OFFSET(Taostats_CSV!$E$1,MATCH(K367&amp;H$1,Taostats_CSV!$X:$X,0)-1,0),"")</f>
        <v/>
      </c>
      <c r="H367" t="str">
        <f ca="1">IF(AND(Q367,N367=1),OFFSET(Taostats_CSV!$G$1,MATCH(K367&amp;H$1,Taostats_CSV!$X:$X,0)-1,0),"")</f>
        <v/>
      </c>
      <c r="I367" t="str">
        <f ca="1">IF(AND(LEN(K367)=0,LEN(F367)&gt;0),"Income",IF(AND(O367&gt;0,P367&gt;0,C367&lt;&gt;E367),"Trade",IF(AND(NOT(Q367),Taostats_CSV!F367="fee"),'READ ME'!$C$5,"")))</f>
        <v>Income</v>
      </c>
      <c r="J367" t="str">
        <f ca="1">SUBSTITUTE(IF(LEN(I367)=0,Taostats_CSV!F367&amp;" "&amp;Taostats_CSV!J367,IF(I367="Cost","Extrinsic fee","")),"_"," ")</f>
        <v/>
      </c>
      <c r="K367" t="str">
        <f>TRIM(IF(LEN(Taostats_CSV!I367)&gt;0,Taostats_CSV!I367,""))</f>
        <v/>
      </c>
      <c r="L367">
        <f ca="1">IF(Taostats_CSV!E367&lt;&gt;"TAO",IF(LEN(F367)&gt;0,F367,IF(LEN(D367)&gt;0,D367,0))*Taostats_CSV!P367,"")</f>
        <v>16.963969266906599</v>
      </c>
      <c r="M367" t="str">
        <f t="shared" ca="1" si="45"/>
        <v>USD</v>
      </c>
      <c r="N367">
        <f>COUNTIF(Taostats_CSV!$X:$X,Taostats_CSV!$I367&amp;N$1)</f>
        <v>0</v>
      </c>
      <c r="O367">
        <f>COUNTIF(Taostats_CSV!$X:$X,Taostats_CSV!$I367&amp;O$1)</f>
        <v>0</v>
      </c>
      <c r="P367">
        <f>COUNTIF(Taostats_CSV!$X:$X,Taostats_CSV!$I367&amp;P$1)</f>
        <v>0</v>
      </c>
      <c r="Q367" t="b">
        <f t="shared" si="46"/>
        <v>0</v>
      </c>
      <c r="R367" t="b">
        <f>IF(LEN(K367)&gt;0,COUNTIF($K$3:K367,K367),FALSE)</f>
        <v>0</v>
      </c>
      <c r="S367" t="b">
        <f>IF(Taostats_CSV!A367=Taostats_CSV!$A$2,TRUE,Taostats_CSV!G367+Taostats_CSV!H367+Taostats_CSV!R367=0)</f>
        <v>0</v>
      </c>
      <c r="T367" t="b">
        <f t="shared" si="47"/>
        <v>1</v>
      </c>
      <c r="U367" t="b" cm="1">
        <f t="array" aca="1" ref="U367" ca="1">AND(T367,OR(O367-N367&gt;1,P367&gt;1,ISERROR(A367:P367)))</f>
        <v>0</v>
      </c>
      <c r="W367" t="e">
        <f>MATCH(K367&amp;$W$2,Taostats_CSV!$X$3:$X$1167,0)</f>
        <v>#N/A</v>
      </c>
      <c r="X367" t="e">
        <f t="shared" ca="1" si="42"/>
        <v>#VALUE!</v>
      </c>
      <c r="Y367">
        <f t="shared" ca="1" si="43"/>
        <v>0.151504045</v>
      </c>
      <c r="Z367" t="e">
        <f t="shared" ca="1" si="44"/>
        <v>#VALUE!</v>
      </c>
    </row>
    <row r="368" spans="1:26" hidden="1" x14ac:dyDescent="0.4">
      <c r="A368" t="str">
        <f>MID(Taostats_CSV!C368,6,2)&amp;"/"&amp;MID(Taostats_CSV!C368,9,2)&amp;"/"&amp;LEFT(Taostats_CSV!C368,4)&amp;" "&amp;MID(Taostats_CSV!C368,12,8)</f>
        <v>05/24/2025 23:59:48</v>
      </c>
      <c r="C368" t="str">
        <f ca="1">IF(Q368,OFFSET(Taostats_CSV!$E$1,MATCH(K368&amp;D$1,Taostats_CSV!$X:$X,0)-1,0),IF(Taostats_CSV!F368="fee","",IF(VALUE(Taostats_CSV!G368)&gt;0,Taostats_CSV!E368,"")))</f>
        <v/>
      </c>
      <c r="D368" t="str">
        <f ca="1">IF(Q368,OFFSET(Taostats_CSV!$G$1,MATCH(K368&amp;D$1,Taostats_CSV!$X:$X,0)-1,0),IF(Taostats_CSV!F368="fee","",IF(VALUE(Taostats_CSV!G368)&gt;0,Taostats_CSV!G368,"")))</f>
        <v/>
      </c>
      <c r="E368" t="str">
        <f ca="1">IF(AND(Q368,P368&gt;0),OFFSET(Taostats_CSV!$E$1,MATCH(K368&amp;F$1,Taostats_CSV!$X:$X,0)-1,0),IF(LEN(F368)&gt;0,Taostats_CSV!E368,""))</f>
        <v>TAO</v>
      </c>
      <c r="F368" t="str">
        <f ca="1">TRIM(IF(AND(Q368,P368&gt;0),OFFSET(Taostats_CSV!$H$1,MATCH(K368&amp;F$1,Taostats_CSV!$X:$X,0)-1,0),IF(LEN(Taostats_CSV!H368)&gt;0,Taostats_CSV!H368,Taostats_CSV!R368)))</f>
        <v>0</v>
      </c>
      <c r="G368" t="str">
        <f ca="1">IF(AND(Q368,N368=1),OFFSET(Taostats_CSV!$E$1,MATCH(K368&amp;H$1,Taostats_CSV!$X:$X,0)-1,0),IF(Taostats_CSV!F368="fee",Taostats_CSV!E368,""))</f>
        <v/>
      </c>
      <c r="H368" t="str">
        <f ca="1">IF(AND(Q368,N368=1),OFFSET(Taostats_CSV!$G$1,MATCH(K368&amp;H$1,Taostats_CSV!$X:$X,0)-1,0),IF(Taostats_CSV!F368="fee",Taostats_CSV!G368,""))</f>
        <v/>
      </c>
      <c r="I368" t="str">
        <f ca="1">IF(AND(LEN(K368)=0,LEN(F368)&gt;0),"Income",IF(AND(O368&gt;0,P368&gt;0,C368&lt;&gt;E368),"Trade",IF(AND(NOT(Q368),Taostats_CSV!F368="fee"),'READ ME'!$C$5,"")))</f>
        <v>Income</v>
      </c>
      <c r="J368" t="str">
        <f ca="1">SUBSTITUTE(IF(LEN(I368)=0,Taostats_CSV!F368&amp;" "&amp;Taostats_CSV!J368,IF(I368="Cost","Extrinsic fee","")),"_"," ")</f>
        <v/>
      </c>
      <c r="K368" t="str">
        <f>TRIM(IF(LEN(Taostats_CSV!I368)&gt;0,Taostats_CSV!I368,""))</f>
        <v/>
      </c>
      <c r="L368" t="str">
        <f>IF(Taostats_CSV!E368&lt;&gt;"TAO",IF(LEN(F368)&gt;0,F368,IF(LEN(D368)&gt;0,D368,0))*Taostats_CSV!P368,"")</f>
        <v/>
      </c>
      <c r="M368" t="str">
        <f t="shared" si="45"/>
        <v/>
      </c>
      <c r="N368">
        <f>COUNTIF(Taostats_CSV!$X:$X,Taostats_CSV!$I368&amp;N$1)</f>
        <v>0</v>
      </c>
      <c r="O368">
        <f>COUNTIF(Taostats_CSV!$X:$X,Taostats_CSV!$I368&amp;O$1)</f>
        <v>0</v>
      </c>
      <c r="P368">
        <f>COUNTIF(Taostats_CSV!$X:$X,Taostats_CSV!$I368&amp;P$1)</f>
        <v>0</v>
      </c>
      <c r="Q368" t="b">
        <f t="shared" si="46"/>
        <v>0</v>
      </c>
      <c r="R368" t="b">
        <f>IF(LEN(K368)&gt;0,COUNTIF($K$3:K368,K368),FALSE)</f>
        <v>0</v>
      </c>
      <c r="S368" t="b">
        <f>IF(Taostats_CSV!A368=Taostats_CSV!$A$2,TRUE,Taostats_CSV!G368+Taostats_CSV!H368+Taostats_CSV!R368=0)</f>
        <v>1</v>
      </c>
      <c r="T368" t="b">
        <f t="shared" si="47"/>
        <v>0</v>
      </c>
      <c r="U368" t="b" cm="1">
        <f t="array" aca="1" ref="U368" ca="1">AND(T368,OR(O368-N368&gt;1,P368&gt;1,ISERROR(A368:P368)))</f>
        <v>0</v>
      </c>
      <c r="W368" t="e">
        <f>MATCH(K368&amp;$W$2,Taostats_CSV!$X$3:$X$1167,0)</f>
        <v>#N/A</v>
      </c>
      <c r="X368" t="e">
        <f t="shared" ca="1" si="42"/>
        <v>#VALUE!</v>
      </c>
      <c r="Y368">
        <f t="shared" ca="1" si="43"/>
        <v>0</v>
      </c>
      <c r="Z368" t="e">
        <f t="shared" ca="1" si="44"/>
        <v>#VALUE!</v>
      </c>
    </row>
    <row r="369" spans="1:26" x14ac:dyDescent="0.4">
      <c r="A369" t="str">
        <f>MID(Taostats_CSV!C369,6,2)&amp;"/"&amp;MID(Taostats_CSV!C369,9,2)&amp;"/"&amp;LEFT(Taostats_CSV!C369,4)&amp;" "&amp;MID(Taostats_CSV!C369,12,8)</f>
        <v>05/25/2025 23:59:48</v>
      </c>
      <c r="C369" t="str">
        <f ca="1">IF(Q369,OFFSET(Taostats_CSV!$E$1,MATCH(K369&amp;D$1,Taostats_CSV!$X:$X,0)-1,0),IF(Taostats_CSV!F369="fee",IF(VALUE(Taostats_CSV!G369)&gt;0,Taostats_CSV!E369,""),""))</f>
        <v/>
      </c>
      <c r="D369" t="str">
        <f ca="1">IF(Q369,OFFSET(Taostats_CSV!$G$1,MATCH(K369&amp;D$1,Taostats_CSV!$X:$X,0)-1,0),IF(Taostats_CSV!F369="fee",IF(VALUE(Taostats_CSV!G369)&gt;0,Taostats_CSV!G369,""),""))</f>
        <v/>
      </c>
      <c r="E369" t="str">
        <f ca="1">IF(AND(Q369,P369&gt;0),OFFSET(Taostats_CSV!$E$1,MATCH(K369&amp;F$1,Taostats_CSV!$X:$X,0)-1,0),IF(LEN(F369)&gt;0,Taostats_CSV!E369,""))</f>
        <v>SN3</v>
      </c>
      <c r="F369" t="str">
        <f ca="1">TRIM(IF(AND(Q369,P369&gt;0),OFFSET(Taostats_CSV!$H$1,MATCH(K369&amp;F$1,Taostats_CSV!$X:$X,0)-1,0),IF(LEN(Taostats_CSV!H369)&gt;0,Taostats_CSV!H369,Taostats_CSV!R369)))</f>
        <v>0.436716479</v>
      </c>
      <c r="G369" t="str">
        <f ca="1">IF(AND(Q369,N369=1),OFFSET(Taostats_CSV!$E$1,MATCH(K369&amp;H$1,Taostats_CSV!$X:$X,0)-1,0),"")</f>
        <v/>
      </c>
      <c r="H369" t="str">
        <f ca="1">IF(AND(Q369,N369=1),OFFSET(Taostats_CSV!$G$1,MATCH(K369&amp;H$1,Taostats_CSV!$X:$X,0)-1,0),"")</f>
        <v/>
      </c>
      <c r="I369" t="str">
        <f ca="1">IF(AND(LEN(K369)=0,LEN(F369)&gt;0),"Income",IF(AND(O369&gt;0,P369&gt;0,C369&lt;&gt;E369),"Trade",IF(AND(NOT(Q369),Taostats_CSV!F369="fee"),'READ ME'!$C$5,"")))</f>
        <v>Income</v>
      </c>
      <c r="J369" t="str">
        <f ca="1">SUBSTITUTE(IF(LEN(I369)=0,Taostats_CSV!F369&amp;" "&amp;Taostats_CSV!J369,IF(I369="Cost","Extrinsic fee","")),"_"," ")</f>
        <v/>
      </c>
      <c r="K369" t="str">
        <f>TRIM(IF(LEN(Taostats_CSV!I369)&gt;0,Taostats_CSV!I369,""))</f>
        <v/>
      </c>
      <c r="L369">
        <f ca="1">IF(Taostats_CSV!E369&lt;&gt;"TAO",IF(LEN(F369)&gt;0,F369,IF(LEN(D369)&gt;0,D369,0))*Taostats_CSV!P369,"")</f>
        <v>16.190112160887988</v>
      </c>
      <c r="M369" t="str">
        <f t="shared" ca="1" si="45"/>
        <v>USD</v>
      </c>
      <c r="N369">
        <f>COUNTIF(Taostats_CSV!$X:$X,Taostats_CSV!$I369&amp;N$1)</f>
        <v>0</v>
      </c>
      <c r="O369">
        <f>COUNTIF(Taostats_CSV!$X:$X,Taostats_CSV!$I369&amp;O$1)</f>
        <v>0</v>
      </c>
      <c r="P369">
        <f>COUNTIF(Taostats_CSV!$X:$X,Taostats_CSV!$I369&amp;P$1)</f>
        <v>0</v>
      </c>
      <c r="Q369" t="b">
        <f t="shared" si="46"/>
        <v>0</v>
      </c>
      <c r="R369" t="b">
        <f>IF(LEN(K369)&gt;0,COUNTIF($K$3:K369,K369),FALSE)</f>
        <v>0</v>
      </c>
      <c r="S369" t="b">
        <f>IF(Taostats_CSV!A369=Taostats_CSV!$A$2,TRUE,Taostats_CSV!G369+Taostats_CSV!H369+Taostats_CSV!R369=0)</f>
        <v>0</v>
      </c>
      <c r="T369" t="b">
        <f t="shared" si="47"/>
        <v>1</v>
      </c>
      <c r="U369" t="b" cm="1">
        <f t="array" aca="1" ref="U369" ca="1">AND(T369,OR(O369-N369&gt;1,P369&gt;1,ISERROR(A369:P369)))</f>
        <v>0</v>
      </c>
      <c r="W369" t="e">
        <f>MATCH(K369&amp;$W$2,Taostats_CSV!$X$3:$X$1167,0)</f>
        <v>#N/A</v>
      </c>
      <c r="X369" t="e">
        <f t="shared" ca="1" si="42"/>
        <v>#VALUE!</v>
      </c>
      <c r="Y369">
        <f t="shared" ca="1" si="43"/>
        <v>0.43671647899999999</v>
      </c>
      <c r="Z369" t="e">
        <f t="shared" ca="1" si="44"/>
        <v>#VALUE!</v>
      </c>
    </row>
    <row r="370" spans="1:26" x14ac:dyDescent="0.4">
      <c r="A370" t="str">
        <f>MID(Taostats_CSV!C370,6,2)&amp;"/"&amp;MID(Taostats_CSV!C370,9,2)&amp;"/"&amp;LEFT(Taostats_CSV!C370,4)&amp;" "&amp;MID(Taostats_CSV!C370,12,8)</f>
        <v>05/25/2025 23:59:48</v>
      </c>
      <c r="C370" t="str">
        <f ca="1">IF(Q370,OFFSET(Taostats_CSV!$E$1,MATCH(K370&amp;D$1,Taostats_CSV!$X:$X,0)-1,0),IF(Taostats_CSV!F370="fee",IF(VALUE(Taostats_CSV!G370)&gt;0,Taostats_CSV!E370,""),""))</f>
        <v/>
      </c>
      <c r="D370" t="str">
        <f ca="1">IF(Q370,OFFSET(Taostats_CSV!$G$1,MATCH(K370&amp;D$1,Taostats_CSV!$X:$X,0)-1,0),IF(Taostats_CSV!F370="fee",IF(VALUE(Taostats_CSV!G370)&gt;0,Taostats_CSV!G370,""),""))</f>
        <v/>
      </c>
      <c r="E370" t="str">
        <f ca="1">IF(AND(Q370,P370&gt;0),OFFSET(Taostats_CSV!$E$1,MATCH(K370&amp;F$1,Taostats_CSV!$X:$X,0)-1,0),IF(LEN(F370)&gt;0,Taostats_CSV!E370,""))</f>
        <v>SN4</v>
      </c>
      <c r="F370" t="str">
        <f ca="1">TRIM(IF(AND(Q370,P370&gt;0),OFFSET(Taostats_CSV!$H$1,MATCH(K370&amp;F$1,Taostats_CSV!$X:$X,0)-1,0),IF(LEN(Taostats_CSV!H370)&gt;0,Taostats_CSV!H370,Taostats_CSV!R370)))</f>
        <v>0.411639044</v>
      </c>
      <c r="G370" t="str">
        <f ca="1">IF(AND(Q370,N370=1),OFFSET(Taostats_CSV!$E$1,MATCH(K370&amp;H$1,Taostats_CSV!$X:$X,0)-1,0),"")</f>
        <v/>
      </c>
      <c r="H370" t="str">
        <f ca="1">IF(AND(Q370,N370=1),OFFSET(Taostats_CSV!$G$1,MATCH(K370&amp;H$1,Taostats_CSV!$X:$X,0)-1,0),"")</f>
        <v/>
      </c>
      <c r="I370" t="str">
        <f ca="1">IF(AND(LEN(K370)=0,LEN(F370)&gt;0),"Income",IF(AND(O370&gt;0,P370&gt;0,C370&lt;&gt;E370),"Trade",IF(AND(NOT(Q370),Taostats_CSV!F370="fee"),'READ ME'!$C$5,"")))</f>
        <v>Income</v>
      </c>
      <c r="J370" t="str">
        <f ca="1">SUBSTITUTE(IF(LEN(I370)=0,Taostats_CSV!F370&amp;" "&amp;Taostats_CSV!J370,IF(I370="Cost","Extrinsic fee","")),"_"," ")</f>
        <v/>
      </c>
      <c r="K370" t="str">
        <f>TRIM(IF(LEN(Taostats_CSV!I370)&gt;0,Taostats_CSV!I370,""))</f>
        <v/>
      </c>
      <c r="L370">
        <f ca="1">IF(Taostats_CSV!E370&lt;&gt;"TAO",IF(LEN(F370)&gt;0,F370,IF(LEN(D370)&gt;0,D370,0))*Taostats_CSV!P370,"")</f>
        <v>18.361369330934728</v>
      </c>
      <c r="M370" t="str">
        <f t="shared" ca="1" si="45"/>
        <v>USD</v>
      </c>
      <c r="N370">
        <f>COUNTIF(Taostats_CSV!$X:$X,Taostats_CSV!$I370&amp;N$1)</f>
        <v>0</v>
      </c>
      <c r="O370">
        <f>COUNTIF(Taostats_CSV!$X:$X,Taostats_CSV!$I370&amp;O$1)</f>
        <v>0</v>
      </c>
      <c r="P370">
        <f>COUNTIF(Taostats_CSV!$X:$X,Taostats_CSV!$I370&amp;P$1)</f>
        <v>0</v>
      </c>
      <c r="Q370" t="b">
        <f t="shared" si="46"/>
        <v>0</v>
      </c>
      <c r="R370" t="b">
        <f>IF(LEN(K370)&gt;0,COUNTIF($K$3:K370,K370),FALSE)</f>
        <v>0</v>
      </c>
      <c r="S370" t="b">
        <f>IF(Taostats_CSV!A370=Taostats_CSV!$A$2,TRUE,Taostats_CSV!G370+Taostats_CSV!H370+Taostats_CSV!R370=0)</f>
        <v>0</v>
      </c>
      <c r="T370" t="b">
        <f t="shared" si="47"/>
        <v>1</v>
      </c>
      <c r="U370" t="b" cm="1">
        <f t="array" aca="1" ref="U370" ca="1">AND(T370,OR(O370-N370&gt;1,P370&gt;1,ISERROR(A370:P370)))</f>
        <v>0</v>
      </c>
      <c r="W370" t="e">
        <f>MATCH(K370&amp;$W$2,Taostats_CSV!$X$3:$X$1167,0)</f>
        <v>#N/A</v>
      </c>
      <c r="X370" t="e">
        <f t="shared" ca="1" si="42"/>
        <v>#VALUE!</v>
      </c>
      <c r="Y370">
        <f t="shared" ca="1" si="43"/>
        <v>0.41163904400000001</v>
      </c>
      <c r="Z370" t="e">
        <f t="shared" ca="1" si="44"/>
        <v>#VALUE!</v>
      </c>
    </row>
    <row r="371" spans="1:26" x14ac:dyDescent="0.4">
      <c r="A371" t="str">
        <f>MID(Taostats_CSV!C371,6,2)&amp;"/"&amp;MID(Taostats_CSV!C371,9,2)&amp;"/"&amp;LEFT(Taostats_CSV!C371,4)&amp;" "&amp;MID(Taostats_CSV!C371,12,8)</f>
        <v>05/25/2025 23:59:48</v>
      </c>
      <c r="C371" t="str">
        <f ca="1">IF(Q371,OFFSET(Taostats_CSV!$E$1,MATCH(K371&amp;D$1,Taostats_CSV!$X:$X,0)-1,0),IF(Taostats_CSV!F371="fee",IF(VALUE(Taostats_CSV!G371)&gt;0,Taostats_CSV!E371,""),""))</f>
        <v/>
      </c>
      <c r="D371" t="str">
        <f ca="1">IF(Q371,OFFSET(Taostats_CSV!$G$1,MATCH(K371&amp;D$1,Taostats_CSV!$X:$X,0)-1,0),IF(Taostats_CSV!F371="fee",IF(VALUE(Taostats_CSV!G371)&gt;0,Taostats_CSV!G371,""),""))</f>
        <v/>
      </c>
      <c r="E371" t="str">
        <f ca="1">IF(AND(Q371,P371&gt;0),OFFSET(Taostats_CSV!$E$1,MATCH(K371&amp;F$1,Taostats_CSV!$X:$X,0)-1,0),IF(LEN(F371)&gt;0,Taostats_CSV!E371,""))</f>
        <v>SN56</v>
      </c>
      <c r="F371" t="str">
        <f ca="1">TRIM(IF(AND(Q371,P371&gt;0),OFFSET(Taostats_CSV!$H$1,MATCH(K371&amp;F$1,Taostats_CSV!$X:$X,0)-1,0),IF(LEN(Taostats_CSV!H371)&gt;0,Taostats_CSV!H371,Taostats_CSV!R371)))</f>
        <v>0.239722942</v>
      </c>
      <c r="G371" t="str">
        <f ca="1">IF(AND(Q371,N371=1),OFFSET(Taostats_CSV!$E$1,MATCH(K371&amp;H$1,Taostats_CSV!$X:$X,0)-1,0),"")</f>
        <v/>
      </c>
      <c r="H371" t="str">
        <f ca="1">IF(AND(Q371,N371=1),OFFSET(Taostats_CSV!$G$1,MATCH(K371&amp;H$1,Taostats_CSV!$X:$X,0)-1,0),"")</f>
        <v/>
      </c>
      <c r="I371" t="str">
        <f ca="1">IF(AND(LEN(K371)=0,LEN(F371)&gt;0),"Income",IF(AND(O371&gt;0,P371&gt;0,C371&lt;&gt;E371),"Trade",IF(AND(NOT(Q371),Taostats_CSV!F371="fee"),'READ ME'!$C$5,"")))</f>
        <v>Income</v>
      </c>
      <c r="J371" t="str">
        <f ca="1">SUBSTITUTE(IF(LEN(I371)=0,Taostats_CSV!F371&amp;" "&amp;Taostats_CSV!J371,IF(I371="Cost","Extrinsic fee","")),"_"," ")</f>
        <v/>
      </c>
      <c r="K371" t="str">
        <f>TRIM(IF(LEN(Taostats_CSV!I371)&gt;0,Taostats_CSV!I371,""))</f>
        <v/>
      </c>
      <c r="L371">
        <f ca="1">IF(Taostats_CSV!E371&lt;&gt;"TAO",IF(LEN(F371)&gt;0,F371,IF(LEN(D371)&gt;0,D371,0))*Taostats_CSV!P371,"")</f>
        <v>11.555467551471661</v>
      </c>
      <c r="M371" t="str">
        <f t="shared" ca="1" si="45"/>
        <v>USD</v>
      </c>
      <c r="N371">
        <f>COUNTIF(Taostats_CSV!$X:$X,Taostats_CSV!$I371&amp;N$1)</f>
        <v>0</v>
      </c>
      <c r="O371">
        <f>COUNTIF(Taostats_CSV!$X:$X,Taostats_CSV!$I371&amp;O$1)</f>
        <v>0</v>
      </c>
      <c r="P371">
        <f>COUNTIF(Taostats_CSV!$X:$X,Taostats_CSV!$I371&amp;P$1)</f>
        <v>0</v>
      </c>
      <c r="Q371" t="b">
        <f t="shared" si="46"/>
        <v>0</v>
      </c>
      <c r="R371" t="b">
        <f>IF(LEN(K371)&gt;0,COUNTIF($K$3:K371,K371),FALSE)</f>
        <v>0</v>
      </c>
      <c r="S371" t="b">
        <f>IF(Taostats_CSV!A371=Taostats_CSV!$A$2,TRUE,Taostats_CSV!G371+Taostats_CSV!H371+Taostats_CSV!R371=0)</f>
        <v>0</v>
      </c>
      <c r="T371" t="b">
        <f t="shared" si="47"/>
        <v>1</v>
      </c>
      <c r="U371" t="b" cm="1">
        <f t="array" aca="1" ref="U371" ca="1">AND(T371,OR(O371-N371&gt;1,P371&gt;1,ISERROR(A371:P371)))</f>
        <v>0</v>
      </c>
      <c r="W371" t="e">
        <f>MATCH(K371&amp;$W$2,Taostats_CSV!$X$3:$X$1167,0)</f>
        <v>#N/A</v>
      </c>
      <c r="X371" t="e">
        <f t="shared" ca="1" si="42"/>
        <v>#VALUE!</v>
      </c>
      <c r="Y371">
        <f t="shared" ca="1" si="43"/>
        <v>0.23972294199999999</v>
      </c>
      <c r="Z371" t="e">
        <f t="shared" ca="1" si="44"/>
        <v>#VALUE!</v>
      </c>
    </row>
    <row r="372" spans="1:26" x14ac:dyDescent="0.4">
      <c r="A372" t="str">
        <f>MID(Taostats_CSV!C372,6,2)&amp;"/"&amp;MID(Taostats_CSV!C372,9,2)&amp;"/"&amp;LEFT(Taostats_CSV!C372,4)&amp;" "&amp;MID(Taostats_CSV!C372,12,8)</f>
        <v>05/25/2025 23:59:48</v>
      </c>
      <c r="C372" t="str">
        <f ca="1">IF(Q372,OFFSET(Taostats_CSV!$E$1,MATCH(K372&amp;D$1,Taostats_CSV!$X:$X,0)-1,0),IF(Taostats_CSV!F372="fee",IF(VALUE(Taostats_CSV!G372)&gt;0,Taostats_CSV!E372,""),""))</f>
        <v/>
      </c>
      <c r="D372" t="str">
        <f ca="1">IF(Q372,OFFSET(Taostats_CSV!$G$1,MATCH(K372&amp;D$1,Taostats_CSV!$X:$X,0)-1,0),IF(Taostats_CSV!F372="fee",IF(VALUE(Taostats_CSV!G372)&gt;0,Taostats_CSV!G372,""),""))</f>
        <v/>
      </c>
      <c r="E372" t="str">
        <f ca="1">IF(AND(Q372,P372&gt;0),OFFSET(Taostats_CSV!$E$1,MATCH(K372&amp;F$1,Taostats_CSV!$X:$X,0)-1,0),IF(LEN(F372)&gt;0,Taostats_CSV!E372,""))</f>
        <v>SN64</v>
      </c>
      <c r="F372" t="str">
        <f ca="1">TRIM(IF(AND(Q372,P372&gt;0),OFFSET(Taostats_CSV!$H$1,MATCH(K372&amp;F$1,Taostats_CSV!$X:$X,0)-1,0),IF(LEN(Taostats_CSV!H372)&gt;0,Taostats_CSV!H372,Taostats_CSV!R372)))</f>
        <v>0.144963615</v>
      </c>
      <c r="G372" t="str">
        <f ca="1">IF(AND(Q372,N372=1),OFFSET(Taostats_CSV!$E$1,MATCH(K372&amp;H$1,Taostats_CSV!$X:$X,0)-1,0),"")</f>
        <v/>
      </c>
      <c r="H372" t="str">
        <f ca="1">IF(AND(Q372,N372=1),OFFSET(Taostats_CSV!$G$1,MATCH(K372&amp;H$1,Taostats_CSV!$X:$X,0)-1,0),"")</f>
        <v/>
      </c>
      <c r="I372" t="str">
        <f ca="1">IF(AND(LEN(K372)=0,LEN(F372)&gt;0),"Income",IF(AND(O372&gt;0,P372&gt;0,C372&lt;&gt;E372),"Trade",IF(AND(NOT(Q372),Taostats_CSV!F372="fee"),'READ ME'!$C$5,"")))</f>
        <v>Income</v>
      </c>
      <c r="J372" t="str">
        <f ca="1">SUBSTITUTE(IF(LEN(I372)=0,Taostats_CSV!F372&amp;" "&amp;Taostats_CSV!J372,IF(I372="Cost","Extrinsic fee","")),"_"," ")</f>
        <v/>
      </c>
      <c r="K372" t="str">
        <f>TRIM(IF(LEN(Taostats_CSV!I372)&gt;0,Taostats_CSV!I372,""))</f>
        <v/>
      </c>
      <c r="L372">
        <f ca="1">IF(Taostats_CSV!E372&lt;&gt;"TAO",IF(LEN(F372)&gt;0,F372,IF(LEN(D372)&gt;0,D372,0))*Taostats_CSV!P372,"")</f>
        <v>16.588408702327136</v>
      </c>
      <c r="M372" t="str">
        <f t="shared" ca="1" si="45"/>
        <v>USD</v>
      </c>
      <c r="N372">
        <f>COUNTIF(Taostats_CSV!$X:$X,Taostats_CSV!$I372&amp;N$1)</f>
        <v>0</v>
      </c>
      <c r="O372">
        <f>COUNTIF(Taostats_CSV!$X:$X,Taostats_CSV!$I372&amp;O$1)</f>
        <v>0</v>
      </c>
      <c r="P372">
        <f>COUNTIF(Taostats_CSV!$X:$X,Taostats_CSV!$I372&amp;P$1)</f>
        <v>0</v>
      </c>
      <c r="Q372" t="b">
        <f t="shared" si="46"/>
        <v>0</v>
      </c>
      <c r="R372" t="b">
        <f>IF(LEN(K372)&gt;0,COUNTIF($K$3:K372,K372),FALSE)</f>
        <v>0</v>
      </c>
      <c r="S372" t="b">
        <f>IF(Taostats_CSV!A372=Taostats_CSV!$A$2,TRUE,Taostats_CSV!G372+Taostats_CSV!H372+Taostats_CSV!R372=0)</f>
        <v>0</v>
      </c>
      <c r="T372" t="b">
        <f t="shared" si="47"/>
        <v>1</v>
      </c>
      <c r="U372" t="b" cm="1">
        <f t="array" aca="1" ref="U372" ca="1">AND(T372,OR(O372-N372&gt;1,P372&gt;1,ISERROR(A372:P372)))</f>
        <v>0</v>
      </c>
      <c r="W372" t="e">
        <f>MATCH(K372&amp;$W$2,Taostats_CSV!$X$3:$X$1167,0)</f>
        <v>#N/A</v>
      </c>
      <c r="X372" t="e">
        <f t="shared" ca="1" si="42"/>
        <v>#VALUE!</v>
      </c>
      <c r="Y372">
        <f t="shared" ca="1" si="43"/>
        <v>0.14496361499999999</v>
      </c>
      <c r="Z372" t="e">
        <f t="shared" ca="1" si="44"/>
        <v>#VALUE!</v>
      </c>
    </row>
    <row r="373" spans="1:26" hidden="1" x14ac:dyDescent="0.4">
      <c r="A373" t="str">
        <f>MID(Taostats_CSV!C373,6,2)&amp;"/"&amp;MID(Taostats_CSV!C373,9,2)&amp;"/"&amp;LEFT(Taostats_CSV!C373,4)&amp;" "&amp;MID(Taostats_CSV!C373,12,8)</f>
        <v>05/25/2025 23:59:48</v>
      </c>
      <c r="C373" t="str">
        <f ca="1">IF(Q373,OFFSET(Taostats_CSV!$E$1,MATCH(K373&amp;D$1,Taostats_CSV!$X:$X,0)-1,0),IF(Taostats_CSV!F373="fee","",IF(VALUE(Taostats_CSV!G373)&gt;0,Taostats_CSV!E373,"")))</f>
        <v/>
      </c>
      <c r="D373" t="str">
        <f ca="1">IF(Q373,OFFSET(Taostats_CSV!$G$1,MATCH(K373&amp;D$1,Taostats_CSV!$X:$X,0)-1,0),IF(Taostats_CSV!F373="fee","",IF(VALUE(Taostats_CSV!G373)&gt;0,Taostats_CSV!G373,"")))</f>
        <v/>
      </c>
      <c r="E373" t="str">
        <f ca="1">IF(AND(Q373,P373&gt;0),OFFSET(Taostats_CSV!$E$1,MATCH(K373&amp;F$1,Taostats_CSV!$X:$X,0)-1,0),IF(LEN(F373)&gt;0,Taostats_CSV!E373,""))</f>
        <v>TAO</v>
      </c>
      <c r="F373" t="str">
        <f ca="1">TRIM(IF(AND(Q373,P373&gt;0),OFFSET(Taostats_CSV!$H$1,MATCH(K373&amp;F$1,Taostats_CSV!$X:$X,0)-1,0),IF(LEN(Taostats_CSV!H373)&gt;0,Taostats_CSV!H373,Taostats_CSV!R373)))</f>
        <v>0</v>
      </c>
      <c r="G373" t="str">
        <f ca="1">IF(AND(Q373,N373=1),OFFSET(Taostats_CSV!$E$1,MATCH(K373&amp;H$1,Taostats_CSV!$X:$X,0)-1,0),IF(Taostats_CSV!F373="fee",Taostats_CSV!E373,""))</f>
        <v/>
      </c>
      <c r="H373" t="str">
        <f ca="1">IF(AND(Q373,N373=1),OFFSET(Taostats_CSV!$G$1,MATCH(K373&amp;H$1,Taostats_CSV!$X:$X,0)-1,0),IF(Taostats_CSV!F373="fee",Taostats_CSV!G373,""))</f>
        <v/>
      </c>
      <c r="I373" t="str">
        <f ca="1">IF(AND(LEN(K373)=0,LEN(F373)&gt;0),"Income",IF(AND(O373&gt;0,P373&gt;0,C373&lt;&gt;E373),"Trade",IF(AND(NOT(Q373),Taostats_CSV!F373="fee"),'READ ME'!$C$5,"")))</f>
        <v>Income</v>
      </c>
      <c r="J373" t="str">
        <f ca="1">SUBSTITUTE(IF(LEN(I373)=0,Taostats_CSV!F373&amp;" "&amp;Taostats_CSV!J373,IF(I373="Cost","Extrinsic fee","")),"_"," ")</f>
        <v/>
      </c>
      <c r="K373" t="str">
        <f>TRIM(IF(LEN(Taostats_CSV!I373)&gt;0,Taostats_CSV!I373,""))</f>
        <v/>
      </c>
      <c r="L373" t="str">
        <f>IF(Taostats_CSV!E373&lt;&gt;"TAO",IF(LEN(F373)&gt;0,F373,IF(LEN(D373)&gt;0,D373,0))*Taostats_CSV!P373,"")</f>
        <v/>
      </c>
      <c r="M373" t="str">
        <f t="shared" si="45"/>
        <v/>
      </c>
      <c r="N373">
        <f>COUNTIF(Taostats_CSV!$X:$X,Taostats_CSV!$I373&amp;N$1)</f>
        <v>0</v>
      </c>
      <c r="O373">
        <f>COUNTIF(Taostats_CSV!$X:$X,Taostats_CSV!$I373&amp;O$1)</f>
        <v>0</v>
      </c>
      <c r="P373">
        <f>COUNTIF(Taostats_CSV!$X:$X,Taostats_CSV!$I373&amp;P$1)</f>
        <v>0</v>
      </c>
      <c r="Q373" t="b">
        <f t="shared" si="46"/>
        <v>0</v>
      </c>
      <c r="R373" t="b">
        <f>IF(LEN(K373)&gt;0,COUNTIF($K$3:K373,K373),FALSE)</f>
        <v>0</v>
      </c>
      <c r="S373" t="b">
        <f>IF(Taostats_CSV!A373=Taostats_CSV!$A$2,TRUE,Taostats_CSV!G373+Taostats_CSV!H373+Taostats_CSV!R373=0)</f>
        <v>1</v>
      </c>
      <c r="T373" t="b">
        <f t="shared" si="47"/>
        <v>0</v>
      </c>
      <c r="U373" t="b" cm="1">
        <f t="array" aca="1" ref="U373" ca="1">AND(T373,OR(O373-N373&gt;1,P373&gt;1,ISERROR(A373:P373)))</f>
        <v>0</v>
      </c>
      <c r="W373" t="e">
        <f>MATCH(K373&amp;$W$2,Taostats_CSV!$X$3:$X$1167,0)</f>
        <v>#N/A</v>
      </c>
      <c r="X373" t="e">
        <f t="shared" ca="1" si="42"/>
        <v>#VALUE!</v>
      </c>
      <c r="Y373">
        <f t="shared" ca="1" si="43"/>
        <v>0</v>
      </c>
      <c r="Z373" t="e">
        <f t="shared" ca="1" si="44"/>
        <v>#VALUE!</v>
      </c>
    </row>
    <row r="374" spans="1:26" x14ac:dyDescent="0.4">
      <c r="A374" t="str">
        <f>MID(Taostats_CSV!C374,6,2)&amp;"/"&amp;MID(Taostats_CSV!C374,9,2)&amp;"/"&amp;LEFT(Taostats_CSV!C374,4)&amp;" "&amp;MID(Taostats_CSV!C374,12,8)</f>
        <v>05/26/2025 23:59:48</v>
      </c>
      <c r="C374" t="str">
        <f ca="1">IF(Q374,OFFSET(Taostats_CSV!$E$1,MATCH(K374&amp;D$1,Taostats_CSV!$X:$X,0)-1,0),IF(Taostats_CSV!F374="fee",IF(VALUE(Taostats_CSV!G374)&gt;0,Taostats_CSV!E374,""),""))</f>
        <v/>
      </c>
      <c r="D374" t="str">
        <f ca="1">IF(Q374,OFFSET(Taostats_CSV!$G$1,MATCH(K374&amp;D$1,Taostats_CSV!$X:$X,0)-1,0),IF(Taostats_CSV!F374="fee",IF(VALUE(Taostats_CSV!G374)&gt;0,Taostats_CSV!G374,""),""))</f>
        <v/>
      </c>
      <c r="E374" t="str">
        <f ca="1">IF(AND(Q374,P374&gt;0),OFFSET(Taostats_CSV!$E$1,MATCH(K374&amp;F$1,Taostats_CSV!$X:$X,0)-1,0),IF(LEN(F374)&gt;0,Taostats_CSV!E374,""))</f>
        <v>SN3</v>
      </c>
      <c r="F374" t="str">
        <f ca="1">TRIM(IF(AND(Q374,P374&gt;0),OFFSET(Taostats_CSV!$H$1,MATCH(K374&amp;F$1,Taostats_CSV!$X:$X,0)-1,0),IF(LEN(Taostats_CSV!H374)&gt;0,Taostats_CSV!H374,Taostats_CSV!R374)))</f>
        <v>0.414949101</v>
      </c>
      <c r="G374" t="str">
        <f ca="1">IF(AND(Q374,N374=1),OFFSET(Taostats_CSV!$E$1,MATCH(K374&amp;H$1,Taostats_CSV!$X:$X,0)-1,0),"")</f>
        <v/>
      </c>
      <c r="H374" t="str">
        <f ca="1">IF(AND(Q374,N374=1),OFFSET(Taostats_CSV!$G$1,MATCH(K374&amp;H$1,Taostats_CSV!$X:$X,0)-1,0),"")</f>
        <v/>
      </c>
      <c r="I374" t="str">
        <f ca="1">IF(AND(LEN(K374)=0,LEN(F374)&gt;0),"Income",IF(AND(O374&gt;0,P374&gt;0,C374&lt;&gt;E374),"Trade",IF(AND(NOT(Q374),Taostats_CSV!F374="fee"),'READ ME'!$C$5,"")))</f>
        <v>Income</v>
      </c>
      <c r="J374" t="str">
        <f ca="1">SUBSTITUTE(IF(LEN(I374)=0,Taostats_CSV!F374&amp;" "&amp;Taostats_CSV!J374,IF(I374="Cost","Extrinsic fee","")),"_"," ")</f>
        <v/>
      </c>
      <c r="K374" t="str">
        <f>TRIM(IF(LEN(Taostats_CSV!I374)&gt;0,Taostats_CSV!I374,""))</f>
        <v/>
      </c>
      <c r="L374">
        <f ca="1">IF(Taostats_CSV!E374&lt;&gt;"TAO",IF(LEN(F374)&gt;0,F374,IF(LEN(D374)&gt;0,D374,0))*Taostats_CSV!P374,"")</f>
        <v>21.073772546782156</v>
      </c>
      <c r="M374" t="str">
        <f t="shared" ca="1" si="45"/>
        <v>USD</v>
      </c>
      <c r="N374">
        <f>COUNTIF(Taostats_CSV!$X:$X,Taostats_CSV!$I374&amp;N$1)</f>
        <v>0</v>
      </c>
      <c r="O374">
        <f>COUNTIF(Taostats_CSV!$X:$X,Taostats_CSV!$I374&amp;O$1)</f>
        <v>0</v>
      </c>
      <c r="P374">
        <f>COUNTIF(Taostats_CSV!$X:$X,Taostats_CSV!$I374&amp;P$1)</f>
        <v>0</v>
      </c>
      <c r="Q374" t="b">
        <f t="shared" si="46"/>
        <v>0</v>
      </c>
      <c r="R374" t="b">
        <f>IF(LEN(K374)&gt;0,COUNTIF($K$3:K374,K374),FALSE)</f>
        <v>0</v>
      </c>
      <c r="S374" t="b">
        <f>IF(Taostats_CSV!A374=Taostats_CSV!$A$2,TRUE,Taostats_CSV!G374+Taostats_CSV!H374+Taostats_CSV!R374=0)</f>
        <v>0</v>
      </c>
      <c r="T374" t="b">
        <f t="shared" si="47"/>
        <v>1</v>
      </c>
      <c r="U374" t="b" cm="1">
        <f t="array" aca="1" ref="U374" ca="1">AND(T374,OR(O374-N374&gt;1,P374&gt;1,ISERROR(A374:P374)))</f>
        <v>0</v>
      </c>
      <c r="W374" t="e">
        <f>MATCH(K374&amp;$W$2,Taostats_CSV!$X$3:$X$1167,0)</f>
        <v>#N/A</v>
      </c>
      <c r="X374" t="e">
        <f t="shared" ca="1" si="42"/>
        <v>#VALUE!</v>
      </c>
      <c r="Y374">
        <f t="shared" ca="1" si="43"/>
        <v>0.41494910099999999</v>
      </c>
      <c r="Z374" t="e">
        <f t="shared" ca="1" si="44"/>
        <v>#VALUE!</v>
      </c>
    </row>
    <row r="375" spans="1:26" x14ac:dyDescent="0.4">
      <c r="A375" t="str">
        <f>MID(Taostats_CSV!C375,6,2)&amp;"/"&amp;MID(Taostats_CSV!C375,9,2)&amp;"/"&amp;LEFT(Taostats_CSV!C375,4)&amp;" "&amp;MID(Taostats_CSV!C375,12,8)</f>
        <v>05/26/2025 23:59:48</v>
      </c>
      <c r="C375" t="str">
        <f ca="1">IF(Q375,OFFSET(Taostats_CSV!$E$1,MATCH(K375&amp;D$1,Taostats_CSV!$X:$X,0)-1,0),IF(Taostats_CSV!F375="fee",IF(VALUE(Taostats_CSV!G375)&gt;0,Taostats_CSV!E375,""),""))</f>
        <v/>
      </c>
      <c r="D375" t="str">
        <f ca="1">IF(Q375,OFFSET(Taostats_CSV!$G$1,MATCH(K375&amp;D$1,Taostats_CSV!$X:$X,0)-1,0),IF(Taostats_CSV!F375="fee",IF(VALUE(Taostats_CSV!G375)&gt;0,Taostats_CSV!G375,""),""))</f>
        <v/>
      </c>
      <c r="E375" t="str">
        <f ca="1">IF(AND(Q375,P375&gt;0),OFFSET(Taostats_CSV!$E$1,MATCH(K375&amp;F$1,Taostats_CSV!$X:$X,0)-1,0),IF(LEN(F375)&gt;0,Taostats_CSV!E375,""))</f>
        <v>SN4</v>
      </c>
      <c r="F375" t="str">
        <f ca="1">TRIM(IF(AND(Q375,P375&gt;0),OFFSET(Taostats_CSV!$H$1,MATCH(K375&amp;F$1,Taostats_CSV!$X:$X,0)-1,0),IF(LEN(Taostats_CSV!H375)&gt;0,Taostats_CSV!H375,Taostats_CSV!R375)))</f>
        <v>0.411821232</v>
      </c>
      <c r="G375" t="str">
        <f ca="1">IF(AND(Q375,N375=1),OFFSET(Taostats_CSV!$E$1,MATCH(K375&amp;H$1,Taostats_CSV!$X:$X,0)-1,0),"")</f>
        <v/>
      </c>
      <c r="H375" t="str">
        <f ca="1">IF(AND(Q375,N375=1),OFFSET(Taostats_CSV!$G$1,MATCH(K375&amp;H$1,Taostats_CSV!$X:$X,0)-1,0),"")</f>
        <v/>
      </c>
      <c r="I375" t="str">
        <f ca="1">IF(AND(LEN(K375)=0,LEN(F375)&gt;0),"Income",IF(AND(O375&gt;0,P375&gt;0,C375&lt;&gt;E375),"Trade",IF(AND(NOT(Q375),Taostats_CSV!F375="fee"),'READ ME'!$C$5,"")))</f>
        <v>Income</v>
      </c>
      <c r="J375" t="str">
        <f ca="1">SUBSTITUTE(IF(LEN(I375)=0,Taostats_CSV!F375&amp;" "&amp;Taostats_CSV!J375,IF(I375="Cost","Extrinsic fee","")),"_"," ")</f>
        <v/>
      </c>
      <c r="K375" t="str">
        <f>TRIM(IF(LEN(Taostats_CSV!I375)&gt;0,Taostats_CSV!I375,""))</f>
        <v/>
      </c>
      <c r="L375">
        <f ca="1">IF(Taostats_CSV!E375&lt;&gt;"TAO",IF(LEN(F375)&gt;0,F375,IF(LEN(D375)&gt;0,D375,0))*Taostats_CSV!P375,"")</f>
        <v>18.333942242502879</v>
      </c>
      <c r="M375" t="str">
        <f t="shared" ca="1" si="45"/>
        <v>USD</v>
      </c>
      <c r="N375">
        <f>COUNTIF(Taostats_CSV!$X:$X,Taostats_CSV!$I375&amp;N$1)</f>
        <v>0</v>
      </c>
      <c r="O375">
        <f>COUNTIF(Taostats_CSV!$X:$X,Taostats_CSV!$I375&amp;O$1)</f>
        <v>0</v>
      </c>
      <c r="P375">
        <f>COUNTIF(Taostats_CSV!$X:$X,Taostats_CSV!$I375&amp;P$1)</f>
        <v>0</v>
      </c>
      <c r="Q375" t="b">
        <f t="shared" si="46"/>
        <v>0</v>
      </c>
      <c r="R375" t="b">
        <f>IF(LEN(K375)&gt;0,COUNTIF($K$3:K375,K375),FALSE)</f>
        <v>0</v>
      </c>
      <c r="S375" t="b">
        <f>IF(Taostats_CSV!A375=Taostats_CSV!$A$2,TRUE,Taostats_CSV!G375+Taostats_CSV!H375+Taostats_CSV!R375=0)</f>
        <v>0</v>
      </c>
      <c r="T375" t="b">
        <f t="shared" si="47"/>
        <v>1</v>
      </c>
      <c r="U375" t="b" cm="1">
        <f t="array" aca="1" ref="U375" ca="1">AND(T375,OR(O375-N375&gt;1,P375&gt;1,ISERROR(A375:P375)))</f>
        <v>0</v>
      </c>
      <c r="W375" t="e">
        <f>MATCH(K375&amp;$W$2,Taostats_CSV!$X$3:$X$1167,0)</f>
        <v>#N/A</v>
      </c>
      <c r="X375" t="e">
        <f t="shared" ca="1" si="42"/>
        <v>#VALUE!</v>
      </c>
      <c r="Y375">
        <f t="shared" ca="1" si="43"/>
        <v>0.41182123199999998</v>
      </c>
      <c r="Z375" t="e">
        <f t="shared" ca="1" si="44"/>
        <v>#VALUE!</v>
      </c>
    </row>
    <row r="376" spans="1:26" x14ac:dyDescent="0.4">
      <c r="A376" t="str">
        <f>MID(Taostats_CSV!C376,6,2)&amp;"/"&amp;MID(Taostats_CSV!C376,9,2)&amp;"/"&amp;LEFT(Taostats_CSV!C376,4)&amp;" "&amp;MID(Taostats_CSV!C376,12,8)</f>
        <v>05/26/2025 23:59:48</v>
      </c>
      <c r="C376" t="str">
        <f ca="1">IF(Q376,OFFSET(Taostats_CSV!$E$1,MATCH(K376&amp;D$1,Taostats_CSV!$X:$X,0)-1,0),IF(Taostats_CSV!F376="fee",IF(VALUE(Taostats_CSV!G376)&gt;0,Taostats_CSV!E376,""),""))</f>
        <v/>
      </c>
      <c r="D376" t="str">
        <f ca="1">IF(Q376,OFFSET(Taostats_CSV!$G$1,MATCH(K376&amp;D$1,Taostats_CSV!$X:$X,0)-1,0),IF(Taostats_CSV!F376="fee",IF(VALUE(Taostats_CSV!G376)&gt;0,Taostats_CSV!G376,""),""))</f>
        <v/>
      </c>
      <c r="E376" t="str">
        <f ca="1">IF(AND(Q376,P376&gt;0),OFFSET(Taostats_CSV!$E$1,MATCH(K376&amp;F$1,Taostats_CSV!$X:$X,0)-1,0),IF(LEN(F376)&gt;0,Taostats_CSV!E376,""))</f>
        <v>SN56</v>
      </c>
      <c r="F376" t="str">
        <f ca="1">TRIM(IF(AND(Q376,P376&gt;0),OFFSET(Taostats_CSV!$H$1,MATCH(K376&amp;F$1,Taostats_CSV!$X:$X,0)-1,0),IF(LEN(Taostats_CSV!H376)&gt;0,Taostats_CSV!H376,Taostats_CSV!R376)))</f>
        <v>0.234222395</v>
      </c>
      <c r="G376" t="str">
        <f ca="1">IF(AND(Q376,N376=1),OFFSET(Taostats_CSV!$E$1,MATCH(K376&amp;H$1,Taostats_CSV!$X:$X,0)-1,0),"")</f>
        <v/>
      </c>
      <c r="H376" t="str">
        <f ca="1">IF(AND(Q376,N376=1),OFFSET(Taostats_CSV!$G$1,MATCH(K376&amp;H$1,Taostats_CSV!$X:$X,0)-1,0),"")</f>
        <v/>
      </c>
      <c r="I376" t="str">
        <f ca="1">IF(AND(LEN(K376)=0,LEN(F376)&gt;0),"Income",IF(AND(O376&gt;0,P376&gt;0,C376&lt;&gt;E376),"Trade",IF(AND(NOT(Q376),Taostats_CSV!F376="fee"),'READ ME'!$C$5,"")))</f>
        <v>Income</v>
      </c>
      <c r="J376" t="str">
        <f ca="1">SUBSTITUTE(IF(LEN(I376)=0,Taostats_CSV!F376&amp;" "&amp;Taostats_CSV!J376,IF(I376="Cost","Extrinsic fee","")),"_"," ")</f>
        <v/>
      </c>
      <c r="K376" t="str">
        <f>TRIM(IF(LEN(Taostats_CSV!I376)&gt;0,Taostats_CSV!I376,""))</f>
        <v/>
      </c>
      <c r="L376">
        <f ca="1">IF(Taostats_CSV!E376&lt;&gt;"TAO",IF(LEN(F376)&gt;0,F376,IF(LEN(D376)&gt;0,D376,0))*Taostats_CSV!P376,"")</f>
        <v>12.890717474935199</v>
      </c>
      <c r="M376" t="str">
        <f t="shared" ca="1" si="45"/>
        <v>USD</v>
      </c>
      <c r="N376">
        <f>COUNTIF(Taostats_CSV!$X:$X,Taostats_CSV!$I376&amp;N$1)</f>
        <v>0</v>
      </c>
      <c r="O376">
        <f>COUNTIF(Taostats_CSV!$X:$X,Taostats_CSV!$I376&amp;O$1)</f>
        <v>0</v>
      </c>
      <c r="P376">
        <f>COUNTIF(Taostats_CSV!$X:$X,Taostats_CSV!$I376&amp;P$1)</f>
        <v>0</v>
      </c>
      <c r="Q376" t="b">
        <f t="shared" si="46"/>
        <v>0</v>
      </c>
      <c r="R376" t="b">
        <f>IF(LEN(K376)&gt;0,COUNTIF($K$3:K376,K376),FALSE)</f>
        <v>0</v>
      </c>
      <c r="S376" t="b">
        <f>IF(Taostats_CSV!A376=Taostats_CSV!$A$2,TRUE,Taostats_CSV!G376+Taostats_CSV!H376+Taostats_CSV!R376=0)</f>
        <v>0</v>
      </c>
      <c r="T376" t="b">
        <f t="shared" si="47"/>
        <v>1</v>
      </c>
      <c r="U376" t="b" cm="1">
        <f t="array" aca="1" ref="U376" ca="1">AND(T376,OR(O376-N376&gt;1,P376&gt;1,ISERROR(A376:P376)))</f>
        <v>0</v>
      </c>
      <c r="W376" t="e">
        <f>MATCH(K376&amp;$W$2,Taostats_CSV!$X$3:$X$1167,0)</f>
        <v>#N/A</v>
      </c>
      <c r="X376" t="e">
        <f t="shared" ca="1" si="42"/>
        <v>#VALUE!</v>
      </c>
      <c r="Y376">
        <f t="shared" ca="1" si="43"/>
        <v>0.234222395</v>
      </c>
      <c r="Z376" t="e">
        <f t="shared" ca="1" si="44"/>
        <v>#VALUE!</v>
      </c>
    </row>
    <row r="377" spans="1:26" x14ac:dyDescent="0.4">
      <c r="A377" t="str">
        <f>MID(Taostats_CSV!C377,6,2)&amp;"/"&amp;MID(Taostats_CSV!C377,9,2)&amp;"/"&amp;LEFT(Taostats_CSV!C377,4)&amp;" "&amp;MID(Taostats_CSV!C377,12,8)</f>
        <v>05/26/2025 23:59:48</v>
      </c>
      <c r="C377" t="str">
        <f ca="1">IF(Q377,OFFSET(Taostats_CSV!$E$1,MATCH(K377&amp;D$1,Taostats_CSV!$X:$X,0)-1,0),IF(Taostats_CSV!F377="fee",IF(VALUE(Taostats_CSV!G377)&gt;0,Taostats_CSV!E377,""),""))</f>
        <v/>
      </c>
      <c r="D377" t="str">
        <f ca="1">IF(Q377,OFFSET(Taostats_CSV!$G$1,MATCH(K377&amp;D$1,Taostats_CSV!$X:$X,0)-1,0),IF(Taostats_CSV!F377="fee",IF(VALUE(Taostats_CSV!G377)&gt;0,Taostats_CSV!G377,""),""))</f>
        <v/>
      </c>
      <c r="E377" t="str">
        <f ca="1">IF(AND(Q377,P377&gt;0),OFFSET(Taostats_CSV!$E$1,MATCH(K377&amp;F$1,Taostats_CSV!$X:$X,0)-1,0),IF(LEN(F377)&gt;0,Taostats_CSV!E377,""))</f>
        <v>SN64</v>
      </c>
      <c r="F377" t="str">
        <f ca="1">TRIM(IF(AND(Q377,P377&gt;0),OFFSET(Taostats_CSV!$H$1,MATCH(K377&amp;F$1,Taostats_CSV!$X:$X,0)-1,0),IF(LEN(Taostats_CSV!H377)&gt;0,Taostats_CSV!H377,Taostats_CSV!R377)))</f>
        <v>0.141690523</v>
      </c>
      <c r="G377" t="str">
        <f ca="1">IF(AND(Q377,N377=1),OFFSET(Taostats_CSV!$E$1,MATCH(K377&amp;H$1,Taostats_CSV!$X:$X,0)-1,0),"")</f>
        <v/>
      </c>
      <c r="H377" t="str">
        <f ca="1">IF(AND(Q377,N377=1),OFFSET(Taostats_CSV!$G$1,MATCH(K377&amp;H$1,Taostats_CSV!$X:$X,0)-1,0),"")</f>
        <v/>
      </c>
      <c r="I377" t="str">
        <f ca="1">IF(AND(LEN(K377)=0,LEN(F377)&gt;0),"Income",IF(AND(O377&gt;0,P377&gt;0,C377&lt;&gt;E377),"Trade",IF(AND(NOT(Q377),Taostats_CSV!F377="fee"),'READ ME'!$C$5,"")))</f>
        <v>Income</v>
      </c>
      <c r="J377" t="str">
        <f ca="1">SUBSTITUTE(IF(LEN(I377)=0,Taostats_CSV!F377&amp;" "&amp;Taostats_CSV!J377,IF(I377="Cost","Extrinsic fee","")),"_"," ")</f>
        <v/>
      </c>
      <c r="K377" t="str">
        <f>TRIM(IF(LEN(Taostats_CSV!I377)&gt;0,Taostats_CSV!I377,""))</f>
        <v/>
      </c>
      <c r="L377">
        <f ca="1">IF(Taostats_CSV!E377&lt;&gt;"TAO",IF(LEN(F377)&gt;0,F377,IF(LEN(D377)&gt;0,D377,0))*Taostats_CSV!P377,"")</f>
        <v>15.857464317743412</v>
      </c>
      <c r="M377" t="str">
        <f t="shared" ca="1" si="45"/>
        <v>USD</v>
      </c>
      <c r="N377">
        <f>COUNTIF(Taostats_CSV!$X:$X,Taostats_CSV!$I377&amp;N$1)</f>
        <v>0</v>
      </c>
      <c r="O377">
        <f>COUNTIF(Taostats_CSV!$X:$X,Taostats_CSV!$I377&amp;O$1)</f>
        <v>0</v>
      </c>
      <c r="P377">
        <f>COUNTIF(Taostats_CSV!$X:$X,Taostats_CSV!$I377&amp;P$1)</f>
        <v>0</v>
      </c>
      <c r="Q377" t="b">
        <f t="shared" si="46"/>
        <v>0</v>
      </c>
      <c r="R377" t="b">
        <f>IF(LEN(K377)&gt;0,COUNTIF($K$3:K377,K377),FALSE)</f>
        <v>0</v>
      </c>
      <c r="S377" t="b">
        <f>IF(Taostats_CSV!A377=Taostats_CSV!$A$2,TRUE,Taostats_CSV!G377+Taostats_CSV!H377+Taostats_CSV!R377=0)</f>
        <v>0</v>
      </c>
      <c r="T377" t="b">
        <f t="shared" si="47"/>
        <v>1</v>
      </c>
      <c r="U377" t="b" cm="1">
        <f t="array" aca="1" ref="U377" ca="1">AND(T377,OR(O377-N377&gt;1,P377&gt;1,ISERROR(A377:P377)))</f>
        <v>0</v>
      </c>
      <c r="W377" t="e">
        <f>MATCH(K377&amp;$W$2,Taostats_CSV!$X$3:$X$1167,0)</f>
        <v>#N/A</v>
      </c>
      <c r="X377" t="e">
        <f t="shared" ca="1" si="42"/>
        <v>#VALUE!</v>
      </c>
      <c r="Y377">
        <f t="shared" ca="1" si="43"/>
        <v>0.14169052300000001</v>
      </c>
      <c r="Z377" t="e">
        <f t="shared" ca="1" si="44"/>
        <v>#VALUE!</v>
      </c>
    </row>
    <row r="378" spans="1:26" hidden="1" x14ac:dyDescent="0.4">
      <c r="A378" t="str">
        <f>MID(Taostats_CSV!C378,6,2)&amp;"/"&amp;MID(Taostats_CSV!C378,9,2)&amp;"/"&amp;LEFT(Taostats_CSV!C378,4)&amp;" "&amp;MID(Taostats_CSV!C378,12,8)</f>
        <v>05/26/2025 23:59:48</v>
      </c>
      <c r="C378" t="str">
        <f ca="1">IF(Q378,OFFSET(Taostats_CSV!$E$1,MATCH(K378&amp;D$1,Taostats_CSV!$X:$X,0)-1,0),IF(Taostats_CSV!F378="fee","",IF(VALUE(Taostats_CSV!G378)&gt;0,Taostats_CSV!E378,"")))</f>
        <v/>
      </c>
      <c r="D378" t="str">
        <f ca="1">IF(Q378,OFFSET(Taostats_CSV!$G$1,MATCH(K378&amp;D$1,Taostats_CSV!$X:$X,0)-1,0),IF(Taostats_CSV!F378="fee","",IF(VALUE(Taostats_CSV!G378)&gt;0,Taostats_CSV!G378,"")))</f>
        <v/>
      </c>
      <c r="E378" t="str">
        <f ca="1">IF(AND(Q378,P378&gt;0),OFFSET(Taostats_CSV!$E$1,MATCH(K378&amp;F$1,Taostats_CSV!$X:$X,0)-1,0),IF(LEN(F378)&gt;0,Taostats_CSV!E378,""))</f>
        <v>TAO</v>
      </c>
      <c r="F378" t="str">
        <f ca="1">TRIM(IF(AND(Q378,P378&gt;0),OFFSET(Taostats_CSV!$H$1,MATCH(K378&amp;F$1,Taostats_CSV!$X:$X,0)-1,0),IF(LEN(Taostats_CSV!H378)&gt;0,Taostats_CSV!H378,Taostats_CSV!R378)))</f>
        <v>0</v>
      </c>
      <c r="G378" t="str">
        <f ca="1">IF(AND(Q378,N378=1),OFFSET(Taostats_CSV!$E$1,MATCH(K378&amp;H$1,Taostats_CSV!$X:$X,0)-1,0),IF(Taostats_CSV!F378="fee",Taostats_CSV!E378,""))</f>
        <v/>
      </c>
      <c r="H378" t="str">
        <f ca="1">IF(AND(Q378,N378=1),OFFSET(Taostats_CSV!$G$1,MATCH(K378&amp;H$1,Taostats_CSV!$X:$X,0)-1,0),IF(Taostats_CSV!F378="fee",Taostats_CSV!G378,""))</f>
        <v/>
      </c>
      <c r="I378" t="str">
        <f ca="1">IF(AND(LEN(K378)=0,LEN(F378)&gt;0),"Income",IF(AND(O378&gt;0,P378&gt;0,C378&lt;&gt;E378),"Trade",IF(AND(NOT(Q378),Taostats_CSV!F378="fee"),'READ ME'!$C$5,"")))</f>
        <v>Income</v>
      </c>
      <c r="J378" t="str">
        <f ca="1">SUBSTITUTE(IF(LEN(I378)=0,Taostats_CSV!F378&amp;" "&amp;Taostats_CSV!J378,IF(I378="Cost","Extrinsic fee","")),"_"," ")</f>
        <v/>
      </c>
      <c r="K378" t="str">
        <f>TRIM(IF(LEN(Taostats_CSV!I378)&gt;0,Taostats_CSV!I378,""))</f>
        <v/>
      </c>
      <c r="L378" t="str">
        <f>IF(Taostats_CSV!E378&lt;&gt;"TAO",IF(LEN(F378)&gt;0,F378,IF(LEN(D378)&gt;0,D378,0))*Taostats_CSV!P378,"")</f>
        <v/>
      </c>
      <c r="M378" t="str">
        <f t="shared" si="45"/>
        <v/>
      </c>
      <c r="N378">
        <f>COUNTIF(Taostats_CSV!$X:$X,Taostats_CSV!$I378&amp;N$1)</f>
        <v>0</v>
      </c>
      <c r="O378">
        <f>COUNTIF(Taostats_CSV!$X:$X,Taostats_CSV!$I378&amp;O$1)</f>
        <v>0</v>
      </c>
      <c r="P378">
        <f>COUNTIF(Taostats_CSV!$X:$X,Taostats_CSV!$I378&amp;P$1)</f>
        <v>0</v>
      </c>
      <c r="Q378" t="b">
        <f t="shared" si="46"/>
        <v>0</v>
      </c>
      <c r="R378" t="b">
        <f>IF(LEN(K378)&gt;0,COUNTIF($K$3:K378,K378),FALSE)</f>
        <v>0</v>
      </c>
      <c r="S378" t="b">
        <f>IF(Taostats_CSV!A378=Taostats_CSV!$A$2,TRUE,Taostats_CSV!G378+Taostats_CSV!H378+Taostats_CSV!R378=0)</f>
        <v>1</v>
      </c>
      <c r="T378" t="b">
        <f t="shared" si="47"/>
        <v>0</v>
      </c>
      <c r="U378" t="b" cm="1">
        <f t="array" aca="1" ref="U378" ca="1">AND(T378,OR(O378-N378&gt;1,P378&gt;1,ISERROR(A378:P378)))</f>
        <v>0</v>
      </c>
      <c r="W378" t="e">
        <f>MATCH(K378&amp;$W$2,Taostats_CSV!$X$3:$X$1167,0)</f>
        <v>#N/A</v>
      </c>
      <c r="X378" t="e">
        <f t="shared" ca="1" si="42"/>
        <v>#VALUE!</v>
      </c>
      <c r="Y378">
        <f t="shared" ca="1" si="43"/>
        <v>0</v>
      </c>
      <c r="Z378" t="e">
        <f t="shared" ca="1" si="44"/>
        <v>#VALUE!</v>
      </c>
    </row>
    <row r="379" spans="1:26" x14ac:dyDescent="0.4">
      <c r="A379" t="str">
        <f>MID(Taostats_CSV!C379,6,2)&amp;"/"&amp;MID(Taostats_CSV!C379,9,2)&amp;"/"&amp;LEFT(Taostats_CSV!C379,4)&amp;" "&amp;MID(Taostats_CSV!C379,12,8)</f>
        <v>05/27/2025 23:59:48</v>
      </c>
      <c r="C379" t="str">
        <f ca="1">IF(Q379,OFFSET(Taostats_CSV!$E$1,MATCH(K379&amp;D$1,Taostats_CSV!$X:$X,0)-1,0),IF(Taostats_CSV!F379="fee",IF(VALUE(Taostats_CSV!G379)&gt;0,Taostats_CSV!E379,""),""))</f>
        <v/>
      </c>
      <c r="D379" t="str">
        <f ca="1">IF(Q379,OFFSET(Taostats_CSV!$G$1,MATCH(K379&amp;D$1,Taostats_CSV!$X:$X,0)-1,0),IF(Taostats_CSV!F379="fee",IF(VALUE(Taostats_CSV!G379)&gt;0,Taostats_CSV!G379,""),""))</f>
        <v/>
      </c>
      <c r="E379" t="str">
        <f ca="1">IF(AND(Q379,P379&gt;0),OFFSET(Taostats_CSV!$E$1,MATCH(K379&amp;F$1,Taostats_CSV!$X:$X,0)-1,0),IF(LEN(F379)&gt;0,Taostats_CSV!E379,""))</f>
        <v>SN3</v>
      </c>
      <c r="F379" t="str">
        <f ca="1">TRIM(IF(AND(Q379,P379&gt;0),OFFSET(Taostats_CSV!$H$1,MATCH(K379&amp;F$1,Taostats_CSV!$X:$X,0)-1,0),IF(LEN(Taostats_CSV!H379)&gt;0,Taostats_CSV!H379,Taostats_CSV!R379)))</f>
        <v>0.400395547</v>
      </c>
      <c r="G379" t="str">
        <f ca="1">IF(AND(Q379,N379=1),OFFSET(Taostats_CSV!$E$1,MATCH(K379&amp;H$1,Taostats_CSV!$X:$X,0)-1,0),"")</f>
        <v/>
      </c>
      <c r="H379" t="str">
        <f ca="1">IF(AND(Q379,N379=1),OFFSET(Taostats_CSV!$G$1,MATCH(K379&amp;H$1,Taostats_CSV!$X:$X,0)-1,0),"")</f>
        <v/>
      </c>
      <c r="I379" t="str">
        <f ca="1">IF(AND(LEN(K379)=0,LEN(F379)&gt;0),"Income",IF(AND(O379&gt;0,P379&gt;0,C379&lt;&gt;E379),"Trade",IF(AND(NOT(Q379),Taostats_CSV!F379="fee"),'READ ME'!$C$5,"")))</f>
        <v>Income</v>
      </c>
      <c r="J379" t="str">
        <f ca="1">SUBSTITUTE(IF(LEN(I379)=0,Taostats_CSV!F379&amp;" "&amp;Taostats_CSV!J379,IF(I379="Cost","Extrinsic fee","")),"_"," ")</f>
        <v/>
      </c>
      <c r="K379" t="str">
        <f>TRIM(IF(LEN(Taostats_CSV!I379)&gt;0,Taostats_CSV!I379,""))</f>
        <v/>
      </c>
      <c r="L379">
        <f ca="1">IF(Taostats_CSV!E379&lt;&gt;"TAO",IF(LEN(F379)&gt;0,F379,IF(LEN(D379)&gt;0,D379,0))*Taostats_CSV!P379,"")</f>
        <v>21.336013739766354</v>
      </c>
      <c r="M379" t="str">
        <f t="shared" ca="1" si="45"/>
        <v>USD</v>
      </c>
      <c r="N379">
        <f>COUNTIF(Taostats_CSV!$X:$X,Taostats_CSV!$I379&amp;N$1)</f>
        <v>0</v>
      </c>
      <c r="O379">
        <f>COUNTIF(Taostats_CSV!$X:$X,Taostats_CSV!$I379&amp;O$1)</f>
        <v>0</v>
      </c>
      <c r="P379">
        <f>COUNTIF(Taostats_CSV!$X:$X,Taostats_CSV!$I379&amp;P$1)</f>
        <v>0</v>
      </c>
      <c r="Q379" t="b">
        <f t="shared" si="46"/>
        <v>0</v>
      </c>
      <c r="R379" t="b">
        <f>IF(LEN(K379)&gt;0,COUNTIF($K$3:K379,K379),FALSE)</f>
        <v>0</v>
      </c>
      <c r="S379" t="b">
        <f>IF(Taostats_CSV!A379=Taostats_CSV!$A$2,TRUE,Taostats_CSV!G379+Taostats_CSV!H379+Taostats_CSV!R379=0)</f>
        <v>0</v>
      </c>
      <c r="T379" t="b">
        <f t="shared" si="47"/>
        <v>1</v>
      </c>
      <c r="U379" t="b" cm="1">
        <f t="array" aca="1" ref="U379" ca="1">AND(T379,OR(O379-N379&gt;1,P379&gt;1,ISERROR(A379:P379)))</f>
        <v>0</v>
      </c>
      <c r="W379" t="e">
        <f>MATCH(K379&amp;$W$2,Taostats_CSV!$X$3:$X$1167,0)</f>
        <v>#N/A</v>
      </c>
      <c r="X379" t="e">
        <f t="shared" ca="1" si="42"/>
        <v>#VALUE!</v>
      </c>
      <c r="Y379">
        <f t="shared" ca="1" si="43"/>
        <v>0.40039554700000002</v>
      </c>
      <c r="Z379" t="e">
        <f t="shared" ca="1" si="44"/>
        <v>#VALUE!</v>
      </c>
    </row>
    <row r="380" spans="1:26" x14ac:dyDescent="0.4">
      <c r="A380" t="str">
        <f>MID(Taostats_CSV!C380,6,2)&amp;"/"&amp;MID(Taostats_CSV!C380,9,2)&amp;"/"&amp;LEFT(Taostats_CSV!C380,4)&amp;" "&amp;MID(Taostats_CSV!C380,12,8)</f>
        <v>05/27/2025 23:59:48</v>
      </c>
      <c r="C380" t="str">
        <f ca="1">IF(Q380,OFFSET(Taostats_CSV!$E$1,MATCH(K380&amp;D$1,Taostats_CSV!$X:$X,0)-1,0),IF(Taostats_CSV!F380="fee",IF(VALUE(Taostats_CSV!G380)&gt;0,Taostats_CSV!E380,""),""))</f>
        <v/>
      </c>
      <c r="D380" t="str">
        <f ca="1">IF(Q380,OFFSET(Taostats_CSV!$G$1,MATCH(K380&amp;D$1,Taostats_CSV!$X:$X,0)-1,0),IF(Taostats_CSV!F380="fee",IF(VALUE(Taostats_CSV!G380)&gt;0,Taostats_CSV!G380,""),""))</f>
        <v/>
      </c>
      <c r="E380" t="str">
        <f ca="1">IF(AND(Q380,P380&gt;0),OFFSET(Taostats_CSV!$E$1,MATCH(K380&amp;F$1,Taostats_CSV!$X:$X,0)-1,0),IF(LEN(F380)&gt;0,Taostats_CSV!E380,""))</f>
        <v>SN4</v>
      </c>
      <c r="F380" t="str">
        <f ca="1">TRIM(IF(AND(Q380,P380&gt;0),OFFSET(Taostats_CSV!$H$1,MATCH(K380&amp;F$1,Taostats_CSV!$X:$X,0)-1,0),IF(LEN(Taostats_CSV!H380)&gt;0,Taostats_CSV!H380,Taostats_CSV!R380)))</f>
        <v>0.413546847</v>
      </c>
      <c r="G380" t="str">
        <f ca="1">IF(AND(Q380,N380=1),OFFSET(Taostats_CSV!$E$1,MATCH(K380&amp;H$1,Taostats_CSV!$X:$X,0)-1,0),"")</f>
        <v/>
      </c>
      <c r="H380" t="str">
        <f ca="1">IF(AND(Q380,N380=1),OFFSET(Taostats_CSV!$G$1,MATCH(K380&amp;H$1,Taostats_CSV!$X:$X,0)-1,0),"")</f>
        <v/>
      </c>
      <c r="I380" t="str">
        <f ca="1">IF(AND(LEN(K380)=0,LEN(F380)&gt;0),"Income",IF(AND(O380&gt;0,P380&gt;0,C380&lt;&gt;E380),"Trade",IF(AND(NOT(Q380),Taostats_CSV!F380="fee"),'READ ME'!$C$5,"")))</f>
        <v>Income</v>
      </c>
      <c r="J380" t="str">
        <f ca="1">SUBSTITUTE(IF(LEN(I380)=0,Taostats_CSV!F380&amp;" "&amp;Taostats_CSV!J380,IF(I380="Cost","Extrinsic fee","")),"_"," ")</f>
        <v/>
      </c>
      <c r="K380" t="str">
        <f>TRIM(IF(LEN(Taostats_CSV!I380)&gt;0,Taostats_CSV!I380,""))</f>
        <v/>
      </c>
      <c r="L380">
        <f ca="1">IF(Taostats_CSV!E380&lt;&gt;"TAO",IF(LEN(F380)&gt;0,F380,IF(LEN(D380)&gt;0,D380,0))*Taostats_CSV!P380,"")</f>
        <v>18.865278862248687</v>
      </c>
      <c r="M380" t="str">
        <f t="shared" ca="1" si="45"/>
        <v>USD</v>
      </c>
      <c r="N380">
        <f>COUNTIF(Taostats_CSV!$X:$X,Taostats_CSV!$I380&amp;N$1)</f>
        <v>0</v>
      </c>
      <c r="O380">
        <f>COUNTIF(Taostats_CSV!$X:$X,Taostats_CSV!$I380&amp;O$1)</f>
        <v>0</v>
      </c>
      <c r="P380">
        <f>COUNTIF(Taostats_CSV!$X:$X,Taostats_CSV!$I380&amp;P$1)</f>
        <v>0</v>
      </c>
      <c r="Q380" t="b">
        <f t="shared" si="46"/>
        <v>0</v>
      </c>
      <c r="R380" t="b">
        <f>IF(LEN(K380)&gt;0,COUNTIF($K$3:K380,K380),FALSE)</f>
        <v>0</v>
      </c>
      <c r="S380" t="b">
        <f>IF(Taostats_CSV!A380=Taostats_CSV!$A$2,TRUE,Taostats_CSV!G380+Taostats_CSV!H380+Taostats_CSV!R380=0)</f>
        <v>0</v>
      </c>
      <c r="T380" t="b">
        <f t="shared" si="47"/>
        <v>1</v>
      </c>
      <c r="U380" t="b" cm="1">
        <f t="array" aca="1" ref="U380" ca="1">AND(T380,OR(O380-N380&gt;1,P380&gt;1,ISERROR(A380:P380)))</f>
        <v>0</v>
      </c>
      <c r="W380" t="e">
        <f>MATCH(K380&amp;$W$2,Taostats_CSV!$X$3:$X$1167,0)</f>
        <v>#N/A</v>
      </c>
      <c r="X380" t="e">
        <f t="shared" ca="1" si="42"/>
        <v>#VALUE!</v>
      </c>
      <c r="Y380">
        <f t="shared" ca="1" si="43"/>
        <v>0.413546847</v>
      </c>
      <c r="Z380" t="e">
        <f t="shared" ca="1" si="44"/>
        <v>#VALUE!</v>
      </c>
    </row>
    <row r="381" spans="1:26" x14ac:dyDescent="0.4">
      <c r="A381" t="str">
        <f>MID(Taostats_CSV!C381,6,2)&amp;"/"&amp;MID(Taostats_CSV!C381,9,2)&amp;"/"&amp;LEFT(Taostats_CSV!C381,4)&amp;" "&amp;MID(Taostats_CSV!C381,12,8)</f>
        <v>05/27/2025 23:59:48</v>
      </c>
      <c r="C381" t="str">
        <f ca="1">IF(Q381,OFFSET(Taostats_CSV!$E$1,MATCH(K381&amp;D$1,Taostats_CSV!$X:$X,0)-1,0),IF(Taostats_CSV!F381="fee",IF(VALUE(Taostats_CSV!G381)&gt;0,Taostats_CSV!E381,""),""))</f>
        <v/>
      </c>
      <c r="D381" t="str">
        <f ca="1">IF(Q381,OFFSET(Taostats_CSV!$G$1,MATCH(K381&amp;D$1,Taostats_CSV!$X:$X,0)-1,0),IF(Taostats_CSV!F381="fee",IF(VALUE(Taostats_CSV!G381)&gt;0,Taostats_CSV!G381,""),""))</f>
        <v/>
      </c>
      <c r="E381" t="str">
        <f ca="1">IF(AND(Q381,P381&gt;0),OFFSET(Taostats_CSV!$E$1,MATCH(K381&amp;F$1,Taostats_CSV!$X:$X,0)-1,0),IF(LEN(F381)&gt;0,Taostats_CSV!E381,""))</f>
        <v>SN56</v>
      </c>
      <c r="F381" t="str">
        <f ca="1">TRIM(IF(AND(Q381,P381&gt;0),OFFSET(Taostats_CSV!$H$1,MATCH(K381&amp;F$1,Taostats_CSV!$X:$X,0)-1,0),IF(LEN(Taostats_CSV!H381)&gt;0,Taostats_CSV!H381,Taostats_CSV!R381)))</f>
        <v>0.234282804</v>
      </c>
      <c r="G381" t="str">
        <f ca="1">IF(AND(Q381,N381=1),OFFSET(Taostats_CSV!$E$1,MATCH(K381&amp;H$1,Taostats_CSV!$X:$X,0)-1,0),"")</f>
        <v/>
      </c>
      <c r="H381" t="str">
        <f ca="1">IF(AND(Q381,N381=1),OFFSET(Taostats_CSV!$G$1,MATCH(K381&amp;H$1,Taostats_CSV!$X:$X,0)-1,0),"")</f>
        <v/>
      </c>
      <c r="I381" t="str">
        <f ca="1">IF(AND(LEN(K381)=0,LEN(F381)&gt;0),"Income",IF(AND(O381&gt;0,P381&gt;0,C381&lt;&gt;E381),"Trade",IF(AND(NOT(Q381),Taostats_CSV!F381="fee"),'READ ME'!$C$5,"")))</f>
        <v>Income</v>
      </c>
      <c r="J381" t="str">
        <f ca="1">SUBSTITUTE(IF(LEN(I381)=0,Taostats_CSV!F381&amp;" "&amp;Taostats_CSV!J381,IF(I381="Cost","Extrinsic fee","")),"_"," ")</f>
        <v/>
      </c>
      <c r="K381" t="str">
        <f>TRIM(IF(LEN(Taostats_CSV!I381)&gt;0,Taostats_CSV!I381,""))</f>
        <v/>
      </c>
      <c r="L381">
        <f ca="1">IF(Taostats_CSV!E381&lt;&gt;"TAO",IF(LEN(F381)&gt;0,F381,IF(LEN(D381)&gt;0,D381,0))*Taostats_CSV!P381,"")</f>
        <v>12.057340092850364</v>
      </c>
      <c r="M381" t="str">
        <f t="shared" ca="1" si="45"/>
        <v>USD</v>
      </c>
      <c r="N381">
        <f>COUNTIF(Taostats_CSV!$X:$X,Taostats_CSV!$I381&amp;N$1)</f>
        <v>0</v>
      </c>
      <c r="O381">
        <f>COUNTIF(Taostats_CSV!$X:$X,Taostats_CSV!$I381&amp;O$1)</f>
        <v>0</v>
      </c>
      <c r="P381">
        <f>COUNTIF(Taostats_CSV!$X:$X,Taostats_CSV!$I381&amp;P$1)</f>
        <v>0</v>
      </c>
      <c r="Q381" t="b">
        <f t="shared" si="46"/>
        <v>0</v>
      </c>
      <c r="R381" t="b">
        <f>IF(LEN(K381)&gt;0,COUNTIF($K$3:K381,K381),FALSE)</f>
        <v>0</v>
      </c>
      <c r="S381" t="b">
        <f>IF(Taostats_CSV!A381=Taostats_CSV!$A$2,TRUE,Taostats_CSV!G381+Taostats_CSV!H381+Taostats_CSV!R381=0)</f>
        <v>0</v>
      </c>
      <c r="T381" t="b">
        <f t="shared" si="47"/>
        <v>1</v>
      </c>
      <c r="U381" t="b" cm="1">
        <f t="array" aca="1" ref="U381" ca="1">AND(T381,OR(O381-N381&gt;1,P381&gt;1,ISERROR(A381:P381)))</f>
        <v>0</v>
      </c>
      <c r="W381" t="e">
        <f>MATCH(K381&amp;$W$2,Taostats_CSV!$X$3:$X$1167,0)</f>
        <v>#N/A</v>
      </c>
      <c r="X381" t="e">
        <f t="shared" ca="1" si="42"/>
        <v>#VALUE!</v>
      </c>
      <c r="Y381">
        <f t="shared" ca="1" si="43"/>
        <v>0.23428280400000001</v>
      </c>
      <c r="Z381" t="e">
        <f t="shared" ca="1" si="44"/>
        <v>#VALUE!</v>
      </c>
    </row>
    <row r="382" spans="1:26" x14ac:dyDescent="0.4">
      <c r="A382" t="str">
        <f>MID(Taostats_CSV!C382,6,2)&amp;"/"&amp;MID(Taostats_CSV!C382,9,2)&amp;"/"&amp;LEFT(Taostats_CSV!C382,4)&amp;" "&amp;MID(Taostats_CSV!C382,12,8)</f>
        <v>05/27/2025 23:59:48</v>
      </c>
      <c r="C382" t="str">
        <f ca="1">IF(Q382,OFFSET(Taostats_CSV!$E$1,MATCH(K382&amp;D$1,Taostats_CSV!$X:$X,0)-1,0),IF(Taostats_CSV!F382="fee",IF(VALUE(Taostats_CSV!G382)&gt;0,Taostats_CSV!E382,""),""))</f>
        <v/>
      </c>
      <c r="D382" t="str">
        <f ca="1">IF(Q382,OFFSET(Taostats_CSV!$G$1,MATCH(K382&amp;D$1,Taostats_CSV!$X:$X,0)-1,0),IF(Taostats_CSV!F382="fee",IF(VALUE(Taostats_CSV!G382)&gt;0,Taostats_CSV!G382,""),""))</f>
        <v/>
      </c>
      <c r="E382" t="str">
        <f ca="1">IF(AND(Q382,P382&gt;0),OFFSET(Taostats_CSV!$E$1,MATCH(K382&amp;F$1,Taostats_CSV!$X:$X,0)-1,0),IF(LEN(F382)&gt;0,Taostats_CSV!E382,""))</f>
        <v>SN64</v>
      </c>
      <c r="F382" t="str">
        <f ca="1">TRIM(IF(AND(Q382,P382&gt;0),OFFSET(Taostats_CSV!$H$1,MATCH(K382&amp;F$1,Taostats_CSV!$X:$X,0)-1,0),IF(LEN(Taostats_CSV!H382)&gt;0,Taostats_CSV!H382,Taostats_CSV!R382)))</f>
        <v>0.142154433</v>
      </c>
      <c r="G382" t="str">
        <f ca="1">IF(AND(Q382,N382=1),OFFSET(Taostats_CSV!$E$1,MATCH(K382&amp;H$1,Taostats_CSV!$X:$X,0)-1,0),"")</f>
        <v/>
      </c>
      <c r="H382" t="str">
        <f ca="1">IF(AND(Q382,N382=1),OFFSET(Taostats_CSV!$G$1,MATCH(K382&amp;H$1,Taostats_CSV!$X:$X,0)-1,0),"")</f>
        <v/>
      </c>
      <c r="I382" t="str">
        <f ca="1">IF(AND(LEN(K382)=0,LEN(F382)&gt;0),"Income",IF(AND(O382&gt;0,P382&gt;0,C382&lt;&gt;E382),"Trade",IF(AND(NOT(Q382),Taostats_CSV!F382="fee"),'READ ME'!$C$5,"")))</f>
        <v>Income</v>
      </c>
      <c r="J382" t="str">
        <f ca="1">SUBSTITUTE(IF(LEN(I382)=0,Taostats_CSV!F382&amp;" "&amp;Taostats_CSV!J382,IF(I382="Cost","Extrinsic fee","")),"_"," ")</f>
        <v/>
      </c>
      <c r="K382" t="str">
        <f>TRIM(IF(LEN(Taostats_CSV!I382)&gt;0,Taostats_CSV!I382,""))</f>
        <v/>
      </c>
      <c r="L382">
        <f ca="1">IF(Taostats_CSV!E382&lt;&gt;"TAO",IF(LEN(F382)&gt;0,F382,IF(LEN(D382)&gt;0,D382,0))*Taostats_CSV!P382,"")</f>
        <v>16.575674562197374</v>
      </c>
      <c r="M382" t="str">
        <f t="shared" ca="1" si="45"/>
        <v>USD</v>
      </c>
      <c r="N382">
        <f>COUNTIF(Taostats_CSV!$X:$X,Taostats_CSV!$I382&amp;N$1)</f>
        <v>0</v>
      </c>
      <c r="O382">
        <f>COUNTIF(Taostats_CSV!$X:$X,Taostats_CSV!$I382&amp;O$1)</f>
        <v>0</v>
      </c>
      <c r="P382">
        <f>COUNTIF(Taostats_CSV!$X:$X,Taostats_CSV!$I382&amp;P$1)</f>
        <v>0</v>
      </c>
      <c r="Q382" t="b">
        <f t="shared" si="46"/>
        <v>0</v>
      </c>
      <c r="R382" t="b">
        <f>IF(LEN(K382)&gt;0,COUNTIF($K$3:K382,K382),FALSE)</f>
        <v>0</v>
      </c>
      <c r="S382" t="b">
        <f>IF(Taostats_CSV!A382=Taostats_CSV!$A$2,TRUE,Taostats_CSV!G382+Taostats_CSV!H382+Taostats_CSV!R382=0)</f>
        <v>0</v>
      </c>
      <c r="T382" t="b">
        <f t="shared" si="47"/>
        <v>1</v>
      </c>
      <c r="U382" t="b" cm="1">
        <f t="array" aca="1" ref="U382" ca="1">AND(T382,OR(O382-N382&gt;1,P382&gt;1,ISERROR(A382:P382)))</f>
        <v>0</v>
      </c>
      <c r="W382" t="e">
        <f>MATCH(K382&amp;$W$2,Taostats_CSV!$X$3:$X$1167,0)</f>
        <v>#N/A</v>
      </c>
      <c r="X382" t="e">
        <f t="shared" ca="1" si="42"/>
        <v>#VALUE!</v>
      </c>
      <c r="Y382">
        <f t="shared" ca="1" si="43"/>
        <v>0.142154433</v>
      </c>
      <c r="Z382" t="e">
        <f t="shared" ca="1" si="44"/>
        <v>#VALUE!</v>
      </c>
    </row>
    <row r="383" spans="1:26" hidden="1" x14ac:dyDescent="0.4">
      <c r="A383" t="str">
        <f>MID(Taostats_CSV!C383,6,2)&amp;"/"&amp;MID(Taostats_CSV!C383,9,2)&amp;"/"&amp;LEFT(Taostats_CSV!C383,4)&amp;" "&amp;MID(Taostats_CSV!C383,12,8)</f>
        <v>05/27/2025 23:59:48</v>
      </c>
      <c r="C383" t="str">
        <f ca="1">IF(Q383,OFFSET(Taostats_CSV!$E$1,MATCH(K383&amp;D$1,Taostats_CSV!$X:$X,0)-1,0),IF(Taostats_CSV!F383="fee","",IF(VALUE(Taostats_CSV!G383)&gt;0,Taostats_CSV!E383,"")))</f>
        <v/>
      </c>
      <c r="D383" t="str">
        <f ca="1">IF(Q383,OFFSET(Taostats_CSV!$G$1,MATCH(K383&amp;D$1,Taostats_CSV!$X:$X,0)-1,0),IF(Taostats_CSV!F383="fee","",IF(VALUE(Taostats_CSV!G383)&gt;0,Taostats_CSV!G383,"")))</f>
        <v/>
      </c>
      <c r="E383" t="str">
        <f ca="1">IF(AND(Q383,P383&gt;0),OFFSET(Taostats_CSV!$E$1,MATCH(K383&amp;F$1,Taostats_CSV!$X:$X,0)-1,0),IF(LEN(F383)&gt;0,Taostats_CSV!E383,""))</f>
        <v>TAO</v>
      </c>
      <c r="F383" t="str">
        <f ca="1">TRIM(IF(AND(Q383,P383&gt;0),OFFSET(Taostats_CSV!$H$1,MATCH(K383&amp;F$1,Taostats_CSV!$X:$X,0)-1,0),IF(LEN(Taostats_CSV!H383)&gt;0,Taostats_CSV!H383,Taostats_CSV!R383)))</f>
        <v>0</v>
      </c>
      <c r="G383" t="str">
        <f ca="1">IF(AND(Q383,N383=1),OFFSET(Taostats_CSV!$E$1,MATCH(K383&amp;H$1,Taostats_CSV!$X:$X,0)-1,0),IF(Taostats_CSV!F383="fee",Taostats_CSV!E383,""))</f>
        <v/>
      </c>
      <c r="H383" t="str">
        <f ca="1">IF(AND(Q383,N383=1),OFFSET(Taostats_CSV!$G$1,MATCH(K383&amp;H$1,Taostats_CSV!$X:$X,0)-1,0),IF(Taostats_CSV!F383="fee",Taostats_CSV!G383,""))</f>
        <v/>
      </c>
      <c r="I383" t="str">
        <f ca="1">IF(AND(LEN(K383)=0,LEN(F383)&gt;0),"Income",IF(AND(O383&gt;0,P383&gt;0,C383&lt;&gt;E383),"Trade",IF(AND(NOT(Q383),Taostats_CSV!F383="fee"),'READ ME'!$C$5,"")))</f>
        <v>Income</v>
      </c>
      <c r="J383" t="str">
        <f ca="1">SUBSTITUTE(IF(LEN(I383)=0,Taostats_CSV!F383&amp;" "&amp;Taostats_CSV!J383,IF(I383="Cost","Extrinsic fee","")),"_"," ")</f>
        <v/>
      </c>
      <c r="K383" t="str">
        <f>TRIM(IF(LEN(Taostats_CSV!I383)&gt;0,Taostats_CSV!I383,""))</f>
        <v/>
      </c>
      <c r="L383" t="str">
        <f>IF(Taostats_CSV!E383&lt;&gt;"TAO",IF(LEN(F383)&gt;0,F383,IF(LEN(D383)&gt;0,D383,0))*Taostats_CSV!P383,"")</f>
        <v/>
      </c>
      <c r="M383" t="str">
        <f t="shared" si="45"/>
        <v/>
      </c>
      <c r="N383">
        <f>COUNTIF(Taostats_CSV!$X:$X,Taostats_CSV!$I383&amp;N$1)</f>
        <v>0</v>
      </c>
      <c r="O383">
        <f>COUNTIF(Taostats_CSV!$X:$X,Taostats_CSV!$I383&amp;O$1)</f>
        <v>0</v>
      </c>
      <c r="P383">
        <f>COUNTIF(Taostats_CSV!$X:$X,Taostats_CSV!$I383&amp;P$1)</f>
        <v>0</v>
      </c>
      <c r="Q383" t="b">
        <f t="shared" si="46"/>
        <v>0</v>
      </c>
      <c r="R383" t="b">
        <f>IF(LEN(K383)&gt;0,COUNTIF($K$3:K383,K383),FALSE)</f>
        <v>0</v>
      </c>
      <c r="S383" t="b">
        <f>IF(Taostats_CSV!A383=Taostats_CSV!$A$2,TRUE,Taostats_CSV!G383+Taostats_CSV!H383+Taostats_CSV!R383=0)</f>
        <v>1</v>
      </c>
      <c r="T383" t="b">
        <f t="shared" si="47"/>
        <v>0</v>
      </c>
      <c r="U383" t="b" cm="1">
        <f t="array" aca="1" ref="U383" ca="1">AND(T383,OR(O383-N383&gt;1,P383&gt;1,ISERROR(A383:P383)))</f>
        <v>0</v>
      </c>
      <c r="W383" t="e">
        <f>MATCH(K383&amp;$W$2,Taostats_CSV!$X$3:$X$1167,0)</f>
        <v>#N/A</v>
      </c>
      <c r="X383" t="e">
        <f t="shared" ca="1" si="42"/>
        <v>#VALUE!</v>
      </c>
      <c r="Y383">
        <f t="shared" ca="1" si="43"/>
        <v>0</v>
      </c>
      <c r="Z383" t="e">
        <f t="shared" ca="1" si="44"/>
        <v>#VALUE!</v>
      </c>
    </row>
    <row r="384" spans="1:26" x14ac:dyDescent="0.4">
      <c r="A384" t="str">
        <f>MID(Taostats_CSV!C384,6,2)&amp;"/"&amp;MID(Taostats_CSV!C384,9,2)&amp;"/"&amp;LEFT(Taostats_CSV!C384,4)&amp;" "&amp;MID(Taostats_CSV!C384,12,8)</f>
        <v>05/28/2025 23:59:48</v>
      </c>
      <c r="C384" t="str">
        <f ca="1">IF(Q384,OFFSET(Taostats_CSV!$E$1,MATCH(K384&amp;D$1,Taostats_CSV!$X:$X,0)-1,0),IF(Taostats_CSV!F384="fee",IF(VALUE(Taostats_CSV!G384)&gt;0,Taostats_CSV!E384,""),""))</f>
        <v/>
      </c>
      <c r="D384" t="str">
        <f ca="1">IF(Q384,OFFSET(Taostats_CSV!$G$1,MATCH(K384&amp;D$1,Taostats_CSV!$X:$X,0)-1,0),IF(Taostats_CSV!F384="fee",IF(VALUE(Taostats_CSV!G384)&gt;0,Taostats_CSV!G384,""),""))</f>
        <v/>
      </c>
      <c r="E384" t="str">
        <f ca="1">IF(AND(Q384,P384&gt;0),OFFSET(Taostats_CSV!$E$1,MATCH(K384&amp;F$1,Taostats_CSV!$X:$X,0)-1,0),IF(LEN(F384)&gt;0,Taostats_CSV!E384,""))</f>
        <v>SN3</v>
      </c>
      <c r="F384" t="str">
        <f ca="1">TRIM(IF(AND(Q384,P384&gt;0),OFFSET(Taostats_CSV!$H$1,MATCH(K384&amp;F$1,Taostats_CSV!$X:$X,0)-1,0),IF(LEN(Taostats_CSV!H384)&gt;0,Taostats_CSV!H384,Taostats_CSV!R384)))</f>
        <v>0.400113299</v>
      </c>
      <c r="G384" t="str">
        <f ca="1">IF(AND(Q384,N384=1),OFFSET(Taostats_CSV!$E$1,MATCH(K384&amp;H$1,Taostats_CSV!$X:$X,0)-1,0),"")</f>
        <v/>
      </c>
      <c r="H384" t="str">
        <f ca="1">IF(AND(Q384,N384=1),OFFSET(Taostats_CSV!$G$1,MATCH(K384&amp;H$1,Taostats_CSV!$X:$X,0)-1,0),"")</f>
        <v/>
      </c>
      <c r="I384" t="str">
        <f ca="1">IF(AND(LEN(K384)=0,LEN(F384)&gt;0),"Income",IF(AND(O384&gt;0,P384&gt;0,C384&lt;&gt;E384),"Trade",IF(AND(NOT(Q384),Taostats_CSV!F384="fee"),'READ ME'!$C$5,"")))</f>
        <v>Income</v>
      </c>
      <c r="J384" t="str">
        <f ca="1">SUBSTITUTE(IF(LEN(I384)=0,Taostats_CSV!F384&amp;" "&amp;Taostats_CSV!J384,IF(I384="Cost","Extrinsic fee","")),"_"," ")</f>
        <v/>
      </c>
      <c r="K384" t="str">
        <f>TRIM(IF(LEN(Taostats_CSV!I384)&gt;0,Taostats_CSV!I384,""))</f>
        <v/>
      </c>
      <c r="L384">
        <f ca="1">IF(Taostats_CSV!E384&lt;&gt;"TAO",IF(LEN(F384)&gt;0,F384,IF(LEN(D384)&gt;0,D384,0))*Taostats_CSV!P384,"")</f>
        <v>18.385619701510802</v>
      </c>
      <c r="M384" t="str">
        <f t="shared" ca="1" si="45"/>
        <v>USD</v>
      </c>
      <c r="N384">
        <f>COUNTIF(Taostats_CSV!$X:$X,Taostats_CSV!$I384&amp;N$1)</f>
        <v>0</v>
      </c>
      <c r="O384">
        <f>COUNTIF(Taostats_CSV!$X:$X,Taostats_CSV!$I384&amp;O$1)</f>
        <v>0</v>
      </c>
      <c r="P384">
        <f>COUNTIF(Taostats_CSV!$X:$X,Taostats_CSV!$I384&amp;P$1)</f>
        <v>0</v>
      </c>
      <c r="Q384" t="b">
        <f t="shared" si="46"/>
        <v>0</v>
      </c>
      <c r="R384" t="b">
        <f>IF(LEN(K384)&gt;0,COUNTIF($K$3:K384,K384),FALSE)</f>
        <v>0</v>
      </c>
      <c r="S384" t="b">
        <f>IF(Taostats_CSV!A384=Taostats_CSV!$A$2,TRUE,Taostats_CSV!G384+Taostats_CSV!H384+Taostats_CSV!R384=0)</f>
        <v>0</v>
      </c>
      <c r="T384" t="b">
        <f t="shared" si="47"/>
        <v>1</v>
      </c>
      <c r="U384" t="b" cm="1">
        <f t="array" aca="1" ref="U384" ca="1">AND(T384,OR(O384-N384&gt;1,P384&gt;1,ISERROR(A384:P384)))</f>
        <v>0</v>
      </c>
      <c r="W384" t="e">
        <f>MATCH(K384&amp;$W$2,Taostats_CSV!$X$3:$X$1167,0)</f>
        <v>#N/A</v>
      </c>
      <c r="X384" t="e">
        <f t="shared" ca="1" si="42"/>
        <v>#VALUE!</v>
      </c>
      <c r="Y384">
        <f t="shared" ca="1" si="43"/>
        <v>0.40011329899999998</v>
      </c>
      <c r="Z384" t="e">
        <f t="shared" ca="1" si="44"/>
        <v>#VALUE!</v>
      </c>
    </row>
    <row r="385" spans="1:26" x14ac:dyDescent="0.4">
      <c r="A385" t="str">
        <f>MID(Taostats_CSV!C385,6,2)&amp;"/"&amp;MID(Taostats_CSV!C385,9,2)&amp;"/"&amp;LEFT(Taostats_CSV!C385,4)&amp;" "&amp;MID(Taostats_CSV!C385,12,8)</f>
        <v>05/28/2025 23:59:48</v>
      </c>
      <c r="C385" t="str">
        <f ca="1">IF(Q385,OFFSET(Taostats_CSV!$E$1,MATCH(K385&amp;D$1,Taostats_CSV!$X:$X,0)-1,0),IF(Taostats_CSV!F385="fee",IF(VALUE(Taostats_CSV!G385)&gt;0,Taostats_CSV!E385,""),""))</f>
        <v/>
      </c>
      <c r="D385" t="str">
        <f ca="1">IF(Q385,OFFSET(Taostats_CSV!$G$1,MATCH(K385&amp;D$1,Taostats_CSV!$X:$X,0)-1,0),IF(Taostats_CSV!F385="fee",IF(VALUE(Taostats_CSV!G385)&gt;0,Taostats_CSV!G385,""),""))</f>
        <v/>
      </c>
      <c r="E385" t="str">
        <f ca="1">IF(AND(Q385,P385&gt;0),OFFSET(Taostats_CSV!$E$1,MATCH(K385&amp;F$1,Taostats_CSV!$X:$X,0)-1,0),IF(LEN(F385)&gt;0,Taostats_CSV!E385,""))</f>
        <v>SN4</v>
      </c>
      <c r="F385" t="str">
        <f ca="1">TRIM(IF(AND(Q385,P385&gt;0),OFFSET(Taostats_CSV!$H$1,MATCH(K385&amp;F$1,Taostats_CSV!$X:$X,0)-1,0),IF(LEN(Taostats_CSV!H385)&gt;0,Taostats_CSV!H385,Taostats_CSV!R385)))</f>
        <v>0.434988777</v>
      </c>
      <c r="G385" t="str">
        <f ca="1">IF(AND(Q385,N385=1),OFFSET(Taostats_CSV!$E$1,MATCH(K385&amp;H$1,Taostats_CSV!$X:$X,0)-1,0),"")</f>
        <v/>
      </c>
      <c r="H385" t="str">
        <f ca="1">IF(AND(Q385,N385=1),OFFSET(Taostats_CSV!$G$1,MATCH(K385&amp;H$1,Taostats_CSV!$X:$X,0)-1,0),"")</f>
        <v/>
      </c>
      <c r="I385" t="str">
        <f ca="1">IF(AND(LEN(K385)=0,LEN(F385)&gt;0),"Income",IF(AND(O385&gt;0,P385&gt;0,C385&lt;&gt;E385),"Trade",IF(AND(NOT(Q385),Taostats_CSV!F385="fee"),'READ ME'!$C$5,"")))</f>
        <v>Income</v>
      </c>
      <c r="J385" t="str">
        <f ca="1">SUBSTITUTE(IF(LEN(I385)=0,Taostats_CSV!F385&amp;" "&amp;Taostats_CSV!J385,IF(I385="Cost","Extrinsic fee","")),"_"," ")</f>
        <v/>
      </c>
      <c r="K385" t="str">
        <f>TRIM(IF(LEN(Taostats_CSV!I385)&gt;0,Taostats_CSV!I385,""))</f>
        <v/>
      </c>
      <c r="L385">
        <f ca="1">IF(Taostats_CSV!E385&lt;&gt;"TAO",IF(LEN(F385)&gt;0,F385,IF(LEN(D385)&gt;0,D385,0))*Taostats_CSV!P385,"")</f>
        <v>18.917811390285642</v>
      </c>
      <c r="M385" t="str">
        <f t="shared" ca="1" si="45"/>
        <v>USD</v>
      </c>
      <c r="N385">
        <f>COUNTIF(Taostats_CSV!$X:$X,Taostats_CSV!$I385&amp;N$1)</f>
        <v>0</v>
      </c>
      <c r="O385">
        <f>COUNTIF(Taostats_CSV!$X:$X,Taostats_CSV!$I385&amp;O$1)</f>
        <v>0</v>
      </c>
      <c r="P385">
        <f>COUNTIF(Taostats_CSV!$X:$X,Taostats_CSV!$I385&amp;P$1)</f>
        <v>0</v>
      </c>
      <c r="Q385" t="b">
        <f t="shared" si="46"/>
        <v>0</v>
      </c>
      <c r="R385" t="b">
        <f>IF(LEN(K385)&gt;0,COUNTIF($K$3:K385,K385),FALSE)</f>
        <v>0</v>
      </c>
      <c r="S385" t="b">
        <f>IF(Taostats_CSV!A385=Taostats_CSV!$A$2,TRUE,Taostats_CSV!G385+Taostats_CSV!H385+Taostats_CSV!R385=0)</f>
        <v>0</v>
      </c>
      <c r="T385" t="b">
        <f t="shared" si="47"/>
        <v>1</v>
      </c>
      <c r="U385" t="b" cm="1">
        <f t="array" aca="1" ref="U385" ca="1">AND(T385,OR(O385-N385&gt;1,P385&gt;1,ISERROR(A385:P385)))</f>
        <v>0</v>
      </c>
      <c r="W385" t="e">
        <f>MATCH(K385&amp;$W$2,Taostats_CSV!$X$3:$X$1167,0)</f>
        <v>#N/A</v>
      </c>
      <c r="X385" t="e">
        <f t="shared" ca="1" si="42"/>
        <v>#VALUE!</v>
      </c>
      <c r="Y385">
        <f t="shared" ca="1" si="43"/>
        <v>0.43498877699999999</v>
      </c>
      <c r="Z385" t="e">
        <f t="shared" ca="1" si="44"/>
        <v>#VALUE!</v>
      </c>
    </row>
    <row r="386" spans="1:26" x14ac:dyDescent="0.4">
      <c r="A386" t="str">
        <f>MID(Taostats_CSV!C386,6,2)&amp;"/"&amp;MID(Taostats_CSV!C386,9,2)&amp;"/"&amp;LEFT(Taostats_CSV!C386,4)&amp;" "&amp;MID(Taostats_CSV!C386,12,8)</f>
        <v>05/28/2025 23:59:48</v>
      </c>
      <c r="C386" t="str">
        <f ca="1">IF(Q386,OFFSET(Taostats_CSV!$E$1,MATCH(K386&amp;D$1,Taostats_CSV!$X:$X,0)-1,0),IF(Taostats_CSV!F386="fee",IF(VALUE(Taostats_CSV!G386)&gt;0,Taostats_CSV!E386,""),""))</f>
        <v/>
      </c>
      <c r="D386" t="str">
        <f ca="1">IF(Q386,OFFSET(Taostats_CSV!$G$1,MATCH(K386&amp;D$1,Taostats_CSV!$X:$X,0)-1,0),IF(Taostats_CSV!F386="fee",IF(VALUE(Taostats_CSV!G386)&gt;0,Taostats_CSV!G386,""),""))</f>
        <v/>
      </c>
      <c r="E386" t="str">
        <f ca="1">IF(AND(Q386,P386&gt;0),OFFSET(Taostats_CSV!$E$1,MATCH(K386&amp;F$1,Taostats_CSV!$X:$X,0)-1,0),IF(LEN(F386)&gt;0,Taostats_CSV!E386,""))</f>
        <v>SN56</v>
      </c>
      <c r="F386" t="str">
        <f ca="1">TRIM(IF(AND(Q386,P386&gt;0),OFFSET(Taostats_CSV!$H$1,MATCH(K386&amp;F$1,Taostats_CSV!$X:$X,0)-1,0),IF(LEN(Taostats_CSV!H386)&gt;0,Taostats_CSV!H386,Taostats_CSV!R386)))</f>
        <v>0.238353716</v>
      </c>
      <c r="G386" t="str">
        <f ca="1">IF(AND(Q386,N386=1),OFFSET(Taostats_CSV!$E$1,MATCH(K386&amp;H$1,Taostats_CSV!$X:$X,0)-1,0),"")</f>
        <v/>
      </c>
      <c r="H386" t="str">
        <f ca="1">IF(AND(Q386,N386=1),OFFSET(Taostats_CSV!$G$1,MATCH(K386&amp;H$1,Taostats_CSV!$X:$X,0)-1,0),"")</f>
        <v/>
      </c>
      <c r="I386" t="str">
        <f ca="1">IF(AND(LEN(K386)=0,LEN(F386)&gt;0),"Income",IF(AND(O386&gt;0,P386&gt;0,C386&lt;&gt;E386),"Trade",IF(AND(NOT(Q386),Taostats_CSV!F386="fee"),'READ ME'!$C$5,"")))</f>
        <v>Income</v>
      </c>
      <c r="J386" t="str">
        <f ca="1">SUBSTITUTE(IF(LEN(I386)=0,Taostats_CSV!F386&amp;" "&amp;Taostats_CSV!J386,IF(I386="Cost","Extrinsic fee","")),"_"," ")</f>
        <v/>
      </c>
      <c r="K386" t="str">
        <f>TRIM(IF(LEN(Taostats_CSV!I386)&gt;0,Taostats_CSV!I386,""))</f>
        <v/>
      </c>
      <c r="L386">
        <f ca="1">IF(Taostats_CSV!E386&lt;&gt;"TAO",IF(LEN(F386)&gt;0,F386,IF(LEN(D386)&gt;0,D386,0))*Taostats_CSV!P386,"")</f>
        <v>11.49243259192273</v>
      </c>
      <c r="M386" t="str">
        <f t="shared" ca="1" si="45"/>
        <v>USD</v>
      </c>
      <c r="N386">
        <f>COUNTIF(Taostats_CSV!$X:$X,Taostats_CSV!$I386&amp;N$1)</f>
        <v>0</v>
      </c>
      <c r="O386">
        <f>COUNTIF(Taostats_CSV!$X:$X,Taostats_CSV!$I386&amp;O$1)</f>
        <v>0</v>
      </c>
      <c r="P386">
        <f>COUNTIF(Taostats_CSV!$X:$X,Taostats_CSV!$I386&amp;P$1)</f>
        <v>0</v>
      </c>
      <c r="Q386" t="b">
        <f t="shared" si="46"/>
        <v>0</v>
      </c>
      <c r="R386" t="b">
        <f>IF(LEN(K386)&gt;0,COUNTIF($K$3:K386,K386),FALSE)</f>
        <v>0</v>
      </c>
      <c r="S386" t="b">
        <f>IF(Taostats_CSV!A386=Taostats_CSV!$A$2,TRUE,Taostats_CSV!G386+Taostats_CSV!H386+Taostats_CSV!R386=0)</f>
        <v>0</v>
      </c>
      <c r="T386" t="b">
        <f t="shared" si="47"/>
        <v>1</v>
      </c>
      <c r="U386" t="b" cm="1">
        <f t="array" aca="1" ref="U386" ca="1">AND(T386,OR(O386-N386&gt;1,P386&gt;1,ISERROR(A386:P386)))</f>
        <v>0</v>
      </c>
      <c r="W386" t="e">
        <f>MATCH(K386&amp;$W$2,Taostats_CSV!$X$3:$X$1167,0)</f>
        <v>#N/A</v>
      </c>
      <c r="X386" t="e">
        <f t="shared" ca="1" si="42"/>
        <v>#VALUE!</v>
      </c>
      <c r="Y386">
        <f t="shared" ca="1" si="43"/>
        <v>0.23835371599999999</v>
      </c>
      <c r="Z386" t="e">
        <f t="shared" ca="1" si="44"/>
        <v>#VALUE!</v>
      </c>
    </row>
    <row r="387" spans="1:26" x14ac:dyDescent="0.4">
      <c r="A387" t="str">
        <f>MID(Taostats_CSV!C387,6,2)&amp;"/"&amp;MID(Taostats_CSV!C387,9,2)&amp;"/"&amp;LEFT(Taostats_CSV!C387,4)&amp;" "&amp;MID(Taostats_CSV!C387,12,8)</f>
        <v>05/28/2025 23:59:48</v>
      </c>
      <c r="C387" t="str">
        <f ca="1">IF(Q387,OFFSET(Taostats_CSV!$E$1,MATCH(K387&amp;D$1,Taostats_CSV!$X:$X,0)-1,0),IF(Taostats_CSV!F387="fee",IF(VALUE(Taostats_CSV!G387)&gt;0,Taostats_CSV!E387,""),""))</f>
        <v/>
      </c>
      <c r="D387" t="str">
        <f ca="1">IF(Q387,OFFSET(Taostats_CSV!$G$1,MATCH(K387&amp;D$1,Taostats_CSV!$X:$X,0)-1,0),IF(Taostats_CSV!F387="fee",IF(VALUE(Taostats_CSV!G387)&gt;0,Taostats_CSV!G387,""),""))</f>
        <v/>
      </c>
      <c r="E387" t="str">
        <f ca="1">IF(AND(Q387,P387&gt;0),OFFSET(Taostats_CSV!$E$1,MATCH(K387&amp;F$1,Taostats_CSV!$X:$X,0)-1,0),IF(LEN(F387)&gt;0,Taostats_CSV!E387,""))</f>
        <v>SN64</v>
      </c>
      <c r="F387" t="str">
        <f ca="1">TRIM(IF(AND(Q387,P387&gt;0),OFFSET(Taostats_CSV!$H$1,MATCH(K387&amp;F$1,Taostats_CSV!$X:$X,0)-1,0),IF(LEN(Taostats_CSV!H387)&gt;0,Taostats_CSV!H387,Taostats_CSV!R387)))</f>
        <v>0.14576775</v>
      </c>
      <c r="G387" t="str">
        <f ca="1">IF(AND(Q387,N387=1),OFFSET(Taostats_CSV!$E$1,MATCH(K387&amp;H$1,Taostats_CSV!$X:$X,0)-1,0),"")</f>
        <v/>
      </c>
      <c r="H387" t="str">
        <f ca="1">IF(AND(Q387,N387=1),OFFSET(Taostats_CSV!$G$1,MATCH(K387&amp;H$1,Taostats_CSV!$X:$X,0)-1,0),"")</f>
        <v/>
      </c>
      <c r="I387" t="str">
        <f ca="1">IF(AND(LEN(K387)=0,LEN(F387)&gt;0),"Income",IF(AND(O387&gt;0,P387&gt;0,C387&lt;&gt;E387),"Trade",IF(AND(NOT(Q387),Taostats_CSV!F387="fee"),'READ ME'!$C$5,"")))</f>
        <v>Income</v>
      </c>
      <c r="J387" t="str">
        <f ca="1">SUBSTITUTE(IF(LEN(I387)=0,Taostats_CSV!F387&amp;" "&amp;Taostats_CSV!J387,IF(I387="Cost","Extrinsic fee","")),"_"," ")</f>
        <v/>
      </c>
      <c r="K387" t="str">
        <f>TRIM(IF(LEN(Taostats_CSV!I387)&gt;0,Taostats_CSV!I387,""))</f>
        <v/>
      </c>
      <c r="L387">
        <f ca="1">IF(Taostats_CSV!E387&lt;&gt;"TAO",IF(LEN(F387)&gt;0,F387,IF(LEN(D387)&gt;0,D387,0))*Taostats_CSV!P387,"")</f>
        <v>15.82753184560284</v>
      </c>
      <c r="M387" t="str">
        <f t="shared" ca="1" si="45"/>
        <v>USD</v>
      </c>
      <c r="N387">
        <f>COUNTIF(Taostats_CSV!$X:$X,Taostats_CSV!$I387&amp;N$1)</f>
        <v>0</v>
      </c>
      <c r="O387">
        <f>COUNTIF(Taostats_CSV!$X:$X,Taostats_CSV!$I387&amp;O$1)</f>
        <v>0</v>
      </c>
      <c r="P387">
        <f>COUNTIF(Taostats_CSV!$X:$X,Taostats_CSV!$I387&amp;P$1)</f>
        <v>0</v>
      </c>
      <c r="Q387" t="b">
        <f t="shared" si="46"/>
        <v>0</v>
      </c>
      <c r="R387" t="b">
        <f>IF(LEN(K387)&gt;0,COUNTIF($K$3:K387,K387),FALSE)</f>
        <v>0</v>
      </c>
      <c r="S387" t="b">
        <f>IF(Taostats_CSV!A387=Taostats_CSV!$A$2,TRUE,Taostats_CSV!G387+Taostats_CSV!H387+Taostats_CSV!R387=0)</f>
        <v>0</v>
      </c>
      <c r="T387" t="b">
        <f t="shared" si="47"/>
        <v>1</v>
      </c>
      <c r="U387" t="b" cm="1">
        <f t="array" aca="1" ref="U387" ca="1">AND(T387,OR(O387-N387&gt;1,P387&gt;1,ISERROR(A387:P387)))</f>
        <v>0</v>
      </c>
      <c r="W387" t="e">
        <f>MATCH(K387&amp;$W$2,Taostats_CSV!$X$3:$X$1167,0)</f>
        <v>#N/A</v>
      </c>
      <c r="X387" t="e">
        <f t="shared" ref="X387:X450" ca="1" si="48">VALUE(D387)</f>
        <v>#VALUE!</v>
      </c>
      <c r="Y387">
        <f t="shared" ref="Y387:Y450" ca="1" si="49">VALUE(F387)</f>
        <v>0.14576775</v>
      </c>
      <c r="Z387" t="e">
        <f t="shared" ref="Z387:Z450" ca="1" si="50">VALUE(H387)</f>
        <v>#VALUE!</v>
      </c>
    </row>
    <row r="388" spans="1:26" hidden="1" x14ac:dyDescent="0.4">
      <c r="A388" t="str">
        <f>MID(Taostats_CSV!C388,6,2)&amp;"/"&amp;MID(Taostats_CSV!C388,9,2)&amp;"/"&amp;LEFT(Taostats_CSV!C388,4)&amp;" "&amp;MID(Taostats_CSV!C388,12,8)</f>
        <v>05/28/2025 23:59:48</v>
      </c>
      <c r="C388" t="str">
        <f ca="1">IF(Q388,OFFSET(Taostats_CSV!$E$1,MATCH(K388&amp;D$1,Taostats_CSV!$X:$X,0)-1,0),IF(Taostats_CSV!F388="fee","",IF(VALUE(Taostats_CSV!G388)&gt;0,Taostats_CSV!E388,"")))</f>
        <v/>
      </c>
      <c r="D388" t="str">
        <f ca="1">IF(Q388,OFFSET(Taostats_CSV!$G$1,MATCH(K388&amp;D$1,Taostats_CSV!$X:$X,0)-1,0),IF(Taostats_CSV!F388="fee","",IF(VALUE(Taostats_CSV!G388)&gt;0,Taostats_CSV!G388,"")))</f>
        <v/>
      </c>
      <c r="E388" t="str">
        <f ca="1">IF(AND(Q388,P388&gt;0),OFFSET(Taostats_CSV!$E$1,MATCH(K388&amp;F$1,Taostats_CSV!$X:$X,0)-1,0),IF(LEN(F388)&gt;0,Taostats_CSV!E388,""))</f>
        <v>TAO</v>
      </c>
      <c r="F388" t="str">
        <f ca="1">TRIM(IF(AND(Q388,P388&gt;0),OFFSET(Taostats_CSV!$H$1,MATCH(K388&amp;F$1,Taostats_CSV!$X:$X,0)-1,0),IF(LEN(Taostats_CSV!H388)&gt;0,Taostats_CSV!H388,Taostats_CSV!R388)))</f>
        <v>0</v>
      </c>
      <c r="G388" t="str">
        <f ca="1">IF(AND(Q388,N388=1),OFFSET(Taostats_CSV!$E$1,MATCH(K388&amp;H$1,Taostats_CSV!$X:$X,0)-1,0),IF(Taostats_CSV!F388="fee",Taostats_CSV!E388,""))</f>
        <v/>
      </c>
      <c r="H388" t="str">
        <f ca="1">IF(AND(Q388,N388=1),OFFSET(Taostats_CSV!$G$1,MATCH(K388&amp;H$1,Taostats_CSV!$X:$X,0)-1,0),IF(Taostats_CSV!F388="fee",Taostats_CSV!G388,""))</f>
        <v/>
      </c>
      <c r="I388" t="str">
        <f ca="1">IF(AND(LEN(K388)=0,LEN(F388)&gt;0),"Income",IF(AND(O388&gt;0,P388&gt;0,C388&lt;&gt;E388),"Trade",IF(AND(NOT(Q388),Taostats_CSV!F388="fee"),'READ ME'!$C$5,"")))</f>
        <v>Income</v>
      </c>
      <c r="J388" t="str">
        <f ca="1">SUBSTITUTE(IF(LEN(I388)=0,Taostats_CSV!F388&amp;" "&amp;Taostats_CSV!J388,IF(I388="Cost","Extrinsic fee","")),"_"," ")</f>
        <v/>
      </c>
      <c r="K388" t="str">
        <f>TRIM(IF(LEN(Taostats_CSV!I388)&gt;0,Taostats_CSV!I388,""))</f>
        <v/>
      </c>
      <c r="L388" t="str">
        <f>IF(Taostats_CSV!E388&lt;&gt;"TAO",IF(LEN(F388)&gt;0,F388,IF(LEN(D388)&gt;0,D388,0))*Taostats_CSV!P388,"")</f>
        <v/>
      </c>
      <c r="M388" t="str">
        <f t="shared" ref="M388:M451" si="51">IF(LEN(L388)&gt;0,"USD","")</f>
        <v/>
      </c>
      <c r="N388">
        <f>COUNTIF(Taostats_CSV!$X:$X,Taostats_CSV!$I388&amp;N$1)</f>
        <v>0</v>
      </c>
      <c r="O388">
        <f>COUNTIF(Taostats_CSV!$X:$X,Taostats_CSV!$I388&amp;O$1)</f>
        <v>0</v>
      </c>
      <c r="P388">
        <f>COUNTIF(Taostats_CSV!$X:$X,Taostats_CSV!$I388&amp;P$1)</f>
        <v>0</v>
      </c>
      <c r="Q388" t="b">
        <f t="shared" ref="Q388:Q451" si="52">AND(O388&lt;=1,N388&lt;=1,P388&lt;=1,O388+N388+P388&gt;=2)</f>
        <v>0</v>
      </c>
      <c r="R388" t="b">
        <f>IF(LEN(K388)&gt;0,COUNTIF($K$3:K388,K388),FALSE)</f>
        <v>0</v>
      </c>
      <c r="S388" t="b">
        <f>IF(Taostats_CSV!A388=Taostats_CSV!$A$2,TRUE,Taostats_CSV!G388+Taostats_CSV!H388+Taostats_CSV!R388=0)</f>
        <v>1</v>
      </c>
      <c r="T388" t="b">
        <f t="shared" ref="T388:T451" si="53">AND(NOT(S388),OR(NOT(Q388),R388=1))</f>
        <v>0</v>
      </c>
      <c r="U388" t="b" cm="1">
        <f t="array" aca="1" ref="U388" ca="1">AND(T388,OR(O388-N388&gt;1,P388&gt;1,ISERROR(A388:P388)))</f>
        <v>0</v>
      </c>
      <c r="W388" t="e">
        <f>MATCH(K388&amp;$W$2,Taostats_CSV!$X$3:$X$1167,0)</f>
        <v>#N/A</v>
      </c>
      <c r="X388" t="e">
        <f t="shared" ca="1" si="48"/>
        <v>#VALUE!</v>
      </c>
      <c r="Y388">
        <f t="shared" ca="1" si="49"/>
        <v>0</v>
      </c>
      <c r="Z388" t="e">
        <f t="shared" ca="1" si="50"/>
        <v>#VALUE!</v>
      </c>
    </row>
    <row r="389" spans="1:26" x14ac:dyDescent="0.4">
      <c r="A389" t="str">
        <f>MID(Taostats_CSV!C389,6,2)&amp;"/"&amp;MID(Taostats_CSV!C389,9,2)&amp;"/"&amp;LEFT(Taostats_CSV!C389,4)&amp;" "&amp;MID(Taostats_CSV!C389,12,8)</f>
        <v>05/29/2025 23:59:48</v>
      </c>
      <c r="C389" t="str">
        <f ca="1">IF(Q389,OFFSET(Taostats_CSV!$E$1,MATCH(K389&amp;D$1,Taostats_CSV!$X:$X,0)-1,0),IF(Taostats_CSV!F389="fee",IF(VALUE(Taostats_CSV!G389)&gt;0,Taostats_CSV!E389,""),""))</f>
        <v/>
      </c>
      <c r="D389" t="str">
        <f ca="1">IF(Q389,OFFSET(Taostats_CSV!$G$1,MATCH(K389&amp;D$1,Taostats_CSV!$X:$X,0)-1,0),IF(Taostats_CSV!F389="fee",IF(VALUE(Taostats_CSV!G389)&gt;0,Taostats_CSV!G389,""),""))</f>
        <v/>
      </c>
      <c r="E389" t="str">
        <f ca="1">IF(AND(Q389,P389&gt;0),OFFSET(Taostats_CSV!$E$1,MATCH(K389&amp;F$1,Taostats_CSV!$X:$X,0)-1,0),IF(LEN(F389)&gt;0,Taostats_CSV!E389,""))</f>
        <v>SN3</v>
      </c>
      <c r="F389" t="str">
        <f ca="1">TRIM(IF(AND(Q389,P389&gt;0),OFFSET(Taostats_CSV!$H$1,MATCH(K389&amp;F$1,Taostats_CSV!$X:$X,0)-1,0),IF(LEN(Taostats_CSV!H389)&gt;0,Taostats_CSV!H389,Taostats_CSV!R389)))</f>
        <v>0.404813442</v>
      </c>
      <c r="G389" t="str">
        <f ca="1">IF(AND(Q389,N389=1),OFFSET(Taostats_CSV!$E$1,MATCH(K389&amp;H$1,Taostats_CSV!$X:$X,0)-1,0),"")</f>
        <v/>
      </c>
      <c r="H389" t="str">
        <f ca="1">IF(AND(Q389,N389=1),OFFSET(Taostats_CSV!$G$1,MATCH(K389&amp;H$1,Taostats_CSV!$X:$X,0)-1,0),"")</f>
        <v/>
      </c>
      <c r="I389" t="str">
        <f ca="1">IF(AND(LEN(K389)=0,LEN(F389)&gt;0),"Income",IF(AND(O389&gt;0,P389&gt;0,C389&lt;&gt;E389),"Trade",IF(AND(NOT(Q389),Taostats_CSV!F389="fee"),'READ ME'!$C$5,"")))</f>
        <v>Income</v>
      </c>
      <c r="J389" t="str">
        <f ca="1">SUBSTITUTE(IF(LEN(I389)=0,Taostats_CSV!F389&amp;" "&amp;Taostats_CSV!J389,IF(I389="Cost","Extrinsic fee","")),"_"," ")</f>
        <v/>
      </c>
      <c r="K389" t="str">
        <f>TRIM(IF(LEN(Taostats_CSV!I389)&gt;0,Taostats_CSV!I389,""))</f>
        <v/>
      </c>
      <c r="L389">
        <f ca="1">IF(Taostats_CSV!E389&lt;&gt;"TAO",IF(LEN(F389)&gt;0,F389,IF(LEN(D389)&gt;0,D389,0))*Taostats_CSV!P389,"")</f>
        <v>17.591171179889994</v>
      </c>
      <c r="M389" t="str">
        <f t="shared" ca="1" si="51"/>
        <v>USD</v>
      </c>
      <c r="N389">
        <f>COUNTIF(Taostats_CSV!$X:$X,Taostats_CSV!$I389&amp;N$1)</f>
        <v>0</v>
      </c>
      <c r="O389">
        <f>COUNTIF(Taostats_CSV!$X:$X,Taostats_CSV!$I389&amp;O$1)</f>
        <v>0</v>
      </c>
      <c r="P389">
        <f>COUNTIF(Taostats_CSV!$X:$X,Taostats_CSV!$I389&amp;P$1)</f>
        <v>0</v>
      </c>
      <c r="Q389" t="b">
        <f t="shared" si="52"/>
        <v>0</v>
      </c>
      <c r="R389" t="b">
        <f>IF(LEN(K389)&gt;0,COUNTIF($K$3:K389,K389),FALSE)</f>
        <v>0</v>
      </c>
      <c r="S389" t="b">
        <f>IF(Taostats_CSV!A389=Taostats_CSV!$A$2,TRUE,Taostats_CSV!G389+Taostats_CSV!H389+Taostats_CSV!R389=0)</f>
        <v>0</v>
      </c>
      <c r="T389" t="b">
        <f t="shared" si="53"/>
        <v>1</v>
      </c>
      <c r="U389" t="b" cm="1">
        <f t="array" aca="1" ref="U389" ca="1">AND(T389,OR(O389-N389&gt;1,P389&gt;1,ISERROR(A389:P389)))</f>
        <v>0</v>
      </c>
      <c r="W389" t="e">
        <f>MATCH(K389&amp;$W$2,Taostats_CSV!$X$3:$X$1167,0)</f>
        <v>#N/A</v>
      </c>
      <c r="X389" t="e">
        <f t="shared" ca="1" si="48"/>
        <v>#VALUE!</v>
      </c>
      <c r="Y389">
        <f t="shared" ca="1" si="49"/>
        <v>0.40481344200000002</v>
      </c>
      <c r="Z389" t="e">
        <f t="shared" ca="1" si="50"/>
        <v>#VALUE!</v>
      </c>
    </row>
    <row r="390" spans="1:26" x14ac:dyDescent="0.4">
      <c r="A390" t="str">
        <f>MID(Taostats_CSV!C390,6,2)&amp;"/"&amp;MID(Taostats_CSV!C390,9,2)&amp;"/"&amp;LEFT(Taostats_CSV!C390,4)&amp;" "&amp;MID(Taostats_CSV!C390,12,8)</f>
        <v>05/29/2025 23:59:48</v>
      </c>
      <c r="C390" t="str">
        <f ca="1">IF(Q390,OFFSET(Taostats_CSV!$E$1,MATCH(K390&amp;D$1,Taostats_CSV!$X:$X,0)-1,0),IF(Taostats_CSV!F390="fee",IF(VALUE(Taostats_CSV!G390)&gt;0,Taostats_CSV!E390,""),""))</f>
        <v/>
      </c>
      <c r="D390" t="str">
        <f ca="1">IF(Q390,OFFSET(Taostats_CSV!$G$1,MATCH(K390&amp;D$1,Taostats_CSV!$X:$X,0)-1,0),IF(Taostats_CSV!F390="fee",IF(VALUE(Taostats_CSV!G390)&gt;0,Taostats_CSV!G390,""),""))</f>
        <v/>
      </c>
      <c r="E390" t="str">
        <f ca="1">IF(AND(Q390,P390&gt;0),OFFSET(Taostats_CSV!$E$1,MATCH(K390&amp;F$1,Taostats_CSV!$X:$X,0)-1,0),IF(LEN(F390)&gt;0,Taostats_CSV!E390,""))</f>
        <v>SN4</v>
      </c>
      <c r="F390" t="str">
        <f ca="1">TRIM(IF(AND(Q390,P390&gt;0),OFFSET(Taostats_CSV!$H$1,MATCH(K390&amp;F$1,Taostats_CSV!$X:$X,0)-1,0),IF(LEN(Taostats_CSV!H390)&gt;0,Taostats_CSV!H390,Taostats_CSV!R390)))</f>
        <v>0.428509515</v>
      </c>
      <c r="G390" t="str">
        <f ca="1">IF(AND(Q390,N390=1),OFFSET(Taostats_CSV!$E$1,MATCH(K390&amp;H$1,Taostats_CSV!$X:$X,0)-1,0),"")</f>
        <v/>
      </c>
      <c r="H390" t="str">
        <f ca="1">IF(AND(Q390,N390=1),OFFSET(Taostats_CSV!$G$1,MATCH(K390&amp;H$1,Taostats_CSV!$X:$X,0)-1,0),"")</f>
        <v/>
      </c>
      <c r="I390" t="str">
        <f ca="1">IF(AND(LEN(K390)=0,LEN(F390)&gt;0),"Income",IF(AND(O390&gt;0,P390&gt;0,C390&lt;&gt;E390),"Trade",IF(AND(NOT(Q390),Taostats_CSV!F390="fee"),'READ ME'!$C$5,"")))</f>
        <v>Income</v>
      </c>
      <c r="J390" t="str">
        <f ca="1">SUBSTITUTE(IF(LEN(I390)=0,Taostats_CSV!F390&amp;" "&amp;Taostats_CSV!J390,IF(I390="Cost","Extrinsic fee","")),"_"," ")</f>
        <v/>
      </c>
      <c r="K390" t="str">
        <f>TRIM(IF(LEN(Taostats_CSV!I390)&gt;0,Taostats_CSV!I390,""))</f>
        <v/>
      </c>
      <c r="L390">
        <f ca="1">IF(Taostats_CSV!E390&lt;&gt;"TAO",IF(LEN(F390)&gt;0,F390,IF(LEN(D390)&gt;0,D390,0))*Taostats_CSV!P390,"")</f>
        <v>17.537508466981727</v>
      </c>
      <c r="M390" t="str">
        <f t="shared" ca="1" si="51"/>
        <v>USD</v>
      </c>
      <c r="N390">
        <f>COUNTIF(Taostats_CSV!$X:$X,Taostats_CSV!$I390&amp;N$1)</f>
        <v>0</v>
      </c>
      <c r="O390">
        <f>COUNTIF(Taostats_CSV!$X:$X,Taostats_CSV!$I390&amp;O$1)</f>
        <v>0</v>
      </c>
      <c r="P390">
        <f>COUNTIF(Taostats_CSV!$X:$X,Taostats_CSV!$I390&amp;P$1)</f>
        <v>0</v>
      </c>
      <c r="Q390" t="b">
        <f t="shared" si="52"/>
        <v>0</v>
      </c>
      <c r="R390" t="b">
        <f>IF(LEN(K390)&gt;0,COUNTIF($K$3:K390,K390),FALSE)</f>
        <v>0</v>
      </c>
      <c r="S390" t="b">
        <f>IF(Taostats_CSV!A390=Taostats_CSV!$A$2,TRUE,Taostats_CSV!G390+Taostats_CSV!H390+Taostats_CSV!R390=0)</f>
        <v>0</v>
      </c>
      <c r="T390" t="b">
        <f t="shared" si="53"/>
        <v>1</v>
      </c>
      <c r="U390" t="b" cm="1">
        <f t="array" aca="1" ref="U390" ca="1">AND(T390,OR(O390-N390&gt;1,P390&gt;1,ISERROR(A390:P390)))</f>
        <v>0</v>
      </c>
      <c r="W390" t="e">
        <f>MATCH(K390&amp;$W$2,Taostats_CSV!$X$3:$X$1167,0)</f>
        <v>#N/A</v>
      </c>
      <c r="X390" t="e">
        <f t="shared" ca="1" si="48"/>
        <v>#VALUE!</v>
      </c>
      <c r="Y390">
        <f t="shared" ca="1" si="49"/>
        <v>0.42850951500000001</v>
      </c>
      <c r="Z390" t="e">
        <f t="shared" ca="1" si="50"/>
        <v>#VALUE!</v>
      </c>
    </row>
    <row r="391" spans="1:26" x14ac:dyDescent="0.4">
      <c r="A391" t="str">
        <f>MID(Taostats_CSV!C391,6,2)&amp;"/"&amp;MID(Taostats_CSV!C391,9,2)&amp;"/"&amp;LEFT(Taostats_CSV!C391,4)&amp;" "&amp;MID(Taostats_CSV!C391,12,8)</f>
        <v>05/29/2025 23:59:48</v>
      </c>
      <c r="C391" t="str">
        <f ca="1">IF(Q391,OFFSET(Taostats_CSV!$E$1,MATCH(K391&amp;D$1,Taostats_CSV!$X:$X,0)-1,0),IF(Taostats_CSV!F391="fee",IF(VALUE(Taostats_CSV!G391)&gt;0,Taostats_CSV!E391,""),""))</f>
        <v/>
      </c>
      <c r="D391" t="str">
        <f ca="1">IF(Q391,OFFSET(Taostats_CSV!$G$1,MATCH(K391&amp;D$1,Taostats_CSV!$X:$X,0)-1,0),IF(Taostats_CSV!F391="fee",IF(VALUE(Taostats_CSV!G391)&gt;0,Taostats_CSV!G391,""),""))</f>
        <v/>
      </c>
      <c r="E391" t="str">
        <f ca="1">IF(AND(Q391,P391&gt;0),OFFSET(Taostats_CSV!$E$1,MATCH(K391&amp;F$1,Taostats_CSV!$X:$X,0)-1,0),IF(LEN(F391)&gt;0,Taostats_CSV!E391,""))</f>
        <v>SN56</v>
      </c>
      <c r="F391" t="str">
        <f ca="1">TRIM(IF(AND(Q391,P391&gt;0),OFFSET(Taostats_CSV!$H$1,MATCH(K391&amp;F$1,Taostats_CSV!$X:$X,0)-1,0),IF(LEN(Taostats_CSV!H391)&gt;0,Taostats_CSV!H391,Taostats_CSV!R391)))</f>
        <v>0.241183793</v>
      </c>
      <c r="G391" t="str">
        <f ca="1">IF(AND(Q391,N391=1),OFFSET(Taostats_CSV!$E$1,MATCH(K391&amp;H$1,Taostats_CSV!$X:$X,0)-1,0),"")</f>
        <v/>
      </c>
      <c r="H391" t="str">
        <f ca="1">IF(AND(Q391,N391=1),OFFSET(Taostats_CSV!$G$1,MATCH(K391&amp;H$1,Taostats_CSV!$X:$X,0)-1,0),"")</f>
        <v/>
      </c>
      <c r="I391" t="str">
        <f ca="1">IF(AND(LEN(K391)=0,LEN(F391)&gt;0),"Income",IF(AND(O391&gt;0,P391&gt;0,C391&lt;&gt;E391),"Trade",IF(AND(NOT(Q391),Taostats_CSV!F391="fee"),'READ ME'!$C$5,"")))</f>
        <v>Income</v>
      </c>
      <c r="J391" t="str">
        <f ca="1">SUBSTITUTE(IF(LEN(I391)=0,Taostats_CSV!F391&amp;" "&amp;Taostats_CSV!J391,IF(I391="Cost","Extrinsic fee","")),"_"," ")</f>
        <v/>
      </c>
      <c r="K391" t="str">
        <f>TRIM(IF(LEN(Taostats_CSV!I391)&gt;0,Taostats_CSV!I391,""))</f>
        <v/>
      </c>
      <c r="L391">
        <f ca="1">IF(Taostats_CSV!E391&lt;&gt;"TAO",IF(LEN(F391)&gt;0,F391,IF(LEN(D391)&gt;0,D391,0))*Taostats_CSV!P391,"")</f>
        <v>10.704617637153776</v>
      </c>
      <c r="M391" t="str">
        <f t="shared" ca="1" si="51"/>
        <v>USD</v>
      </c>
      <c r="N391">
        <f>COUNTIF(Taostats_CSV!$X:$X,Taostats_CSV!$I391&amp;N$1)</f>
        <v>0</v>
      </c>
      <c r="O391">
        <f>COUNTIF(Taostats_CSV!$X:$X,Taostats_CSV!$I391&amp;O$1)</f>
        <v>0</v>
      </c>
      <c r="P391">
        <f>COUNTIF(Taostats_CSV!$X:$X,Taostats_CSV!$I391&amp;P$1)</f>
        <v>0</v>
      </c>
      <c r="Q391" t="b">
        <f t="shared" si="52"/>
        <v>0</v>
      </c>
      <c r="R391" t="b">
        <f>IF(LEN(K391)&gt;0,COUNTIF($K$3:K391,K391),FALSE)</f>
        <v>0</v>
      </c>
      <c r="S391" t="b">
        <f>IF(Taostats_CSV!A391=Taostats_CSV!$A$2,TRUE,Taostats_CSV!G391+Taostats_CSV!H391+Taostats_CSV!R391=0)</f>
        <v>0</v>
      </c>
      <c r="T391" t="b">
        <f t="shared" si="53"/>
        <v>1</v>
      </c>
      <c r="U391" t="b" cm="1">
        <f t="array" aca="1" ref="U391" ca="1">AND(T391,OR(O391-N391&gt;1,P391&gt;1,ISERROR(A391:P391)))</f>
        <v>0</v>
      </c>
      <c r="W391" t="e">
        <f>MATCH(K391&amp;$W$2,Taostats_CSV!$X$3:$X$1167,0)</f>
        <v>#N/A</v>
      </c>
      <c r="X391" t="e">
        <f t="shared" ca="1" si="48"/>
        <v>#VALUE!</v>
      </c>
      <c r="Y391">
        <f t="shared" ca="1" si="49"/>
        <v>0.24118379300000001</v>
      </c>
      <c r="Z391" t="e">
        <f t="shared" ca="1" si="50"/>
        <v>#VALUE!</v>
      </c>
    </row>
    <row r="392" spans="1:26" x14ac:dyDescent="0.4">
      <c r="A392" t="str">
        <f>MID(Taostats_CSV!C392,6,2)&amp;"/"&amp;MID(Taostats_CSV!C392,9,2)&amp;"/"&amp;LEFT(Taostats_CSV!C392,4)&amp;" "&amp;MID(Taostats_CSV!C392,12,8)</f>
        <v>05/29/2025 23:59:48</v>
      </c>
      <c r="C392" t="str">
        <f ca="1">IF(Q392,OFFSET(Taostats_CSV!$E$1,MATCH(K392&amp;D$1,Taostats_CSV!$X:$X,0)-1,0),IF(Taostats_CSV!F392="fee",IF(VALUE(Taostats_CSV!G392)&gt;0,Taostats_CSV!E392,""),""))</f>
        <v/>
      </c>
      <c r="D392" t="str">
        <f ca="1">IF(Q392,OFFSET(Taostats_CSV!$G$1,MATCH(K392&amp;D$1,Taostats_CSV!$X:$X,0)-1,0),IF(Taostats_CSV!F392="fee",IF(VALUE(Taostats_CSV!G392)&gt;0,Taostats_CSV!G392,""),""))</f>
        <v/>
      </c>
      <c r="E392" t="str">
        <f ca="1">IF(AND(Q392,P392&gt;0),OFFSET(Taostats_CSV!$E$1,MATCH(K392&amp;F$1,Taostats_CSV!$X:$X,0)-1,0),IF(LEN(F392)&gt;0,Taostats_CSV!E392,""))</f>
        <v>SN64</v>
      </c>
      <c r="F392" t="str">
        <f ca="1">TRIM(IF(AND(Q392,P392&gt;0),OFFSET(Taostats_CSV!$H$1,MATCH(K392&amp;F$1,Taostats_CSV!$X:$X,0)-1,0),IF(LEN(Taostats_CSV!H392)&gt;0,Taostats_CSV!H392,Taostats_CSV!R392)))</f>
        <v>0.149497485</v>
      </c>
      <c r="G392" t="str">
        <f ca="1">IF(AND(Q392,N392=1),OFFSET(Taostats_CSV!$E$1,MATCH(K392&amp;H$1,Taostats_CSV!$X:$X,0)-1,0),"")</f>
        <v/>
      </c>
      <c r="H392" t="str">
        <f ca="1">IF(AND(Q392,N392=1),OFFSET(Taostats_CSV!$G$1,MATCH(K392&amp;H$1,Taostats_CSV!$X:$X,0)-1,0),"")</f>
        <v/>
      </c>
      <c r="I392" t="str">
        <f ca="1">IF(AND(LEN(K392)=0,LEN(F392)&gt;0),"Income",IF(AND(O392&gt;0,P392&gt;0,C392&lt;&gt;E392),"Trade",IF(AND(NOT(Q392),Taostats_CSV!F392="fee"),'READ ME'!$C$5,"")))</f>
        <v>Income</v>
      </c>
      <c r="J392" t="str">
        <f ca="1">SUBSTITUTE(IF(LEN(I392)=0,Taostats_CSV!F392&amp;" "&amp;Taostats_CSV!J392,IF(I392="Cost","Extrinsic fee","")),"_"," ")</f>
        <v/>
      </c>
      <c r="K392" t="str">
        <f>TRIM(IF(LEN(Taostats_CSV!I392)&gt;0,Taostats_CSV!I392,""))</f>
        <v/>
      </c>
      <c r="L392">
        <f ca="1">IF(Taostats_CSV!E392&lt;&gt;"TAO",IF(LEN(F392)&gt;0,F392,IF(LEN(D392)&gt;0,D392,0))*Taostats_CSV!P392,"")</f>
        <v>14.792051332556186</v>
      </c>
      <c r="M392" t="str">
        <f t="shared" ca="1" si="51"/>
        <v>USD</v>
      </c>
      <c r="N392">
        <f>COUNTIF(Taostats_CSV!$X:$X,Taostats_CSV!$I392&amp;N$1)</f>
        <v>0</v>
      </c>
      <c r="O392">
        <f>COUNTIF(Taostats_CSV!$X:$X,Taostats_CSV!$I392&amp;O$1)</f>
        <v>0</v>
      </c>
      <c r="P392">
        <f>COUNTIF(Taostats_CSV!$X:$X,Taostats_CSV!$I392&amp;P$1)</f>
        <v>0</v>
      </c>
      <c r="Q392" t="b">
        <f t="shared" si="52"/>
        <v>0</v>
      </c>
      <c r="R392" t="b">
        <f>IF(LEN(K392)&gt;0,COUNTIF($K$3:K392,K392),FALSE)</f>
        <v>0</v>
      </c>
      <c r="S392" t="b">
        <f>IF(Taostats_CSV!A392=Taostats_CSV!$A$2,TRUE,Taostats_CSV!G392+Taostats_CSV!H392+Taostats_CSV!R392=0)</f>
        <v>0</v>
      </c>
      <c r="T392" t="b">
        <f t="shared" si="53"/>
        <v>1</v>
      </c>
      <c r="U392" t="b" cm="1">
        <f t="array" aca="1" ref="U392" ca="1">AND(T392,OR(O392-N392&gt;1,P392&gt;1,ISERROR(A392:P392)))</f>
        <v>0</v>
      </c>
      <c r="W392" t="e">
        <f>MATCH(K392&amp;$W$2,Taostats_CSV!$X$3:$X$1167,0)</f>
        <v>#N/A</v>
      </c>
      <c r="X392" t="e">
        <f t="shared" ca="1" si="48"/>
        <v>#VALUE!</v>
      </c>
      <c r="Y392">
        <f t="shared" ca="1" si="49"/>
        <v>0.14949748500000001</v>
      </c>
      <c r="Z392" t="e">
        <f t="shared" ca="1" si="50"/>
        <v>#VALUE!</v>
      </c>
    </row>
    <row r="393" spans="1:26" hidden="1" x14ac:dyDescent="0.4">
      <c r="A393" t="str">
        <f>MID(Taostats_CSV!C393,6,2)&amp;"/"&amp;MID(Taostats_CSV!C393,9,2)&amp;"/"&amp;LEFT(Taostats_CSV!C393,4)&amp;" "&amp;MID(Taostats_CSV!C393,12,8)</f>
        <v>05/29/2025 23:59:48</v>
      </c>
      <c r="C393" t="str">
        <f ca="1">IF(Q393,OFFSET(Taostats_CSV!$E$1,MATCH(K393&amp;D$1,Taostats_CSV!$X:$X,0)-1,0),IF(Taostats_CSV!F393="fee","",IF(VALUE(Taostats_CSV!G393)&gt;0,Taostats_CSV!E393,"")))</f>
        <v/>
      </c>
      <c r="D393" t="str">
        <f ca="1">IF(Q393,OFFSET(Taostats_CSV!$G$1,MATCH(K393&amp;D$1,Taostats_CSV!$X:$X,0)-1,0),IF(Taostats_CSV!F393="fee","",IF(VALUE(Taostats_CSV!G393)&gt;0,Taostats_CSV!G393,"")))</f>
        <v/>
      </c>
      <c r="E393" t="str">
        <f ca="1">IF(AND(Q393,P393&gt;0),OFFSET(Taostats_CSV!$E$1,MATCH(K393&amp;F$1,Taostats_CSV!$X:$X,0)-1,0),IF(LEN(F393)&gt;0,Taostats_CSV!E393,""))</f>
        <v>TAO</v>
      </c>
      <c r="F393" t="str">
        <f ca="1">TRIM(IF(AND(Q393,P393&gt;0),OFFSET(Taostats_CSV!$H$1,MATCH(K393&amp;F$1,Taostats_CSV!$X:$X,0)-1,0),IF(LEN(Taostats_CSV!H393)&gt;0,Taostats_CSV!H393,Taostats_CSV!R393)))</f>
        <v>0</v>
      </c>
      <c r="G393" t="str">
        <f ca="1">IF(AND(Q393,N393=1),OFFSET(Taostats_CSV!$E$1,MATCH(K393&amp;H$1,Taostats_CSV!$X:$X,0)-1,0),IF(Taostats_CSV!F393="fee",Taostats_CSV!E393,""))</f>
        <v/>
      </c>
      <c r="H393" t="str">
        <f ca="1">IF(AND(Q393,N393=1),OFFSET(Taostats_CSV!$G$1,MATCH(K393&amp;H$1,Taostats_CSV!$X:$X,0)-1,0),IF(Taostats_CSV!F393="fee",Taostats_CSV!G393,""))</f>
        <v/>
      </c>
      <c r="I393" t="str">
        <f ca="1">IF(AND(LEN(K393)=0,LEN(F393)&gt;0),"Income",IF(AND(O393&gt;0,P393&gt;0,C393&lt;&gt;E393),"Trade",IF(AND(NOT(Q393),Taostats_CSV!F393="fee"),'READ ME'!$C$5,"")))</f>
        <v>Income</v>
      </c>
      <c r="J393" t="str">
        <f ca="1">SUBSTITUTE(IF(LEN(I393)=0,Taostats_CSV!F393&amp;" "&amp;Taostats_CSV!J393,IF(I393="Cost","Extrinsic fee","")),"_"," ")</f>
        <v/>
      </c>
      <c r="K393" t="str">
        <f>TRIM(IF(LEN(Taostats_CSV!I393)&gt;0,Taostats_CSV!I393,""))</f>
        <v/>
      </c>
      <c r="L393" t="str">
        <f>IF(Taostats_CSV!E393&lt;&gt;"TAO",IF(LEN(F393)&gt;0,F393,IF(LEN(D393)&gt;0,D393,0))*Taostats_CSV!P393,"")</f>
        <v/>
      </c>
      <c r="M393" t="str">
        <f t="shared" si="51"/>
        <v/>
      </c>
      <c r="N393">
        <f>COUNTIF(Taostats_CSV!$X:$X,Taostats_CSV!$I393&amp;N$1)</f>
        <v>0</v>
      </c>
      <c r="O393">
        <f>COUNTIF(Taostats_CSV!$X:$X,Taostats_CSV!$I393&amp;O$1)</f>
        <v>0</v>
      </c>
      <c r="P393">
        <f>COUNTIF(Taostats_CSV!$X:$X,Taostats_CSV!$I393&amp;P$1)</f>
        <v>0</v>
      </c>
      <c r="Q393" t="b">
        <f t="shared" si="52"/>
        <v>0</v>
      </c>
      <c r="R393" t="b">
        <f>IF(LEN(K393)&gt;0,COUNTIF($K$3:K393,K393),FALSE)</f>
        <v>0</v>
      </c>
      <c r="S393" t="b">
        <f>IF(Taostats_CSV!A393=Taostats_CSV!$A$2,TRUE,Taostats_CSV!G393+Taostats_CSV!H393+Taostats_CSV!R393=0)</f>
        <v>1</v>
      </c>
      <c r="T393" t="b">
        <f t="shared" si="53"/>
        <v>0</v>
      </c>
      <c r="U393" t="b" cm="1">
        <f t="array" aca="1" ref="U393" ca="1">AND(T393,OR(O393-N393&gt;1,P393&gt;1,ISERROR(A393:P393)))</f>
        <v>0</v>
      </c>
      <c r="W393" t="e">
        <f>MATCH(K393&amp;$W$2,Taostats_CSV!$X$3:$X$1167,0)</f>
        <v>#N/A</v>
      </c>
      <c r="X393" t="e">
        <f t="shared" ca="1" si="48"/>
        <v>#VALUE!</v>
      </c>
      <c r="Y393">
        <f t="shared" ca="1" si="49"/>
        <v>0</v>
      </c>
      <c r="Z393" t="e">
        <f t="shared" ca="1" si="50"/>
        <v>#VALUE!</v>
      </c>
    </row>
    <row r="394" spans="1:26" x14ac:dyDescent="0.4">
      <c r="A394" t="str">
        <f>MID(Taostats_CSV!C394,6,2)&amp;"/"&amp;MID(Taostats_CSV!C394,9,2)&amp;"/"&amp;LEFT(Taostats_CSV!C394,4)&amp;" "&amp;MID(Taostats_CSV!C394,12,8)</f>
        <v>05/30/2025 23:59:48</v>
      </c>
      <c r="C394" t="str">
        <f ca="1">IF(Q394,OFFSET(Taostats_CSV!$E$1,MATCH(K394&amp;D$1,Taostats_CSV!$X:$X,0)-1,0),IF(Taostats_CSV!F394="fee",IF(VALUE(Taostats_CSV!G394)&gt;0,Taostats_CSV!E394,""),""))</f>
        <v/>
      </c>
      <c r="D394" t="str">
        <f ca="1">IF(Q394,OFFSET(Taostats_CSV!$G$1,MATCH(K394&amp;D$1,Taostats_CSV!$X:$X,0)-1,0),IF(Taostats_CSV!F394="fee",IF(VALUE(Taostats_CSV!G394)&gt;0,Taostats_CSV!G394,""),""))</f>
        <v/>
      </c>
      <c r="E394" t="str">
        <f ca="1">IF(AND(Q394,P394&gt;0),OFFSET(Taostats_CSV!$E$1,MATCH(K394&amp;F$1,Taostats_CSV!$X:$X,0)-1,0),IF(LEN(F394)&gt;0,Taostats_CSV!E394,""))</f>
        <v>SN3</v>
      </c>
      <c r="F394" t="str">
        <f ca="1">TRIM(IF(AND(Q394,P394&gt;0),OFFSET(Taostats_CSV!$H$1,MATCH(K394&amp;F$1,Taostats_CSV!$X:$X,0)-1,0),IF(LEN(Taostats_CSV!H394)&gt;0,Taostats_CSV!H394,Taostats_CSV!R394)))</f>
        <v>0.412088658</v>
      </c>
      <c r="G394" t="str">
        <f ca="1">IF(AND(Q394,N394=1),OFFSET(Taostats_CSV!$E$1,MATCH(K394&amp;H$1,Taostats_CSV!$X:$X,0)-1,0),"")</f>
        <v/>
      </c>
      <c r="H394" t="str">
        <f ca="1">IF(AND(Q394,N394=1),OFFSET(Taostats_CSV!$G$1,MATCH(K394&amp;H$1,Taostats_CSV!$X:$X,0)-1,0),"")</f>
        <v/>
      </c>
      <c r="I394" t="str">
        <f ca="1">IF(AND(LEN(K394)=0,LEN(F394)&gt;0),"Income",IF(AND(O394&gt;0,P394&gt;0,C394&lt;&gt;E394),"Trade",IF(AND(NOT(Q394),Taostats_CSV!F394="fee"),'READ ME'!$C$5,"")))</f>
        <v>Income</v>
      </c>
      <c r="J394" t="str">
        <f ca="1">SUBSTITUTE(IF(LEN(I394)=0,Taostats_CSV!F394&amp;" "&amp;Taostats_CSV!J394,IF(I394="Cost","Extrinsic fee","")),"_"," ")</f>
        <v/>
      </c>
      <c r="K394" t="str">
        <f>TRIM(IF(LEN(Taostats_CSV!I394)&gt;0,Taostats_CSV!I394,""))</f>
        <v/>
      </c>
      <c r="L394">
        <f ca="1">IF(Taostats_CSV!E394&lt;&gt;"TAO",IF(LEN(F394)&gt;0,F394,IF(LEN(D394)&gt;0,D394,0))*Taostats_CSV!P394,"")</f>
        <v>15.847737256170811</v>
      </c>
      <c r="M394" t="str">
        <f t="shared" ca="1" si="51"/>
        <v>USD</v>
      </c>
      <c r="N394">
        <f>COUNTIF(Taostats_CSV!$X:$X,Taostats_CSV!$I394&amp;N$1)</f>
        <v>0</v>
      </c>
      <c r="O394">
        <f>COUNTIF(Taostats_CSV!$X:$X,Taostats_CSV!$I394&amp;O$1)</f>
        <v>0</v>
      </c>
      <c r="P394">
        <f>COUNTIF(Taostats_CSV!$X:$X,Taostats_CSV!$I394&amp;P$1)</f>
        <v>0</v>
      </c>
      <c r="Q394" t="b">
        <f t="shared" si="52"/>
        <v>0</v>
      </c>
      <c r="R394" t="b">
        <f>IF(LEN(K394)&gt;0,COUNTIF($K$3:K394,K394),FALSE)</f>
        <v>0</v>
      </c>
      <c r="S394" t="b">
        <f>IF(Taostats_CSV!A394=Taostats_CSV!$A$2,TRUE,Taostats_CSV!G394+Taostats_CSV!H394+Taostats_CSV!R394=0)</f>
        <v>0</v>
      </c>
      <c r="T394" t="b">
        <f t="shared" si="53"/>
        <v>1</v>
      </c>
      <c r="U394" t="b" cm="1">
        <f t="array" aca="1" ref="U394" ca="1">AND(T394,OR(O394-N394&gt;1,P394&gt;1,ISERROR(A394:P394)))</f>
        <v>0</v>
      </c>
      <c r="W394" t="e">
        <f>MATCH(K394&amp;$W$2,Taostats_CSV!$X$3:$X$1167,0)</f>
        <v>#N/A</v>
      </c>
      <c r="X394" t="e">
        <f t="shared" ca="1" si="48"/>
        <v>#VALUE!</v>
      </c>
      <c r="Y394">
        <f t="shared" ca="1" si="49"/>
        <v>0.412088658</v>
      </c>
      <c r="Z394" t="e">
        <f t="shared" ca="1" si="50"/>
        <v>#VALUE!</v>
      </c>
    </row>
    <row r="395" spans="1:26" x14ac:dyDescent="0.4">
      <c r="A395" t="str">
        <f>MID(Taostats_CSV!C395,6,2)&amp;"/"&amp;MID(Taostats_CSV!C395,9,2)&amp;"/"&amp;LEFT(Taostats_CSV!C395,4)&amp;" "&amp;MID(Taostats_CSV!C395,12,8)</f>
        <v>05/30/2025 23:59:48</v>
      </c>
      <c r="C395" t="str">
        <f ca="1">IF(Q395,OFFSET(Taostats_CSV!$E$1,MATCH(K395&amp;D$1,Taostats_CSV!$X:$X,0)-1,0),IF(Taostats_CSV!F395="fee",IF(VALUE(Taostats_CSV!G395)&gt;0,Taostats_CSV!E395,""),""))</f>
        <v/>
      </c>
      <c r="D395" t="str">
        <f ca="1">IF(Q395,OFFSET(Taostats_CSV!$G$1,MATCH(K395&amp;D$1,Taostats_CSV!$X:$X,0)-1,0),IF(Taostats_CSV!F395="fee",IF(VALUE(Taostats_CSV!G395)&gt;0,Taostats_CSV!G395,""),""))</f>
        <v/>
      </c>
      <c r="E395" t="str">
        <f ca="1">IF(AND(Q395,P395&gt;0),OFFSET(Taostats_CSV!$E$1,MATCH(K395&amp;F$1,Taostats_CSV!$X:$X,0)-1,0),IF(LEN(F395)&gt;0,Taostats_CSV!E395,""))</f>
        <v>SN4</v>
      </c>
      <c r="F395" t="str">
        <f ca="1">TRIM(IF(AND(Q395,P395&gt;0),OFFSET(Taostats_CSV!$H$1,MATCH(K395&amp;F$1,Taostats_CSV!$X:$X,0)-1,0),IF(LEN(Taostats_CSV!H395)&gt;0,Taostats_CSV!H395,Taostats_CSV!R395)))</f>
        <v>0.428126916</v>
      </c>
      <c r="G395" t="str">
        <f ca="1">IF(AND(Q395,N395=1),OFFSET(Taostats_CSV!$E$1,MATCH(K395&amp;H$1,Taostats_CSV!$X:$X,0)-1,0),"")</f>
        <v/>
      </c>
      <c r="H395" t="str">
        <f ca="1">IF(AND(Q395,N395=1),OFFSET(Taostats_CSV!$G$1,MATCH(K395&amp;H$1,Taostats_CSV!$X:$X,0)-1,0),"")</f>
        <v/>
      </c>
      <c r="I395" t="str">
        <f ca="1">IF(AND(LEN(K395)=0,LEN(F395)&gt;0),"Income",IF(AND(O395&gt;0,P395&gt;0,C395&lt;&gt;E395),"Trade",IF(AND(NOT(Q395),Taostats_CSV!F395="fee"),'READ ME'!$C$5,"")))</f>
        <v>Income</v>
      </c>
      <c r="J395" t="str">
        <f ca="1">SUBSTITUTE(IF(LEN(I395)=0,Taostats_CSV!F395&amp;" "&amp;Taostats_CSV!J395,IF(I395="Cost","Extrinsic fee","")),"_"," ")</f>
        <v/>
      </c>
      <c r="K395" t="str">
        <f>TRIM(IF(LEN(Taostats_CSV!I395)&gt;0,Taostats_CSV!I395,""))</f>
        <v/>
      </c>
      <c r="L395">
        <f ca="1">IF(Taostats_CSV!E395&lt;&gt;"TAO",IF(LEN(F395)&gt;0,F395,IF(LEN(D395)&gt;0,D395,0))*Taostats_CSV!P395,"")</f>
        <v>15.857728282387637</v>
      </c>
      <c r="M395" t="str">
        <f t="shared" ca="1" si="51"/>
        <v>USD</v>
      </c>
      <c r="N395">
        <f>COUNTIF(Taostats_CSV!$X:$X,Taostats_CSV!$I395&amp;N$1)</f>
        <v>0</v>
      </c>
      <c r="O395">
        <f>COUNTIF(Taostats_CSV!$X:$X,Taostats_CSV!$I395&amp;O$1)</f>
        <v>0</v>
      </c>
      <c r="P395">
        <f>COUNTIF(Taostats_CSV!$X:$X,Taostats_CSV!$I395&amp;P$1)</f>
        <v>0</v>
      </c>
      <c r="Q395" t="b">
        <f t="shared" si="52"/>
        <v>0</v>
      </c>
      <c r="R395" t="b">
        <f>IF(LEN(K395)&gt;0,COUNTIF($K$3:K395,K395),FALSE)</f>
        <v>0</v>
      </c>
      <c r="S395" t="b">
        <f>IF(Taostats_CSV!A395=Taostats_CSV!$A$2,TRUE,Taostats_CSV!G395+Taostats_CSV!H395+Taostats_CSV!R395=0)</f>
        <v>0</v>
      </c>
      <c r="T395" t="b">
        <f t="shared" si="53"/>
        <v>1</v>
      </c>
      <c r="U395" t="b" cm="1">
        <f t="array" aca="1" ref="U395" ca="1">AND(T395,OR(O395-N395&gt;1,P395&gt;1,ISERROR(A395:P395)))</f>
        <v>0</v>
      </c>
      <c r="W395" t="e">
        <f>MATCH(K395&amp;$W$2,Taostats_CSV!$X$3:$X$1167,0)</f>
        <v>#N/A</v>
      </c>
      <c r="X395" t="e">
        <f t="shared" ca="1" si="48"/>
        <v>#VALUE!</v>
      </c>
      <c r="Y395">
        <f t="shared" ca="1" si="49"/>
        <v>0.42812691600000002</v>
      </c>
      <c r="Z395" t="e">
        <f t="shared" ca="1" si="50"/>
        <v>#VALUE!</v>
      </c>
    </row>
    <row r="396" spans="1:26" x14ac:dyDescent="0.4">
      <c r="A396" t="str">
        <f>MID(Taostats_CSV!C396,6,2)&amp;"/"&amp;MID(Taostats_CSV!C396,9,2)&amp;"/"&amp;LEFT(Taostats_CSV!C396,4)&amp;" "&amp;MID(Taostats_CSV!C396,12,8)</f>
        <v>05/30/2025 23:59:48</v>
      </c>
      <c r="C396" t="str">
        <f ca="1">IF(Q396,OFFSET(Taostats_CSV!$E$1,MATCH(K396&amp;D$1,Taostats_CSV!$X:$X,0)-1,0),IF(Taostats_CSV!F396="fee",IF(VALUE(Taostats_CSV!G396)&gt;0,Taostats_CSV!E396,""),""))</f>
        <v/>
      </c>
      <c r="D396" t="str">
        <f ca="1">IF(Q396,OFFSET(Taostats_CSV!$G$1,MATCH(K396&amp;D$1,Taostats_CSV!$X:$X,0)-1,0),IF(Taostats_CSV!F396="fee",IF(VALUE(Taostats_CSV!G396)&gt;0,Taostats_CSV!G396,""),""))</f>
        <v/>
      </c>
      <c r="E396" t="str">
        <f ca="1">IF(AND(Q396,P396&gt;0),OFFSET(Taostats_CSV!$E$1,MATCH(K396&amp;F$1,Taostats_CSV!$X:$X,0)-1,0),IF(LEN(F396)&gt;0,Taostats_CSV!E396,""))</f>
        <v>SN56</v>
      </c>
      <c r="F396" t="str">
        <f ca="1">TRIM(IF(AND(Q396,P396&gt;0),OFFSET(Taostats_CSV!$H$1,MATCH(K396&amp;F$1,Taostats_CSV!$X:$X,0)-1,0),IF(LEN(Taostats_CSV!H396)&gt;0,Taostats_CSV!H396,Taostats_CSV!R396)))</f>
        <v>0.240934857</v>
      </c>
      <c r="G396" t="str">
        <f ca="1">IF(AND(Q396,N396=1),OFFSET(Taostats_CSV!$E$1,MATCH(K396&amp;H$1,Taostats_CSV!$X:$X,0)-1,0),"")</f>
        <v/>
      </c>
      <c r="H396" t="str">
        <f ca="1">IF(AND(Q396,N396=1),OFFSET(Taostats_CSV!$G$1,MATCH(K396&amp;H$1,Taostats_CSV!$X:$X,0)-1,0),"")</f>
        <v/>
      </c>
      <c r="I396" t="str">
        <f ca="1">IF(AND(LEN(K396)=0,LEN(F396)&gt;0),"Income",IF(AND(O396&gt;0,P396&gt;0,C396&lt;&gt;E396),"Trade",IF(AND(NOT(Q396),Taostats_CSV!F396="fee"),'READ ME'!$C$5,"")))</f>
        <v>Income</v>
      </c>
      <c r="J396" t="str">
        <f ca="1">SUBSTITUTE(IF(LEN(I396)=0,Taostats_CSV!F396&amp;" "&amp;Taostats_CSV!J396,IF(I396="Cost","Extrinsic fee","")),"_"," ")</f>
        <v/>
      </c>
      <c r="K396" t="str">
        <f>TRIM(IF(LEN(Taostats_CSV!I396)&gt;0,Taostats_CSV!I396,""))</f>
        <v/>
      </c>
      <c r="L396">
        <f ca="1">IF(Taostats_CSV!E396&lt;&gt;"TAO",IF(LEN(F396)&gt;0,F396,IF(LEN(D396)&gt;0,D396,0))*Taostats_CSV!P396,"")</f>
        <v>9.4366548405772477</v>
      </c>
      <c r="M396" t="str">
        <f t="shared" ca="1" si="51"/>
        <v>USD</v>
      </c>
      <c r="N396">
        <f>COUNTIF(Taostats_CSV!$X:$X,Taostats_CSV!$I396&amp;N$1)</f>
        <v>0</v>
      </c>
      <c r="O396">
        <f>COUNTIF(Taostats_CSV!$X:$X,Taostats_CSV!$I396&amp;O$1)</f>
        <v>0</v>
      </c>
      <c r="P396">
        <f>COUNTIF(Taostats_CSV!$X:$X,Taostats_CSV!$I396&amp;P$1)</f>
        <v>0</v>
      </c>
      <c r="Q396" t="b">
        <f t="shared" si="52"/>
        <v>0</v>
      </c>
      <c r="R396" t="b">
        <f>IF(LEN(K396)&gt;0,COUNTIF($K$3:K396,K396),FALSE)</f>
        <v>0</v>
      </c>
      <c r="S396" t="b">
        <f>IF(Taostats_CSV!A396=Taostats_CSV!$A$2,TRUE,Taostats_CSV!G396+Taostats_CSV!H396+Taostats_CSV!R396=0)</f>
        <v>0</v>
      </c>
      <c r="T396" t="b">
        <f t="shared" si="53"/>
        <v>1</v>
      </c>
      <c r="U396" t="b" cm="1">
        <f t="array" aca="1" ref="U396" ca="1">AND(T396,OR(O396-N396&gt;1,P396&gt;1,ISERROR(A396:P396)))</f>
        <v>0</v>
      </c>
      <c r="W396" t="e">
        <f>MATCH(K396&amp;$W$2,Taostats_CSV!$X$3:$X$1167,0)</f>
        <v>#N/A</v>
      </c>
      <c r="X396" t="e">
        <f t="shared" ca="1" si="48"/>
        <v>#VALUE!</v>
      </c>
      <c r="Y396">
        <f t="shared" ca="1" si="49"/>
        <v>0.240934857</v>
      </c>
      <c r="Z396" t="e">
        <f t="shared" ca="1" si="50"/>
        <v>#VALUE!</v>
      </c>
    </row>
    <row r="397" spans="1:26" x14ac:dyDescent="0.4">
      <c r="A397" t="str">
        <f>MID(Taostats_CSV!C397,6,2)&amp;"/"&amp;MID(Taostats_CSV!C397,9,2)&amp;"/"&amp;LEFT(Taostats_CSV!C397,4)&amp;" "&amp;MID(Taostats_CSV!C397,12,8)</f>
        <v>05/30/2025 23:59:48</v>
      </c>
      <c r="C397" t="str">
        <f ca="1">IF(Q397,OFFSET(Taostats_CSV!$E$1,MATCH(K397&amp;D$1,Taostats_CSV!$X:$X,0)-1,0),IF(Taostats_CSV!F397="fee",IF(VALUE(Taostats_CSV!G397)&gt;0,Taostats_CSV!E397,""),""))</f>
        <v/>
      </c>
      <c r="D397" t="str">
        <f ca="1">IF(Q397,OFFSET(Taostats_CSV!$G$1,MATCH(K397&amp;D$1,Taostats_CSV!$X:$X,0)-1,0),IF(Taostats_CSV!F397="fee",IF(VALUE(Taostats_CSV!G397)&gt;0,Taostats_CSV!G397,""),""))</f>
        <v/>
      </c>
      <c r="E397" t="str">
        <f ca="1">IF(AND(Q397,P397&gt;0),OFFSET(Taostats_CSV!$E$1,MATCH(K397&amp;F$1,Taostats_CSV!$X:$X,0)-1,0),IF(LEN(F397)&gt;0,Taostats_CSV!E397,""))</f>
        <v>SN64</v>
      </c>
      <c r="F397" t="str">
        <f ca="1">TRIM(IF(AND(Q397,P397&gt;0),OFFSET(Taostats_CSV!$H$1,MATCH(K397&amp;F$1,Taostats_CSV!$X:$X,0)-1,0),IF(LEN(Taostats_CSV!H397)&gt;0,Taostats_CSV!H397,Taostats_CSV!R397)))</f>
        <v>0.152674016</v>
      </c>
      <c r="G397" t="str">
        <f ca="1">IF(AND(Q397,N397=1),OFFSET(Taostats_CSV!$E$1,MATCH(K397&amp;H$1,Taostats_CSV!$X:$X,0)-1,0),"")</f>
        <v/>
      </c>
      <c r="H397" t="str">
        <f ca="1">IF(AND(Q397,N397=1),OFFSET(Taostats_CSV!$G$1,MATCH(K397&amp;H$1,Taostats_CSV!$X:$X,0)-1,0),"")</f>
        <v/>
      </c>
      <c r="I397" t="str">
        <f ca="1">IF(AND(LEN(K397)=0,LEN(F397)&gt;0),"Income",IF(AND(O397&gt;0,P397&gt;0,C397&lt;&gt;E397),"Trade",IF(AND(NOT(Q397),Taostats_CSV!F397="fee"),'READ ME'!$C$5,"")))</f>
        <v>Income</v>
      </c>
      <c r="J397" t="str">
        <f ca="1">SUBSTITUTE(IF(LEN(I397)=0,Taostats_CSV!F397&amp;" "&amp;Taostats_CSV!J397,IF(I397="Cost","Extrinsic fee","")),"_"," ")</f>
        <v/>
      </c>
      <c r="K397" t="str">
        <f>TRIM(IF(LEN(Taostats_CSV!I397)&gt;0,Taostats_CSV!I397,""))</f>
        <v/>
      </c>
      <c r="L397">
        <f ca="1">IF(Taostats_CSV!E397&lt;&gt;"TAO",IF(LEN(F397)&gt;0,F397,IF(LEN(D397)&gt;0,D397,0))*Taostats_CSV!P397,"")</f>
        <v>13.932877550528058</v>
      </c>
      <c r="M397" t="str">
        <f t="shared" ca="1" si="51"/>
        <v>USD</v>
      </c>
      <c r="N397">
        <f>COUNTIF(Taostats_CSV!$X:$X,Taostats_CSV!$I397&amp;N$1)</f>
        <v>0</v>
      </c>
      <c r="O397">
        <f>COUNTIF(Taostats_CSV!$X:$X,Taostats_CSV!$I397&amp;O$1)</f>
        <v>0</v>
      </c>
      <c r="P397">
        <f>COUNTIF(Taostats_CSV!$X:$X,Taostats_CSV!$I397&amp;P$1)</f>
        <v>0</v>
      </c>
      <c r="Q397" t="b">
        <f t="shared" si="52"/>
        <v>0</v>
      </c>
      <c r="R397" t="b">
        <f>IF(LEN(K397)&gt;0,COUNTIF($K$3:K397,K397),FALSE)</f>
        <v>0</v>
      </c>
      <c r="S397" t="b">
        <f>IF(Taostats_CSV!A397=Taostats_CSV!$A$2,TRUE,Taostats_CSV!G397+Taostats_CSV!H397+Taostats_CSV!R397=0)</f>
        <v>0</v>
      </c>
      <c r="T397" t="b">
        <f t="shared" si="53"/>
        <v>1</v>
      </c>
      <c r="U397" t="b" cm="1">
        <f t="array" aca="1" ref="U397" ca="1">AND(T397,OR(O397-N397&gt;1,P397&gt;1,ISERROR(A397:P397)))</f>
        <v>0</v>
      </c>
      <c r="W397" t="e">
        <f>MATCH(K397&amp;$W$2,Taostats_CSV!$X$3:$X$1167,0)</f>
        <v>#N/A</v>
      </c>
      <c r="X397" t="e">
        <f t="shared" ca="1" si="48"/>
        <v>#VALUE!</v>
      </c>
      <c r="Y397">
        <f t="shared" ca="1" si="49"/>
        <v>0.152674016</v>
      </c>
      <c r="Z397" t="e">
        <f t="shared" ca="1" si="50"/>
        <v>#VALUE!</v>
      </c>
    </row>
    <row r="398" spans="1:26" hidden="1" x14ac:dyDescent="0.4">
      <c r="A398" t="str">
        <f>MID(Taostats_CSV!C398,6,2)&amp;"/"&amp;MID(Taostats_CSV!C398,9,2)&amp;"/"&amp;LEFT(Taostats_CSV!C398,4)&amp;" "&amp;MID(Taostats_CSV!C398,12,8)</f>
        <v>05/30/2025 23:59:48</v>
      </c>
      <c r="C398" t="str">
        <f ca="1">IF(Q398,OFFSET(Taostats_CSV!$E$1,MATCH(K398&amp;D$1,Taostats_CSV!$X:$X,0)-1,0),IF(Taostats_CSV!F398="fee","",IF(VALUE(Taostats_CSV!G398)&gt;0,Taostats_CSV!E398,"")))</f>
        <v/>
      </c>
      <c r="D398" t="str">
        <f ca="1">IF(Q398,OFFSET(Taostats_CSV!$G$1,MATCH(K398&amp;D$1,Taostats_CSV!$X:$X,0)-1,0),IF(Taostats_CSV!F398="fee","",IF(VALUE(Taostats_CSV!G398)&gt;0,Taostats_CSV!G398,"")))</f>
        <v/>
      </c>
      <c r="E398" t="str">
        <f ca="1">IF(AND(Q398,P398&gt;0),OFFSET(Taostats_CSV!$E$1,MATCH(K398&amp;F$1,Taostats_CSV!$X:$X,0)-1,0),IF(LEN(F398)&gt;0,Taostats_CSV!E398,""))</f>
        <v>TAO</v>
      </c>
      <c r="F398" t="str">
        <f ca="1">TRIM(IF(AND(Q398,P398&gt;0),OFFSET(Taostats_CSV!$H$1,MATCH(K398&amp;F$1,Taostats_CSV!$X:$X,0)-1,0),IF(LEN(Taostats_CSV!H398)&gt;0,Taostats_CSV!H398,Taostats_CSV!R398)))</f>
        <v>0</v>
      </c>
      <c r="G398" t="str">
        <f ca="1">IF(AND(Q398,N398=1),OFFSET(Taostats_CSV!$E$1,MATCH(K398&amp;H$1,Taostats_CSV!$X:$X,0)-1,0),IF(Taostats_CSV!F398="fee",Taostats_CSV!E398,""))</f>
        <v/>
      </c>
      <c r="H398" t="str">
        <f ca="1">IF(AND(Q398,N398=1),OFFSET(Taostats_CSV!$G$1,MATCH(K398&amp;H$1,Taostats_CSV!$X:$X,0)-1,0),IF(Taostats_CSV!F398="fee",Taostats_CSV!G398,""))</f>
        <v/>
      </c>
      <c r="I398" t="str">
        <f ca="1">IF(AND(LEN(K398)=0,LEN(F398)&gt;0),"Income",IF(AND(O398&gt;0,P398&gt;0,C398&lt;&gt;E398),"Trade",IF(AND(NOT(Q398),Taostats_CSV!F398="fee"),'READ ME'!$C$5,"")))</f>
        <v>Income</v>
      </c>
      <c r="J398" t="str">
        <f ca="1">SUBSTITUTE(IF(LEN(I398)=0,Taostats_CSV!F398&amp;" "&amp;Taostats_CSV!J398,IF(I398="Cost","Extrinsic fee","")),"_"," ")</f>
        <v/>
      </c>
      <c r="K398" t="str">
        <f>TRIM(IF(LEN(Taostats_CSV!I398)&gt;0,Taostats_CSV!I398,""))</f>
        <v/>
      </c>
      <c r="L398" t="str">
        <f>IF(Taostats_CSV!E398&lt;&gt;"TAO",IF(LEN(F398)&gt;0,F398,IF(LEN(D398)&gt;0,D398,0))*Taostats_CSV!P398,"")</f>
        <v/>
      </c>
      <c r="M398" t="str">
        <f t="shared" si="51"/>
        <v/>
      </c>
      <c r="N398">
        <f>COUNTIF(Taostats_CSV!$X:$X,Taostats_CSV!$I398&amp;N$1)</f>
        <v>0</v>
      </c>
      <c r="O398">
        <f>COUNTIF(Taostats_CSV!$X:$X,Taostats_CSV!$I398&amp;O$1)</f>
        <v>0</v>
      </c>
      <c r="P398">
        <f>COUNTIF(Taostats_CSV!$X:$X,Taostats_CSV!$I398&amp;P$1)</f>
        <v>0</v>
      </c>
      <c r="Q398" t="b">
        <f t="shared" si="52"/>
        <v>0</v>
      </c>
      <c r="R398" t="b">
        <f>IF(LEN(K398)&gt;0,COUNTIF($K$3:K398,K398),FALSE)</f>
        <v>0</v>
      </c>
      <c r="S398" t="b">
        <f>IF(Taostats_CSV!A398=Taostats_CSV!$A$2,TRUE,Taostats_CSV!G398+Taostats_CSV!H398+Taostats_CSV!R398=0)</f>
        <v>1</v>
      </c>
      <c r="T398" t="b">
        <f t="shared" si="53"/>
        <v>0</v>
      </c>
      <c r="U398" t="b" cm="1">
        <f t="array" aca="1" ref="U398" ca="1">AND(T398,OR(O398-N398&gt;1,P398&gt;1,ISERROR(A398:P398)))</f>
        <v>0</v>
      </c>
      <c r="W398" t="e">
        <f>MATCH(K398&amp;$W$2,Taostats_CSV!$X$3:$X$1167,0)</f>
        <v>#N/A</v>
      </c>
      <c r="X398" t="e">
        <f t="shared" ca="1" si="48"/>
        <v>#VALUE!</v>
      </c>
      <c r="Y398">
        <f t="shared" ca="1" si="49"/>
        <v>0</v>
      </c>
      <c r="Z398" t="e">
        <f t="shared" ca="1" si="50"/>
        <v>#VALUE!</v>
      </c>
    </row>
    <row r="399" spans="1:26" x14ac:dyDescent="0.4">
      <c r="A399" t="str">
        <f>MID(Taostats_CSV!C399,6,2)&amp;"/"&amp;MID(Taostats_CSV!C399,9,2)&amp;"/"&amp;LEFT(Taostats_CSV!C399,4)&amp;" "&amp;MID(Taostats_CSV!C399,12,8)</f>
        <v>05/31/2025 23:59:48</v>
      </c>
      <c r="C399" t="str">
        <f ca="1">IF(Q399,OFFSET(Taostats_CSV!$E$1,MATCH(K399&amp;D$1,Taostats_CSV!$X:$X,0)-1,0),IF(Taostats_CSV!F399="fee",IF(VALUE(Taostats_CSV!G399)&gt;0,Taostats_CSV!E399,""),""))</f>
        <v/>
      </c>
      <c r="D399" t="str">
        <f ca="1">IF(Q399,OFFSET(Taostats_CSV!$G$1,MATCH(K399&amp;D$1,Taostats_CSV!$X:$X,0)-1,0),IF(Taostats_CSV!F399="fee",IF(VALUE(Taostats_CSV!G399)&gt;0,Taostats_CSV!G399,""),""))</f>
        <v/>
      </c>
      <c r="E399" t="str">
        <f ca="1">IF(AND(Q399,P399&gt;0),OFFSET(Taostats_CSV!$E$1,MATCH(K399&amp;F$1,Taostats_CSV!$X:$X,0)-1,0),IF(LEN(F399)&gt;0,Taostats_CSV!E399,""))</f>
        <v>SN3</v>
      </c>
      <c r="F399" t="str">
        <f ca="1">TRIM(IF(AND(Q399,P399&gt;0),OFFSET(Taostats_CSV!$H$1,MATCH(K399&amp;F$1,Taostats_CSV!$X:$X,0)-1,0),IF(LEN(Taostats_CSV!H399)&gt;0,Taostats_CSV!H399,Taostats_CSV!R399)))</f>
        <v>0.408891313</v>
      </c>
      <c r="G399" t="str">
        <f ca="1">IF(AND(Q399,N399=1),OFFSET(Taostats_CSV!$E$1,MATCH(K399&amp;H$1,Taostats_CSV!$X:$X,0)-1,0),"")</f>
        <v/>
      </c>
      <c r="H399" t="str">
        <f ca="1">IF(AND(Q399,N399=1),OFFSET(Taostats_CSV!$G$1,MATCH(K399&amp;H$1,Taostats_CSV!$X:$X,0)-1,0),"")</f>
        <v/>
      </c>
      <c r="I399" t="str">
        <f ca="1">IF(AND(LEN(K399)=0,LEN(F399)&gt;0),"Income",IF(AND(O399&gt;0,P399&gt;0,C399&lt;&gt;E399),"Trade",IF(AND(NOT(Q399),Taostats_CSV!F399="fee"),'READ ME'!$C$5,"")))</f>
        <v>Income</v>
      </c>
      <c r="J399" t="str">
        <f ca="1">SUBSTITUTE(IF(LEN(I399)=0,Taostats_CSV!F399&amp;" "&amp;Taostats_CSV!J399,IF(I399="Cost","Extrinsic fee","")),"_"," ")</f>
        <v/>
      </c>
      <c r="K399" t="str">
        <f>TRIM(IF(LEN(Taostats_CSV!I399)&gt;0,Taostats_CSV!I399,""))</f>
        <v/>
      </c>
      <c r="L399">
        <f ca="1">IF(Taostats_CSV!E399&lt;&gt;"TAO",IF(LEN(F399)&gt;0,F399,IF(LEN(D399)&gt;0,D399,0))*Taostats_CSV!P399,"")</f>
        <v>17.614198998741085</v>
      </c>
      <c r="M399" t="str">
        <f t="shared" ca="1" si="51"/>
        <v>USD</v>
      </c>
      <c r="N399">
        <f>COUNTIF(Taostats_CSV!$X:$X,Taostats_CSV!$I399&amp;N$1)</f>
        <v>0</v>
      </c>
      <c r="O399">
        <f>COUNTIF(Taostats_CSV!$X:$X,Taostats_CSV!$I399&amp;O$1)</f>
        <v>0</v>
      </c>
      <c r="P399">
        <f>COUNTIF(Taostats_CSV!$X:$X,Taostats_CSV!$I399&amp;P$1)</f>
        <v>0</v>
      </c>
      <c r="Q399" t="b">
        <f t="shared" si="52"/>
        <v>0</v>
      </c>
      <c r="R399" t="b">
        <f>IF(LEN(K399)&gt;0,COUNTIF($K$3:K399,K399),FALSE)</f>
        <v>0</v>
      </c>
      <c r="S399" t="b">
        <f>IF(Taostats_CSV!A399=Taostats_CSV!$A$2,TRUE,Taostats_CSV!G399+Taostats_CSV!H399+Taostats_CSV!R399=0)</f>
        <v>0</v>
      </c>
      <c r="T399" t="b">
        <f t="shared" si="53"/>
        <v>1</v>
      </c>
      <c r="U399" t="b" cm="1">
        <f t="array" aca="1" ref="U399" ca="1">AND(T399,OR(O399-N399&gt;1,P399&gt;1,ISERROR(A399:P399)))</f>
        <v>0</v>
      </c>
      <c r="W399" t="e">
        <f>MATCH(K399&amp;$W$2,Taostats_CSV!$X$3:$X$1167,0)</f>
        <v>#N/A</v>
      </c>
      <c r="X399" t="e">
        <f t="shared" ca="1" si="48"/>
        <v>#VALUE!</v>
      </c>
      <c r="Y399">
        <f t="shared" ca="1" si="49"/>
        <v>0.40889131299999998</v>
      </c>
      <c r="Z399" t="e">
        <f t="shared" ca="1" si="50"/>
        <v>#VALUE!</v>
      </c>
    </row>
    <row r="400" spans="1:26" x14ac:dyDescent="0.4">
      <c r="A400" t="str">
        <f>MID(Taostats_CSV!C400,6,2)&amp;"/"&amp;MID(Taostats_CSV!C400,9,2)&amp;"/"&amp;LEFT(Taostats_CSV!C400,4)&amp;" "&amp;MID(Taostats_CSV!C400,12,8)</f>
        <v>05/31/2025 23:59:48</v>
      </c>
      <c r="C400" t="str">
        <f ca="1">IF(Q400,OFFSET(Taostats_CSV!$E$1,MATCH(K400&amp;D$1,Taostats_CSV!$X:$X,0)-1,0),IF(Taostats_CSV!F400="fee",IF(VALUE(Taostats_CSV!G400)&gt;0,Taostats_CSV!E400,""),""))</f>
        <v/>
      </c>
      <c r="D400" t="str">
        <f ca="1">IF(Q400,OFFSET(Taostats_CSV!$G$1,MATCH(K400&amp;D$1,Taostats_CSV!$X:$X,0)-1,0),IF(Taostats_CSV!F400="fee",IF(VALUE(Taostats_CSV!G400)&gt;0,Taostats_CSV!G400,""),""))</f>
        <v/>
      </c>
      <c r="E400" t="str">
        <f ca="1">IF(AND(Q400,P400&gt;0),OFFSET(Taostats_CSV!$E$1,MATCH(K400&amp;F$1,Taostats_CSV!$X:$X,0)-1,0),IF(LEN(F400)&gt;0,Taostats_CSV!E400,""))</f>
        <v>SN4</v>
      </c>
      <c r="F400" t="str">
        <f ca="1">TRIM(IF(AND(Q400,P400&gt;0),OFFSET(Taostats_CSV!$H$1,MATCH(K400&amp;F$1,Taostats_CSV!$X:$X,0)-1,0),IF(LEN(Taostats_CSV!H400)&gt;0,Taostats_CSV!H400,Taostats_CSV!R400)))</f>
        <v>0.428108201</v>
      </c>
      <c r="G400" t="str">
        <f ca="1">IF(AND(Q400,N400=1),OFFSET(Taostats_CSV!$E$1,MATCH(K400&amp;H$1,Taostats_CSV!$X:$X,0)-1,0),"")</f>
        <v/>
      </c>
      <c r="H400" t="str">
        <f ca="1">IF(AND(Q400,N400=1),OFFSET(Taostats_CSV!$G$1,MATCH(K400&amp;H$1,Taostats_CSV!$X:$X,0)-1,0),"")</f>
        <v/>
      </c>
      <c r="I400" t="str">
        <f ca="1">IF(AND(LEN(K400)=0,LEN(F400)&gt;0),"Income",IF(AND(O400&gt;0,P400&gt;0,C400&lt;&gt;E400),"Trade",IF(AND(NOT(Q400),Taostats_CSV!F400="fee"),'READ ME'!$C$5,"")))</f>
        <v>Income</v>
      </c>
      <c r="J400" t="str">
        <f ca="1">SUBSTITUTE(IF(LEN(I400)=0,Taostats_CSV!F400&amp;" "&amp;Taostats_CSV!J400,IF(I400="Cost","Extrinsic fee","")),"_"," ")</f>
        <v/>
      </c>
      <c r="K400" t="str">
        <f>TRIM(IF(LEN(Taostats_CSV!I400)&gt;0,Taostats_CSV!I400,""))</f>
        <v/>
      </c>
      <c r="L400">
        <f ca="1">IF(Taostats_CSV!E400&lt;&gt;"TAO",IF(LEN(F400)&gt;0,F400,IF(LEN(D400)&gt;0,D400,0))*Taostats_CSV!P400,"")</f>
        <v>17.780415427606545</v>
      </c>
      <c r="M400" t="str">
        <f t="shared" ca="1" si="51"/>
        <v>USD</v>
      </c>
      <c r="N400">
        <f>COUNTIF(Taostats_CSV!$X:$X,Taostats_CSV!$I400&amp;N$1)</f>
        <v>0</v>
      </c>
      <c r="O400">
        <f>COUNTIF(Taostats_CSV!$X:$X,Taostats_CSV!$I400&amp;O$1)</f>
        <v>0</v>
      </c>
      <c r="P400">
        <f>COUNTIF(Taostats_CSV!$X:$X,Taostats_CSV!$I400&amp;P$1)</f>
        <v>0</v>
      </c>
      <c r="Q400" t="b">
        <f t="shared" si="52"/>
        <v>0</v>
      </c>
      <c r="R400" t="b">
        <f>IF(LEN(K400)&gt;0,COUNTIF($K$3:K400,K400),FALSE)</f>
        <v>0</v>
      </c>
      <c r="S400" t="b">
        <f>IF(Taostats_CSV!A400=Taostats_CSV!$A$2,TRUE,Taostats_CSV!G400+Taostats_CSV!H400+Taostats_CSV!R400=0)</f>
        <v>0</v>
      </c>
      <c r="T400" t="b">
        <f t="shared" si="53"/>
        <v>1</v>
      </c>
      <c r="U400" t="b" cm="1">
        <f t="array" aca="1" ref="U400" ca="1">AND(T400,OR(O400-N400&gt;1,P400&gt;1,ISERROR(A400:P400)))</f>
        <v>0</v>
      </c>
      <c r="W400" t="e">
        <f>MATCH(K400&amp;$W$2,Taostats_CSV!$X$3:$X$1167,0)</f>
        <v>#N/A</v>
      </c>
      <c r="X400" t="e">
        <f t="shared" ca="1" si="48"/>
        <v>#VALUE!</v>
      </c>
      <c r="Y400">
        <f t="shared" ca="1" si="49"/>
        <v>0.42810820100000002</v>
      </c>
      <c r="Z400" t="e">
        <f t="shared" ca="1" si="50"/>
        <v>#VALUE!</v>
      </c>
    </row>
    <row r="401" spans="1:26" x14ac:dyDescent="0.4">
      <c r="A401" t="str">
        <f>MID(Taostats_CSV!C401,6,2)&amp;"/"&amp;MID(Taostats_CSV!C401,9,2)&amp;"/"&amp;LEFT(Taostats_CSV!C401,4)&amp;" "&amp;MID(Taostats_CSV!C401,12,8)</f>
        <v>05/31/2025 23:59:48</v>
      </c>
      <c r="C401" t="str">
        <f ca="1">IF(Q401,OFFSET(Taostats_CSV!$E$1,MATCH(K401&amp;D$1,Taostats_CSV!$X:$X,0)-1,0),IF(Taostats_CSV!F401="fee",IF(VALUE(Taostats_CSV!G401)&gt;0,Taostats_CSV!E401,""),""))</f>
        <v/>
      </c>
      <c r="D401" t="str">
        <f ca="1">IF(Q401,OFFSET(Taostats_CSV!$G$1,MATCH(K401&amp;D$1,Taostats_CSV!$X:$X,0)-1,0),IF(Taostats_CSV!F401="fee",IF(VALUE(Taostats_CSV!G401)&gt;0,Taostats_CSV!G401,""),""))</f>
        <v/>
      </c>
      <c r="E401" t="str">
        <f ca="1">IF(AND(Q401,P401&gt;0),OFFSET(Taostats_CSV!$E$1,MATCH(K401&amp;F$1,Taostats_CSV!$X:$X,0)-1,0),IF(LEN(F401)&gt;0,Taostats_CSV!E401,""))</f>
        <v>SN56</v>
      </c>
      <c r="F401" t="str">
        <f ca="1">TRIM(IF(AND(Q401,P401&gt;0),OFFSET(Taostats_CSV!$H$1,MATCH(K401&amp;F$1,Taostats_CSV!$X:$X,0)-1,0),IF(LEN(Taostats_CSV!H401)&gt;0,Taostats_CSV!H401,Taostats_CSV!R401)))</f>
        <v>0.240282912</v>
      </c>
      <c r="G401" t="str">
        <f ca="1">IF(AND(Q401,N401=1),OFFSET(Taostats_CSV!$E$1,MATCH(K401&amp;H$1,Taostats_CSV!$X:$X,0)-1,0),"")</f>
        <v/>
      </c>
      <c r="H401" t="str">
        <f ca="1">IF(AND(Q401,N401=1),OFFSET(Taostats_CSV!$G$1,MATCH(K401&amp;H$1,Taostats_CSV!$X:$X,0)-1,0),"")</f>
        <v/>
      </c>
      <c r="I401" t="str">
        <f ca="1">IF(AND(LEN(K401)=0,LEN(F401)&gt;0),"Income",IF(AND(O401&gt;0,P401&gt;0,C401&lt;&gt;E401),"Trade",IF(AND(NOT(Q401),Taostats_CSV!F401="fee"),'READ ME'!$C$5,"")))</f>
        <v>Income</v>
      </c>
      <c r="J401" t="str">
        <f ca="1">SUBSTITUTE(IF(LEN(I401)=0,Taostats_CSV!F401&amp;" "&amp;Taostats_CSV!J401,IF(I401="Cost","Extrinsic fee","")),"_"," ")</f>
        <v/>
      </c>
      <c r="K401" t="str">
        <f>TRIM(IF(LEN(Taostats_CSV!I401)&gt;0,Taostats_CSV!I401,""))</f>
        <v/>
      </c>
      <c r="L401">
        <f ca="1">IF(Taostats_CSV!E401&lt;&gt;"TAO",IF(LEN(F401)&gt;0,F401,IF(LEN(D401)&gt;0,D401,0))*Taostats_CSV!P401,"")</f>
        <v>10.602506503151165</v>
      </c>
      <c r="M401" t="str">
        <f t="shared" ca="1" si="51"/>
        <v>USD</v>
      </c>
      <c r="N401">
        <f>COUNTIF(Taostats_CSV!$X:$X,Taostats_CSV!$I401&amp;N$1)</f>
        <v>0</v>
      </c>
      <c r="O401">
        <f>COUNTIF(Taostats_CSV!$X:$X,Taostats_CSV!$I401&amp;O$1)</f>
        <v>0</v>
      </c>
      <c r="P401">
        <f>COUNTIF(Taostats_CSV!$X:$X,Taostats_CSV!$I401&amp;P$1)</f>
        <v>0</v>
      </c>
      <c r="Q401" t="b">
        <f t="shared" si="52"/>
        <v>0</v>
      </c>
      <c r="R401" t="b">
        <f>IF(LEN(K401)&gt;0,COUNTIF($K$3:K401,K401),FALSE)</f>
        <v>0</v>
      </c>
      <c r="S401" t="b">
        <f>IF(Taostats_CSV!A401=Taostats_CSV!$A$2,TRUE,Taostats_CSV!G401+Taostats_CSV!H401+Taostats_CSV!R401=0)</f>
        <v>0</v>
      </c>
      <c r="T401" t="b">
        <f t="shared" si="53"/>
        <v>1</v>
      </c>
      <c r="U401" t="b" cm="1">
        <f t="array" aca="1" ref="U401" ca="1">AND(T401,OR(O401-N401&gt;1,P401&gt;1,ISERROR(A401:P401)))</f>
        <v>0</v>
      </c>
      <c r="W401" t="e">
        <f>MATCH(K401&amp;$W$2,Taostats_CSV!$X$3:$X$1167,0)</f>
        <v>#N/A</v>
      </c>
      <c r="X401" t="e">
        <f t="shared" ca="1" si="48"/>
        <v>#VALUE!</v>
      </c>
      <c r="Y401">
        <f t="shared" ca="1" si="49"/>
        <v>0.24028291199999999</v>
      </c>
      <c r="Z401" t="e">
        <f t="shared" ca="1" si="50"/>
        <v>#VALUE!</v>
      </c>
    </row>
    <row r="402" spans="1:26" x14ac:dyDescent="0.4">
      <c r="A402" t="str">
        <f>MID(Taostats_CSV!C402,6,2)&amp;"/"&amp;MID(Taostats_CSV!C402,9,2)&amp;"/"&amp;LEFT(Taostats_CSV!C402,4)&amp;" "&amp;MID(Taostats_CSV!C402,12,8)</f>
        <v>05/31/2025 23:59:48</v>
      </c>
      <c r="C402" t="str">
        <f ca="1">IF(Q402,OFFSET(Taostats_CSV!$E$1,MATCH(K402&amp;D$1,Taostats_CSV!$X:$X,0)-1,0),IF(Taostats_CSV!F402="fee",IF(VALUE(Taostats_CSV!G402)&gt;0,Taostats_CSV!E402,""),""))</f>
        <v/>
      </c>
      <c r="D402" t="str">
        <f ca="1">IF(Q402,OFFSET(Taostats_CSV!$G$1,MATCH(K402&amp;D$1,Taostats_CSV!$X:$X,0)-1,0),IF(Taostats_CSV!F402="fee",IF(VALUE(Taostats_CSV!G402)&gt;0,Taostats_CSV!G402,""),""))</f>
        <v/>
      </c>
      <c r="E402" t="str">
        <f ca="1">IF(AND(Q402,P402&gt;0),OFFSET(Taostats_CSV!$E$1,MATCH(K402&amp;F$1,Taostats_CSV!$X:$X,0)-1,0),IF(LEN(F402)&gt;0,Taostats_CSV!E402,""))</f>
        <v>SN64</v>
      </c>
      <c r="F402" t="str">
        <f ca="1">TRIM(IF(AND(Q402,P402&gt;0),OFFSET(Taostats_CSV!$H$1,MATCH(K402&amp;F$1,Taostats_CSV!$X:$X,0)-1,0),IF(LEN(Taostats_CSV!H402)&gt;0,Taostats_CSV!H402,Taostats_CSV!R402)))</f>
        <v>0.152925238</v>
      </c>
      <c r="G402" t="str">
        <f ca="1">IF(AND(Q402,N402=1),OFFSET(Taostats_CSV!$E$1,MATCH(K402&amp;H$1,Taostats_CSV!$X:$X,0)-1,0),"")</f>
        <v/>
      </c>
      <c r="H402" t="str">
        <f ca="1">IF(AND(Q402,N402=1),OFFSET(Taostats_CSV!$G$1,MATCH(K402&amp;H$1,Taostats_CSV!$X:$X,0)-1,0),"")</f>
        <v/>
      </c>
      <c r="I402" t="str">
        <f ca="1">IF(AND(LEN(K402)=0,LEN(F402)&gt;0),"Income",IF(AND(O402&gt;0,P402&gt;0,C402&lt;&gt;E402),"Trade",IF(AND(NOT(Q402),Taostats_CSV!F402="fee"),'READ ME'!$C$5,"")))</f>
        <v>Income</v>
      </c>
      <c r="J402" t="str">
        <f ca="1">SUBSTITUTE(IF(LEN(I402)=0,Taostats_CSV!F402&amp;" "&amp;Taostats_CSV!J402,IF(I402="Cost","Extrinsic fee","")),"_"," ")</f>
        <v/>
      </c>
      <c r="K402" t="str">
        <f>TRIM(IF(LEN(Taostats_CSV!I402)&gt;0,Taostats_CSV!I402,""))</f>
        <v/>
      </c>
      <c r="L402">
        <f ca="1">IF(Taostats_CSV!E402&lt;&gt;"TAO",IF(LEN(F402)&gt;0,F402,IF(LEN(D402)&gt;0,D402,0))*Taostats_CSV!P402,"")</f>
        <v>15.706299189638587</v>
      </c>
      <c r="M402" t="str">
        <f t="shared" ca="1" si="51"/>
        <v>USD</v>
      </c>
      <c r="N402">
        <f>COUNTIF(Taostats_CSV!$X:$X,Taostats_CSV!$I402&amp;N$1)</f>
        <v>0</v>
      </c>
      <c r="O402">
        <f>COUNTIF(Taostats_CSV!$X:$X,Taostats_CSV!$I402&amp;O$1)</f>
        <v>0</v>
      </c>
      <c r="P402">
        <f>COUNTIF(Taostats_CSV!$X:$X,Taostats_CSV!$I402&amp;P$1)</f>
        <v>0</v>
      </c>
      <c r="Q402" t="b">
        <f t="shared" si="52"/>
        <v>0</v>
      </c>
      <c r="R402" t="b">
        <f>IF(LEN(K402)&gt;0,COUNTIF($K$3:K402,K402),FALSE)</f>
        <v>0</v>
      </c>
      <c r="S402" t="b">
        <f>IF(Taostats_CSV!A402=Taostats_CSV!$A$2,TRUE,Taostats_CSV!G402+Taostats_CSV!H402+Taostats_CSV!R402=0)</f>
        <v>0</v>
      </c>
      <c r="T402" t="b">
        <f t="shared" si="53"/>
        <v>1</v>
      </c>
      <c r="U402" t="b" cm="1">
        <f t="array" aca="1" ref="U402" ca="1">AND(T402,OR(O402-N402&gt;1,P402&gt;1,ISERROR(A402:P402)))</f>
        <v>0</v>
      </c>
      <c r="W402" t="e">
        <f>MATCH(K402&amp;$W$2,Taostats_CSV!$X$3:$X$1167,0)</f>
        <v>#N/A</v>
      </c>
      <c r="X402" t="e">
        <f t="shared" ca="1" si="48"/>
        <v>#VALUE!</v>
      </c>
      <c r="Y402">
        <f t="shared" ca="1" si="49"/>
        <v>0.15292523799999999</v>
      </c>
      <c r="Z402" t="e">
        <f t="shared" ca="1" si="50"/>
        <v>#VALUE!</v>
      </c>
    </row>
    <row r="403" spans="1:26" hidden="1" x14ac:dyDescent="0.4">
      <c r="A403" t="str">
        <f>MID(Taostats_CSV!C403,6,2)&amp;"/"&amp;MID(Taostats_CSV!C403,9,2)&amp;"/"&amp;LEFT(Taostats_CSV!C403,4)&amp;" "&amp;MID(Taostats_CSV!C403,12,8)</f>
        <v>05/31/2025 23:59:48</v>
      </c>
      <c r="C403" t="str">
        <f ca="1">IF(Q403,OFFSET(Taostats_CSV!$E$1,MATCH(K403&amp;D$1,Taostats_CSV!$X:$X,0)-1,0),IF(Taostats_CSV!F403="fee","",IF(VALUE(Taostats_CSV!G403)&gt;0,Taostats_CSV!E403,"")))</f>
        <v/>
      </c>
      <c r="D403" t="str">
        <f ca="1">IF(Q403,OFFSET(Taostats_CSV!$G$1,MATCH(K403&amp;D$1,Taostats_CSV!$X:$X,0)-1,0),IF(Taostats_CSV!F403="fee","",IF(VALUE(Taostats_CSV!G403)&gt;0,Taostats_CSV!G403,"")))</f>
        <v/>
      </c>
      <c r="E403" t="str">
        <f ca="1">IF(AND(Q403,P403&gt;0),OFFSET(Taostats_CSV!$E$1,MATCH(K403&amp;F$1,Taostats_CSV!$X:$X,0)-1,0),IF(LEN(F403)&gt;0,Taostats_CSV!E403,""))</f>
        <v>TAO</v>
      </c>
      <c r="F403" t="str">
        <f ca="1">TRIM(IF(AND(Q403,P403&gt;0),OFFSET(Taostats_CSV!$H$1,MATCH(K403&amp;F$1,Taostats_CSV!$X:$X,0)-1,0),IF(LEN(Taostats_CSV!H403)&gt;0,Taostats_CSV!H403,Taostats_CSV!R403)))</f>
        <v>0</v>
      </c>
      <c r="G403" t="str">
        <f ca="1">IF(AND(Q403,N403=1),OFFSET(Taostats_CSV!$E$1,MATCH(K403&amp;H$1,Taostats_CSV!$X:$X,0)-1,0),IF(Taostats_CSV!F403="fee",Taostats_CSV!E403,""))</f>
        <v/>
      </c>
      <c r="H403" t="str">
        <f ca="1">IF(AND(Q403,N403=1),OFFSET(Taostats_CSV!$G$1,MATCH(K403&amp;H$1,Taostats_CSV!$X:$X,0)-1,0),IF(Taostats_CSV!F403="fee",Taostats_CSV!G403,""))</f>
        <v/>
      </c>
      <c r="I403" t="str">
        <f ca="1">IF(AND(LEN(K403)=0,LEN(F403)&gt;0),"Income",IF(AND(O403&gt;0,P403&gt;0,C403&lt;&gt;E403),"Trade",IF(AND(NOT(Q403),Taostats_CSV!F403="fee"),'READ ME'!$C$5,"")))</f>
        <v>Income</v>
      </c>
      <c r="J403" t="str">
        <f ca="1">SUBSTITUTE(IF(LEN(I403)=0,Taostats_CSV!F403&amp;" "&amp;Taostats_CSV!J403,IF(I403="Cost","Extrinsic fee","")),"_"," ")</f>
        <v/>
      </c>
      <c r="K403" t="str">
        <f>TRIM(IF(LEN(Taostats_CSV!I403)&gt;0,Taostats_CSV!I403,""))</f>
        <v/>
      </c>
      <c r="L403" t="str">
        <f>IF(Taostats_CSV!E403&lt;&gt;"TAO",IF(LEN(F403)&gt;0,F403,IF(LEN(D403)&gt;0,D403,0))*Taostats_CSV!P403,"")</f>
        <v/>
      </c>
      <c r="M403" t="str">
        <f t="shared" si="51"/>
        <v/>
      </c>
      <c r="N403">
        <f>COUNTIF(Taostats_CSV!$X:$X,Taostats_CSV!$I403&amp;N$1)</f>
        <v>0</v>
      </c>
      <c r="O403">
        <f>COUNTIF(Taostats_CSV!$X:$X,Taostats_CSV!$I403&amp;O$1)</f>
        <v>0</v>
      </c>
      <c r="P403">
        <f>COUNTIF(Taostats_CSV!$X:$X,Taostats_CSV!$I403&amp;P$1)</f>
        <v>0</v>
      </c>
      <c r="Q403" t="b">
        <f t="shared" si="52"/>
        <v>0</v>
      </c>
      <c r="R403" t="b">
        <f>IF(LEN(K403)&gt;0,COUNTIF($K$3:K403,K403),FALSE)</f>
        <v>0</v>
      </c>
      <c r="S403" t="b">
        <f>IF(Taostats_CSV!A403=Taostats_CSV!$A$2,TRUE,Taostats_CSV!G403+Taostats_CSV!H403+Taostats_CSV!R403=0)</f>
        <v>1</v>
      </c>
      <c r="T403" t="b">
        <f t="shared" si="53"/>
        <v>0</v>
      </c>
      <c r="U403" t="b" cm="1">
        <f t="array" aca="1" ref="U403" ca="1">AND(T403,OR(O403-N403&gt;1,P403&gt;1,ISERROR(A403:P403)))</f>
        <v>0</v>
      </c>
      <c r="W403" t="e">
        <f>MATCH(K403&amp;$W$2,Taostats_CSV!$X$3:$X$1167,0)</f>
        <v>#N/A</v>
      </c>
      <c r="X403" t="e">
        <f t="shared" ca="1" si="48"/>
        <v>#VALUE!</v>
      </c>
      <c r="Y403">
        <f t="shared" ca="1" si="49"/>
        <v>0</v>
      </c>
      <c r="Z403" t="e">
        <f t="shared" ca="1" si="50"/>
        <v>#VALUE!</v>
      </c>
    </row>
    <row r="404" spans="1:26" x14ac:dyDescent="0.4">
      <c r="A404" t="str">
        <f>MID(Taostats_CSV!C404,6,2)&amp;"/"&amp;MID(Taostats_CSV!C404,9,2)&amp;"/"&amp;LEFT(Taostats_CSV!C404,4)&amp;" "&amp;MID(Taostats_CSV!C404,12,8)</f>
        <v>06/01/2025 23:59:48</v>
      </c>
      <c r="C404" t="str">
        <f ca="1">IF(Q404,OFFSET(Taostats_CSV!$E$1,MATCH(K404&amp;D$1,Taostats_CSV!$X:$X,0)-1,0),IF(Taostats_CSV!F404="fee",IF(VALUE(Taostats_CSV!G404)&gt;0,Taostats_CSV!E404,""),""))</f>
        <v/>
      </c>
      <c r="D404" t="str">
        <f ca="1">IF(Q404,OFFSET(Taostats_CSV!$G$1,MATCH(K404&amp;D$1,Taostats_CSV!$X:$X,0)-1,0),IF(Taostats_CSV!F404="fee",IF(VALUE(Taostats_CSV!G404)&gt;0,Taostats_CSV!G404,""),""))</f>
        <v/>
      </c>
      <c r="E404" t="str">
        <f ca="1">IF(AND(Q404,P404&gt;0),OFFSET(Taostats_CSV!$E$1,MATCH(K404&amp;F$1,Taostats_CSV!$X:$X,0)-1,0),IF(LEN(F404)&gt;0,Taostats_CSV!E404,""))</f>
        <v>SN3</v>
      </c>
      <c r="F404" t="str">
        <f ca="1">TRIM(IF(AND(Q404,P404&gt;0),OFFSET(Taostats_CSV!$H$1,MATCH(K404&amp;F$1,Taostats_CSV!$X:$X,0)-1,0),IF(LEN(Taostats_CSV!H404)&gt;0,Taostats_CSV!H404,Taostats_CSV!R404)))</f>
        <v>0.417050412</v>
      </c>
      <c r="G404" t="str">
        <f ca="1">IF(AND(Q404,N404=1),OFFSET(Taostats_CSV!$E$1,MATCH(K404&amp;H$1,Taostats_CSV!$X:$X,0)-1,0),"")</f>
        <v/>
      </c>
      <c r="H404" t="str">
        <f ca="1">IF(AND(Q404,N404=1),OFFSET(Taostats_CSV!$G$1,MATCH(K404&amp;H$1,Taostats_CSV!$X:$X,0)-1,0),"")</f>
        <v/>
      </c>
      <c r="I404" t="str">
        <f ca="1">IF(AND(LEN(K404)=0,LEN(F404)&gt;0),"Income",IF(AND(O404&gt;0,P404&gt;0,C404&lt;&gt;E404),"Trade",IF(AND(NOT(Q404),Taostats_CSV!F404="fee"),'READ ME'!$C$5,"")))</f>
        <v>Income</v>
      </c>
      <c r="J404" t="str">
        <f ca="1">SUBSTITUTE(IF(LEN(I404)=0,Taostats_CSV!F404&amp;" "&amp;Taostats_CSV!J404,IF(I404="Cost","Extrinsic fee","")),"_"," ")</f>
        <v/>
      </c>
      <c r="K404" t="str">
        <f>TRIM(IF(LEN(Taostats_CSV!I404)&gt;0,Taostats_CSV!I404,""))</f>
        <v/>
      </c>
      <c r="L404">
        <f ca="1">IF(Taostats_CSV!E404&lt;&gt;"TAO",IF(LEN(F404)&gt;0,F404,IF(LEN(D404)&gt;0,D404,0))*Taostats_CSV!P404,"")</f>
        <v>16.659250538153348</v>
      </c>
      <c r="M404" t="str">
        <f t="shared" ca="1" si="51"/>
        <v>USD</v>
      </c>
      <c r="N404">
        <f>COUNTIF(Taostats_CSV!$X:$X,Taostats_CSV!$I404&amp;N$1)</f>
        <v>0</v>
      </c>
      <c r="O404">
        <f>COUNTIF(Taostats_CSV!$X:$X,Taostats_CSV!$I404&amp;O$1)</f>
        <v>0</v>
      </c>
      <c r="P404">
        <f>COUNTIF(Taostats_CSV!$X:$X,Taostats_CSV!$I404&amp;P$1)</f>
        <v>0</v>
      </c>
      <c r="Q404" t="b">
        <f t="shared" si="52"/>
        <v>0</v>
      </c>
      <c r="R404" t="b">
        <f>IF(LEN(K404)&gt;0,COUNTIF($K$3:K404,K404),FALSE)</f>
        <v>0</v>
      </c>
      <c r="S404" t="b">
        <f>IF(Taostats_CSV!A404=Taostats_CSV!$A$2,TRUE,Taostats_CSV!G404+Taostats_CSV!H404+Taostats_CSV!R404=0)</f>
        <v>0</v>
      </c>
      <c r="T404" t="b">
        <f t="shared" si="53"/>
        <v>1</v>
      </c>
      <c r="U404" t="b" cm="1">
        <f t="array" aca="1" ref="U404" ca="1">AND(T404,OR(O404-N404&gt;1,P404&gt;1,ISERROR(A404:P404)))</f>
        <v>0</v>
      </c>
      <c r="W404" t="e">
        <f>MATCH(K404&amp;$W$2,Taostats_CSV!$X$3:$X$1167,0)</f>
        <v>#N/A</v>
      </c>
      <c r="X404" t="e">
        <f t="shared" ca="1" si="48"/>
        <v>#VALUE!</v>
      </c>
      <c r="Y404">
        <f t="shared" ca="1" si="49"/>
        <v>0.41705041199999998</v>
      </c>
      <c r="Z404" t="e">
        <f t="shared" ca="1" si="50"/>
        <v>#VALUE!</v>
      </c>
    </row>
    <row r="405" spans="1:26" x14ac:dyDescent="0.4">
      <c r="A405" t="str">
        <f>MID(Taostats_CSV!C405,6,2)&amp;"/"&amp;MID(Taostats_CSV!C405,9,2)&amp;"/"&amp;LEFT(Taostats_CSV!C405,4)&amp;" "&amp;MID(Taostats_CSV!C405,12,8)</f>
        <v>06/01/2025 23:59:48</v>
      </c>
      <c r="C405" t="str">
        <f ca="1">IF(Q405,OFFSET(Taostats_CSV!$E$1,MATCH(K405&amp;D$1,Taostats_CSV!$X:$X,0)-1,0),IF(Taostats_CSV!F405="fee",IF(VALUE(Taostats_CSV!G405)&gt;0,Taostats_CSV!E405,""),""))</f>
        <v/>
      </c>
      <c r="D405" t="str">
        <f ca="1">IF(Q405,OFFSET(Taostats_CSV!$G$1,MATCH(K405&amp;D$1,Taostats_CSV!$X:$X,0)-1,0),IF(Taostats_CSV!F405="fee",IF(VALUE(Taostats_CSV!G405)&gt;0,Taostats_CSV!G405,""),""))</f>
        <v/>
      </c>
      <c r="E405" t="str">
        <f ca="1">IF(AND(Q405,P405&gt;0),OFFSET(Taostats_CSV!$E$1,MATCH(K405&amp;F$1,Taostats_CSV!$X:$X,0)-1,0),IF(LEN(F405)&gt;0,Taostats_CSV!E405,""))</f>
        <v>SN4</v>
      </c>
      <c r="F405" t="str">
        <f ca="1">TRIM(IF(AND(Q405,P405&gt;0),OFFSET(Taostats_CSV!$H$1,MATCH(K405&amp;F$1,Taostats_CSV!$X:$X,0)-1,0),IF(LEN(Taostats_CSV!H405)&gt;0,Taostats_CSV!H405,Taostats_CSV!R405)))</f>
        <v>0.442465156</v>
      </c>
      <c r="G405" t="str">
        <f ca="1">IF(AND(Q405,N405=1),OFFSET(Taostats_CSV!$E$1,MATCH(K405&amp;H$1,Taostats_CSV!$X:$X,0)-1,0),"")</f>
        <v/>
      </c>
      <c r="H405" t="str">
        <f ca="1">IF(AND(Q405,N405=1),OFFSET(Taostats_CSV!$G$1,MATCH(K405&amp;H$1,Taostats_CSV!$X:$X,0)-1,0),"")</f>
        <v/>
      </c>
      <c r="I405" t="str">
        <f ca="1">IF(AND(LEN(K405)=0,LEN(F405)&gt;0),"Income",IF(AND(O405&gt;0,P405&gt;0,C405&lt;&gt;E405),"Trade",IF(AND(NOT(Q405),Taostats_CSV!F405="fee"),'READ ME'!$C$5,"")))</f>
        <v>Income</v>
      </c>
      <c r="J405" t="str">
        <f ca="1">SUBSTITUTE(IF(LEN(I405)=0,Taostats_CSV!F405&amp;" "&amp;Taostats_CSV!J405,IF(I405="Cost","Extrinsic fee","")),"_"," ")</f>
        <v/>
      </c>
      <c r="K405" t="str">
        <f>TRIM(IF(LEN(Taostats_CSV!I405)&gt;0,Taostats_CSV!I405,""))</f>
        <v/>
      </c>
      <c r="L405">
        <f ca="1">IF(Taostats_CSV!E405&lt;&gt;"TAO",IF(LEN(F405)&gt;0,F405,IF(LEN(D405)&gt;0,D405,0))*Taostats_CSV!P405,"")</f>
        <v>17.594174532849173</v>
      </c>
      <c r="M405" t="str">
        <f t="shared" ca="1" si="51"/>
        <v>USD</v>
      </c>
      <c r="N405">
        <f>COUNTIF(Taostats_CSV!$X:$X,Taostats_CSV!$I405&amp;N$1)</f>
        <v>0</v>
      </c>
      <c r="O405">
        <f>COUNTIF(Taostats_CSV!$X:$X,Taostats_CSV!$I405&amp;O$1)</f>
        <v>0</v>
      </c>
      <c r="P405">
        <f>COUNTIF(Taostats_CSV!$X:$X,Taostats_CSV!$I405&amp;P$1)</f>
        <v>0</v>
      </c>
      <c r="Q405" t="b">
        <f t="shared" si="52"/>
        <v>0</v>
      </c>
      <c r="R405" t="b">
        <f>IF(LEN(K405)&gt;0,COUNTIF($K$3:K405,K405),FALSE)</f>
        <v>0</v>
      </c>
      <c r="S405" t="b">
        <f>IF(Taostats_CSV!A405=Taostats_CSV!$A$2,TRUE,Taostats_CSV!G405+Taostats_CSV!H405+Taostats_CSV!R405=0)</f>
        <v>0</v>
      </c>
      <c r="T405" t="b">
        <f t="shared" si="53"/>
        <v>1</v>
      </c>
      <c r="U405" t="b" cm="1">
        <f t="array" aca="1" ref="U405" ca="1">AND(T405,OR(O405-N405&gt;1,P405&gt;1,ISERROR(A405:P405)))</f>
        <v>0</v>
      </c>
      <c r="W405" t="e">
        <f>MATCH(K405&amp;$W$2,Taostats_CSV!$X$3:$X$1167,0)</f>
        <v>#N/A</v>
      </c>
      <c r="X405" t="e">
        <f t="shared" ca="1" si="48"/>
        <v>#VALUE!</v>
      </c>
      <c r="Y405">
        <f t="shared" ca="1" si="49"/>
        <v>0.44246515600000003</v>
      </c>
      <c r="Z405" t="e">
        <f t="shared" ca="1" si="50"/>
        <v>#VALUE!</v>
      </c>
    </row>
    <row r="406" spans="1:26" x14ac:dyDescent="0.4">
      <c r="A406" t="str">
        <f>MID(Taostats_CSV!C406,6,2)&amp;"/"&amp;MID(Taostats_CSV!C406,9,2)&amp;"/"&amp;LEFT(Taostats_CSV!C406,4)&amp;" "&amp;MID(Taostats_CSV!C406,12,8)</f>
        <v>06/01/2025 23:59:48</v>
      </c>
      <c r="C406" t="str">
        <f ca="1">IF(Q406,OFFSET(Taostats_CSV!$E$1,MATCH(K406&amp;D$1,Taostats_CSV!$X:$X,0)-1,0),IF(Taostats_CSV!F406="fee",IF(VALUE(Taostats_CSV!G406)&gt;0,Taostats_CSV!E406,""),""))</f>
        <v/>
      </c>
      <c r="D406" t="str">
        <f ca="1">IF(Q406,OFFSET(Taostats_CSV!$G$1,MATCH(K406&amp;D$1,Taostats_CSV!$X:$X,0)-1,0),IF(Taostats_CSV!F406="fee",IF(VALUE(Taostats_CSV!G406)&gt;0,Taostats_CSV!G406,""),""))</f>
        <v/>
      </c>
      <c r="E406" t="str">
        <f ca="1">IF(AND(Q406,P406&gt;0),OFFSET(Taostats_CSV!$E$1,MATCH(K406&amp;F$1,Taostats_CSV!$X:$X,0)-1,0),IF(LEN(F406)&gt;0,Taostats_CSV!E406,""))</f>
        <v>SN56</v>
      </c>
      <c r="F406" t="str">
        <f ca="1">TRIM(IF(AND(Q406,P406&gt;0),OFFSET(Taostats_CSV!$H$1,MATCH(K406&amp;F$1,Taostats_CSV!$X:$X,0)-1,0),IF(LEN(Taostats_CSV!H406)&gt;0,Taostats_CSV!H406,Taostats_CSV!R406)))</f>
        <v>0.235509133</v>
      </c>
      <c r="G406" t="str">
        <f ca="1">IF(AND(Q406,N406=1),OFFSET(Taostats_CSV!$E$1,MATCH(K406&amp;H$1,Taostats_CSV!$X:$X,0)-1,0),"")</f>
        <v/>
      </c>
      <c r="H406" t="str">
        <f ca="1">IF(AND(Q406,N406=1),OFFSET(Taostats_CSV!$G$1,MATCH(K406&amp;H$1,Taostats_CSV!$X:$X,0)-1,0),"")</f>
        <v/>
      </c>
      <c r="I406" t="str">
        <f ca="1">IF(AND(LEN(K406)=0,LEN(F406)&gt;0),"Income",IF(AND(O406&gt;0,P406&gt;0,C406&lt;&gt;E406),"Trade",IF(AND(NOT(Q406),Taostats_CSV!F406="fee"),'READ ME'!$C$5,"")))</f>
        <v>Income</v>
      </c>
      <c r="J406" t="str">
        <f ca="1">SUBSTITUTE(IF(LEN(I406)=0,Taostats_CSV!F406&amp;" "&amp;Taostats_CSV!J406,IF(I406="Cost","Extrinsic fee","")),"_"," ")</f>
        <v/>
      </c>
      <c r="K406" t="str">
        <f>TRIM(IF(LEN(Taostats_CSV!I406)&gt;0,Taostats_CSV!I406,""))</f>
        <v/>
      </c>
      <c r="L406">
        <f ca="1">IF(Taostats_CSV!E406&lt;&gt;"TAO",IF(LEN(F406)&gt;0,F406,IF(LEN(D406)&gt;0,D406,0))*Taostats_CSV!P406,"")</f>
        <v>9.6769412989747146</v>
      </c>
      <c r="M406" t="str">
        <f t="shared" ca="1" si="51"/>
        <v>USD</v>
      </c>
      <c r="N406">
        <f>COUNTIF(Taostats_CSV!$X:$X,Taostats_CSV!$I406&amp;N$1)</f>
        <v>0</v>
      </c>
      <c r="O406">
        <f>COUNTIF(Taostats_CSV!$X:$X,Taostats_CSV!$I406&amp;O$1)</f>
        <v>0</v>
      </c>
      <c r="P406">
        <f>COUNTIF(Taostats_CSV!$X:$X,Taostats_CSV!$I406&amp;P$1)</f>
        <v>0</v>
      </c>
      <c r="Q406" t="b">
        <f t="shared" si="52"/>
        <v>0</v>
      </c>
      <c r="R406" t="b">
        <f>IF(LEN(K406)&gt;0,COUNTIF($K$3:K406,K406),FALSE)</f>
        <v>0</v>
      </c>
      <c r="S406" t="b">
        <f>IF(Taostats_CSV!A406=Taostats_CSV!$A$2,TRUE,Taostats_CSV!G406+Taostats_CSV!H406+Taostats_CSV!R406=0)</f>
        <v>0</v>
      </c>
      <c r="T406" t="b">
        <f t="shared" si="53"/>
        <v>1</v>
      </c>
      <c r="U406" t="b" cm="1">
        <f t="array" aca="1" ref="U406" ca="1">AND(T406,OR(O406-N406&gt;1,P406&gt;1,ISERROR(A406:P406)))</f>
        <v>0</v>
      </c>
      <c r="W406" t="e">
        <f>MATCH(K406&amp;$W$2,Taostats_CSV!$X$3:$X$1167,0)</f>
        <v>#N/A</v>
      </c>
      <c r="X406" t="e">
        <f t="shared" ca="1" si="48"/>
        <v>#VALUE!</v>
      </c>
      <c r="Y406">
        <f t="shared" ca="1" si="49"/>
        <v>0.23550913300000001</v>
      </c>
      <c r="Z406" t="e">
        <f t="shared" ca="1" si="50"/>
        <v>#VALUE!</v>
      </c>
    </row>
    <row r="407" spans="1:26" x14ac:dyDescent="0.4">
      <c r="A407" t="str">
        <f>MID(Taostats_CSV!C407,6,2)&amp;"/"&amp;MID(Taostats_CSV!C407,9,2)&amp;"/"&amp;LEFT(Taostats_CSV!C407,4)&amp;" "&amp;MID(Taostats_CSV!C407,12,8)</f>
        <v>06/01/2025 23:59:48</v>
      </c>
      <c r="C407" t="str">
        <f ca="1">IF(Q407,OFFSET(Taostats_CSV!$E$1,MATCH(K407&amp;D$1,Taostats_CSV!$X:$X,0)-1,0),IF(Taostats_CSV!F407="fee",IF(VALUE(Taostats_CSV!G407)&gt;0,Taostats_CSV!E407,""),""))</f>
        <v/>
      </c>
      <c r="D407" t="str">
        <f ca="1">IF(Q407,OFFSET(Taostats_CSV!$G$1,MATCH(K407&amp;D$1,Taostats_CSV!$X:$X,0)-1,0),IF(Taostats_CSV!F407="fee",IF(VALUE(Taostats_CSV!G407)&gt;0,Taostats_CSV!G407,""),""))</f>
        <v/>
      </c>
      <c r="E407" t="str">
        <f ca="1">IF(AND(Q407,P407&gt;0),OFFSET(Taostats_CSV!$E$1,MATCH(K407&amp;F$1,Taostats_CSV!$X:$X,0)-1,0),IF(LEN(F407)&gt;0,Taostats_CSV!E407,""))</f>
        <v>SN64</v>
      </c>
      <c r="F407" t="str">
        <f ca="1">TRIM(IF(AND(Q407,P407&gt;0),OFFSET(Taostats_CSV!$H$1,MATCH(K407&amp;F$1,Taostats_CSV!$X:$X,0)-1,0),IF(LEN(Taostats_CSV!H407)&gt;0,Taostats_CSV!H407,Taostats_CSV!R407)))</f>
        <v>0.144881464</v>
      </c>
      <c r="G407" t="str">
        <f ca="1">IF(AND(Q407,N407=1),OFFSET(Taostats_CSV!$E$1,MATCH(K407&amp;H$1,Taostats_CSV!$X:$X,0)-1,0),"")</f>
        <v/>
      </c>
      <c r="H407" t="str">
        <f ca="1">IF(AND(Q407,N407=1),OFFSET(Taostats_CSV!$G$1,MATCH(K407&amp;H$1,Taostats_CSV!$X:$X,0)-1,0),"")</f>
        <v/>
      </c>
      <c r="I407" t="str">
        <f ca="1">IF(AND(LEN(K407)=0,LEN(F407)&gt;0),"Income",IF(AND(O407&gt;0,P407&gt;0,C407&lt;&gt;E407),"Trade",IF(AND(NOT(Q407),Taostats_CSV!F407="fee"),'READ ME'!$C$5,"")))</f>
        <v>Income</v>
      </c>
      <c r="J407" t="str">
        <f ca="1">SUBSTITUTE(IF(LEN(I407)=0,Taostats_CSV!F407&amp;" "&amp;Taostats_CSV!J407,IF(I407="Cost","Extrinsic fee","")),"_"," ")</f>
        <v/>
      </c>
      <c r="K407" t="str">
        <f>TRIM(IF(LEN(Taostats_CSV!I407)&gt;0,Taostats_CSV!I407,""))</f>
        <v/>
      </c>
      <c r="L407">
        <f ca="1">IF(Taostats_CSV!E407&lt;&gt;"TAO",IF(LEN(F407)&gt;0,F407,IF(LEN(D407)&gt;0,D407,0))*Taostats_CSV!P407,"")</f>
        <v>13.375230262900653</v>
      </c>
      <c r="M407" t="str">
        <f t="shared" ca="1" si="51"/>
        <v>USD</v>
      </c>
      <c r="N407">
        <f>COUNTIF(Taostats_CSV!$X:$X,Taostats_CSV!$I407&amp;N$1)</f>
        <v>0</v>
      </c>
      <c r="O407">
        <f>COUNTIF(Taostats_CSV!$X:$X,Taostats_CSV!$I407&amp;O$1)</f>
        <v>0</v>
      </c>
      <c r="P407">
        <f>COUNTIF(Taostats_CSV!$X:$X,Taostats_CSV!$I407&amp;P$1)</f>
        <v>0</v>
      </c>
      <c r="Q407" t="b">
        <f t="shared" si="52"/>
        <v>0</v>
      </c>
      <c r="R407" t="b">
        <f>IF(LEN(K407)&gt;0,COUNTIF($K$3:K407,K407),FALSE)</f>
        <v>0</v>
      </c>
      <c r="S407" t="b">
        <f>IF(Taostats_CSV!A407=Taostats_CSV!$A$2,TRUE,Taostats_CSV!G407+Taostats_CSV!H407+Taostats_CSV!R407=0)</f>
        <v>0</v>
      </c>
      <c r="T407" t="b">
        <f t="shared" si="53"/>
        <v>1</v>
      </c>
      <c r="U407" t="b" cm="1">
        <f t="array" aca="1" ref="U407" ca="1">AND(T407,OR(O407-N407&gt;1,P407&gt;1,ISERROR(A407:P407)))</f>
        <v>0</v>
      </c>
      <c r="W407" t="e">
        <f>MATCH(K407&amp;$W$2,Taostats_CSV!$X$3:$X$1167,0)</f>
        <v>#N/A</v>
      </c>
      <c r="X407" t="e">
        <f t="shared" ca="1" si="48"/>
        <v>#VALUE!</v>
      </c>
      <c r="Y407">
        <f t="shared" ca="1" si="49"/>
        <v>0.14488146399999999</v>
      </c>
      <c r="Z407" t="e">
        <f t="shared" ca="1" si="50"/>
        <v>#VALUE!</v>
      </c>
    </row>
    <row r="408" spans="1:26" hidden="1" x14ac:dyDescent="0.4">
      <c r="A408" t="str">
        <f>MID(Taostats_CSV!C408,6,2)&amp;"/"&amp;MID(Taostats_CSV!C408,9,2)&amp;"/"&amp;LEFT(Taostats_CSV!C408,4)&amp;" "&amp;MID(Taostats_CSV!C408,12,8)</f>
        <v>06/01/2025 23:59:48</v>
      </c>
      <c r="C408" t="str">
        <f ca="1">IF(Q408,OFFSET(Taostats_CSV!$E$1,MATCH(K408&amp;D$1,Taostats_CSV!$X:$X,0)-1,0),IF(Taostats_CSV!F408="fee","",IF(VALUE(Taostats_CSV!G408)&gt;0,Taostats_CSV!E408,"")))</f>
        <v/>
      </c>
      <c r="D408" t="str">
        <f ca="1">IF(Q408,OFFSET(Taostats_CSV!$G$1,MATCH(K408&amp;D$1,Taostats_CSV!$X:$X,0)-1,0),IF(Taostats_CSV!F408="fee","",IF(VALUE(Taostats_CSV!G408)&gt;0,Taostats_CSV!G408,"")))</f>
        <v/>
      </c>
      <c r="E408" t="str">
        <f ca="1">IF(AND(Q408,P408&gt;0),OFFSET(Taostats_CSV!$E$1,MATCH(K408&amp;F$1,Taostats_CSV!$X:$X,0)-1,0),IF(LEN(F408)&gt;0,Taostats_CSV!E408,""))</f>
        <v>TAO</v>
      </c>
      <c r="F408" t="str">
        <f ca="1">TRIM(IF(AND(Q408,P408&gt;0),OFFSET(Taostats_CSV!$H$1,MATCH(K408&amp;F$1,Taostats_CSV!$X:$X,0)-1,0),IF(LEN(Taostats_CSV!H408)&gt;0,Taostats_CSV!H408,Taostats_CSV!R408)))</f>
        <v>0</v>
      </c>
      <c r="G408" t="str">
        <f ca="1">IF(AND(Q408,N408=1),OFFSET(Taostats_CSV!$E$1,MATCH(K408&amp;H$1,Taostats_CSV!$X:$X,0)-1,0),IF(Taostats_CSV!F408="fee",Taostats_CSV!E408,""))</f>
        <v/>
      </c>
      <c r="H408" t="str">
        <f ca="1">IF(AND(Q408,N408=1),OFFSET(Taostats_CSV!$G$1,MATCH(K408&amp;H$1,Taostats_CSV!$X:$X,0)-1,0),IF(Taostats_CSV!F408="fee",Taostats_CSV!G408,""))</f>
        <v/>
      </c>
      <c r="I408" t="str">
        <f ca="1">IF(AND(LEN(K408)=0,LEN(F408)&gt;0),"Income",IF(AND(O408&gt;0,P408&gt;0,C408&lt;&gt;E408),"Trade",IF(AND(NOT(Q408),Taostats_CSV!F408="fee"),'READ ME'!$C$5,"")))</f>
        <v>Income</v>
      </c>
      <c r="J408" t="str">
        <f ca="1">SUBSTITUTE(IF(LEN(I408)=0,Taostats_CSV!F408&amp;" "&amp;Taostats_CSV!J408,IF(I408="Cost","Extrinsic fee","")),"_"," ")</f>
        <v/>
      </c>
      <c r="K408" t="str">
        <f>TRIM(IF(LEN(Taostats_CSV!I408)&gt;0,Taostats_CSV!I408,""))</f>
        <v/>
      </c>
      <c r="L408" t="str">
        <f>IF(Taostats_CSV!E408&lt;&gt;"TAO",IF(LEN(F408)&gt;0,F408,IF(LEN(D408)&gt;0,D408,0))*Taostats_CSV!P408,"")</f>
        <v/>
      </c>
      <c r="M408" t="str">
        <f t="shared" si="51"/>
        <v/>
      </c>
      <c r="N408">
        <f>COUNTIF(Taostats_CSV!$X:$X,Taostats_CSV!$I408&amp;N$1)</f>
        <v>0</v>
      </c>
      <c r="O408">
        <f>COUNTIF(Taostats_CSV!$X:$X,Taostats_CSV!$I408&amp;O$1)</f>
        <v>0</v>
      </c>
      <c r="P408">
        <f>COUNTIF(Taostats_CSV!$X:$X,Taostats_CSV!$I408&amp;P$1)</f>
        <v>0</v>
      </c>
      <c r="Q408" t="b">
        <f t="shared" si="52"/>
        <v>0</v>
      </c>
      <c r="R408" t="b">
        <f>IF(LEN(K408)&gt;0,COUNTIF($K$3:K408,K408),FALSE)</f>
        <v>0</v>
      </c>
      <c r="S408" t="b">
        <f>IF(Taostats_CSV!A408=Taostats_CSV!$A$2,TRUE,Taostats_CSV!G408+Taostats_CSV!H408+Taostats_CSV!R408=0)</f>
        <v>1</v>
      </c>
      <c r="T408" t="b">
        <f t="shared" si="53"/>
        <v>0</v>
      </c>
      <c r="U408" t="b" cm="1">
        <f t="array" aca="1" ref="U408" ca="1">AND(T408,OR(O408-N408&gt;1,P408&gt;1,ISERROR(A408:P408)))</f>
        <v>0</v>
      </c>
      <c r="W408" t="e">
        <f>MATCH(K408&amp;$W$2,Taostats_CSV!$X$3:$X$1167,0)</f>
        <v>#N/A</v>
      </c>
      <c r="X408" t="e">
        <f t="shared" ca="1" si="48"/>
        <v>#VALUE!</v>
      </c>
      <c r="Y408">
        <f t="shared" ca="1" si="49"/>
        <v>0</v>
      </c>
      <c r="Z408" t="e">
        <f t="shared" ca="1" si="50"/>
        <v>#VALUE!</v>
      </c>
    </row>
    <row r="409" spans="1:26" x14ac:dyDescent="0.4">
      <c r="A409" t="str">
        <f>MID(Taostats_CSV!C409,6,2)&amp;"/"&amp;MID(Taostats_CSV!C409,9,2)&amp;"/"&amp;LEFT(Taostats_CSV!C409,4)&amp;" "&amp;MID(Taostats_CSV!C409,12,8)</f>
        <v>06/02/2025 23:59:48</v>
      </c>
      <c r="C409" t="str">
        <f ca="1">IF(Q409,OFFSET(Taostats_CSV!$E$1,MATCH(K409&amp;D$1,Taostats_CSV!$X:$X,0)-1,0),IF(Taostats_CSV!F409="fee",IF(VALUE(Taostats_CSV!G409)&gt;0,Taostats_CSV!E409,""),""))</f>
        <v/>
      </c>
      <c r="D409" t="str">
        <f ca="1">IF(Q409,OFFSET(Taostats_CSV!$G$1,MATCH(K409&amp;D$1,Taostats_CSV!$X:$X,0)-1,0),IF(Taostats_CSV!F409="fee",IF(VALUE(Taostats_CSV!G409)&gt;0,Taostats_CSV!G409,""),""))</f>
        <v/>
      </c>
      <c r="E409" t="str">
        <f ca="1">IF(AND(Q409,P409&gt;0),OFFSET(Taostats_CSV!$E$1,MATCH(K409&amp;F$1,Taostats_CSV!$X:$X,0)-1,0),IF(LEN(F409)&gt;0,Taostats_CSV!E409,""))</f>
        <v>SN3</v>
      </c>
      <c r="F409" t="str">
        <f ca="1">TRIM(IF(AND(Q409,P409&gt;0),OFFSET(Taostats_CSV!$H$1,MATCH(K409&amp;F$1,Taostats_CSV!$X:$X,0)-1,0),IF(LEN(Taostats_CSV!H409)&gt;0,Taostats_CSV!H409,Taostats_CSV!R409)))</f>
        <v>0.423810635</v>
      </c>
      <c r="G409" t="str">
        <f ca="1">IF(AND(Q409,N409=1),OFFSET(Taostats_CSV!$E$1,MATCH(K409&amp;H$1,Taostats_CSV!$X:$X,0)-1,0),"")</f>
        <v/>
      </c>
      <c r="H409" t="str">
        <f ca="1">IF(AND(Q409,N409=1),OFFSET(Taostats_CSV!$G$1,MATCH(K409&amp;H$1,Taostats_CSV!$X:$X,0)-1,0),"")</f>
        <v/>
      </c>
      <c r="I409" t="str">
        <f ca="1">IF(AND(LEN(K409)=0,LEN(F409)&gt;0),"Income",IF(AND(O409&gt;0,P409&gt;0,C409&lt;&gt;E409),"Trade",IF(AND(NOT(Q409),Taostats_CSV!F409="fee"),'READ ME'!$C$5,"")))</f>
        <v>Income</v>
      </c>
      <c r="J409" t="str">
        <f ca="1">SUBSTITUTE(IF(LEN(I409)=0,Taostats_CSV!F409&amp;" "&amp;Taostats_CSV!J409,IF(I409="Cost","Extrinsic fee","")),"_"," ")</f>
        <v/>
      </c>
      <c r="K409" t="str">
        <f>TRIM(IF(LEN(Taostats_CSV!I409)&gt;0,Taostats_CSV!I409,""))</f>
        <v/>
      </c>
      <c r="L409">
        <f ca="1">IF(Taostats_CSV!E409&lt;&gt;"TAO",IF(LEN(F409)&gt;0,F409,IF(LEN(D409)&gt;0,D409,0))*Taostats_CSV!P409,"")</f>
        <v>16.331611414206545</v>
      </c>
      <c r="M409" t="str">
        <f t="shared" ca="1" si="51"/>
        <v>USD</v>
      </c>
      <c r="N409">
        <f>COUNTIF(Taostats_CSV!$X:$X,Taostats_CSV!$I409&amp;N$1)</f>
        <v>0</v>
      </c>
      <c r="O409">
        <f>COUNTIF(Taostats_CSV!$X:$X,Taostats_CSV!$I409&amp;O$1)</f>
        <v>0</v>
      </c>
      <c r="P409">
        <f>COUNTIF(Taostats_CSV!$X:$X,Taostats_CSV!$I409&amp;P$1)</f>
        <v>0</v>
      </c>
      <c r="Q409" t="b">
        <f t="shared" si="52"/>
        <v>0</v>
      </c>
      <c r="R409" t="b">
        <f>IF(LEN(K409)&gt;0,COUNTIF($K$3:K409,K409),FALSE)</f>
        <v>0</v>
      </c>
      <c r="S409" t="b">
        <f>IF(Taostats_CSV!A409=Taostats_CSV!$A$2,TRUE,Taostats_CSV!G409+Taostats_CSV!H409+Taostats_CSV!R409=0)</f>
        <v>0</v>
      </c>
      <c r="T409" t="b">
        <f t="shared" si="53"/>
        <v>1</v>
      </c>
      <c r="U409" t="b" cm="1">
        <f t="array" aca="1" ref="U409" ca="1">AND(T409,OR(O409-N409&gt;1,P409&gt;1,ISERROR(A409:P409)))</f>
        <v>0</v>
      </c>
      <c r="W409" t="e">
        <f>MATCH(K409&amp;$W$2,Taostats_CSV!$X$3:$X$1167,0)</f>
        <v>#N/A</v>
      </c>
      <c r="X409" t="e">
        <f t="shared" ca="1" si="48"/>
        <v>#VALUE!</v>
      </c>
      <c r="Y409">
        <f t="shared" ca="1" si="49"/>
        <v>0.42381063499999999</v>
      </c>
      <c r="Z409" t="e">
        <f t="shared" ca="1" si="50"/>
        <v>#VALUE!</v>
      </c>
    </row>
    <row r="410" spans="1:26" x14ac:dyDescent="0.4">
      <c r="A410" t="str">
        <f>MID(Taostats_CSV!C410,6,2)&amp;"/"&amp;MID(Taostats_CSV!C410,9,2)&amp;"/"&amp;LEFT(Taostats_CSV!C410,4)&amp;" "&amp;MID(Taostats_CSV!C410,12,8)</f>
        <v>06/02/2025 23:59:48</v>
      </c>
      <c r="C410" t="str">
        <f ca="1">IF(Q410,OFFSET(Taostats_CSV!$E$1,MATCH(K410&amp;D$1,Taostats_CSV!$X:$X,0)-1,0),IF(Taostats_CSV!F410="fee",IF(VALUE(Taostats_CSV!G410)&gt;0,Taostats_CSV!E410,""),""))</f>
        <v/>
      </c>
      <c r="D410" t="str">
        <f ca="1">IF(Q410,OFFSET(Taostats_CSV!$G$1,MATCH(K410&amp;D$1,Taostats_CSV!$X:$X,0)-1,0),IF(Taostats_CSV!F410="fee",IF(VALUE(Taostats_CSV!G410)&gt;0,Taostats_CSV!G410,""),""))</f>
        <v/>
      </c>
      <c r="E410" t="str">
        <f ca="1">IF(AND(Q410,P410&gt;0),OFFSET(Taostats_CSV!$E$1,MATCH(K410&amp;F$1,Taostats_CSV!$X:$X,0)-1,0),IF(LEN(F410)&gt;0,Taostats_CSV!E410,""))</f>
        <v>SN4</v>
      </c>
      <c r="F410" t="str">
        <f ca="1">TRIM(IF(AND(Q410,P410&gt;0),OFFSET(Taostats_CSV!$H$1,MATCH(K410&amp;F$1,Taostats_CSV!$X:$X,0)-1,0),IF(LEN(Taostats_CSV!H410)&gt;0,Taostats_CSV!H410,Taostats_CSV!R410)))</f>
        <v>0.446718363</v>
      </c>
      <c r="G410" t="str">
        <f ca="1">IF(AND(Q410,N410=1),OFFSET(Taostats_CSV!$E$1,MATCH(K410&amp;H$1,Taostats_CSV!$X:$X,0)-1,0),"")</f>
        <v/>
      </c>
      <c r="H410" t="str">
        <f ca="1">IF(AND(Q410,N410=1),OFFSET(Taostats_CSV!$G$1,MATCH(K410&amp;H$1,Taostats_CSV!$X:$X,0)-1,0),"")</f>
        <v/>
      </c>
      <c r="I410" t="str">
        <f ca="1">IF(AND(LEN(K410)=0,LEN(F410)&gt;0),"Income",IF(AND(O410&gt;0,P410&gt;0,C410&lt;&gt;E410),"Trade",IF(AND(NOT(Q410),Taostats_CSV!F410="fee"),'READ ME'!$C$5,"")))</f>
        <v>Income</v>
      </c>
      <c r="J410" t="str">
        <f ca="1">SUBSTITUTE(IF(LEN(I410)=0,Taostats_CSV!F410&amp;" "&amp;Taostats_CSV!J410,IF(I410="Cost","Extrinsic fee","")),"_"," ")</f>
        <v/>
      </c>
      <c r="K410" t="str">
        <f>TRIM(IF(LEN(Taostats_CSV!I410)&gt;0,Taostats_CSV!I410,""))</f>
        <v/>
      </c>
      <c r="L410">
        <f ca="1">IF(Taostats_CSV!E410&lt;&gt;"TAO",IF(LEN(F410)&gt;0,F410,IF(LEN(D410)&gt;0,D410,0))*Taostats_CSV!P410,"")</f>
        <v>17.084658598685788</v>
      </c>
      <c r="M410" t="str">
        <f t="shared" ca="1" si="51"/>
        <v>USD</v>
      </c>
      <c r="N410">
        <f>COUNTIF(Taostats_CSV!$X:$X,Taostats_CSV!$I410&amp;N$1)</f>
        <v>0</v>
      </c>
      <c r="O410">
        <f>COUNTIF(Taostats_CSV!$X:$X,Taostats_CSV!$I410&amp;O$1)</f>
        <v>0</v>
      </c>
      <c r="P410">
        <f>COUNTIF(Taostats_CSV!$X:$X,Taostats_CSV!$I410&amp;P$1)</f>
        <v>0</v>
      </c>
      <c r="Q410" t="b">
        <f t="shared" si="52"/>
        <v>0</v>
      </c>
      <c r="R410" t="b">
        <f>IF(LEN(K410)&gt;0,COUNTIF($K$3:K410,K410),FALSE)</f>
        <v>0</v>
      </c>
      <c r="S410" t="b">
        <f>IF(Taostats_CSV!A410=Taostats_CSV!$A$2,TRUE,Taostats_CSV!G410+Taostats_CSV!H410+Taostats_CSV!R410=0)</f>
        <v>0</v>
      </c>
      <c r="T410" t="b">
        <f t="shared" si="53"/>
        <v>1</v>
      </c>
      <c r="U410" t="b" cm="1">
        <f t="array" aca="1" ref="U410" ca="1">AND(T410,OR(O410-N410&gt;1,P410&gt;1,ISERROR(A410:P410)))</f>
        <v>0</v>
      </c>
      <c r="W410" t="e">
        <f>MATCH(K410&amp;$W$2,Taostats_CSV!$X$3:$X$1167,0)</f>
        <v>#N/A</v>
      </c>
      <c r="X410" t="e">
        <f t="shared" ca="1" si="48"/>
        <v>#VALUE!</v>
      </c>
      <c r="Y410">
        <f t="shared" ca="1" si="49"/>
        <v>0.44671836300000001</v>
      </c>
      <c r="Z410" t="e">
        <f t="shared" ca="1" si="50"/>
        <v>#VALUE!</v>
      </c>
    </row>
    <row r="411" spans="1:26" x14ac:dyDescent="0.4">
      <c r="A411" t="str">
        <f>MID(Taostats_CSV!C411,6,2)&amp;"/"&amp;MID(Taostats_CSV!C411,9,2)&amp;"/"&amp;LEFT(Taostats_CSV!C411,4)&amp;" "&amp;MID(Taostats_CSV!C411,12,8)</f>
        <v>06/02/2025 23:59:48</v>
      </c>
      <c r="C411" t="str">
        <f ca="1">IF(Q411,OFFSET(Taostats_CSV!$E$1,MATCH(K411&amp;D$1,Taostats_CSV!$X:$X,0)-1,0),IF(Taostats_CSV!F411="fee",IF(VALUE(Taostats_CSV!G411)&gt;0,Taostats_CSV!E411,""),""))</f>
        <v/>
      </c>
      <c r="D411" t="str">
        <f ca="1">IF(Q411,OFFSET(Taostats_CSV!$G$1,MATCH(K411&amp;D$1,Taostats_CSV!$X:$X,0)-1,0),IF(Taostats_CSV!F411="fee",IF(VALUE(Taostats_CSV!G411)&gt;0,Taostats_CSV!G411,""),""))</f>
        <v/>
      </c>
      <c r="E411" t="str">
        <f ca="1">IF(AND(Q411,P411&gt;0),OFFSET(Taostats_CSV!$E$1,MATCH(K411&amp;F$1,Taostats_CSV!$X:$X,0)-1,0),IF(LEN(F411)&gt;0,Taostats_CSV!E411,""))</f>
        <v>SN56</v>
      </c>
      <c r="F411" t="str">
        <f ca="1">TRIM(IF(AND(Q411,P411&gt;0),OFFSET(Taostats_CSV!$H$1,MATCH(K411&amp;F$1,Taostats_CSV!$X:$X,0)-1,0),IF(LEN(Taostats_CSV!H411)&gt;0,Taostats_CSV!H411,Taostats_CSV!R411)))</f>
        <v>0.240099507</v>
      </c>
      <c r="G411" t="str">
        <f ca="1">IF(AND(Q411,N411=1),OFFSET(Taostats_CSV!$E$1,MATCH(K411&amp;H$1,Taostats_CSV!$X:$X,0)-1,0),"")</f>
        <v/>
      </c>
      <c r="H411" t="str">
        <f ca="1">IF(AND(Q411,N411=1),OFFSET(Taostats_CSV!$G$1,MATCH(K411&amp;H$1,Taostats_CSV!$X:$X,0)-1,0),"")</f>
        <v/>
      </c>
      <c r="I411" t="str">
        <f ca="1">IF(AND(LEN(K411)=0,LEN(F411)&gt;0),"Income",IF(AND(O411&gt;0,P411&gt;0,C411&lt;&gt;E411),"Trade",IF(AND(NOT(Q411),Taostats_CSV!F411="fee"),'READ ME'!$C$5,"")))</f>
        <v>Income</v>
      </c>
      <c r="J411" t="str">
        <f ca="1">SUBSTITUTE(IF(LEN(I411)=0,Taostats_CSV!F411&amp;" "&amp;Taostats_CSV!J411,IF(I411="Cost","Extrinsic fee","")),"_"," ")</f>
        <v/>
      </c>
      <c r="K411" t="str">
        <f>TRIM(IF(LEN(Taostats_CSV!I411)&gt;0,Taostats_CSV!I411,""))</f>
        <v/>
      </c>
      <c r="L411">
        <f ca="1">IF(Taostats_CSV!E411&lt;&gt;"TAO",IF(LEN(F411)&gt;0,F411,IF(LEN(D411)&gt;0,D411,0))*Taostats_CSV!P411,"")</f>
        <v>9.1882527756836971</v>
      </c>
      <c r="M411" t="str">
        <f t="shared" ca="1" si="51"/>
        <v>USD</v>
      </c>
      <c r="N411">
        <f>COUNTIF(Taostats_CSV!$X:$X,Taostats_CSV!$I411&amp;N$1)</f>
        <v>0</v>
      </c>
      <c r="O411">
        <f>COUNTIF(Taostats_CSV!$X:$X,Taostats_CSV!$I411&amp;O$1)</f>
        <v>0</v>
      </c>
      <c r="P411">
        <f>COUNTIF(Taostats_CSV!$X:$X,Taostats_CSV!$I411&amp;P$1)</f>
        <v>0</v>
      </c>
      <c r="Q411" t="b">
        <f t="shared" si="52"/>
        <v>0</v>
      </c>
      <c r="R411" t="b">
        <f>IF(LEN(K411)&gt;0,COUNTIF($K$3:K411,K411),FALSE)</f>
        <v>0</v>
      </c>
      <c r="S411" t="b">
        <f>IF(Taostats_CSV!A411=Taostats_CSV!$A$2,TRUE,Taostats_CSV!G411+Taostats_CSV!H411+Taostats_CSV!R411=0)</f>
        <v>0</v>
      </c>
      <c r="T411" t="b">
        <f t="shared" si="53"/>
        <v>1</v>
      </c>
      <c r="U411" t="b" cm="1">
        <f t="array" aca="1" ref="U411" ca="1">AND(T411,OR(O411-N411&gt;1,P411&gt;1,ISERROR(A411:P411)))</f>
        <v>0</v>
      </c>
      <c r="W411" t="e">
        <f>MATCH(K411&amp;$W$2,Taostats_CSV!$X$3:$X$1167,0)</f>
        <v>#N/A</v>
      </c>
      <c r="X411" t="e">
        <f t="shared" ca="1" si="48"/>
        <v>#VALUE!</v>
      </c>
      <c r="Y411">
        <f t="shared" ca="1" si="49"/>
        <v>0.24009950699999999</v>
      </c>
      <c r="Z411" t="e">
        <f t="shared" ca="1" si="50"/>
        <v>#VALUE!</v>
      </c>
    </row>
    <row r="412" spans="1:26" x14ac:dyDescent="0.4">
      <c r="A412" t="str">
        <f>MID(Taostats_CSV!C412,6,2)&amp;"/"&amp;MID(Taostats_CSV!C412,9,2)&amp;"/"&amp;LEFT(Taostats_CSV!C412,4)&amp;" "&amp;MID(Taostats_CSV!C412,12,8)</f>
        <v>06/02/2025 23:59:48</v>
      </c>
      <c r="C412" t="str">
        <f ca="1">IF(Q412,OFFSET(Taostats_CSV!$E$1,MATCH(K412&amp;D$1,Taostats_CSV!$X:$X,0)-1,0),IF(Taostats_CSV!F412="fee",IF(VALUE(Taostats_CSV!G412)&gt;0,Taostats_CSV!E412,""),""))</f>
        <v/>
      </c>
      <c r="D412" t="str">
        <f ca="1">IF(Q412,OFFSET(Taostats_CSV!$G$1,MATCH(K412&amp;D$1,Taostats_CSV!$X:$X,0)-1,0),IF(Taostats_CSV!F412="fee",IF(VALUE(Taostats_CSV!G412)&gt;0,Taostats_CSV!G412,""),""))</f>
        <v/>
      </c>
      <c r="E412" t="str">
        <f ca="1">IF(AND(Q412,P412&gt;0),OFFSET(Taostats_CSV!$E$1,MATCH(K412&amp;F$1,Taostats_CSV!$X:$X,0)-1,0),IF(LEN(F412)&gt;0,Taostats_CSV!E412,""))</f>
        <v>SN64</v>
      </c>
      <c r="F412" t="str">
        <f ca="1">TRIM(IF(AND(Q412,P412&gt;0),OFFSET(Taostats_CSV!$H$1,MATCH(K412&amp;F$1,Taostats_CSV!$X:$X,0)-1,0),IF(LEN(Taostats_CSV!H412)&gt;0,Taostats_CSV!H412,Taostats_CSV!R412)))</f>
        <v>0.144482498</v>
      </c>
      <c r="G412" t="str">
        <f ca="1">IF(AND(Q412,N412=1),OFFSET(Taostats_CSV!$E$1,MATCH(K412&amp;H$1,Taostats_CSV!$X:$X,0)-1,0),"")</f>
        <v/>
      </c>
      <c r="H412" t="str">
        <f ca="1">IF(AND(Q412,N412=1),OFFSET(Taostats_CSV!$G$1,MATCH(K412&amp;H$1,Taostats_CSV!$X:$X,0)-1,0),"")</f>
        <v/>
      </c>
      <c r="I412" t="str">
        <f ca="1">IF(AND(LEN(K412)=0,LEN(F412)&gt;0),"Income",IF(AND(O412&gt;0,P412&gt;0,C412&lt;&gt;E412),"Trade",IF(AND(NOT(Q412),Taostats_CSV!F412="fee"),'READ ME'!$C$5,"")))</f>
        <v>Income</v>
      </c>
      <c r="J412" t="str">
        <f ca="1">SUBSTITUTE(IF(LEN(I412)=0,Taostats_CSV!F412&amp;" "&amp;Taostats_CSV!J412,IF(I412="Cost","Extrinsic fee","")),"_"," ")</f>
        <v/>
      </c>
      <c r="K412" t="str">
        <f>TRIM(IF(LEN(Taostats_CSV!I412)&gt;0,Taostats_CSV!I412,""))</f>
        <v/>
      </c>
      <c r="L412">
        <f ca="1">IF(Taostats_CSV!E412&lt;&gt;"TAO",IF(LEN(F412)&gt;0,F412,IF(LEN(D412)&gt;0,D412,0))*Taostats_CSV!P412,"")</f>
        <v>12.847970718446231</v>
      </c>
      <c r="M412" t="str">
        <f t="shared" ca="1" si="51"/>
        <v>USD</v>
      </c>
      <c r="N412">
        <f>COUNTIF(Taostats_CSV!$X:$X,Taostats_CSV!$I412&amp;N$1)</f>
        <v>0</v>
      </c>
      <c r="O412">
        <f>COUNTIF(Taostats_CSV!$X:$X,Taostats_CSV!$I412&amp;O$1)</f>
        <v>0</v>
      </c>
      <c r="P412">
        <f>COUNTIF(Taostats_CSV!$X:$X,Taostats_CSV!$I412&amp;P$1)</f>
        <v>0</v>
      </c>
      <c r="Q412" t="b">
        <f t="shared" si="52"/>
        <v>0</v>
      </c>
      <c r="R412" t="b">
        <f>IF(LEN(K412)&gt;0,COUNTIF($K$3:K412,K412),FALSE)</f>
        <v>0</v>
      </c>
      <c r="S412" t="b">
        <f>IF(Taostats_CSV!A412=Taostats_CSV!$A$2,TRUE,Taostats_CSV!G412+Taostats_CSV!H412+Taostats_CSV!R412=0)</f>
        <v>0</v>
      </c>
      <c r="T412" t="b">
        <f t="shared" si="53"/>
        <v>1</v>
      </c>
      <c r="U412" t="b" cm="1">
        <f t="array" aca="1" ref="U412" ca="1">AND(T412,OR(O412-N412&gt;1,P412&gt;1,ISERROR(A412:P412)))</f>
        <v>0</v>
      </c>
      <c r="W412" t="e">
        <f>MATCH(K412&amp;$W$2,Taostats_CSV!$X$3:$X$1167,0)</f>
        <v>#N/A</v>
      </c>
      <c r="X412" t="e">
        <f t="shared" ca="1" si="48"/>
        <v>#VALUE!</v>
      </c>
      <c r="Y412">
        <f t="shared" ca="1" si="49"/>
        <v>0.14448249799999999</v>
      </c>
      <c r="Z412" t="e">
        <f t="shared" ca="1" si="50"/>
        <v>#VALUE!</v>
      </c>
    </row>
    <row r="413" spans="1:26" hidden="1" x14ac:dyDescent="0.4">
      <c r="A413" t="str">
        <f>MID(Taostats_CSV!C413,6,2)&amp;"/"&amp;MID(Taostats_CSV!C413,9,2)&amp;"/"&amp;LEFT(Taostats_CSV!C413,4)&amp;" "&amp;MID(Taostats_CSV!C413,12,8)</f>
        <v>06/02/2025 23:59:48</v>
      </c>
      <c r="C413" t="str">
        <f ca="1">IF(Q413,OFFSET(Taostats_CSV!$E$1,MATCH(K413&amp;D$1,Taostats_CSV!$X:$X,0)-1,0),IF(Taostats_CSV!F413="fee","",IF(VALUE(Taostats_CSV!G413)&gt;0,Taostats_CSV!E413,"")))</f>
        <v/>
      </c>
      <c r="D413" t="str">
        <f ca="1">IF(Q413,OFFSET(Taostats_CSV!$G$1,MATCH(K413&amp;D$1,Taostats_CSV!$X:$X,0)-1,0),IF(Taostats_CSV!F413="fee","",IF(VALUE(Taostats_CSV!G413)&gt;0,Taostats_CSV!G413,"")))</f>
        <v/>
      </c>
      <c r="E413" t="str">
        <f ca="1">IF(AND(Q413,P413&gt;0),OFFSET(Taostats_CSV!$E$1,MATCH(K413&amp;F$1,Taostats_CSV!$X:$X,0)-1,0),IF(LEN(F413)&gt;0,Taostats_CSV!E413,""))</f>
        <v>TAO</v>
      </c>
      <c r="F413" t="str">
        <f ca="1">TRIM(IF(AND(Q413,P413&gt;0),OFFSET(Taostats_CSV!$H$1,MATCH(K413&amp;F$1,Taostats_CSV!$X:$X,0)-1,0),IF(LEN(Taostats_CSV!H413)&gt;0,Taostats_CSV!H413,Taostats_CSV!R413)))</f>
        <v>0</v>
      </c>
      <c r="G413" t="str">
        <f ca="1">IF(AND(Q413,N413=1),OFFSET(Taostats_CSV!$E$1,MATCH(K413&amp;H$1,Taostats_CSV!$X:$X,0)-1,0),IF(Taostats_CSV!F413="fee",Taostats_CSV!E413,""))</f>
        <v/>
      </c>
      <c r="H413" t="str">
        <f ca="1">IF(AND(Q413,N413=1),OFFSET(Taostats_CSV!$G$1,MATCH(K413&amp;H$1,Taostats_CSV!$X:$X,0)-1,0),IF(Taostats_CSV!F413="fee",Taostats_CSV!G413,""))</f>
        <v/>
      </c>
      <c r="I413" t="str">
        <f ca="1">IF(AND(LEN(K413)=0,LEN(F413)&gt;0),"Income",IF(AND(O413&gt;0,P413&gt;0,C413&lt;&gt;E413),"Trade",IF(AND(NOT(Q413),Taostats_CSV!F413="fee"),'READ ME'!$C$5,"")))</f>
        <v>Income</v>
      </c>
      <c r="J413" t="str">
        <f ca="1">SUBSTITUTE(IF(LEN(I413)=0,Taostats_CSV!F413&amp;" "&amp;Taostats_CSV!J413,IF(I413="Cost","Extrinsic fee","")),"_"," ")</f>
        <v/>
      </c>
      <c r="K413" t="str">
        <f>TRIM(IF(LEN(Taostats_CSV!I413)&gt;0,Taostats_CSV!I413,""))</f>
        <v/>
      </c>
      <c r="L413" t="str">
        <f>IF(Taostats_CSV!E413&lt;&gt;"TAO",IF(LEN(F413)&gt;0,F413,IF(LEN(D413)&gt;0,D413,0))*Taostats_CSV!P413,"")</f>
        <v/>
      </c>
      <c r="M413" t="str">
        <f t="shared" si="51"/>
        <v/>
      </c>
      <c r="N413">
        <f>COUNTIF(Taostats_CSV!$X:$X,Taostats_CSV!$I413&amp;N$1)</f>
        <v>0</v>
      </c>
      <c r="O413">
        <f>COUNTIF(Taostats_CSV!$X:$X,Taostats_CSV!$I413&amp;O$1)</f>
        <v>0</v>
      </c>
      <c r="P413">
        <f>COUNTIF(Taostats_CSV!$X:$X,Taostats_CSV!$I413&amp;P$1)</f>
        <v>0</v>
      </c>
      <c r="Q413" t="b">
        <f t="shared" si="52"/>
        <v>0</v>
      </c>
      <c r="R413" t="b">
        <f>IF(LEN(K413)&gt;0,COUNTIF($K$3:K413,K413),FALSE)</f>
        <v>0</v>
      </c>
      <c r="S413" t="b">
        <f>IF(Taostats_CSV!A413=Taostats_CSV!$A$2,TRUE,Taostats_CSV!G413+Taostats_CSV!H413+Taostats_CSV!R413=0)</f>
        <v>1</v>
      </c>
      <c r="T413" t="b">
        <f t="shared" si="53"/>
        <v>0</v>
      </c>
      <c r="U413" t="b" cm="1">
        <f t="array" aca="1" ref="U413" ca="1">AND(T413,OR(O413-N413&gt;1,P413&gt;1,ISERROR(A413:P413)))</f>
        <v>0</v>
      </c>
      <c r="W413" t="e">
        <f>MATCH(K413&amp;$W$2,Taostats_CSV!$X$3:$X$1167,0)</f>
        <v>#N/A</v>
      </c>
      <c r="X413" t="e">
        <f t="shared" ca="1" si="48"/>
        <v>#VALUE!</v>
      </c>
      <c r="Y413">
        <f t="shared" ca="1" si="49"/>
        <v>0</v>
      </c>
      <c r="Z413" t="e">
        <f t="shared" ca="1" si="50"/>
        <v>#VALUE!</v>
      </c>
    </row>
    <row r="414" spans="1:26" x14ac:dyDescent="0.4">
      <c r="A414" t="str">
        <f>MID(Taostats_CSV!C414,6,2)&amp;"/"&amp;MID(Taostats_CSV!C414,9,2)&amp;"/"&amp;LEFT(Taostats_CSV!C414,4)&amp;" "&amp;MID(Taostats_CSV!C414,12,8)</f>
        <v>06/03/2025 23:59:48</v>
      </c>
      <c r="C414" t="str">
        <f ca="1">IF(Q414,OFFSET(Taostats_CSV!$E$1,MATCH(K414&amp;D$1,Taostats_CSV!$X:$X,0)-1,0),IF(Taostats_CSV!F414="fee",IF(VALUE(Taostats_CSV!G414)&gt;0,Taostats_CSV!E414,""),""))</f>
        <v/>
      </c>
      <c r="D414" t="str">
        <f ca="1">IF(Q414,OFFSET(Taostats_CSV!$G$1,MATCH(K414&amp;D$1,Taostats_CSV!$X:$X,0)-1,0),IF(Taostats_CSV!F414="fee",IF(VALUE(Taostats_CSV!G414)&gt;0,Taostats_CSV!G414,""),""))</f>
        <v/>
      </c>
      <c r="E414" t="str">
        <f ca="1">IF(AND(Q414,P414&gt;0),OFFSET(Taostats_CSV!$E$1,MATCH(K414&amp;F$1,Taostats_CSV!$X:$X,0)-1,0),IF(LEN(F414)&gt;0,Taostats_CSV!E414,""))</f>
        <v>SN3</v>
      </c>
      <c r="F414" t="str">
        <f ca="1">TRIM(IF(AND(Q414,P414&gt;0),OFFSET(Taostats_CSV!$H$1,MATCH(K414&amp;F$1,Taostats_CSV!$X:$X,0)-1,0),IF(LEN(Taostats_CSV!H414)&gt;0,Taostats_CSV!H414,Taostats_CSV!R414)))</f>
        <v>0.405529078</v>
      </c>
      <c r="G414" t="str">
        <f ca="1">IF(AND(Q414,N414=1),OFFSET(Taostats_CSV!$E$1,MATCH(K414&amp;H$1,Taostats_CSV!$X:$X,0)-1,0),"")</f>
        <v/>
      </c>
      <c r="H414" t="str">
        <f ca="1">IF(AND(Q414,N414=1),OFFSET(Taostats_CSV!$G$1,MATCH(K414&amp;H$1,Taostats_CSV!$X:$X,0)-1,0),"")</f>
        <v/>
      </c>
      <c r="I414" t="str">
        <f ca="1">IF(AND(LEN(K414)=0,LEN(F414)&gt;0),"Income",IF(AND(O414&gt;0,P414&gt;0,C414&lt;&gt;E414),"Trade",IF(AND(NOT(Q414),Taostats_CSV!F414="fee"),'READ ME'!$C$5,"")))</f>
        <v>Income</v>
      </c>
      <c r="J414" t="str">
        <f ca="1">SUBSTITUTE(IF(LEN(I414)=0,Taostats_CSV!F414&amp;" "&amp;Taostats_CSV!J414,IF(I414="Cost","Extrinsic fee","")),"_"," ")</f>
        <v/>
      </c>
      <c r="K414" t="str">
        <f>TRIM(IF(LEN(Taostats_CSV!I414)&gt;0,Taostats_CSV!I414,""))</f>
        <v/>
      </c>
      <c r="L414">
        <f ca="1">IF(Taostats_CSV!E414&lt;&gt;"TAO",IF(LEN(F414)&gt;0,F414,IF(LEN(D414)&gt;0,D414,0))*Taostats_CSV!P414,"")</f>
        <v>14.939007211520536</v>
      </c>
      <c r="M414" t="str">
        <f t="shared" ca="1" si="51"/>
        <v>USD</v>
      </c>
      <c r="N414">
        <f>COUNTIF(Taostats_CSV!$X:$X,Taostats_CSV!$I414&amp;N$1)</f>
        <v>0</v>
      </c>
      <c r="O414">
        <f>COUNTIF(Taostats_CSV!$X:$X,Taostats_CSV!$I414&amp;O$1)</f>
        <v>0</v>
      </c>
      <c r="P414">
        <f>COUNTIF(Taostats_CSV!$X:$X,Taostats_CSV!$I414&amp;P$1)</f>
        <v>0</v>
      </c>
      <c r="Q414" t="b">
        <f t="shared" si="52"/>
        <v>0</v>
      </c>
      <c r="R414" t="b">
        <f>IF(LEN(K414)&gt;0,COUNTIF($K$3:K414,K414),FALSE)</f>
        <v>0</v>
      </c>
      <c r="S414" t="b">
        <f>IF(Taostats_CSV!A414=Taostats_CSV!$A$2,TRUE,Taostats_CSV!G414+Taostats_CSV!H414+Taostats_CSV!R414=0)</f>
        <v>0</v>
      </c>
      <c r="T414" t="b">
        <f t="shared" si="53"/>
        <v>1</v>
      </c>
      <c r="U414" t="b" cm="1">
        <f t="array" aca="1" ref="U414" ca="1">AND(T414,OR(O414-N414&gt;1,P414&gt;1,ISERROR(A414:P414)))</f>
        <v>0</v>
      </c>
      <c r="W414" t="e">
        <f>MATCH(K414&amp;$W$2,Taostats_CSV!$X$3:$X$1167,0)</f>
        <v>#N/A</v>
      </c>
      <c r="X414" t="e">
        <f t="shared" ca="1" si="48"/>
        <v>#VALUE!</v>
      </c>
      <c r="Y414">
        <f t="shared" ca="1" si="49"/>
        <v>0.40552907799999999</v>
      </c>
      <c r="Z414" t="e">
        <f t="shared" ca="1" si="50"/>
        <v>#VALUE!</v>
      </c>
    </row>
    <row r="415" spans="1:26" x14ac:dyDescent="0.4">
      <c r="A415" t="str">
        <f>MID(Taostats_CSV!C415,6,2)&amp;"/"&amp;MID(Taostats_CSV!C415,9,2)&amp;"/"&amp;LEFT(Taostats_CSV!C415,4)&amp;" "&amp;MID(Taostats_CSV!C415,12,8)</f>
        <v>06/03/2025 23:59:48</v>
      </c>
      <c r="C415" t="str">
        <f ca="1">IF(Q415,OFFSET(Taostats_CSV!$E$1,MATCH(K415&amp;D$1,Taostats_CSV!$X:$X,0)-1,0),IF(Taostats_CSV!F415="fee",IF(VALUE(Taostats_CSV!G415)&gt;0,Taostats_CSV!E415,""),""))</f>
        <v/>
      </c>
      <c r="D415" t="str">
        <f ca="1">IF(Q415,OFFSET(Taostats_CSV!$G$1,MATCH(K415&amp;D$1,Taostats_CSV!$X:$X,0)-1,0),IF(Taostats_CSV!F415="fee",IF(VALUE(Taostats_CSV!G415)&gt;0,Taostats_CSV!G415,""),""))</f>
        <v/>
      </c>
      <c r="E415" t="str">
        <f ca="1">IF(AND(Q415,P415&gt;0),OFFSET(Taostats_CSV!$E$1,MATCH(K415&amp;F$1,Taostats_CSV!$X:$X,0)-1,0),IF(LEN(F415)&gt;0,Taostats_CSV!E415,""))</f>
        <v>SN4</v>
      </c>
      <c r="F415" t="str">
        <f ca="1">TRIM(IF(AND(Q415,P415&gt;0),OFFSET(Taostats_CSV!$H$1,MATCH(K415&amp;F$1,Taostats_CSV!$X:$X,0)-1,0),IF(LEN(Taostats_CSV!H415)&gt;0,Taostats_CSV!H415,Taostats_CSV!R415)))</f>
        <v>0.445941337</v>
      </c>
      <c r="G415" t="str">
        <f ca="1">IF(AND(Q415,N415=1),OFFSET(Taostats_CSV!$E$1,MATCH(K415&amp;H$1,Taostats_CSV!$X:$X,0)-1,0),"")</f>
        <v/>
      </c>
      <c r="H415" t="str">
        <f ca="1">IF(AND(Q415,N415=1),OFFSET(Taostats_CSV!$G$1,MATCH(K415&amp;H$1,Taostats_CSV!$X:$X,0)-1,0),"")</f>
        <v/>
      </c>
      <c r="I415" t="str">
        <f ca="1">IF(AND(LEN(K415)=0,LEN(F415)&gt;0),"Income",IF(AND(O415&gt;0,P415&gt;0,C415&lt;&gt;E415),"Trade",IF(AND(NOT(Q415),Taostats_CSV!F415="fee"),'READ ME'!$C$5,"")))</f>
        <v>Income</v>
      </c>
      <c r="J415" t="str">
        <f ca="1">SUBSTITUTE(IF(LEN(I415)=0,Taostats_CSV!F415&amp;" "&amp;Taostats_CSV!J415,IF(I415="Cost","Extrinsic fee","")),"_"," ")</f>
        <v/>
      </c>
      <c r="K415" t="str">
        <f>TRIM(IF(LEN(Taostats_CSV!I415)&gt;0,Taostats_CSV!I415,""))</f>
        <v/>
      </c>
      <c r="L415">
        <f ca="1">IF(Taostats_CSV!E415&lt;&gt;"TAO",IF(LEN(F415)&gt;0,F415,IF(LEN(D415)&gt;0,D415,0))*Taostats_CSV!P415,"")</f>
        <v>16.111415200688452</v>
      </c>
      <c r="M415" t="str">
        <f t="shared" ca="1" si="51"/>
        <v>USD</v>
      </c>
      <c r="N415">
        <f>COUNTIF(Taostats_CSV!$X:$X,Taostats_CSV!$I415&amp;N$1)</f>
        <v>0</v>
      </c>
      <c r="O415">
        <f>COUNTIF(Taostats_CSV!$X:$X,Taostats_CSV!$I415&amp;O$1)</f>
        <v>0</v>
      </c>
      <c r="P415">
        <f>COUNTIF(Taostats_CSV!$X:$X,Taostats_CSV!$I415&amp;P$1)</f>
        <v>0</v>
      </c>
      <c r="Q415" t="b">
        <f t="shared" si="52"/>
        <v>0</v>
      </c>
      <c r="R415" t="b">
        <f>IF(LEN(K415)&gt;0,COUNTIF($K$3:K415,K415),FALSE)</f>
        <v>0</v>
      </c>
      <c r="S415" t="b">
        <f>IF(Taostats_CSV!A415=Taostats_CSV!$A$2,TRUE,Taostats_CSV!G415+Taostats_CSV!H415+Taostats_CSV!R415=0)</f>
        <v>0</v>
      </c>
      <c r="T415" t="b">
        <f t="shared" si="53"/>
        <v>1</v>
      </c>
      <c r="U415" t="b" cm="1">
        <f t="array" aca="1" ref="U415" ca="1">AND(T415,OR(O415-N415&gt;1,P415&gt;1,ISERROR(A415:P415)))</f>
        <v>0</v>
      </c>
      <c r="W415" t="e">
        <f>MATCH(K415&amp;$W$2,Taostats_CSV!$X$3:$X$1167,0)</f>
        <v>#N/A</v>
      </c>
      <c r="X415" t="e">
        <f t="shared" ca="1" si="48"/>
        <v>#VALUE!</v>
      </c>
      <c r="Y415">
        <f t="shared" ca="1" si="49"/>
        <v>0.44594133699999999</v>
      </c>
      <c r="Z415" t="e">
        <f t="shared" ca="1" si="50"/>
        <v>#VALUE!</v>
      </c>
    </row>
    <row r="416" spans="1:26" x14ac:dyDescent="0.4">
      <c r="A416" t="str">
        <f>MID(Taostats_CSV!C416,6,2)&amp;"/"&amp;MID(Taostats_CSV!C416,9,2)&amp;"/"&amp;LEFT(Taostats_CSV!C416,4)&amp;" "&amp;MID(Taostats_CSV!C416,12,8)</f>
        <v>06/03/2025 23:59:48</v>
      </c>
      <c r="C416" t="str">
        <f ca="1">IF(Q416,OFFSET(Taostats_CSV!$E$1,MATCH(K416&amp;D$1,Taostats_CSV!$X:$X,0)-1,0),IF(Taostats_CSV!F416="fee",IF(VALUE(Taostats_CSV!G416)&gt;0,Taostats_CSV!E416,""),""))</f>
        <v/>
      </c>
      <c r="D416" t="str">
        <f ca="1">IF(Q416,OFFSET(Taostats_CSV!$G$1,MATCH(K416&amp;D$1,Taostats_CSV!$X:$X,0)-1,0),IF(Taostats_CSV!F416="fee",IF(VALUE(Taostats_CSV!G416)&gt;0,Taostats_CSV!G416,""),""))</f>
        <v/>
      </c>
      <c r="E416" t="str">
        <f ca="1">IF(AND(Q416,P416&gt;0),OFFSET(Taostats_CSV!$E$1,MATCH(K416&amp;F$1,Taostats_CSV!$X:$X,0)-1,0),IF(LEN(F416)&gt;0,Taostats_CSV!E416,""))</f>
        <v>SN56</v>
      </c>
      <c r="F416" t="str">
        <f ca="1">TRIM(IF(AND(Q416,P416&gt;0),OFFSET(Taostats_CSV!$H$1,MATCH(K416&amp;F$1,Taostats_CSV!$X:$X,0)-1,0),IF(LEN(Taostats_CSV!H416)&gt;0,Taostats_CSV!H416,Taostats_CSV!R416)))</f>
        <v>0.242973439</v>
      </c>
      <c r="G416" t="str">
        <f ca="1">IF(AND(Q416,N416=1),OFFSET(Taostats_CSV!$E$1,MATCH(K416&amp;H$1,Taostats_CSV!$X:$X,0)-1,0),"")</f>
        <v/>
      </c>
      <c r="H416" t="str">
        <f ca="1">IF(AND(Q416,N416=1),OFFSET(Taostats_CSV!$G$1,MATCH(K416&amp;H$1,Taostats_CSV!$X:$X,0)-1,0),"")</f>
        <v/>
      </c>
      <c r="I416" t="str">
        <f ca="1">IF(AND(LEN(K416)=0,LEN(F416)&gt;0),"Income",IF(AND(O416&gt;0,P416&gt;0,C416&lt;&gt;E416),"Trade",IF(AND(NOT(Q416),Taostats_CSV!F416="fee"),'READ ME'!$C$5,"")))</f>
        <v>Income</v>
      </c>
      <c r="J416" t="str">
        <f ca="1">SUBSTITUTE(IF(LEN(I416)=0,Taostats_CSV!F416&amp;" "&amp;Taostats_CSV!J416,IF(I416="Cost","Extrinsic fee","")),"_"," ")</f>
        <v/>
      </c>
      <c r="K416" t="str">
        <f>TRIM(IF(LEN(Taostats_CSV!I416)&gt;0,Taostats_CSV!I416,""))</f>
        <v/>
      </c>
      <c r="L416">
        <f ca="1">IF(Taostats_CSV!E416&lt;&gt;"TAO",IF(LEN(F416)&gt;0,F416,IF(LEN(D416)&gt;0,D416,0))*Taostats_CSV!P416,"")</f>
        <v>9.2435889326555376</v>
      </c>
      <c r="M416" t="str">
        <f t="shared" ca="1" si="51"/>
        <v>USD</v>
      </c>
      <c r="N416">
        <f>COUNTIF(Taostats_CSV!$X:$X,Taostats_CSV!$I416&amp;N$1)</f>
        <v>0</v>
      </c>
      <c r="O416">
        <f>COUNTIF(Taostats_CSV!$X:$X,Taostats_CSV!$I416&amp;O$1)</f>
        <v>0</v>
      </c>
      <c r="P416">
        <f>COUNTIF(Taostats_CSV!$X:$X,Taostats_CSV!$I416&amp;P$1)</f>
        <v>0</v>
      </c>
      <c r="Q416" t="b">
        <f t="shared" si="52"/>
        <v>0</v>
      </c>
      <c r="R416" t="b">
        <f>IF(LEN(K416)&gt;0,COUNTIF($K$3:K416,K416),FALSE)</f>
        <v>0</v>
      </c>
      <c r="S416" t="b">
        <f>IF(Taostats_CSV!A416=Taostats_CSV!$A$2,TRUE,Taostats_CSV!G416+Taostats_CSV!H416+Taostats_CSV!R416=0)</f>
        <v>0</v>
      </c>
      <c r="T416" t="b">
        <f t="shared" si="53"/>
        <v>1</v>
      </c>
      <c r="U416" t="b" cm="1">
        <f t="array" aca="1" ref="U416" ca="1">AND(T416,OR(O416-N416&gt;1,P416&gt;1,ISERROR(A416:P416)))</f>
        <v>0</v>
      </c>
      <c r="W416" t="e">
        <f>MATCH(K416&amp;$W$2,Taostats_CSV!$X$3:$X$1167,0)</f>
        <v>#N/A</v>
      </c>
      <c r="X416" t="e">
        <f t="shared" ca="1" si="48"/>
        <v>#VALUE!</v>
      </c>
      <c r="Y416">
        <f t="shared" ca="1" si="49"/>
        <v>0.24297343900000001</v>
      </c>
      <c r="Z416" t="e">
        <f t="shared" ca="1" si="50"/>
        <v>#VALUE!</v>
      </c>
    </row>
    <row r="417" spans="1:26" x14ac:dyDescent="0.4">
      <c r="A417" t="str">
        <f>MID(Taostats_CSV!C417,6,2)&amp;"/"&amp;MID(Taostats_CSV!C417,9,2)&amp;"/"&amp;LEFT(Taostats_CSV!C417,4)&amp;" "&amp;MID(Taostats_CSV!C417,12,8)</f>
        <v>06/03/2025 23:59:48</v>
      </c>
      <c r="C417" t="str">
        <f ca="1">IF(Q417,OFFSET(Taostats_CSV!$E$1,MATCH(K417&amp;D$1,Taostats_CSV!$X:$X,0)-1,0),IF(Taostats_CSV!F417="fee",IF(VALUE(Taostats_CSV!G417)&gt;0,Taostats_CSV!E417,""),""))</f>
        <v/>
      </c>
      <c r="D417" t="str">
        <f ca="1">IF(Q417,OFFSET(Taostats_CSV!$G$1,MATCH(K417&amp;D$1,Taostats_CSV!$X:$X,0)-1,0),IF(Taostats_CSV!F417="fee",IF(VALUE(Taostats_CSV!G417)&gt;0,Taostats_CSV!G417,""),""))</f>
        <v/>
      </c>
      <c r="E417" t="str">
        <f ca="1">IF(AND(Q417,P417&gt;0),OFFSET(Taostats_CSV!$E$1,MATCH(K417&amp;F$1,Taostats_CSV!$X:$X,0)-1,0),IF(LEN(F417)&gt;0,Taostats_CSV!E417,""))</f>
        <v>SN64</v>
      </c>
      <c r="F417" t="str">
        <f ca="1">TRIM(IF(AND(Q417,P417&gt;0),OFFSET(Taostats_CSV!$H$1,MATCH(K417&amp;F$1,Taostats_CSV!$X:$X,0)-1,0),IF(LEN(Taostats_CSV!H417)&gt;0,Taostats_CSV!H417,Taostats_CSV!R417)))</f>
        <v>0.143792262</v>
      </c>
      <c r="G417" t="str">
        <f ca="1">IF(AND(Q417,N417=1),OFFSET(Taostats_CSV!$E$1,MATCH(K417&amp;H$1,Taostats_CSV!$X:$X,0)-1,0),"")</f>
        <v/>
      </c>
      <c r="H417" t="str">
        <f ca="1">IF(AND(Q417,N417=1),OFFSET(Taostats_CSV!$G$1,MATCH(K417&amp;H$1,Taostats_CSV!$X:$X,0)-1,0),"")</f>
        <v/>
      </c>
      <c r="I417" t="str">
        <f ca="1">IF(AND(LEN(K417)=0,LEN(F417)&gt;0),"Income",IF(AND(O417&gt;0,P417&gt;0,C417&lt;&gt;E417),"Trade",IF(AND(NOT(Q417),Taostats_CSV!F417="fee"),'READ ME'!$C$5,"")))</f>
        <v>Income</v>
      </c>
      <c r="J417" t="str">
        <f ca="1">SUBSTITUTE(IF(LEN(I417)=0,Taostats_CSV!F417&amp;" "&amp;Taostats_CSV!J417,IF(I417="Cost","Extrinsic fee","")),"_"," ")</f>
        <v/>
      </c>
      <c r="K417" t="str">
        <f>TRIM(IF(LEN(Taostats_CSV!I417)&gt;0,Taostats_CSV!I417,""))</f>
        <v/>
      </c>
      <c r="L417">
        <f ca="1">IF(Taostats_CSV!E417&lt;&gt;"TAO",IF(LEN(F417)&gt;0,F417,IF(LEN(D417)&gt;0,D417,0))*Taostats_CSV!P417,"")</f>
        <v>12.687543792115621</v>
      </c>
      <c r="M417" t="str">
        <f t="shared" ca="1" si="51"/>
        <v>USD</v>
      </c>
      <c r="N417">
        <f>COUNTIF(Taostats_CSV!$X:$X,Taostats_CSV!$I417&amp;N$1)</f>
        <v>0</v>
      </c>
      <c r="O417">
        <f>COUNTIF(Taostats_CSV!$X:$X,Taostats_CSV!$I417&amp;O$1)</f>
        <v>0</v>
      </c>
      <c r="P417">
        <f>COUNTIF(Taostats_CSV!$X:$X,Taostats_CSV!$I417&amp;P$1)</f>
        <v>0</v>
      </c>
      <c r="Q417" t="b">
        <f t="shared" si="52"/>
        <v>0</v>
      </c>
      <c r="R417" t="b">
        <f>IF(LEN(K417)&gt;0,COUNTIF($K$3:K417,K417),FALSE)</f>
        <v>0</v>
      </c>
      <c r="S417" t="b">
        <f>IF(Taostats_CSV!A417=Taostats_CSV!$A$2,TRUE,Taostats_CSV!G417+Taostats_CSV!H417+Taostats_CSV!R417=0)</f>
        <v>0</v>
      </c>
      <c r="T417" t="b">
        <f t="shared" si="53"/>
        <v>1</v>
      </c>
      <c r="U417" t="b" cm="1">
        <f t="array" aca="1" ref="U417" ca="1">AND(T417,OR(O417-N417&gt;1,P417&gt;1,ISERROR(A417:P417)))</f>
        <v>0</v>
      </c>
      <c r="W417" t="e">
        <f>MATCH(K417&amp;$W$2,Taostats_CSV!$X$3:$X$1167,0)</f>
        <v>#N/A</v>
      </c>
      <c r="X417" t="e">
        <f t="shared" ca="1" si="48"/>
        <v>#VALUE!</v>
      </c>
      <c r="Y417">
        <f t="shared" ca="1" si="49"/>
        <v>0.143792262</v>
      </c>
      <c r="Z417" t="e">
        <f t="shared" ca="1" si="50"/>
        <v>#VALUE!</v>
      </c>
    </row>
    <row r="418" spans="1:26" hidden="1" x14ac:dyDescent="0.4">
      <c r="A418" t="str">
        <f>MID(Taostats_CSV!C418,6,2)&amp;"/"&amp;MID(Taostats_CSV!C418,9,2)&amp;"/"&amp;LEFT(Taostats_CSV!C418,4)&amp;" "&amp;MID(Taostats_CSV!C418,12,8)</f>
        <v>06/03/2025 23:59:48</v>
      </c>
      <c r="C418" t="str">
        <f ca="1">IF(Q418,OFFSET(Taostats_CSV!$E$1,MATCH(K418&amp;D$1,Taostats_CSV!$X:$X,0)-1,0),IF(Taostats_CSV!F418="fee","",IF(VALUE(Taostats_CSV!G418)&gt;0,Taostats_CSV!E418,"")))</f>
        <v/>
      </c>
      <c r="D418" t="str">
        <f ca="1">IF(Q418,OFFSET(Taostats_CSV!$G$1,MATCH(K418&amp;D$1,Taostats_CSV!$X:$X,0)-1,0),IF(Taostats_CSV!F418="fee","",IF(VALUE(Taostats_CSV!G418)&gt;0,Taostats_CSV!G418,"")))</f>
        <v/>
      </c>
      <c r="E418" t="str">
        <f ca="1">IF(AND(Q418,P418&gt;0),OFFSET(Taostats_CSV!$E$1,MATCH(K418&amp;F$1,Taostats_CSV!$X:$X,0)-1,0),IF(LEN(F418)&gt;0,Taostats_CSV!E418,""))</f>
        <v>TAO</v>
      </c>
      <c r="F418" t="str">
        <f ca="1">TRIM(IF(AND(Q418,P418&gt;0),OFFSET(Taostats_CSV!$H$1,MATCH(K418&amp;F$1,Taostats_CSV!$X:$X,0)-1,0),IF(LEN(Taostats_CSV!H418)&gt;0,Taostats_CSV!H418,Taostats_CSV!R418)))</f>
        <v>0</v>
      </c>
      <c r="G418" t="str">
        <f ca="1">IF(AND(Q418,N418=1),OFFSET(Taostats_CSV!$E$1,MATCH(K418&amp;H$1,Taostats_CSV!$X:$X,0)-1,0),IF(Taostats_CSV!F418="fee",Taostats_CSV!E418,""))</f>
        <v/>
      </c>
      <c r="H418" t="str">
        <f ca="1">IF(AND(Q418,N418=1),OFFSET(Taostats_CSV!$G$1,MATCH(K418&amp;H$1,Taostats_CSV!$X:$X,0)-1,0),IF(Taostats_CSV!F418="fee",Taostats_CSV!G418,""))</f>
        <v/>
      </c>
      <c r="I418" t="str">
        <f ca="1">IF(AND(LEN(K418)=0,LEN(F418)&gt;0),"Income",IF(AND(O418&gt;0,P418&gt;0,C418&lt;&gt;E418),"Trade",IF(AND(NOT(Q418),Taostats_CSV!F418="fee"),'READ ME'!$C$5,"")))</f>
        <v>Income</v>
      </c>
      <c r="J418" t="str">
        <f ca="1">SUBSTITUTE(IF(LEN(I418)=0,Taostats_CSV!F418&amp;" "&amp;Taostats_CSV!J418,IF(I418="Cost","Extrinsic fee","")),"_"," ")</f>
        <v/>
      </c>
      <c r="K418" t="str">
        <f>TRIM(IF(LEN(Taostats_CSV!I418)&gt;0,Taostats_CSV!I418,""))</f>
        <v/>
      </c>
      <c r="L418" t="str">
        <f>IF(Taostats_CSV!E418&lt;&gt;"TAO",IF(LEN(F418)&gt;0,F418,IF(LEN(D418)&gt;0,D418,0))*Taostats_CSV!P418,"")</f>
        <v/>
      </c>
      <c r="M418" t="str">
        <f t="shared" si="51"/>
        <v/>
      </c>
      <c r="N418">
        <f>COUNTIF(Taostats_CSV!$X:$X,Taostats_CSV!$I418&amp;N$1)</f>
        <v>0</v>
      </c>
      <c r="O418">
        <f>COUNTIF(Taostats_CSV!$X:$X,Taostats_CSV!$I418&amp;O$1)</f>
        <v>0</v>
      </c>
      <c r="P418">
        <f>COUNTIF(Taostats_CSV!$X:$X,Taostats_CSV!$I418&amp;P$1)</f>
        <v>0</v>
      </c>
      <c r="Q418" t="b">
        <f t="shared" si="52"/>
        <v>0</v>
      </c>
      <c r="R418" t="b">
        <f>IF(LEN(K418)&gt;0,COUNTIF($K$3:K418,K418),FALSE)</f>
        <v>0</v>
      </c>
      <c r="S418" t="b">
        <f>IF(Taostats_CSV!A418=Taostats_CSV!$A$2,TRUE,Taostats_CSV!G418+Taostats_CSV!H418+Taostats_CSV!R418=0)</f>
        <v>1</v>
      </c>
      <c r="T418" t="b">
        <f t="shared" si="53"/>
        <v>0</v>
      </c>
      <c r="U418" t="b" cm="1">
        <f t="array" aca="1" ref="U418" ca="1">AND(T418,OR(O418-N418&gt;1,P418&gt;1,ISERROR(A418:P418)))</f>
        <v>0</v>
      </c>
      <c r="W418" t="e">
        <f>MATCH(K418&amp;$W$2,Taostats_CSV!$X$3:$X$1167,0)</f>
        <v>#N/A</v>
      </c>
      <c r="X418" t="e">
        <f t="shared" ca="1" si="48"/>
        <v>#VALUE!</v>
      </c>
      <c r="Y418">
        <f t="shared" ca="1" si="49"/>
        <v>0</v>
      </c>
      <c r="Z418" t="e">
        <f t="shared" ca="1" si="50"/>
        <v>#VALUE!</v>
      </c>
    </row>
    <row r="419" spans="1:26" x14ac:dyDescent="0.4">
      <c r="A419" t="str">
        <f>MID(Taostats_CSV!C419,6,2)&amp;"/"&amp;MID(Taostats_CSV!C419,9,2)&amp;"/"&amp;LEFT(Taostats_CSV!C419,4)&amp;" "&amp;MID(Taostats_CSV!C419,12,8)</f>
        <v>06/04/2025 23:59:48</v>
      </c>
      <c r="C419" t="str">
        <f ca="1">IF(Q419,OFFSET(Taostats_CSV!$E$1,MATCH(K419&amp;D$1,Taostats_CSV!$X:$X,0)-1,0),IF(Taostats_CSV!F419="fee",IF(VALUE(Taostats_CSV!G419)&gt;0,Taostats_CSV!E419,""),""))</f>
        <v/>
      </c>
      <c r="D419" t="str">
        <f ca="1">IF(Q419,OFFSET(Taostats_CSV!$G$1,MATCH(K419&amp;D$1,Taostats_CSV!$X:$X,0)-1,0),IF(Taostats_CSV!F419="fee",IF(VALUE(Taostats_CSV!G419)&gt;0,Taostats_CSV!G419,""),""))</f>
        <v/>
      </c>
      <c r="E419" t="str">
        <f ca="1">IF(AND(Q419,P419&gt;0),OFFSET(Taostats_CSV!$E$1,MATCH(K419&amp;F$1,Taostats_CSV!$X:$X,0)-1,0),IF(LEN(F419)&gt;0,Taostats_CSV!E419,""))</f>
        <v>SN3</v>
      </c>
      <c r="F419" t="str">
        <f ca="1">TRIM(IF(AND(Q419,P419&gt;0),OFFSET(Taostats_CSV!$H$1,MATCH(K419&amp;F$1,Taostats_CSV!$X:$X,0)-1,0),IF(LEN(Taostats_CSV!H419)&gt;0,Taostats_CSV!H419,Taostats_CSV!R419)))</f>
        <v>0.428069842</v>
      </c>
      <c r="G419" t="str">
        <f ca="1">IF(AND(Q419,N419=1),OFFSET(Taostats_CSV!$E$1,MATCH(K419&amp;H$1,Taostats_CSV!$X:$X,0)-1,0),"")</f>
        <v/>
      </c>
      <c r="H419" t="str">
        <f ca="1">IF(AND(Q419,N419=1),OFFSET(Taostats_CSV!$G$1,MATCH(K419&amp;H$1,Taostats_CSV!$X:$X,0)-1,0),"")</f>
        <v/>
      </c>
      <c r="I419" t="str">
        <f ca="1">IF(AND(LEN(K419)=0,LEN(F419)&gt;0),"Income",IF(AND(O419&gt;0,P419&gt;0,C419&lt;&gt;E419),"Trade",IF(AND(NOT(Q419),Taostats_CSV!F419="fee"),'READ ME'!$C$5,"")))</f>
        <v>Income</v>
      </c>
      <c r="J419" t="str">
        <f ca="1">SUBSTITUTE(IF(LEN(I419)=0,Taostats_CSV!F419&amp;" "&amp;Taostats_CSV!J419,IF(I419="Cost","Extrinsic fee","")),"_"," ")</f>
        <v/>
      </c>
      <c r="K419" t="str">
        <f>TRIM(IF(LEN(Taostats_CSV!I419)&gt;0,Taostats_CSV!I419,""))</f>
        <v/>
      </c>
      <c r="L419">
        <f ca="1">IF(Taostats_CSV!E419&lt;&gt;"TAO",IF(LEN(F419)&gt;0,F419,IF(LEN(D419)&gt;0,D419,0))*Taostats_CSV!P419,"")</f>
        <v>14.485053700037021</v>
      </c>
      <c r="M419" t="str">
        <f t="shared" ca="1" si="51"/>
        <v>USD</v>
      </c>
      <c r="N419">
        <f>COUNTIF(Taostats_CSV!$X:$X,Taostats_CSV!$I419&amp;N$1)</f>
        <v>0</v>
      </c>
      <c r="O419">
        <f>COUNTIF(Taostats_CSV!$X:$X,Taostats_CSV!$I419&amp;O$1)</f>
        <v>0</v>
      </c>
      <c r="P419">
        <f>COUNTIF(Taostats_CSV!$X:$X,Taostats_CSV!$I419&amp;P$1)</f>
        <v>0</v>
      </c>
      <c r="Q419" t="b">
        <f t="shared" si="52"/>
        <v>0</v>
      </c>
      <c r="R419" t="b">
        <f>IF(LEN(K419)&gt;0,COUNTIF($K$3:K419,K419),FALSE)</f>
        <v>0</v>
      </c>
      <c r="S419" t="b">
        <f>IF(Taostats_CSV!A419=Taostats_CSV!$A$2,TRUE,Taostats_CSV!G419+Taostats_CSV!H419+Taostats_CSV!R419=0)</f>
        <v>0</v>
      </c>
      <c r="T419" t="b">
        <f t="shared" si="53"/>
        <v>1</v>
      </c>
      <c r="U419" t="b" cm="1">
        <f t="array" aca="1" ref="U419" ca="1">AND(T419,OR(O419-N419&gt;1,P419&gt;1,ISERROR(A419:P419)))</f>
        <v>0</v>
      </c>
      <c r="W419" t="e">
        <f>MATCH(K419&amp;$W$2,Taostats_CSV!$X$3:$X$1167,0)</f>
        <v>#N/A</v>
      </c>
      <c r="X419" t="e">
        <f t="shared" ca="1" si="48"/>
        <v>#VALUE!</v>
      </c>
      <c r="Y419">
        <f t="shared" ca="1" si="49"/>
        <v>0.42806984199999998</v>
      </c>
      <c r="Z419" t="e">
        <f t="shared" ca="1" si="50"/>
        <v>#VALUE!</v>
      </c>
    </row>
    <row r="420" spans="1:26" x14ac:dyDescent="0.4">
      <c r="A420" t="str">
        <f>MID(Taostats_CSV!C420,6,2)&amp;"/"&amp;MID(Taostats_CSV!C420,9,2)&amp;"/"&amp;LEFT(Taostats_CSV!C420,4)&amp;" "&amp;MID(Taostats_CSV!C420,12,8)</f>
        <v>06/04/2025 23:59:48</v>
      </c>
      <c r="C420" t="str">
        <f ca="1">IF(Q420,OFFSET(Taostats_CSV!$E$1,MATCH(K420&amp;D$1,Taostats_CSV!$X:$X,0)-1,0),IF(Taostats_CSV!F420="fee",IF(VALUE(Taostats_CSV!G420)&gt;0,Taostats_CSV!E420,""),""))</f>
        <v/>
      </c>
      <c r="D420" t="str">
        <f ca="1">IF(Q420,OFFSET(Taostats_CSV!$G$1,MATCH(K420&amp;D$1,Taostats_CSV!$X:$X,0)-1,0),IF(Taostats_CSV!F420="fee",IF(VALUE(Taostats_CSV!G420)&gt;0,Taostats_CSV!G420,""),""))</f>
        <v/>
      </c>
      <c r="E420" t="str">
        <f ca="1">IF(AND(Q420,P420&gt;0),OFFSET(Taostats_CSV!$E$1,MATCH(K420&amp;F$1,Taostats_CSV!$X:$X,0)-1,0),IF(LEN(F420)&gt;0,Taostats_CSV!E420,""))</f>
        <v>SN4</v>
      </c>
      <c r="F420" t="str">
        <f ca="1">TRIM(IF(AND(Q420,P420&gt;0),OFFSET(Taostats_CSV!$H$1,MATCH(K420&amp;F$1,Taostats_CSV!$X:$X,0)-1,0),IF(LEN(Taostats_CSV!H420)&gt;0,Taostats_CSV!H420,Taostats_CSV!R420)))</f>
        <v>0.551929852</v>
      </c>
      <c r="G420" t="str">
        <f ca="1">IF(AND(Q420,N420=1),OFFSET(Taostats_CSV!$E$1,MATCH(K420&amp;H$1,Taostats_CSV!$X:$X,0)-1,0),"")</f>
        <v/>
      </c>
      <c r="H420" t="str">
        <f ca="1">IF(AND(Q420,N420=1),OFFSET(Taostats_CSV!$G$1,MATCH(K420&amp;H$1,Taostats_CSV!$X:$X,0)-1,0),"")</f>
        <v/>
      </c>
      <c r="I420" t="str">
        <f ca="1">IF(AND(LEN(K420)=0,LEN(F420)&gt;0),"Income",IF(AND(O420&gt;0,P420&gt;0,C420&lt;&gt;E420),"Trade",IF(AND(NOT(Q420),Taostats_CSV!F420="fee"),'READ ME'!$C$5,"")))</f>
        <v>Income</v>
      </c>
      <c r="J420" t="str">
        <f ca="1">SUBSTITUTE(IF(LEN(I420)=0,Taostats_CSV!F420&amp;" "&amp;Taostats_CSV!J420,IF(I420="Cost","Extrinsic fee","")),"_"," ")</f>
        <v/>
      </c>
      <c r="K420" t="str">
        <f>TRIM(IF(LEN(Taostats_CSV!I420)&gt;0,Taostats_CSV!I420,""))</f>
        <v/>
      </c>
      <c r="L420">
        <f ca="1">IF(Taostats_CSV!E420&lt;&gt;"TAO",IF(LEN(F420)&gt;0,F420,IF(LEN(D420)&gt;0,D420,0))*Taostats_CSV!P420,"")</f>
        <v>20.516499449572937</v>
      </c>
      <c r="M420" t="str">
        <f t="shared" ca="1" si="51"/>
        <v>USD</v>
      </c>
      <c r="N420">
        <f>COUNTIF(Taostats_CSV!$X:$X,Taostats_CSV!$I420&amp;N$1)</f>
        <v>0</v>
      </c>
      <c r="O420">
        <f>COUNTIF(Taostats_CSV!$X:$X,Taostats_CSV!$I420&amp;O$1)</f>
        <v>0</v>
      </c>
      <c r="P420">
        <f>COUNTIF(Taostats_CSV!$X:$X,Taostats_CSV!$I420&amp;P$1)</f>
        <v>0</v>
      </c>
      <c r="Q420" t="b">
        <f t="shared" si="52"/>
        <v>0</v>
      </c>
      <c r="R420" t="b">
        <f>IF(LEN(K420)&gt;0,COUNTIF($K$3:K420,K420),FALSE)</f>
        <v>0</v>
      </c>
      <c r="S420" t="b">
        <f>IF(Taostats_CSV!A420=Taostats_CSV!$A$2,TRUE,Taostats_CSV!G420+Taostats_CSV!H420+Taostats_CSV!R420=0)</f>
        <v>0</v>
      </c>
      <c r="T420" t="b">
        <f t="shared" si="53"/>
        <v>1</v>
      </c>
      <c r="U420" t="b" cm="1">
        <f t="array" aca="1" ref="U420" ca="1">AND(T420,OR(O420-N420&gt;1,P420&gt;1,ISERROR(A420:P420)))</f>
        <v>0</v>
      </c>
      <c r="W420" t="e">
        <f>MATCH(K420&amp;$W$2,Taostats_CSV!$X$3:$X$1167,0)</f>
        <v>#N/A</v>
      </c>
      <c r="X420" t="e">
        <f t="shared" ca="1" si="48"/>
        <v>#VALUE!</v>
      </c>
      <c r="Y420">
        <f t="shared" ca="1" si="49"/>
        <v>0.551929852</v>
      </c>
      <c r="Z420" t="e">
        <f t="shared" ca="1" si="50"/>
        <v>#VALUE!</v>
      </c>
    </row>
    <row r="421" spans="1:26" x14ac:dyDescent="0.4">
      <c r="A421" t="str">
        <f>MID(Taostats_CSV!C421,6,2)&amp;"/"&amp;MID(Taostats_CSV!C421,9,2)&amp;"/"&amp;LEFT(Taostats_CSV!C421,4)&amp;" "&amp;MID(Taostats_CSV!C421,12,8)</f>
        <v>06/04/2025 23:59:48</v>
      </c>
      <c r="C421" t="str">
        <f ca="1">IF(Q421,OFFSET(Taostats_CSV!$E$1,MATCH(K421&amp;D$1,Taostats_CSV!$X:$X,0)-1,0),IF(Taostats_CSV!F421="fee",IF(VALUE(Taostats_CSV!G421)&gt;0,Taostats_CSV!E421,""),""))</f>
        <v/>
      </c>
      <c r="D421" t="str">
        <f ca="1">IF(Q421,OFFSET(Taostats_CSV!$G$1,MATCH(K421&amp;D$1,Taostats_CSV!$X:$X,0)-1,0),IF(Taostats_CSV!F421="fee",IF(VALUE(Taostats_CSV!G421)&gt;0,Taostats_CSV!G421,""),""))</f>
        <v/>
      </c>
      <c r="E421" t="str">
        <f ca="1">IF(AND(Q421,P421&gt;0),OFFSET(Taostats_CSV!$E$1,MATCH(K421&amp;F$1,Taostats_CSV!$X:$X,0)-1,0),IF(LEN(F421)&gt;0,Taostats_CSV!E421,""))</f>
        <v>SN56</v>
      </c>
      <c r="F421" t="str">
        <f ca="1">TRIM(IF(AND(Q421,P421&gt;0),OFFSET(Taostats_CSV!$H$1,MATCH(K421&amp;F$1,Taostats_CSV!$X:$X,0)-1,0),IF(LEN(Taostats_CSV!H421)&gt;0,Taostats_CSV!H421,Taostats_CSV!R421)))</f>
        <v>0.240999197</v>
      </c>
      <c r="G421" t="str">
        <f ca="1">IF(AND(Q421,N421=1),OFFSET(Taostats_CSV!$E$1,MATCH(K421&amp;H$1,Taostats_CSV!$X:$X,0)-1,0),"")</f>
        <v/>
      </c>
      <c r="H421" t="str">
        <f ca="1">IF(AND(Q421,N421=1),OFFSET(Taostats_CSV!$G$1,MATCH(K421&amp;H$1,Taostats_CSV!$X:$X,0)-1,0),"")</f>
        <v/>
      </c>
      <c r="I421" t="str">
        <f ca="1">IF(AND(LEN(K421)=0,LEN(F421)&gt;0),"Income",IF(AND(O421&gt;0,P421&gt;0,C421&lt;&gt;E421),"Trade",IF(AND(NOT(Q421),Taostats_CSV!F421="fee"),'READ ME'!$C$5,"")))</f>
        <v>Income</v>
      </c>
      <c r="J421" t="str">
        <f ca="1">SUBSTITUTE(IF(LEN(I421)=0,Taostats_CSV!F421&amp;" "&amp;Taostats_CSV!J421,IF(I421="Cost","Extrinsic fee","")),"_"," ")</f>
        <v/>
      </c>
      <c r="K421" t="str">
        <f>TRIM(IF(LEN(Taostats_CSV!I421)&gt;0,Taostats_CSV!I421,""))</f>
        <v/>
      </c>
      <c r="L421">
        <f ca="1">IF(Taostats_CSV!E421&lt;&gt;"TAO",IF(LEN(F421)&gt;0,F421,IF(LEN(D421)&gt;0,D421,0))*Taostats_CSV!P421,"")</f>
        <v>8.3607297406344596</v>
      </c>
      <c r="M421" t="str">
        <f t="shared" ca="1" si="51"/>
        <v>USD</v>
      </c>
      <c r="N421">
        <f>COUNTIF(Taostats_CSV!$X:$X,Taostats_CSV!$I421&amp;N$1)</f>
        <v>0</v>
      </c>
      <c r="O421">
        <f>COUNTIF(Taostats_CSV!$X:$X,Taostats_CSV!$I421&amp;O$1)</f>
        <v>0</v>
      </c>
      <c r="P421">
        <f>COUNTIF(Taostats_CSV!$X:$X,Taostats_CSV!$I421&amp;P$1)</f>
        <v>0</v>
      </c>
      <c r="Q421" t="b">
        <f t="shared" si="52"/>
        <v>0</v>
      </c>
      <c r="R421" t="b">
        <f>IF(LEN(K421)&gt;0,COUNTIF($K$3:K421,K421),FALSE)</f>
        <v>0</v>
      </c>
      <c r="S421" t="b">
        <f>IF(Taostats_CSV!A421=Taostats_CSV!$A$2,TRUE,Taostats_CSV!G421+Taostats_CSV!H421+Taostats_CSV!R421=0)</f>
        <v>0</v>
      </c>
      <c r="T421" t="b">
        <f t="shared" si="53"/>
        <v>1</v>
      </c>
      <c r="U421" t="b" cm="1">
        <f t="array" aca="1" ref="U421" ca="1">AND(T421,OR(O421-N421&gt;1,P421&gt;1,ISERROR(A421:P421)))</f>
        <v>0</v>
      </c>
      <c r="W421" t="e">
        <f>MATCH(K421&amp;$W$2,Taostats_CSV!$X$3:$X$1167,0)</f>
        <v>#N/A</v>
      </c>
      <c r="X421" t="e">
        <f t="shared" ca="1" si="48"/>
        <v>#VALUE!</v>
      </c>
      <c r="Y421">
        <f t="shared" ca="1" si="49"/>
        <v>0.240999197</v>
      </c>
      <c r="Z421" t="e">
        <f t="shared" ca="1" si="50"/>
        <v>#VALUE!</v>
      </c>
    </row>
    <row r="422" spans="1:26" x14ac:dyDescent="0.4">
      <c r="A422" t="str">
        <f>MID(Taostats_CSV!C422,6,2)&amp;"/"&amp;MID(Taostats_CSV!C422,9,2)&amp;"/"&amp;LEFT(Taostats_CSV!C422,4)&amp;" "&amp;MID(Taostats_CSV!C422,12,8)</f>
        <v>06/04/2025 23:59:48</v>
      </c>
      <c r="C422" t="str">
        <f ca="1">IF(Q422,OFFSET(Taostats_CSV!$E$1,MATCH(K422&amp;D$1,Taostats_CSV!$X:$X,0)-1,0),IF(Taostats_CSV!F422="fee",IF(VALUE(Taostats_CSV!G422)&gt;0,Taostats_CSV!E422,""),""))</f>
        <v/>
      </c>
      <c r="D422" t="str">
        <f ca="1">IF(Q422,OFFSET(Taostats_CSV!$G$1,MATCH(K422&amp;D$1,Taostats_CSV!$X:$X,0)-1,0),IF(Taostats_CSV!F422="fee",IF(VALUE(Taostats_CSV!G422)&gt;0,Taostats_CSV!G422,""),""))</f>
        <v/>
      </c>
      <c r="E422" t="str">
        <f ca="1">IF(AND(Q422,P422&gt;0),OFFSET(Taostats_CSV!$E$1,MATCH(K422&amp;F$1,Taostats_CSV!$X:$X,0)-1,0),IF(LEN(F422)&gt;0,Taostats_CSV!E422,""))</f>
        <v>SN64</v>
      </c>
      <c r="F422" t="str">
        <f ca="1">TRIM(IF(AND(Q422,P422&gt;0),OFFSET(Taostats_CSV!$H$1,MATCH(K422&amp;F$1,Taostats_CSV!$X:$X,0)-1,0),IF(LEN(Taostats_CSV!H422)&gt;0,Taostats_CSV!H422,Taostats_CSV!R422)))</f>
        <v>0.142067609</v>
      </c>
      <c r="G422" t="str">
        <f ca="1">IF(AND(Q422,N422=1),OFFSET(Taostats_CSV!$E$1,MATCH(K422&amp;H$1,Taostats_CSV!$X:$X,0)-1,0),"")</f>
        <v/>
      </c>
      <c r="H422" t="str">
        <f ca="1">IF(AND(Q422,N422=1),OFFSET(Taostats_CSV!$G$1,MATCH(K422&amp;H$1,Taostats_CSV!$X:$X,0)-1,0),"")</f>
        <v/>
      </c>
      <c r="I422" t="str">
        <f ca="1">IF(AND(LEN(K422)=0,LEN(F422)&gt;0),"Income",IF(AND(O422&gt;0,P422&gt;0,C422&lt;&gt;E422),"Trade",IF(AND(NOT(Q422),Taostats_CSV!F422="fee"),'READ ME'!$C$5,"")))</f>
        <v>Income</v>
      </c>
      <c r="J422" t="str">
        <f ca="1">SUBSTITUTE(IF(LEN(I422)=0,Taostats_CSV!F422&amp;" "&amp;Taostats_CSV!J422,IF(I422="Cost","Extrinsic fee","")),"_"," ")</f>
        <v/>
      </c>
      <c r="K422" t="str">
        <f>TRIM(IF(LEN(Taostats_CSV!I422)&gt;0,Taostats_CSV!I422,""))</f>
        <v/>
      </c>
      <c r="L422">
        <f ca="1">IF(Taostats_CSV!E422&lt;&gt;"TAO",IF(LEN(F422)&gt;0,F422,IF(LEN(D422)&gt;0,D422,0))*Taostats_CSV!P422,"")</f>
        <v>12.153005606385269</v>
      </c>
      <c r="M422" t="str">
        <f t="shared" ca="1" si="51"/>
        <v>USD</v>
      </c>
      <c r="N422">
        <f>COUNTIF(Taostats_CSV!$X:$X,Taostats_CSV!$I422&amp;N$1)</f>
        <v>0</v>
      </c>
      <c r="O422">
        <f>COUNTIF(Taostats_CSV!$X:$X,Taostats_CSV!$I422&amp;O$1)</f>
        <v>0</v>
      </c>
      <c r="P422">
        <f>COUNTIF(Taostats_CSV!$X:$X,Taostats_CSV!$I422&amp;P$1)</f>
        <v>0</v>
      </c>
      <c r="Q422" t="b">
        <f t="shared" si="52"/>
        <v>0</v>
      </c>
      <c r="R422" t="b">
        <f>IF(LEN(K422)&gt;0,COUNTIF($K$3:K422,K422),FALSE)</f>
        <v>0</v>
      </c>
      <c r="S422" t="b">
        <f>IF(Taostats_CSV!A422=Taostats_CSV!$A$2,TRUE,Taostats_CSV!G422+Taostats_CSV!H422+Taostats_CSV!R422=0)</f>
        <v>0</v>
      </c>
      <c r="T422" t="b">
        <f t="shared" si="53"/>
        <v>1</v>
      </c>
      <c r="U422" t="b" cm="1">
        <f t="array" aca="1" ref="U422" ca="1">AND(T422,OR(O422-N422&gt;1,P422&gt;1,ISERROR(A422:P422)))</f>
        <v>0</v>
      </c>
      <c r="W422" t="e">
        <f>MATCH(K422&amp;$W$2,Taostats_CSV!$X$3:$X$1167,0)</f>
        <v>#N/A</v>
      </c>
      <c r="X422" t="e">
        <f t="shared" ca="1" si="48"/>
        <v>#VALUE!</v>
      </c>
      <c r="Y422">
        <f t="shared" ca="1" si="49"/>
        <v>0.14206760900000001</v>
      </c>
      <c r="Z422" t="e">
        <f t="shared" ca="1" si="50"/>
        <v>#VALUE!</v>
      </c>
    </row>
    <row r="423" spans="1:26" hidden="1" x14ac:dyDescent="0.4">
      <c r="A423" t="str">
        <f>MID(Taostats_CSV!C423,6,2)&amp;"/"&amp;MID(Taostats_CSV!C423,9,2)&amp;"/"&amp;LEFT(Taostats_CSV!C423,4)&amp;" "&amp;MID(Taostats_CSV!C423,12,8)</f>
        <v>06/04/2025 23:59:48</v>
      </c>
      <c r="C423" t="str">
        <f ca="1">IF(Q423,OFFSET(Taostats_CSV!$E$1,MATCH(K423&amp;D$1,Taostats_CSV!$X:$X,0)-1,0),IF(Taostats_CSV!F423="fee","",IF(VALUE(Taostats_CSV!G423)&gt;0,Taostats_CSV!E423,"")))</f>
        <v/>
      </c>
      <c r="D423" t="str">
        <f ca="1">IF(Q423,OFFSET(Taostats_CSV!$G$1,MATCH(K423&amp;D$1,Taostats_CSV!$X:$X,0)-1,0),IF(Taostats_CSV!F423="fee","",IF(VALUE(Taostats_CSV!G423)&gt;0,Taostats_CSV!G423,"")))</f>
        <v/>
      </c>
      <c r="E423" t="str">
        <f ca="1">IF(AND(Q423,P423&gt;0),OFFSET(Taostats_CSV!$E$1,MATCH(K423&amp;F$1,Taostats_CSV!$X:$X,0)-1,0),IF(LEN(F423)&gt;0,Taostats_CSV!E423,""))</f>
        <v>TAO</v>
      </c>
      <c r="F423" t="str">
        <f ca="1">TRIM(IF(AND(Q423,P423&gt;0),OFFSET(Taostats_CSV!$H$1,MATCH(K423&amp;F$1,Taostats_CSV!$X:$X,0)-1,0),IF(LEN(Taostats_CSV!H423)&gt;0,Taostats_CSV!H423,Taostats_CSV!R423)))</f>
        <v>0</v>
      </c>
      <c r="G423" t="str">
        <f ca="1">IF(AND(Q423,N423=1),OFFSET(Taostats_CSV!$E$1,MATCH(K423&amp;H$1,Taostats_CSV!$X:$X,0)-1,0),IF(Taostats_CSV!F423="fee",Taostats_CSV!E423,""))</f>
        <v/>
      </c>
      <c r="H423" t="str">
        <f ca="1">IF(AND(Q423,N423=1),OFFSET(Taostats_CSV!$G$1,MATCH(K423&amp;H$1,Taostats_CSV!$X:$X,0)-1,0),IF(Taostats_CSV!F423="fee",Taostats_CSV!G423,""))</f>
        <v/>
      </c>
      <c r="I423" t="str">
        <f ca="1">IF(AND(LEN(K423)=0,LEN(F423)&gt;0),"Income",IF(AND(O423&gt;0,P423&gt;0,C423&lt;&gt;E423),"Trade",IF(AND(NOT(Q423),Taostats_CSV!F423="fee"),'READ ME'!$C$5,"")))</f>
        <v>Income</v>
      </c>
      <c r="J423" t="str">
        <f ca="1">SUBSTITUTE(IF(LEN(I423)=0,Taostats_CSV!F423&amp;" "&amp;Taostats_CSV!J423,IF(I423="Cost","Extrinsic fee","")),"_"," ")</f>
        <v/>
      </c>
      <c r="K423" t="str">
        <f>TRIM(IF(LEN(Taostats_CSV!I423)&gt;0,Taostats_CSV!I423,""))</f>
        <v/>
      </c>
      <c r="L423" t="str">
        <f>IF(Taostats_CSV!E423&lt;&gt;"TAO",IF(LEN(F423)&gt;0,F423,IF(LEN(D423)&gt;0,D423,0))*Taostats_CSV!P423,"")</f>
        <v/>
      </c>
      <c r="M423" t="str">
        <f t="shared" si="51"/>
        <v/>
      </c>
      <c r="N423">
        <f>COUNTIF(Taostats_CSV!$X:$X,Taostats_CSV!$I423&amp;N$1)</f>
        <v>0</v>
      </c>
      <c r="O423">
        <f>COUNTIF(Taostats_CSV!$X:$X,Taostats_CSV!$I423&amp;O$1)</f>
        <v>0</v>
      </c>
      <c r="P423">
        <f>COUNTIF(Taostats_CSV!$X:$X,Taostats_CSV!$I423&amp;P$1)</f>
        <v>0</v>
      </c>
      <c r="Q423" t="b">
        <f t="shared" si="52"/>
        <v>0</v>
      </c>
      <c r="R423" t="b">
        <f>IF(LEN(K423)&gt;0,COUNTIF($K$3:K423,K423),FALSE)</f>
        <v>0</v>
      </c>
      <c r="S423" t="b">
        <f>IF(Taostats_CSV!A423=Taostats_CSV!$A$2,TRUE,Taostats_CSV!G423+Taostats_CSV!H423+Taostats_CSV!R423=0)</f>
        <v>1</v>
      </c>
      <c r="T423" t="b">
        <f t="shared" si="53"/>
        <v>0</v>
      </c>
      <c r="U423" t="b" cm="1">
        <f t="array" aca="1" ref="U423" ca="1">AND(T423,OR(O423-N423&gt;1,P423&gt;1,ISERROR(A423:P423)))</f>
        <v>0</v>
      </c>
      <c r="W423" t="e">
        <f>MATCH(K423&amp;$W$2,Taostats_CSV!$X$3:$X$1167,0)</f>
        <v>#N/A</v>
      </c>
      <c r="X423" t="e">
        <f t="shared" ca="1" si="48"/>
        <v>#VALUE!</v>
      </c>
      <c r="Y423">
        <f t="shared" ca="1" si="49"/>
        <v>0</v>
      </c>
      <c r="Z423" t="e">
        <f t="shared" ca="1" si="50"/>
        <v>#VALUE!</v>
      </c>
    </row>
    <row r="424" spans="1:26" x14ac:dyDescent="0.4">
      <c r="A424" t="str">
        <f>MID(Taostats_CSV!C424,6,2)&amp;"/"&amp;MID(Taostats_CSV!C424,9,2)&amp;"/"&amp;LEFT(Taostats_CSV!C424,4)&amp;" "&amp;MID(Taostats_CSV!C424,12,8)</f>
        <v>06/05/2025 23:59:48</v>
      </c>
      <c r="C424" t="str">
        <f ca="1">IF(Q424,OFFSET(Taostats_CSV!$E$1,MATCH(K424&amp;D$1,Taostats_CSV!$X:$X,0)-1,0),IF(Taostats_CSV!F424="fee",IF(VALUE(Taostats_CSV!G424)&gt;0,Taostats_CSV!E424,""),""))</f>
        <v/>
      </c>
      <c r="D424" t="str">
        <f ca="1">IF(Q424,OFFSET(Taostats_CSV!$G$1,MATCH(K424&amp;D$1,Taostats_CSV!$X:$X,0)-1,0),IF(Taostats_CSV!F424="fee",IF(VALUE(Taostats_CSV!G424)&gt;0,Taostats_CSV!G424,""),""))</f>
        <v/>
      </c>
      <c r="E424" t="str">
        <f ca="1">IF(AND(Q424,P424&gt;0),OFFSET(Taostats_CSV!$E$1,MATCH(K424&amp;F$1,Taostats_CSV!$X:$X,0)-1,0),IF(LEN(F424)&gt;0,Taostats_CSV!E424,""))</f>
        <v>SN3</v>
      </c>
      <c r="F424" t="str">
        <f ca="1">TRIM(IF(AND(Q424,P424&gt;0),OFFSET(Taostats_CSV!$H$1,MATCH(K424&amp;F$1,Taostats_CSV!$X:$X,0)-1,0),IF(LEN(Taostats_CSV!H424)&gt;0,Taostats_CSV!H424,Taostats_CSV!R424)))</f>
        <v>0.43264515</v>
      </c>
      <c r="G424" t="str">
        <f ca="1">IF(AND(Q424,N424=1),OFFSET(Taostats_CSV!$E$1,MATCH(K424&amp;H$1,Taostats_CSV!$X:$X,0)-1,0),"")</f>
        <v/>
      </c>
      <c r="H424" t="str">
        <f ca="1">IF(AND(Q424,N424=1),OFFSET(Taostats_CSV!$G$1,MATCH(K424&amp;H$1,Taostats_CSV!$X:$X,0)-1,0),"")</f>
        <v/>
      </c>
      <c r="I424" t="str">
        <f ca="1">IF(AND(LEN(K424)=0,LEN(F424)&gt;0),"Income",IF(AND(O424&gt;0,P424&gt;0,C424&lt;&gt;E424),"Trade",IF(AND(NOT(Q424),Taostats_CSV!F424="fee"),'READ ME'!$C$5,"")))</f>
        <v>Income</v>
      </c>
      <c r="J424" t="str">
        <f ca="1">SUBSTITUTE(IF(LEN(I424)=0,Taostats_CSV!F424&amp;" "&amp;Taostats_CSV!J424,IF(I424="Cost","Extrinsic fee","")),"_"," ")</f>
        <v/>
      </c>
      <c r="K424" t="str">
        <f>TRIM(IF(LEN(Taostats_CSV!I424)&gt;0,Taostats_CSV!I424,""))</f>
        <v/>
      </c>
      <c r="L424">
        <f ca="1">IF(Taostats_CSV!E424&lt;&gt;"TAO",IF(LEN(F424)&gt;0,F424,IF(LEN(D424)&gt;0,D424,0))*Taostats_CSV!P424,"")</f>
        <v>13.336555977202398</v>
      </c>
      <c r="M424" t="str">
        <f t="shared" ca="1" si="51"/>
        <v>USD</v>
      </c>
      <c r="N424">
        <f>COUNTIF(Taostats_CSV!$X:$X,Taostats_CSV!$I424&amp;N$1)</f>
        <v>0</v>
      </c>
      <c r="O424">
        <f>COUNTIF(Taostats_CSV!$X:$X,Taostats_CSV!$I424&amp;O$1)</f>
        <v>0</v>
      </c>
      <c r="P424">
        <f>COUNTIF(Taostats_CSV!$X:$X,Taostats_CSV!$I424&amp;P$1)</f>
        <v>0</v>
      </c>
      <c r="Q424" t="b">
        <f t="shared" si="52"/>
        <v>0</v>
      </c>
      <c r="R424" t="b">
        <f>IF(LEN(K424)&gt;0,COUNTIF($K$3:K424,K424),FALSE)</f>
        <v>0</v>
      </c>
      <c r="S424" t="b">
        <f>IF(Taostats_CSV!A424=Taostats_CSV!$A$2,TRUE,Taostats_CSV!G424+Taostats_CSV!H424+Taostats_CSV!R424=0)</f>
        <v>0</v>
      </c>
      <c r="T424" t="b">
        <f t="shared" si="53"/>
        <v>1</v>
      </c>
      <c r="U424" t="b" cm="1">
        <f t="array" aca="1" ref="U424" ca="1">AND(T424,OR(O424-N424&gt;1,P424&gt;1,ISERROR(A424:P424)))</f>
        <v>0</v>
      </c>
      <c r="W424" t="e">
        <f>MATCH(K424&amp;$W$2,Taostats_CSV!$X$3:$X$1167,0)</f>
        <v>#N/A</v>
      </c>
      <c r="X424" t="e">
        <f t="shared" ca="1" si="48"/>
        <v>#VALUE!</v>
      </c>
      <c r="Y424">
        <f t="shared" ca="1" si="49"/>
        <v>0.43264514999999998</v>
      </c>
      <c r="Z424" t="e">
        <f t="shared" ca="1" si="50"/>
        <v>#VALUE!</v>
      </c>
    </row>
    <row r="425" spans="1:26" x14ac:dyDescent="0.4">
      <c r="A425" t="str">
        <f>MID(Taostats_CSV!C425,6,2)&amp;"/"&amp;MID(Taostats_CSV!C425,9,2)&amp;"/"&amp;LEFT(Taostats_CSV!C425,4)&amp;" "&amp;MID(Taostats_CSV!C425,12,8)</f>
        <v>06/05/2025 23:59:48</v>
      </c>
      <c r="C425" t="str">
        <f ca="1">IF(Q425,OFFSET(Taostats_CSV!$E$1,MATCH(K425&amp;D$1,Taostats_CSV!$X:$X,0)-1,0),IF(Taostats_CSV!F425="fee",IF(VALUE(Taostats_CSV!G425)&gt;0,Taostats_CSV!E425,""),""))</f>
        <v/>
      </c>
      <c r="D425" t="str">
        <f ca="1">IF(Q425,OFFSET(Taostats_CSV!$G$1,MATCH(K425&amp;D$1,Taostats_CSV!$X:$X,0)-1,0),IF(Taostats_CSV!F425="fee",IF(VALUE(Taostats_CSV!G425)&gt;0,Taostats_CSV!G425,""),""))</f>
        <v/>
      </c>
      <c r="E425" t="str">
        <f ca="1">IF(AND(Q425,P425&gt;0),OFFSET(Taostats_CSV!$E$1,MATCH(K425&amp;F$1,Taostats_CSV!$X:$X,0)-1,0),IF(LEN(F425)&gt;0,Taostats_CSV!E425,""))</f>
        <v>SN4</v>
      </c>
      <c r="F425" t="str">
        <f ca="1">TRIM(IF(AND(Q425,P425&gt;0),OFFSET(Taostats_CSV!$H$1,MATCH(K425&amp;F$1,Taostats_CSV!$X:$X,0)-1,0),IF(LEN(Taostats_CSV!H425)&gt;0,Taostats_CSV!H425,Taostats_CSV!R425)))</f>
        <v>0.53110965</v>
      </c>
      <c r="G425" t="str">
        <f ca="1">IF(AND(Q425,N425=1),OFFSET(Taostats_CSV!$E$1,MATCH(K425&amp;H$1,Taostats_CSV!$X:$X,0)-1,0),"")</f>
        <v/>
      </c>
      <c r="H425" t="str">
        <f ca="1">IF(AND(Q425,N425=1),OFFSET(Taostats_CSV!$G$1,MATCH(K425&amp;H$1,Taostats_CSV!$X:$X,0)-1,0),"")</f>
        <v/>
      </c>
      <c r="I425" t="str">
        <f ca="1">IF(AND(LEN(K425)=0,LEN(F425)&gt;0),"Income",IF(AND(O425&gt;0,P425&gt;0,C425&lt;&gt;E425),"Trade",IF(AND(NOT(Q425),Taostats_CSV!F425="fee"),'READ ME'!$C$5,"")))</f>
        <v>Income</v>
      </c>
      <c r="J425" t="str">
        <f ca="1">SUBSTITUTE(IF(LEN(I425)=0,Taostats_CSV!F425&amp;" "&amp;Taostats_CSV!J425,IF(I425="Cost","Extrinsic fee","")),"_"," ")</f>
        <v/>
      </c>
      <c r="K425" t="str">
        <f>TRIM(IF(LEN(Taostats_CSV!I425)&gt;0,Taostats_CSV!I425,""))</f>
        <v/>
      </c>
      <c r="L425">
        <f ca="1">IF(Taostats_CSV!E425&lt;&gt;"TAO",IF(LEN(F425)&gt;0,F425,IF(LEN(D425)&gt;0,D425,0))*Taostats_CSV!P425,"")</f>
        <v>17.655342547328157</v>
      </c>
      <c r="M425" t="str">
        <f t="shared" ca="1" si="51"/>
        <v>USD</v>
      </c>
      <c r="N425">
        <f>COUNTIF(Taostats_CSV!$X:$X,Taostats_CSV!$I425&amp;N$1)</f>
        <v>0</v>
      </c>
      <c r="O425">
        <f>COUNTIF(Taostats_CSV!$X:$X,Taostats_CSV!$I425&amp;O$1)</f>
        <v>0</v>
      </c>
      <c r="P425">
        <f>COUNTIF(Taostats_CSV!$X:$X,Taostats_CSV!$I425&amp;P$1)</f>
        <v>0</v>
      </c>
      <c r="Q425" t="b">
        <f t="shared" si="52"/>
        <v>0</v>
      </c>
      <c r="R425" t="b">
        <f>IF(LEN(K425)&gt;0,COUNTIF($K$3:K425,K425),FALSE)</f>
        <v>0</v>
      </c>
      <c r="S425" t="b">
        <f>IF(Taostats_CSV!A425=Taostats_CSV!$A$2,TRUE,Taostats_CSV!G425+Taostats_CSV!H425+Taostats_CSV!R425=0)</f>
        <v>0</v>
      </c>
      <c r="T425" t="b">
        <f t="shared" si="53"/>
        <v>1</v>
      </c>
      <c r="U425" t="b" cm="1">
        <f t="array" aca="1" ref="U425" ca="1">AND(T425,OR(O425-N425&gt;1,P425&gt;1,ISERROR(A425:P425)))</f>
        <v>0</v>
      </c>
      <c r="W425" t="e">
        <f>MATCH(K425&amp;$W$2,Taostats_CSV!$X$3:$X$1167,0)</f>
        <v>#N/A</v>
      </c>
      <c r="X425" t="e">
        <f t="shared" ca="1" si="48"/>
        <v>#VALUE!</v>
      </c>
      <c r="Y425">
        <f t="shared" ca="1" si="49"/>
        <v>0.53110964999999999</v>
      </c>
      <c r="Z425" t="e">
        <f t="shared" ca="1" si="50"/>
        <v>#VALUE!</v>
      </c>
    </row>
    <row r="426" spans="1:26" x14ac:dyDescent="0.4">
      <c r="A426" t="str">
        <f>MID(Taostats_CSV!C426,6,2)&amp;"/"&amp;MID(Taostats_CSV!C426,9,2)&amp;"/"&amp;LEFT(Taostats_CSV!C426,4)&amp;" "&amp;MID(Taostats_CSV!C426,12,8)</f>
        <v>06/05/2025 23:59:48</v>
      </c>
      <c r="C426" t="str">
        <f ca="1">IF(Q426,OFFSET(Taostats_CSV!$E$1,MATCH(K426&amp;D$1,Taostats_CSV!$X:$X,0)-1,0),IF(Taostats_CSV!F426="fee",IF(VALUE(Taostats_CSV!G426)&gt;0,Taostats_CSV!E426,""),""))</f>
        <v/>
      </c>
      <c r="D426" t="str">
        <f ca="1">IF(Q426,OFFSET(Taostats_CSV!$G$1,MATCH(K426&amp;D$1,Taostats_CSV!$X:$X,0)-1,0),IF(Taostats_CSV!F426="fee",IF(VALUE(Taostats_CSV!G426)&gt;0,Taostats_CSV!G426,""),""))</f>
        <v/>
      </c>
      <c r="E426" t="str">
        <f ca="1">IF(AND(Q426,P426&gt;0),OFFSET(Taostats_CSV!$E$1,MATCH(K426&amp;F$1,Taostats_CSV!$X:$X,0)-1,0),IF(LEN(F426)&gt;0,Taostats_CSV!E426,""))</f>
        <v>SN56</v>
      </c>
      <c r="F426" t="str">
        <f ca="1">TRIM(IF(AND(Q426,P426&gt;0),OFFSET(Taostats_CSV!$H$1,MATCH(K426&amp;F$1,Taostats_CSV!$X:$X,0)-1,0),IF(LEN(Taostats_CSV!H426)&gt;0,Taostats_CSV!H426,Taostats_CSV!R426)))</f>
        <v>0.233337494</v>
      </c>
      <c r="G426" t="str">
        <f ca="1">IF(AND(Q426,N426=1),OFFSET(Taostats_CSV!$E$1,MATCH(K426&amp;H$1,Taostats_CSV!$X:$X,0)-1,0),"")</f>
        <v/>
      </c>
      <c r="H426" t="str">
        <f ca="1">IF(AND(Q426,N426=1),OFFSET(Taostats_CSV!$G$1,MATCH(K426&amp;H$1,Taostats_CSV!$X:$X,0)-1,0),"")</f>
        <v/>
      </c>
      <c r="I426" t="str">
        <f ca="1">IF(AND(LEN(K426)=0,LEN(F426)&gt;0),"Income",IF(AND(O426&gt;0,P426&gt;0,C426&lt;&gt;E426),"Trade",IF(AND(NOT(Q426),Taostats_CSV!F426="fee"),'READ ME'!$C$5,"")))</f>
        <v>Income</v>
      </c>
      <c r="J426" t="str">
        <f ca="1">SUBSTITUTE(IF(LEN(I426)=0,Taostats_CSV!F426&amp;" "&amp;Taostats_CSV!J426,IF(I426="Cost","Extrinsic fee","")),"_"," ")</f>
        <v/>
      </c>
      <c r="K426" t="str">
        <f>TRIM(IF(LEN(Taostats_CSV!I426)&gt;0,Taostats_CSV!I426,""))</f>
        <v/>
      </c>
      <c r="L426">
        <f ca="1">IF(Taostats_CSV!E426&lt;&gt;"TAO",IF(LEN(F426)&gt;0,F426,IF(LEN(D426)&gt;0,D426,0))*Taostats_CSV!P426,"")</f>
        <v>7.1107773420637246</v>
      </c>
      <c r="M426" t="str">
        <f t="shared" ca="1" si="51"/>
        <v>USD</v>
      </c>
      <c r="N426">
        <f>COUNTIF(Taostats_CSV!$X:$X,Taostats_CSV!$I426&amp;N$1)</f>
        <v>0</v>
      </c>
      <c r="O426">
        <f>COUNTIF(Taostats_CSV!$X:$X,Taostats_CSV!$I426&amp;O$1)</f>
        <v>0</v>
      </c>
      <c r="P426">
        <f>COUNTIF(Taostats_CSV!$X:$X,Taostats_CSV!$I426&amp;P$1)</f>
        <v>0</v>
      </c>
      <c r="Q426" t="b">
        <f t="shared" si="52"/>
        <v>0</v>
      </c>
      <c r="R426" t="b">
        <f>IF(LEN(K426)&gt;0,COUNTIF($K$3:K426,K426),FALSE)</f>
        <v>0</v>
      </c>
      <c r="S426" t="b">
        <f>IF(Taostats_CSV!A426=Taostats_CSV!$A$2,TRUE,Taostats_CSV!G426+Taostats_CSV!H426+Taostats_CSV!R426=0)</f>
        <v>0</v>
      </c>
      <c r="T426" t="b">
        <f t="shared" si="53"/>
        <v>1</v>
      </c>
      <c r="U426" t="b" cm="1">
        <f t="array" aca="1" ref="U426" ca="1">AND(T426,OR(O426-N426&gt;1,P426&gt;1,ISERROR(A426:P426)))</f>
        <v>0</v>
      </c>
      <c r="W426" t="e">
        <f>MATCH(K426&amp;$W$2,Taostats_CSV!$X$3:$X$1167,0)</f>
        <v>#N/A</v>
      </c>
      <c r="X426" t="e">
        <f t="shared" ca="1" si="48"/>
        <v>#VALUE!</v>
      </c>
      <c r="Y426">
        <f t="shared" ca="1" si="49"/>
        <v>0.23333749400000001</v>
      </c>
      <c r="Z426" t="e">
        <f t="shared" ca="1" si="50"/>
        <v>#VALUE!</v>
      </c>
    </row>
    <row r="427" spans="1:26" x14ac:dyDescent="0.4">
      <c r="A427" t="str">
        <f>MID(Taostats_CSV!C427,6,2)&amp;"/"&amp;MID(Taostats_CSV!C427,9,2)&amp;"/"&amp;LEFT(Taostats_CSV!C427,4)&amp;" "&amp;MID(Taostats_CSV!C427,12,8)</f>
        <v>06/05/2025 23:59:48</v>
      </c>
      <c r="C427" t="str">
        <f ca="1">IF(Q427,OFFSET(Taostats_CSV!$E$1,MATCH(K427&amp;D$1,Taostats_CSV!$X:$X,0)-1,0),IF(Taostats_CSV!F427="fee",IF(VALUE(Taostats_CSV!G427)&gt;0,Taostats_CSV!E427,""),""))</f>
        <v/>
      </c>
      <c r="D427" t="str">
        <f ca="1">IF(Q427,OFFSET(Taostats_CSV!$G$1,MATCH(K427&amp;D$1,Taostats_CSV!$X:$X,0)-1,0),IF(Taostats_CSV!F427="fee",IF(VALUE(Taostats_CSV!G427)&gt;0,Taostats_CSV!G427,""),""))</f>
        <v/>
      </c>
      <c r="E427" t="str">
        <f ca="1">IF(AND(Q427,P427&gt;0),OFFSET(Taostats_CSV!$E$1,MATCH(K427&amp;F$1,Taostats_CSV!$X:$X,0)-1,0),IF(LEN(F427)&gt;0,Taostats_CSV!E427,""))</f>
        <v>SN64</v>
      </c>
      <c r="F427" t="str">
        <f ca="1">TRIM(IF(AND(Q427,P427&gt;0),OFFSET(Taostats_CSV!$H$1,MATCH(K427&amp;F$1,Taostats_CSV!$X:$X,0)-1,0),IF(LEN(Taostats_CSV!H427)&gt;0,Taostats_CSV!H427,Taostats_CSV!R427)))</f>
        <v>0.142607997</v>
      </c>
      <c r="G427" t="str">
        <f ca="1">IF(AND(Q427,N427=1),OFFSET(Taostats_CSV!$E$1,MATCH(K427&amp;H$1,Taostats_CSV!$X:$X,0)-1,0),"")</f>
        <v/>
      </c>
      <c r="H427" t="str">
        <f ca="1">IF(AND(Q427,N427=1),OFFSET(Taostats_CSV!$G$1,MATCH(K427&amp;H$1,Taostats_CSV!$X:$X,0)-1,0),"")</f>
        <v/>
      </c>
      <c r="I427" t="str">
        <f ca="1">IF(AND(LEN(K427)=0,LEN(F427)&gt;0),"Income",IF(AND(O427&gt;0,P427&gt;0,C427&lt;&gt;E427),"Trade",IF(AND(NOT(Q427),Taostats_CSV!F427="fee"),'READ ME'!$C$5,"")))</f>
        <v>Income</v>
      </c>
      <c r="J427" t="str">
        <f ca="1">SUBSTITUTE(IF(LEN(I427)=0,Taostats_CSV!F427&amp;" "&amp;Taostats_CSV!J427,IF(I427="Cost","Extrinsic fee","")),"_"," ")</f>
        <v/>
      </c>
      <c r="K427" t="str">
        <f>TRIM(IF(LEN(Taostats_CSV!I427)&gt;0,Taostats_CSV!I427,""))</f>
        <v/>
      </c>
      <c r="L427">
        <f ca="1">IF(Taostats_CSV!E427&lt;&gt;"TAO",IF(LEN(F427)&gt;0,F427,IF(LEN(D427)&gt;0,D427,0))*Taostats_CSV!P427,"")</f>
        <v>11.028569971988434</v>
      </c>
      <c r="M427" t="str">
        <f t="shared" ca="1" si="51"/>
        <v>USD</v>
      </c>
      <c r="N427">
        <f>COUNTIF(Taostats_CSV!$X:$X,Taostats_CSV!$I427&amp;N$1)</f>
        <v>0</v>
      </c>
      <c r="O427">
        <f>COUNTIF(Taostats_CSV!$X:$X,Taostats_CSV!$I427&amp;O$1)</f>
        <v>0</v>
      </c>
      <c r="P427">
        <f>COUNTIF(Taostats_CSV!$X:$X,Taostats_CSV!$I427&amp;P$1)</f>
        <v>0</v>
      </c>
      <c r="Q427" t="b">
        <f t="shared" si="52"/>
        <v>0</v>
      </c>
      <c r="R427" t="b">
        <f>IF(LEN(K427)&gt;0,COUNTIF($K$3:K427,K427),FALSE)</f>
        <v>0</v>
      </c>
      <c r="S427" t="b">
        <f>IF(Taostats_CSV!A427=Taostats_CSV!$A$2,TRUE,Taostats_CSV!G427+Taostats_CSV!H427+Taostats_CSV!R427=0)</f>
        <v>0</v>
      </c>
      <c r="T427" t="b">
        <f t="shared" si="53"/>
        <v>1</v>
      </c>
      <c r="U427" t="b" cm="1">
        <f t="array" aca="1" ref="U427" ca="1">AND(T427,OR(O427-N427&gt;1,P427&gt;1,ISERROR(A427:P427)))</f>
        <v>0</v>
      </c>
      <c r="W427" t="e">
        <f>MATCH(K427&amp;$W$2,Taostats_CSV!$X$3:$X$1167,0)</f>
        <v>#N/A</v>
      </c>
      <c r="X427" t="e">
        <f t="shared" ca="1" si="48"/>
        <v>#VALUE!</v>
      </c>
      <c r="Y427">
        <f t="shared" ca="1" si="49"/>
        <v>0.14260799699999999</v>
      </c>
      <c r="Z427" t="e">
        <f t="shared" ca="1" si="50"/>
        <v>#VALUE!</v>
      </c>
    </row>
    <row r="428" spans="1:26" hidden="1" x14ac:dyDescent="0.4">
      <c r="A428" t="str">
        <f>MID(Taostats_CSV!C428,6,2)&amp;"/"&amp;MID(Taostats_CSV!C428,9,2)&amp;"/"&amp;LEFT(Taostats_CSV!C428,4)&amp;" "&amp;MID(Taostats_CSV!C428,12,8)</f>
        <v>06/05/2025 23:59:48</v>
      </c>
      <c r="C428" t="str">
        <f ca="1">IF(Q428,OFFSET(Taostats_CSV!$E$1,MATCH(K428&amp;D$1,Taostats_CSV!$X:$X,0)-1,0),IF(Taostats_CSV!F428="fee","",IF(VALUE(Taostats_CSV!G428)&gt;0,Taostats_CSV!E428,"")))</f>
        <v/>
      </c>
      <c r="D428" t="str">
        <f ca="1">IF(Q428,OFFSET(Taostats_CSV!$G$1,MATCH(K428&amp;D$1,Taostats_CSV!$X:$X,0)-1,0),IF(Taostats_CSV!F428="fee","",IF(VALUE(Taostats_CSV!G428)&gt;0,Taostats_CSV!G428,"")))</f>
        <v/>
      </c>
      <c r="E428" t="str">
        <f ca="1">IF(AND(Q428,P428&gt;0),OFFSET(Taostats_CSV!$E$1,MATCH(K428&amp;F$1,Taostats_CSV!$X:$X,0)-1,0),IF(LEN(F428)&gt;0,Taostats_CSV!E428,""))</f>
        <v>TAO</v>
      </c>
      <c r="F428" t="str">
        <f ca="1">TRIM(IF(AND(Q428,P428&gt;0),OFFSET(Taostats_CSV!$H$1,MATCH(K428&amp;F$1,Taostats_CSV!$X:$X,0)-1,0),IF(LEN(Taostats_CSV!H428)&gt;0,Taostats_CSV!H428,Taostats_CSV!R428)))</f>
        <v>0</v>
      </c>
      <c r="G428" t="str">
        <f ca="1">IF(AND(Q428,N428=1),OFFSET(Taostats_CSV!$E$1,MATCH(K428&amp;H$1,Taostats_CSV!$X:$X,0)-1,0),IF(Taostats_CSV!F428="fee",Taostats_CSV!E428,""))</f>
        <v/>
      </c>
      <c r="H428" t="str">
        <f ca="1">IF(AND(Q428,N428=1),OFFSET(Taostats_CSV!$G$1,MATCH(K428&amp;H$1,Taostats_CSV!$X:$X,0)-1,0),IF(Taostats_CSV!F428="fee",Taostats_CSV!G428,""))</f>
        <v/>
      </c>
      <c r="I428" t="str">
        <f ca="1">IF(AND(LEN(K428)=0,LEN(F428)&gt;0),"Income",IF(AND(O428&gt;0,P428&gt;0,C428&lt;&gt;E428),"Trade",IF(AND(NOT(Q428),Taostats_CSV!F428="fee"),'READ ME'!$C$5,"")))</f>
        <v>Income</v>
      </c>
      <c r="J428" t="str">
        <f ca="1">SUBSTITUTE(IF(LEN(I428)=0,Taostats_CSV!F428&amp;" "&amp;Taostats_CSV!J428,IF(I428="Cost","Extrinsic fee","")),"_"," ")</f>
        <v/>
      </c>
      <c r="K428" t="str">
        <f>TRIM(IF(LEN(Taostats_CSV!I428)&gt;0,Taostats_CSV!I428,""))</f>
        <v/>
      </c>
      <c r="L428" t="str">
        <f>IF(Taostats_CSV!E428&lt;&gt;"TAO",IF(LEN(F428)&gt;0,F428,IF(LEN(D428)&gt;0,D428,0))*Taostats_CSV!P428,"")</f>
        <v/>
      </c>
      <c r="M428" t="str">
        <f t="shared" si="51"/>
        <v/>
      </c>
      <c r="N428">
        <f>COUNTIF(Taostats_CSV!$X:$X,Taostats_CSV!$I428&amp;N$1)</f>
        <v>0</v>
      </c>
      <c r="O428">
        <f>COUNTIF(Taostats_CSV!$X:$X,Taostats_CSV!$I428&amp;O$1)</f>
        <v>0</v>
      </c>
      <c r="P428">
        <f>COUNTIF(Taostats_CSV!$X:$X,Taostats_CSV!$I428&amp;P$1)</f>
        <v>0</v>
      </c>
      <c r="Q428" t="b">
        <f t="shared" si="52"/>
        <v>0</v>
      </c>
      <c r="R428" t="b">
        <f>IF(LEN(K428)&gt;0,COUNTIF($K$3:K428,K428),FALSE)</f>
        <v>0</v>
      </c>
      <c r="S428" t="b">
        <f>IF(Taostats_CSV!A428=Taostats_CSV!$A$2,TRUE,Taostats_CSV!G428+Taostats_CSV!H428+Taostats_CSV!R428=0)</f>
        <v>1</v>
      </c>
      <c r="T428" t="b">
        <f t="shared" si="53"/>
        <v>0</v>
      </c>
      <c r="U428" t="b" cm="1">
        <f t="array" aca="1" ref="U428" ca="1">AND(T428,OR(O428-N428&gt;1,P428&gt;1,ISERROR(A428:P428)))</f>
        <v>0</v>
      </c>
      <c r="W428" t="e">
        <f>MATCH(K428&amp;$W$2,Taostats_CSV!$X$3:$X$1167,0)</f>
        <v>#N/A</v>
      </c>
      <c r="X428" t="e">
        <f t="shared" ca="1" si="48"/>
        <v>#VALUE!</v>
      </c>
      <c r="Y428">
        <f t="shared" ca="1" si="49"/>
        <v>0</v>
      </c>
      <c r="Z428" t="e">
        <f t="shared" ca="1" si="50"/>
        <v>#VALUE!</v>
      </c>
    </row>
    <row r="429" spans="1:26" x14ac:dyDescent="0.4">
      <c r="A429" t="str">
        <f>MID(Taostats_CSV!C429,6,2)&amp;"/"&amp;MID(Taostats_CSV!C429,9,2)&amp;"/"&amp;LEFT(Taostats_CSV!C429,4)&amp;" "&amp;MID(Taostats_CSV!C429,12,8)</f>
        <v>06/06/2025 23:59:48</v>
      </c>
      <c r="C429" t="str">
        <f ca="1">IF(Q429,OFFSET(Taostats_CSV!$E$1,MATCH(K429&amp;D$1,Taostats_CSV!$X:$X,0)-1,0),IF(Taostats_CSV!F429="fee",IF(VALUE(Taostats_CSV!G429)&gt;0,Taostats_CSV!E429,""),""))</f>
        <v/>
      </c>
      <c r="D429" t="str">
        <f ca="1">IF(Q429,OFFSET(Taostats_CSV!$G$1,MATCH(K429&amp;D$1,Taostats_CSV!$X:$X,0)-1,0),IF(Taostats_CSV!F429="fee",IF(VALUE(Taostats_CSV!G429)&gt;0,Taostats_CSV!G429,""),""))</f>
        <v/>
      </c>
      <c r="E429" t="str">
        <f ca="1">IF(AND(Q429,P429&gt;0),OFFSET(Taostats_CSV!$E$1,MATCH(K429&amp;F$1,Taostats_CSV!$X:$X,0)-1,0),IF(LEN(F429)&gt;0,Taostats_CSV!E429,""))</f>
        <v>SN3</v>
      </c>
      <c r="F429" t="str">
        <f ca="1">TRIM(IF(AND(Q429,P429&gt;0),OFFSET(Taostats_CSV!$H$1,MATCH(K429&amp;F$1,Taostats_CSV!$X:$X,0)-1,0),IF(LEN(Taostats_CSV!H429)&gt;0,Taostats_CSV!H429,Taostats_CSV!R429)))</f>
        <v>0.428137798</v>
      </c>
      <c r="G429" t="str">
        <f ca="1">IF(AND(Q429,N429=1),OFFSET(Taostats_CSV!$E$1,MATCH(K429&amp;H$1,Taostats_CSV!$X:$X,0)-1,0),"")</f>
        <v/>
      </c>
      <c r="H429" t="str">
        <f ca="1">IF(AND(Q429,N429=1),OFFSET(Taostats_CSV!$G$1,MATCH(K429&amp;H$1,Taostats_CSV!$X:$X,0)-1,0),"")</f>
        <v/>
      </c>
      <c r="I429" t="str">
        <f ca="1">IF(AND(LEN(K429)=0,LEN(F429)&gt;0),"Income",IF(AND(O429&gt;0,P429&gt;0,C429&lt;&gt;E429),"Trade",IF(AND(NOT(Q429),Taostats_CSV!F429="fee"),'READ ME'!$C$5,"")))</f>
        <v>Income</v>
      </c>
      <c r="J429" t="str">
        <f ca="1">SUBSTITUTE(IF(LEN(I429)=0,Taostats_CSV!F429&amp;" "&amp;Taostats_CSV!J429,IF(I429="Cost","Extrinsic fee","")),"_"," ")</f>
        <v/>
      </c>
      <c r="K429" t="str">
        <f>TRIM(IF(LEN(Taostats_CSV!I429)&gt;0,Taostats_CSV!I429,""))</f>
        <v/>
      </c>
      <c r="L429">
        <f ca="1">IF(Taostats_CSV!E429&lt;&gt;"TAO",IF(LEN(F429)&gt;0,F429,IF(LEN(D429)&gt;0,D429,0))*Taostats_CSV!P429,"")</f>
        <v>13.622619963617087</v>
      </c>
      <c r="M429" t="str">
        <f t="shared" ca="1" si="51"/>
        <v>USD</v>
      </c>
      <c r="N429">
        <f>COUNTIF(Taostats_CSV!$X:$X,Taostats_CSV!$I429&amp;N$1)</f>
        <v>0</v>
      </c>
      <c r="O429">
        <f>COUNTIF(Taostats_CSV!$X:$X,Taostats_CSV!$I429&amp;O$1)</f>
        <v>0</v>
      </c>
      <c r="P429">
        <f>COUNTIF(Taostats_CSV!$X:$X,Taostats_CSV!$I429&amp;P$1)</f>
        <v>0</v>
      </c>
      <c r="Q429" t="b">
        <f t="shared" si="52"/>
        <v>0</v>
      </c>
      <c r="R429" t="b">
        <f>IF(LEN(K429)&gt;0,COUNTIF($K$3:K429,K429),FALSE)</f>
        <v>0</v>
      </c>
      <c r="S429" t="b">
        <f>IF(Taostats_CSV!A429=Taostats_CSV!$A$2,TRUE,Taostats_CSV!G429+Taostats_CSV!H429+Taostats_CSV!R429=0)</f>
        <v>0</v>
      </c>
      <c r="T429" t="b">
        <f t="shared" si="53"/>
        <v>1</v>
      </c>
      <c r="U429" t="b" cm="1">
        <f t="array" aca="1" ref="U429" ca="1">AND(T429,OR(O429-N429&gt;1,P429&gt;1,ISERROR(A429:P429)))</f>
        <v>0</v>
      </c>
      <c r="W429" t="e">
        <f>MATCH(K429&amp;$W$2,Taostats_CSV!$X$3:$X$1167,0)</f>
        <v>#N/A</v>
      </c>
      <c r="X429" t="e">
        <f t="shared" ca="1" si="48"/>
        <v>#VALUE!</v>
      </c>
      <c r="Y429">
        <f t="shared" ca="1" si="49"/>
        <v>0.42813779800000001</v>
      </c>
      <c r="Z429" t="e">
        <f t="shared" ca="1" si="50"/>
        <v>#VALUE!</v>
      </c>
    </row>
    <row r="430" spans="1:26" x14ac:dyDescent="0.4">
      <c r="A430" t="str">
        <f>MID(Taostats_CSV!C430,6,2)&amp;"/"&amp;MID(Taostats_CSV!C430,9,2)&amp;"/"&amp;LEFT(Taostats_CSV!C430,4)&amp;" "&amp;MID(Taostats_CSV!C430,12,8)</f>
        <v>06/06/2025 23:59:48</v>
      </c>
      <c r="C430" t="str">
        <f ca="1">IF(Q430,OFFSET(Taostats_CSV!$E$1,MATCH(K430&amp;D$1,Taostats_CSV!$X:$X,0)-1,0),IF(Taostats_CSV!F430="fee",IF(VALUE(Taostats_CSV!G430)&gt;0,Taostats_CSV!E430,""),""))</f>
        <v/>
      </c>
      <c r="D430" t="str">
        <f ca="1">IF(Q430,OFFSET(Taostats_CSV!$G$1,MATCH(K430&amp;D$1,Taostats_CSV!$X:$X,0)-1,0),IF(Taostats_CSV!F430="fee",IF(VALUE(Taostats_CSV!G430)&gt;0,Taostats_CSV!G430,""),""))</f>
        <v/>
      </c>
      <c r="E430" t="str">
        <f ca="1">IF(AND(Q430,P430&gt;0),OFFSET(Taostats_CSV!$E$1,MATCH(K430&amp;F$1,Taostats_CSV!$X:$X,0)-1,0),IF(LEN(F430)&gt;0,Taostats_CSV!E430,""))</f>
        <v>SN4</v>
      </c>
      <c r="F430" t="str">
        <f ca="1">TRIM(IF(AND(Q430,P430&gt;0),OFFSET(Taostats_CSV!$H$1,MATCH(K430&amp;F$1,Taostats_CSV!$X:$X,0)-1,0),IF(LEN(Taostats_CSV!H430)&gt;0,Taostats_CSV!H430,Taostats_CSV!R430)))</f>
        <v>0.496586594</v>
      </c>
      <c r="G430" t="str">
        <f ca="1">IF(AND(Q430,N430=1),OFFSET(Taostats_CSV!$E$1,MATCH(K430&amp;H$1,Taostats_CSV!$X:$X,0)-1,0),"")</f>
        <v/>
      </c>
      <c r="H430" t="str">
        <f ca="1">IF(AND(Q430,N430=1),OFFSET(Taostats_CSV!$G$1,MATCH(K430&amp;H$1,Taostats_CSV!$X:$X,0)-1,0),"")</f>
        <v/>
      </c>
      <c r="I430" t="str">
        <f ca="1">IF(AND(LEN(K430)=0,LEN(F430)&gt;0),"Income",IF(AND(O430&gt;0,P430&gt;0,C430&lt;&gt;E430),"Trade",IF(AND(NOT(Q430),Taostats_CSV!F430="fee"),'READ ME'!$C$5,"")))</f>
        <v>Income</v>
      </c>
      <c r="J430" t="str">
        <f ca="1">SUBSTITUTE(IF(LEN(I430)=0,Taostats_CSV!F430&amp;" "&amp;Taostats_CSV!J430,IF(I430="Cost","Extrinsic fee","")),"_"," ")</f>
        <v/>
      </c>
      <c r="K430" t="str">
        <f>TRIM(IF(LEN(Taostats_CSV!I430)&gt;0,Taostats_CSV!I430,""))</f>
        <v/>
      </c>
      <c r="L430">
        <f ca="1">IF(Taostats_CSV!E430&lt;&gt;"TAO",IF(LEN(F430)&gt;0,F430,IF(LEN(D430)&gt;0,D430,0))*Taostats_CSV!P430,"")</f>
        <v>17.034822825406643</v>
      </c>
      <c r="M430" t="str">
        <f t="shared" ca="1" si="51"/>
        <v>USD</v>
      </c>
      <c r="N430">
        <f>COUNTIF(Taostats_CSV!$X:$X,Taostats_CSV!$I430&amp;N$1)</f>
        <v>0</v>
      </c>
      <c r="O430">
        <f>COUNTIF(Taostats_CSV!$X:$X,Taostats_CSV!$I430&amp;O$1)</f>
        <v>0</v>
      </c>
      <c r="P430">
        <f>COUNTIF(Taostats_CSV!$X:$X,Taostats_CSV!$I430&amp;P$1)</f>
        <v>0</v>
      </c>
      <c r="Q430" t="b">
        <f t="shared" si="52"/>
        <v>0</v>
      </c>
      <c r="R430" t="b">
        <f>IF(LEN(K430)&gt;0,COUNTIF($K$3:K430,K430),FALSE)</f>
        <v>0</v>
      </c>
      <c r="S430" t="b">
        <f>IF(Taostats_CSV!A430=Taostats_CSV!$A$2,TRUE,Taostats_CSV!G430+Taostats_CSV!H430+Taostats_CSV!R430=0)</f>
        <v>0</v>
      </c>
      <c r="T430" t="b">
        <f t="shared" si="53"/>
        <v>1</v>
      </c>
      <c r="U430" t="b" cm="1">
        <f t="array" aca="1" ref="U430" ca="1">AND(T430,OR(O430-N430&gt;1,P430&gt;1,ISERROR(A430:P430)))</f>
        <v>0</v>
      </c>
      <c r="W430" t="e">
        <f>MATCH(K430&amp;$W$2,Taostats_CSV!$X$3:$X$1167,0)</f>
        <v>#N/A</v>
      </c>
      <c r="X430" t="e">
        <f t="shared" ca="1" si="48"/>
        <v>#VALUE!</v>
      </c>
      <c r="Y430">
        <f t="shared" ca="1" si="49"/>
        <v>0.49658659399999999</v>
      </c>
      <c r="Z430" t="e">
        <f t="shared" ca="1" si="50"/>
        <v>#VALUE!</v>
      </c>
    </row>
    <row r="431" spans="1:26" x14ac:dyDescent="0.4">
      <c r="A431" t="str">
        <f>MID(Taostats_CSV!C431,6,2)&amp;"/"&amp;MID(Taostats_CSV!C431,9,2)&amp;"/"&amp;LEFT(Taostats_CSV!C431,4)&amp;" "&amp;MID(Taostats_CSV!C431,12,8)</f>
        <v>06/06/2025 23:59:48</v>
      </c>
      <c r="C431" t="str">
        <f ca="1">IF(Q431,OFFSET(Taostats_CSV!$E$1,MATCH(K431&amp;D$1,Taostats_CSV!$X:$X,0)-1,0),IF(Taostats_CSV!F431="fee",IF(VALUE(Taostats_CSV!G431)&gt;0,Taostats_CSV!E431,""),""))</f>
        <v/>
      </c>
      <c r="D431" t="str">
        <f ca="1">IF(Q431,OFFSET(Taostats_CSV!$G$1,MATCH(K431&amp;D$1,Taostats_CSV!$X:$X,0)-1,0),IF(Taostats_CSV!F431="fee",IF(VALUE(Taostats_CSV!G431)&gt;0,Taostats_CSV!G431,""),""))</f>
        <v/>
      </c>
      <c r="E431" t="str">
        <f ca="1">IF(AND(Q431,P431&gt;0),OFFSET(Taostats_CSV!$E$1,MATCH(K431&amp;F$1,Taostats_CSV!$X:$X,0)-1,0),IF(LEN(F431)&gt;0,Taostats_CSV!E431,""))</f>
        <v>SN56</v>
      </c>
      <c r="F431" t="str">
        <f ca="1">TRIM(IF(AND(Q431,P431&gt;0),OFFSET(Taostats_CSV!$H$1,MATCH(K431&amp;F$1,Taostats_CSV!$X:$X,0)-1,0),IF(LEN(Taostats_CSV!H431)&gt;0,Taostats_CSV!H431,Taostats_CSV!R431)))</f>
        <v>0.248896521</v>
      </c>
      <c r="G431" t="str">
        <f ca="1">IF(AND(Q431,N431=1),OFFSET(Taostats_CSV!$E$1,MATCH(K431&amp;H$1,Taostats_CSV!$X:$X,0)-1,0),"")</f>
        <v/>
      </c>
      <c r="H431" t="str">
        <f ca="1">IF(AND(Q431,N431=1),OFFSET(Taostats_CSV!$G$1,MATCH(K431&amp;H$1,Taostats_CSV!$X:$X,0)-1,0),"")</f>
        <v/>
      </c>
      <c r="I431" t="str">
        <f ca="1">IF(AND(LEN(K431)=0,LEN(F431)&gt;0),"Income",IF(AND(O431&gt;0,P431&gt;0,C431&lt;&gt;E431),"Trade",IF(AND(NOT(Q431),Taostats_CSV!F431="fee"),'READ ME'!$C$5,"")))</f>
        <v>Income</v>
      </c>
      <c r="J431" t="str">
        <f ca="1">SUBSTITUTE(IF(LEN(I431)=0,Taostats_CSV!F431&amp;" "&amp;Taostats_CSV!J431,IF(I431="Cost","Extrinsic fee","")),"_"," ")</f>
        <v/>
      </c>
      <c r="K431" t="str">
        <f>TRIM(IF(LEN(Taostats_CSV!I431)&gt;0,Taostats_CSV!I431,""))</f>
        <v/>
      </c>
      <c r="L431">
        <f ca="1">IF(Taostats_CSV!E431&lt;&gt;"TAO",IF(LEN(F431)&gt;0,F431,IF(LEN(D431)&gt;0,D431,0))*Taostats_CSV!P431,"")</f>
        <v>7.7726892776952186</v>
      </c>
      <c r="M431" t="str">
        <f t="shared" ca="1" si="51"/>
        <v>USD</v>
      </c>
      <c r="N431">
        <f>COUNTIF(Taostats_CSV!$X:$X,Taostats_CSV!$I431&amp;N$1)</f>
        <v>0</v>
      </c>
      <c r="O431">
        <f>COUNTIF(Taostats_CSV!$X:$X,Taostats_CSV!$I431&amp;O$1)</f>
        <v>0</v>
      </c>
      <c r="P431">
        <f>COUNTIF(Taostats_CSV!$X:$X,Taostats_CSV!$I431&amp;P$1)</f>
        <v>0</v>
      </c>
      <c r="Q431" t="b">
        <f t="shared" si="52"/>
        <v>0</v>
      </c>
      <c r="R431" t="b">
        <f>IF(LEN(K431)&gt;0,COUNTIF($K$3:K431,K431),FALSE)</f>
        <v>0</v>
      </c>
      <c r="S431" t="b">
        <f>IF(Taostats_CSV!A431=Taostats_CSV!$A$2,TRUE,Taostats_CSV!G431+Taostats_CSV!H431+Taostats_CSV!R431=0)</f>
        <v>0</v>
      </c>
      <c r="T431" t="b">
        <f t="shared" si="53"/>
        <v>1</v>
      </c>
      <c r="U431" t="b" cm="1">
        <f t="array" aca="1" ref="U431" ca="1">AND(T431,OR(O431-N431&gt;1,P431&gt;1,ISERROR(A431:P431)))</f>
        <v>0</v>
      </c>
      <c r="W431" t="e">
        <f>MATCH(K431&amp;$W$2,Taostats_CSV!$X$3:$X$1167,0)</f>
        <v>#N/A</v>
      </c>
      <c r="X431" t="e">
        <f t="shared" ca="1" si="48"/>
        <v>#VALUE!</v>
      </c>
      <c r="Y431">
        <f t="shared" ca="1" si="49"/>
        <v>0.24889652100000001</v>
      </c>
      <c r="Z431" t="e">
        <f t="shared" ca="1" si="50"/>
        <v>#VALUE!</v>
      </c>
    </row>
    <row r="432" spans="1:26" x14ac:dyDescent="0.4">
      <c r="A432" t="str">
        <f>MID(Taostats_CSV!C432,6,2)&amp;"/"&amp;MID(Taostats_CSV!C432,9,2)&amp;"/"&amp;LEFT(Taostats_CSV!C432,4)&amp;" "&amp;MID(Taostats_CSV!C432,12,8)</f>
        <v>06/06/2025 23:59:48</v>
      </c>
      <c r="C432" t="str">
        <f ca="1">IF(Q432,OFFSET(Taostats_CSV!$E$1,MATCH(K432&amp;D$1,Taostats_CSV!$X:$X,0)-1,0),IF(Taostats_CSV!F432="fee",IF(VALUE(Taostats_CSV!G432)&gt;0,Taostats_CSV!E432,""),""))</f>
        <v/>
      </c>
      <c r="D432" t="str">
        <f ca="1">IF(Q432,OFFSET(Taostats_CSV!$G$1,MATCH(K432&amp;D$1,Taostats_CSV!$X:$X,0)-1,0),IF(Taostats_CSV!F432="fee",IF(VALUE(Taostats_CSV!G432)&gt;0,Taostats_CSV!G432,""),""))</f>
        <v/>
      </c>
      <c r="E432" t="str">
        <f ca="1">IF(AND(Q432,P432&gt;0),OFFSET(Taostats_CSV!$E$1,MATCH(K432&amp;F$1,Taostats_CSV!$X:$X,0)-1,0),IF(LEN(F432)&gt;0,Taostats_CSV!E432,""))</f>
        <v>SN64</v>
      </c>
      <c r="F432" t="str">
        <f ca="1">TRIM(IF(AND(Q432,P432&gt;0),OFFSET(Taostats_CSV!$H$1,MATCH(K432&amp;F$1,Taostats_CSV!$X:$X,0)-1,0),IF(LEN(Taostats_CSV!H432)&gt;0,Taostats_CSV!H432,Taostats_CSV!R432)))</f>
        <v>0.135730184</v>
      </c>
      <c r="G432" t="str">
        <f ca="1">IF(AND(Q432,N432=1),OFFSET(Taostats_CSV!$E$1,MATCH(K432&amp;H$1,Taostats_CSV!$X:$X,0)-1,0),"")</f>
        <v/>
      </c>
      <c r="H432" t="str">
        <f ca="1">IF(AND(Q432,N432=1),OFFSET(Taostats_CSV!$G$1,MATCH(K432&amp;H$1,Taostats_CSV!$X:$X,0)-1,0),"")</f>
        <v/>
      </c>
      <c r="I432" t="str">
        <f ca="1">IF(AND(LEN(K432)=0,LEN(F432)&gt;0),"Income",IF(AND(O432&gt;0,P432&gt;0,C432&lt;&gt;E432),"Trade",IF(AND(NOT(Q432),Taostats_CSV!F432="fee"),'READ ME'!$C$5,"")))</f>
        <v>Income</v>
      </c>
      <c r="J432" t="str">
        <f ca="1">SUBSTITUTE(IF(LEN(I432)=0,Taostats_CSV!F432&amp;" "&amp;Taostats_CSV!J432,IF(I432="Cost","Extrinsic fee","")),"_"," ")</f>
        <v/>
      </c>
      <c r="K432" t="str">
        <f>TRIM(IF(LEN(Taostats_CSV!I432)&gt;0,Taostats_CSV!I432,""))</f>
        <v/>
      </c>
      <c r="L432">
        <f ca="1">IF(Taostats_CSV!E432&lt;&gt;"TAO",IF(LEN(F432)&gt;0,F432,IF(LEN(D432)&gt;0,D432,0))*Taostats_CSV!P432,"")</f>
        <v>11.515500250534373</v>
      </c>
      <c r="M432" t="str">
        <f t="shared" ca="1" si="51"/>
        <v>USD</v>
      </c>
      <c r="N432">
        <f>COUNTIF(Taostats_CSV!$X:$X,Taostats_CSV!$I432&amp;N$1)</f>
        <v>0</v>
      </c>
      <c r="O432">
        <f>COUNTIF(Taostats_CSV!$X:$X,Taostats_CSV!$I432&amp;O$1)</f>
        <v>0</v>
      </c>
      <c r="P432">
        <f>COUNTIF(Taostats_CSV!$X:$X,Taostats_CSV!$I432&amp;P$1)</f>
        <v>0</v>
      </c>
      <c r="Q432" t="b">
        <f t="shared" si="52"/>
        <v>0</v>
      </c>
      <c r="R432" t="b">
        <f>IF(LEN(K432)&gt;0,COUNTIF($K$3:K432,K432),FALSE)</f>
        <v>0</v>
      </c>
      <c r="S432" t="b">
        <f>IF(Taostats_CSV!A432=Taostats_CSV!$A$2,TRUE,Taostats_CSV!G432+Taostats_CSV!H432+Taostats_CSV!R432=0)</f>
        <v>0</v>
      </c>
      <c r="T432" t="b">
        <f t="shared" si="53"/>
        <v>1</v>
      </c>
      <c r="U432" t="b" cm="1">
        <f t="array" aca="1" ref="U432" ca="1">AND(T432,OR(O432-N432&gt;1,P432&gt;1,ISERROR(A432:P432)))</f>
        <v>0</v>
      </c>
      <c r="W432" t="e">
        <f>MATCH(K432&amp;$W$2,Taostats_CSV!$X$3:$X$1167,0)</f>
        <v>#N/A</v>
      </c>
      <c r="X432" t="e">
        <f t="shared" ca="1" si="48"/>
        <v>#VALUE!</v>
      </c>
      <c r="Y432">
        <f t="shared" ca="1" si="49"/>
        <v>0.135730184</v>
      </c>
      <c r="Z432" t="e">
        <f t="shared" ca="1" si="50"/>
        <v>#VALUE!</v>
      </c>
    </row>
    <row r="433" spans="1:26" hidden="1" x14ac:dyDescent="0.4">
      <c r="A433" t="str">
        <f>MID(Taostats_CSV!C433,6,2)&amp;"/"&amp;MID(Taostats_CSV!C433,9,2)&amp;"/"&amp;LEFT(Taostats_CSV!C433,4)&amp;" "&amp;MID(Taostats_CSV!C433,12,8)</f>
        <v>06/06/2025 23:59:48</v>
      </c>
      <c r="C433" t="str">
        <f ca="1">IF(Q433,OFFSET(Taostats_CSV!$E$1,MATCH(K433&amp;D$1,Taostats_CSV!$X:$X,0)-1,0),IF(Taostats_CSV!F433="fee","",IF(VALUE(Taostats_CSV!G433)&gt;0,Taostats_CSV!E433,"")))</f>
        <v/>
      </c>
      <c r="D433" t="str">
        <f ca="1">IF(Q433,OFFSET(Taostats_CSV!$G$1,MATCH(K433&amp;D$1,Taostats_CSV!$X:$X,0)-1,0),IF(Taostats_CSV!F433="fee","",IF(VALUE(Taostats_CSV!G433)&gt;0,Taostats_CSV!G433,"")))</f>
        <v/>
      </c>
      <c r="E433" t="str">
        <f ca="1">IF(AND(Q433,P433&gt;0),OFFSET(Taostats_CSV!$E$1,MATCH(K433&amp;F$1,Taostats_CSV!$X:$X,0)-1,0),IF(LEN(F433)&gt;0,Taostats_CSV!E433,""))</f>
        <v>TAO</v>
      </c>
      <c r="F433" t="str">
        <f ca="1">TRIM(IF(AND(Q433,P433&gt;0),OFFSET(Taostats_CSV!$H$1,MATCH(K433&amp;F$1,Taostats_CSV!$X:$X,0)-1,0),IF(LEN(Taostats_CSV!H433)&gt;0,Taostats_CSV!H433,Taostats_CSV!R433)))</f>
        <v>0</v>
      </c>
      <c r="G433" t="str">
        <f ca="1">IF(AND(Q433,N433=1),OFFSET(Taostats_CSV!$E$1,MATCH(K433&amp;H$1,Taostats_CSV!$X:$X,0)-1,0),IF(Taostats_CSV!F433="fee",Taostats_CSV!E433,""))</f>
        <v/>
      </c>
      <c r="H433" t="str">
        <f ca="1">IF(AND(Q433,N433=1),OFFSET(Taostats_CSV!$G$1,MATCH(K433&amp;H$1,Taostats_CSV!$X:$X,0)-1,0),IF(Taostats_CSV!F433="fee",Taostats_CSV!G433,""))</f>
        <v/>
      </c>
      <c r="I433" t="str">
        <f ca="1">IF(AND(LEN(K433)=0,LEN(F433)&gt;0),"Income",IF(AND(O433&gt;0,P433&gt;0,C433&lt;&gt;E433),"Trade",IF(AND(NOT(Q433),Taostats_CSV!F433="fee"),'READ ME'!$C$5,"")))</f>
        <v>Income</v>
      </c>
      <c r="J433" t="str">
        <f ca="1">SUBSTITUTE(IF(LEN(I433)=0,Taostats_CSV!F433&amp;" "&amp;Taostats_CSV!J433,IF(I433="Cost","Extrinsic fee","")),"_"," ")</f>
        <v/>
      </c>
      <c r="K433" t="str">
        <f>TRIM(IF(LEN(Taostats_CSV!I433)&gt;0,Taostats_CSV!I433,""))</f>
        <v/>
      </c>
      <c r="L433" t="str">
        <f>IF(Taostats_CSV!E433&lt;&gt;"TAO",IF(LEN(F433)&gt;0,F433,IF(LEN(D433)&gt;0,D433,0))*Taostats_CSV!P433,"")</f>
        <v/>
      </c>
      <c r="M433" t="str">
        <f t="shared" si="51"/>
        <v/>
      </c>
      <c r="N433">
        <f>COUNTIF(Taostats_CSV!$X:$X,Taostats_CSV!$I433&amp;N$1)</f>
        <v>0</v>
      </c>
      <c r="O433">
        <f>COUNTIF(Taostats_CSV!$X:$X,Taostats_CSV!$I433&amp;O$1)</f>
        <v>0</v>
      </c>
      <c r="P433">
        <f>COUNTIF(Taostats_CSV!$X:$X,Taostats_CSV!$I433&amp;P$1)</f>
        <v>0</v>
      </c>
      <c r="Q433" t="b">
        <f t="shared" si="52"/>
        <v>0</v>
      </c>
      <c r="R433" t="b">
        <f>IF(LEN(K433)&gt;0,COUNTIF($K$3:K433,K433),FALSE)</f>
        <v>0</v>
      </c>
      <c r="S433" t="b">
        <f>IF(Taostats_CSV!A433=Taostats_CSV!$A$2,TRUE,Taostats_CSV!G433+Taostats_CSV!H433+Taostats_CSV!R433=0)</f>
        <v>1</v>
      </c>
      <c r="T433" t="b">
        <f t="shared" si="53"/>
        <v>0</v>
      </c>
      <c r="U433" t="b" cm="1">
        <f t="array" aca="1" ref="U433" ca="1">AND(T433,OR(O433-N433&gt;1,P433&gt;1,ISERROR(A433:P433)))</f>
        <v>0</v>
      </c>
      <c r="W433" t="e">
        <f>MATCH(K433&amp;$W$2,Taostats_CSV!$X$3:$X$1167,0)</f>
        <v>#N/A</v>
      </c>
      <c r="X433" t="e">
        <f t="shared" ca="1" si="48"/>
        <v>#VALUE!</v>
      </c>
      <c r="Y433">
        <f t="shared" ca="1" si="49"/>
        <v>0</v>
      </c>
      <c r="Z433" t="e">
        <f t="shared" ca="1" si="50"/>
        <v>#VALUE!</v>
      </c>
    </row>
    <row r="434" spans="1:26" x14ac:dyDescent="0.4">
      <c r="A434" t="str">
        <f>MID(Taostats_CSV!C434,6,2)&amp;"/"&amp;MID(Taostats_CSV!C434,9,2)&amp;"/"&amp;LEFT(Taostats_CSV!C434,4)&amp;" "&amp;MID(Taostats_CSV!C434,12,8)</f>
        <v>06/07/2025 23:59:48</v>
      </c>
      <c r="C434" t="str">
        <f ca="1">IF(Q434,OFFSET(Taostats_CSV!$E$1,MATCH(K434&amp;D$1,Taostats_CSV!$X:$X,0)-1,0),IF(Taostats_CSV!F434="fee",IF(VALUE(Taostats_CSV!G434)&gt;0,Taostats_CSV!E434,""),""))</f>
        <v/>
      </c>
      <c r="D434" t="str">
        <f ca="1">IF(Q434,OFFSET(Taostats_CSV!$G$1,MATCH(K434&amp;D$1,Taostats_CSV!$X:$X,0)-1,0),IF(Taostats_CSV!F434="fee",IF(VALUE(Taostats_CSV!G434)&gt;0,Taostats_CSV!G434,""),""))</f>
        <v/>
      </c>
      <c r="E434" t="str">
        <f ca="1">IF(AND(Q434,P434&gt;0),OFFSET(Taostats_CSV!$E$1,MATCH(K434&amp;F$1,Taostats_CSV!$X:$X,0)-1,0),IF(LEN(F434)&gt;0,Taostats_CSV!E434,""))</f>
        <v>SN3</v>
      </c>
      <c r="F434" t="str">
        <f ca="1">TRIM(IF(AND(Q434,P434&gt;0),OFFSET(Taostats_CSV!$H$1,MATCH(K434&amp;F$1,Taostats_CSV!$X:$X,0)-1,0),IF(LEN(Taostats_CSV!H434)&gt;0,Taostats_CSV!H434,Taostats_CSV!R434)))</f>
        <v>0.415216365</v>
      </c>
      <c r="G434" t="str">
        <f ca="1">IF(AND(Q434,N434=1),OFFSET(Taostats_CSV!$E$1,MATCH(K434&amp;H$1,Taostats_CSV!$X:$X,0)-1,0),"")</f>
        <v/>
      </c>
      <c r="H434" t="str">
        <f ca="1">IF(AND(Q434,N434=1),OFFSET(Taostats_CSV!$G$1,MATCH(K434&amp;H$1,Taostats_CSV!$X:$X,0)-1,0),"")</f>
        <v/>
      </c>
      <c r="I434" t="str">
        <f ca="1">IF(AND(LEN(K434)=0,LEN(F434)&gt;0),"Income",IF(AND(O434&gt;0,P434&gt;0,C434&lt;&gt;E434),"Trade",IF(AND(NOT(Q434),Taostats_CSV!F434="fee"),'READ ME'!$C$5,"")))</f>
        <v>Income</v>
      </c>
      <c r="J434" t="str">
        <f ca="1">SUBSTITUTE(IF(LEN(I434)=0,Taostats_CSV!F434&amp;" "&amp;Taostats_CSV!J434,IF(I434="Cost","Extrinsic fee","")),"_"," ")</f>
        <v/>
      </c>
      <c r="K434" t="str">
        <f>TRIM(IF(LEN(Taostats_CSV!I434)&gt;0,Taostats_CSV!I434,""))</f>
        <v/>
      </c>
      <c r="L434">
        <f ca="1">IF(Taostats_CSV!E434&lt;&gt;"TAO",IF(LEN(F434)&gt;0,F434,IF(LEN(D434)&gt;0,D434,0))*Taostats_CSV!P434,"")</f>
        <v>15.980327319672275</v>
      </c>
      <c r="M434" t="str">
        <f t="shared" ca="1" si="51"/>
        <v>USD</v>
      </c>
      <c r="N434">
        <f>COUNTIF(Taostats_CSV!$X:$X,Taostats_CSV!$I434&amp;N$1)</f>
        <v>0</v>
      </c>
      <c r="O434">
        <f>COUNTIF(Taostats_CSV!$X:$X,Taostats_CSV!$I434&amp;O$1)</f>
        <v>0</v>
      </c>
      <c r="P434">
        <f>COUNTIF(Taostats_CSV!$X:$X,Taostats_CSV!$I434&amp;P$1)</f>
        <v>0</v>
      </c>
      <c r="Q434" t="b">
        <f t="shared" si="52"/>
        <v>0</v>
      </c>
      <c r="R434" t="b">
        <f>IF(LEN(K434)&gt;0,COUNTIF($K$3:K434,K434),FALSE)</f>
        <v>0</v>
      </c>
      <c r="S434" t="b">
        <f>IF(Taostats_CSV!A434=Taostats_CSV!$A$2,TRUE,Taostats_CSV!G434+Taostats_CSV!H434+Taostats_CSV!R434=0)</f>
        <v>0</v>
      </c>
      <c r="T434" t="b">
        <f t="shared" si="53"/>
        <v>1</v>
      </c>
      <c r="U434" t="b" cm="1">
        <f t="array" aca="1" ref="U434" ca="1">AND(T434,OR(O434-N434&gt;1,P434&gt;1,ISERROR(A434:P434)))</f>
        <v>0</v>
      </c>
      <c r="W434" t="e">
        <f>MATCH(K434&amp;$W$2,Taostats_CSV!$X$3:$X$1167,0)</f>
        <v>#N/A</v>
      </c>
      <c r="X434" t="e">
        <f t="shared" ca="1" si="48"/>
        <v>#VALUE!</v>
      </c>
      <c r="Y434">
        <f t="shared" ca="1" si="49"/>
        <v>0.41521636499999998</v>
      </c>
      <c r="Z434" t="e">
        <f t="shared" ca="1" si="50"/>
        <v>#VALUE!</v>
      </c>
    </row>
    <row r="435" spans="1:26" x14ac:dyDescent="0.4">
      <c r="A435" t="str">
        <f>MID(Taostats_CSV!C435,6,2)&amp;"/"&amp;MID(Taostats_CSV!C435,9,2)&amp;"/"&amp;LEFT(Taostats_CSV!C435,4)&amp;" "&amp;MID(Taostats_CSV!C435,12,8)</f>
        <v>06/07/2025 23:59:48</v>
      </c>
      <c r="C435" t="str">
        <f ca="1">IF(Q435,OFFSET(Taostats_CSV!$E$1,MATCH(K435&amp;D$1,Taostats_CSV!$X:$X,0)-1,0),IF(Taostats_CSV!F435="fee",IF(VALUE(Taostats_CSV!G435)&gt;0,Taostats_CSV!E435,""),""))</f>
        <v/>
      </c>
      <c r="D435" t="str">
        <f ca="1">IF(Q435,OFFSET(Taostats_CSV!$G$1,MATCH(K435&amp;D$1,Taostats_CSV!$X:$X,0)-1,0),IF(Taostats_CSV!F435="fee",IF(VALUE(Taostats_CSV!G435)&gt;0,Taostats_CSV!G435,""),""))</f>
        <v/>
      </c>
      <c r="E435" t="str">
        <f ca="1">IF(AND(Q435,P435&gt;0),OFFSET(Taostats_CSV!$E$1,MATCH(K435&amp;F$1,Taostats_CSV!$X:$X,0)-1,0),IF(LEN(F435)&gt;0,Taostats_CSV!E435,""))</f>
        <v>SN4</v>
      </c>
      <c r="F435" t="str">
        <f ca="1">TRIM(IF(AND(Q435,P435&gt;0),OFFSET(Taostats_CSV!$H$1,MATCH(K435&amp;F$1,Taostats_CSV!$X:$X,0)-1,0),IF(LEN(Taostats_CSV!H435)&gt;0,Taostats_CSV!H435,Taostats_CSV!R435)))</f>
        <v>0.450988781</v>
      </c>
      <c r="G435" t="str">
        <f ca="1">IF(AND(Q435,N435=1),OFFSET(Taostats_CSV!$E$1,MATCH(K435&amp;H$1,Taostats_CSV!$X:$X,0)-1,0),"")</f>
        <v/>
      </c>
      <c r="H435" t="str">
        <f ca="1">IF(AND(Q435,N435=1),OFFSET(Taostats_CSV!$G$1,MATCH(K435&amp;H$1,Taostats_CSV!$X:$X,0)-1,0),"")</f>
        <v/>
      </c>
      <c r="I435" t="str">
        <f ca="1">IF(AND(LEN(K435)=0,LEN(F435)&gt;0),"Income",IF(AND(O435&gt;0,P435&gt;0,C435&lt;&gt;E435),"Trade",IF(AND(NOT(Q435),Taostats_CSV!F435="fee"),'READ ME'!$C$5,"")))</f>
        <v>Income</v>
      </c>
      <c r="J435" t="str">
        <f ca="1">SUBSTITUTE(IF(LEN(I435)=0,Taostats_CSV!F435&amp;" "&amp;Taostats_CSV!J435,IF(I435="Cost","Extrinsic fee","")),"_"," ")</f>
        <v/>
      </c>
      <c r="K435" t="str">
        <f>TRIM(IF(LEN(Taostats_CSV!I435)&gt;0,Taostats_CSV!I435,""))</f>
        <v/>
      </c>
      <c r="L435">
        <f ca="1">IF(Taostats_CSV!E435&lt;&gt;"TAO",IF(LEN(F435)&gt;0,F435,IF(LEN(D435)&gt;0,D435,0))*Taostats_CSV!P435,"")</f>
        <v>16.167660302489374</v>
      </c>
      <c r="M435" t="str">
        <f t="shared" ca="1" si="51"/>
        <v>USD</v>
      </c>
      <c r="N435">
        <f>COUNTIF(Taostats_CSV!$X:$X,Taostats_CSV!$I435&amp;N$1)</f>
        <v>0</v>
      </c>
      <c r="O435">
        <f>COUNTIF(Taostats_CSV!$X:$X,Taostats_CSV!$I435&amp;O$1)</f>
        <v>0</v>
      </c>
      <c r="P435">
        <f>COUNTIF(Taostats_CSV!$X:$X,Taostats_CSV!$I435&amp;P$1)</f>
        <v>0</v>
      </c>
      <c r="Q435" t="b">
        <f t="shared" si="52"/>
        <v>0</v>
      </c>
      <c r="R435" t="b">
        <f>IF(LEN(K435)&gt;0,COUNTIF($K$3:K435,K435),FALSE)</f>
        <v>0</v>
      </c>
      <c r="S435" t="b">
        <f>IF(Taostats_CSV!A435=Taostats_CSV!$A$2,TRUE,Taostats_CSV!G435+Taostats_CSV!H435+Taostats_CSV!R435=0)</f>
        <v>0</v>
      </c>
      <c r="T435" t="b">
        <f t="shared" si="53"/>
        <v>1</v>
      </c>
      <c r="U435" t="b" cm="1">
        <f t="array" aca="1" ref="U435" ca="1">AND(T435,OR(O435-N435&gt;1,P435&gt;1,ISERROR(A435:P435)))</f>
        <v>0</v>
      </c>
      <c r="W435" t="e">
        <f>MATCH(K435&amp;$W$2,Taostats_CSV!$X$3:$X$1167,0)</f>
        <v>#N/A</v>
      </c>
      <c r="X435" t="e">
        <f t="shared" ca="1" si="48"/>
        <v>#VALUE!</v>
      </c>
      <c r="Y435">
        <f t="shared" ca="1" si="49"/>
        <v>0.45098878100000001</v>
      </c>
      <c r="Z435" t="e">
        <f t="shared" ca="1" si="50"/>
        <v>#VALUE!</v>
      </c>
    </row>
    <row r="436" spans="1:26" x14ac:dyDescent="0.4">
      <c r="A436" t="str">
        <f>MID(Taostats_CSV!C436,6,2)&amp;"/"&amp;MID(Taostats_CSV!C436,9,2)&amp;"/"&amp;LEFT(Taostats_CSV!C436,4)&amp;" "&amp;MID(Taostats_CSV!C436,12,8)</f>
        <v>06/07/2025 23:59:48</v>
      </c>
      <c r="C436" t="str">
        <f ca="1">IF(Q436,OFFSET(Taostats_CSV!$E$1,MATCH(K436&amp;D$1,Taostats_CSV!$X:$X,0)-1,0),IF(Taostats_CSV!F436="fee",IF(VALUE(Taostats_CSV!G436)&gt;0,Taostats_CSV!E436,""),""))</f>
        <v/>
      </c>
      <c r="D436" t="str">
        <f ca="1">IF(Q436,OFFSET(Taostats_CSV!$G$1,MATCH(K436&amp;D$1,Taostats_CSV!$X:$X,0)-1,0),IF(Taostats_CSV!F436="fee",IF(VALUE(Taostats_CSV!G436)&gt;0,Taostats_CSV!G436,""),""))</f>
        <v/>
      </c>
      <c r="E436" t="str">
        <f ca="1">IF(AND(Q436,P436&gt;0),OFFSET(Taostats_CSV!$E$1,MATCH(K436&amp;F$1,Taostats_CSV!$X:$X,0)-1,0),IF(LEN(F436)&gt;0,Taostats_CSV!E436,""))</f>
        <v>SN56</v>
      </c>
      <c r="F436" t="str">
        <f ca="1">TRIM(IF(AND(Q436,P436&gt;0),OFFSET(Taostats_CSV!$H$1,MATCH(K436&amp;F$1,Taostats_CSV!$X:$X,0)-1,0),IF(LEN(Taostats_CSV!H436)&gt;0,Taostats_CSV!H436,Taostats_CSV!R436)))</f>
        <v>0.240294778</v>
      </c>
      <c r="G436" t="str">
        <f ca="1">IF(AND(Q436,N436=1),OFFSET(Taostats_CSV!$E$1,MATCH(K436&amp;H$1,Taostats_CSV!$X:$X,0)-1,0),"")</f>
        <v/>
      </c>
      <c r="H436" t="str">
        <f ca="1">IF(AND(Q436,N436=1),OFFSET(Taostats_CSV!$G$1,MATCH(K436&amp;H$1,Taostats_CSV!$X:$X,0)-1,0),"")</f>
        <v/>
      </c>
      <c r="I436" t="str">
        <f ca="1">IF(AND(LEN(K436)=0,LEN(F436)&gt;0),"Income",IF(AND(O436&gt;0,P436&gt;0,C436&lt;&gt;E436),"Trade",IF(AND(NOT(Q436),Taostats_CSV!F436="fee"),'READ ME'!$C$5,"")))</f>
        <v>Income</v>
      </c>
      <c r="J436" t="str">
        <f ca="1">SUBSTITUTE(IF(LEN(I436)=0,Taostats_CSV!F436&amp;" "&amp;Taostats_CSV!J436,IF(I436="Cost","Extrinsic fee","")),"_"," ")</f>
        <v/>
      </c>
      <c r="K436" t="str">
        <f>TRIM(IF(LEN(Taostats_CSV!I436)&gt;0,Taostats_CSV!I436,""))</f>
        <v/>
      </c>
      <c r="L436">
        <f ca="1">IF(Taostats_CSV!E436&lt;&gt;"TAO",IF(LEN(F436)&gt;0,F436,IF(LEN(D436)&gt;0,D436,0))*Taostats_CSV!P436,"")</f>
        <v>8.6935745031628482</v>
      </c>
      <c r="M436" t="str">
        <f t="shared" ca="1" si="51"/>
        <v>USD</v>
      </c>
      <c r="N436">
        <f>COUNTIF(Taostats_CSV!$X:$X,Taostats_CSV!$I436&amp;N$1)</f>
        <v>0</v>
      </c>
      <c r="O436">
        <f>COUNTIF(Taostats_CSV!$X:$X,Taostats_CSV!$I436&amp;O$1)</f>
        <v>0</v>
      </c>
      <c r="P436">
        <f>COUNTIF(Taostats_CSV!$X:$X,Taostats_CSV!$I436&amp;P$1)</f>
        <v>0</v>
      </c>
      <c r="Q436" t="b">
        <f t="shared" si="52"/>
        <v>0</v>
      </c>
      <c r="R436" t="b">
        <f>IF(LEN(K436)&gt;0,COUNTIF($K$3:K436,K436),FALSE)</f>
        <v>0</v>
      </c>
      <c r="S436" t="b">
        <f>IF(Taostats_CSV!A436=Taostats_CSV!$A$2,TRUE,Taostats_CSV!G436+Taostats_CSV!H436+Taostats_CSV!R436=0)</f>
        <v>0</v>
      </c>
      <c r="T436" t="b">
        <f t="shared" si="53"/>
        <v>1</v>
      </c>
      <c r="U436" t="b" cm="1">
        <f t="array" aca="1" ref="U436" ca="1">AND(T436,OR(O436-N436&gt;1,P436&gt;1,ISERROR(A436:P436)))</f>
        <v>0</v>
      </c>
      <c r="W436" t="e">
        <f>MATCH(K436&amp;$W$2,Taostats_CSV!$X$3:$X$1167,0)</f>
        <v>#N/A</v>
      </c>
      <c r="X436" t="e">
        <f t="shared" ca="1" si="48"/>
        <v>#VALUE!</v>
      </c>
      <c r="Y436">
        <f t="shared" ca="1" si="49"/>
        <v>0.24029477799999999</v>
      </c>
      <c r="Z436" t="e">
        <f t="shared" ca="1" si="50"/>
        <v>#VALUE!</v>
      </c>
    </row>
    <row r="437" spans="1:26" x14ac:dyDescent="0.4">
      <c r="A437" t="str">
        <f>MID(Taostats_CSV!C437,6,2)&amp;"/"&amp;MID(Taostats_CSV!C437,9,2)&amp;"/"&amp;LEFT(Taostats_CSV!C437,4)&amp;" "&amp;MID(Taostats_CSV!C437,12,8)</f>
        <v>06/07/2025 23:59:48</v>
      </c>
      <c r="C437" t="str">
        <f ca="1">IF(Q437,OFFSET(Taostats_CSV!$E$1,MATCH(K437&amp;D$1,Taostats_CSV!$X:$X,0)-1,0),IF(Taostats_CSV!F437="fee",IF(VALUE(Taostats_CSV!G437)&gt;0,Taostats_CSV!E437,""),""))</f>
        <v/>
      </c>
      <c r="D437" t="str">
        <f ca="1">IF(Q437,OFFSET(Taostats_CSV!$G$1,MATCH(K437&amp;D$1,Taostats_CSV!$X:$X,0)-1,0),IF(Taostats_CSV!F437="fee",IF(VALUE(Taostats_CSV!G437)&gt;0,Taostats_CSV!G437,""),""))</f>
        <v/>
      </c>
      <c r="E437" t="str">
        <f ca="1">IF(AND(Q437,P437&gt;0),OFFSET(Taostats_CSV!$E$1,MATCH(K437&amp;F$1,Taostats_CSV!$X:$X,0)-1,0),IF(LEN(F437)&gt;0,Taostats_CSV!E437,""))</f>
        <v>SN64</v>
      </c>
      <c r="F437" t="str">
        <f ca="1">TRIM(IF(AND(Q437,P437&gt;0),OFFSET(Taostats_CSV!$H$1,MATCH(K437&amp;F$1,Taostats_CSV!$X:$X,0)-1,0),IF(LEN(Taostats_CSV!H437)&gt;0,Taostats_CSV!H437,Taostats_CSV!R437)))</f>
        <v>0.138693764</v>
      </c>
      <c r="G437" t="str">
        <f ca="1">IF(AND(Q437,N437=1),OFFSET(Taostats_CSV!$E$1,MATCH(K437&amp;H$1,Taostats_CSV!$X:$X,0)-1,0),"")</f>
        <v/>
      </c>
      <c r="H437" t="str">
        <f ca="1">IF(AND(Q437,N437=1),OFFSET(Taostats_CSV!$G$1,MATCH(K437&amp;H$1,Taostats_CSV!$X:$X,0)-1,0),"")</f>
        <v/>
      </c>
      <c r="I437" t="str">
        <f ca="1">IF(AND(LEN(K437)=0,LEN(F437)&gt;0),"Income",IF(AND(O437&gt;0,P437&gt;0,C437&lt;&gt;E437),"Trade",IF(AND(NOT(Q437),Taostats_CSV!F437="fee"),'READ ME'!$C$5,"")))</f>
        <v>Income</v>
      </c>
      <c r="J437" t="str">
        <f ca="1">SUBSTITUTE(IF(LEN(I437)=0,Taostats_CSV!F437&amp;" "&amp;Taostats_CSV!J437,IF(I437="Cost","Extrinsic fee","")),"_"," ")</f>
        <v/>
      </c>
      <c r="K437" t="str">
        <f>TRIM(IF(LEN(Taostats_CSV!I437)&gt;0,Taostats_CSV!I437,""))</f>
        <v/>
      </c>
      <c r="L437">
        <f ca="1">IF(Taostats_CSV!E437&lt;&gt;"TAO",IF(LEN(F437)&gt;0,F437,IF(LEN(D437)&gt;0,D437,0))*Taostats_CSV!P437,"")</f>
        <v>12.947907955552465</v>
      </c>
      <c r="M437" t="str">
        <f t="shared" ca="1" si="51"/>
        <v>USD</v>
      </c>
      <c r="N437">
        <f>COUNTIF(Taostats_CSV!$X:$X,Taostats_CSV!$I437&amp;N$1)</f>
        <v>0</v>
      </c>
      <c r="O437">
        <f>COUNTIF(Taostats_CSV!$X:$X,Taostats_CSV!$I437&amp;O$1)</f>
        <v>0</v>
      </c>
      <c r="P437">
        <f>COUNTIF(Taostats_CSV!$X:$X,Taostats_CSV!$I437&amp;P$1)</f>
        <v>0</v>
      </c>
      <c r="Q437" t="b">
        <f t="shared" si="52"/>
        <v>0</v>
      </c>
      <c r="R437" t="b">
        <f>IF(LEN(K437)&gt;0,COUNTIF($K$3:K437,K437),FALSE)</f>
        <v>0</v>
      </c>
      <c r="S437" t="b">
        <f>IF(Taostats_CSV!A437=Taostats_CSV!$A$2,TRUE,Taostats_CSV!G437+Taostats_CSV!H437+Taostats_CSV!R437=0)</f>
        <v>0</v>
      </c>
      <c r="T437" t="b">
        <f t="shared" si="53"/>
        <v>1</v>
      </c>
      <c r="U437" t="b" cm="1">
        <f t="array" aca="1" ref="U437" ca="1">AND(T437,OR(O437-N437&gt;1,P437&gt;1,ISERROR(A437:P437)))</f>
        <v>0</v>
      </c>
      <c r="W437" t="e">
        <f>MATCH(K437&amp;$W$2,Taostats_CSV!$X$3:$X$1167,0)</f>
        <v>#N/A</v>
      </c>
      <c r="X437" t="e">
        <f t="shared" ca="1" si="48"/>
        <v>#VALUE!</v>
      </c>
      <c r="Y437">
        <f t="shared" ca="1" si="49"/>
        <v>0.138693764</v>
      </c>
      <c r="Z437" t="e">
        <f t="shared" ca="1" si="50"/>
        <v>#VALUE!</v>
      </c>
    </row>
    <row r="438" spans="1:26" hidden="1" x14ac:dyDescent="0.4">
      <c r="A438" t="str">
        <f>MID(Taostats_CSV!C438,6,2)&amp;"/"&amp;MID(Taostats_CSV!C438,9,2)&amp;"/"&amp;LEFT(Taostats_CSV!C438,4)&amp;" "&amp;MID(Taostats_CSV!C438,12,8)</f>
        <v>06/07/2025 23:59:48</v>
      </c>
      <c r="C438" t="str">
        <f ca="1">IF(Q438,OFFSET(Taostats_CSV!$E$1,MATCH(K438&amp;D$1,Taostats_CSV!$X:$X,0)-1,0),IF(Taostats_CSV!F438="fee","",IF(VALUE(Taostats_CSV!G438)&gt;0,Taostats_CSV!E438,"")))</f>
        <v/>
      </c>
      <c r="D438" t="str">
        <f ca="1">IF(Q438,OFFSET(Taostats_CSV!$G$1,MATCH(K438&amp;D$1,Taostats_CSV!$X:$X,0)-1,0),IF(Taostats_CSV!F438="fee","",IF(VALUE(Taostats_CSV!G438)&gt;0,Taostats_CSV!G438,"")))</f>
        <v/>
      </c>
      <c r="E438" t="str">
        <f ca="1">IF(AND(Q438,P438&gt;0),OFFSET(Taostats_CSV!$E$1,MATCH(K438&amp;F$1,Taostats_CSV!$X:$X,0)-1,0),IF(LEN(F438)&gt;0,Taostats_CSV!E438,""))</f>
        <v>TAO</v>
      </c>
      <c r="F438" t="str">
        <f ca="1">TRIM(IF(AND(Q438,P438&gt;0),OFFSET(Taostats_CSV!$H$1,MATCH(K438&amp;F$1,Taostats_CSV!$X:$X,0)-1,0),IF(LEN(Taostats_CSV!H438)&gt;0,Taostats_CSV!H438,Taostats_CSV!R438)))</f>
        <v>0</v>
      </c>
      <c r="G438" t="str">
        <f ca="1">IF(AND(Q438,N438=1),OFFSET(Taostats_CSV!$E$1,MATCH(K438&amp;H$1,Taostats_CSV!$X:$X,0)-1,0),IF(Taostats_CSV!F438="fee",Taostats_CSV!E438,""))</f>
        <v/>
      </c>
      <c r="H438" t="str">
        <f ca="1">IF(AND(Q438,N438=1),OFFSET(Taostats_CSV!$G$1,MATCH(K438&amp;H$1,Taostats_CSV!$X:$X,0)-1,0),IF(Taostats_CSV!F438="fee",Taostats_CSV!G438,""))</f>
        <v/>
      </c>
      <c r="I438" t="str">
        <f ca="1">IF(AND(LEN(K438)=0,LEN(F438)&gt;0),"Income",IF(AND(O438&gt;0,P438&gt;0,C438&lt;&gt;E438),"Trade",IF(AND(NOT(Q438),Taostats_CSV!F438="fee"),'READ ME'!$C$5,"")))</f>
        <v>Income</v>
      </c>
      <c r="J438" t="str">
        <f ca="1">SUBSTITUTE(IF(LEN(I438)=0,Taostats_CSV!F438&amp;" "&amp;Taostats_CSV!J438,IF(I438="Cost","Extrinsic fee","")),"_"," ")</f>
        <v/>
      </c>
      <c r="K438" t="str">
        <f>TRIM(IF(LEN(Taostats_CSV!I438)&gt;0,Taostats_CSV!I438,""))</f>
        <v/>
      </c>
      <c r="L438" t="str">
        <f>IF(Taostats_CSV!E438&lt;&gt;"TAO",IF(LEN(F438)&gt;0,F438,IF(LEN(D438)&gt;0,D438,0))*Taostats_CSV!P438,"")</f>
        <v/>
      </c>
      <c r="M438" t="str">
        <f t="shared" si="51"/>
        <v/>
      </c>
      <c r="N438">
        <f>COUNTIF(Taostats_CSV!$X:$X,Taostats_CSV!$I438&amp;N$1)</f>
        <v>0</v>
      </c>
      <c r="O438">
        <f>COUNTIF(Taostats_CSV!$X:$X,Taostats_CSV!$I438&amp;O$1)</f>
        <v>0</v>
      </c>
      <c r="P438">
        <f>COUNTIF(Taostats_CSV!$X:$X,Taostats_CSV!$I438&amp;P$1)</f>
        <v>0</v>
      </c>
      <c r="Q438" t="b">
        <f t="shared" si="52"/>
        <v>0</v>
      </c>
      <c r="R438" t="b">
        <f>IF(LEN(K438)&gt;0,COUNTIF($K$3:K438,K438),FALSE)</f>
        <v>0</v>
      </c>
      <c r="S438" t="b">
        <f>IF(Taostats_CSV!A438=Taostats_CSV!$A$2,TRUE,Taostats_CSV!G438+Taostats_CSV!H438+Taostats_CSV!R438=0)</f>
        <v>1</v>
      </c>
      <c r="T438" t="b">
        <f t="shared" si="53"/>
        <v>0</v>
      </c>
      <c r="U438" t="b" cm="1">
        <f t="array" aca="1" ref="U438" ca="1">AND(T438,OR(O438-N438&gt;1,P438&gt;1,ISERROR(A438:P438)))</f>
        <v>0</v>
      </c>
      <c r="W438" t="e">
        <f>MATCH(K438&amp;$W$2,Taostats_CSV!$X$3:$X$1167,0)</f>
        <v>#N/A</v>
      </c>
      <c r="X438" t="e">
        <f t="shared" ca="1" si="48"/>
        <v>#VALUE!</v>
      </c>
      <c r="Y438">
        <f t="shared" ca="1" si="49"/>
        <v>0</v>
      </c>
      <c r="Z438" t="e">
        <f t="shared" ca="1" si="50"/>
        <v>#VALUE!</v>
      </c>
    </row>
    <row r="439" spans="1:26" x14ac:dyDescent="0.4">
      <c r="A439" t="str">
        <f>MID(Taostats_CSV!C439,6,2)&amp;"/"&amp;MID(Taostats_CSV!C439,9,2)&amp;"/"&amp;LEFT(Taostats_CSV!C439,4)&amp;" "&amp;MID(Taostats_CSV!C439,12,8)</f>
        <v>06/08/2025 23:59:48</v>
      </c>
      <c r="C439" t="str">
        <f ca="1">IF(Q439,OFFSET(Taostats_CSV!$E$1,MATCH(K439&amp;D$1,Taostats_CSV!$X:$X,0)-1,0),IF(Taostats_CSV!F439="fee",IF(VALUE(Taostats_CSV!G439)&gt;0,Taostats_CSV!E439,""),""))</f>
        <v/>
      </c>
      <c r="D439" t="str">
        <f ca="1">IF(Q439,OFFSET(Taostats_CSV!$G$1,MATCH(K439&amp;D$1,Taostats_CSV!$X:$X,0)-1,0),IF(Taostats_CSV!F439="fee",IF(VALUE(Taostats_CSV!G439)&gt;0,Taostats_CSV!G439,""),""))</f>
        <v/>
      </c>
      <c r="E439" t="str">
        <f ca="1">IF(AND(Q439,P439&gt;0),OFFSET(Taostats_CSV!$E$1,MATCH(K439&amp;F$1,Taostats_CSV!$X:$X,0)-1,0),IF(LEN(F439)&gt;0,Taostats_CSV!E439,""))</f>
        <v>SN3</v>
      </c>
      <c r="F439" t="str">
        <f ca="1">TRIM(IF(AND(Q439,P439&gt;0),OFFSET(Taostats_CSV!$H$1,MATCH(K439&amp;F$1,Taostats_CSV!$X:$X,0)-1,0),IF(LEN(Taostats_CSV!H439)&gt;0,Taostats_CSV!H439,Taostats_CSV!R439)))</f>
        <v>0.402253954</v>
      </c>
      <c r="G439" t="str">
        <f ca="1">IF(AND(Q439,N439=1),OFFSET(Taostats_CSV!$E$1,MATCH(K439&amp;H$1,Taostats_CSV!$X:$X,0)-1,0),"")</f>
        <v/>
      </c>
      <c r="H439" t="str">
        <f ca="1">IF(AND(Q439,N439=1),OFFSET(Taostats_CSV!$G$1,MATCH(K439&amp;H$1,Taostats_CSV!$X:$X,0)-1,0),"")</f>
        <v/>
      </c>
      <c r="I439" t="str">
        <f ca="1">IF(AND(LEN(K439)=0,LEN(F439)&gt;0),"Income",IF(AND(O439&gt;0,P439&gt;0,C439&lt;&gt;E439),"Trade",IF(AND(NOT(Q439),Taostats_CSV!F439="fee"),'READ ME'!$C$5,"")))</f>
        <v>Income</v>
      </c>
      <c r="J439" t="str">
        <f ca="1">SUBSTITUTE(IF(LEN(I439)=0,Taostats_CSV!F439&amp;" "&amp;Taostats_CSV!J439,IF(I439="Cost","Extrinsic fee","")),"_"," ")</f>
        <v/>
      </c>
      <c r="K439" t="str">
        <f>TRIM(IF(LEN(Taostats_CSV!I439)&gt;0,Taostats_CSV!I439,""))</f>
        <v/>
      </c>
      <c r="L439">
        <f ca="1">IF(Taostats_CSV!E439&lt;&gt;"TAO",IF(LEN(F439)&gt;0,F439,IF(LEN(D439)&gt;0,D439,0))*Taostats_CSV!P439,"")</f>
        <v>15.269345516243394</v>
      </c>
      <c r="M439" t="str">
        <f t="shared" ca="1" si="51"/>
        <v>USD</v>
      </c>
      <c r="N439">
        <f>COUNTIF(Taostats_CSV!$X:$X,Taostats_CSV!$I439&amp;N$1)</f>
        <v>0</v>
      </c>
      <c r="O439">
        <f>COUNTIF(Taostats_CSV!$X:$X,Taostats_CSV!$I439&amp;O$1)</f>
        <v>0</v>
      </c>
      <c r="P439">
        <f>COUNTIF(Taostats_CSV!$X:$X,Taostats_CSV!$I439&amp;P$1)</f>
        <v>0</v>
      </c>
      <c r="Q439" t="b">
        <f t="shared" si="52"/>
        <v>0</v>
      </c>
      <c r="R439" t="b">
        <f>IF(LEN(K439)&gt;0,COUNTIF($K$3:K439,K439),FALSE)</f>
        <v>0</v>
      </c>
      <c r="S439" t="b">
        <f>IF(Taostats_CSV!A439=Taostats_CSV!$A$2,TRUE,Taostats_CSV!G439+Taostats_CSV!H439+Taostats_CSV!R439=0)</f>
        <v>0</v>
      </c>
      <c r="T439" t="b">
        <f t="shared" si="53"/>
        <v>1</v>
      </c>
      <c r="U439" t="b" cm="1">
        <f t="array" aca="1" ref="U439" ca="1">AND(T439,OR(O439-N439&gt;1,P439&gt;1,ISERROR(A439:P439)))</f>
        <v>0</v>
      </c>
      <c r="W439" t="e">
        <f>MATCH(K439&amp;$W$2,Taostats_CSV!$X$3:$X$1167,0)</f>
        <v>#N/A</v>
      </c>
      <c r="X439" t="e">
        <f t="shared" ca="1" si="48"/>
        <v>#VALUE!</v>
      </c>
      <c r="Y439">
        <f t="shared" ca="1" si="49"/>
        <v>0.40225395400000002</v>
      </c>
      <c r="Z439" t="e">
        <f t="shared" ca="1" si="50"/>
        <v>#VALUE!</v>
      </c>
    </row>
    <row r="440" spans="1:26" x14ac:dyDescent="0.4">
      <c r="A440" t="str">
        <f>MID(Taostats_CSV!C440,6,2)&amp;"/"&amp;MID(Taostats_CSV!C440,9,2)&amp;"/"&amp;LEFT(Taostats_CSV!C440,4)&amp;" "&amp;MID(Taostats_CSV!C440,12,8)</f>
        <v>06/08/2025 23:59:48</v>
      </c>
      <c r="C440" t="str">
        <f ca="1">IF(Q440,OFFSET(Taostats_CSV!$E$1,MATCH(K440&amp;D$1,Taostats_CSV!$X:$X,0)-1,0),IF(Taostats_CSV!F440="fee",IF(VALUE(Taostats_CSV!G440)&gt;0,Taostats_CSV!E440,""),""))</f>
        <v/>
      </c>
      <c r="D440" t="str">
        <f ca="1">IF(Q440,OFFSET(Taostats_CSV!$G$1,MATCH(K440&amp;D$1,Taostats_CSV!$X:$X,0)-1,0),IF(Taostats_CSV!F440="fee",IF(VALUE(Taostats_CSV!G440)&gt;0,Taostats_CSV!G440,""),""))</f>
        <v/>
      </c>
      <c r="E440" t="str">
        <f ca="1">IF(AND(Q440,P440&gt;0),OFFSET(Taostats_CSV!$E$1,MATCH(K440&amp;F$1,Taostats_CSV!$X:$X,0)-1,0),IF(LEN(F440)&gt;0,Taostats_CSV!E440,""))</f>
        <v>SN4</v>
      </c>
      <c r="F440" t="str">
        <f ca="1">TRIM(IF(AND(Q440,P440&gt;0),OFFSET(Taostats_CSV!$H$1,MATCH(K440&amp;F$1,Taostats_CSV!$X:$X,0)-1,0),IF(LEN(Taostats_CSV!H440)&gt;0,Taostats_CSV!H440,Taostats_CSV!R440)))</f>
        <v>0.45319687</v>
      </c>
      <c r="G440" t="str">
        <f ca="1">IF(AND(Q440,N440=1),OFFSET(Taostats_CSV!$E$1,MATCH(K440&amp;H$1,Taostats_CSV!$X:$X,0)-1,0),"")</f>
        <v/>
      </c>
      <c r="H440" t="str">
        <f ca="1">IF(AND(Q440,N440=1),OFFSET(Taostats_CSV!$G$1,MATCH(K440&amp;H$1,Taostats_CSV!$X:$X,0)-1,0),"")</f>
        <v/>
      </c>
      <c r="I440" t="str">
        <f ca="1">IF(AND(LEN(K440)=0,LEN(F440)&gt;0),"Income",IF(AND(O440&gt;0,P440&gt;0,C440&lt;&gt;E440),"Trade",IF(AND(NOT(Q440),Taostats_CSV!F440="fee"),'READ ME'!$C$5,"")))</f>
        <v>Income</v>
      </c>
      <c r="J440" t="str">
        <f ca="1">SUBSTITUTE(IF(LEN(I440)=0,Taostats_CSV!F440&amp;" "&amp;Taostats_CSV!J440,IF(I440="Cost","Extrinsic fee","")),"_"," ")</f>
        <v/>
      </c>
      <c r="K440" t="str">
        <f>TRIM(IF(LEN(Taostats_CSV!I440)&gt;0,Taostats_CSV!I440,""))</f>
        <v/>
      </c>
      <c r="L440">
        <f ca="1">IF(Taostats_CSV!E440&lt;&gt;"TAO",IF(LEN(F440)&gt;0,F440,IF(LEN(D440)&gt;0,D440,0))*Taostats_CSV!P440,"")</f>
        <v>15.639368960124482</v>
      </c>
      <c r="M440" t="str">
        <f t="shared" ca="1" si="51"/>
        <v>USD</v>
      </c>
      <c r="N440">
        <f>COUNTIF(Taostats_CSV!$X:$X,Taostats_CSV!$I440&amp;N$1)</f>
        <v>0</v>
      </c>
      <c r="O440">
        <f>COUNTIF(Taostats_CSV!$X:$X,Taostats_CSV!$I440&amp;O$1)</f>
        <v>0</v>
      </c>
      <c r="P440">
        <f>COUNTIF(Taostats_CSV!$X:$X,Taostats_CSV!$I440&amp;P$1)</f>
        <v>0</v>
      </c>
      <c r="Q440" t="b">
        <f t="shared" si="52"/>
        <v>0</v>
      </c>
      <c r="R440" t="b">
        <f>IF(LEN(K440)&gt;0,COUNTIF($K$3:K440,K440),FALSE)</f>
        <v>0</v>
      </c>
      <c r="S440" t="b">
        <f>IF(Taostats_CSV!A440=Taostats_CSV!$A$2,TRUE,Taostats_CSV!G440+Taostats_CSV!H440+Taostats_CSV!R440=0)</f>
        <v>0</v>
      </c>
      <c r="T440" t="b">
        <f t="shared" si="53"/>
        <v>1</v>
      </c>
      <c r="U440" t="b" cm="1">
        <f t="array" aca="1" ref="U440" ca="1">AND(T440,OR(O440-N440&gt;1,P440&gt;1,ISERROR(A440:P440)))</f>
        <v>0</v>
      </c>
      <c r="W440" t="e">
        <f>MATCH(K440&amp;$W$2,Taostats_CSV!$X$3:$X$1167,0)</f>
        <v>#N/A</v>
      </c>
      <c r="X440" t="e">
        <f t="shared" ca="1" si="48"/>
        <v>#VALUE!</v>
      </c>
      <c r="Y440">
        <f t="shared" ca="1" si="49"/>
        <v>0.45319686999999997</v>
      </c>
      <c r="Z440" t="e">
        <f t="shared" ca="1" si="50"/>
        <v>#VALUE!</v>
      </c>
    </row>
    <row r="441" spans="1:26" x14ac:dyDescent="0.4">
      <c r="A441" t="str">
        <f>MID(Taostats_CSV!C441,6,2)&amp;"/"&amp;MID(Taostats_CSV!C441,9,2)&amp;"/"&amp;LEFT(Taostats_CSV!C441,4)&amp;" "&amp;MID(Taostats_CSV!C441,12,8)</f>
        <v>06/08/2025 23:59:48</v>
      </c>
      <c r="C441" t="str">
        <f ca="1">IF(Q441,OFFSET(Taostats_CSV!$E$1,MATCH(K441&amp;D$1,Taostats_CSV!$X:$X,0)-1,0),IF(Taostats_CSV!F441="fee",IF(VALUE(Taostats_CSV!G441)&gt;0,Taostats_CSV!E441,""),""))</f>
        <v/>
      </c>
      <c r="D441" t="str">
        <f ca="1">IF(Q441,OFFSET(Taostats_CSV!$G$1,MATCH(K441&amp;D$1,Taostats_CSV!$X:$X,0)-1,0),IF(Taostats_CSV!F441="fee",IF(VALUE(Taostats_CSV!G441)&gt;0,Taostats_CSV!G441,""),""))</f>
        <v/>
      </c>
      <c r="E441" t="str">
        <f ca="1">IF(AND(Q441,P441&gt;0),OFFSET(Taostats_CSV!$E$1,MATCH(K441&amp;F$1,Taostats_CSV!$X:$X,0)-1,0),IF(LEN(F441)&gt;0,Taostats_CSV!E441,""))</f>
        <v>SN56</v>
      </c>
      <c r="F441" t="str">
        <f ca="1">TRIM(IF(AND(Q441,P441&gt;0),OFFSET(Taostats_CSV!$H$1,MATCH(K441&amp;F$1,Taostats_CSV!$X:$X,0)-1,0),IF(LEN(Taostats_CSV!H441)&gt;0,Taostats_CSV!H441,Taostats_CSV!R441)))</f>
        <v>0.24211777</v>
      </c>
      <c r="G441" t="str">
        <f ca="1">IF(AND(Q441,N441=1),OFFSET(Taostats_CSV!$E$1,MATCH(K441&amp;H$1,Taostats_CSV!$X:$X,0)-1,0),"")</f>
        <v/>
      </c>
      <c r="H441" t="str">
        <f ca="1">IF(AND(Q441,N441=1),OFFSET(Taostats_CSV!$G$1,MATCH(K441&amp;H$1,Taostats_CSV!$X:$X,0)-1,0),"")</f>
        <v/>
      </c>
      <c r="I441" t="str">
        <f ca="1">IF(AND(LEN(K441)=0,LEN(F441)&gt;0),"Income",IF(AND(O441&gt;0,P441&gt;0,C441&lt;&gt;E441),"Trade",IF(AND(NOT(Q441),Taostats_CSV!F441="fee"),'READ ME'!$C$5,"")))</f>
        <v>Income</v>
      </c>
      <c r="J441" t="str">
        <f ca="1">SUBSTITUTE(IF(LEN(I441)=0,Taostats_CSV!F441&amp;" "&amp;Taostats_CSV!J441,IF(I441="Cost","Extrinsic fee","")),"_"," ")</f>
        <v/>
      </c>
      <c r="K441" t="str">
        <f>TRIM(IF(LEN(Taostats_CSV!I441)&gt;0,Taostats_CSV!I441,""))</f>
        <v/>
      </c>
      <c r="L441">
        <f ca="1">IF(Taostats_CSV!E441&lt;&gt;"TAO",IF(LEN(F441)&gt;0,F441,IF(LEN(D441)&gt;0,D441,0))*Taostats_CSV!P441,"")</f>
        <v>8.3645913271912491</v>
      </c>
      <c r="M441" t="str">
        <f t="shared" ca="1" si="51"/>
        <v>USD</v>
      </c>
      <c r="N441">
        <f>COUNTIF(Taostats_CSV!$X:$X,Taostats_CSV!$I441&amp;N$1)</f>
        <v>0</v>
      </c>
      <c r="O441">
        <f>COUNTIF(Taostats_CSV!$X:$X,Taostats_CSV!$I441&amp;O$1)</f>
        <v>0</v>
      </c>
      <c r="P441">
        <f>COUNTIF(Taostats_CSV!$X:$X,Taostats_CSV!$I441&amp;P$1)</f>
        <v>0</v>
      </c>
      <c r="Q441" t="b">
        <f t="shared" si="52"/>
        <v>0</v>
      </c>
      <c r="R441" t="b">
        <f>IF(LEN(K441)&gt;0,COUNTIF($K$3:K441,K441),FALSE)</f>
        <v>0</v>
      </c>
      <c r="S441" t="b">
        <f>IF(Taostats_CSV!A441=Taostats_CSV!$A$2,TRUE,Taostats_CSV!G441+Taostats_CSV!H441+Taostats_CSV!R441=0)</f>
        <v>0</v>
      </c>
      <c r="T441" t="b">
        <f t="shared" si="53"/>
        <v>1</v>
      </c>
      <c r="U441" t="b" cm="1">
        <f t="array" aca="1" ref="U441" ca="1">AND(T441,OR(O441-N441&gt;1,P441&gt;1,ISERROR(A441:P441)))</f>
        <v>0</v>
      </c>
      <c r="W441" t="e">
        <f>MATCH(K441&amp;$W$2,Taostats_CSV!$X$3:$X$1167,0)</f>
        <v>#N/A</v>
      </c>
      <c r="X441" t="e">
        <f t="shared" ca="1" si="48"/>
        <v>#VALUE!</v>
      </c>
      <c r="Y441">
        <f t="shared" ca="1" si="49"/>
        <v>0.24211777000000001</v>
      </c>
      <c r="Z441" t="e">
        <f t="shared" ca="1" si="50"/>
        <v>#VALUE!</v>
      </c>
    </row>
    <row r="442" spans="1:26" x14ac:dyDescent="0.4">
      <c r="A442" t="str">
        <f>MID(Taostats_CSV!C442,6,2)&amp;"/"&amp;MID(Taostats_CSV!C442,9,2)&amp;"/"&amp;LEFT(Taostats_CSV!C442,4)&amp;" "&amp;MID(Taostats_CSV!C442,12,8)</f>
        <v>06/08/2025 23:59:48</v>
      </c>
      <c r="C442" t="str">
        <f ca="1">IF(Q442,OFFSET(Taostats_CSV!$E$1,MATCH(K442&amp;D$1,Taostats_CSV!$X:$X,0)-1,0),IF(Taostats_CSV!F442="fee",IF(VALUE(Taostats_CSV!G442)&gt;0,Taostats_CSV!E442,""),""))</f>
        <v/>
      </c>
      <c r="D442" t="str">
        <f ca="1">IF(Q442,OFFSET(Taostats_CSV!$G$1,MATCH(K442&amp;D$1,Taostats_CSV!$X:$X,0)-1,0),IF(Taostats_CSV!F442="fee",IF(VALUE(Taostats_CSV!G442)&gt;0,Taostats_CSV!G442,""),""))</f>
        <v/>
      </c>
      <c r="E442" t="str">
        <f ca="1">IF(AND(Q442,P442&gt;0),OFFSET(Taostats_CSV!$E$1,MATCH(K442&amp;F$1,Taostats_CSV!$X:$X,0)-1,0),IF(LEN(F442)&gt;0,Taostats_CSV!E442,""))</f>
        <v>SN64</v>
      </c>
      <c r="F442" t="str">
        <f ca="1">TRIM(IF(AND(Q442,P442&gt;0),OFFSET(Taostats_CSV!$H$1,MATCH(K442&amp;F$1,Taostats_CSV!$X:$X,0)-1,0),IF(LEN(Taostats_CSV!H442)&gt;0,Taostats_CSV!H442,Taostats_CSV!R442)))</f>
        <v>0.138065224</v>
      </c>
      <c r="G442" t="str">
        <f ca="1">IF(AND(Q442,N442=1),OFFSET(Taostats_CSV!$E$1,MATCH(K442&amp;H$1,Taostats_CSV!$X:$X,0)-1,0),"")</f>
        <v/>
      </c>
      <c r="H442" t="str">
        <f ca="1">IF(AND(Q442,N442=1),OFFSET(Taostats_CSV!$G$1,MATCH(K442&amp;H$1,Taostats_CSV!$X:$X,0)-1,0),"")</f>
        <v/>
      </c>
      <c r="I442" t="str">
        <f ca="1">IF(AND(LEN(K442)=0,LEN(F442)&gt;0),"Income",IF(AND(O442&gt;0,P442&gt;0,C442&lt;&gt;E442),"Trade",IF(AND(NOT(Q442),Taostats_CSV!F442="fee"),'READ ME'!$C$5,"")))</f>
        <v>Income</v>
      </c>
      <c r="J442" t="str">
        <f ca="1">SUBSTITUTE(IF(LEN(I442)=0,Taostats_CSV!F442&amp;" "&amp;Taostats_CSV!J442,IF(I442="Cost","Extrinsic fee","")),"_"," ")</f>
        <v/>
      </c>
      <c r="K442" t="str">
        <f>TRIM(IF(LEN(Taostats_CSV!I442)&gt;0,Taostats_CSV!I442,""))</f>
        <v/>
      </c>
      <c r="L442">
        <f ca="1">IF(Taostats_CSV!E442&lt;&gt;"TAO",IF(LEN(F442)&gt;0,F442,IF(LEN(D442)&gt;0,D442,0))*Taostats_CSV!P442,"")</f>
        <v>12.532418045800178</v>
      </c>
      <c r="M442" t="str">
        <f t="shared" ca="1" si="51"/>
        <v>USD</v>
      </c>
      <c r="N442">
        <f>COUNTIF(Taostats_CSV!$X:$X,Taostats_CSV!$I442&amp;N$1)</f>
        <v>0</v>
      </c>
      <c r="O442">
        <f>COUNTIF(Taostats_CSV!$X:$X,Taostats_CSV!$I442&amp;O$1)</f>
        <v>0</v>
      </c>
      <c r="P442">
        <f>COUNTIF(Taostats_CSV!$X:$X,Taostats_CSV!$I442&amp;P$1)</f>
        <v>0</v>
      </c>
      <c r="Q442" t="b">
        <f t="shared" si="52"/>
        <v>0</v>
      </c>
      <c r="R442" t="b">
        <f>IF(LEN(K442)&gt;0,COUNTIF($K$3:K442,K442),FALSE)</f>
        <v>0</v>
      </c>
      <c r="S442" t="b">
        <f>IF(Taostats_CSV!A442=Taostats_CSV!$A$2,TRUE,Taostats_CSV!G442+Taostats_CSV!H442+Taostats_CSV!R442=0)</f>
        <v>0</v>
      </c>
      <c r="T442" t="b">
        <f t="shared" si="53"/>
        <v>1</v>
      </c>
      <c r="U442" t="b" cm="1">
        <f t="array" aca="1" ref="U442" ca="1">AND(T442,OR(O442-N442&gt;1,P442&gt;1,ISERROR(A442:P442)))</f>
        <v>0</v>
      </c>
      <c r="W442" t="e">
        <f>MATCH(K442&amp;$W$2,Taostats_CSV!$X$3:$X$1167,0)</f>
        <v>#N/A</v>
      </c>
      <c r="X442" t="e">
        <f t="shared" ca="1" si="48"/>
        <v>#VALUE!</v>
      </c>
      <c r="Y442">
        <f t="shared" ca="1" si="49"/>
        <v>0.13806522399999999</v>
      </c>
      <c r="Z442" t="e">
        <f t="shared" ca="1" si="50"/>
        <v>#VALUE!</v>
      </c>
    </row>
    <row r="443" spans="1:26" hidden="1" x14ac:dyDescent="0.4">
      <c r="A443" t="str">
        <f>MID(Taostats_CSV!C443,6,2)&amp;"/"&amp;MID(Taostats_CSV!C443,9,2)&amp;"/"&amp;LEFT(Taostats_CSV!C443,4)&amp;" "&amp;MID(Taostats_CSV!C443,12,8)</f>
        <v>06/08/2025 23:59:48</v>
      </c>
      <c r="C443" t="str">
        <f ca="1">IF(Q443,OFFSET(Taostats_CSV!$E$1,MATCH(K443&amp;D$1,Taostats_CSV!$X:$X,0)-1,0),IF(Taostats_CSV!F443="fee","",IF(VALUE(Taostats_CSV!G443)&gt;0,Taostats_CSV!E443,"")))</f>
        <v/>
      </c>
      <c r="D443" t="str">
        <f ca="1">IF(Q443,OFFSET(Taostats_CSV!$G$1,MATCH(K443&amp;D$1,Taostats_CSV!$X:$X,0)-1,0),IF(Taostats_CSV!F443="fee","",IF(VALUE(Taostats_CSV!G443)&gt;0,Taostats_CSV!G443,"")))</f>
        <v/>
      </c>
      <c r="E443" t="str">
        <f ca="1">IF(AND(Q443,P443&gt;0),OFFSET(Taostats_CSV!$E$1,MATCH(K443&amp;F$1,Taostats_CSV!$X:$X,0)-1,0),IF(LEN(F443)&gt;0,Taostats_CSV!E443,""))</f>
        <v>TAO</v>
      </c>
      <c r="F443" t="str">
        <f ca="1">TRIM(IF(AND(Q443,P443&gt;0),OFFSET(Taostats_CSV!$H$1,MATCH(K443&amp;F$1,Taostats_CSV!$X:$X,0)-1,0),IF(LEN(Taostats_CSV!H443)&gt;0,Taostats_CSV!H443,Taostats_CSV!R443)))</f>
        <v>0</v>
      </c>
      <c r="G443" t="str">
        <f ca="1">IF(AND(Q443,N443=1),OFFSET(Taostats_CSV!$E$1,MATCH(K443&amp;H$1,Taostats_CSV!$X:$X,0)-1,0),IF(Taostats_CSV!F443="fee",Taostats_CSV!E443,""))</f>
        <v/>
      </c>
      <c r="H443" t="str">
        <f ca="1">IF(AND(Q443,N443=1),OFFSET(Taostats_CSV!$G$1,MATCH(K443&amp;H$1,Taostats_CSV!$X:$X,0)-1,0),IF(Taostats_CSV!F443="fee",Taostats_CSV!G443,""))</f>
        <v/>
      </c>
      <c r="I443" t="str">
        <f ca="1">IF(AND(LEN(K443)=0,LEN(F443)&gt;0),"Income",IF(AND(O443&gt;0,P443&gt;0,C443&lt;&gt;E443),"Trade",IF(AND(NOT(Q443),Taostats_CSV!F443="fee"),'READ ME'!$C$5,"")))</f>
        <v>Income</v>
      </c>
      <c r="J443" t="str">
        <f ca="1">SUBSTITUTE(IF(LEN(I443)=0,Taostats_CSV!F443&amp;" "&amp;Taostats_CSV!J443,IF(I443="Cost","Extrinsic fee","")),"_"," ")</f>
        <v/>
      </c>
      <c r="K443" t="str">
        <f>TRIM(IF(LEN(Taostats_CSV!I443)&gt;0,Taostats_CSV!I443,""))</f>
        <v/>
      </c>
      <c r="L443" t="str">
        <f>IF(Taostats_CSV!E443&lt;&gt;"TAO",IF(LEN(F443)&gt;0,F443,IF(LEN(D443)&gt;0,D443,0))*Taostats_CSV!P443,"")</f>
        <v/>
      </c>
      <c r="M443" t="str">
        <f t="shared" si="51"/>
        <v/>
      </c>
      <c r="N443">
        <f>COUNTIF(Taostats_CSV!$X:$X,Taostats_CSV!$I443&amp;N$1)</f>
        <v>0</v>
      </c>
      <c r="O443">
        <f>COUNTIF(Taostats_CSV!$X:$X,Taostats_CSV!$I443&amp;O$1)</f>
        <v>0</v>
      </c>
      <c r="P443">
        <f>COUNTIF(Taostats_CSV!$X:$X,Taostats_CSV!$I443&amp;P$1)</f>
        <v>0</v>
      </c>
      <c r="Q443" t="b">
        <f t="shared" si="52"/>
        <v>0</v>
      </c>
      <c r="R443" t="b">
        <f>IF(LEN(K443)&gt;0,COUNTIF($K$3:K443,K443),FALSE)</f>
        <v>0</v>
      </c>
      <c r="S443" t="b">
        <f>IF(Taostats_CSV!A443=Taostats_CSV!$A$2,TRUE,Taostats_CSV!G443+Taostats_CSV!H443+Taostats_CSV!R443=0)</f>
        <v>1</v>
      </c>
      <c r="T443" t="b">
        <f t="shared" si="53"/>
        <v>0</v>
      </c>
      <c r="U443" t="b" cm="1">
        <f t="array" aca="1" ref="U443" ca="1">AND(T443,OR(O443-N443&gt;1,P443&gt;1,ISERROR(A443:P443)))</f>
        <v>0</v>
      </c>
      <c r="W443" t="e">
        <f>MATCH(K443&amp;$W$2,Taostats_CSV!$X$3:$X$1167,0)</f>
        <v>#N/A</v>
      </c>
      <c r="X443" t="e">
        <f t="shared" ca="1" si="48"/>
        <v>#VALUE!</v>
      </c>
      <c r="Y443">
        <f t="shared" ca="1" si="49"/>
        <v>0</v>
      </c>
      <c r="Z443" t="e">
        <f t="shared" ca="1" si="50"/>
        <v>#VALUE!</v>
      </c>
    </row>
    <row r="444" spans="1:26" x14ac:dyDescent="0.4">
      <c r="A444" t="str">
        <f>MID(Taostats_CSV!C444,6,2)&amp;"/"&amp;MID(Taostats_CSV!C444,9,2)&amp;"/"&amp;LEFT(Taostats_CSV!C444,4)&amp;" "&amp;MID(Taostats_CSV!C444,12,8)</f>
        <v>06/09/2025 23:59:48</v>
      </c>
      <c r="C444" t="str">
        <f ca="1">IF(Q444,OFFSET(Taostats_CSV!$E$1,MATCH(K444&amp;D$1,Taostats_CSV!$X:$X,0)-1,0),IF(Taostats_CSV!F444="fee",IF(VALUE(Taostats_CSV!G444)&gt;0,Taostats_CSV!E444,""),""))</f>
        <v/>
      </c>
      <c r="D444" t="str">
        <f ca="1">IF(Q444,OFFSET(Taostats_CSV!$G$1,MATCH(K444&amp;D$1,Taostats_CSV!$X:$X,0)-1,0),IF(Taostats_CSV!F444="fee",IF(VALUE(Taostats_CSV!G444)&gt;0,Taostats_CSV!G444,""),""))</f>
        <v/>
      </c>
      <c r="E444" t="str">
        <f ca="1">IF(AND(Q444,P444&gt;0),OFFSET(Taostats_CSV!$E$1,MATCH(K444&amp;F$1,Taostats_CSV!$X:$X,0)-1,0),IF(LEN(F444)&gt;0,Taostats_CSV!E444,""))</f>
        <v>SN3</v>
      </c>
      <c r="F444" t="str">
        <f ca="1">TRIM(IF(AND(Q444,P444&gt;0),OFFSET(Taostats_CSV!$H$1,MATCH(K444&amp;F$1,Taostats_CSV!$X:$X,0)-1,0),IF(LEN(Taostats_CSV!H444)&gt;0,Taostats_CSV!H444,Taostats_CSV!R444)))</f>
        <v>0.401263845</v>
      </c>
      <c r="G444" t="str">
        <f ca="1">IF(AND(Q444,N444=1),OFFSET(Taostats_CSV!$E$1,MATCH(K444&amp;H$1,Taostats_CSV!$X:$X,0)-1,0),"")</f>
        <v/>
      </c>
      <c r="H444" t="str">
        <f ca="1">IF(AND(Q444,N444=1),OFFSET(Taostats_CSV!$G$1,MATCH(K444&amp;H$1,Taostats_CSV!$X:$X,0)-1,0),"")</f>
        <v/>
      </c>
      <c r="I444" t="str">
        <f ca="1">IF(AND(LEN(K444)=0,LEN(F444)&gt;0),"Income",IF(AND(O444&gt;0,P444&gt;0,C444&lt;&gt;E444),"Trade",IF(AND(NOT(Q444),Taostats_CSV!F444="fee"),'READ ME'!$C$5,"")))</f>
        <v>Income</v>
      </c>
      <c r="J444" t="str">
        <f ca="1">SUBSTITUTE(IF(LEN(I444)=0,Taostats_CSV!F444&amp;" "&amp;Taostats_CSV!J444,IF(I444="Cost","Extrinsic fee","")),"_"," ")</f>
        <v/>
      </c>
      <c r="K444" t="str">
        <f>TRIM(IF(LEN(Taostats_CSV!I444)&gt;0,Taostats_CSV!I444,""))</f>
        <v/>
      </c>
      <c r="L444">
        <f ca="1">IF(Taostats_CSV!E444&lt;&gt;"TAO",IF(LEN(F444)&gt;0,F444,IF(LEN(D444)&gt;0,D444,0))*Taostats_CSV!P444,"")</f>
        <v>17.204848826613937</v>
      </c>
      <c r="M444" t="str">
        <f t="shared" ca="1" si="51"/>
        <v>USD</v>
      </c>
      <c r="N444">
        <f>COUNTIF(Taostats_CSV!$X:$X,Taostats_CSV!$I444&amp;N$1)</f>
        <v>0</v>
      </c>
      <c r="O444">
        <f>COUNTIF(Taostats_CSV!$X:$X,Taostats_CSV!$I444&amp;O$1)</f>
        <v>0</v>
      </c>
      <c r="P444">
        <f>COUNTIF(Taostats_CSV!$X:$X,Taostats_CSV!$I444&amp;P$1)</f>
        <v>0</v>
      </c>
      <c r="Q444" t="b">
        <f t="shared" si="52"/>
        <v>0</v>
      </c>
      <c r="R444" t="b">
        <f>IF(LEN(K444)&gt;0,COUNTIF($K$3:K444,K444),FALSE)</f>
        <v>0</v>
      </c>
      <c r="S444" t="b">
        <f>IF(Taostats_CSV!A444=Taostats_CSV!$A$2,TRUE,Taostats_CSV!G444+Taostats_CSV!H444+Taostats_CSV!R444=0)</f>
        <v>0</v>
      </c>
      <c r="T444" t="b">
        <f t="shared" si="53"/>
        <v>1</v>
      </c>
      <c r="U444" t="b" cm="1">
        <f t="array" aca="1" ref="U444" ca="1">AND(T444,OR(O444-N444&gt;1,P444&gt;1,ISERROR(A444:P444)))</f>
        <v>0</v>
      </c>
      <c r="W444" t="e">
        <f>MATCH(K444&amp;$W$2,Taostats_CSV!$X$3:$X$1167,0)</f>
        <v>#N/A</v>
      </c>
      <c r="X444" t="e">
        <f t="shared" ca="1" si="48"/>
        <v>#VALUE!</v>
      </c>
      <c r="Y444">
        <f t="shared" ca="1" si="49"/>
        <v>0.40126384500000001</v>
      </c>
      <c r="Z444" t="e">
        <f t="shared" ca="1" si="50"/>
        <v>#VALUE!</v>
      </c>
    </row>
    <row r="445" spans="1:26" x14ac:dyDescent="0.4">
      <c r="A445" t="str">
        <f>MID(Taostats_CSV!C445,6,2)&amp;"/"&amp;MID(Taostats_CSV!C445,9,2)&amp;"/"&amp;LEFT(Taostats_CSV!C445,4)&amp;" "&amp;MID(Taostats_CSV!C445,12,8)</f>
        <v>06/09/2025 23:59:48</v>
      </c>
      <c r="C445" t="str">
        <f ca="1">IF(Q445,OFFSET(Taostats_CSV!$E$1,MATCH(K445&amp;D$1,Taostats_CSV!$X:$X,0)-1,0),IF(Taostats_CSV!F445="fee",IF(VALUE(Taostats_CSV!G445)&gt;0,Taostats_CSV!E445,""),""))</f>
        <v/>
      </c>
      <c r="D445" t="str">
        <f ca="1">IF(Q445,OFFSET(Taostats_CSV!$G$1,MATCH(K445&amp;D$1,Taostats_CSV!$X:$X,0)-1,0),IF(Taostats_CSV!F445="fee",IF(VALUE(Taostats_CSV!G445)&gt;0,Taostats_CSV!G445,""),""))</f>
        <v/>
      </c>
      <c r="E445" t="str">
        <f ca="1">IF(AND(Q445,P445&gt;0),OFFSET(Taostats_CSV!$E$1,MATCH(K445&amp;F$1,Taostats_CSV!$X:$X,0)-1,0),IF(LEN(F445)&gt;0,Taostats_CSV!E445,""))</f>
        <v>SN4</v>
      </c>
      <c r="F445" t="str">
        <f ca="1">TRIM(IF(AND(Q445,P445&gt;0),OFFSET(Taostats_CSV!$H$1,MATCH(K445&amp;F$1,Taostats_CSV!$X:$X,0)-1,0),IF(LEN(Taostats_CSV!H445)&gt;0,Taostats_CSV!H445,Taostats_CSV!R445)))</f>
        <v>0.456973797</v>
      </c>
      <c r="G445" t="str">
        <f ca="1">IF(AND(Q445,N445=1),OFFSET(Taostats_CSV!$E$1,MATCH(K445&amp;H$1,Taostats_CSV!$X:$X,0)-1,0),"")</f>
        <v/>
      </c>
      <c r="H445" t="str">
        <f ca="1">IF(AND(Q445,N445=1),OFFSET(Taostats_CSV!$G$1,MATCH(K445&amp;H$1,Taostats_CSV!$X:$X,0)-1,0),"")</f>
        <v/>
      </c>
      <c r="I445" t="str">
        <f ca="1">IF(AND(LEN(K445)=0,LEN(F445)&gt;0),"Income",IF(AND(O445&gt;0,P445&gt;0,C445&lt;&gt;E445),"Trade",IF(AND(NOT(Q445),Taostats_CSV!F445="fee"),'READ ME'!$C$5,"")))</f>
        <v>Income</v>
      </c>
      <c r="J445" t="str">
        <f ca="1">SUBSTITUTE(IF(LEN(I445)=0,Taostats_CSV!F445&amp;" "&amp;Taostats_CSV!J445,IF(I445="Cost","Extrinsic fee","")),"_"," ")</f>
        <v/>
      </c>
      <c r="K445" t="str">
        <f>TRIM(IF(LEN(Taostats_CSV!I445)&gt;0,Taostats_CSV!I445,""))</f>
        <v/>
      </c>
      <c r="L445">
        <f ca="1">IF(Taostats_CSV!E445&lt;&gt;"TAO",IF(LEN(F445)&gt;0,F445,IF(LEN(D445)&gt;0,D445,0))*Taostats_CSV!P445,"")</f>
        <v>17.161373549977288</v>
      </c>
      <c r="M445" t="str">
        <f t="shared" ca="1" si="51"/>
        <v>USD</v>
      </c>
      <c r="N445">
        <f>COUNTIF(Taostats_CSV!$X:$X,Taostats_CSV!$I445&amp;N$1)</f>
        <v>0</v>
      </c>
      <c r="O445">
        <f>COUNTIF(Taostats_CSV!$X:$X,Taostats_CSV!$I445&amp;O$1)</f>
        <v>0</v>
      </c>
      <c r="P445">
        <f>COUNTIF(Taostats_CSV!$X:$X,Taostats_CSV!$I445&amp;P$1)</f>
        <v>0</v>
      </c>
      <c r="Q445" t="b">
        <f t="shared" si="52"/>
        <v>0</v>
      </c>
      <c r="R445" t="b">
        <f>IF(LEN(K445)&gt;0,COUNTIF($K$3:K445,K445),FALSE)</f>
        <v>0</v>
      </c>
      <c r="S445" t="b">
        <f>IF(Taostats_CSV!A445=Taostats_CSV!$A$2,TRUE,Taostats_CSV!G445+Taostats_CSV!H445+Taostats_CSV!R445=0)</f>
        <v>0</v>
      </c>
      <c r="T445" t="b">
        <f t="shared" si="53"/>
        <v>1</v>
      </c>
      <c r="U445" t="b" cm="1">
        <f t="array" aca="1" ref="U445" ca="1">AND(T445,OR(O445-N445&gt;1,P445&gt;1,ISERROR(A445:P445)))</f>
        <v>0</v>
      </c>
      <c r="W445" t="e">
        <f>MATCH(K445&amp;$W$2,Taostats_CSV!$X$3:$X$1167,0)</f>
        <v>#N/A</v>
      </c>
      <c r="X445" t="e">
        <f t="shared" ca="1" si="48"/>
        <v>#VALUE!</v>
      </c>
      <c r="Y445">
        <f t="shared" ca="1" si="49"/>
        <v>0.45697379700000001</v>
      </c>
      <c r="Z445" t="e">
        <f t="shared" ca="1" si="50"/>
        <v>#VALUE!</v>
      </c>
    </row>
    <row r="446" spans="1:26" x14ac:dyDescent="0.4">
      <c r="A446" t="str">
        <f>MID(Taostats_CSV!C446,6,2)&amp;"/"&amp;MID(Taostats_CSV!C446,9,2)&amp;"/"&amp;LEFT(Taostats_CSV!C446,4)&amp;" "&amp;MID(Taostats_CSV!C446,12,8)</f>
        <v>06/09/2025 23:59:48</v>
      </c>
      <c r="C446" t="str">
        <f ca="1">IF(Q446,OFFSET(Taostats_CSV!$E$1,MATCH(K446&amp;D$1,Taostats_CSV!$X:$X,0)-1,0),IF(Taostats_CSV!F446="fee",IF(VALUE(Taostats_CSV!G446)&gt;0,Taostats_CSV!E446,""),""))</f>
        <v/>
      </c>
      <c r="D446" t="str">
        <f ca="1">IF(Q446,OFFSET(Taostats_CSV!$G$1,MATCH(K446&amp;D$1,Taostats_CSV!$X:$X,0)-1,0),IF(Taostats_CSV!F446="fee",IF(VALUE(Taostats_CSV!G446)&gt;0,Taostats_CSV!G446,""),""))</f>
        <v/>
      </c>
      <c r="E446" t="str">
        <f ca="1">IF(AND(Q446,P446&gt;0),OFFSET(Taostats_CSV!$E$1,MATCH(K446&amp;F$1,Taostats_CSV!$X:$X,0)-1,0),IF(LEN(F446)&gt;0,Taostats_CSV!E446,""))</f>
        <v>SN56</v>
      </c>
      <c r="F446" t="str">
        <f ca="1">TRIM(IF(AND(Q446,P446&gt;0),OFFSET(Taostats_CSV!$H$1,MATCH(K446&amp;F$1,Taostats_CSV!$X:$X,0)-1,0),IF(LEN(Taostats_CSV!H446)&gt;0,Taostats_CSV!H446,Taostats_CSV!R446)))</f>
        <v>0.244184853</v>
      </c>
      <c r="G446" t="str">
        <f ca="1">IF(AND(Q446,N446=1),OFFSET(Taostats_CSV!$E$1,MATCH(K446&amp;H$1,Taostats_CSV!$X:$X,0)-1,0),"")</f>
        <v/>
      </c>
      <c r="H446" t="str">
        <f ca="1">IF(AND(Q446,N446=1),OFFSET(Taostats_CSV!$G$1,MATCH(K446&amp;H$1,Taostats_CSV!$X:$X,0)-1,0),"")</f>
        <v/>
      </c>
      <c r="I446" t="str">
        <f ca="1">IF(AND(LEN(K446)=0,LEN(F446)&gt;0),"Income",IF(AND(O446&gt;0,P446&gt;0,C446&lt;&gt;E446),"Trade",IF(AND(NOT(Q446),Taostats_CSV!F446="fee"),'READ ME'!$C$5,"")))</f>
        <v>Income</v>
      </c>
      <c r="J446" t="str">
        <f ca="1">SUBSTITUTE(IF(LEN(I446)=0,Taostats_CSV!F446&amp;" "&amp;Taostats_CSV!J446,IF(I446="Cost","Extrinsic fee","")),"_"," ")</f>
        <v/>
      </c>
      <c r="K446" t="str">
        <f>TRIM(IF(LEN(Taostats_CSV!I446)&gt;0,Taostats_CSV!I446,""))</f>
        <v/>
      </c>
      <c r="L446">
        <f ca="1">IF(Taostats_CSV!E446&lt;&gt;"TAO",IF(LEN(F446)&gt;0,F446,IF(LEN(D446)&gt;0,D446,0))*Taostats_CSV!P446,"")</f>
        <v>9.2708906159509059</v>
      </c>
      <c r="M446" t="str">
        <f t="shared" ca="1" si="51"/>
        <v>USD</v>
      </c>
      <c r="N446">
        <f>COUNTIF(Taostats_CSV!$X:$X,Taostats_CSV!$I446&amp;N$1)</f>
        <v>0</v>
      </c>
      <c r="O446">
        <f>COUNTIF(Taostats_CSV!$X:$X,Taostats_CSV!$I446&amp;O$1)</f>
        <v>0</v>
      </c>
      <c r="P446">
        <f>COUNTIF(Taostats_CSV!$X:$X,Taostats_CSV!$I446&amp;P$1)</f>
        <v>0</v>
      </c>
      <c r="Q446" t="b">
        <f t="shared" si="52"/>
        <v>0</v>
      </c>
      <c r="R446" t="b">
        <f>IF(LEN(K446)&gt;0,COUNTIF($K$3:K446,K446),FALSE)</f>
        <v>0</v>
      </c>
      <c r="S446" t="b">
        <f>IF(Taostats_CSV!A446=Taostats_CSV!$A$2,TRUE,Taostats_CSV!G446+Taostats_CSV!H446+Taostats_CSV!R446=0)</f>
        <v>0</v>
      </c>
      <c r="T446" t="b">
        <f t="shared" si="53"/>
        <v>1</v>
      </c>
      <c r="U446" t="b" cm="1">
        <f t="array" aca="1" ref="U446" ca="1">AND(T446,OR(O446-N446&gt;1,P446&gt;1,ISERROR(A446:P446)))</f>
        <v>0</v>
      </c>
      <c r="W446" t="e">
        <f>MATCH(K446&amp;$W$2,Taostats_CSV!$X$3:$X$1167,0)</f>
        <v>#N/A</v>
      </c>
      <c r="X446" t="e">
        <f t="shared" ca="1" si="48"/>
        <v>#VALUE!</v>
      </c>
      <c r="Y446">
        <f t="shared" ca="1" si="49"/>
        <v>0.24418485300000001</v>
      </c>
      <c r="Z446" t="e">
        <f t="shared" ca="1" si="50"/>
        <v>#VALUE!</v>
      </c>
    </row>
    <row r="447" spans="1:26" x14ac:dyDescent="0.4">
      <c r="A447" t="str">
        <f>MID(Taostats_CSV!C447,6,2)&amp;"/"&amp;MID(Taostats_CSV!C447,9,2)&amp;"/"&amp;LEFT(Taostats_CSV!C447,4)&amp;" "&amp;MID(Taostats_CSV!C447,12,8)</f>
        <v>06/09/2025 23:59:48</v>
      </c>
      <c r="C447" t="str">
        <f ca="1">IF(Q447,OFFSET(Taostats_CSV!$E$1,MATCH(K447&amp;D$1,Taostats_CSV!$X:$X,0)-1,0),IF(Taostats_CSV!F447="fee",IF(VALUE(Taostats_CSV!G447)&gt;0,Taostats_CSV!E447,""),""))</f>
        <v/>
      </c>
      <c r="D447" t="str">
        <f ca="1">IF(Q447,OFFSET(Taostats_CSV!$G$1,MATCH(K447&amp;D$1,Taostats_CSV!$X:$X,0)-1,0),IF(Taostats_CSV!F447="fee",IF(VALUE(Taostats_CSV!G447)&gt;0,Taostats_CSV!G447,""),""))</f>
        <v/>
      </c>
      <c r="E447" t="str">
        <f ca="1">IF(AND(Q447,P447&gt;0),OFFSET(Taostats_CSV!$E$1,MATCH(K447&amp;F$1,Taostats_CSV!$X:$X,0)-1,0),IF(LEN(F447)&gt;0,Taostats_CSV!E447,""))</f>
        <v>SN64</v>
      </c>
      <c r="F447" t="str">
        <f ca="1">TRIM(IF(AND(Q447,P447&gt;0),OFFSET(Taostats_CSV!$H$1,MATCH(K447&amp;F$1,Taostats_CSV!$X:$X,0)-1,0),IF(LEN(Taostats_CSV!H447)&gt;0,Taostats_CSV!H447,Taostats_CSV!R447)))</f>
        <v>0.138427951</v>
      </c>
      <c r="G447" t="str">
        <f ca="1">IF(AND(Q447,N447=1),OFFSET(Taostats_CSV!$E$1,MATCH(K447&amp;H$1,Taostats_CSV!$X:$X,0)-1,0),"")</f>
        <v/>
      </c>
      <c r="H447" t="str">
        <f ca="1">IF(AND(Q447,N447=1),OFFSET(Taostats_CSV!$G$1,MATCH(K447&amp;H$1,Taostats_CSV!$X:$X,0)-1,0),"")</f>
        <v/>
      </c>
      <c r="I447" t="str">
        <f ca="1">IF(AND(LEN(K447)=0,LEN(F447)&gt;0),"Income",IF(AND(O447&gt;0,P447&gt;0,C447&lt;&gt;E447),"Trade",IF(AND(NOT(Q447),Taostats_CSV!F447="fee"),'READ ME'!$C$5,"")))</f>
        <v>Income</v>
      </c>
      <c r="J447" t="str">
        <f ca="1">SUBSTITUTE(IF(LEN(I447)=0,Taostats_CSV!F447&amp;" "&amp;Taostats_CSV!J447,IF(I447="Cost","Extrinsic fee","")),"_"," ")</f>
        <v/>
      </c>
      <c r="K447" t="str">
        <f>TRIM(IF(LEN(Taostats_CSV!I447)&gt;0,Taostats_CSV!I447,""))</f>
        <v/>
      </c>
      <c r="L447">
        <f ca="1">IF(Taostats_CSV!E447&lt;&gt;"TAO",IF(LEN(F447)&gt;0,F447,IF(LEN(D447)&gt;0,D447,0))*Taostats_CSV!P447,"")</f>
        <v>13.678442308992818</v>
      </c>
      <c r="M447" t="str">
        <f t="shared" ca="1" si="51"/>
        <v>USD</v>
      </c>
      <c r="N447">
        <f>COUNTIF(Taostats_CSV!$X:$X,Taostats_CSV!$I447&amp;N$1)</f>
        <v>0</v>
      </c>
      <c r="O447">
        <f>COUNTIF(Taostats_CSV!$X:$X,Taostats_CSV!$I447&amp;O$1)</f>
        <v>0</v>
      </c>
      <c r="P447">
        <f>COUNTIF(Taostats_CSV!$X:$X,Taostats_CSV!$I447&amp;P$1)</f>
        <v>0</v>
      </c>
      <c r="Q447" t="b">
        <f t="shared" si="52"/>
        <v>0</v>
      </c>
      <c r="R447" t="b">
        <f>IF(LEN(K447)&gt;0,COUNTIF($K$3:K447,K447),FALSE)</f>
        <v>0</v>
      </c>
      <c r="S447" t="b">
        <f>IF(Taostats_CSV!A447=Taostats_CSV!$A$2,TRUE,Taostats_CSV!G447+Taostats_CSV!H447+Taostats_CSV!R447=0)</f>
        <v>0</v>
      </c>
      <c r="T447" t="b">
        <f t="shared" si="53"/>
        <v>1</v>
      </c>
      <c r="U447" t="b" cm="1">
        <f t="array" aca="1" ref="U447" ca="1">AND(T447,OR(O447-N447&gt;1,P447&gt;1,ISERROR(A447:P447)))</f>
        <v>0</v>
      </c>
      <c r="W447" t="e">
        <f>MATCH(K447&amp;$W$2,Taostats_CSV!$X$3:$X$1167,0)</f>
        <v>#N/A</v>
      </c>
      <c r="X447" t="e">
        <f t="shared" ca="1" si="48"/>
        <v>#VALUE!</v>
      </c>
      <c r="Y447">
        <f t="shared" ca="1" si="49"/>
        <v>0.13842795099999999</v>
      </c>
      <c r="Z447" t="e">
        <f t="shared" ca="1" si="50"/>
        <v>#VALUE!</v>
      </c>
    </row>
    <row r="448" spans="1:26" hidden="1" x14ac:dyDescent="0.4">
      <c r="A448" t="str">
        <f>MID(Taostats_CSV!C448,6,2)&amp;"/"&amp;MID(Taostats_CSV!C448,9,2)&amp;"/"&amp;LEFT(Taostats_CSV!C448,4)&amp;" "&amp;MID(Taostats_CSV!C448,12,8)</f>
        <v>06/09/2025 23:59:48</v>
      </c>
      <c r="C448" t="str">
        <f ca="1">IF(Q448,OFFSET(Taostats_CSV!$E$1,MATCH(K448&amp;D$1,Taostats_CSV!$X:$X,0)-1,0),IF(Taostats_CSV!F448="fee","",IF(VALUE(Taostats_CSV!G448)&gt;0,Taostats_CSV!E448,"")))</f>
        <v/>
      </c>
      <c r="D448" t="str">
        <f ca="1">IF(Q448,OFFSET(Taostats_CSV!$G$1,MATCH(K448&amp;D$1,Taostats_CSV!$X:$X,0)-1,0),IF(Taostats_CSV!F448="fee","",IF(VALUE(Taostats_CSV!G448)&gt;0,Taostats_CSV!G448,"")))</f>
        <v/>
      </c>
      <c r="E448" t="str">
        <f ca="1">IF(AND(Q448,P448&gt;0),OFFSET(Taostats_CSV!$E$1,MATCH(K448&amp;F$1,Taostats_CSV!$X:$X,0)-1,0),IF(LEN(F448)&gt;0,Taostats_CSV!E448,""))</f>
        <v>TAO</v>
      </c>
      <c r="F448" t="str">
        <f ca="1">TRIM(IF(AND(Q448,P448&gt;0),OFFSET(Taostats_CSV!$H$1,MATCH(K448&amp;F$1,Taostats_CSV!$X:$X,0)-1,0),IF(LEN(Taostats_CSV!H448)&gt;0,Taostats_CSV!H448,Taostats_CSV!R448)))</f>
        <v>0</v>
      </c>
      <c r="G448" t="str">
        <f ca="1">IF(AND(Q448,N448=1),OFFSET(Taostats_CSV!$E$1,MATCH(K448&amp;H$1,Taostats_CSV!$X:$X,0)-1,0),IF(Taostats_CSV!F448="fee",Taostats_CSV!E448,""))</f>
        <v/>
      </c>
      <c r="H448" t="str">
        <f ca="1">IF(AND(Q448,N448=1),OFFSET(Taostats_CSV!$G$1,MATCH(K448&amp;H$1,Taostats_CSV!$X:$X,0)-1,0),IF(Taostats_CSV!F448="fee",Taostats_CSV!G448,""))</f>
        <v/>
      </c>
      <c r="I448" t="str">
        <f ca="1">IF(AND(LEN(K448)=0,LEN(F448)&gt;0),"Income",IF(AND(O448&gt;0,P448&gt;0,C448&lt;&gt;E448),"Trade",IF(AND(NOT(Q448),Taostats_CSV!F448="fee"),'READ ME'!$C$5,"")))</f>
        <v>Income</v>
      </c>
      <c r="J448" t="str">
        <f ca="1">SUBSTITUTE(IF(LEN(I448)=0,Taostats_CSV!F448&amp;" "&amp;Taostats_CSV!J448,IF(I448="Cost","Extrinsic fee","")),"_"," ")</f>
        <v/>
      </c>
      <c r="K448" t="str">
        <f>TRIM(IF(LEN(Taostats_CSV!I448)&gt;0,Taostats_CSV!I448,""))</f>
        <v/>
      </c>
      <c r="L448" t="str">
        <f>IF(Taostats_CSV!E448&lt;&gt;"TAO",IF(LEN(F448)&gt;0,F448,IF(LEN(D448)&gt;0,D448,0))*Taostats_CSV!P448,"")</f>
        <v/>
      </c>
      <c r="M448" t="str">
        <f t="shared" si="51"/>
        <v/>
      </c>
      <c r="N448">
        <f>COUNTIF(Taostats_CSV!$X:$X,Taostats_CSV!$I448&amp;N$1)</f>
        <v>0</v>
      </c>
      <c r="O448">
        <f>COUNTIF(Taostats_CSV!$X:$X,Taostats_CSV!$I448&amp;O$1)</f>
        <v>0</v>
      </c>
      <c r="P448">
        <f>COUNTIF(Taostats_CSV!$X:$X,Taostats_CSV!$I448&amp;P$1)</f>
        <v>0</v>
      </c>
      <c r="Q448" t="b">
        <f t="shared" si="52"/>
        <v>0</v>
      </c>
      <c r="R448" t="b">
        <f>IF(LEN(K448)&gt;0,COUNTIF($K$3:K448,K448),FALSE)</f>
        <v>0</v>
      </c>
      <c r="S448" t="b">
        <f>IF(Taostats_CSV!A448=Taostats_CSV!$A$2,TRUE,Taostats_CSV!G448+Taostats_CSV!H448+Taostats_CSV!R448=0)</f>
        <v>1</v>
      </c>
      <c r="T448" t="b">
        <f t="shared" si="53"/>
        <v>0</v>
      </c>
      <c r="U448" t="b" cm="1">
        <f t="array" aca="1" ref="U448" ca="1">AND(T448,OR(O448-N448&gt;1,P448&gt;1,ISERROR(A448:P448)))</f>
        <v>0</v>
      </c>
      <c r="W448" t="e">
        <f>MATCH(K448&amp;$W$2,Taostats_CSV!$X$3:$X$1167,0)</f>
        <v>#N/A</v>
      </c>
      <c r="X448" t="e">
        <f t="shared" ca="1" si="48"/>
        <v>#VALUE!</v>
      </c>
      <c r="Y448">
        <f t="shared" ca="1" si="49"/>
        <v>0</v>
      </c>
      <c r="Z448" t="e">
        <f t="shared" ca="1" si="50"/>
        <v>#VALUE!</v>
      </c>
    </row>
    <row r="449" spans="1:26" x14ac:dyDescent="0.4">
      <c r="A449" t="str">
        <f>MID(Taostats_CSV!C449,6,2)&amp;"/"&amp;MID(Taostats_CSV!C449,9,2)&amp;"/"&amp;LEFT(Taostats_CSV!C449,4)&amp;" "&amp;MID(Taostats_CSV!C449,12,8)</f>
        <v>06/10/2025 23:59:48</v>
      </c>
      <c r="C449" t="str">
        <f ca="1">IF(Q449,OFFSET(Taostats_CSV!$E$1,MATCH(K449&amp;D$1,Taostats_CSV!$X:$X,0)-1,0),IF(Taostats_CSV!F449="fee",IF(VALUE(Taostats_CSV!G449)&gt;0,Taostats_CSV!E449,""),""))</f>
        <v/>
      </c>
      <c r="D449" t="str">
        <f ca="1">IF(Q449,OFFSET(Taostats_CSV!$G$1,MATCH(K449&amp;D$1,Taostats_CSV!$X:$X,0)-1,0),IF(Taostats_CSV!F449="fee",IF(VALUE(Taostats_CSV!G449)&gt;0,Taostats_CSV!G449,""),""))</f>
        <v/>
      </c>
      <c r="E449" t="str">
        <f ca="1">IF(AND(Q449,P449&gt;0),OFFSET(Taostats_CSV!$E$1,MATCH(K449&amp;F$1,Taostats_CSV!$X:$X,0)-1,0),IF(LEN(F449)&gt;0,Taostats_CSV!E449,""))</f>
        <v>SN3</v>
      </c>
      <c r="F449" t="str">
        <f ca="1">TRIM(IF(AND(Q449,P449&gt;0),OFFSET(Taostats_CSV!$H$1,MATCH(K449&amp;F$1,Taostats_CSV!$X:$X,0)-1,0),IF(LEN(Taostats_CSV!H449)&gt;0,Taostats_CSV!H449,Taostats_CSV!R449)))</f>
        <v>0.400727271</v>
      </c>
      <c r="G449" t="str">
        <f ca="1">IF(AND(Q449,N449=1),OFFSET(Taostats_CSV!$E$1,MATCH(K449&amp;H$1,Taostats_CSV!$X:$X,0)-1,0),"")</f>
        <v/>
      </c>
      <c r="H449" t="str">
        <f ca="1">IF(AND(Q449,N449=1),OFFSET(Taostats_CSV!$G$1,MATCH(K449&amp;H$1,Taostats_CSV!$X:$X,0)-1,0),"")</f>
        <v/>
      </c>
      <c r="I449" t="str">
        <f ca="1">IF(AND(LEN(K449)=0,LEN(F449)&gt;0),"Income",IF(AND(O449&gt;0,P449&gt;0,C449&lt;&gt;E449),"Trade",IF(AND(NOT(Q449),Taostats_CSV!F449="fee"),'READ ME'!$C$5,"")))</f>
        <v>Income</v>
      </c>
      <c r="J449" t="str">
        <f ca="1">SUBSTITUTE(IF(LEN(I449)=0,Taostats_CSV!F449&amp;" "&amp;Taostats_CSV!J449,IF(I449="Cost","Extrinsic fee","")),"_"," ")</f>
        <v/>
      </c>
      <c r="K449" t="str">
        <f>TRIM(IF(LEN(Taostats_CSV!I449)&gt;0,Taostats_CSV!I449,""))</f>
        <v/>
      </c>
      <c r="L449">
        <f ca="1">IF(Taostats_CSV!E449&lt;&gt;"TAO",IF(LEN(F449)&gt;0,F449,IF(LEN(D449)&gt;0,D449,0))*Taostats_CSV!P449,"")</f>
        <v>15.822864720808186</v>
      </c>
      <c r="M449" t="str">
        <f t="shared" ca="1" si="51"/>
        <v>USD</v>
      </c>
      <c r="N449">
        <f>COUNTIF(Taostats_CSV!$X:$X,Taostats_CSV!$I449&amp;N$1)</f>
        <v>0</v>
      </c>
      <c r="O449">
        <f>COUNTIF(Taostats_CSV!$X:$X,Taostats_CSV!$I449&amp;O$1)</f>
        <v>0</v>
      </c>
      <c r="P449">
        <f>COUNTIF(Taostats_CSV!$X:$X,Taostats_CSV!$I449&amp;P$1)</f>
        <v>0</v>
      </c>
      <c r="Q449" t="b">
        <f t="shared" si="52"/>
        <v>0</v>
      </c>
      <c r="R449" t="b">
        <f>IF(LEN(K449)&gt;0,COUNTIF($K$3:K449,K449),FALSE)</f>
        <v>0</v>
      </c>
      <c r="S449" t="b">
        <f>IF(Taostats_CSV!A449=Taostats_CSV!$A$2,TRUE,Taostats_CSV!G449+Taostats_CSV!H449+Taostats_CSV!R449=0)</f>
        <v>0</v>
      </c>
      <c r="T449" t="b">
        <f t="shared" si="53"/>
        <v>1</v>
      </c>
      <c r="U449" t="b" cm="1">
        <f t="array" aca="1" ref="U449" ca="1">AND(T449,OR(O449-N449&gt;1,P449&gt;1,ISERROR(A449:P449)))</f>
        <v>0</v>
      </c>
      <c r="W449" t="e">
        <f>MATCH(K449&amp;$W$2,Taostats_CSV!$X$3:$X$1167,0)</f>
        <v>#N/A</v>
      </c>
      <c r="X449" t="e">
        <f t="shared" ca="1" si="48"/>
        <v>#VALUE!</v>
      </c>
      <c r="Y449">
        <f t="shared" ca="1" si="49"/>
        <v>0.400727271</v>
      </c>
      <c r="Z449" t="e">
        <f t="shared" ca="1" si="50"/>
        <v>#VALUE!</v>
      </c>
    </row>
    <row r="450" spans="1:26" x14ac:dyDescent="0.4">
      <c r="A450" t="str">
        <f>MID(Taostats_CSV!C450,6,2)&amp;"/"&amp;MID(Taostats_CSV!C450,9,2)&amp;"/"&amp;LEFT(Taostats_CSV!C450,4)&amp;" "&amp;MID(Taostats_CSV!C450,12,8)</f>
        <v>06/10/2025 23:59:48</v>
      </c>
      <c r="C450" t="str">
        <f ca="1">IF(Q450,OFFSET(Taostats_CSV!$E$1,MATCH(K450&amp;D$1,Taostats_CSV!$X:$X,0)-1,0),IF(Taostats_CSV!F450="fee",IF(VALUE(Taostats_CSV!G450)&gt;0,Taostats_CSV!E450,""),""))</f>
        <v/>
      </c>
      <c r="D450" t="str">
        <f ca="1">IF(Q450,OFFSET(Taostats_CSV!$G$1,MATCH(K450&amp;D$1,Taostats_CSV!$X:$X,0)-1,0),IF(Taostats_CSV!F450="fee",IF(VALUE(Taostats_CSV!G450)&gt;0,Taostats_CSV!G450,""),""))</f>
        <v/>
      </c>
      <c r="E450" t="str">
        <f ca="1">IF(AND(Q450,P450&gt;0),OFFSET(Taostats_CSV!$E$1,MATCH(K450&amp;F$1,Taostats_CSV!$X:$X,0)-1,0),IF(LEN(F450)&gt;0,Taostats_CSV!E450,""))</f>
        <v>SN4</v>
      </c>
      <c r="F450" t="str">
        <f ca="1">TRIM(IF(AND(Q450,P450&gt;0),OFFSET(Taostats_CSV!$H$1,MATCH(K450&amp;F$1,Taostats_CSV!$X:$X,0)-1,0),IF(LEN(Taostats_CSV!H450)&gt;0,Taostats_CSV!H450,Taostats_CSV!R450)))</f>
        <v>0.456400435</v>
      </c>
      <c r="G450" t="str">
        <f ca="1">IF(AND(Q450,N450=1),OFFSET(Taostats_CSV!$E$1,MATCH(K450&amp;H$1,Taostats_CSV!$X:$X,0)-1,0),"")</f>
        <v/>
      </c>
      <c r="H450" t="str">
        <f ca="1">IF(AND(Q450,N450=1),OFFSET(Taostats_CSV!$G$1,MATCH(K450&amp;H$1,Taostats_CSV!$X:$X,0)-1,0),"")</f>
        <v/>
      </c>
      <c r="I450" t="str">
        <f ca="1">IF(AND(LEN(K450)=0,LEN(F450)&gt;0),"Income",IF(AND(O450&gt;0,P450&gt;0,C450&lt;&gt;E450),"Trade",IF(AND(NOT(Q450),Taostats_CSV!F450="fee"),'READ ME'!$C$5,"")))</f>
        <v>Income</v>
      </c>
      <c r="J450" t="str">
        <f ca="1">SUBSTITUTE(IF(LEN(I450)=0,Taostats_CSV!F450&amp;" "&amp;Taostats_CSV!J450,IF(I450="Cost","Extrinsic fee","")),"_"," ")</f>
        <v/>
      </c>
      <c r="K450" t="str">
        <f>TRIM(IF(LEN(Taostats_CSV!I450)&gt;0,Taostats_CSV!I450,""))</f>
        <v/>
      </c>
      <c r="L450">
        <f ca="1">IF(Taostats_CSV!E450&lt;&gt;"TAO",IF(LEN(F450)&gt;0,F450,IF(LEN(D450)&gt;0,D450,0))*Taostats_CSV!P450,"")</f>
        <v>17.132155200580208</v>
      </c>
      <c r="M450" t="str">
        <f t="shared" ca="1" si="51"/>
        <v>USD</v>
      </c>
      <c r="N450">
        <f>COUNTIF(Taostats_CSV!$X:$X,Taostats_CSV!$I450&amp;N$1)</f>
        <v>0</v>
      </c>
      <c r="O450">
        <f>COUNTIF(Taostats_CSV!$X:$X,Taostats_CSV!$I450&amp;O$1)</f>
        <v>0</v>
      </c>
      <c r="P450">
        <f>COUNTIF(Taostats_CSV!$X:$X,Taostats_CSV!$I450&amp;P$1)</f>
        <v>0</v>
      </c>
      <c r="Q450" t="b">
        <f t="shared" si="52"/>
        <v>0</v>
      </c>
      <c r="R450" t="b">
        <f>IF(LEN(K450)&gt;0,COUNTIF($K$3:K450,K450),FALSE)</f>
        <v>0</v>
      </c>
      <c r="S450" t="b">
        <f>IF(Taostats_CSV!A450=Taostats_CSV!$A$2,TRUE,Taostats_CSV!G450+Taostats_CSV!H450+Taostats_CSV!R450=0)</f>
        <v>0</v>
      </c>
      <c r="T450" t="b">
        <f t="shared" si="53"/>
        <v>1</v>
      </c>
      <c r="U450" t="b" cm="1">
        <f t="array" aca="1" ref="U450" ca="1">AND(T450,OR(O450-N450&gt;1,P450&gt;1,ISERROR(A450:P450)))</f>
        <v>0</v>
      </c>
      <c r="W450" t="e">
        <f>MATCH(K450&amp;$W$2,Taostats_CSV!$X$3:$X$1167,0)</f>
        <v>#N/A</v>
      </c>
      <c r="X450" t="e">
        <f t="shared" ca="1" si="48"/>
        <v>#VALUE!</v>
      </c>
      <c r="Y450">
        <f t="shared" ca="1" si="49"/>
        <v>0.45640043499999999</v>
      </c>
      <c r="Z450" t="e">
        <f t="shared" ca="1" si="50"/>
        <v>#VALUE!</v>
      </c>
    </row>
    <row r="451" spans="1:26" x14ac:dyDescent="0.4">
      <c r="A451" t="str">
        <f>MID(Taostats_CSV!C451,6,2)&amp;"/"&amp;MID(Taostats_CSV!C451,9,2)&amp;"/"&amp;LEFT(Taostats_CSV!C451,4)&amp;" "&amp;MID(Taostats_CSV!C451,12,8)</f>
        <v>06/10/2025 23:59:48</v>
      </c>
      <c r="C451" t="str">
        <f ca="1">IF(Q451,OFFSET(Taostats_CSV!$E$1,MATCH(K451&amp;D$1,Taostats_CSV!$X:$X,0)-1,0),IF(Taostats_CSV!F451="fee",IF(VALUE(Taostats_CSV!G451)&gt;0,Taostats_CSV!E451,""),""))</f>
        <v/>
      </c>
      <c r="D451" t="str">
        <f ca="1">IF(Q451,OFFSET(Taostats_CSV!$G$1,MATCH(K451&amp;D$1,Taostats_CSV!$X:$X,0)-1,0),IF(Taostats_CSV!F451="fee",IF(VALUE(Taostats_CSV!G451)&gt;0,Taostats_CSV!G451,""),""))</f>
        <v/>
      </c>
      <c r="E451" t="str">
        <f ca="1">IF(AND(Q451,P451&gt;0),OFFSET(Taostats_CSV!$E$1,MATCH(K451&amp;F$1,Taostats_CSV!$X:$X,0)-1,0),IF(LEN(F451)&gt;0,Taostats_CSV!E451,""))</f>
        <v>SN56</v>
      </c>
      <c r="F451" t="str">
        <f ca="1">TRIM(IF(AND(Q451,P451&gt;0),OFFSET(Taostats_CSV!$H$1,MATCH(K451&amp;F$1,Taostats_CSV!$X:$X,0)-1,0),IF(LEN(Taostats_CSV!H451)&gt;0,Taostats_CSV!H451,Taostats_CSV!R451)))</f>
        <v>0.245448638</v>
      </c>
      <c r="G451" t="str">
        <f ca="1">IF(AND(Q451,N451=1),OFFSET(Taostats_CSV!$E$1,MATCH(K451&amp;H$1,Taostats_CSV!$X:$X,0)-1,0),"")</f>
        <v/>
      </c>
      <c r="H451" t="str">
        <f ca="1">IF(AND(Q451,N451=1),OFFSET(Taostats_CSV!$G$1,MATCH(K451&amp;H$1,Taostats_CSV!$X:$X,0)-1,0),"")</f>
        <v/>
      </c>
      <c r="I451" t="str">
        <f ca="1">IF(AND(LEN(K451)=0,LEN(F451)&gt;0),"Income",IF(AND(O451&gt;0,P451&gt;0,C451&lt;&gt;E451),"Trade",IF(AND(NOT(Q451),Taostats_CSV!F451="fee"),'READ ME'!$C$5,"")))</f>
        <v>Income</v>
      </c>
      <c r="J451" t="str">
        <f ca="1">SUBSTITUTE(IF(LEN(I451)=0,Taostats_CSV!F451&amp;" "&amp;Taostats_CSV!J451,IF(I451="Cost","Extrinsic fee","")),"_"," ")</f>
        <v/>
      </c>
      <c r="K451" t="str">
        <f>TRIM(IF(LEN(Taostats_CSV!I451)&gt;0,Taostats_CSV!I451,""))</f>
        <v/>
      </c>
      <c r="L451">
        <f ca="1">IF(Taostats_CSV!E451&lt;&gt;"TAO",IF(LEN(F451)&gt;0,F451,IF(LEN(D451)&gt;0,D451,0))*Taostats_CSV!P451,"")</f>
        <v>8.7617456112369769</v>
      </c>
      <c r="M451" t="str">
        <f t="shared" ca="1" si="51"/>
        <v>USD</v>
      </c>
      <c r="N451">
        <f>COUNTIF(Taostats_CSV!$X:$X,Taostats_CSV!$I451&amp;N$1)</f>
        <v>0</v>
      </c>
      <c r="O451">
        <f>COUNTIF(Taostats_CSV!$X:$X,Taostats_CSV!$I451&amp;O$1)</f>
        <v>0</v>
      </c>
      <c r="P451">
        <f>COUNTIF(Taostats_CSV!$X:$X,Taostats_CSV!$I451&amp;P$1)</f>
        <v>0</v>
      </c>
      <c r="Q451" t="b">
        <f t="shared" si="52"/>
        <v>0</v>
      </c>
      <c r="R451" t="b">
        <f>IF(LEN(K451)&gt;0,COUNTIF($K$3:K451,K451),FALSE)</f>
        <v>0</v>
      </c>
      <c r="S451" t="b">
        <f>IF(Taostats_CSV!A451=Taostats_CSV!$A$2,TRUE,Taostats_CSV!G451+Taostats_CSV!H451+Taostats_CSV!R451=0)</f>
        <v>0</v>
      </c>
      <c r="T451" t="b">
        <f t="shared" si="53"/>
        <v>1</v>
      </c>
      <c r="U451" t="b" cm="1">
        <f t="array" aca="1" ref="U451" ca="1">AND(T451,OR(O451-N451&gt;1,P451&gt;1,ISERROR(A451:P451)))</f>
        <v>0</v>
      </c>
      <c r="W451" t="e">
        <f>MATCH(K451&amp;$W$2,Taostats_CSV!$X$3:$X$1167,0)</f>
        <v>#N/A</v>
      </c>
      <c r="X451" t="e">
        <f t="shared" ref="X451:X514" ca="1" si="54">VALUE(D451)</f>
        <v>#VALUE!</v>
      </c>
      <c r="Y451">
        <f t="shared" ref="Y451:Y514" ca="1" si="55">VALUE(F451)</f>
        <v>0.245448638</v>
      </c>
      <c r="Z451" t="e">
        <f t="shared" ref="Z451:Z514" ca="1" si="56">VALUE(H451)</f>
        <v>#VALUE!</v>
      </c>
    </row>
    <row r="452" spans="1:26" x14ac:dyDescent="0.4">
      <c r="A452" t="str">
        <f>MID(Taostats_CSV!C452,6,2)&amp;"/"&amp;MID(Taostats_CSV!C452,9,2)&amp;"/"&amp;LEFT(Taostats_CSV!C452,4)&amp;" "&amp;MID(Taostats_CSV!C452,12,8)</f>
        <v>06/10/2025 23:59:48</v>
      </c>
      <c r="C452" t="str">
        <f ca="1">IF(Q452,OFFSET(Taostats_CSV!$E$1,MATCH(K452&amp;D$1,Taostats_CSV!$X:$X,0)-1,0),IF(Taostats_CSV!F452="fee",IF(VALUE(Taostats_CSV!G452)&gt;0,Taostats_CSV!E452,""),""))</f>
        <v/>
      </c>
      <c r="D452" t="str">
        <f ca="1">IF(Q452,OFFSET(Taostats_CSV!$G$1,MATCH(K452&amp;D$1,Taostats_CSV!$X:$X,0)-1,0),IF(Taostats_CSV!F452="fee",IF(VALUE(Taostats_CSV!G452)&gt;0,Taostats_CSV!G452,""),""))</f>
        <v/>
      </c>
      <c r="E452" t="str">
        <f ca="1">IF(AND(Q452,P452&gt;0),OFFSET(Taostats_CSV!$E$1,MATCH(K452&amp;F$1,Taostats_CSV!$X:$X,0)-1,0),IF(LEN(F452)&gt;0,Taostats_CSV!E452,""))</f>
        <v>SN64</v>
      </c>
      <c r="F452" t="str">
        <f ca="1">TRIM(IF(AND(Q452,P452&gt;0),OFFSET(Taostats_CSV!$H$1,MATCH(K452&amp;F$1,Taostats_CSV!$X:$X,0)-1,0),IF(LEN(Taostats_CSV!H452)&gt;0,Taostats_CSV!H452,Taostats_CSV!R452)))</f>
        <v>0.138484893</v>
      </c>
      <c r="G452" t="str">
        <f ca="1">IF(AND(Q452,N452=1),OFFSET(Taostats_CSV!$E$1,MATCH(K452&amp;H$1,Taostats_CSV!$X:$X,0)-1,0),"")</f>
        <v/>
      </c>
      <c r="H452" t="str">
        <f ca="1">IF(AND(Q452,N452=1),OFFSET(Taostats_CSV!$G$1,MATCH(K452&amp;H$1,Taostats_CSV!$X:$X,0)-1,0),"")</f>
        <v/>
      </c>
      <c r="I452" t="str">
        <f ca="1">IF(AND(LEN(K452)=0,LEN(F452)&gt;0),"Income",IF(AND(O452&gt;0,P452&gt;0,C452&lt;&gt;E452),"Trade",IF(AND(NOT(Q452),Taostats_CSV!F452="fee"),'READ ME'!$C$5,"")))</f>
        <v>Income</v>
      </c>
      <c r="J452" t="str">
        <f ca="1">SUBSTITUTE(IF(LEN(I452)=0,Taostats_CSV!F452&amp;" "&amp;Taostats_CSV!J452,IF(I452="Cost","Extrinsic fee","")),"_"," ")</f>
        <v/>
      </c>
      <c r="K452" t="str">
        <f>TRIM(IF(LEN(Taostats_CSV!I452)&gt;0,Taostats_CSV!I452,""))</f>
        <v/>
      </c>
      <c r="L452">
        <f ca="1">IF(Taostats_CSV!E452&lt;&gt;"TAO",IF(LEN(F452)&gt;0,F452,IF(LEN(D452)&gt;0,D452,0))*Taostats_CSV!P452,"")</f>
        <v>13.005689517229046</v>
      </c>
      <c r="M452" t="str">
        <f t="shared" ref="M452:M515" ca="1" si="57">IF(LEN(L452)&gt;0,"USD","")</f>
        <v>USD</v>
      </c>
      <c r="N452">
        <f>COUNTIF(Taostats_CSV!$X:$X,Taostats_CSV!$I452&amp;N$1)</f>
        <v>0</v>
      </c>
      <c r="O452">
        <f>COUNTIF(Taostats_CSV!$X:$X,Taostats_CSV!$I452&amp;O$1)</f>
        <v>0</v>
      </c>
      <c r="P452">
        <f>COUNTIF(Taostats_CSV!$X:$X,Taostats_CSV!$I452&amp;P$1)</f>
        <v>0</v>
      </c>
      <c r="Q452" t="b">
        <f t="shared" ref="Q452:Q515" si="58">AND(O452&lt;=1,N452&lt;=1,P452&lt;=1,O452+N452+P452&gt;=2)</f>
        <v>0</v>
      </c>
      <c r="R452" t="b">
        <f>IF(LEN(K452)&gt;0,COUNTIF($K$3:K452,K452),FALSE)</f>
        <v>0</v>
      </c>
      <c r="S452" t="b">
        <f>IF(Taostats_CSV!A452=Taostats_CSV!$A$2,TRUE,Taostats_CSV!G452+Taostats_CSV!H452+Taostats_CSV!R452=0)</f>
        <v>0</v>
      </c>
      <c r="T452" t="b">
        <f t="shared" ref="T452:T515" si="59">AND(NOT(S452),OR(NOT(Q452),R452=1))</f>
        <v>1</v>
      </c>
      <c r="U452" t="b" cm="1">
        <f t="array" aca="1" ref="U452" ca="1">AND(T452,OR(O452-N452&gt;1,P452&gt;1,ISERROR(A452:P452)))</f>
        <v>0</v>
      </c>
      <c r="W452" t="e">
        <f>MATCH(K452&amp;$W$2,Taostats_CSV!$X$3:$X$1167,0)</f>
        <v>#N/A</v>
      </c>
      <c r="X452" t="e">
        <f t="shared" ca="1" si="54"/>
        <v>#VALUE!</v>
      </c>
      <c r="Y452">
        <f t="shared" ca="1" si="55"/>
        <v>0.138484893</v>
      </c>
      <c r="Z452" t="e">
        <f t="shared" ca="1" si="56"/>
        <v>#VALUE!</v>
      </c>
    </row>
    <row r="453" spans="1:26" hidden="1" x14ac:dyDescent="0.4">
      <c r="A453" t="str">
        <f>MID(Taostats_CSV!C453,6,2)&amp;"/"&amp;MID(Taostats_CSV!C453,9,2)&amp;"/"&amp;LEFT(Taostats_CSV!C453,4)&amp;" "&amp;MID(Taostats_CSV!C453,12,8)</f>
        <v>06/10/2025 23:59:48</v>
      </c>
      <c r="C453" t="str">
        <f ca="1">IF(Q453,OFFSET(Taostats_CSV!$E$1,MATCH(K453&amp;D$1,Taostats_CSV!$X:$X,0)-1,0),IF(Taostats_CSV!F453="fee","",IF(VALUE(Taostats_CSV!G453)&gt;0,Taostats_CSV!E453,"")))</f>
        <v/>
      </c>
      <c r="D453" t="str">
        <f ca="1">IF(Q453,OFFSET(Taostats_CSV!$G$1,MATCH(K453&amp;D$1,Taostats_CSV!$X:$X,0)-1,0),IF(Taostats_CSV!F453="fee","",IF(VALUE(Taostats_CSV!G453)&gt;0,Taostats_CSV!G453,"")))</f>
        <v/>
      </c>
      <c r="E453" t="str">
        <f ca="1">IF(AND(Q453,P453&gt;0),OFFSET(Taostats_CSV!$E$1,MATCH(K453&amp;F$1,Taostats_CSV!$X:$X,0)-1,0),IF(LEN(F453)&gt;0,Taostats_CSV!E453,""))</f>
        <v>TAO</v>
      </c>
      <c r="F453" t="str">
        <f ca="1">TRIM(IF(AND(Q453,P453&gt;0),OFFSET(Taostats_CSV!$H$1,MATCH(K453&amp;F$1,Taostats_CSV!$X:$X,0)-1,0),IF(LEN(Taostats_CSV!H453)&gt;0,Taostats_CSV!H453,Taostats_CSV!R453)))</f>
        <v>0</v>
      </c>
      <c r="G453" t="str">
        <f ca="1">IF(AND(Q453,N453=1),OFFSET(Taostats_CSV!$E$1,MATCH(K453&amp;H$1,Taostats_CSV!$X:$X,0)-1,0),IF(Taostats_CSV!F453="fee",Taostats_CSV!E453,""))</f>
        <v/>
      </c>
      <c r="H453" t="str">
        <f ca="1">IF(AND(Q453,N453=1),OFFSET(Taostats_CSV!$G$1,MATCH(K453&amp;H$1,Taostats_CSV!$X:$X,0)-1,0),IF(Taostats_CSV!F453="fee",Taostats_CSV!G453,""))</f>
        <v/>
      </c>
      <c r="I453" t="str">
        <f ca="1">IF(AND(LEN(K453)=0,LEN(F453)&gt;0),"Income",IF(AND(O453&gt;0,P453&gt;0,C453&lt;&gt;E453),"Trade",IF(AND(NOT(Q453),Taostats_CSV!F453="fee"),'READ ME'!$C$5,"")))</f>
        <v>Income</v>
      </c>
      <c r="J453" t="str">
        <f ca="1">SUBSTITUTE(IF(LEN(I453)=0,Taostats_CSV!F453&amp;" "&amp;Taostats_CSV!J453,IF(I453="Cost","Extrinsic fee","")),"_"," ")</f>
        <v/>
      </c>
      <c r="K453" t="str">
        <f>TRIM(IF(LEN(Taostats_CSV!I453)&gt;0,Taostats_CSV!I453,""))</f>
        <v/>
      </c>
      <c r="L453" t="str">
        <f>IF(Taostats_CSV!E453&lt;&gt;"TAO",IF(LEN(F453)&gt;0,F453,IF(LEN(D453)&gt;0,D453,0))*Taostats_CSV!P453,"")</f>
        <v/>
      </c>
      <c r="M453" t="str">
        <f t="shared" si="57"/>
        <v/>
      </c>
      <c r="N453">
        <f>COUNTIF(Taostats_CSV!$X:$X,Taostats_CSV!$I453&amp;N$1)</f>
        <v>0</v>
      </c>
      <c r="O453">
        <f>COUNTIF(Taostats_CSV!$X:$X,Taostats_CSV!$I453&amp;O$1)</f>
        <v>0</v>
      </c>
      <c r="P453">
        <f>COUNTIF(Taostats_CSV!$X:$X,Taostats_CSV!$I453&amp;P$1)</f>
        <v>0</v>
      </c>
      <c r="Q453" t="b">
        <f t="shared" si="58"/>
        <v>0</v>
      </c>
      <c r="R453" t="b">
        <f>IF(LEN(K453)&gt;0,COUNTIF($K$3:K453,K453),FALSE)</f>
        <v>0</v>
      </c>
      <c r="S453" t="b">
        <f>IF(Taostats_CSV!A453=Taostats_CSV!$A$2,TRUE,Taostats_CSV!G453+Taostats_CSV!H453+Taostats_CSV!R453=0)</f>
        <v>1</v>
      </c>
      <c r="T453" t="b">
        <f t="shared" si="59"/>
        <v>0</v>
      </c>
      <c r="U453" t="b" cm="1">
        <f t="array" aca="1" ref="U453" ca="1">AND(T453,OR(O453-N453&gt;1,P453&gt;1,ISERROR(A453:P453)))</f>
        <v>0</v>
      </c>
      <c r="W453" t="e">
        <f>MATCH(K453&amp;$W$2,Taostats_CSV!$X$3:$X$1167,0)</f>
        <v>#N/A</v>
      </c>
      <c r="X453" t="e">
        <f t="shared" ca="1" si="54"/>
        <v>#VALUE!</v>
      </c>
      <c r="Y453">
        <f t="shared" ca="1" si="55"/>
        <v>0</v>
      </c>
      <c r="Z453" t="e">
        <f t="shared" ca="1" si="56"/>
        <v>#VALUE!</v>
      </c>
    </row>
    <row r="454" spans="1:26" x14ac:dyDescent="0.4">
      <c r="A454" t="str">
        <f>MID(Taostats_CSV!C454,6,2)&amp;"/"&amp;MID(Taostats_CSV!C454,9,2)&amp;"/"&amp;LEFT(Taostats_CSV!C454,4)&amp;" "&amp;MID(Taostats_CSV!C454,12,8)</f>
        <v>06/11/2025 23:59:48</v>
      </c>
      <c r="C454" t="str">
        <f ca="1">IF(Q454,OFFSET(Taostats_CSV!$E$1,MATCH(K454&amp;D$1,Taostats_CSV!$X:$X,0)-1,0),IF(Taostats_CSV!F454="fee",IF(VALUE(Taostats_CSV!G454)&gt;0,Taostats_CSV!E454,""),""))</f>
        <v/>
      </c>
      <c r="D454" t="str">
        <f ca="1">IF(Q454,OFFSET(Taostats_CSV!$G$1,MATCH(K454&amp;D$1,Taostats_CSV!$X:$X,0)-1,0),IF(Taostats_CSV!F454="fee",IF(VALUE(Taostats_CSV!G454)&gt;0,Taostats_CSV!G454,""),""))</f>
        <v/>
      </c>
      <c r="E454" t="str">
        <f ca="1">IF(AND(Q454,P454&gt;0),OFFSET(Taostats_CSV!$E$1,MATCH(K454&amp;F$1,Taostats_CSV!$X:$X,0)-1,0),IF(LEN(F454)&gt;0,Taostats_CSV!E454,""))</f>
        <v>SN3</v>
      </c>
      <c r="F454" t="str">
        <f ca="1">TRIM(IF(AND(Q454,P454&gt;0),OFFSET(Taostats_CSV!$H$1,MATCH(K454&amp;F$1,Taostats_CSV!$X:$X,0)-1,0),IF(LEN(Taostats_CSV!H454)&gt;0,Taostats_CSV!H454,Taostats_CSV!R454)))</f>
        <v>0.405522582</v>
      </c>
      <c r="G454" t="str">
        <f ca="1">IF(AND(Q454,N454=1),OFFSET(Taostats_CSV!$E$1,MATCH(K454&amp;H$1,Taostats_CSV!$X:$X,0)-1,0),"")</f>
        <v/>
      </c>
      <c r="H454" t="str">
        <f ca="1">IF(AND(Q454,N454=1),OFFSET(Taostats_CSV!$G$1,MATCH(K454&amp;H$1,Taostats_CSV!$X:$X,0)-1,0),"")</f>
        <v/>
      </c>
      <c r="I454" t="str">
        <f ca="1">IF(AND(LEN(K454)=0,LEN(F454)&gt;0),"Income",IF(AND(O454&gt;0,P454&gt;0,C454&lt;&gt;E454),"Trade",IF(AND(NOT(Q454),Taostats_CSV!F454="fee"),'READ ME'!$C$5,"")))</f>
        <v>Income</v>
      </c>
      <c r="J454" t="str">
        <f ca="1">SUBSTITUTE(IF(LEN(I454)=0,Taostats_CSV!F454&amp;" "&amp;Taostats_CSV!J454,IF(I454="Cost","Extrinsic fee","")),"_"," ")</f>
        <v/>
      </c>
      <c r="K454" t="str">
        <f>TRIM(IF(LEN(Taostats_CSV!I454)&gt;0,Taostats_CSV!I454,""))</f>
        <v/>
      </c>
      <c r="L454">
        <f ca="1">IF(Taostats_CSV!E454&lt;&gt;"TAO",IF(LEN(F454)&gt;0,F454,IF(LEN(D454)&gt;0,D454,0))*Taostats_CSV!P454,"")</f>
        <v>15.145234062905898</v>
      </c>
      <c r="M454" t="str">
        <f t="shared" ca="1" si="57"/>
        <v>USD</v>
      </c>
      <c r="N454">
        <f>COUNTIF(Taostats_CSV!$X:$X,Taostats_CSV!$I454&amp;N$1)</f>
        <v>0</v>
      </c>
      <c r="O454">
        <f>COUNTIF(Taostats_CSV!$X:$X,Taostats_CSV!$I454&amp;O$1)</f>
        <v>0</v>
      </c>
      <c r="P454">
        <f>COUNTIF(Taostats_CSV!$X:$X,Taostats_CSV!$I454&amp;P$1)</f>
        <v>0</v>
      </c>
      <c r="Q454" t="b">
        <f t="shared" si="58"/>
        <v>0</v>
      </c>
      <c r="R454" t="b">
        <f>IF(LEN(K454)&gt;0,COUNTIF($K$3:K454,K454),FALSE)</f>
        <v>0</v>
      </c>
      <c r="S454" t="b">
        <f>IF(Taostats_CSV!A454=Taostats_CSV!$A$2,TRUE,Taostats_CSV!G454+Taostats_CSV!H454+Taostats_CSV!R454=0)</f>
        <v>0</v>
      </c>
      <c r="T454" t="b">
        <f t="shared" si="59"/>
        <v>1</v>
      </c>
      <c r="U454" t="b" cm="1">
        <f t="array" aca="1" ref="U454" ca="1">AND(T454,OR(O454-N454&gt;1,P454&gt;1,ISERROR(A454:P454)))</f>
        <v>0</v>
      </c>
      <c r="W454" t="e">
        <f>MATCH(K454&amp;$W$2,Taostats_CSV!$X$3:$X$1167,0)</f>
        <v>#N/A</v>
      </c>
      <c r="X454" t="e">
        <f t="shared" ca="1" si="54"/>
        <v>#VALUE!</v>
      </c>
      <c r="Y454">
        <f t="shared" ca="1" si="55"/>
        <v>0.40552258200000002</v>
      </c>
      <c r="Z454" t="e">
        <f t="shared" ca="1" si="56"/>
        <v>#VALUE!</v>
      </c>
    </row>
    <row r="455" spans="1:26" x14ac:dyDescent="0.4">
      <c r="A455" t="str">
        <f>MID(Taostats_CSV!C455,6,2)&amp;"/"&amp;MID(Taostats_CSV!C455,9,2)&amp;"/"&amp;LEFT(Taostats_CSV!C455,4)&amp;" "&amp;MID(Taostats_CSV!C455,12,8)</f>
        <v>06/11/2025 23:59:48</v>
      </c>
      <c r="C455" t="str">
        <f ca="1">IF(Q455,OFFSET(Taostats_CSV!$E$1,MATCH(K455&amp;D$1,Taostats_CSV!$X:$X,0)-1,0),IF(Taostats_CSV!F455="fee",IF(VALUE(Taostats_CSV!G455)&gt;0,Taostats_CSV!E455,""),""))</f>
        <v/>
      </c>
      <c r="D455" t="str">
        <f ca="1">IF(Q455,OFFSET(Taostats_CSV!$G$1,MATCH(K455&amp;D$1,Taostats_CSV!$X:$X,0)-1,0),IF(Taostats_CSV!F455="fee",IF(VALUE(Taostats_CSV!G455)&gt;0,Taostats_CSV!G455,""),""))</f>
        <v/>
      </c>
      <c r="E455" t="str">
        <f ca="1">IF(AND(Q455,P455&gt;0),OFFSET(Taostats_CSV!$E$1,MATCH(K455&amp;F$1,Taostats_CSV!$X:$X,0)-1,0),IF(LEN(F455)&gt;0,Taostats_CSV!E455,""))</f>
        <v>SN4</v>
      </c>
      <c r="F455" t="str">
        <f ca="1">TRIM(IF(AND(Q455,P455&gt;0),OFFSET(Taostats_CSV!$H$1,MATCH(K455&amp;F$1,Taostats_CSV!$X:$X,0)-1,0),IF(LEN(Taostats_CSV!H455)&gt;0,Taostats_CSV!H455,Taostats_CSV!R455)))</f>
        <v>0.45654459</v>
      </c>
      <c r="G455" t="str">
        <f ca="1">IF(AND(Q455,N455=1),OFFSET(Taostats_CSV!$E$1,MATCH(K455&amp;H$1,Taostats_CSV!$X:$X,0)-1,0),"")</f>
        <v/>
      </c>
      <c r="H455" t="str">
        <f ca="1">IF(AND(Q455,N455=1),OFFSET(Taostats_CSV!$G$1,MATCH(K455&amp;H$1,Taostats_CSV!$X:$X,0)-1,0),"")</f>
        <v/>
      </c>
      <c r="I455" t="str">
        <f ca="1">IF(AND(LEN(K455)=0,LEN(F455)&gt;0),"Income",IF(AND(O455&gt;0,P455&gt;0,C455&lt;&gt;E455),"Trade",IF(AND(NOT(Q455),Taostats_CSV!F455="fee"),'READ ME'!$C$5,"")))</f>
        <v>Income</v>
      </c>
      <c r="J455" t="str">
        <f ca="1">SUBSTITUTE(IF(LEN(I455)=0,Taostats_CSV!F455&amp;" "&amp;Taostats_CSV!J455,IF(I455="Cost","Extrinsic fee","")),"_"," ")</f>
        <v/>
      </c>
      <c r="K455" t="str">
        <f>TRIM(IF(LEN(Taostats_CSV!I455)&gt;0,Taostats_CSV!I455,""))</f>
        <v/>
      </c>
      <c r="L455">
        <f ca="1">IF(Taostats_CSV!E455&lt;&gt;"TAO",IF(LEN(F455)&gt;0,F455,IF(LEN(D455)&gt;0,D455,0))*Taostats_CSV!P455,"")</f>
        <v>16.368842629783188</v>
      </c>
      <c r="M455" t="str">
        <f t="shared" ca="1" si="57"/>
        <v>USD</v>
      </c>
      <c r="N455">
        <f>COUNTIF(Taostats_CSV!$X:$X,Taostats_CSV!$I455&amp;N$1)</f>
        <v>0</v>
      </c>
      <c r="O455">
        <f>COUNTIF(Taostats_CSV!$X:$X,Taostats_CSV!$I455&amp;O$1)</f>
        <v>0</v>
      </c>
      <c r="P455">
        <f>COUNTIF(Taostats_CSV!$X:$X,Taostats_CSV!$I455&amp;P$1)</f>
        <v>0</v>
      </c>
      <c r="Q455" t="b">
        <f t="shared" si="58"/>
        <v>0</v>
      </c>
      <c r="R455" t="b">
        <f>IF(LEN(K455)&gt;0,COUNTIF($K$3:K455,K455),FALSE)</f>
        <v>0</v>
      </c>
      <c r="S455" t="b">
        <f>IF(Taostats_CSV!A455=Taostats_CSV!$A$2,TRUE,Taostats_CSV!G455+Taostats_CSV!H455+Taostats_CSV!R455=0)</f>
        <v>0</v>
      </c>
      <c r="T455" t="b">
        <f t="shared" si="59"/>
        <v>1</v>
      </c>
      <c r="U455" t="b" cm="1">
        <f t="array" aca="1" ref="U455" ca="1">AND(T455,OR(O455-N455&gt;1,P455&gt;1,ISERROR(A455:P455)))</f>
        <v>0</v>
      </c>
      <c r="W455" t="e">
        <f>MATCH(K455&amp;$W$2,Taostats_CSV!$X$3:$X$1167,0)</f>
        <v>#N/A</v>
      </c>
      <c r="X455" t="e">
        <f t="shared" ca="1" si="54"/>
        <v>#VALUE!</v>
      </c>
      <c r="Y455">
        <f t="shared" ca="1" si="55"/>
        <v>0.45654458999999997</v>
      </c>
      <c r="Z455" t="e">
        <f t="shared" ca="1" si="56"/>
        <v>#VALUE!</v>
      </c>
    </row>
    <row r="456" spans="1:26" x14ac:dyDescent="0.4">
      <c r="A456" t="str">
        <f>MID(Taostats_CSV!C456,6,2)&amp;"/"&amp;MID(Taostats_CSV!C456,9,2)&amp;"/"&amp;LEFT(Taostats_CSV!C456,4)&amp;" "&amp;MID(Taostats_CSV!C456,12,8)</f>
        <v>06/11/2025 23:59:48</v>
      </c>
      <c r="C456" t="str">
        <f ca="1">IF(Q456,OFFSET(Taostats_CSV!$E$1,MATCH(K456&amp;D$1,Taostats_CSV!$X:$X,0)-1,0),IF(Taostats_CSV!F456="fee",IF(VALUE(Taostats_CSV!G456)&gt;0,Taostats_CSV!E456,""),""))</f>
        <v/>
      </c>
      <c r="D456" t="str">
        <f ca="1">IF(Q456,OFFSET(Taostats_CSV!$G$1,MATCH(K456&amp;D$1,Taostats_CSV!$X:$X,0)-1,0),IF(Taostats_CSV!F456="fee",IF(VALUE(Taostats_CSV!G456)&gt;0,Taostats_CSV!G456,""),""))</f>
        <v/>
      </c>
      <c r="E456" t="str">
        <f ca="1">IF(AND(Q456,P456&gt;0),OFFSET(Taostats_CSV!$E$1,MATCH(K456&amp;F$1,Taostats_CSV!$X:$X,0)-1,0),IF(LEN(F456)&gt;0,Taostats_CSV!E456,""))</f>
        <v>SN56</v>
      </c>
      <c r="F456" t="str">
        <f ca="1">TRIM(IF(AND(Q456,P456&gt;0),OFFSET(Taostats_CSV!$H$1,MATCH(K456&amp;F$1,Taostats_CSV!$X:$X,0)-1,0),IF(LEN(Taostats_CSV!H456)&gt;0,Taostats_CSV!H456,Taostats_CSV!R456)))</f>
        <v>0.247238597</v>
      </c>
      <c r="G456" t="str">
        <f ca="1">IF(AND(Q456,N456=1),OFFSET(Taostats_CSV!$E$1,MATCH(K456&amp;H$1,Taostats_CSV!$X:$X,0)-1,0),"")</f>
        <v/>
      </c>
      <c r="H456" t="str">
        <f ca="1">IF(AND(Q456,N456=1),OFFSET(Taostats_CSV!$G$1,MATCH(K456&amp;H$1,Taostats_CSV!$X:$X,0)-1,0),"")</f>
        <v/>
      </c>
      <c r="I456" t="str">
        <f ca="1">IF(AND(LEN(K456)=0,LEN(F456)&gt;0),"Income",IF(AND(O456&gt;0,P456&gt;0,C456&lt;&gt;E456),"Trade",IF(AND(NOT(Q456),Taostats_CSV!F456="fee"),'READ ME'!$C$5,"")))</f>
        <v>Income</v>
      </c>
      <c r="J456" t="str">
        <f ca="1">SUBSTITUTE(IF(LEN(I456)=0,Taostats_CSV!F456&amp;" "&amp;Taostats_CSV!J456,IF(I456="Cost","Extrinsic fee","")),"_"," ")</f>
        <v/>
      </c>
      <c r="K456" t="str">
        <f>TRIM(IF(LEN(Taostats_CSV!I456)&gt;0,Taostats_CSV!I456,""))</f>
        <v/>
      </c>
      <c r="L456">
        <f ca="1">IF(Taostats_CSV!E456&lt;&gt;"TAO",IF(LEN(F456)&gt;0,F456,IF(LEN(D456)&gt;0,D456,0))*Taostats_CSV!P456,"")</f>
        <v>8.6600791012293197</v>
      </c>
      <c r="M456" t="str">
        <f t="shared" ca="1" si="57"/>
        <v>USD</v>
      </c>
      <c r="N456">
        <f>COUNTIF(Taostats_CSV!$X:$X,Taostats_CSV!$I456&amp;N$1)</f>
        <v>0</v>
      </c>
      <c r="O456">
        <f>COUNTIF(Taostats_CSV!$X:$X,Taostats_CSV!$I456&amp;O$1)</f>
        <v>0</v>
      </c>
      <c r="P456">
        <f>COUNTIF(Taostats_CSV!$X:$X,Taostats_CSV!$I456&amp;P$1)</f>
        <v>0</v>
      </c>
      <c r="Q456" t="b">
        <f t="shared" si="58"/>
        <v>0</v>
      </c>
      <c r="R456" t="b">
        <f>IF(LEN(K456)&gt;0,COUNTIF($K$3:K456,K456),FALSE)</f>
        <v>0</v>
      </c>
      <c r="S456" t="b">
        <f>IF(Taostats_CSV!A456=Taostats_CSV!$A$2,TRUE,Taostats_CSV!G456+Taostats_CSV!H456+Taostats_CSV!R456=0)</f>
        <v>0</v>
      </c>
      <c r="T456" t="b">
        <f t="shared" si="59"/>
        <v>1</v>
      </c>
      <c r="U456" t="b" cm="1">
        <f t="array" aca="1" ref="U456" ca="1">AND(T456,OR(O456-N456&gt;1,P456&gt;1,ISERROR(A456:P456)))</f>
        <v>0</v>
      </c>
      <c r="W456" t="e">
        <f>MATCH(K456&amp;$W$2,Taostats_CSV!$X$3:$X$1167,0)</f>
        <v>#N/A</v>
      </c>
      <c r="X456" t="e">
        <f t="shared" ca="1" si="54"/>
        <v>#VALUE!</v>
      </c>
      <c r="Y456">
        <f t="shared" ca="1" si="55"/>
        <v>0.247238597</v>
      </c>
      <c r="Z456" t="e">
        <f t="shared" ca="1" si="56"/>
        <v>#VALUE!</v>
      </c>
    </row>
    <row r="457" spans="1:26" x14ac:dyDescent="0.4">
      <c r="A457" t="str">
        <f>MID(Taostats_CSV!C457,6,2)&amp;"/"&amp;MID(Taostats_CSV!C457,9,2)&amp;"/"&amp;LEFT(Taostats_CSV!C457,4)&amp;" "&amp;MID(Taostats_CSV!C457,12,8)</f>
        <v>06/11/2025 23:59:48</v>
      </c>
      <c r="C457" t="str">
        <f ca="1">IF(Q457,OFFSET(Taostats_CSV!$E$1,MATCH(K457&amp;D$1,Taostats_CSV!$X:$X,0)-1,0),IF(Taostats_CSV!F457="fee",IF(VALUE(Taostats_CSV!G457)&gt;0,Taostats_CSV!E457,""),""))</f>
        <v/>
      </c>
      <c r="D457" t="str">
        <f ca="1">IF(Q457,OFFSET(Taostats_CSV!$G$1,MATCH(K457&amp;D$1,Taostats_CSV!$X:$X,0)-1,0),IF(Taostats_CSV!F457="fee",IF(VALUE(Taostats_CSV!G457)&gt;0,Taostats_CSV!G457,""),""))</f>
        <v/>
      </c>
      <c r="E457" t="str">
        <f ca="1">IF(AND(Q457,P457&gt;0),OFFSET(Taostats_CSV!$E$1,MATCH(K457&amp;F$1,Taostats_CSV!$X:$X,0)-1,0),IF(LEN(F457)&gt;0,Taostats_CSV!E457,""))</f>
        <v>SN64</v>
      </c>
      <c r="F457" t="str">
        <f ca="1">TRIM(IF(AND(Q457,P457&gt;0),OFFSET(Taostats_CSV!$H$1,MATCH(K457&amp;F$1,Taostats_CSV!$X:$X,0)-1,0),IF(LEN(Taostats_CSV!H457)&gt;0,Taostats_CSV!H457,Taostats_CSV!R457)))</f>
        <v>0.140496194</v>
      </c>
      <c r="G457" t="str">
        <f ca="1">IF(AND(Q457,N457=1),OFFSET(Taostats_CSV!$E$1,MATCH(K457&amp;H$1,Taostats_CSV!$X:$X,0)-1,0),"")</f>
        <v/>
      </c>
      <c r="H457" t="str">
        <f ca="1">IF(AND(Q457,N457=1),OFFSET(Taostats_CSV!$G$1,MATCH(K457&amp;H$1,Taostats_CSV!$X:$X,0)-1,0),"")</f>
        <v/>
      </c>
      <c r="I457" t="str">
        <f ca="1">IF(AND(LEN(K457)=0,LEN(F457)&gt;0),"Income",IF(AND(O457&gt;0,P457&gt;0,C457&lt;&gt;E457),"Trade",IF(AND(NOT(Q457),Taostats_CSV!F457="fee"),'READ ME'!$C$5,"")))</f>
        <v>Income</v>
      </c>
      <c r="J457" t="str">
        <f ca="1">SUBSTITUTE(IF(LEN(I457)=0,Taostats_CSV!F457&amp;" "&amp;Taostats_CSV!J457,IF(I457="Cost","Extrinsic fee","")),"_"," ")</f>
        <v/>
      </c>
      <c r="K457" t="str">
        <f>TRIM(IF(LEN(Taostats_CSV!I457)&gt;0,Taostats_CSV!I457,""))</f>
        <v/>
      </c>
      <c r="L457">
        <f ca="1">IF(Taostats_CSV!E457&lt;&gt;"TAO",IF(LEN(F457)&gt;0,F457,IF(LEN(D457)&gt;0,D457,0))*Taostats_CSV!P457,"")</f>
        <v>12.481864205218914</v>
      </c>
      <c r="M457" t="str">
        <f t="shared" ca="1" si="57"/>
        <v>USD</v>
      </c>
      <c r="N457">
        <f>COUNTIF(Taostats_CSV!$X:$X,Taostats_CSV!$I457&amp;N$1)</f>
        <v>0</v>
      </c>
      <c r="O457">
        <f>COUNTIF(Taostats_CSV!$X:$X,Taostats_CSV!$I457&amp;O$1)</f>
        <v>0</v>
      </c>
      <c r="P457">
        <f>COUNTIF(Taostats_CSV!$X:$X,Taostats_CSV!$I457&amp;P$1)</f>
        <v>0</v>
      </c>
      <c r="Q457" t="b">
        <f t="shared" si="58"/>
        <v>0</v>
      </c>
      <c r="R457" t="b">
        <f>IF(LEN(K457)&gt;0,COUNTIF($K$3:K457,K457),FALSE)</f>
        <v>0</v>
      </c>
      <c r="S457" t="b">
        <f>IF(Taostats_CSV!A457=Taostats_CSV!$A$2,TRUE,Taostats_CSV!G457+Taostats_CSV!H457+Taostats_CSV!R457=0)</f>
        <v>0</v>
      </c>
      <c r="T457" t="b">
        <f t="shared" si="59"/>
        <v>1</v>
      </c>
      <c r="U457" t="b" cm="1">
        <f t="array" aca="1" ref="U457" ca="1">AND(T457,OR(O457-N457&gt;1,P457&gt;1,ISERROR(A457:P457)))</f>
        <v>0</v>
      </c>
      <c r="W457" t="e">
        <f>MATCH(K457&amp;$W$2,Taostats_CSV!$X$3:$X$1167,0)</f>
        <v>#N/A</v>
      </c>
      <c r="X457" t="e">
        <f t="shared" ca="1" si="54"/>
        <v>#VALUE!</v>
      </c>
      <c r="Y457">
        <f t="shared" ca="1" si="55"/>
        <v>0.14049619399999999</v>
      </c>
      <c r="Z457" t="e">
        <f t="shared" ca="1" si="56"/>
        <v>#VALUE!</v>
      </c>
    </row>
    <row r="458" spans="1:26" hidden="1" x14ac:dyDescent="0.4">
      <c r="A458" t="str">
        <f>MID(Taostats_CSV!C458,6,2)&amp;"/"&amp;MID(Taostats_CSV!C458,9,2)&amp;"/"&amp;LEFT(Taostats_CSV!C458,4)&amp;" "&amp;MID(Taostats_CSV!C458,12,8)</f>
        <v>06/11/2025 23:59:48</v>
      </c>
      <c r="C458" t="str">
        <f ca="1">IF(Q458,OFFSET(Taostats_CSV!$E$1,MATCH(K458&amp;D$1,Taostats_CSV!$X:$X,0)-1,0),IF(Taostats_CSV!F458="fee","",IF(VALUE(Taostats_CSV!G458)&gt;0,Taostats_CSV!E458,"")))</f>
        <v/>
      </c>
      <c r="D458" t="str">
        <f ca="1">IF(Q458,OFFSET(Taostats_CSV!$G$1,MATCH(K458&amp;D$1,Taostats_CSV!$X:$X,0)-1,0),IF(Taostats_CSV!F458="fee","",IF(VALUE(Taostats_CSV!G458)&gt;0,Taostats_CSV!G458,"")))</f>
        <v/>
      </c>
      <c r="E458" t="str">
        <f ca="1">IF(AND(Q458,P458&gt;0),OFFSET(Taostats_CSV!$E$1,MATCH(K458&amp;F$1,Taostats_CSV!$X:$X,0)-1,0),IF(LEN(F458)&gt;0,Taostats_CSV!E458,""))</f>
        <v>TAO</v>
      </c>
      <c r="F458" t="str">
        <f ca="1">TRIM(IF(AND(Q458,P458&gt;0),OFFSET(Taostats_CSV!$H$1,MATCH(K458&amp;F$1,Taostats_CSV!$X:$X,0)-1,0),IF(LEN(Taostats_CSV!H458)&gt;0,Taostats_CSV!H458,Taostats_CSV!R458)))</f>
        <v>0</v>
      </c>
      <c r="G458" t="str">
        <f ca="1">IF(AND(Q458,N458=1),OFFSET(Taostats_CSV!$E$1,MATCH(K458&amp;H$1,Taostats_CSV!$X:$X,0)-1,0),IF(Taostats_CSV!F458="fee",Taostats_CSV!E458,""))</f>
        <v/>
      </c>
      <c r="H458" t="str">
        <f ca="1">IF(AND(Q458,N458=1),OFFSET(Taostats_CSV!$G$1,MATCH(K458&amp;H$1,Taostats_CSV!$X:$X,0)-1,0),IF(Taostats_CSV!F458="fee",Taostats_CSV!G458,""))</f>
        <v/>
      </c>
      <c r="I458" t="str">
        <f ca="1">IF(AND(LEN(K458)=0,LEN(F458)&gt;0),"Income",IF(AND(O458&gt;0,P458&gt;0,C458&lt;&gt;E458),"Trade",IF(AND(NOT(Q458),Taostats_CSV!F458="fee"),'READ ME'!$C$5,"")))</f>
        <v>Income</v>
      </c>
      <c r="J458" t="str">
        <f ca="1">SUBSTITUTE(IF(LEN(I458)=0,Taostats_CSV!F458&amp;" "&amp;Taostats_CSV!J458,IF(I458="Cost","Extrinsic fee","")),"_"," ")</f>
        <v/>
      </c>
      <c r="K458" t="str">
        <f>TRIM(IF(LEN(Taostats_CSV!I458)&gt;0,Taostats_CSV!I458,""))</f>
        <v/>
      </c>
      <c r="L458" t="str">
        <f>IF(Taostats_CSV!E458&lt;&gt;"TAO",IF(LEN(F458)&gt;0,F458,IF(LEN(D458)&gt;0,D458,0))*Taostats_CSV!P458,"")</f>
        <v/>
      </c>
      <c r="M458" t="str">
        <f t="shared" si="57"/>
        <v/>
      </c>
      <c r="N458">
        <f>COUNTIF(Taostats_CSV!$X:$X,Taostats_CSV!$I458&amp;N$1)</f>
        <v>0</v>
      </c>
      <c r="O458">
        <f>COUNTIF(Taostats_CSV!$X:$X,Taostats_CSV!$I458&amp;O$1)</f>
        <v>0</v>
      </c>
      <c r="P458">
        <f>COUNTIF(Taostats_CSV!$X:$X,Taostats_CSV!$I458&amp;P$1)</f>
        <v>0</v>
      </c>
      <c r="Q458" t="b">
        <f t="shared" si="58"/>
        <v>0</v>
      </c>
      <c r="R458" t="b">
        <f>IF(LEN(K458)&gt;0,COUNTIF($K$3:K458,K458),FALSE)</f>
        <v>0</v>
      </c>
      <c r="S458" t="b">
        <f>IF(Taostats_CSV!A458=Taostats_CSV!$A$2,TRUE,Taostats_CSV!G458+Taostats_CSV!H458+Taostats_CSV!R458=0)</f>
        <v>1</v>
      </c>
      <c r="T458" t="b">
        <f t="shared" si="59"/>
        <v>0</v>
      </c>
      <c r="U458" t="b" cm="1">
        <f t="array" aca="1" ref="U458" ca="1">AND(T458,OR(O458-N458&gt;1,P458&gt;1,ISERROR(A458:P458)))</f>
        <v>0</v>
      </c>
      <c r="W458" t="e">
        <f>MATCH(K458&amp;$W$2,Taostats_CSV!$X$3:$X$1167,0)</f>
        <v>#N/A</v>
      </c>
      <c r="X458" t="e">
        <f t="shared" ca="1" si="54"/>
        <v>#VALUE!</v>
      </c>
      <c r="Y458">
        <f t="shared" ca="1" si="55"/>
        <v>0</v>
      </c>
      <c r="Z458" t="e">
        <f t="shared" ca="1" si="56"/>
        <v>#VALUE!</v>
      </c>
    </row>
    <row r="459" spans="1:26" x14ac:dyDescent="0.4">
      <c r="A459" t="str">
        <f>MID(Taostats_CSV!C459,6,2)&amp;"/"&amp;MID(Taostats_CSV!C459,9,2)&amp;"/"&amp;LEFT(Taostats_CSV!C459,4)&amp;" "&amp;MID(Taostats_CSV!C459,12,8)</f>
        <v>06/12/2025 23:59:48</v>
      </c>
      <c r="C459" t="str">
        <f ca="1">IF(Q459,OFFSET(Taostats_CSV!$E$1,MATCH(K459&amp;D$1,Taostats_CSV!$X:$X,0)-1,0),IF(Taostats_CSV!F459="fee",IF(VALUE(Taostats_CSV!G459)&gt;0,Taostats_CSV!E459,""),""))</f>
        <v/>
      </c>
      <c r="D459" t="str">
        <f ca="1">IF(Q459,OFFSET(Taostats_CSV!$G$1,MATCH(K459&amp;D$1,Taostats_CSV!$X:$X,0)-1,0),IF(Taostats_CSV!F459="fee",IF(VALUE(Taostats_CSV!G459)&gt;0,Taostats_CSV!G459,""),""))</f>
        <v/>
      </c>
      <c r="E459" t="str">
        <f ca="1">IF(AND(Q459,P459&gt;0),OFFSET(Taostats_CSV!$E$1,MATCH(K459&amp;F$1,Taostats_CSV!$X:$X,0)-1,0),IF(LEN(F459)&gt;0,Taostats_CSV!E459,""))</f>
        <v>SN3</v>
      </c>
      <c r="F459" t="str">
        <f ca="1">TRIM(IF(AND(Q459,P459&gt;0),OFFSET(Taostats_CSV!$H$1,MATCH(K459&amp;F$1,Taostats_CSV!$X:$X,0)-1,0),IF(LEN(Taostats_CSV!H459)&gt;0,Taostats_CSV!H459,Taostats_CSV!R459)))</f>
        <v>0.40689362</v>
      </c>
      <c r="G459" t="str">
        <f ca="1">IF(AND(Q459,N459=1),OFFSET(Taostats_CSV!$E$1,MATCH(K459&amp;H$1,Taostats_CSV!$X:$X,0)-1,0),"")</f>
        <v/>
      </c>
      <c r="H459" t="str">
        <f ca="1">IF(AND(Q459,N459=1),OFFSET(Taostats_CSV!$G$1,MATCH(K459&amp;H$1,Taostats_CSV!$X:$X,0)-1,0),"")</f>
        <v/>
      </c>
      <c r="I459" t="str">
        <f ca="1">IF(AND(LEN(K459)=0,LEN(F459)&gt;0),"Income",IF(AND(O459&gt;0,P459&gt;0,C459&lt;&gt;E459),"Trade",IF(AND(NOT(Q459),Taostats_CSV!F459="fee"),'READ ME'!$C$5,"")))</f>
        <v>Income</v>
      </c>
      <c r="J459" t="str">
        <f ca="1">SUBSTITUTE(IF(LEN(I459)=0,Taostats_CSV!F459&amp;" "&amp;Taostats_CSV!J459,IF(I459="Cost","Extrinsic fee","")),"_"," ")</f>
        <v/>
      </c>
      <c r="K459" t="str">
        <f>TRIM(IF(LEN(Taostats_CSV!I459)&gt;0,Taostats_CSV!I459,""))</f>
        <v/>
      </c>
      <c r="L459">
        <f ca="1">IF(Taostats_CSV!E459&lt;&gt;"TAO",IF(LEN(F459)&gt;0,F459,IF(LEN(D459)&gt;0,D459,0))*Taostats_CSV!P459,"")</f>
        <v>14.311116234525848</v>
      </c>
      <c r="M459" t="str">
        <f t="shared" ca="1" si="57"/>
        <v>USD</v>
      </c>
      <c r="N459">
        <f>COUNTIF(Taostats_CSV!$X:$X,Taostats_CSV!$I459&amp;N$1)</f>
        <v>0</v>
      </c>
      <c r="O459">
        <f>COUNTIF(Taostats_CSV!$X:$X,Taostats_CSV!$I459&amp;O$1)</f>
        <v>0</v>
      </c>
      <c r="P459">
        <f>COUNTIF(Taostats_CSV!$X:$X,Taostats_CSV!$I459&amp;P$1)</f>
        <v>0</v>
      </c>
      <c r="Q459" t="b">
        <f t="shared" si="58"/>
        <v>0</v>
      </c>
      <c r="R459" t="b">
        <f>IF(LEN(K459)&gt;0,COUNTIF($K$3:K459,K459),FALSE)</f>
        <v>0</v>
      </c>
      <c r="S459" t="b">
        <f>IF(Taostats_CSV!A459=Taostats_CSV!$A$2,TRUE,Taostats_CSV!G459+Taostats_CSV!H459+Taostats_CSV!R459=0)</f>
        <v>0</v>
      </c>
      <c r="T459" t="b">
        <f t="shared" si="59"/>
        <v>1</v>
      </c>
      <c r="U459" t="b" cm="1">
        <f t="array" aca="1" ref="U459" ca="1">AND(T459,OR(O459-N459&gt;1,P459&gt;1,ISERROR(A459:P459)))</f>
        <v>0</v>
      </c>
      <c r="W459" t="e">
        <f>MATCH(K459&amp;$W$2,Taostats_CSV!$X$3:$X$1167,0)</f>
        <v>#N/A</v>
      </c>
      <c r="X459" t="e">
        <f t="shared" ca="1" si="54"/>
        <v>#VALUE!</v>
      </c>
      <c r="Y459">
        <f t="shared" ca="1" si="55"/>
        <v>0.40689362000000001</v>
      </c>
      <c r="Z459" t="e">
        <f t="shared" ca="1" si="56"/>
        <v>#VALUE!</v>
      </c>
    </row>
    <row r="460" spans="1:26" x14ac:dyDescent="0.4">
      <c r="A460" t="str">
        <f>MID(Taostats_CSV!C460,6,2)&amp;"/"&amp;MID(Taostats_CSV!C460,9,2)&amp;"/"&amp;LEFT(Taostats_CSV!C460,4)&amp;" "&amp;MID(Taostats_CSV!C460,12,8)</f>
        <v>06/12/2025 23:59:48</v>
      </c>
      <c r="C460" t="str">
        <f ca="1">IF(Q460,OFFSET(Taostats_CSV!$E$1,MATCH(K460&amp;D$1,Taostats_CSV!$X:$X,0)-1,0),IF(Taostats_CSV!F460="fee",IF(VALUE(Taostats_CSV!G460)&gt;0,Taostats_CSV!E460,""),""))</f>
        <v/>
      </c>
      <c r="D460" t="str">
        <f ca="1">IF(Q460,OFFSET(Taostats_CSV!$G$1,MATCH(K460&amp;D$1,Taostats_CSV!$X:$X,0)-1,0),IF(Taostats_CSV!F460="fee",IF(VALUE(Taostats_CSV!G460)&gt;0,Taostats_CSV!G460,""),""))</f>
        <v/>
      </c>
      <c r="E460" t="str">
        <f ca="1">IF(AND(Q460,P460&gt;0),OFFSET(Taostats_CSV!$E$1,MATCH(K460&amp;F$1,Taostats_CSV!$X:$X,0)-1,0),IF(LEN(F460)&gt;0,Taostats_CSV!E460,""))</f>
        <v>SN4</v>
      </c>
      <c r="F460" t="str">
        <f ca="1">TRIM(IF(AND(Q460,P460&gt;0),OFFSET(Taostats_CSV!$H$1,MATCH(K460&amp;F$1,Taostats_CSV!$X:$X,0)-1,0),IF(LEN(Taostats_CSV!H460)&gt;0,Taostats_CSV!H460,Taostats_CSV!R460)))</f>
        <v>0.456976756</v>
      </c>
      <c r="G460" t="str">
        <f ca="1">IF(AND(Q460,N460=1),OFFSET(Taostats_CSV!$E$1,MATCH(K460&amp;H$1,Taostats_CSV!$X:$X,0)-1,0),"")</f>
        <v/>
      </c>
      <c r="H460" t="str">
        <f ca="1">IF(AND(Q460,N460=1),OFFSET(Taostats_CSV!$G$1,MATCH(K460&amp;H$1,Taostats_CSV!$X:$X,0)-1,0),"")</f>
        <v/>
      </c>
      <c r="I460" t="str">
        <f ca="1">IF(AND(LEN(K460)=0,LEN(F460)&gt;0),"Income",IF(AND(O460&gt;0,P460&gt;0,C460&lt;&gt;E460),"Trade",IF(AND(NOT(Q460),Taostats_CSV!F460="fee"),'READ ME'!$C$5,"")))</f>
        <v>Income</v>
      </c>
      <c r="J460" t="str">
        <f ca="1">SUBSTITUTE(IF(LEN(I460)=0,Taostats_CSV!F460&amp;" "&amp;Taostats_CSV!J460,IF(I460="Cost","Extrinsic fee","")),"_"," ")</f>
        <v/>
      </c>
      <c r="K460" t="str">
        <f>TRIM(IF(LEN(Taostats_CSV!I460)&gt;0,Taostats_CSV!I460,""))</f>
        <v/>
      </c>
      <c r="L460">
        <f ca="1">IF(Taostats_CSV!E460&lt;&gt;"TAO",IF(LEN(F460)&gt;0,F460,IF(LEN(D460)&gt;0,D460,0))*Taostats_CSV!P460,"")</f>
        <v>15.198825975481947</v>
      </c>
      <c r="M460" t="str">
        <f t="shared" ca="1" si="57"/>
        <v>USD</v>
      </c>
      <c r="N460">
        <f>COUNTIF(Taostats_CSV!$X:$X,Taostats_CSV!$I460&amp;N$1)</f>
        <v>0</v>
      </c>
      <c r="O460">
        <f>COUNTIF(Taostats_CSV!$X:$X,Taostats_CSV!$I460&amp;O$1)</f>
        <v>0</v>
      </c>
      <c r="P460">
        <f>COUNTIF(Taostats_CSV!$X:$X,Taostats_CSV!$I460&amp;P$1)</f>
        <v>0</v>
      </c>
      <c r="Q460" t="b">
        <f t="shared" si="58"/>
        <v>0</v>
      </c>
      <c r="R460" t="b">
        <f>IF(LEN(K460)&gt;0,COUNTIF($K$3:K460,K460),FALSE)</f>
        <v>0</v>
      </c>
      <c r="S460" t="b">
        <f>IF(Taostats_CSV!A460=Taostats_CSV!$A$2,TRUE,Taostats_CSV!G460+Taostats_CSV!H460+Taostats_CSV!R460=0)</f>
        <v>0</v>
      </c>
      <c r="T460" t="b">
        <f t="shared" si="59"/>
        <v>1</v>
      </c>
      <c r="U460" t="b" cm="1">
        <f t="array" aca="1" ref="U460" ca="1">AND(T460,OR(O460-N460&gt;1,P460&gt;1,ISERROR(A460:P460)))</f>
        <v>0</v>
      </c>
      <c r="W460" t="e">
        <f>MATCH(K460&amp;$W$2,Taostats_CSV!$X$3:$X$1167,0)</f>
        <v>#N/A</v>
      </c>
      <c r="X460" t="e">
        <f t="shared" ca="1" si="54"/>
        <v>#VALUE!</v>
      </c>
      <c r="Y460">
        <f t="shared" ca="1" si="55"/>
        <v>0.45697675599999998</v>
      </c>
      <c r="Z460" t="e">
        <f t="shared" ca="1" si="56"/>
        <v>#VALUE!</v>
      </c>
    </row>
    <row r="461" spans="1:26" x14ac:dyDescent="0.4">
      <c r="A461" t="str">
        <f>MID(Taostats_CSV!C461,6,2)&amp;"/"&amp;MID(Taostats_CSV!C461,9,2)&amp;"/"&amp;LEFT(Taostats_CSV!C461,4)&amp;" "&amp;MID(Taostats_CSV!C461,12,8)</f>
        <v>06/12/2025 23:59:48</v>
      </c>
      <c r="C461" t="str">
        <f ca="1">IF(Q461,OFFSET(Taostats_CSV!$E$1,MATCH(K461&amp;D$1,Taostats_CSV!$X:$X,0)-1,0),IF(Taostats_CSV!F461="fee",IF(VALUE(Taostats_CSV!G461)&gt;0,Taostats_CSV!E461,""),""))</f>
        <v/>
      </c>
      <c r="D461" t="str">
        <f ca="1">IF(Q461,OFFSET(Taostats_CSV!$G$1,MATCH(K461&amp;D$1,Taostats_CSV!$X:$X,0)-1,0),IF(Taostats_CSV!F461="fee",IF(VALUE(Taostats_CSV!G461)&gt;0,Taostats_CSV!G461,""),""))</f>
        <v/>
      </c>
      <c r="E461" t="str">
        <f ca="1">IF(AND(Q461,P461&gt;0),OFFSET(Taostats_CSV!$E$1,MATCH(K461&amp;F$1,Taostats_CSV!$X:$X,0)-1,0),IF(LEN(F461)&gt;0,Taostats_CSV!E461,""))</f>
        <v>SN56</v>
      </c>
      <c r="F461" t="str">
        <f ca="1">TRIM(IF(AND(Q461,P461&gt;0),OFFSET(Taostats_CSV!$H$1,MATCH(K461&amp;F$1,Taostats_CSV!$X:$X,0)-1,0),IF(LEN(Taostats_CSV!H461)&gt;0,Taostats_CSV!H461,Taostats_CSV!R461)))</f>
        <v>0.245821627</v>
      </c>
      <c r="G461" t="str">
        <f ca="1">IF(AND(Q461,N461=1),OFFSET(Taostats_CSV!$E$1,MATCH(K461&amp;H$1,Taostats_CSV!$X:$X,0)-1,0),"")</f>
        <v/>
      </c>
      <c r="H461" t="str">
        <f ca="1">IF(AND(Q461,N461=1),OFFSET(Taostats_CSV!$G$1,MATCH(K461&amp;H$1,Taostats_CSV!$X:$X,0)-1,0),"")</f>
        <v/>
      </c>
      <c r="I461" t="str">
        <f ca="1">IF(AND(LEN(K461)=0,LEN(F461)&gt;0),"Income",IF(AND(O461&gt;0,P461&gt;0,C461&lt;&gt;E461),"Trade",IF(AND(NOT(Q461),Taostats_CSV!F461="fee"),'READ ME'!$C$5,"")))</f>
        <v>Income</v>
      </c>
      <c r="J461" t="str">
        <f ca="1">SUBSTITUTE(IF(LEN(I461)=0,Taostats_CSV!F461&amp;" "&amp;Taostats_CSV!J461,IF(I461="Cost","Extrinsic fee","")),"_"," ")</f>
        <v/>
      </c>
      <c r="K461" t="str">
        <f>TRIM(IF(LEN(Taostats_CSV!I461)&gt;0,Taostats_CSV!I461,""))</f>
        <v/>
      </c>
      <c r="L461">
        <f ca="1">IF(Taostats_CSV!E461&lt;&gt;"TAO",IF(LEN(F461)&gt;0,F461,IF(LEN(D461)&gt;0,D461,0))*Taostats_CSV!P461,"")</f>
        <v>8.3019444836724361</v>
      </c>
      <c r="M461" t="str">
        <f t="shared" ca="1" si="57"/>
        <v>USD</v>
      </c>
      <c r="N461">
        <f>COUNTIF(Taostats_CSV!$X:$X,Taostats_CSV!$I461&amp;N$1)</f>
        <v>0</v>
      </c>
      <c r="O461">
        <f>COUNTIF(Taostats_CSV!$X:$X,Taostats_CSV!$I461&amp;O$1)</f>
        <v>0</v>
      </c>
      <c r="P461">
        <f>COUNTIF(Taostats_CSV!$X:$X,Taostats_CSV!$I461&amp;P$1)</f>
        <v>0</v>
      </c>
      <c r="Q461" t="b">
        <f t="shared" si="58"/>
        <v>0</v>
      </c>
      <c r="R461" t="b">
        <f>IF(LEN(K461)&gt;0,COUNTIF($K$3:K461,K461),FALSE)</f>
        <v>0</v>
      </c>
      <c r="S461" t="b">
        <f>IF(Taostats_CSV!A461=Taostats_CSV!$A$2,TRUE,Taostats_CSV!G461+Taostats_CSV!H461+Taostats_CSV!R461=0)</f>
        <v>0</v>
      </c>
      <c r="T461" t="b">
        <f t="shared" si="59"/>
        <v>1</v>
      </c>
      <c r="U461" t="b" cm="1">
        <f t="array" aca="1" ref="U461" ca="1">AND(T461,OR(O461-N461&gt;1,P461&gt;1,ISERROR(A461:P461)))</f>
        <v>0</v>
      </c>
      <c r="W461" t="e">
        <f>MATCH(K461&amp;$W$2,Taostats_CSV!$X$3:$X$1167,0)</f>
        <v>#N/A</v>
      </c>
      <c r="X461" t="e">
        <f t="shared" ca="1" si="54"/>
        <v>#VALUE!</v>
      </c>
      <c r="Y461">
        <f t="shared" ca="1" si="55"/>
        <v>0.24582162699999999</v>
      </c>
      <c r="Z461" t="e">
        <f t="shared" ca="1" si="56"/>
        <v>#VALUE!</v>
      </c>
    </row>
    <row r="462" spans="1:26" x14ac:dyDescent="0.4">
      <c r="A462" t="str">
        <f>MID(Taostats_CSV!C462,6,2)&amp;"/"&amp;MID(Taostats_CSV!C462,9,2)&amp;"/"&amp;LEFT(Taostats_CSV!C462,4)&amp;" "&amp;MID(Taostats_CSV!C462,12,8)</f>
        <v>06/12/2025 23:59:48</v>
      </c>
      <c r="C462" t="str">
        <f ca="1">IF(Q462,OFFSET(Taostats_CSV!$E$1,MATCH(K462&amp;D$1,Taostats_CSV!$X:$X,0)-1,0),IF(Taostats_CSV!F462="fee",IF(VALUE(Taostats_CSV!G462)&gt;0,Taostats_CSV!E462,""),""))</f>
        <v/>
      </c>
      <c r="D462" t="str">
        <f ca="1">IF(Q462,OFFSET(Taostats_CSV!$G$1,MATCH(K462&amp;D$1,Taostats_CSV!$X:$X,0)-1,0),IF(Taostats_CSV!F462="fee",IF(VALUE(Taostats_CSV!G462)&gt;0,Taostats_CSV!G462,""),""))</f>
        <v/>
      </c>
      <c r="E462" t="str">
        <f ca="1">IF(AND(Q462,P462&gt;0),OFFSET(Taostats_CSV!$E$1,MATCH(K462&amp;F$1,Taostats_CSV!$X:$X,0)-1,0),IF(LEN(F462)&gt;0,Taostats_CSV!E462,""))</f>
        <v>SN64</v>
      </c>
      <c r="F462" t="str">
        <f ca="1">TRIM(IF(AND(Q462,P462&gt;0),OFFSET(Taostats_CSV!$H$1,MATCH(K462&amp;F$1,Taostats_CSV!$X:$X,0)-1,0),IF(LEN(Taostats_CSV!H462)&gt;0,Taostats_CSV!H462,Taostats_CSV!R462)))</f>
        <v>0.140139757</v>
      </c>
      <c r="G462" t="str">
        <f ca="1">IF(AND(Q462,N462=1),OFFSET(Taostats_CSV!$E$1,MATCH(K462&amp;H$1,Taostats_CSV!$X:$X,0)-1,0),"")</f>
        <v/>
      </c>
      <c r="H462" t="str">
        <f ca="1">IF(AND(Q462,N462=1),OFFSET(Taostats_CSV!$G$1,MATCH(K462&amp;H$1,Taostats_CSV!$X:$X,0)-1,0),"")</f>
        <v/>
      </c>
      <c r="I462" t="str">
        <f ca="1">IF(AND(LEN(K462)=0,LEN(F462)&gt;0),"Income",IF(AND(O462&gt;0,P462&gt;0,C462&lt;&gt;E462),"Trade",IF(AND(NOT(Q462),Taostats_CSV!F462="fee"),'READ ME'!$C$5,"")))</f>
        <v>Income</v>
      </c>
      <c r="J462" t="str">
        <f ca="1">SUBSTITUTE(IF(LEN(I462)=0,Taostats_CSV!F462&amp;" "&amp;Taostats_CSV!J462,IF(I462="Cost","Extrinsic fee","")),"_"," ")</f>
        <v/>
      </c>
      <c r="K462" t="str">
        <f>TRIM(IF(LEN(Taostats_CSV!I462)&gt;0,Taostats_CSV!I462,""))</f>
        <v/>
      </c>
      <c r="L462">
        <f ca="1">IF(Taostats_CSV!E462&lt;&gt;"TAO",IF(LEN(F462)&gt;0,F462,IF(LEN(D462)&gt;0,D462,0))*Taostats_CSV!P462,"")</f>
        <v>11.938846191088565</v>
      </c>
      <c r="M462" t="str">
        <f t="shared" ca="1" si="57"/>
        <v>USD</v>
      </c>
      <c r="N462">
        <f>COUNTIF(Taostats_CSV!$X:$X,Taostats_CSV!$I462&amp;N$1)</f>
        <v>0</v>
      </c>
      <c r="O462">
        <f>COUNTIF(Taostats_CSV!$X:$X,Taostats_CSV!$I462&amp;O$1)</f>
        <v>0</v>
      </c>
      <c r="P462">
        <f>COUNTIF(Taostats_CSV!$X:$X,Taostats_CSV!$I462&amp;P$1)</f>
        <v>0</v>
      </c>
      <c r="Q462" t="b">
        <f t="shared" si="58"/>
        <v>0</v>
      </c>
      <c r="R462" t="b">
        <f>IF(LEN(K462)&gt;0,COUNTIF($K$3:K462,K462),FALSE)</f>
        <v>0</v>
      </c>
      <c r="S462" t="b">
        <f>IF(Taostats_CSV!A462=Taostats_CSV!$A$2,TRUE,Taostats_CSV!G462+Taostats_CSV!H462+Taostats_CSV!R462=0)</f>
        <v>0</v>
      </c>
      <c r="T462" t="b">
        <f t="shared" si="59"/>
        <v>1</v>
      </c>
      <c r="U462" t="b" cm="1">
        <f t="array" aca="1" ref="U462" ca="1">AND(T462,OR(O462-N462&gt;1,P462&gt;1,ISERROR(A462:P462)))</f>
        <v>0</v>
      </c>
      <c r="W462" t="e">
        <f>MATCH(K462&amp;$W$2,Taostats_CSV!$X$3:$X$1167,0)</f>
        <v>#N/A</v>
      </c>
      <c r="X462" t="e">
        <f t="shared" ca="1" si="54"/>
        <v>#VALUE!</v>
      </c>
      <c r="Y462">
        <f t="shared" ca="1" si="55"/>
        <v>0.140139757</v>
      </c>
      <c r="Z462" t="e">
        <f t="shared" ca="1" si="56"/>
        <v>#VALUE!</v>
      </c>
    </row>
    <row r="463" spans="1:26" hidden="1" x14ac:dyDescent="0.4">
      <c r="A463" t="str">
        <f>MID(Taostats_CSV!C463,6,2)&amp;"/"&amp;MID(Taostats_CSV!C463,9,2)&amp;"/"&amp;LEFT(Taostats_CSV!C463,4)&amp;" "&amp;MID(Taostats_CSV!C463,12,8)</f>
        <v>06/12/2025 23:59:48</v>
      </c>
      <c r="C463" t="str">
        <f ca="1">IF(Q463,OFFSET(Taostats_CSV!$E$1,MATCH(K463&amp;D$1,Taostats_CSV!$X:$X,0)-1,0),IF(Taostats_CSV!F463="fee","",IF(VALUE(Taostats_CSV!G463)&gt;0,Taostats_CSV!E463,"")))</f>
        <v/>
      </c>
      <c r="D463" t="str">
        <f ca="1">IF(Q463,OFFSET(Taostats_CSV!$G$1,MATCH(K463&amp;D$1,Taostats_CSV!$X:$X,0)-1,0),IF(Taostats_CSV!F463="fee","",IF(VALUE(Taostats_CSV!G463)&gt;0,Taostats_CSV!G463,"")))</f>
        <v/>
      </c>
      <c r="E463" t="str">
        <f ca="1">IF(AND(Q463,P463&gt;0),OFFSET(Taostats_CSV!$E$1,MATCH(K463&amp;F$1,Taostats_CSV!$X:$X,0)-1,0),IF(LEN(F463)&gt;0,Taostats_CSV!E463,""))</f>
        <v>TAO</v>
      </c>
      <c r="F463" t="str">
        <f ca="1">TRIM(IF(AND(Q463,P463&gt;0),OFFSET(Taostats_CSV!$H$1,MATCH(K463&amp;F$1,Taostats_CSV!$X:$X,0)-1,0),IF(LEN(Taostats_CSV!H463)&gt;0,Taostats_CSV!H463,Taostats_CSV!R463)))</f>
        <v>0</v>
      </c>
      <c r="G463" t="str">
        <f ca="1">IF(AND(Q463,N463=1),OFFSET(Taostats_CSV!$E$1,MATCH(K463&amp;H$1,Taostats_CSV!$X:$X,0)-1,0),IF(Taostats_CSV!F463="fee",Taostats_CSV!E463,""))</f>
        <v/>
      </c>
      <c r="H463" t="str">
        <f ca="1">IF(AND(Q463,N463=1),OFFSET(Taostats_CSV!$G$1,MATCH(K463&amp;H$1,Taostats_CSV!$X:$X,0)-1,0),IF(Taostats_CSV!F463="fee",Taostats_CSV!G463,""))</f>
        <v/>
      </c>
      <c r="I463" t="str">
        <f ca="1">IF(AND(LEN(K463)=0,LEN(F463)&gt;0),"Income",IF(AND(O463&gt;0,P463&gt;0,C463&lt;&gt;E463),"Trade",IF(AND(NOT(Q463),Taostats_CSV!F463="fee"),'READ ME'!$C$5,"")))</f>
        <v>Income</v>
      </c>
      <c r="J463" t="str">
        <f ca="1">SUBSTITUTE(IF(LEN(I463)=0,Taostats_CSV!F463&amp;" "&amp;Taostats_CSV!J463,IF(I463="Cost","Extrinsic fee","")),"_"," ")</f>
        <v/>
      </c>
      <c r="K463" t="str">
        <f>TRIM(IF(LEN(Taostats_CSV!I463)&gt;0,Taostats_CSV!I463,""))</f>
        <v/>
      </c>
      <c r="L463" t="str">
        <f>IF(Taostats_CSV!E463&lt;&gt;"TAO",IF(LEN(F463)&gt;0,F463,IF(LEN(D463)&gt;0,D463,0))*Taostats_CSV!P463,"")</f>
        <v/>
      </c>
      <c r="M463" t="str">
        <f t="shared" si="57"/>
        <v/>
      </c>
      <c r="N463">
        <f>COUNTIF(Taostats_CSV!$X:$X,Taostats_CSV!$I463&amp;N$1)</f>
        <v>0</v>
      </c>
      <c r="O463">
        <f>COUNTIF(Taostats_CSV!$X:$X,Taostats_CSV!$I463&amp;O$1)</f>
        <v>0</v>
      </c>
      <c r="P463">
        <f>COUNTIF(Taostats_CSV!$X:$X,Taostats_CSV!$I463&amp;P$1)</f>
        <v>0</v>
      </c>
      <c r="Q463" t="b">
        <f t="shared" si="58"/>
        <v>0</v>
      </c>
      <c r="R463" t="b">
        <f>IF(LEN(K463)&gt;0,COUNTIF($K$3:K463,K463),FALSE)</f>
        <v>0</v>
      </c>
      <c r="S463" t="b">
        <f>IF(Taostats_CSV!A463=Taostats_CSV!$A$2,TRUE,Taostats_CSV!G463+Taostats_CSV!H463+Taostats_CSV!R463=0)</f>
        <v>1</v>
      </c>
      <c r="T463" t="b">
        <f t="shared" si="59"/>
        <v>0</v>
      </c>
      <c r="U463" t="b" cm="1">
        <f t="array" aca="1" ref="U463" ca="1">AND(T463,OR(O463-N463&gt;1,P463&gt;1,ISERROR(A463:P463)))</f>
        <v>0</v>
      </c>
      <c r="W463" t="e">
        <f>MATCH(K463&amp;$W$2,Taostats_CSV!$X$3:$X$1167,0)</f>
        <v>#N/A</v>
      </c>
      <c r="X463" t="e">
        <f t="shared" ca="1" si="54"/>
        <v>#VALUE!</v>
      </c>
      <c r="Y463">
        <f t="shared" ca="1" si="55"/>
        <v>0</v>
      </c>
      <c r="Z463" t="e">
        <f t="shared" ca="1" si="56"/>
        <v>#VALUE!</v>
      </c>
    </row>
    <row r="464" spans="1:26" x14ac:dyDescent="0.4">
      <c r="A464" t="str">
        <f>MID(Taostats_CSV!C464,6,2)&amp;"/"&amp;MID(Taostats_CSV!C464,9,2)&amp;"/"&amp;LEFT(Taostats_CSV!C464,4)&amp;" "&amp;MID(Taostats_CSV!C464,12,8)</f>
        <v>06/13/2025 23:59:48</v>
      </c>
      <c r="C464" t="str">
        <f ca="1">IF(Q464,OFFSET(Taostats_CSV!$E$1,MATCH(K464&amp;D$1,Taostats_CSV!$X:$X,0)-1,0),IF(Taostats_CSV!F464="fee",IF(VALUE(Taostats_CSV!G464)&gt;0,Taostats_CSV!E464,""),""))</f>
        <v/>
      </c>
      <c r="D464" t="str">
        <f ca="1">IF(Q464,OFFSET(Taostats_CSV!$G$1,MATCH(K464&amp;D$1,Taostats_CSV!$X:$X,0)-1,0),IF(Taostats_CSV!F464="fee",IF(VALUE(Taostats_CSV!G464)&gt;0,Taostats_CSV!G464,""),""))</f>
        <v/>
      </c>
      <c r="E464" t="str">
        <f ca="1">IF(AND(Q464,P464&gt;0),OFFSET(Taostats_CSV!$E$1,MATCH(K464&amp;F$1,Taostats_CSV!$X:$X,0)-1,0),IF(LEN(F464)&gt;0,Taostats_CSV!E464,""))</f>
        <v>SN3</v>
      </c>
      <c r="F464" t="str">
        <f ca="1">TRIM(IF(AND(Q464,P464&gt;0),OFFSET(Taostats_CSV!$H$1,MATCH(K464&amp;F$1,Taostats_CSV!$X:$X,0)-1,0),IF(LEN(Taostats_CSV!H464)&gt;0,Taostats_CSV!H464,Taostats_CSV!R464)))</f>
        <v>0.400398394</v>
      </c>
      <c r="G464" t="str">
        <f ca="1">IF(AND(Q464,N464=1),OFFSET(Taostats_CSV!$E$1,MATCH(K464&amp;H$1,Taostats_CSV!$X:$X,0)-1,0),"")</f>
        <v/>
      </c>
      <c r="H464" t="str">
        <f ca="1">IF(AND(Q464,N464=1),OFFSET(Taostats_CSV!$G$1,MATCH(K464&amp;H$1,Taostats_CSV!$X:$X,0)-1,0),"")</f>
        <v/>
      </c>
      <c r="I464" t="str">
        <f ca="1">IF(AND(LEN(K464)=0,LEN(F464)&gt;0),"Income",IF(AND(O464&gt;0,P464&gt;0,C464&lt;&gt;E464),"Trade",IF(AND(NOT(Q464),Taostats_CSV!F464="fee"),'READ ME'!$C$5,"")))</f>
        <v>Income</v>
      </c>
      <c r="J464" t="str">
        <f ca="1">SUBSTITUTE(IF(LEN(I464)=0,Taostats_CSV!F464&amp;" "&amp;Taostats_CSV!J464,IF(I464="Cost","Extrinsic fee","")),"_"," ")</f>
        <v/>
      </c>
      <c r="K464" t="str">
        <f>TRIM(IF(LEN(Taostats_CSV!I464)&gt;0,Taostats_CSV!I464,""))</f>
        <v/>
      </c>
      <c r="L464">
        <f ca="1">IF(Taostats_CSV!E464&lt;&gt;"TAO",IF(LEN(F464)&gt;0,F464,IF(LEN(D464)&gt;0,D464,0))*Taostats_CSV!P464,"")</f>
        <v>13.778336176600739</v>
      </c>
      <c r="M464" t="str">
        <f t="shared" ca="1" si="57"/>
        <v>USD</v>
      </c>
      <c r="N464">
        <f>COUNTIF(Taostats_CSV!$X:$X,Taostats_CSV!$I464&amp;N$1)</f>
        <v>0</v>
      </c>
      <c r="O464">
        <f>COUNTIF(Taostats_CSV!$X:$X,Taostats_CSV!$I464&amp;O$1)</f>
        <v>0</v>
      </c>
      <c r="P464">
        <f>COUNTIF(Taostats_CSV!$X:$X,Taostats_CSV!$I464&amp;P$1)</f>
        <v>0</v>
      </c>
      <c r="Q464" t="b">
        <f t="shared" si="58"/>
        <v>0</v>
      </c>
      <c r="R464" t="b">
        <f>IF(LEN(K464)&gt;0,COUNTIF($K$3:K464,K464),FALSE)</f>
        <v>0</v>
      </c>
      <c r="S464" t="b">
        <f>IF(Taostats_CSV!A464=Taostats_CSV!$A$2,TRUE,Taostats_CSV!G464+Taostats_CSV!H464+Taostats_CSV!R464=0)</f>
        <v>0</v>
      </c>
      <c r="T464" t="b">
        <f t="shared" si="59"/>
        <v>1</v>
      </c>
      <c r="U464" t="b" cm="1">
        <f t="array" aca="1" ref="U464" ca="1">AND(T464,OR(O464-N464&gt;1,P464&gt;1,ISERROR(A464:P464)))</f>
        <v>0</v>
      </c>
      <c r="W464" t="e">
        <f>MATCH(K464&amp;$W$2,Taostats_CSV!$X$3:$X$1167,0)</f>
        <v>#N/A</v>
      </c>
      <c r="X464" t="e">
        <f t="shared" ca="1" si="54"/>
        <v>#VALUE!</v>
      </c>
      <c r="Y464">
        <f t="shared" ca="1" si="55"/>
        <v>0.40039839399999999</v>
      </c>
      <c r="Z464" t="e">
        <f t="shared" ca="1" si="56"/>
        <v>#VALUE!</v>
      </c>
    </row>
    <row r="465" spans="1:26" x14ac:dyDescent="0.4">
      <c r="A465" t="str">
        <f>MID(Taostats_CSV!C465,6,2)&amp;"/"&amp;MID(Taostats_CSV!C465,9,2)&amp;"/"&amp;LEFT(Taostats_CSV!C465,4)&amp;" "&amp;MID(Taostats_CSV!C465,12,8)</f>
        <v>06/13/2025 23:59:48</v>
      </c>
      <c r="C465" t="str">
        <f ca="1">IF(Q465,OFFSET(Taostats_CSV!$E$1,MATCH(K465&amp;D$1,Taostats_CSV!$X:$X,0)-1,0),IF(Taostats_CSV!F465="fee",IF(VALUE(Taostats_CSV!G465)&gt;0,Taostats_CSV!E465,""),""))</f>
        <v/>
      </c>
      <c r="D465" t="str">
        <f ca="1">IF(Q465,OFFSET(Taostats_CSV!$G$1,MATCH(K465&amp;D$1,Taostats_CSV!$X:$X,0)-1,0),IF(Taostats_CSV!F465="fee",IF(VALUE(Taostats_CSV!G465)&gt;0,Taostats_CSV!G465,""),""))</f>
        <v/>
      </c>
      <c r="E465" t="str">
        <f ca="1">IF(AND(Q465,P465&gt;0),OFFSET(Taostats_CSV!$E$1,MATCH(K465&amp;F$1,Taostats_CSV!$X:$X,0)-1,0),IF(LEN(F465)&gt;0,Taostats_CSV!E465,""))</f>
        <v>SN4</v>
      </c>
      <c r="F465" t="str">
        <f ca="1">TRIM(IF(AND(Q465,P465&gt;0),OFFSET(Taostats_CSV!$H$1,MATCH(K465&amp;F$1,Taostats_CSV!$X:$X,0)-1,0),IF(LEN(Taostats_CSV!H465)&gt;0,Taostats_CSV!H465,Taostats_CSV!R465)))</f>
        <v>0.458773535</v>
      </c>
      <c r="G465" t="str">
        <f ca="1">IF(AND(Q465,N465=1),OFFSET(Taostats_CSV!$E$1,MATCH(K465&amp;H$1,Taostats_CSV!$X:$X,0)-1,0),"")</f>
        <v/>
      </c>
      <c r="H465" t="str">
        <f ca="1">IF(AND(Q465,N465=1),OFFSET(Taostats_CSV!$G$1,MATCH(K465&amp;H$1,Taostats_CSV!$X:$X,0)-1,0),"")</f>
        <v/>
      </c>
      <c r="I465" t="str">
        <f ca="1">IF(AND(LEN(K465)=0,LEN(F465)&gt;0),"Income",IF(AND(O465&gt;0,P465&gt;0,C465&lt;&gt;E465),"Trade",IF(AND(NOT(Q465),Taostats_CSV!F465="fee"),'READ ME'!$C$5,"")))</f>
        <v>Income</v>
      </c>
      <c r="J465" t="str">
        <f ca="1">SUBSTITUTE(IF(LEN(I465)=0,Taostats_CSV!F465&amp;" "&amp;Taostats_CSV!J465,IF(I465="Cost","Extrinsic fee","")),"_"," ")</f>
        <v/>
      </c>
      <c r="K465" t="str">
        <f>TRIM(IF(LEN(Taostats_CSV!I465)&gt;0,Taostats_CSV!I465,""))</f>
        <v/>
      </c>
      <c r="L465">
        <f ca="1">IF(Taostats_CSV!E465&lt;&gt;"TAO",IF(LEN(F465)&gt;0,F465,IF(LEN(D465)&gt;0,D465,0))*Taostats_CSV!P465,"")</f>
        <v>14.283781922607441</v>
      </c>
      <c r="M465" t="str">
        <f t="shared" ca="1" si="57"/>
        <v>USD</v>
      </c>
      <c r="N465">
        <f>COUNTIF(Taostats_CSV!$X:$X,Taostats_CSV!$I465&amp;N$1)</f>
        <v>0</v>
      </c>
      <c r="O465">
        <f>COUNTIF(Taostats_CSV!$X:$X,Taostats_CSV!$I465&amp;O$1)</f>
        <v>0</v>
      </c>
      <c r="P465">
        <f>COUNTIF(Taostats_CSV!$X:$X,Taostats_CSV!$I465&amp;P$1)</f>
        <v>0</v>
      </c>
      <c r="Q465" t="b">
        <f t="shared" si="58"/>
        <v>0</v>
      </c>
      <c r="R465" t="b">
        <f>IF(LEN(K465)&gt;0,COUNTIF($K$3:K465,K465),FALSE)</f>
        <v>0</v>
      </c>
      <c r="S465" t="b">
        <f>IF(Taostats_CSV!A465=Taostats_CSV!$A$2,TRUE,Taostats_CSV!G465+Taostats_CSV!H465+Taostats_CSV!R465=0)</f>
        <v>0</v>
      </c>
      <c r="T465" t="b">
        <f t="shared" si="59"/>
        <v>1</v>
      </c>
      <c r="U465" t="b" cm="1">
        <f t="array" aca="1" ref="U465" ca="1">AND(T465,OR(O465-N465&gt;1,P465&gt;1,ISERROR(A465:P465)))</f>
        <v>0</v>
      </c>
      <c r="W465" t="e">
        <f>MATCH(K465&amp;$W$2,Taostats_CSV!$X$3:$X$1167,0)</f>
        <v>#N/A</v>
      </c>
      <c r="X465" t="e">
        <f t="shared" ca="1" si="54"/>
        <v>#VALUE!</v>
      </c>
      <c r="Y465">
        <f t="shared" ca="1" si="55"/>
        <v>0.45877353500000001</v>
      </c>
      <c r="Z465" t="e">
        <f t="shared" ca="1" si="56"/>
        <v>#VALUE!</v>
      </c>
    </row>
    <row r="466" spans="1:26" x14ac:dyDescent="0.4">
      <c r="A466" t="str">
        <f>MID(Taostats_CSV!C466,6,2)&amp;"/"&amp;MID(Taostats_CSV!C466,9,2)&amp;"/"&amp;LEFT(Taostats_CSV!C466,4)&amp;" "&amp;MID(Taostats_CSV!C466,12,8)</f>
        <v>06/13/2025 23:59:48</v>
      </c>
      <c r="C466" t="str">
        <f ca="1">IF(Q466,OFFSET(Taostats_CSV!$E$1,MATCH(K466&amp;D$1,Taostats_CSV!$X:$X,0)-1,0),IF(Taostats_CSV!F466="fee",IF(VALUE(Taostats_CSV!G466)&gt;0,Taostats_CSV!E466,""),""))</f>
        <v/>
      </c>
      <c r="D466" t="str">
        <f ca="1">IF(Q466,OFFSET(Taostats_CSV!$G$1,MATCH(K466&amp;D$1,Taostats_CSV!$X:$X,0)-1,0),IF(Taostats_CSV!F466="fee",IF(VALUE(Taostats_CSV!G466)&gt;0,Taostats_CSV!G466,""),""))</f>
        <v/>
      </c>
      <c r="E466" t="str">
        <f ca="1">IF(AND(Q466,P466&gt;0),OFFSET(Taostats_CSV!$E$1,MATCH(K466&amp;F$1,Taostats_CSV!$X:$X,0)-1,0),IF(LEN(F466)&gt;0,Taostats_CSV!E466,""))</f>
        <v>SN56</v>
      </c>
      <c r="F466" t="str">
        <f ca="1">TRIM(IF(AND(Q466,P466&gt;0),OFFSET(Taostats_CSV!$H$1,MATCH(K466&amp;F$1,Taostats_CSV!$X:$X,0)-1,0),IF(LEN(Taostats_CSV!H466)&gt;0,Taostats_CSV!H466,Taostats_CSV!R466)))</f>
        <v>0.25825217</v>
      </c>
      <c r="G466" t="str">
        <f ca="1">IF(AND(Q466,N466=1),OFFSET(Taostats_CSV!$E$1,MATCH(K466&amp;H$1,Taostats_CSV!$X:$X,0)-1,0),"")</f>
        <v/>
      </c>
      <c r="H466" t="str">
        <f ca="1">IF(AND(Q466,N466=1),OFFSET(Taostats_CSV!$G$1,MATCH(K466&amp;H$1,Taostats_CSV!$X:$X,0)-1,0),"")</f>
        <v/>
      </c>
      <c r="I466" t="str">
        <f ca="1">IF(AND(LEN(K466)=0,LEN(F466)&gt;0),"Income",IF(AND(O466&gt;0,P466&gt;0,C466&lt;&gt;E466),"Trade",IF(AND(NOT(Q466),Taostats_CSV!F466="fee"),'READ ME'!$C$5,"")))</f>
        <v>Income</v>
      </c>
      <c r="J466" t="str">
        <f ca="1">SUBSTITUTE(IF(LEN(I466)=0,Taostats_CSV!F466&amp;" "&amp;Taostats_CSV!J466,IF(I466="Cost","Extrinsic fee","")),"_"," ")</f>
        <v/>
      </c>
      <c r="K466" t="str">
        <f>TRIM(IF(LEN(Taostats_CSV!I466)&gt;0,Taostats_CSV!I466,""))</f>
        <v/>
      </c>
      <c r="L466">
        <f ca="1">IF(Taostats_CSV!E466&lt;&gt;"TAO",IF(LEN(F466)&gt;0,F466,IF(LEN(D466)&gt;0,D466,0))*Taostats_CSV!P466,"")</f>
        <v>8.3888810316319802</v>
      </c>
      <c r="M466" t="str">
        <f t="shared" ca="1" si="57"/>
        <v>USD</v>
      </c>
      <c r="N466">
        <f>COUNTIF(Taostats_CSV!$X:$X,Taostats_CSV!$I466&amp;N$1)</f>
        <v>0</v>
      </c>
      <c r="O466">
        <f>COUNTIF(Taostats_CSV!$X:$X,Taostats_CSV!$I466&amp;O$1)</f>
        <v>0</v>
      </c>
      <c r="P466">
        <f>COUNTIF(Taostats_CSV!$X:$X,Taostats_CSV!$I466&amp;P$1)</f>
        <v>0</v>
      </c>
      <c r="Q466" t="b">
        <f t="shared" si="58"/>
        <v>0</v>
      </c>
      <c r="R466" t="b">
        <f>IF(LEN(K466)&gt;0,COUNTIF($K$3:K466,K466),FALSE)</f>
        <v>0</v>
      </c>
      <c r="S466" t="b">
        <f>IF(Taostats_CSV!A466=Taostats_CSV!$A$2,TRUE,Taostats_CSV!G466+Taostats_CSV!H466+Taostats_CSV!R466=0)</f>
        <v>0</v>
      </c>
      <c r="T466" t="b">
        <f t="shared" si="59"/>
        <v>1</v>
      </c>
      <c r="U466" t="b" cm="1">
        <f t="array" aca="1" ref="U466" ca="1">AND(T466,OR(O466-N466&gt;1,P466&gt;1,ISERROR(A466:P466)))</f>
        <v>0</v>
      </c>
      <c r="W466" t="e">
        <f>MATCH(K466&amp;$W$2,Taostats_CSV!$X$3:$X$1167,0)</f>
        <v>#N/A</v>
      </c>
      <c r="X466" t="e">
        <f t="shared" ca="1" si="54"/>
        <v>#VALUE!</v>
      </c>
      <c r="Y466">
        <f t="shared" ca="1" si="55"/>
        <v>0.25825217</v>
      </c>
      <c r="Z466" t="e">
        <f t="shared" ca="1" si="56"/>
        <v>#VALUE!</v>
      </c>
    </row>
    <row r="467" spans="1:26" x14ac:dyDescent="0.4">
      <c r="A467" t="str">
        <f>MID(Taostats_CSV!C467,6,2)&amp;"/"&amp;MID(Taostats_CSV!C467,9,2)&amp;"/"&amp;LEFT(Taostats_CSV!C467,4)&amp;" "&amp;MID(Taostats_CSV!C467,12,8)</f>
        <v>06/13/2025 23:59:48</v>
      </c>
      <c r="C467" t="str">
        <f ca="1">IF(Q467,OFFSET(Taostats_CSV!$E$1,MATCH(K467&amp;D$1,Taostats_CSV!$X:$X,0)-1,0),IF(Taostats_CSV!F467="fee",IF(VALUE(Taostats_CSV!G467)&gt;0,Taostats_CSV!E467,""),""))</f>
        <v/>
      </c>
      <c r="D467" t="str">
        <f ca="1">IF(Q467,OFFSET(Taostats_CSV!$G$1,MATCH(K467&amp;D$1,Taostats_CSV!$X:$X,0)-1,0),IF(Taostats_CSV!F467="fee",IF(VALUE(Taostats_CSV!G467)&gt;0,Taostats_CSV!G467,""),""))</f>
        <v/>
      </c>
      <c r="E467" t="str">
        <f ca="1">IF(AND(Q467,P467&gt;0),OFFSET(Taostats_CSV!$E$1,MATCH(K467&amp;F$1,Taostats_CSV!$X:$X,0)-1,0),IF(LEN(F467)&gt;0,Taostats_CSV!E467,""))</f>
        <v>SN64</v>
      </c>
      <c r="F467" t="str">
        <f ca="1">TRIM(IF(AND(Q467,P467&gt;0),OFFSET(Taostats_CSV!$H$1,MATCH(K467&amp;F$1,Taostats_CSV!$X:$X,0)-1,0),IF(LEN(Taostats_CSV!H467)&gt;0,Taostats_CSV!H467,Taostats_CSV!R467)))</f>
        <v>0.139387326</v>
      </c>
      <c r="G467" t="str">
        <f ca="1">IF(AND(Q467,N467=1),OFFSET(Taostats_CSV!$E$1,MATCH(K467&amp;H$1,Taostats_CSV!$X:$X,0)-1,0),"")</f>
        <v/>
      </c>
      <c r="H467" t="str">
        <f ca="1">IF(AND(Q467,N467=1),OFFSET(Taostats_CSV!$G$1,MATCH(K467&amp;H$1,Taostats_CSV!$X:$X,0)-1,0),"")</f>
        <v/>
      </c>
      <c r="I467" t="str">
        <f ca="1">IF(AND(LEN(K467)=0,LEN(F467)&gt;0),"Income",IF(AND(O467&gt;0,P467&gt;0,C467&lt;&gt;E467),"Trade",IF(AND(NOT(Q467),Taostats_CSV!F467="fee"),'READ ME'!$C$5,"")))</f>
        <v>Income</v>
      </c>
      <c r="J467" t="str">
        <f ca="1">SUBSTITUTE(IF(LEN(I467)=0,Taostats_CSV!F467&amp;" "&amp;Taostats_CSV!J467,IF(I467="Cost","Extrinsic fee","")),"_"," ")</f>
        <v/>
      </c>
      <c r="K467" t="str">
        <f>TRIM(IF(LEN(Taostats_CSV!I467)&gt;0,Taostats_CSV!I467,""))</f>
        <v/>
      </c>
      <c r="L467">
        <f ca="1">IF(Taostats_CSV!E467&lt;&gt;"TAO",IF(LEN(F467)&gt;0,F467,IF(LEN(D467)&gt;0,D467,0))*Taostats_CSV!P467,"")</f>
        <v>11.501494808044026</v>
      </c>
      <c r="M467" t="str">
        <f t="shared" ca="1" si="57"/>
        <v>USD</v>
      </c>
      <c r="N467">
        <f>COUNTIF(Taostats_CSV!$X:$X,Taostats_CSV!$I467&amp;N$1)</f>
        <v>0</v>
      </c>
      <c r="O467">
        <f>COUNTIF(Taostats_CSV!$X:$X,Taostats_CSV!$I467&amp;O$1)</f>
        <v>0</v>
      </c>
      <c r="P467">
        <f>COUNTIF(Taostats_CSV!$X:$X,Taostats_CSV!$I467&amp;P$1)</f>
        <v>0</v>
      </c>
      <c r="Q467" t="b">
        <f t="shared" si="58"/>
        <v>0</v>
      </c>
      <c r="R467" t="b">
        <f>IF(LEN(K467)&gt;0,COUNTIF($K$3:K467,K467),FALSE)</f>
        <v>0</v>
      </c>
      <c r="S467" t="b">
        <f>IF(Taostats_CSV!A467=Taostats_CSV!$A$2,TRUE,Taostats_CSV!G467+Taostats_CSV!H467+Taostats_CSV!R467=0)</f>
        <v>0</v>
      </c>
      <c r="T467" t="b">
        <f t="shared" si="59"/>
        <v>1</v>
      </c>
      <c r="U467" t="b" cm="1">
        <f t="array" aca="1" ref="U467" ca="1">AND(T467,OR(O467-N467&gt;1,P467&gt;1,ISERROR(A467:P467)))</f>
        <v>0</v>
      </c>
      <c r="W467" t="e">
        <f>MATCH(K467&amp;$W$2,Taostats_CSV!$X$3:$X$1167,0)</f>
        <v>#N/A</v>
      </c>
      <c r="X467" t="e">
        <f t="shared" ca="1" si="54"/>
        <v>#VALUE!</v>
      </c>
      <c r="Y467">
        <f t="shared" ca="1" si="55"/>
        <v>0.13938732600000001</v>
      </c>
      <c r="Z467" t="e">
        <f t="shared" ca="1" si="56"/>
        <v>#VALUE!</v>
      </c>
    </row>
    <row r="468" spans="1:26" hidden="1" x14ac:dyDescent="0.4">
      <c r="A468" t="str">
        <f>MID(Taostats_CSV!C468,6,2)&amp;"/"&amp;MID(Taostats_CSV!C468,9,2)&amp;"/"&amp;LEFT(Taostats_CSV!C468,4)&amp;" "&amp;MID(Taostats_CSV!C468,12,8)</f>
        <v>06/13/2025 23:59:48</v>
      </c>
      <c r="C468" t="str">
        <f ca="1">IF(Q468,OFFSET(Taostats_CSV!$E$1,MATCH(K468&amp;D$1,Taostats_CSV!$X:$X,0)-1,0),IF(Taostats_CSV!F468="fee","",IF(VALUE(Taostats_CSV!G468)&gt;0,Taostats_CSV!E468,"")))</f>
        <v/>
      </c>
      <c r="D468" t="str">
        <f ca="1">IF(Q468,OFFSET(Taostats_CSV!$G$1,MATCH(K468&amp;D$1,Taostats_CSV!$X:$X,0)-1,0),IF(Taostats_CSV!F468="fee","",IF(VALUE(Taostats_CSV!G468)&gt;0,Taostats_CSV!G468,"")))</f>
        <v/>
      </c>
      <c r="E468" t="str">
        <f ca="1">IF(AND(Q468,P468&gt;0),OFFSET(Taostats_CSV!$E$1,MATCH(K468&amp;F$1,Taostats_CSV!$X:$X,0)-1,0),IF(LEN(F468)&gt;0,Taostats_CSV!E468,""))</f>
        <v>TAO</v>
      </c>
      <c r="F468" t="str">
        <f ca="1">TRIM(IF(AND(Q468,P468&gt;0),OFFSET(Taostats_CSV!$H$1,MATCH(K468&amp;F$1,Taostats_CSV!$X:$X,0)-1,0),IF(LEN(Taostats_CSV!H468)&gt;0,Taostats_CSV!H468,Taostats_CSV!R468)))</f>
        <v>0</v>
      </c>
      <c r="G468" t="str">
        <f ca="1">IF(AND(Q468,N468=1),OFFSET(Taostats_CSV!$E$1,MATCH(K468&amp;H$1,Taostats_CSV!$X:$X,0)-1,0),IF(Taostats_CSV!F468="fee",Taostats_CSV!E468,""))</f>
        <v/>
      </c>
      <c r="H468" t="str">
        <f ca="1">IF(AND(Q468,N468=1),OFFSET(Taostats_CSV!$G$1,MATCH(K468&amp;H$1,Taostats_CSV!$X:$X,0)-1,0),IF(Taostats_CSV!F468="fee",Taostats_CSV!G468,""))</f>
        <v/>
      </c>
      <c r="I468" t="str">
        <f ca="1">IF(AND(LEN(K468)=0,LEN(F468)&gt;0),"Income",IF(AND(O468&gt;0,P468&gt;0,C468&lt;&gt;E468),"Trade",IF(AND(NOT(Q468),Taostats_CSV!F468="fee"),'READ ME'!$C$5,"")))</f>
        <v>Income</v>
      </c>
      <c r="J468" t="str">
        <f ca="1">SUBSTITUTE(IF(LEN(I468)=0,Taostats_CSV!F468&amp;" "&amp;Taostats_CSV!J468,IF(I468="Cost","Extrinsic fee","")),"_"," ")</f>
        <v/>
      </c>
      <c r="K468" t="str">
        <f>TRIM(IF(LEN(Taostats_CSV!I468)&gt;0,Taostats_CSV!I468,""))</f>
        <v/>
      </c>
      <c r="L468" t="str">
        <f>IF(Taostats_CSV!E468&lt;&gt;"TAO",IF(LEN(F468)&gt;0,F468,IF(LEN(D468)&gt;0,D468,0))*Taostats_CSV!P468,"")</f>
        <v/>
      </c>
      <c r="M468" t="str">
        <f t="shared" si="57"/>
        <v/>
      </c>
      <c r="N468">
        <f>COUNTIF(Taostats_CSV!$X:$X,Taostats_CSV!$I468&amp;N$1)</f>
        <v>0</v>
      </c>
      <c r="O468">
        <f>COUNTIF(Taostats_CSV!$X:$X,Taostats_CSV!$I468&amp;O$1)</f>
        <v>0</v>
      </c>
      <c r="P468">
        <f>COUNTIF(Taostats_CSV!$X:$X,Taostats_CSV!$I468&amp;P$1)</f>
        <v>0</v>
      </c>
      <c r="Q468" t="b">
        <f t="shared" si="58"/>
        <v>0</v>
      </c>
      <c r="R468" t="b">
        <f>IF(LEN(K468)&gt;0,COUNTIF($K$3:K468,K468),FALSE)</f>
        <v>0</v>
      </c>
      <c r="S468" t="b">
        <f>IF(Taostats_CSV!A468=Taostats_CSV!$A$2,TRUE,Taostats_CSV!G468+Taostats_CSV!H468+Taostats_CSV!R468=0)</f>
        <v>1</v>
      </c>
      <c r="T468" t="b">
        <f t="shared" si="59"/>
        <v>0</v>
      </c>
      <c r="U468" t="b" cm="1">
        <f t="array" aca="1" ref="U468" ca="1">AND(T468,OR(O468-N468&gt;1,P468&gt;1,ISERROR(A468:P468)))</f>
        <v>0</v>
      </c>
      <c r="W468" t="e">
        <f>MATCH(K468&amp;$W$2,Taostats_CSV!$X$3:$X$1167,0)</f>
        <v>#N/A</v>
      </c>
      <c r="X468" t="e">
        <f t="shared" ca="1" si="54"/>
        <v>#VALUE!</v>
      </c>
      <c r="Y468">
        <f t="shared" ca="1" si="55"/>
        <v>0</v>
      </c>
      <c r="Z468" t="e">
        <f t="shared" ca="1" si="56"/>
        <v>#VALUE!</v>
      </c>
    </row>
    <row r="469" spans="1:26" x14ac:dyDescent="0.4">
      <c r="A469" t="str">
        <f>MID(Taostats_CSV!C469,6,2)&amp;"/"&amp;MID(Taostats_CSV!C469,9,2)&amp;"/"&amp;LEFT(Taostats_CSV!C469,4)&amp;" "&amp;MID(Taostats_CSV!C469,12,8)</f>
        <v>06/14/2025 23:59:48</v>
      </c>
      <c r="C469" t="str">
        <f ca="1">IF(Q469,OFFSET(Taostats_CSV!$E$1,MATCH(K469&amp;D$1,Taostats_CSV!$X:$X,0)-1,0),IF(Taostats_CSV!F469="fee",IF(VALUE(Taostats_CSV!G469)&gt;0,Taostats_CSV!E469,""),""))</f>
        <v/>
      </c>
      <c r="D469" t="str">
        <f ca="1">IF(Q469,OFFSET(Taostats_CSV!$G$1,MATCH(K469&amp;D$1,Taostats_CSV!$X:$X,0)-1,0),IF(Taostats_CSV!F469="fee",IF(VALUE(Taostats_CSV!G469)&gt;0,Taostats_CSV!G469,""),""))</f>
        <v/>
      </c>
      <c r="E469" t="str">
        <f ca="1">IF(AND(Q469,P469&gt;0),OFFSET(Taostats_CSV!$E$1,MATCH(K469&amp;F$1,Taostats_CSV!$X:$X,0)-1,0),IF(LEN(F469)&gt;0,Taostats_CSV!E469,""))</f>
        <v>SN3</v>
      </c>
      <c r="F469" t="str">
        <f ca="1">TRIM(IF(AND(Q469,P469&gt;0),OFFSET(Taostats_CSV!$H$1,MATCH(K469&amp;F$1,Taostats_CSV!$X:$X,0)-1,0),IF(LEN(Taostats_CSV!H469)&gt;0,Taostats_CSV!H469,Taostats_CSV!R469)))</f>
        <v>0.40364393</v>
      </c>
      <c r="G469" t="str">
        <f ca="1">IF(AND(Q469,N469=1),OFFSET(Taostats_CSV!$E$1,MATCH(K469&amp;H$1,Taostats_CSV!$X:$X,0)-1,0),"")</f>
        <v/>
      </c>
      <c r="H469" t="str">
        <f ca="1">IF(AND(Q469,N469=1),OFFSET(Taostats_CSV!$G$1,MATCH(K469&amp;H$1,Taostats_CSV!$X:$X,0)-1,0),"")</f>
        <v/>
      </c>
      <c r="I469" t="str">
        <f ca="1">IF(AND(LEN(K469)=0,LEN(F469)&gt;0),"Income",IF(AND(O469&gt;0,P469&gt;0,C469&lt;&gt;E469),"Trade",IF(AND(NOT(Q469),Taostats_CSV!F469="fee"),'READ ME'!$C$5,"")))</f>
        <v>Income</v>
      </c>
      <c r="J469" t="str">
        <f ca="1">SUBSTITUTE(IF(LEN(I469)=0,Taostats_CSV!F469&amp;" "&amp;Taostats_CSV!J469,IF(I469="Cost","Extrinsic fee","")),"_"," ")</f>
        <v/>
      </c>
      <c r="K469" t="str">
        <f>TRIM(IF(LEN(Taostats_CSV!I469)&gt;0,Taostats_CSV!I469,""))</f>
        <v/>
      </c>
      <c r="L469">
        <f ca="1">IF(Taostats_CSV!E469&lt;&gt;"TAO",IF(LEN(F469)&gt;0,F469,IF(LEN(D469)&gt;0,D469,0))*Taostats_CSV!P469,"")</f>
        <v>13.564935319017643</v>
      </c>
      <c r="M469" t="str">
        <f t="shared" ca="1" si="57"/>
        <v>USD</v>
      </c>
      <c r="N469">
        <f>COUNTIF(Taostats_CSV!$X:$X,Taostats_CSV!$I469&amp;N$1)</f>
        <v>0</v>
      </c>
      <c r="O469">
        <f>COUNTIF(Taostats_CSV!$X:$X,Taostats_CSV!$I469&amp;O$1)</f>
        <v>0</v>
      </c>
      <c r="P469">
        <f>COUNTIF(Taostats_CSV!$X:$X,Taostats_CSV!$I469&amp;P$1)</f>
        <v>0</v>
      </c>
      <c r="Q469" t="b">
        <f t="shared" si="58"/>
        <v>0</v>
      </c>
      <c r="R469" t="b">
        <f>IF(LEN(K469)&gt;0,COUNTIF($K$3:K469,K469),FALSE)</f>
        <v>0</v>
      </c>
      <c r="S469" t="b">
        <f>IF(Taostats_CSV!A469=Taostats_CSV!$A$2,TRUE,Taostats_CSV!G469+Taostats_CSV!H469+Taostats_CSV!R469=0)</f>
        <v>0</v>
      </c>
      <c r="T469" t="b">
        <f t="shared" si="59"/>
        <v>1</v>
      </c>
      <c r="U469" t="b" cm="1">
        <f t="array" aca="1" ref="U469" ca="1">AND(T469,OR(O469-N469&gt;1,P469&gt;1,ISERROR(A469:P469)))</f>
        <v>0</v>
      </c>
      <c r="W469" t="e">
        <f>MATCH(K469&amp;$W$2,Taostats_CSV!$X$3:$X$1167,0)</f>
        <v>#N/A</v>
      </c>
      <c r="X469" t="e">
        <f t="shared" ca="1" si="54"/>
        <v>#VALUE!</v>
      </c>
      <c r="Y469">
        <f t="shared" ca="1" si="55"/>
        <v>0.40364392999999998</v>
      </c>
      <c r="Z469" t="e">
        <f t="shared" ca="1" si="56"/>
        <v>#VALUE!</v>
      </c>
    </row>
    <row r="470" spans="1:26" x14ac:dyDescent="0.4">
      <c r="A470" t="str">
        <f>MID(Taostats_CSV!C470,6,2)&amp;"/"&amp;MID(Taostats_CSV!C470,9,2)&amp;"/"&amp;LEFT(Taostats_CSV!C470,4)&amp;" "&amp;MID(Taostats_CSV!C470,12,8)</f>
        <v>06/14/2025 23:59:48</v>
      </c>
      <c r="C470" t="str">
        <f ca="1">IF(Q470,OFFSET(Taostats_CSV!$E$1,MATCH(K470&amp;D$1,Taostats_CSV!$X:$X,0)-1,0),IF(Taostats_CSV!F470="fee",IF(VALUE(Taostats_CSV!G470)&gt;0,Taostats_CSV!E470,""),""))</f>
        <v/>
      </c>
      <c r="D470" t="str">
        <f ca="1">IF(Q470,OFFSET(Taostats_CSV!$G$1,MATCH(K470&amp;D$1,Taostats_CSV!$X:$X,0)-1,0),IF(Taostats_CSV!F470="fee",IF(VALUE(Taostats_CSV!G470)&gt;0,Taostats_CSV!G470,""),""))</f>
        <v/>
      </c>
      <c r="E470" t="str">
        <f ca="1">IF(AND(Q470,P470&gt;0),OFFSET(Taostats_CSV!$E$1,MATCH(K470&amp;F$1,Taostats_CSV!$X:$X,0)-1,0),IF(LEN(F470)&gt;0,Taostats_CSV!E470,""))</f>
        <v>SN4</v>
      </c>
      <c r="F470" t="str">
        <f ca="1">TRIM(IF(AND(Q470,P470&gt;0),OFFSET(Taostats_CSV!$H$1,MATCH(K470&amp;F$1,Taostats_CSV!$X:$X,0)-1,0),IF(LEN(Taostats_CSV!H470)&gt;0,Taostats_CSV!H470,Taostats_CSV!R470)))</f>
        <v>0.480698701</v>
      </c>
      <c r="G470" t="str">
        <f ca="1">IF(AND(Q470,N470=1),OFFSET(Taostats_CSV!$E$1,MATCH(K470&amp;H$1,Taostats_CSV!$X:$X,0)-1,0),"")</f>
        <v/>
      </c>
      <c r="H470" t="str">
        <f ca="1">IF(AND(Q470,N470=1),OFFSET(Taostats_CSV!$G$1,MATCH(K470&amp;H$1,Taostats_CSV!$X:$X,0)-1,0),"")</f>
        <v/>
      </c>
      <c r="I470" t="str">
        <f ca="1">IF(AND(LEN(K470)=0,LEN(F470)&gt;0),"Income",IF(AND(O470&gt;0,P470&gt;0,C470&lt;&gt;E470),"Trade",IF(AND(NOT(Q470),Taostats_CSV!F470="fee"),'READ ME'!$C$5,"")))</f>
        <v>Income</v>
      </c>
      <c r="J470" t="str">
        <f ca="1">SUBSTITUTE(IF(LEN(I470)=0,Taostats_CSV!F470&amp;" "&amp;Taostats_CSV!J470,IF(I470="Cost","Extrinsic fee","")),"_"," ")</f>
        <v/>
      </c>
      <c r="K470" t="str">
        <f>TRIM(IF(LEN(Taostats_CSV!I470)&gt;0,Taostats_CSV!I470,""))</f>
        <v/>
      </c>
      <c r="L470">
        <f ca="1">IF(Taostats_CSV!E470&lt;&gt;"TAO",IF(LEN(F470)&gt;0,F470,IF(LEN(D470)&gt;0,D470,0))*Taostats_CSV!P470,"")</f>
        <v>14.457119025364083</v>
      </c>
      <c r="M470" t="str">
        <f t="shared" ca="1" si="57"/>
        <v>USD</v>
      </c>
      <c r="N470">
        <f>COUNTIF(Taostats_CSV!$X:$X,Taostats_CSV!$I470&amp;N$1)</f>
        <v>0</v>
      </c>
      <c r="O470">
        <f>COUNTIF(Taostats_CSV!$X:$X,Taostats_CSV!$I470&amp;O$1)</f>
        <v>0</v>
      </c>
      <c r="P470">
        <f>COUNTIF(Taostats_CSV!$X:$X,Taostats_CSV!$I470&amp;P$1)</f>
        <v>0</v>
      </c>
      <c r="Q470" t="b">
        <f t="shared" si="58"/>
        <v>0</v>
      </c>
      <c r="R470" t="b">
        <f>IF(LEN(K470)&gt;0,COUNTIF($K$3:K470,K470),FALSE)</f>
        <v>0</v>
      </c>
      <c r="S470" t="b">
        <f>IF(Taostats_CSV!A470=Taostats_CSV!$A$2,TRUE,Taostats_CSV!G470+Taostats_CSV!H470+Taostats_CSV!R470=0)</f>
        <v>0</v>
      </c>
      <c r="T470" t="b">
        <f t="shared" si="59"/>
        <v>1</v>
      </c>
      <c r="U470" t="b" cm="1">
        <f t="array" aca="1" ref="U470" ca="1">AND(T470,OR(O470-N470&gt;1,P470&gt;1,ISERROR(A470:P470)))</f>
        <v>0</v>
      </c>
      <c r="W470" t="e">
        <f>MATCH(K470&amp;$W$2,Taostats_CSV!$X$3:$X$1167,0)</f>
        <v>#N/A</v>
      </c>
      <c r="X470" t="e">
        <f t="shared" ca="1" si="54"/>
        <v>#VALUE!</v>
      </c>
      <c r="Y470">
        <f t="shared" ca="1" si="55"/>
        <v>0.48069870100000001</v>
      </c>
      <c r="Z470" t="e">
        <f t="shared" ca="1" si="56"/>
        <v>#VALUE!</v>
      </c>
    </row>
    <row r="471" spans="1:26" x14ac:dyDescent="0.4">
      <c r="A471" t="str">
        <f>MID(Taostats_CSV!C471,6,2)&amp;"/"&amp;MID(Taostats_CSV!C471,9,2)&amp;"/"&amp;LEFT(Taostats_CSV!C471,4)&amp;" "&amp;MID(Taostats_CSV!C471,12,8)</f>
        <v>06/14/2025 23:59:48</v>
      </c>
      <c r="C471" t="str">
        <f ca="1">IF(Q471,OFFSET(Taostats_CSV!$E$1,MATCH(K471&amp;D$1,Taostats_CSV!$X:$X,0)-1,0),IF(Taostats_CSV!F471="fee",IF(VALUE(Taostats_CSV!G471)&gt;0,Taostats_CSV!E471,""),""))</f>
        <v/>
      </c>
      <c r="D471" t="str">
        <f ca="1">IF(Q471,OFFSET(Taostats_CSV!$G$1,MATCH(K471&amp;D$1,Taostats_CSV!$X:$X,0)-1,0),IF(Taostats_CSV!F471="fee",IF(VALUE(Taostats_CSV!G471)&gt;0,Taostats_CSV!G471,""),""))</f>
        <v/>
      </c>
      <c r="E471" t="str">
        <f ca="1">IF(AND(Q471,P471&gt;0),OFFSET(Taostats_CSV!$E$1,MATCH(K471&amp;F$1,Taostats_CSV!$X:$X,0)-1,0),IF(LEN(F471)&gt;0,Taostats_CSV!E471,""))</f>
        <v>SN56</v>
      </c>
      <c r="F471" t="str">
        <f ca="1">TRIM(IF(AND(Q471,P471&gt;0),OFFSET(Taostats_CSV!$H$1,MATCH(K471&amp;F$1,Taostats_CSV!$X:$X,0)-1,0),IF(LEN(Taostats_CSV!H471)&gt;0,Taostats_CSV!H471,Taostats_CSV!R471)))</f>
        <v>0.246726375</v>
      </c>
      <c r="G471" t="str">
        <f ca="1">IF(AND(Q471,N471=1),OFFSET(Taostats_CSV!$E$1,MATCH(K471&amp;H$1,Taostats_CSV!$X:$X,0)-1,0),"")</f>
        <v/>
      </c>
      <c r="H471" t="str">
        <f ca="1">IF(AND(Q471,N471=1),OFFSET(Taostats_CSV!$G$1,MATCH(K471&amp;H$1,Taostats_CSV!$X:$X,0)-1,0),"")</f>
        <v/>
      </c>
      <c r="I471" t="str">
        <f ca="1">IF(AND(LEN(K471)=0,LEN(F471)&gt;0),"Income",IF(AND(O471&gt;0,P471&gt;0,C471&lt;&gt;E471),"Trade",IF(AND(NOT(Q471),Taostats_CSV!F471="fee"),'READ ME'!$C$5,"")))</f>
        <v>Income</v>
      </c>
      <c r="J471" t="str">
        <f ca="1">SUBSTITUTE(IF(LEN(I471)=0,Taostats_CSV!F471&amp;" "&amp;Taostats_CSV!J471,IF(I471="Cost","Extrinsic fee","")),"_"," ")</f>
        <v/>
      </c>
      <c r="K471" t="str">
        <f>TRIM(IF(LEN(Taostats_CSV!I471)&gt;0,Taostats_CSV!I471,""))</f>
        <v/>
      </c>
      <c r="L471">
        <f ca="1">IF(Taostats_CSV!E471&lt;&gt;"TAO",IF(LEN(F471)&gt;0,F471,IF(LEN(D471)&gt;0,D471,0))*Taostats_CSV!P471,"")</f>
        <v>7.2904539316164012</v>
      </c>
      <c r="M471" t="str">
        <f t="shared" ca="1" si="57"/>
        <v>USD</v>
      </c>
      <c r="N471">
        <f>COUNTIF(Taostats_CSV!$X:$X,Taostats_CSV!$I471&amp;N$1)</f>
        <v>0</v>
      </c>
      <c r="O471">
        <f>COUNTIF(Taostats_CSV!$X:$X,Taostats_CSV!$I471&amp;O$1)</f>
        <v>0</v>
      </c>
      <c r="P471">
        <f>COUNTIF(Taostats_CSV!$X:$X,Taostats_CSV!$I471&amp;P$1)</f>
        <v>0</v>
      </c>
      <c r="Q471" t="b">
        <f t="shared" si="58"/>
        <v>0</v>
      </c>
      <c r="R471" t="b">
        <f>IF(LEN(K471)&gt;0,COUNTIF($K$3:K471,K471),FALSE)</f>
        <v>0</v>
      </c>
      <c r="S471" t="b">
        <f>IF(Taostats_CSV!A471=Taostats_CSV!$A$2,TRUE,Taostats_CSV!G471+Taostats_CSV!H471+Taostats_CSV!R471=0)</f>
        <v>0</v>
      </c>
      <c r="T471" t="b">
        <f t="shared" si="59"/>
        <v>1</v>
      </c>
      <c r="U471" t="b" cm="1">
        <f t="array" aca="1" ref="U471" ca="1">AND(T471,OR(O471-N471&gt;1,P471&gt;1,ISERROR(A471:P471)))</f>
        <v>0</v>
      </c>
      <c r="W471" t="e">
        <f>MATCH(K471&amp;$W$2,Taostats_CSV!$X$3:$X$1167,0)</f>
        <v>#N/A</v>
      </c>
      <c r="X471" t="e">
        <f t="shared" ca="1" si="54"/>
        <v>#VALUE!</v>
      </c>
      <c r="Y471">
        <f t="shared" ca="1" si="55"/>
        <v>0.246726375</v>
      </c>
      <c r="Z471" t="e">
        <f t="shared" ca="1" si="56"/>
        <v>#VALUE!</v>
      </c>
    </row>
    <row r="472" spans="1:26" x14ac:dyDescent="0.4">
      <c r="A472" t="str">
        <f>MID(Taostats_CSV!C472,6,2)&amp;"/"&amp;MID(Taostats_CSV!C472,9,2)&amp;"/"&amp;LEFT(Taostats_CSV!C472,4)&amp;" "&amp;MID(Taostats_CSV!C472,12,8)</f>
        <v>06/14/2025 23:59:48</v>
      </c>
      <c r="C472" t="str">
        <f ca="1">IF(Q472,OFFSET(Taostats_CSV!$E$1,MATCH(K472&amp;D$1,Taostats_CSV!$X:$X,0)-1,0),IF(Taostats_CSV!F472="fee",IF(VALUE(Taostats_CSV!G472)&gt;0,Taostats_CSV!E472,""),""))</f>
        <v/>
      </c>
      <c r="D472" t="str">
        <f ca="1">IF(Q472,OFFSET(Taostats_CSV!$G$1,MATCH(K472&amp;D$1,Taostats_CSV!$X:$X,0)-1,0),IF(Taostats_CSV!F472="fee",IF(VALUE(Taostats_CSV!G472)&gt;0,Taostats_CSV!G472,""),""))</f>
        <v/>
      </c>
      <c r="E472" t="str">
        <f ca="1">IF(AND(Q472,P472&gt;0),OFFSET(Taostats_CSV!$E$1,MATCH(K472&amp;F$1,Taostats_CSV!$X:$X,0)-1,0),IF(LEN(F472)&gt;0,Taostats_CSV!E472,""))</f>
        <v>SN64</v>
      </c>
      <c r="F472" t="str">
        <f ca="1">TRIM(IF(AND(Q472,P472&gt;0),OFFSET(Taostats_CSV!$H$1,MATCH(K472&amp;F$1,Taostats_CSV!$X:$X,0)-1,0),IF(LEN(Taostats_CSV!H472)&gt;0,Taostats_CSV!H472,Taostats_CSV!R472)))</f>
        <v>0.139270798</v>
      </c>
      <c r="G472" t="str">
        <f ca="1">IF(AND(Q472,N472=1),OFFSET(Taostats_CSV!$E$1,MATCH(K472&amp;H$1,Taostats_CSV!$X:$X,0)-1,0),"")</f>
        <v/>
      </c>
      <c r="H472" t="str">
        <f ca="1">IF(AND(Q472,N472=1),OFFSET(Taostats_CSV!$G$1,MATCH(K472&amp;H$1,Taostats_CSV!$X:$X,0)-1,0),"")</f>
        <v/>
      </c>
      <c r="I472" t="str">
        <f ca="1">IF(AND(LEN(K472)=0,LEN(F472)&gt;0),"Income",IF(AND(O472&gt;0,P472&gt;0,C472&lt;&gt;E472),"Trade",IF(AND(NOT(Q472),Taostats_CSV!F472="fee"),'READ ME'!$C$5,"")))</f>
        <v>Income</v>
      </c>
      <c r="J472" t="str">
        <f ca="1">SUBSTITUTE(IF(LEN(I472)=0,Taostats_CSV!F472&amp;" "&amp;Taostats_CSV!J472,IF(I472="Cost","Extrinsic fee","")),"_"," ")</f>
        <v/>
      </c>
      <c r="K472" t="str">
        <f>TRIM(IF(LEN(Taostats_CSV!I472)&gt;0,Taostats_CSV!I472,""))</f>
        <v/>
      </c>
      <c r="L472">
        <f ca="1">IF(Taostats_CSV!E472&lt;&gt;"TAO",IF(LEN(F472)&gt;0,F472,IF(LEN(D472)&gt;0,D472,0))*Taostats_CSV!P472,"")</f>
        <v>11.127382723500501</v>
      </c>
      <c r="M472" t="str">
        <f t="shared" ca="1" si="57"/>
        <v>USD</v>
      </c>
      <c r="N472">
        <f>COUNTIF(Taostats_CSV!$X:$X,Taostats_CSV!$I472&amp;N$1)</f>
        <v>0</v>
      </c>
      <c r="O472">
        <f>COUNTIF(Taostats_CSV!$X:$X,Taostats_CSV!$I472&amp;O$1)</f>
        <v>0</v>
      </c>
      <c r="P472">
        <f>COUNTIF(Taostats_CSV!$X:$X,Taostats_CSV!$I472&amp;P$1)</f>
        <v>0</v>
      </c>
      <c r="Q472" t="b">
        <f t="shared" si="58"/>
        <v>0</v>
      </c>
      <c r="R472" t="b">
        <f>IF(LEN(K472)&gt;0,COUNTIF($K$3:K472,K472),FALSE)</f>
        <v>0</v>
      </c>
      <c r="S472" t="b">
        <f>IF(Taostats_CSV!A472=Taostats_CSV!$A$2,TRUE,Taostats_CSV!G472+Taostats_CSV!H472+Taostats_CSV!R472=0)</f>
        <v>0</v>
      </c>
      <c r="T472" t="b">
        <f t="shared" si="59"/>
        <v>1</v>
      </c>
      <c r="U472" t="b" cm="1">
        <f t="array" aca="1" ref="U472" ca="1">AND(T472,OR(O472-N472&gt;1,P472&gt;1,ISERROR(A472:P472)))</f>
        <v>0</v>
      </c>
      <c r="W472" t="e">
        <f>MATCH(K472&amp;$W$2,Taostats_CSV!$X$3:$X$1167,0)</f>
        <v>#N/A</v>
      </c>
      <c r="X472" t="e">
        <f t="shared" ca="1" si="54"/>
        <v>#VALUE!</v>
      </c>
      <c r="Y472">
        <f t="shared" ca="1" si="55"/>
        <v>0.139270798</v>
      </c>
      <c r="Z472" t="e">
        <f t="shared" ca="1" si="56"/>
        <v>#VALUE!</v>
      </c>
    </row>
    <row r="473" spans="1:26" hidden="1" x14ac:dyDescent="0.4">
      <c r="A473" t="str">
        <f>MID(Taostats_CSV!C473,6,2)&amp;"/"&amp;MID(Taostats_CSV!C473,9,2)&amp;"/"&amp;LEFT(Taostats_CSV!C473,4)&amp;" "&amp;MID(Taostats_CSV!C473,12,8)</f>
        <v>06/14/2025 23:59:48</v>
      </c>
      <c r="C473" t="str">
        <f ca="1">IF(Q473,OFFSET(Taostats_CSV!$E$1,MATCH(K473&amp;D$1,Taostats_CSV!$X:$X,0)-1,0),IF(Taostats_CSV!F473="fee","",IF(VALUE(Taostats_CSV!G473)&gt;0,Taostats_CSV!E473,"")))</f>
        <v/>
      </c>
      <c r="D473" t="str">
        <f ca="1">IF(Q473,OFFSET(Taostats_CSV!$G$1,MATCH(K473&amp;D$1,Taostats_CSV!$X:$X,0)-1,0),IF(Taostats_CSV!F473="fee","",IF(VALUE(Taostats_CSV!G473)&gt;0,Taostats_CSV!G473,"")))</f>
        <v/>
      </c>
      <c r="E473" t="str">
        <f ca="1">IF(AND(Q473,P473&gt;0),OFFSET(Taostats_CSV!$E$1,MATCH(K473&amp;F$1,Taostats_CSV!$X:$X,0)-1,0),IF(LEN(F473)&gt;0,Taostats_CSV!E473,""))</f>
        <v>TAO</v>
      </c>
      <c r="F473" t="str">
        <f ca="1">TRIM(IF(AND(Q473,P473&gt;0),OFFSET(Taostats_CSV!$H$1,MATCH(K473&amp;F$1,Taostats_CSV!$X:$X,0)-1,0),IF(LEN(Taostats_CSV!H473)&gt;0,Taostats_CSV!H473,Taostats_CSV!R473)))</f>
        <v>0</v>
      </c>
      <c r="G473" t="str">
        <f ca="1">IF(AND(Q473,N473=1),OFFSET(Taostats_CSV!$E$1,MATCH(K473&amp;H$1,Taostats_CSV!$X:$X,0)-1,0),IF(Taostats_CSV!F473="fee",Taostats_CSV!E473,""))</f>
        <v/>
      </c>
      <c r="H473" t="str">
        <f ca="1">IF(AND(Q473,N473=1),OFFSET(Taostats_CSV!$G$1,MATCH(K473&amp;H$1,Taostats_CSV!$X:$X,0)-1,0),IF(Taostats_CSV!F473="fee",Taostats_CSV!G473,""))</f>
        <v/>
      </c>
      <c r="I473" t="str">
        <f ca="1">IF(AND(LEN(K473)=0,LEN(F473)&gt;0),"Income",IF(AND(O473&gt;0,P473&gt;0,C473&lt;&gt;E473),"Trade",IF(AND(NOT(Q473),Taostats_CSV!F473="fee"),'READ ME'!$C$5,"")))</f>
        <v>Income</v>
      </c>
      <c r="J473" t="str">
        <f ca="1">SUBSTITUTE(IF(LEN(I473)=0,Taostats_CSV!F473&amp;" "&amp;Taostats_CSV!J473,IF(I473="Cost","Extrinsic fee","")),"_"," ")</f>
        <v/>
      </c>
      <c r="K473" t="str">
        <f>TRIM(IF(LEN(Taostats_CSV!I473)&gt;0,Taostats_CSV!I473,""))</f>
        <v/>
      </c>
      <c r="L473" t="str">
        <f>IF(Taostats_CSV!E473&lt;&gt;"TAO",IF(LEN(F473)&gt;0,F473,IF(LEN(D473)&gt;0,D473,0))*Taostats_CSV!P473,"")</f>
        <v/>
      </c>
      <c r="M473" t="str">
        <f t="shared" si="57"/>
        <v/>
      </c>
      <c r="N473">
        <f>COUNTIF(Taostats_CSV!$X:$X,Taostats_CSV!$I473&amp;N$1)</f>
        <v>0</v>
      </c>
      <c r="O473">
        <f>COUNTIF(Taostats_CSV!$X:$X,Taostats_CSV!$I473&amp;O$1)</f>
        <v>0</v>
      </c>
      <c r="P473">
        <f>COUNTIF(Taostats_CSV!$X:$X,Taostats_CSV!$I473&amp;P$1)</f>
        <v>0</v>
      </c>
      <c r="Q473" t="b">
        <f t="shared" si="58"/>
        <v>0</v>
      </c>
      <c r="R473" t="b">
        <f>IF(LEN(K473)&gt;0,COUNTIF($K$3:K473,K473),FALSE)</f>
        <v>0</v>
      </c>
      <c r="S473" t="b">
        <f>IF(Taostats_CSV!A473=Taostats_CSV!$A$2,TRUE,Taostats_CSV!G473+Taostats_CSV!H473+Taostats_CSV!R473=0)</f>
        <v>1</v>
      </c>
      <c r="T473" t="b">
        <f t="shared" si="59"/>
        <v>0</v>
      </c>
      <c r="U473" t="b" cm="1">
        <f t="array" aca="1" ref="U473" ca="1">AND(T473,OR(O473-N473&gt;1,P473&gt;1,ISERROR(A473:P473)))</f>
        <v>0</v>
      </c>
      <c r="W473" t="e">
        <f>MATCH(K473&amp;$W$2,Taostats_CSV!$X$3:$X$1167,0)</f>
        <v>#N/A</v>
      </c>
      <c r="X473" t="e">
        <f t="shared" ca="1" si="54"/>
        <v>#VALUE!</v>
      </c>
      <c r="Y473">
        <f t="shared" ca="1" si="55"/>
        <v>0</v>
      </c>
      <c r="Z473" t="e">
        <f t="shared" ca="1" si="56"/>
        <v>#VALUE!</v>
      </c>
    </row>
    <row r="474" spans="1:26" x14ac:dyDescent="0.4">
      <c r="A474" t="str">
        <f>MID(Taostats_CSV!C474,6,2)&amp;"/"&amp;MID(Taostats_CSV!C474,9,2)&amp;"/"&amp;LEFT(Taostats_CSV!C474,4)&amp;" "&amp;MID(Taostats_CSV!C474,12,8)</f>
        <v>06/15/2025 23:59:48</v>
      </c>
      <c r="C474" t="str">
        <f ca="1">IF(Q474,OFFSET(Taostats_CSV!$E$1,MATCH(K474&amp;D$1,Taostats_CSV!$X:$X,0)-1,0),IF(Taostats_CSV!F474="fee",IF(VALUE(Taostats_CSV!G474)&gt;0,Taostats_CSV!E474,""),""))</f>
        <v/>
      </c>
      <c r="D474" t="str">
        <f ca="1">IF(Q474,OFFSET(Taostats_CSV!$G$1,MATCH(K474&amp;D$1,Taostats_CSV!$X:$X,0)-1,0),IF(Taostats_CSV!F474="fee",IF(VALUE(Taostats_CSV!G474)&gt;0,Taostats_CSV!G474,""),""))</f>
        <v/>
      </c>
      <c r="E474" t="str">
        <f ca="1">IF(AND(Q474,P474&gt;0),OFFSET(Taostats_CSV!$E$1,MATCH(K474&amp;F$1,Taostats_CSV!$X:$X,0)-1,0),IF(LEN(F474)&gt;0,Taostats_CSV!E474,""))</f>
        <v>SN3</v>
      </c>
      <c r="F474" t="str">
        <f ca="1">TRIM(IF(AND(Q474,P474&gt;0),OFFSET(Taostats_CSV!$H$1,MATCH(K474&amp;F$1,Taostats_CSV!$X:$X,0)-1,0),IF(LEN(Taostats_CSV!H474)&gt;0,Taostats_CSV!H474,Taostats_CSV!R474)))</f>
        <v>0.400176276</v>
      </c>
      <c r="G474" t="str">
        <f ca="1">IF(AND(Q474,N474=1),OFFSET(Taostats_CSV!$E$1,MATCH(K474&amp;H$1,Taostats_CSV!$X:$X,0)-1,0),"")</f>
        <v/>
      </c>
      <c r="H474" t="str">
        <f ca="1">IF(AND(Q474,N474=1),OFFSET(Taostats_CSV!$G$1,MATCH(K474&amp;H$1,Taostats_CSV!$X:$X,0)-1,0),"")</f>
        <v/>
      </c>
      <c r="I474" t="str">
        <f ca="1">IF(AND(LEN(K474)=0,LEN(F474)&gt;0),"Income",IF(AND(O474&gt;0,P474&gt;0,C474&lt;&gt;E474),"Trade",IF(AND(NOT(Q474),Taostats_CSV!F474="fee"),'READ ME'!$C$5,"")))</f>
        <v>Income</v>
      </c>
      <c r="J474" t="str">
        <f ca="1">SUBSTITUTE(IF(LEN(I474)=0,Taostats_CSV!F474&amp;" "&amp;Taostats_CSV!J474,IF(I474="Cost","Extrinsic fee","")),"_"," ")</f>
        <v/>
      </c>
      <c r="K474" t="str">
        <f>TRIM(IF(LEN(Taostats_CSV!I474)&gt;0,Taostats_CSV!I474,""))</f>
        <v/>
      </c>
      <c r="L474">
        <f ca="1">IF(Taostats_CSV!E474&lt;&gt;"TAO",IF(LEN(F474)&gt;0,F474,IF(LEN(D474)&gt;0,D474,0))*Taostats_CSV!P474,"")</f>
        <v>13.445092809557611</v>
      </c>
      <c r="M474" t="str">
        <f t="shared" ca="1" si="57"/>
        <v>USD</v>
      </c>
      <c r="N474">
        <f>COUNTIF(Taostats_CSV!$X:$X,Taostats_CSV!$I474&amp;N$1)</f>
        <v>0</v>
      </c>
      <c r="O474">
        <f>COUNTIF(Taostats_CSV!$X:$X,Taostats_CSV!$I474&amp;O$1)</f>
        <v>0</v>
      </c>
      <c r="P474">
        <f>COUNTIF(Taostats_CSV!$X:$X,Taostats_CSV!$I474&amp;P$1)</f>
        <v>0</v>
      </c>
      <c r="Q474" t="b">
        <f t="shared" si="58"/>
        <v>0</v>
      </c>
      <c r="R474" t="b">
        <f>IF(LEN(K474)&gt;0,COUNTIF($K$3:K474,K474),FALSE)</f>
        <v>0</v>
      </c>
      <c r="S474" t="b">
        <f>IF(Taostats_CSV!A474=Taostats_CSV!$A$2,TRUE,Taostats_CSV!G474+Taostats_CSV!H474+Taostats_CSV!R474=0)</f>
        <v>0</v>
      </c>
      <c r="T474" t="b">
        <f t="shared" si="59"/>
        <v>1</v>
      </c>
      <c r="U474" t="b" cm="1">
        <f t="array" aca="1" ref="U474" ca="1">AND(T474,OR(O474-N474&gt;1,P474&gt;1,ISERROR(A474:P474)))</f>
        <v>0</v>
      </c>
      <c r="W474" t="e">
        <f>MATCH(K474&amp;$W$2,Taostats_CSV!$X$3:$X$1167,0)</f>
        <v>#N/A</v>
      </c>
      <c r="X474" t="e">
        <f t="shared" ca="1" si="54"/>
        <v>#VALUE!</v>
      </c>
      <c r="Y474">
        <f t="shared" ca="1" si="55"/>
        <v>0.400176276</v>
      </c>
      <c r="Z474" t="e">
        <f t="shared" ca="1" si="56"/>
        <v>#VALUE!</v>
      </c>
    </row>
    <row r="475" spans="1:26" x14ac:dyDescent="0.4">
      <c r="A475" t="str">
        <f>MID(Taostats_CSV!C475,6,2)&amp;"/"&amp;MID(Taostats_CSV!C475,9,2)&amp;"/"&amp;LEFT(Taostats_CSV!C475,4)&amp;" "&amp;MID(Taostats_CSV!C475,12,8)</f>
        <v>06/15/2025 23:59:48</v>
      </c>
      <c r="C475" t="str">
        <f ca="1">IF(Q475,OFFSET(Taostats_CSV!$E$1,MATCH(K475&amp;D$1,Taostats_CSV!$X:$X,0)-1,0),IF(Taostats_CSV!F475="fee",IF(VALUE(Taostats_CSV!G475)&gt;0,Taostats_CSV!E475,""),""))</f>
        <v/>
      </c>
      <c r="D475" t="str">
        <f ca="1">IF(Q475,OFFSET(Taostats_CSV!$G$1,MATCH(K475&amp;D$1,Taostats_CSV!$X:$X,0)-1,0),IF(Taostats_CSV!F475="fee",IF(VALUE(Taostats_CSV!G475)&gt;0,Taostats_CSV!G475,""),""))</f>
        <v/>
      </c>
      <c r="E475" t="str">
        <f ca="1">IF(AND(Q475,P475&gt;0),OFFSET(Taostats_CSV!$E$1,MATCH(K475&amp;F$1,Taostats_CSV!$X:$X,0)-1,0),IF(LEN(F475)&gt;0,Taostats_CSV!E475,""))</f>
        <v>SN4</v>
      </c>
      <c r="F475" t="str">
        <f ca="1">TRIM(IF(AND(Q475,P475&gt;0),OFFSET(Taostats_CSV!$H$1,MATCH(K475&amp;F$1,Taostats_CSV!$X:$X,0)-1,0),IF(LEN(Taostats_CSV!H475)&gt;0,Taostats_CSV!H475,Taostats_CSV!R475)))</f>
        <v>0.586708494</v>
      </c>
      <c r="G475" t="str">
        <f ca="1">IF(AND(Q475,N475=1),OFFSET(Taostats_CSV!$E$1,MATCH(K475&amp;H$1,Taostats_CSV!$X:$X,0)-1,0),"")</f>
        <v/>
      </c>
      <c r="H475" t="str">
        <f ca="1">IF(AND(Q475,N475=1),OFFSET(Taostats_CSV!$G$1,MATCH(K475&amp;H$1,Taostats_CSV!$X:$X,0)-1,0),"")</f>
        <v/>
      </c>
      <c r="I475" t="str">
        <f ca="1">IF(AND(LEN(K475)=0,LEN(F475)&gt;0),"Income",IF(AND(O475&gt;0,P475&gt;0,C475&lt;&gt;E475),"Trade",IF(AND(NOT(Q475),Taostats_CSV!F475="fee"),'READ ME'!$C$5,"")))</f>
        <v>Income</v>
      </c>
      <c r="J475" t="str">
        <f ca="1">SUBSTITUTE(IF(LEN(I475)=0,Taostats_CSV!F475&amp;" "&amp;Taostats_CSV!J475,IF(I475="Cost","Extrinsic fee","")),"_"," ")</f>
        <v/>
      </c>
      <c r="K475" t="str">
        <f>TRIM(IF(LEN(Taostats_CSV!I475)&gt;0,Taostats_CSV!I475,""))</f>
        <v/>
      </c>
      <c r="L475">
        <f ca="1">IF(Taostats_CSV!E475&lt;&gt;"TAO",IF(LEN(F475)&gt;0,F475,IF(LEN(D475)&gt;0,D475,0))*Taostats_CSV!P475,"")</f>
        <v>17.568341070582708</v>
      </c>
      <c r="M475" t="str">
        <f t="shared" ca="1" si="57"/>
        <v>USD</v>
      </c>
      <c r="N475">
        <f>COUNTIF(Taostats_CSV!$X:$X,Taostats_CSV!$I475&amp;N$1)</f>
        <v>0</v>
      </c>
      <c r="O475">
        <f>COUNTIF(Taostats_CSV!$X:$X,Taostats_CSV!$I475&amp;O$1)</f>
        <v>0</v>
      </c>
      <c r="P475">
        <f>COUNTIF(Taostats_CSV!$X:$X,Taostats_CSV!$I475&amp;P$1)</f>
        <v>0</v>
      </c>
      <c r="Q475" t="b">
        <f t="shared" si="58"/>
        <v>0</v>
      </c>
      <c r="R475" t="b">
        <f>IF(LEN(K475)&gt;0,COUNTIF($K$3:K475,K475),FALSE)</f>
        <v>0</v>
      </c>
      <c r="S475" t="b">
        <f>IF(Taostats_CSV!A475=Taostats_CSV!$A$2,TRUE,Taostats_CSV!G475+Taostats_CSV!H475+Taostats_CSV!R475=0)</f>
        <v>0</v>
      </c>
      <c r="T475" t="b">
        <f t="shared" si="59"/>
        <v>1</v>
      </c>
      <c r="U475" t="b" cm="1">
        <f t="array" aca="1" ref="U475" ca="1">AND(T475,OR(O475-N475&gt;1,P475&gt;1,ISERROR(A475:P475)))</f>
        <v>0</v>
      </c>
      <c r="W475" t="e">
        <f>MATCH(K475&amp;$W$2,Taostats_CSV!$X$3:$X$1167,0)</f>
        <v>#N/A</v>
      </c>
      <c r="X475" t="e">
        <f t="shared" ca="1" si="54"/>
        <v>#VALUE!</v>
      </c>
      <c r="Y475">
        <f t="shared" ca="1" si="55"/>
        <v>0.58670849400000002</v>
      </c>
      <c r="Z475" t="e">
        <f t="shared" ca="1" si="56"/>
        <v>#VALUE!</v>
      </c>
    </row>
    <row r="476" spans="1:26" x14ac:dyDescent="0.4">
      <c r="A476" t="str">
        <f>MID(Taostats_CSV!C476,6,2)&amp;"/"&amp;MID(Taostats_CSV!C476,9,2)&amp;"/"&amp;LEFT(Taostats_CSV!C476,4)&amp;" "&amp;MID(Taostats_CSV!C476,12,8)</f>
        <v>06/15/2025 23:59:48</v>
      </c>
      <c r="C476" t="str">
        <f ca="1">IF(Q476,OFFSET(Taostats_CSV!$E$1,MATCH(K476&amp;D$1,Taostats_CSV!$X:$X,0)-1,0),IF(Taostats_CSV!F476="fee",IF(VALUE(Taostats_CSV!G476)&gt;0,Taostats_CSV!E476,""),""))</f>
        <v/>
      </c>
      <c r="D476" t="str">
        <f ca="1">IF(Q476,OFFSET(Taostats_CSV!$G$1,MATCH(K476&amp;D$1,Taostats_CSV!$X:$X,0)-1,0),IF(Taostats_CSV!F476="fee",IF(VALUE(Taostats_CSV!G476)&gt;0,Taostats_CSV!G476,""),""))</f>
        <v/>
      </c>
      <c r="E476" t="str">
        <f ca="1">IF(AND(Q476,P476&gt;0),OFFSET(Taostats_CSV!$E$1,MATCH(K476&amp;F$1,Taostats_CSV!$X:$X,0)-1,0),IF(LEN(F476)&gt;0,Taostats_CSV!E476,""))</f>
        <v>SN56</v>
      </c>
      <c r="F476" t="str">
        <f ca="1">TRIM(IF(AND(Q476,P476&gt;0),OFFSET(Taostats_CSV!$H$1,MATCH(K476&amp;F$1,Taostats_CSV!$X:$X,0)-1,0),IF(LEN(Taostats_CSV!H476)&gt;0,Taostats_CSV!H476,Taostats_CSV!R476)))</f>
        <v>0.250887402</v>
      </c>
      <c r="G476" t="str">
        <f ca="1">IF(AND(Q476,N476=1),OFFSET(Taostats_CSV!$E$1,MATCH(K476&amp;H$1,Taostats_CSV!$X:$X,0)-1,0),"")</f>
        <v/>
      </c>
      <c r="H476" t="str">
        <f ca="1">IF(AND(Q476,N476=1),OFFSET(Taostats_CSV!$G$1,MATCH(K476&amp;H$1,Taostats_CSV!$X:$X,0)-1,0),"")</f>
        <v/>
      </c>
      <c r="I476" t="str">
        <f ca="1">IF(AND(LEN(K476)=0,LEN(F476)&gt;0),"Income",IF(AND(O476&gt;0,P476&gt;0,C476&lt;&gt;E476),"Trade",IF(AND(NOT(Q476),Taostats_CSV!F476="fee"),'READ ME'!$C$5,"")))</f>
        <v>Income</v>
      </c>
      <c r="J476" t="str">
        <f ca="1">SUBSTITUTE(IF(LEN(I476)=0,Taostats_CSV!F476&amp;" "&amp;Taostats_CSV!J476,IF(I476="Cost","Extrinsic fee","")),"_"," ")</f>
        <v/>
      </c>
      <c r="K476" t="str">
        <f>TRIM(IF(LEN(Taostats_CSV!I476)&gt;0,Taostats_CSV!I476,""))</f>
        <v/>
      </c>
      <c r="L476">
        <f ca="1">IF(Taostats_CSV!E476&lt;&gt;"TAO",IF(LEN(F476)&gt;0,F476,IF(LEN(D476)&gt;0,D476,0))*Taostats_CSV!P476,"")</f>
        <v>7.2795996461517269</v>
      </c>
      <c r="M476" t="str">
        <f t="shared" ca="1" si="57"/>
        <v>USD</v>
      </c>
      <c r="N476">
        <f>COUNTIF(Taostats_CSV!$X:$X,Taostats_CSV!$I476&amp;N$1)</f>
        <v>0</v>
      </c>
      <c r="O476">
        <f>COUNTIF(Taostats_CSV!$X:$X,Taostats_CSV!$I476&amp;O$1)</f>
        <v>0</v>
      </c>
      <c r="P476">
        <f>COUNTIF(Taostats_CSV!$X:$X,Taostats_CSV!$I476&amp;P$1)</f>
        <v>0</v>
      </c>
      <c r="Q476" t="b">
        <f t="shared" si="58"/>
        <v>0</v>
      </c>
      <c r="R476" t="b">
        <f>IF(LEN(K476)&gt;0,COUNTIF($K$3:K476,K476),FALSE)</f>
        <v>0</v>
      </c>
      <c r="S476" t="b">
        <f>IF(Taostats_CSV!A476=Taostats_CSV!$A$2,TRUE,Taostats_CSV!G476+Taostats_CSV!H476+Taostats_CSV!R476=0)</f>
        <v>0</v>
      </c>
      <c r="T476" t="b">
        <f t="shared" si="59"/>
        <v>1</v>
      </c>
      <c r="U476" t="b" cm="1">
        <f t="array" aca="1" ref="U476" ca="1">AND(T476,OR(O476-N476&gt;1,P476&gt;1,ISERROR(A476:P476)))</f>
        <v>0</v>
      </c>
      <c r="W476" t="e">
        <f>MATCH(K476&amp;$W$2,Taostats_CSV!$X$3:$X$1167,0)</f>
        <v>#N/A</v>
      </c>
      <c r="X476" t="e">
        <f t="shared" ca="1" si="54"/>
        <v>#VALUE!</v>
      </c>
      <c r="Y476">
        <f t="shared" ca="1" si="55"/>
        <v>0.25088740199999998</v>
      </c>
      <c r="Z476" t="e">
        <f t="shared" ca="1" si="56"/>
        <v>#VALUE!</v>
      </c>
    </row>
    <row r="477" spans="1:26" x14ac:dyDescent="0.4">
      <c r="A477" t="str">
        <f>MID(Taostats_CSV!C477,6,2)&amp;"/"&amp;MID(Taostats_CSV!C477,9,2)&amp;"/"&amp;LEFT(Taostats_CSV!C477,4)&amp;" "&amp;MID(Taostats_CSV!C477,12,8)</f>
        <v>06/15/2025 23:59:48</v>
      </c>
      <c r="C477" t="str">
        <f ca="1">IF(Q477,OFFSET(Taostats_CSV!$E$1,MATCH(K477&amp;D$1,Taostats_CSV!$X:$X,0)-1,0),IF(Taostats_CSV!F477="fee",IF(VALUE(Taostats_CSV!G477)&gt;0,Taostats_CSV!E477,""),""))</f>
        <v/>
      </c>
      <c r="D477" t="str">
        <f ca="1">IF(Q477,OFFSET(Taostats_CSV!$G$1,MATCH(K477&amp;D$1,Taostats_CSV!$X:$X,0)-1,0),IF(Taostats_CSV!F477="fee",IF(VALUE(Taostats_CSV!G477)&gt;0,Taostats_CSV!G477,""),""))</f>
        <v/>
      </c>
      <c r="E477" t="str">
        <f ca="1">IF(AND(Q477,P477&gt;0),OFFSET(Taostats_CSV!$E$1,MATCH(K477&amp;F$1,Taostats_CSV!$X:$X,0)-1,0),IF(LEN(F477)&gt;0,Taostats_CSV!E477,""))</f>
        <v>SN64</v>
      </c>
      <c r="F477" t="str">
        <f ca="1">TRIM(IF(AND(Q477,P477&gt;0),OFFSET(Taostats_CSV!$H$1,MATCH(K477&amp;F$1,Taostats_CSV!$X:$X,0)-1,0),IF(LEN(Taostats_CSV!H477)&gt;0,Taostats_CSV!H477,Taostats_CSV!R477)))</f>
        <v>0.139979796</v>
      </c>
      <c r="G477" t="str">
        <f ca="1">IF(AND(Q477,N477=1),OFFSET(Taostats_CSV!$E$1,MATCH(K477&amp;H$1,Taostats_CSV!$X:$X,0)-1,0),"")</f>
        <v/>
      </c>
      <c r="H477" t="str">
        <f ca="1">IF(AND(Q477,N477=1),OFFSET(Taostats_CSV!$G$1,MATCH(K477&amp;H$1,Taostats_CSV!$X:$X,0)-1,0),"")</f>
        <v/>
      </c>
      <c r="I477" t="str">
        <f ca="1">IF(AND(LEN(K477)=0,LEN(F477)&gt;0),"Income",IF(AND(O477&gt;0,P477&gt;0,C477&lt;&gt;E477),"Trade",IF(AND(NOT(Q477),Taostats_CSV!F477="fee"),'READ ME'!$C$5,"")))</f>
        <v>Income</v>
      </c>
      <c r="J477" t="str">
        <f ca="1">SUBSTITUTE(IF(LEN(I477)=0,Taostats_CSV!F477&amp;" "&amp;Taostats_CSV!J477,IF(I477="Cost","Extrinsic fee","")),"_"," ")</f>
        <v/>
      </c>
      <c r="K477" t="str">
        <f>TRIM(IF(LEN(Taostats_CSV!I477)&gt;0,Taostats_CSV!I477,""))</f>
        <v/>
      </c>
      <c r="L477">
        <f ca="1">IF(Taostats_CSV!E477&lt;&gt;"TAO",IF(LEN(F477)&gt;0,F477,IF(LEN(D477)&gt;0,D477,0))*Taostats_CSV!P477,"")</f>
        <v>10.978427018811763</v>
      </c>
      <c r="M477" t="str">
        <f t="shared" ca="1" si="57"/>
        <v>USD</v>
      </c>
      <c r="N477">
        <f>COUNTIF(Taostats_CSV!$X:$X,Taostats_CSV!$I477&amp;N$1)</f>
        <v>0</v>
      </c>
      <c r="O477">
        <f>COUNTIF(Taostats_CSV!$X:$X,Taostats_CSV!$I477&amp;O$1)</f>
        <v>0</v>
      </c>
      <c r="P477">
        <f>COUNTIF(Taostats_CSV!$X:$X,Taostats_CSV!$I477&amp;P$1)</f>
        <v>0</v>
      </c>
      <c r="Q477" t="b">
        <f t="shared" si="58"/>
        <v>0</v>
      </c>
      <c r="R477" t="b">
        <f>IF(LEN(K477)&gt;0,COUNTIF($K$3:K477,K477),FALSE)</f>
        <v>0</v>
      </c>
      <c r="S477" t="b">
        <f>IF(Taostats_CSV!A477=Taostats_CSV!$A$2,TRUE,Taostats_CSV!G477+Taostats_CSV!H477+Taostats_CSV!R477=0)</f>
        <v>0</v>
      </c>
      <c r="T477" t="b">
        <f t="shared" si="59"/>
        <v>1</v>
      </c>
      <c r="U477" t="b" cm="1">
        <f t="array" aca="1" ref="U477" ca="1">AND(T477,OR(O477-N477&gt;1,P477&gt;1,ISERROR(A477:P477)))</f>
        <v>0</v>
      </c>
      <c r="W477" t="e">
        <f>MATCH(K477&amp;$W$2,Taostats_CSV!$X$3:$X$1167,0)</f>
        <v>#N/A</v>
      </c>
      <c r="X477" t="e">
        <f t="shared" ca="1" si="54"/>
        <v>#VALUE!</v>
      </c>
      <c r="Y477">
        <f t="shared" ca="1" si="55"/>
        <v>0.13997979599999999</v>
      </c>
      <c r="Z477" t="e">
        <f t="shared" ca="1" si="56"/>
        <v>#VALUE!</v>
      </c>
    </row>
    <row r="478" spans="1:26" hidden="1" x14ac:dyDescent="0.4">
      <c r="A478" t="str">
        <f>MID(Taostats_CSV!C478,6,2)&amp;"/"&amp;MID(Taostats_CSV!C478,9,2)&amp;"/"&amp;LEFT(Taostats_CSV!C478,4)&amp;" "&amp;MID(Taostats_CSV!C478,12,8)</f>
        <v>06/15/2025 23:59:48</v>
      </c>
      <c r="C478" t="str">
        <f ca="1">IF(Q478,OFFSET(Taostats_CSV!$E$1,MATCH(K478&amp;D$1,Taostats_CSV!$X:$X,0)-1,0),IF(Taostats_CSV!F478="fee","",IF(VALUE(Taostats_CSV!G478)&gt;0,Taostats_CSV!E478,"")))</f>
        <v/>
      </c>
      <c r="D478" t="str">
        <f ca="1">IF(Q478,OFFSET(Taostats_CSV!$G$1,MATCH(K478&amp;D$1,Taostats_CSV!$X:$X,0)-1,0),IF(Taostats_CSV!F478="fee","",IF(VALUE(Taostats_CSV!G478)&gt;0,Taostats_CSV!G478,"")))</f>
        <v/>
      </c>
      <c r="E478" t="str">
        <f ca="1">IF(AND(Q478,P478&gt;0),OFFSET(Taostats_CSV!$E$1,MATCH(K478&amp;F$1,Taostats_CSV!$X:$X,0)-1,0),IF(LEN(F478)&gt;0,Taostats_CSV!E478,""))</f>
        <v>TAO</v>
      </c>
      <c r="F478" t="str">
        <f ca="1">TRIM(IF(AND(Q478,P478&gt;0),OFFSET(Taostats_CSV!$H$1,MATCH(K478&amp;F$1,Taostats_CSV!$X:$X,0)-1,0),IF(LEN(Taostats_CSV!H478)&gt;0,Taostats_CSV!H478,Taostats_CSV!R478)))</f>
        <v>0</v>
      </c>
      <c r="G478" t="str">
        <f ca="1">IF(AND(Q478,N478=1),OFFSET(Taostats_CSV!$E$1,MATCH(K478&amp;H$1,Taostats_CSV!$X:$X,0)-1,0),IF(Taostats_CSV!F478="fee",Taostats_CSV!E478,""))</f>
        <v/>
      </c>
      <c r="H478" t="str">
        <f ca="1">IF(AND(Q478,N478=1),OFFSET(Taostats_CSV!$G$1,MATCH(K478&amp;H$1,Taostats_CSV!$X:$X,0)-1,0),IF(Taostats_CSV!F478="fee",Taostats_CSV!G478,""))</f>
        <v/>
      </c>
      <c r="I478" t="str">
        <f ca="1">IF(AND(LEN(K478)=0,LEN(F478)&gt;0),"Income",IF(AND(O478&gt;0,P478&gt;0,C478&lt;&gt;E478),"Trade",IF(AND(NOT(Q478),Taostats_CSV!F478="fee"),'READ ME'!$C$5,"")))</f>
        <v>Income</v>
      </c>
      <c r="J478" t="str">
        <f ca="1">SUBSTITUTE(IF(LEN(I478)=0,Taostats_CSV!F478&amp;" "&amp;Taostats_CSV!J478,IF(I478="Cost","Extrinsic fee","")),"_"," ")</f>
        <v/>
      </c>
      <c r="K478" t="str">
        <f>TRIM(IF(LEN(Taostats_CSV!I478)&gt;0,Taostats_CSV!I478,""))</f>
        <v/>
      </c>
      <c r="L478" t="str">
        <f>IF(Taostats_CSV!E478&lt;&gt;"TAO",IF(LEN(F478)&gt;0,F478,IF(LEN(D478)&gt;0,D478,0))*Taostats_CSV!P478,"")</f>
        <v/>
      </c>
      <c r="M478" t="str">
        <f t="shared" si="57"/>
        <v/>
      </c>
      <c r="N478">
        <f>COUNTIF(Taostats_CSV!$X:$X,Taostats_CSV!$I478&amp;N$1)</f>
        <v>0</v>
      </c>
      <c r="O478">
        <f>COUNTIF(Taostats_CSV!$X:$X,Taostats_CSV!$I478&amp;O$1)</f>
        <v>0</v>
      </c>
      <c r="P478">
        <f>COUNTIF(Taostats_CSV!$X:$X,Taostats_CSV!$I478&amp;P$1)</f>
        <v>0</v>
      </c>
      <c r="Q478" t="b">
        <f t="shared" si="58"/>
        <v>0</v>
      </c>
      <c r="R478" t="b">
        <f>IF(LEN(K478)&gt;0,COUNTIF($K$3:K478,K478),FALSE)</f>
        <v>0</v>
      </c>
      <c r="S478" t="b">
        <f>IF(Taostats_CSV!A478=Taostats_CSV!$A$2,TRUE,Taostats_CSV!G478+Taostats_CSV!H478+Taostats_CSV!R478=0)</f>
        <v>1</v>
      </c>
      <c r="T478" t="b">
        <f t="shared" si="59"/>
        <v>0</v>
      </c>
      <c r="U478" t="b" cm="1">
        <f t="array" aca="1" ref="U478" ca="1">AND(T478,OR(O478-N478&gt;1,P478&gt;1,ISERROR(A478:P478)))</f>
        <v>0</v>
      </c>
      <c r="W478" t="e">
        <f>MATCH(K478&amp;$W$2,Taostats_CSV!$X$3:$X$1167,0)</f>
        <v>#N/A</v>
      </c>
      <c r="X478" t="e">
        <f t="shared" ca="1" si="54"/>
        <v>#VALUE!</v>
      </c>
      <c r="Y478">
        <f t="shared" ca="1" si="55"/>
        <v>0</v>
      </c>
      <c r="Z478" t="e">
        <f t="shared" ca="1" si="56"/>
        <v>#VALUE!</v>
      </c>
    </row>
    <row r="479" spans="1:26" x14ac:dyDescent="0.4">
      <c r="A479" t="str">
        <f>MID(Taostats_CSV!C479,6,2)&amp;"/"&amp;MID(Taostats_CSV!C479,9,2)&amp;"/"&amp;LEFT(Taostats_CSV!C479,4)&amp;" "&amp;MID(Taostats_CSV!C479,12,8)</f>
        <v>06/16/2025 23:59:48</v>
      </c>
      <c r="C479" t="str">
        <f ca="1">IF(Q479,OFFSET(Taostats_CSV!$E$1,MATCH(K479&amp;D$1,Taostats_CSV!$X:$X,0)-1,0),IF(Taostats_CSV!F479="fee",IF(VALUE(Taostats_CSV!G479)&gt;0,Taostats_CSV!E479,""),""))</f>
        <v/>
      </c>
      <c r="D479" t="str">
        <f ca="1">IF(Q479,OFFSET(Taostats_CSV!$G$1,MATCH(K479&amp;D$1,Taostats_CSV!$X:$X,0)-1,0),IF(Taostats_CSV!F479="fee",IF(VALUE(Taostats_CSV!G479)&gt;0,Taostats_CSV!G479,""),""))</f>
        <v/>
      </c>
      <c r="E479" t="str">
        <f ca="1">IF(AND(Q479,P479&gt;0),OFFSET(Taostats_CSV!$E$1,MATCH(K479&amp;F$1,Taostats_CSV!$X:$X,0)-1,0),IF(LEN(F479)&gt;0,Taostats_CSV!E479,""))</f>
        <v>SN3</v>
      </c>
      <c r="F479" t="str">
        <f ca="1">TRIM(IF(AND(Q479,P479&gt;0),OFFSET(Taostats_CSV!$H$1,MATCH(K479&amp;F$1,Taostats_CSV!$X:$X,0)-1,0),IF(LEN(Taostats_CSV!H479)&gt;0,Taostats_CSV!H479,Taostats_CSV!R479)))</f>
        <v>0.400913356</v>
      </c>
      <c r="G479" t="str">
        <f ca="1">IF(AND(Q479,N479=1),OFFSET(Taostats_CSV!$E$1,MATCH(K479&amp;H$1,Taostats_CSV!$X:$X,0)-1,0),"")</f>
        <v/>
      </c>
      <c r="H479" t="str">
        <f ca="1">IF(AND(Q479,N479=1),OFFSET(Taostats_CSV!$G$1,MATCH(K479&amp;H$1,Taostats_CSV!$X:$X,0)-1,0),"")</f>
        <v/>
      </c>
      <c r="I479" t="str">
        <f ca="1">IF(AND(LEN(K479)=0,LEN(F479)&gt;0),"Income",IF(AND(O479&gt;0,P479&gt;0,C479&lt;&gt;E479),"Trade",IF(AND(NOT(Q479),Taostats_CSV!F479="fee"),'READ ME'!$C$5,"")))</f>
        <v>Income</v>
      </c>
      <c r="J479" t="str">
        <f ca="1">SUBSTITUTE(IF(LEN(I479)=0,Taostats_CSV!F479&amp;" "&amp;Taostats_CSV!J479,IF(I479="Cost","Extrinsic fee","")),"_"," ")</f>
        <v/>
      </c>
      <c r="K479" t="str">
        <f>TRIM(IF(LEN(Taostats_CSV!I479)&gt;0,Taostats_CSV!I479,""))</f>
        <v/>
      </c>
      <c r="L479">
        <f ca="1">IF(Taostats_CSV!E479&lt;&gt;"TAO",IF(LEN(F479)&gt;0,F479,IF(LEN(D479)&gt;0,D479,0))*Taostats_CSV!P479,"")</f>
        <v>12.729136893545999</v>
      </c>
      <c r="M479" t="str">
        <f t="shared" ca="1" si="57"/>
        <v>USD</v>
      </c>
      <c r="N479">
        <f>COUNTIF(Taostats_CSV!$X:$X,Taostats_CSV!$I479&amp;N$1)</f>
        <v>0</v>
      </c>
      <c r="O479">
        <f>COUNTIF(Taostats_CSV!$X:$X,Taostats_CSV!$I479&amp;O$1)</f>
        <v>0</v>
      </c>
      <c r="P479">
        <f>COUNTIF(Taostats_CSV!$X:$X,Taostats_CSV!$I479&amp;P$1)</f>
        <v>0</v>
      </c>
      <c r="Q479" t="b">
        <f t="shared" si="58"/>
        <v>0</v>
      </c>
      <c r="R479" t="b">
        <f>IF(LEN(K479)&gt;0,COUNTIF($K$3:K479,K479),FALSE)</f>
        <v>0</v>
      </c>
      <c r="S479" t="b">
        <f>IF(Taostats_CSV!A479=Taostats_CSV!$A$2,TRUE,Taostats_CSV!G479+Taostats_CSV!H479+Taostats_CSV!R479=0)</f>
        <v>0</v>
      </c>
      <c r="T479" t="b">
        <f t="shared" si="59"/>
        <v>1</v>
      </c>
      <c r="U479" t="b" cm="1">
        <f t="array" aca="1" ref="U479" ca="1">AND(T479,OR(O479-N479&gt;1,P479&gt;1,ISERROR(A479:P479)))</f>
        <v>0</v>
      </c>
      <c r="W479" t="e">
        <f>MATCH(K479&amp;$W$2,Taostats_CSV!$X$3:$X$1167,0)</f>
        <v>#N/A</v>
      </c>
      <c r="X479" t="e">
        <f t="shared" ca="1" si="54"/>
        <v>#VALUE!</v>
      </c>
      <c r="Y479">
        <f t="shared" ca="1" si="55"/>
        <v>0.400913356</v>
      </c>
      <c r="Z479" t="e">
        <f t="shared" ca="1" si="56"/>
        <v>#VALUE!</v>
      </c>
    </row>
    <row r="480" spans="1:26" x14ac:dyDescent="0.4">
      <c r="A480" t="str">
        <f>MID(Taostats_CSV!C480,6,2)&amp;"/"&amp;MID(Taostats_CSV!C480,9,2)&amp;"/"&amp;LEFT(Taostats_CSV!C480,4)&amp;" "&amp;MID(Taostats_CSV!C480,12,8)</f>
        <v>06/16/2025 23:59:48</v>
      </c>
      <c r="C480" t="str">
        <f ca="1">IF(Q480,OFFSET(Taostats_CSV!$E$1,MATCH(K480&amp;D$1,Taostats_CSV!$X:$X,0)-1,0),IF(Taostats_CSV!F480="fee",IF(VALUE(Taostats_CSV!G480)&gt;0,Taostats_CSV!E480,""),""))</f>
        <v/>
      </c>
      <c r="D480" t="str">
        <f ca="1">IF(Q480,OFFSET(Taostats_CSV!$G$1,MATCH(K480&amp;D$1,Taostats_CSV!$X:$X,0)-1,0),IF(Taostats_CSV!F480="fee",IF(VALUE(Taostats_CSV!G480)&gt;0,Taostats_CSV!G480,""),""))</f>
        <v/>
      </c>
      <c r="E480" t="str">
        <f ca="1">IF(AND(Q480,P480&gt;0),OFFSET(Taostats_CSV!$E$1,MATCH(K480&amp;F$1,Taostats_CSV!$X:$X,0)-1,0),IF(LEN(F480)&gt;0,Taostats_CSV!E480,""))</f>
        <v>SN4</v>
      </c>
      <c r="F480" t="str">
        <f ca="1">TRIM(IF(AND(Q480,P480&gt;0),OFFSET(Taostats_CSV!$H$1,MATCH(K480&amp;F$1,Taostats_CSV!$X:$X,0)-1,0),IF(LEN(Taostats_CSV!H480)&gt;0,Taostats_CSV!H480,Taostats_CSV!R480)))</f>
        <v>0.491511548</v>
      </c>
      <c r="G480" t="str">
        <f ca="1">IF(AND(Q480,N480=1),OFFSET(Taostats_CSV!$E$1,MATCH(K480&amp;H$1,Taostats_CSV!$X:$X,0)-1,0),"")</f>
        <v/>
      </c>
      <c r="H480" t="str">
        <f ca="1">IF(AND(Q480,N480=1),OFFSET(Taostats_CSV!$G$1,MATCH(K480&amp;H$1,Taostats_CSV!$X:$X,0)-1,0),"")</f>
        <v/>
      </c>
      <c r="I480" t="str">
        <f ca="1">IF(AND(LEN(K480)=0,LEN(F480)&gt;0),"Income",IF(AND(O480&gt;0,P480&gt;0,C480&lt;&gt;E480),"Trade",IF(AND(NOT(Q480),Taostats_CSV!F480="fee"),'READ ME'!$C$5,"")))</f>
        <v>Income</v>
      </c>
      <c r="J480" t="str">
        <f ca="1">SUBSTITUTE(IF(LEN(I480)=0,Taostats_CSV!F480&amp;" "&amp;Taostats_CSV!J480,IF(I480="Cost","Extrinsic fee","")),"_"," ")</f>
        <v/>
      </c>
      <c r="K480" t="str">
        <f>TRIM(IF(LEN(Taostats_CSV!I480)&gt;0,Taostats_CSV!I480,""))</f>
        <v/>
      </c>
      <c r="L480">
        <f ca="1">IF(Taostats_CSV!E480&lt;&gt;"TAO",IF(LEN(F480)&gt;0,F480,IF(LEN(D480)&gt;0,D480,0))*Taostats_CSV!P480,"")</f>
        <v>14.805689911029825</v>
      </c>
      <c r="M480" t="str">
        <f t="shared" ca="1" si="57"/>
        <v>USD</v>
      </c>
      <c r="N480">
        <f>COUNTIF(Taostats_CSV!$X:$X,Taostats_CSV!$I480&amp;N$1)</f>
        <v>0</v>
      </c>
      <c r="O480">
        <f>COUNTIF(Taostats_CSV!$X:$X,Taostats_CSV!$I480&amp;O$1)</f>
        <v>0</v>
      </c>
      <c r="P480">
        <f>COUNTIF(Taostats_CSV!$X:$X,Taostats_CSV!$I480&amp;P$1)</f>
        <v>0</v>
      </c>
      <c r="Q480" t="b">
        <f t="shared" si="58"/>
        <v>0</v>
      </c>
      <c r="R480" t="b">
        <f>IF(LEN(K480)&gt;0,COUNTIF($K$3:K480,K480),FALSE)</f>
        <v>0</v>
      </c>
      <c r="S480" t="b">
        <f>IF(Taostats_CSV!A480=Taostats_CSV!$A$2,TRUE,Taostats_CSV!G480+Taostats_CSV!H480+Taostats_CSV!R480=0)</f>
        <v>0</v>
      </c>
      <c r="T480" t="b">
        <f t="shared" si="59"/>
        <v>1</v>
      </c>
      <c r="U480" t="b" cm="1">
        <f t="array" aca="1" ref="U480" ca="1">AND(T480,OR(O480-N480&gt;1,P480&gt;1,ISERROR(A480:P480)))</f>
        <v>0</v>
      </c>
      <c r="W480" t="e">
        <f>MATCH(K480&amp;$W$2,Taostats_CSV!$X$3:$X$1167,0)</f>
        <v>#N/A</v>
      </c>
      <c r="X480" t="e">
        <f t="shared" ca="1" si="54"/>
        <v>#VALUE!</v>
      </c>
      <c r="Y480">
        <f t="shared" ca="1" si="55"/>
        <v>0.49151154800000002</v>
      </c>
      <c r="Z480" t="e">
        <f t="shared" ca="1" si="56"/>
        <v>#VALUE!</v>
      </c>
    </row>
    <row r="481" spans="1:26" x14ac:dyDescent="0.4">
      <c r="A481" t="str">
        <f>MID(Taostats_CSV!C481,6,2)&amp;"/"&amp;MID(Taostats_CSV!C481,9,2)&amp;"/"&amp;LEFT(Taostats_CSV!C481,4)&amp;" "&amp;MID(Taostats_CSV!C481,12,8)</f>
        <v>06/16/2025 23:59:48</v>
      </c>
      <c r="C481" t="str">
        <f ca="1">IF(Q481,OFFSET(Taostats_CSV!$E$1,MATCH(K481&amp;D$1,Taostats_CSV!$X:$X,0)-1,0),IF(Taostats_CSV!F481="fee",IF(VALUE(Taostats_CSV!G481)&gt;0,Taostats_CSV!E481,""),""))</f>
        <v/>
      </c>
      <c r="D481" t="str">
        <f ca="1">IF(Q481,OFFSET(Taostats_CSV!$G$1,MATCH(K481&amp;D$1,Taostats_CSV!$X:$X,0)-1,0),IF(Taostats_CSV!F481="fee",IF(VALUE(Taostats_CSV!G481)&gt;0,Taostats_CSV!G481,""),""))</f>
        <v/>
      </c>
      <c r="E481" t="str">
        <f ca="1">IF(AND(Q481,P481&gt;0),OFFSET(Taostats_CSV!$E$1,MATCH(K481&amp;F$1,Taostats_CSV!$X:$X,0)-1,0),IF(LEN(F481)&gt;0,Taostats_CSV!E481,""))</f>
        <v>SN56</v>
      </c>
      <c r="F481" t="str">
        <f ca="1">TRIM(IF(AND(Q481,P481&gt;0),OFFSET(Taostats_CSV!$H$1,MATCH(K481&amp;F$1,Taostats_CSV!$X:$X,0)-1,0),IF(LEN(Taostats_CSV!H481)&gt;0,Taostats_CSV!H481,Taostats_CSV!R481)))</f>
        <v>0.257852191</v>
      </c>
      <c r="G481" t="str">
        <f ca="1">IF(AND(Q481,N481=1),OFFSET(Taostats_CSV!$E$1,MATCH(K481&amp;H$1,Taostats_CSV!$X:$X,0)-1,0),"")</f>
        <v/>
      </c>
      <c r="H481" t="str">
        <f ca="1">IF(AND(Q481,N481=1),OFFSET(Taostats_CSV!$G$1,MATCH(K481&amp;H$1,Taostats_CSV!$X:$X,0)-1,0),"")</f>
        <v/>
      </c>
      <c r="I481" t="str">
        <f ca="1">IF(AND(LEN(K481)=0,LEN(F481)&gt;0),"Income",IF(AND(O481&gt;0,P481&gt;0,C481&lt;&gt;E481),"Trade",IF(AND(NOT(Q481),Taostats_CSV!F481="fee"),'READ ME'!$C$5,"")))</f>
        <v>Income</v>
      </c>
      <c r="J481" t="str">
        <f ca="1">SUBSTITUTE(IF(LEN(I481)=0,Taostats_CSV!F481&amp;" "&amp;Taostats_CSV!J481,IF(I481="Cost","Extrinsic fee","")),"_"," ")</f>
        <v/>
      </c>
      <c r="K481" t="str">
        <f>TRIM(IF(LEN(Taostats_CSV!I481)&gt;0,Taostats_CSV!I481,""))</f>
        <v/>
      </c>
      <c r="L481">
        <f ca="1">IF(Taostats_CSV!E481&lt;&gt;"TAO",IF(LEN(F481)&gt;0,F481,IF(LEN(D481)&gt;0,D481,0))*Taostats_CSV!P481,"")</f>
        <v>7.1300598555057277</v>
      </c>
      <c r="M481" t="str">
        <f t="shared" ca="1" si="57"/>
        <v>USD</v>
      </c>
      <c r="N481">
        <f>COUNTIF(Taostats_CSV!$X:$X,Taostats_CSV!$I481&amp;N$1)</f>
        <v>0</v>
      </c>
      <c r="O481">
        <f>COUNTIF(Taostats_CSV!$X:$X,Taostats_CSV!$I481&amp;O$1)</f>
        <v>0</v>
      </c>
      <c r="P481">
        <f>COUNTIF(Taostats_CSV!$X:$X,Taostats_CSV!$I481&amp;P$1)</f>
        <v>0</v>
      </c>
      <c r="Q481" t="b">
        <f t="shared" si="58"/>
        <v>0</v>
      </c>
      <c r="R481" t="b">
        <f>IF(LEN(K481)&gt;0,COUNTIF($K$3:K481,K481),FALSE)</f>
        <v>0</v>
      </c>
      <c r="S481" t="b">
        <f>IF(Taostats_CSV!A481=Taostats_CSV!$A$2,TRUE,Taostats_CSV!G481+Taostats_CSV!H481+Taostats_CSV!R481=0)</f>
        <v>0</v>
      </c>
      <c r="T481" t="b">
        <f t="shared" si="59"/>
        <v>1</v>
      </c>
      <c r="U481" t="b" cm="1">
        <f t="array" aca="1" ref="U481" ca="1">AND(T481,OR(O481-N481&gt;1,P481&gt;1,ISERROR(A481:P481)))</f>
        <v>0</v>
      </c>
      <c r="W481" t="e">
        <f>MATCH(K481&amp;$W$2,Taostats_CSV!$X$3:$X$1167,0)</f>
        <v>#N/A</v>
      </c>
      <c r="X481" t="e">
        <f t="shared" ca="1" si="54"/>
        <v>#VALUE!</v>
      </c>
      <c r="Y481">
        <f t="shared" ca="1" si="55"/>
        <v>0.25785219100000001</v>
      </c>
      <c r="Z481" t="e">
        <f t="shared" ca="1" si="56"/>
        <v>#VALUE!</v>
      </c>
    </row>
    <row r="482" spans="1:26" x14ac:dyDescent="0.4">
      <c r="A482" t="str">
        <f>MID(Taostats_CSV!C482,6,2)&amp;"/"&amp;MID(Taostats_CSV!C482,9,2)&amp;"/"&amp;LEFT(Taostats_CSV!C482,4)&amp;" "&amp;MID(Taostats_CSV!C482,12,8)</f>
        <v>06/16/2025 23:59:48</v>
      </c>
      <c r="C482" t="str">
        <f ca="1">IF(Q482,OFFSET(Taostats_CSV!$E$1,MATCH(K482&amp;D$1,Taostats_CSV!$X:$X,0)-1,0),IF(Taostats_CSV!F482="fee",IF(VALUE(Taostats_CSV!G482)&gt;0,Taostats_CSV!E482,""),""))</f>
        <v/>
      </c>
      <c r="D482" t="str">
        <f ca="1">IF(Q482,OFFSET(Taostats_CSV!$G$1,MATCH(K482&amp;D$1,Taostats_CSV!$X:$X,0)-1,0),IF(Taostats_CSV!F482="fee",IF(VALUE(Taostats_CSV!G482)&gt;0,Taostats_CSV!G482,""),""))</f>
        <v/>
      </c>
      <c r="E482" t="str">
        <f ca="1">IF(AND(Q482,P482&gt;0),OFFSET(Taostats_CSV!$E$1,MATCH(K482&amp;F$1,Taostats_CSV!$X:$X,0)-1,0),IF(LEN(F482)&gt;0,Taostats_CSV!E482,""))</f>
        <v>SN64</v>
      </c>
      <c r="F482" t="str">
        <f ca="1">TRIM(IF(AND(Q482,P482&gt;0),OFFSET(Taostats_CSV!$H$1,MATCH(K482&amp;F$1,Taostats_CSV!$X:$X,0)-1,0),IF(LEN(Taostats_CSV!H482)&gt;0,Taostats_CSV!H482,Taostats_CSV!R482)))</f>
        <v>0.141563643</v>
      </c>
      <c r="G482" t="str">
        <f ca="1">IF(AND(Q482,N482=1),OFFSET(Taostats_CSV!$E$1,MATCH(K482&amp;H$1,Taostats_CSV!$X:$X,0)-1,0),"")</f>
        <v/>
      </c>
      <c r="H482" t="str">
        <f ca="1">IF(AND(Q482,N482=1),OFFSET(Taostats_CSV!$G$1,MATCH(K482&amp;H$1,Taostats_CSV!$X:$X,0)-1,0),"")</f>
        <v/>
      </c>
      <c r="I482" t="str">
        <f ca="1">IF(AND(LEN(K482)=0,LEN(F482)&gt;0),"Income",IF(AND(O482&gt;0,P482&gt;0,C482&lt;&gt;E482),"Trade",IF(AND(NOT(Q482),Taostats_CSV!F482="fee"),'READ ME'!$C$5,"")))</f>
        <v>Income</v>
      </c>
      <c r="J482" t="str">
        <f ca="1">SUBSTITUTE(IF(LEN(I482)=0,Taostats_CSV!F482&amp;" "&amp;Taostats_CSV!J482,IF(I482="Cost","Extrinsic fee","")),"_"," ")</f>
        <v/>
      </c>
      <c r="K482" t="str">
        <f>TRIM(IF(LEN(Taostats_CSV!I482)&gt;0,Taostats_CSV!I482,""))</f>
        <v/>
      </c>
      <c r="L482">
        <f ca="1">IF(Taostats_CSV!E482&lt;&gt;"TAO",IF(LEN(F482)&gt;0,F482,IF(LEN(D482)&gt;0,D482,0))*Taostats_CSV!P482,"")</f>
        <v>10.775182565785842</v>
      </c>
      <c r="M482" t="str">
        <f t="shared" ca="1" si="57"/>
        <v>USD</v>
      </c>
      <c r="N482">
        <f>COUNTIF(Taostats_CSV!$X:$X,Taostats_CSV!$I482&amp;N$1)</f>
        <v>0</v>
      </c>
      <c r="O482">
        <f>COUNTIF(Taostats_CSV!$X:$X,Taostats_CSV!$I482&amp;O$1)</f>
        <v>0</v>
      </c>
      <c r="P482">
        <f>COUNTIF(Taostats_CSV!$X:$X,Taostats_CSV!$I482&amp;P$1)</f>
        <v>0</v>
      </c>
      <c r="Q482" t="b">
        <f t="shared" si="58"/>
        <v>0</v>
      </c>
      <c r="R482" t="b">
        <f>IF(LEN(K482)&gt;0,COUNTIF($K$3:K482,K482),FALSE)</f>
        <v>0</v>
      </c>
      <c r="S482" t="b">
        <f>IF(Taostats_CSV!A482=Taostats_CSV!$A$2,TRUE,Taostats_CSV!G482+Taostats_CSV!H482+Taostats_CSV!R482=0)</f>
        <v>0</v>
      </c>
      <c r="T482" t="b">
        <f t="shared" si="59"/>
        <v>1</v>
      </c>
      <c r="U482" t="b" cm="1">
        <f t="array" aca="1" ref="U482" ca="1">AND(T482,OR(O482-N482&gt;1,P482&gt;1,ISERROR(A482:P482)))</f>
        <v>0</v>
      </c>
      <c r="W482" t="e">
        <f>MATCH(K482&amp;$W$2,Taostats_CSV!$X$3:$X$1167,0)</f>
        <v>#N/A</v>
      </c>
      <c r="X482" t="e">
        <f t="shared" ca="1" si="54"/>
        <v>#VALUE!</v>
      </c>
      <c r="Y482">
        <f t="shared" ca="1" si="55"/>
        <v>0.14156364299999999</v>
      </c>
      <c r="Z482" t="e">
        <f t="shared" ca="1" si="56"/>
        <v>#VALUE!</v>
      </c>
    </row>
    <row r="483" spans="1:26" hidden="1" x14ac:dyDescent="0.4">
      <c r="A483" t="str">
        <f>MID(Taostats_CSV!C483,6,2)&amp;"/"&amp;MID(Taostats_CSV!C483,9,2)&amp;"/"&amp;LEFT(Taostats_CSV!C483,4)&amp;" "&amp;MID(Taostats_CSV!C483,12,8)</f>
        <v>06/16/2025 23:59:48</v>
      </c>
      <c r="C483" t="str">
        <f ca="1">IF(Q483,OFFSET(Taostats_CSV!$E$1,MATCH(K483&amp;D$1,Taostats_CSV!$X:$X,0)-1,0),IF(Taostats_CSV!F483="fee","",IF(VALUE(Taostats_CSV!G483)&gt;0,Taostats_CSV!E483,"")))</f>
        <v/>
      </c>
      <c r="D483" t="str">
        <f ca="1">IF(Q483,OFFSET(Taostats_CSV!$G$1,MATCH(K483&amp;D$1,Taostats_CSV!$X:$X,0)-1,0),IF(Taostats_CSV!F483="fee","",IF(VALUE(Taostats_CSV!G483)&gt;0,Taostats_CSV!G483,"")))</f>
        <v/>
      </c>
      <c r="E483" t="str">
        <f ca="1">IF(AND(Q483,P483&gt;0),OFFSET(Taostats_CSV!$E$1,MATCH(K483&amp;F$1,Taostats_CSV!$X:$X,0)-1,0),IF(LEN(F483)&gt;0,Taostats_CSV!E483,""))</f>
        <v>TAO</v>
      </c>
      <c r="F483" t="str">
        <f ca="1">TRIM(IF(AND(Q483,P483&gt;0),OFFSET(Taostats_CSV!$H$1,MATCH(K483&amp;F$1,Taostats_CSV!$X:$X,0)-1,0),IF(LEN(Taostats_CSV!H483)&gt;0,Taostats_CSV!H483,Taostats_CSV!R483)))</f>
        <v>0</v>
      </c>
      <c r="G483" t="str">
        <f ca="1">IF(AND(Q483,N483=1),OFFSET(Taostats_CSV!$E$1,MATCH(K483&amp;H$1,Taostats_CSV!$X:$X,0)-1,0),IF(Taostats_CSV!F483="fee",Taostats_CSV!E483,""))</f>
        <v/>
      </c>
      <c r="H483" t="str">
        <f ca="1">IF(AND(Q483,N483=1),OFFSET(Taostats_CSV!$G$1,MATCH(K483&amp;H$1,Taostats_CSV!$X:$X,0)-1,0),IF(Taostats_CSV!F483="fee",Taostats_CSV!G483,""))</f>
        <v/>
      </c>
      <c r="I483" t="str">
        <f ca="1">IF(AND(LEN(K483)=0,LEN(F483)&gt;0),"Income",IF(AND(O483&gt;0,P483&gt;0,C483&lt;&gt;E483),"Trade",IF(AND(NOT(Q483),Taostats_CSV!F483="fee"),'READ ME'!$C$5,"")))</f>
        <v>Income</v>
      </c>
      <c r="J483" t="str">
        <f ca="1">SUBSTITUTE(IF(LEN(I483)=0,Taostats_CSV!F483&amp;" "&amp;Taostats_CSV!J483,IF(I483="Cost","Extrinsic fee","")),"_"," ")</f>
        <v/>
      </c>
      <c r="K483" t="str">
        <f>TRIM(IF(LEN(Taostats_CSV!I483)&gt;0,Taostats_CSV!I483,""))</f>
        <v/>
      </c>
      <c r="L483" t="str">
        <f>IF(Taostats_CSV!E483&lt;&gt;"TAO",IF(LEN(F483)&gt;0,F483,IF(LEN(D483)&gt;0,D483,0))*Taostats_CSV!P483,"")</f>
        <v/>
      </c>
      <c r="M483" t="str">
        <f t="shared" si="57"/>
        <v/>
      </c>
      <c r="N483">
        <f>COUNTIF(Taostats_CSV!$X:$X,Taostats_CSV!$I483&amp;N$1)</f>
        <v>0</v>
      </c>
      <c r="O483">
        <f>COUNTIF(Taostats_CSV!$X:$X,Taostats_CSV!$I483&amp;O$1)</f>
        <v>0</v>
      </c>
      <c r="P483">
        <f>COUNTIF(Taostats_CSV!$X:$X,Taostats_CSV!$I483&amp;P$1)</f>
        <v>0</v>
      </c>
      <c r="Q483" t="b">
        <f t="shared" si="58"/>
        <v>0</v>
      </c>
      <c r="R483" t="b">
        <f>IF(LEN(K483)&gt;0,COUNTIF($K$3:K483,K483),FALSE)</f>
        <v>0</v>
      </c>
      <c r="S483" t="b">
        <f>IF(Taostats_CSV!A483=Taostats_CSV!$A$2,TRUE,Taostats_CSV!G483+Taostats_CSV!H483+Taostats_CSV!R483=0)</f>
        <v>1</v>
      </c>
      <c r="T483" t="b">
        <f t="shared" si="59"/>
        <v>0</v>
      </c>
      <c r="U483" t="b" cm="1">
        <f t="array" aca="1" ref="U483" ca="1">AND(T483,OR(O483-N483&gt;1,P483&gt;1,ISERROR(A483:P483)))</f>
        <v>0</v>
      </c>
      <c r="W483" t="e">
        <f>MATCH(K483&amp;$W$2,Taostats_CSV!$X$3:$X$1167,0)</f>
        <v>#N/A</v>
      </c>
      <c r="X483" t="e">
        <f t="shared" ca="1" si="54"/>
        <v>#VALUE!</v>
      </c>
      <c r="Y483">
        <f t="shared" ca="1" si="55"/>
        <v>0</v>
      </c>
      <c r="Z483" t="e">
        <f t="shared" ca="1" si="56"/>
        <v>#VALUE!</v>
      </c>
    </row>
    <row r="484" spans="1:26" x14ac:dyDescent="0.4">
      <c r="A484" t="str">
        <f>MID(Taostats_CSV!C484,6,2)&amp;"/"&amp;MID(Taostats_CSV!C484,9,2)&amp;"/"&amp;LEFT(Taostats_CSV!C484,4)&amp;" "&amp;MID(Taostats_CSV!C484,12,8)</f>
        <v>06/17/2025 23:59:48</v>
      </c>
      <c r="C484" t="str">
        <f ca="1">IF(Q484,OFFSET(Taostats_CSV!$E$1,MATCH(K484&amp;D$1,Taostats_CSV!$X:$X,0)-1,0),IF(Taostats_CSV!F484="fee",IF(VALUE(Taostats_CSV!G484)&gt;0,Taostats_CSV!E484,""),""))</f>
        <v/>
      </c>
      <c r="D484" t="str">
        <f ca="1">IF(Q484,OFFSET(Taostats_CSV!$G$1,MATCH(K484&amp;D$1,Taostats_CSV!$X:$X,0)-1,0),IF(Taostats_CSV!F484="fee",IF(VALUE(Taostats_CSV!G484)&gt;0,Taostats_CSV!G484,""),""))</f>
        <v/>
      </c>
      <c r="E484" t="str">
        <f ca="1">IF(AND(Q484,P484&gt;0),OFFSET(Taostats_CSV!$E$1,MATCH(K484&amp;F$1,Taostats_CSV!$X:$X,0)-1,0),IF(LEN(F484)&gt;0,Taostats_CSV!E484,""))</f>
        <v>SN3</v>
      </c>
      <c r="F484" t="str">
        <f ca="1">TRIM(IF(AND(Q484,P484&gt;0),OFFSET(Taostats_CSV!$H$1,MATCH(K484&amp;F$1,Taostats_CSV!$X:$X,0)-1,0),IF(LEN(Taostats_CSV!H484)&gt;0,Taostats_CSV!H484,Taostats_CSV!R484)))</f>
        <v>0.400179517</v>
      </c>
      <c r="G484" t="str">
        <f ca="1">IF(AND(Q484,N484=1),OFFSET(Taostats_CSV!$E$1,MATCH(K484&amp;H$1,Taostats_CSV!$X:$X,0)-1,0),"")</f>
        <v/>
      </c>
      <c r="H484" t="str">
        <f ca="1">IF(AND(Q484,N484=1),OFFSET(Taostats_CSV!$G$1,MATCH(K484&amp;H$1,Taostats_CSV!$X:$X,0)-1,0),"")</f>
        <v/>
      </c>
      <c r="I484" t="str">
        <f ca="1">IF(AND(LEN(K484)=0,LEN(F484)&gt;0),"Income",IF(AND(O484&gt;0,P484&gt;0,C484&lt;&gt;E484),"Trade",IF(AND(NOT(Q484),Taostats_CSV!F484="fee"),'READ ME'!$C$5,"")))</f>
        <v>Income</v>
      </c>
      <c r="J484" t="str">
        <f ca="1">SUBSTITUTE(IF(LEN(I484)=0,Taostats_CSV!F484&amp;" "&amp;Taostats_CSV!J484,IF(I484="Cost","Extrinsic fee","")),"_"," ")</f>
        <v/>
      </c>
      <c r="K484" t="str">
        <f>TRIM(IF(LEN(Taostats_CSV!I484)&gt;0,Taostats_CSV!I484,""))</f>
        <v/>
      </c>
      <c r="L484">
        <f ca="1">IF(Taostats_CSV!E484&lt;&gt;"TAO",IF(LEN(F484)&gt;0,F484,IF(LEN(D484)&gt;0,D484,0))*Taostats_CSV!P484,"")</f>
        <v>12.809289759565896</v>
      </c>
      <c r="M484" t="str">
        <f t="shared" ca="1" si="57"/>
        <v>USD</v>
      </c>
      <c r="N484">
        <f>COUNTIF(Taostats_CSV!$X:$X,Taostats_CSV!$I484&amp;N$1)</f>
        <v>0</v>
      </c>
      <c r="O484">
        <f>COUNTIF(Taostats_CSV!$X:$X,Taostats_CSV!$I484&amp;O$1)</f>
        <v>0</v>
      </c>
      <c r="P484">
        <f>COUNTIF(Taostats_CSV!$X:$X,Taostats_CSV!$I484&amp;P$1)</f>
        <v>0</v>
      </c>
      <c r="Q484" t="b">
        <f t="shared" si="58"/>
        <v>0</v>
      </c>
      <c r="R484" t="b">
        <f>IF(LEN(K484)&gt;0,COUNTIF($K$3:K484,K484),FALSE)</f>
        <v>0</v>
      </c>
      <c r="S484" t="b">
        <f>IF(Taostats_CSV!A484=Taostats_CSV!$A$2,TRUE,Taostats_CSV!G484+Taostats_CSV!H484+Taostats_CSV!R484=0)</f>
        <v>0</v>
      </c>
      <c r="T484" t="b">
        <f t="shared" si="59"/>
        <v>1</v>
      </c>
      <c r="U484" t="b" cm="1">
        <f t="array" aca="1" ref="U484" ca="1">AND(T484,OR(O484-N484&gt;1,P484&gt;1,ISERROR(A484:P484)))</f>
        <v>0</v>
      </c>
      <c r="W484" t="e">
        <f>MATCH(K484&amp;$W$2,Taostats_CSV!$X$3:$X$1167,0)</f>
        <v>#N/A</v>
      </c>
      <c r="X484" t="e">
        <f t="shared" ca="1" si="54"/>
        <v>#VALUE!</v>
      </c>
      <c r="Y484">
        <f t="shared" ca="1" si="55"/>
        <v>0.40017951699999998</v>
      </c>
      <c r="Z484" t="e">
        <f t="shared" ca="1" si="56"/>
        <v>#VALUE!</v>
      </c>
    </row>
    <row r="485" spans="1:26" x14ac:dyDescent="0.4">
      <c r="A485" t="str">
        <f>MID(Taostats_CSV!C485,6,2)&amp;"/"&amp;MID(Taostats_CSV!C485,9,2)&amp;"/"&amp;LEFT(Taostats_CSV!C485,4)&amp;" "&amp;MID(Taostats_CSV!C485,12,8)</f>
        <v>06/17/2025 23:59:48</v>
      </c>
      <c r="C485" t="str">
        <f ca="1">IF(Q485,OFFSET(Taostats_CSV!$E$1,MATCH(K485&amp;D$1,Taostats_CSV!$X:$X,0)-1,0),IF(Taostats_CSV!F485="fee",IF(VALUE(Taostats_CSV!G485)&gt;0,Taostats_CSV!E485,""),""))</f>
        <v/>
      </c>
      <c r="D485" t="str">
        <f ca="1">IF(Q485,OFFSET(Taostats_CSV!$G$1,MATCH(K485&amp;D$1,Taostats_CSV!$X:$X,0)-1,0),IF(Taostats_CSV!F485="fee",IF(VALUE(Taostats_CSV!G485)&gt;0,Taostats_CSV!G485,""),""))</f>
        <v/>
      </c>
      <c r="E485" t="str">
        <f ca="1">IF(AND(Q485,P485&gt;0),OFFSET(Taostats_CSV!$E$1,MATCH(K485&amp;F$1,Taostats_CSV!$X:$X,0)-1,0),IF(LEN(F485)&gt;0,Taostats_CSV!E485,""))</f>
        <v>SN4</v>
      </c>
      <c r="F485" t="str">
        <f ca="1">TRIM(IF(AND(Q485,P485&gt;0),OFFSET(Taostats_CSV!$H$1,MATCH(K485&amp;F$1,Taostats_CSV!$X:$X,0)-1,0),IF(LEN(Taostats_CSV!H485)&gt;0,Taostats_CSV!H485,Taostats_CSV!R485)))</f>
        <v>0.571392671</v>
      </c>
      <c r="G485" t="str">
        <f ca="1">IF(AND(Q485,N485=1),OFFSET(Taostats_CSV!$E$1,MATCH(K485&amp;H$1,Taostats_CSV!$X:$X,0)-1,0),"")</f>
        <v/>
      </c>
      <c r="H485" t="str">
        <f ca="1">IF(AND(Q485,N485=1),OFFSET(Taostats_CSV!$G$1,MATCH(K485&amp;H$1,Taostats_CSV!$X:$X,0)-1,0),"")</f>
        <v/>
      </c>
      <c r="I485" t="str">
        <f ca="1">IF(AND(LEN(K485)=0,LEN(F485)&gt;0),"Income",IF(AND(O485&gt;0,P485&gt;0,C485&lt;&gt;E485),"Trade",IF(AND(NOT(Q485),Taostats_CSV!F485="fee"),'READ ME'!$C$5,"")))</f>
        <v>Income</v>
      </c>
      <c r="J485" t="str">
        <f ca="1">SUBSTITUTE(IF(LEN(I485)=0,Taostats_CSV!F485&amp;" "&amp;Taostats_CSV!J485,IF(I485="Cost","Extrinsic fee","")),"_"," ")</f>
        <v/>
      </c>
      <c r="K485" t="str">
        <f>TRIM(IF(LEN(Taostats_CSV!I485)&gt;0,Taostats_CSV!I485,""))</f>
        <v/>
      </c>
      <c r="L485">
        <f ca="1">IF(Taostats_CSV!E485&lt;&gt;"TAO",IF(LEN(F485)&gt;0,F485,IF(LEN(D485)&gt;0,D485,0))*Taostats_CSV!P485,"")</f>
        <v>16.230677211069313</v>
      </c>
      <c r="M485" t="str">
        <f t="shared" ca="1" si="57"/>
        <v>USD</v>
      </c>
      <c r="N485">
        <f>COUNTIF(Taostats_CSV!$X:$X,Taostats_CSV!$I485&amp;N$1)</f>
        <v>0</v>
      </c>
      <c r="O485">
        <f>COUNTIF(Taostats_CSV!$X:$X,Taostats_CSV!$I485&amp;O$1)</f>
        <v>0</v>
      </c>
      <c r="P485">
        <f>COUNTIF(Taostats_CSV!$X:$X,Taostats_CSV!$I485&amp;P$1)</f>
        <v>0</v>
      </c>
      <c r="Q485" t="b">
        <f t="shared" si="58"/>
        <v>0</v>
      </c>
      <c r="R485" t="b">
        <f>IF(LEN(K485)&gt;0,COUNTIF($K$3:K485,K485),FALSE)</f>
        <v>0</v>
      </c>
      <c r="S485" t="b">
        <f>IF(Taostats_CSV!A485=Taostats_CSV!$A$2,TRUE,Taostats_CSV!G485+Taostats_CSV!H485+Taostats_CSV!R485=0)</f>
        <v>0</v>
      </c>
      <c r="T485" t="b">
        <f t="shared" si="59"/>
        <v>1</v>
      </c>
      <c r="U485" t="b" cm="1">
        <f t="array" aca="1" ref="U485" ca="1">AND(T485,OR(O485-N485&gt;1,P485&gt;1,ISERROR(A485:P485)))</f>
        <v>0</v>
      </c>
      <c r="W485" t="e">
        <f>MATCH(K485&amp;$W$2,Taostats_CSV!$X$3:$X$1167,0)</f>
        <v>#N/A</v>
      </c>
      <c r="X485" t="e">
        <f t="shared" ca="1" si="54"/>
        <v>#VALUE!</v>
      </c>
      <c r="Y485">
        <f t="shared" ca="1" si="55"/>
        <v>0.57139267100000002</v>
      </c>
      <c r="Z485" t="e">
        <f t="shared" ca="1" si="56"/>
        <v>#VALUE!</v>
      </c>
    </row>
    <row r="486" spans="1:26" x14ac:dyDescent="0.4">
      <c r="A486" t="str">
        <f>MID(Taostats_CSV!C486,6,2)&amp;"/"&amp;MID(Taostats_CSV!C486,9,2)&amp;"/"&amp;LEFT(Taostats_CSV!C486,4)&amp;" "&amp;MID(Taostats_CSV!C486,12,8)</f>
        <v>06/17/2025 23:59:48</v>
      </c>
      <c r="C486" t="str">
        <f ca="1">IF(Q486,OFFSET(Taostats_CSV!$E$1,MATCH(K486&amp;D$1,Taostats_CSV!$X:$X,0)-1,0),IF(Taostats_CSV!F486="fee",IF(VALUE(Taostats_CSV!G486)&gt;0,Taostats_CSV!E486,""),""))</f>
        <v/>
      </c>
      <c r="D486" t="str">
        <f ca="1">IF(Q486,OFFSET(Taostats_CSV!$G$1,MATCH(K486&amp;D$1,Taostats_CSV!$X:$X,0)-1,0),IF(Taostats_CSV!F486="fee",IF(VALUE(Taostats_CSV!G486)&gt;0,Taostats_CSV!G486,""),""))</f>
        <v/>
      </c>
      <c r="E486" t="str">
        <f ca="1">IF(AND(Q486,P486&gt;0),OFFSET(Taostats_CSV!$E$1,MATCH(K486&amp;F$1,Taostats_CSV!$X:$X,0)-1,0),IF(LEN(F486)&gt;0,Taostats_CSV!E486,""))</f>
        <v>SN56</v>
      </c>
      <c r="F486" t="str">
        <f ca="1">TRIM(IF(AND(Q486,P486&gt;0),OFFSET(Taostats_CSV!$H$1,MATCH(K486&amp;F$1,Taostats_CSV!$X:$X,0)-1,0),IF(LEN(Taostats_CSV!H486)&gt;0,Taostats_CSV!H486,Taostats_CSV!R486)))</f>
        <v>0.259539869</v>
      </c>
      <c r="G486" t="str">
        <f ca="1">IF(AND(Q486,N486=1),OFFSET(Taostats_CSV!$E$1,MATCH(K486&amp;H$1,Taostats_CSV!$X:$X,0)-1,0),"")</f>
        <v/>
      </c>
      <c r="H486" t="str">
        <f ca="1">IF(AND(Q486,N486=1),OFFSET(Taostats_CSV!$G$1,MATCH(K486&amp;H$1,Taostats_CSV!$X:$X,0)-1,0),"")</f>
        <v/>
      </c>
      <c r="I486" t="str">
        <f ca="1">IF(AND(LEN(K486)=0,LEN(F486)&gt;0),"Income",IF(AND(O486&gt;0,P486&gt;0,C486&lt;&gt;E486),"Trade",IF(AND(NOT(Q486),Taostats_CSV!F486="fee"),'READ ME'!$C$5,"")))</f>
        <v>Income</v>
      </c>
      <c r="J486" t="str">
        <f ca="1">SUBSTITUTE(IF(LEN(I486)=0,Taostats_CSV!F486&amp;" "&amp;Taostats_CSV!J486,IF(I486="Cost","Extrinsic fee","")),"_"," ")</f>
        <v/>
      </c>
      <c r="K486" t="str">
        <f>TRIM(IF(LEN(Taostats_CSV!I486)&gt;0,Taostats_CSV!I486,""))</f>
        <v/>
      </c>
      <c r="L486">
        <f ca="1">IF(Taostats_CSV!E486&lt;&gt;"TAO",IF(LEN(F486)&gt;0,F486,IF(LEN(D486)&gt;0,D486,0))*Taostats_CSV!P486,"")</f>
        <v>7.7587005856718436</v>
      </c>
      <c r="M486" t="str">
        <f t="shared" ca="1" si="57"/>
        <v>USD</v>
      </c>
      <c r="N486">
        <f>COUNTIF(Taostats_CSV!$X:$X,Taostats_CSV!$I486&amp;N$1)</f>
        <v>0</v>
      </c>
      <c r="O486">
        <f>COUNTIF(Taostats_CSV!$X:$X,Taostats_CSV!$I486&amp;O$1)</f>
        <v>0</v>
      </c>
      <c r="P486">
        <f>COUNTIF(Taostats_CSV!$X:$X,Taostats_CSV!$I486&amp;P$1)</f>
        <v>0</v>
      </c>
      <c r="Q486" t="b">
        <f t="shared" si="58"/>
        <v>0</v>
      </c>
      <c r="R486" t="b">
        <f>IF(LEN(K486)&gt;0,COUNTIF($K$3:K486,K486),FALSE)</f>
        <v>0</v>
      </c>
      <c r="S486" t="b">
        <f>IF(Taostats_CSV!A486=Taostats_CSV!$A$2,TRUE,Taostats_CSV!G486+Taostats_CSV!H486+Taostats_CSV!R486=0)</f>
        <v>0</v>
      </c>
      <c r="T486" t="b">
        <f t="shared" si="59"/>
        <v>1</v>
      </c>
      <c r="U486" t="b" cm="1">
        <f t="array" aca="1" ref="U486" ca="1">AND(T486,OR(O486-N486&gt;1,P486&gt;1,ISERROR(A486:P486)))</f>
        <v>0</v>
      </c>
      <c r="W486" t="e">
        <f>MATCH(K486&amp;$W$2,Taostats_CSV!$X$3:$X$1167,0)</f>
        <v>#N/A</v>
      </c>
      <c r="X486" t="e">
        <f t="shared" ca="1" si="54"/>
        <v>#VALUE!</v>
      </c>
      <c r="Y486">
        <f t="shared" ca="1" si="55"/>
        <v>0.25953986899999998</v>
      </c>
      <c r="Z486" t="e">
        <f t="shared" ca="1" si="56"/>
        <v>#VALUE!</v>
      </c>
    </row>
    <row r="487" spans="1:26" x14ac:dyDescent="0.4">
      <c r="A487" t="str">
        <f>MID(Taostats_CSV!C487,6,2)&amp;"/"&amp;MID(Taostats_CSV!C487,9,2)&amp;"/"&amp;LEFT(Taostats_CSV!C487,4)&amp;" "&amp;MID(Taostats_CSV!C487,12,8)</f>
        <v>06/17/2025 23:59:48</v>
      </c>
      <c r="C487" t="str">
        <f ca="1">IF(Q487,OFFSET(Taostats_CSV!$E$1,MATCH(K487&amp;D$1,Taostats_CSV!$X:$X,0)-1,0),IF(Taostats_CSV!F487="fee",IF(VALUE(Taostats_CSV!G487)&gt;0,Taostats_CSV!E487,""),""))</f>
        <v/>
      </c>
      <c r="D487" t="str">
        <f ca="1">IF(Q487,OFFSET(Taostats_CSV!$G$1,MATCH(K487&amp;D$1,Taostats_CSV!$X:$X,0)-1,0),IF(Taostats_CSV!F487="fee",IF(VALUE(Taostats_CSV!G487)&gt;0,Taostats_CSV!G487,""),""))</f>
        <v/>
      </c>
      <c r="E487" t="str">
        <f ca="1">IF(AND(Q487,P487&gt;0),OFFSET(Taostats_CSV!$E$1,MATCH(K487&amp;F$1,Taostats_CSV!$X:$X,0)-1,0),IF(LEN(F487)&gt;0,Taostats_CSV!E487,""))</f>
        <v>SN64</v>
      </c>
      <c r="F487" t="str">
        <f ca="1">TRIM(IF(AND(Q487,P487&gt;0),OFFSET(Taostats_CSV!$H$1,MATCH(K487&amp;F$1,Taostats_CSV!$X:$X,0)-1,0),IF(LEN(Taostats_CSV!H487)&gt;0,Taostats_CSV!H487,Taostats_CSV!R487)))</f>
        <v>0.141301356</v>
      </c>
      <c r="G487" t="str">
        <f ca="1">IF(AND(Q487,N487=1),OFFSET(Taostats_CSV!$E$1,MATCH(K487&amp;H$1,Taostats_CSV!$X:$X,0)-1,0),"")</f>
        <v/>
      </c>
      <c r="H487" t="str">
        <f ca="1">IF(AND(Q487,N487=1),OFFSET(Taostats_CSV!$G$1,MATCH(K487&amp;H$1,Taostats_CSV!$X:$X,0)-1,0),"")</f>
        <v/>
      </c>
      <c r="I487" t="str">
        <f ca="1">IF(AND(LEN(K487)=0,LEN(F487)&gt;0),"Income",IF(AND(O487&gt;0,P487&gt;0,C487&lt;&gt;E487),"Trade",IF(AND(NOT(Q487),Taostats_CSV!F487="fee"),'READ ME'!$C$5,"")))</f>
        <v>Income</v>
      </c>
      <c r="J487" t="str">
        <f ca="1">SUBSTITUTE(IF(LEN(I487)=0,Taostats_CSV!F487&amp;" "&amp;Taostats_CSV!J487,IF(I487="Cost","Extrinsic fee","")),"_"," ")</f>
        <v/>
      </c>
      <c r="K487" t="str">
        <f>TRIM(IF(LEN(Taostats_CSV!I487)&gt;0,Taostats_CSV!I487,""))</f>
        <v/>
      </c>
      <c r="L487">
        <f ca="1">IF(Taostats_CSV!E487&lt;&gt;"TAO",IF(LEN(F487)&gt;0,F487,IF(LEN(D487)&gt;0,D487,0))*Taostats_CSV!P487,"")</f>
        <v>10.774407262297574</v>
      </c>
      <c r="M487" t="str">
        <f t="shared" ca="1" si="57"/>
        <v>USD</v>
      </c>
      <c r="N487">
        <f>COUNTIF(Taostats_CSV!$X:$X,Taostats_CSV!$I487&amp;N$1)</f>
        <v>0</v>
      </c>
      <c r="O487">
        <f>COUNTIF(Taostats_CSV!$X:$X,Taostats_CSV!$I487&amp;O$1)</f>
        <v>0</v>
      </c>
      <c r="P487">
        <f>COUNTIF(Taostats_CSV!$X:$X,Taostats_CSV!$I487&amp;P$1)</f>
        <v>0</v>
      </c>
      <c r="Q487" t="b">
        <f t="shared" si="58"/>
        <v>0</v>
      </c>
      <c r="R487" t="b">
        <f>IF(LEN(K487)&gt;0,COUNTIF($K$3:K487,K487),FALSE)</f>
        <v>0</v>
      </c>
      <c r="S487" t="b">
        <f>IF(Taostats_CSV!A487=Taostats_CSV!$A$2,TRUE,Taostats_CSV!G487+Taostats_CSV!H487+Taostats_CSV!R487=0)</f>
        <v>0</v>
      </c>
      <c r="T487" t="b">
        <f t="shared" si="59"/>
        <v>1</v>
      </c>
      <c r="U487" t="b" cm="1">
        <f t="array" aca="1" ref="U487" ca="1">AND(T487,OR(O487-N487&gt;1,P487&gt;1,ISERROR(A487:P487)))</f>
        <v>0</v>
      </c>
      <c r="W487" t="e">
        <f>MATCH(K487&amp;$W$2,Taostats_CSV!$X$3:$X$1167,0)</f>
        <v>#N/A</v>
      </c>
      <c r="X487" t="e">
        <f t="shared" ca="1" si="54"/>
        <v>#VALUE!</v>
      </c>
      <c r="Y487">
        <f t="shared" ca="1" si="55"/>
        <v>0.14130135599999999</v>
      </c>
      <c r="Z487" t="e">
        <f t="shared" ca="1" si="56"/>
        <v>#VALUE!</v>
      </c>
    </row>
    <row r="488" spans="1:26" hidden="1" x14ac:dyDescent="0.4">
      <c r="A488" t="str">
        <f>MID(Taostats_CSV!C488,6,2)&amp;"/"&amp;MID(Taostats_CSV!C488,9,2)&amp;"/"&amp;LEFT(Taostats_CSV!C488,4)&amp;" "&amp;MID(Taostats_CSV!C488,12,8)</f>
        <v>06/17/2025 23:59:48</v>
      </c>
      <c r="C488" t="str">
        <f ca="1">IF(Q488,OFFSET(Taostats_CSV!$E$1,MATCH(K488&amp;D$1,Taostats_CSV!$X:$X,0)-1,0),IF(Taostats_CSV!F488="fee","",IF(VALUE(Taostats_CSV!G488)&gt;0,Taostats_CSV!E488,"")))</f>
        <v/>
      </c>
      <c r="D488" t="str">
        <f ca="1">IF(Q488,OFFSET(Taostats_CSV!$G$1,MATCH(K488&amp;D$1,Taostats_CSV!$X:$X,0)-1,0),IF(Taostats_CSV!F488="fee","",IF(VALUE(Taostats_CSV!G488)&gt;0,Taostats_CSV!G488,"")))</f>
        <v/>
      </c>
      <c r="E488" t="str">
        <f ca="1">IF(AND(Q488,P488&gt;0),OFFSET(Taostats_CSV!$E$1,MATCH(K488&amp;F$1,Taostats_CSV!$X:$X,0)-1,0),IF(LEN(F488)&gt;0,Taostats_CSV!E488,""))</f>
        <v>TAO</v>
      </c>
      <c r="F488" t="str">
        <f ca="1">TRIM(IF(AND(Q488,P488&gt;0),OFFSET(Taostats_CSV!$H$1,MATCH(K488&amp;F$1,Taostats_CSV!$X:$X,0)-1,0),IF(LEN(Taostats_CSV!H488)&gt;0,Taostats_CSV!H488,Taostats_CSV!R488)))</f>
        <v>0</v>
      </c>
      <c r="G488" t="str">
        <f ca="1">IF(AND(Q488,N488=1),OFFSET(Taostats_CSV!$E$1,MATCH(K488&amp;H$1,Taostats_CSV!$X:$X,0)-1,0),IF(Taostats_CSV!F488="fee",Taostats_CSV!E488,""))</f>
        <v/>
      </c>
      <c r="H488" t="str">
        <f ca="1">IF(AND(Q488,N488=1),OFFSET(Taostats_CSV!$G$1,MATCH(K488&amp;H$1,Taostats_CSV!$X:$X,0)-1,0),IF(Taostats_CSV!F488="fee",Taostats_CSV!G488,""))</f>
        <v/>
      </c>
      <c r="I488" t="str">
        <f ca="1">IF(AND(LEN(K488)=0,LEN(F488)&gt;0),"Income",IF(AND(O488&gt;0,P488&gt;0,C488&lt;&gt;E488),"Trade",IF(AND(NOT(Q488),Taostats_CSV!F488="fee"),'READ ME'!$C$5,"")))</f>
        <v>Income</v>
      </c>
      <c r="J488" t="str">
        <f ca="1">SUBSTITUTE(IF(LEN(I488)=0,Taostats_CSV!F488&amp;" "&amp;Taostats_CSV!J488,IF(I488="Cost","Extrinsic fee","")),"_"," ")</f>
        <v/>
      </c>
      <c r="K488" t="str">
        <f>TRIM(IF(LEN(Taostats_CSV!I488)&gt;0,Taostats_CSV!I488,""))</f>
        <v/>
      </c>
      <c r="L488" t="str">
        <f>IF(Taostats_CSV!E488&lt;&gt;"TAO",IF(LEN(F488)&gt;0,F488,IF(LEN(D488)&gt;0,D488,0))*Taostats_CSV!P488,"")</f>
        <v/>
      </c>
      <c r="M488" t="str">
        <f t="shared" si="57"/>
        <v/>
      </c>
      <c r="N488">
        <f>COUNTIF(Taostats_CSV!$X:$X,Taostats_CSV!$I488&amp;N$1)</f>
        <v>0</v>
      </c>
      <c r="O488">
        <f>COUNTIF(Taostats_CSV!$X:$X,Taostats_CSV!$I488&amp;O$1)</f>
        <v>0</v>
      </c>
      <c r="P488">
        <f>COUNTIF(Taostats_CSV!$X:$X,Taostats_CSV!$I488&amp;P$1)</f>
        <v>0</v>
      </c>
      <c r="Q488" t="b">
        <f t="shared" si="58"/>
        <v>0</v>
      </c>
      <c r="R488" t="b">
        <f>IF(LEN(K488)&gt;0,COUNTIF($K$3:K488,K488),FALSE)</f>
        <v>0</v>
      </c>
      <c r="S488" t="b">
        <f>IF(Taostats_CSV!A488=Taostats_CSV!$A$2,TRUE,Taostats_CSV!G488+Taostats_CSV!H488+Taostats_CSV!R488=0)</f>
        <v>1</v>
      </c>
      <c r="T488" t="b">
        <f t="shared" si="59"/>
        <v>0</v>
      </c>
      <c r="U488" t="b" cm="1">
        <f t="array" aca="1" ref="U488" ca="1">AND(T488,OR(O488-N488&gt;1,P488&gt;1,ISERROR(A488:P488)))</f>
        <v>0</v>
      </c>
      <c r="W488" t="e">
        <f>MATCH(K488&amp;$W$2,Taostats_CSV!$X$3:$X$1167,0)</f>
        <v>#N/A</v>
      </c>
      <c r="X488" t="e">
        <f t="shared" ca="1" si="54"/>
        <v>#VALUE!</v>
      </c>
      <c r="Y488">
        <f t="shared" ca="1" si="55"/>
        <v>0</v>
      </c>
      <c r="Z488" t="e">
        <f t="shared" ca="1" si="56"/>
        <v>#VALUE!</v>
      </c>
    </row>
    <row r="489" spans="1:26" x14ac:dyDescent="0.4">
      <c r="A489" t="str">
        <f>MID(Taostats_CSV!C489,6,2)&amp;"/"&amp;MID(Taostats_CSV!C489,9,2)&amp;"/"&amp;LEFT(Taostats_CSV!C489,4)&amp;" "&amp;MID(Taostats_CSV!C489,12,8)</f>
        <v>06/18/2025 23:59:48</v>
      </c>
      <c r="C489" t="str">
        <f ca="1">IF(Q489,OFFSET(Taostats_CSV!$E$1,MATCH(K489&amp;D$1,Taostats_CSV!$X:$X,0)-1,0),IF(Taostats_CSV!F489="fee",IF(VALUE(Taostats_CSV!G489)&gt;0,Taostats_CSV!E489,""),""))</f>
        <v/>
      </c>
      <c r="D489" t="str">
        <f ca="1">IF(Q489,OFFSET(Taostats_CSV!$G$1,MATCH(K489&amp;D$1,Taostats_CSV!$X:$X,0)-1,0),IF(Taostats_CSV!F489="fee",IF(VALUE(Taostats_CSV!G489)&gt;0,Taostats_CSV!G489,""),""))</f>
        <v/>
      </c>
      <c r="E489" t="str">
        <f ca="1">IF(AND(Q489,P489&gt;0),OFFSET(Taostats_CSV!$E$1,MATCH(K489&amp;F$1,Taostats_CSV!$X:$X,0)-1,0),IF(LEN(F489)&gt;0,Taostats_CSV!E489,""))</f>
        <v>SN3</v>
      </c>
      <c r="F489" t="str">
        <f ca="1">TRIM(IF(AND(Q489,P489&gt;0),OFFSET(Taostats_CSV!$H$1,MATCH(K489&amp;F$1,Taostats_CSV!$X:$X,0)-1,0),IF(LEN(Taostats_CSV!H489)&gt;0,Taostats_CSV!H489,Taostats_CSV!R489)))</f>
        <v>0.395343563</v>
      </c>
      <c r="G489" t="str">
        <f ca="1">IF(AND(Q489,N489=1),OFFSET(Taostats_CSV!$E$1,MATCH(K489&amp;H$1,Taostats_CSV!$X:$X,0)-1,0),"")</f>
        <v/>
      </c>
      <c r="H489" t="str">
        <f ca="1">IF(AND(Q489,N489=1),OFFSET(Taostats_CSV!$G$1,MATCH(K489&amp;H$1,Taostats_CSV!$X:$X,0)-1,0),"")</f>
        <v/>
      </c>
      <c r="I489" t="str">
        <f ca="1">IF(AND(LEN(K489)=0,LEN(F489)&gt;0),"Income",IF(AND(O489&gt;0,P489&gt;0,C489&lt;&gt;E489),"Trade",IF(AND(NOT(Q489),Taostats_CSV!F489="fee"),'READ ME'!$C$5,"")))</f>
        <v>Income</v>
      </c>
      <c r="J489" t="str">
        <f ca="1">SUBSTITUTE(IF(LEN(I489)=0,Taostats_CSV!F489&amp;" "&amp;Taostats_CSV!J489,IF(I489="Cost","Extrinsic fee","")),"_"," ")</f>
        <v/>
      </c>
      <c r="K489" t="str">
        <f>TRIM(IF(LEN(Taostats_CSV!I489)&gt;0,Taostats_CSV!I489,""))</f>
        <v/>
      </c>
      <c r="L489">
        <f ca="1">IF(Taostats_CSV!E489&lt;&gt;"TAO",IF(LEN(F489)&gt;0,F489,IF(LEN(D489)&gt;0,D489,0))*Taostats_CSV!P489,"")</f>
        <v>12.994598732288335</v>
      </c>
      <c r="M489" t="str">
        <f t="shared" ca="1" si="57"/>
        <v>USD</v>
      </c>
      <c r="N489">
        <f>COUNTIF(Taostats_CSV!$X:$X,Taostats_CSV!$I489&amp;N$1)</f>
        <v>0</v>
      </c>
      <c r="O489">
        <f>COUNTIF(Taostats_CSV!$X:$X,Taostats_CSV!$I489&amp;O$1)</f>
        <v>0</v>
      </c>
      <c r="P489">
        <f>COUNTIF(Taostats_CSV!$X:$X,Taostats_CSV!$I489&amp;P$1)</f>
        <v>0</v>
      </c>
      <c r="Q489" t="b">
        <f t="shared" si="58"/>
        <v>0</v>
      </c>
      <c r="R489" t="b">
        <f>IF(LEN(K489)&gt;0,COUNTIF($K$3:K489,K489),FALSE)</f>
        <v>0</v>
      </c>
      <c r="S489" t="b">
        <f>IF(Taostats_CSV!A489=Taostats_CSV!$A$2,TRUE,Taostats_CSV!G489+Taostats_CSV!H489+Taostats_CSV!R489=0)</f>
        <v>0</v>
      </c>
      <c r="T489" t="b">
        <f t="shared" si="59"/>
        <v>1</v>
      </c>
      <c r="U489" t="b" cm="1">
        <f t="array" aca="1" ref="U489" ca="1">AND(T489,OR(O489-N489&gt;1,P489&gt;1,ISERROR(A489:P489)))</f>
        <v>0</v>
      </c>
      <c r="W489" t="e">
        <f>MATCH(K489&amp;$W$2,Taostats_CSV!$X$3:$X$1167,0)</f>
        <v>#N/A</v>
      </c>
      <c r="X489" t="e">
        <f t="shared" ca="1" si="54"/>
        <v>#VALUE!</v>
      </c>
      <c r="Y489">
        <f t="shared" ca="1" si="55"/>
        <v>0.39534356300000001</v>
      </c>
      <c r="Z489" t="e">
        <f t="shared" ca="1" si="56"/>
        <v>#VALUE!</v>
      </c>
    </row>
    <row r="490" spans="1:26" x14ac:dyDescent="0.4">
      <c r="A490" t="str">
        <f>MID(Taostats_CSV!C490,6,2)&amp;"/"&amp;MID(Taostats_CSV!C490,9,2)&amp;"/"&amp;LEFT(Taostats_CSV!C490,4)&amp;" "&amp;MID(Taostats_CSV!C490,12,8)</f>
        <v>06/18/2025 23:59:48</v>
      </c>
      <c r="C490" t="str">
        <f ca="1">IF(Q490,OFFSET(Taostats_CSV!$E$1,MATCH(K490&amp;D$1,Taostats_CSV!$X:$X,0)-1,0),IF(Taostats_CSV!F490="fee",IF(VALUE(Taostats_CSV!G490)&gt;0,Taostats_CSV!E490,""),""))</f>
        <v/>
      </c>
      <c r="D490" t="str">
        <f ca="1">IF(Q490,OFFSET(Taostats_CSV!$G$1,MATCH(K490&amp;D$1,Taostats_CSV!$X:$X,0)-1,0),IF(Taostats_CSV!F490="fee",IF(VALUE(Taostats_CSV!G490)&gt;0,Taostats_CSV!G490,""),""))</f>
        <v/>
      </c>
      <c r="E490" t="str">
        <f ca="1">IF(AND(Q490,P490&gt;0),OFFSET(Taostats_CSV!$E$1,MATCH(K490&amp;F$1,Taostats_CSV!$X:$X,0)-1,0),IF(LEN(F490)&gt;0,Taostats_CSV!E490,""))</f>
        <v>SN4</v>
      </c>
      <c r="F490" t="str">
        <f ca="1">TRIM(IF(AND(Q490,P490&gt;0),OFFSET(Taostats_CSV!$H$1,MATCH(K490&amp;F$1,Taostats_CSV!$X:$X,0)-1,0),IF(LEN(Taostats_CSV!H490)&gt;0,Taostats_CSV!H490,Taostats_CSV!R490)))</f>
        <v>0.630037738</v>
      </c>
      <c r="G490" t="str">
        <f ca="1">IF(AND(Q490,N490=1),OFFSET(Taostats_CSV!$E$1,MATCH(K490&amp;H$1,Taostats_CSV!$X:$X,0)-1,0),"")</f>
        <v/>
      </c>
      <c r="H490" t="str">
        <f ca="1">IF(AND(Q490,N490=1),OFFSET(Taostats_CSV!$G$1,MATCH(K490&amp;H$1,Taostats_CSV!$X:$X,0)-1,0),"")</f>
        <v/>
      </c>
      <c r="I490" t="str">
        <f ca="1">IF(AND(LEN(K490)=0,LEN(F490)&gt;0),"Income",IF(AND(O490&gt;0,P490&gt;0,C490&lt;&gt;E490),"Trade",IF(AND(NOT(Q490),Taostats_CSV!F490="fee"),'READ ME'!$C$5,"")))</f>
        <v>Income</v>
      </c>
      <c r="J490" t="str">
        <f ca="1">SUBSTITUTE(IF(LEN(I490)=0,Taostats_CSV!F490&amp;" "&amp;Taostats_CSV!J490,IF(I490="Cost","Extrinsic fee","")),"_"," ")</f>
        <v/>
      </c>
      <c r="K490" t="str">
        <f>TRIM(IF(LEN(Taostats_CSV!I490)&gt;0,Taostats_CSV!I490,""))</f>
        <v/>
      </c>
      <c r="L490">
        <f ca="1">IF(Taostats_CSV!E490&lt;&gt;"TAO",IF(LEN(F490)&gt;0,F490,IF(LEN(D490)&gt;0,D490,0))*Taostats_CSV!P490,"")</f>
        <v>18.22323723788449</v>
      </c>
      <c r="M490" t="str">
        <f t="shared" ca="1" si="57"/>
        <v>USD</v>
      </c>
      <c r="N490">
        <f>COUNTIF(Taostats_CSV!$X:$X,Taostats_CSV!$I490&amp;N$1)</f>
        <v>0</v>
      </c>
      <c r="O490">
        <f>COUNTIF(Taostats_CSV!$X:$X,Taostats_CSV!$I490&amp;O$1)</f>
        <v>0</v>
      </c>
      <c r="P490">
        <f>COUNTIF(Taostats_CSV!$X:$X,Taostats_CSV!$I490&amp;P$1)</f>
        <v>0</v>
      </c>
      <c r="Q490" t="b">
        <f t="shared" si="58"/>
        <v>0</v>
      </c>
      <c r="R490" t="b">
        <f>IF(LEN(K490)&gt;0,COUNTIF($K$3:K490,K490),FALSE)</f>
        <v>0</v>
      </c>
      <c r="S490" t="b">
        <f>IF(Taostats_CSV!A490=Taostats_CSV!$A$2,TRUE,Taostats_CSV!G490+Taostats_CSV!H490+Taostats_CSV!R490=0)</f>
        <v>0</v>
      </c>
      <c r="T490" t="b">
        <f t="shared" si="59"/>
        <v>1</v>
      </c>
      <c r="U490" t="b" cm="1">
        <f t="array" aca="1" ref="U490" ca="1">AND(T490,OR(O490-N490&gt;1,P490&gt;1,ISERROR(A490:P490)))</f>
        <v>0</v>
      </c>
      <c r="W490" t="e">
        <f>MATCH(K490&amp;$W$2,Taostats_CSV!$X$3:$X$1167,0)</f>
        <v>#N/A</v>
      </c>
      <c r="X490" t="e">
        <f t="shared" ca="1" si="54"/>
        <v>#VALUE!</v>
      </c>
      <c r="Y490">
        <f t="shared" ca="1" si="55"/>
        <v>0.63003773799999996</v>
      </c>
      <c r="Z490" t="e">
        <f t="shared" ca="1" si="56"/>
        <v>#VALUE!</v>
      </c>
    </row>
    <row r="491" spans="1:26" x14ac:dyDescent="0.4">
      <c r="A491" t="str">
        <f>MID(Taostats_CSV!C491,6,2)&amp;"/"&amp;MID(Taostats_CSV!C491,9,2)&amp;"/"&amp;LEFT(Taostats_CSV!C491,4)&amp;" "&amp;MID(Taostats_CSV!C491,12,8)</f>
        <v>06/18/2025 23:59:48</v>
      </c>
      <c r="C491" t="str">
        <f ca="1">IF(Q491,OFFSET(Taostats_CSV!$E$1,MATCH(K491&amp;D$1,Taostats_CSV!$X:$X,0)-1,0),IF(Taostats_CSV!F491="fee",IF(VALUE(Taostats_CSV!G491)&gt;0,Taostats_CSV!E491,""),""))</f>
        <v/>
      </c>
      <c r="D491" t="str">
        <f ca="1">IF(Q491,OFFSET(Taostats_CSV!$G$1,MATCH(K491&amp;D$1,Taostats_CSV!$X:$X,0)-1,0),IF(Taostats_CSV!F491="fee",IF(VALUE(Taostats_CSV!G491)&gt;0,Taostats_CSV!G491,""),""))</f>
        <v/>
      </c>
      <c r="E491" t="str">
        <f ca="1">IF(AND(Q491,P491&gt;0),OFFSET(Taostats_CSV!$E$1,MATCH(K491&amp;F$1,Taostats_CSV!$X:$X,0)-1,0),IF(LEN(F491)&gt;0,Taostats_CSV!E491,""))</f>
        <v>SN56</v>
      </c>
      <c r="F491" t="str">
        <f ca="1">TRIM(IF(AND(Q491,P491&gt;0),OFFSET(Taostats_CSV!$H$1,MATCH(K491&amp;F$1,Taostats_CSV!$X:$X,0)-1,0),IF(LEN(Taostats_CSV!H491)&gt;0,Taostats_CSV!H491,Taostats_CSV!R491)))</f>
        <v>0.262744848</v>
      </c>
      <c r="G491" t="str">
        <f ca="1">IF(AND(Q491,N491=1),OFFSET(Taostats_CSV!$E$1,MATCH(K491&amp;H$1,Taostats_CSV!$X:$X,0)-1,0),"")</f>
        <v/>
      </c>
      <c r="H491" t="str">
        <f ca="1">IF(AND(Q491,N491=1),OFFSET(Taostats_CSV!$G$1,MATCH(K491&amp;H$1,Taostats_CSV!$X:$X,0)-1,0),"")</f>
        <v/>
      </c>
      <c r="I491" t="str">
        <f ca="1">IF(AND(LEN(K491)=0,LEN(F491)&gt;0),"Income",IF(AND(O491&gt;0,P491&gt;0,C491&lt;&gt;E491),"Trade",IF(AND(NOT(Q491),Taostats_CSV!F491="fee"),'READ ME'!$C$5,"")))</f>
        <v>Income</v>
      </c>
      <c r="J491" t="str">
        <f ca="1">SUBSTITUTE(IF(LEN(I491)=0,Taostats_CSV!F491&amp;" "&amp;Taostats_CSV!J491,IF(I491="Cost","Extrinsic fee","")),"_"," ")</f>
        <v/>
      </c>
      <c r="K491" t="str">
        <f>TRIM(IF(LEN(Taostats_CSV!I491)&gt;0,Taostats_CSV!I491,""))</f>
        <v/>
      </c>
      <c r="L491">
        <f ca="1">IF(Taostats_CSV!E491&lt;&gt;"TAO",IF(LEN(F491)&gt;0,F491,IF(LEN(D491)&gt;0,D491,0))*Taostats_CSV!P491,"")</f>
        <v>8.0091561618330314</v>
      </c>
      <c r="M491" t="str">
        <f t="shared" ca="1" si="57"/>
        <v>USD</v>
      </c>
      <c r="N491">
        <f>COUNTIF(Taostats_CSV!$X:$X,Taostats_CSV!$I491&amp;N$1)</f>
        <v>0</v>
      </c>
      <c r="O491">
        <f>COUNTIF(Taostats_CSV!$X:$X,Taostats_CSV!$I491&amp;O$1)</f>
        <v>0</v>
      </c>
      <c r="P491">
        <f>COUNTIF(Taostats_CSV!$X:$X,Taostats_CSV!$I491&amp;P$1)</f>
        <v>0</v>
      </c>
      <c r="Q491" t="b">
        <f t="shared" si="58"/>
        <v>0</v>
      </c>
      <c r="R491" t="b">
        <f>IF(LEN(K491)&gt;0,COUNTIF($K$3:K491,K491),FALSE)</f>
        <v>0</v>
      </c>
      <c r="S491" t="b">
        <f>IF(Taostats_CSV!A491=Taostats_CSV!$A$2,TRUE,Taostats_CSV!G491+Taostats_CSV!H491+Taostats_CSV!R491=0)</f>
        <v>0</v>
      </c>
      <c r="T491" t="b">
        <f t="shared" si="59"/>
        <v>1</v>
      </c>
      <c r="U491" t="b" cm="1">
        <f t="array" aca="1" ref="U491" ca="1">AND(T491,OR(O491-N491&gt;1,P491&gt;1,ISERROR(A491:P491)))</f>
        <v>0</v>
      </c>
      <c r="W491" t="e">
        <f>MATCH(K491&amp;$W$2,Taostats_CSV!$X$3:$X$1167,0)</f>
        <v>#N/A</v>
      </c>
      <c r="X491" t="e">
        <f t="shared" ca="1" si="54"/>
        <v>#VALUE!</v>
      </c>
      <c r="Y491">
        <f t="shared" ca="1" si="55"/>
        <v>0.26274484799999998</v>
      </c>
      <c r="Z491" t="e">
        <f t="shared" ca="1" si="56"/>
        <v>#VALUE!</v>
      </c>
    </row>
    <row r="492" spans="1:26" x14ac:dyDescent="0.4">
      <c r="A492" t="str">
        <f>MID(Taostats_CSV!C492,6,2)&amp;"/"&amp;MID(Taostats_CSV!C492,9,2)&amp;"/"&amp;LEFT(Taostats_CSV!C492,4)&amp;" "&amp;MID(Taostats_CSV!C492,12,8)</f>
        <v>06/18/2025 23:59:48</v>
      </c>
      <c r="C492" t="str">
        <f ca="1">IF(Q492,OFFSET(Taostats_CSV!$E$1,MATCH(K492&amp;D$1,Taostats_CSV!$X:$X,0)-1,0),IF(Taostats_CSV!F492="fee",IF(VALUE(Taostats_CSV!G492)&gt;0,Taostats_CSV!E492,""),""))</f>
        <v/>
      </c>
      <c r="D492" t="str">
        <f ca="1">IF(Q492,OFFSET(Taostats_CSV!$G$1,MATCH(K492&amp;D$1,Taostats_CSV!$X:$X,0)-1,0),IF(Taostats_CSV!F492="fee",IF(VALUE(Taostats_CSV!G492)&gt;0,Taostats_CSV!G492,""),""))</f>
        <v/>
      </c>
      <c r="E492" t="str">
        <f ca="1">IF(AND(Q492,P492&gt;0),OFFSET(Taostats_CSV!$E$1,MATCH(K492&amp;F$1,Taostats_CSV!$X:$X,0)-1,0),IF(LEN(F492)&gt;0,Taostats_CSV!E492,""))</f>
        <v>SN64</v>
      </c>
      <c r="F492" t="str">
        <f ca="1">TRIM(IF(AND(Q492,P492&gt;0),OFFSET(Taostats_CSV!$H$1,MATCH(K492&amp;F$1,Taostats_CSV!$X:$X,0)-1,0),IF(LEN(Taostats_CSV!H492)&gt;0,Taostats_CSV!H492,Taostats_CSV!R492)))</f>
        <v>0.140786877</v>
      </c>
      <c r="G492" t="str">
        <f ca="1">IF(AND(Q492,N492=1),OFFSET(Taostats_CSV!$E$1,MATCH(K492&amp;H$1,Taostats_CSV!$X:$X,0)-1,0),"")</f>
        <v/>
      </c>
      <c r="H492" t="str">
        <f ca="1">IF(AND(Q492,N492=1),OFFSET(Taostats_CSV!$G$1,MATCH(K492&amp;H$1,Taostats_CSV!$X:$X,0)-1,0),"")</f>
        <v/>
      </c>
      <c r="I492" t="str">
        <f ca="1">IF(AND(LEN(K492)=0,LEN(F492)&gt;0),"Income",IF(AND(O492&gt;0,P492&gt;0,C492&lt;&gt;E492),"Trade",IF(AND(NOT(Q492),Taostats_CSV!F492="fee"),'READ ME'!$C$5,"")))</f>
        <v>Income</v>
      </c>
      <c r="J492" t="str">
        <f ca="1">SUBSTITUTE(IF(LEN(I492)=0,Taostats_CSV!F492&amp;" "&amp;Taostats_CSV!J492,IF(I492="Cost","Extrinsic fee","")),"_"," ")</f>
        <v/>
      </c>
      <c r="K492" t="str">
        <f>TRIM(IF(LEN(Taostats_CSV!I492)&gt;0,Taostats_CSV!I492,""))</f>
        <v/>
      </c>
      <c r="L492">
        <f ca="1">IF(Taostats_CSV!E492&lt;&gt;"TAO",IF(LEN(F492)&gt;0,F492,IF(LEN(D492)&gt;0,D492,0))*Taostats_CSV!P492,"")</f>
        <v>10.990602616838768</v>
      </c>
      <c r="M492" t="str">
        <f t="shared" ca="1" si="57"/>
        <v>USD</v>
      </c>
      <c r="N492">
        <f>COUNTIF(Taostats_CSV!$X:$X,Taostats_CSV!$I492&amp;N$1)</f>
        <v>0</v>
      </c>
      <c r="O492">
        <f>COUNTIF(Taostats_CSV!$X:$X,Taostats_CSV!$I492&amp;O$1)</f>
        <v>0</v>
      </c>
      <c r="P492">
        <f>COUNTIF(Taostats_CSV!$X:$X,Taostats_CSV!$I492&amp;P$1)</f>
        <v>0</v>
      </c>
      <c r="Q492" t="b">
        <f t="shared" si="58"/>
        <v>0</v>
      </c>
      <c r="R492" t="b">
        <f>IF(LEN(K492)&gt;0,COUNTIF($K$3:K492,K492),FALSE)</f>
        <v>0</v>
      </c>
      <c r="S492" t="b">
        <f>IF(Taostats_CSV!A492=Taostats_CSV!$A$2,TRUE,Taostats_CSV!G492+Taostats_CSV!H492+Taostats_CSV!R492=0)</f>
        <v>0</v>
      </c>
      <c r="T492" t="b">
        <f t="shared" si="59"/>
        <v>1</v>
      </c>
      <c r="U492" t="b" cm="1">
        <f t="array" aca="1" ref="U492" ca="1">AND(T492,OR(O492-N492&gt;1,P492&gt;1,ISERROR(A492:P492)))</f>
        <v>0</v>
      </c>
      <c r="W492" t="e">
        <f>MATCH(K492&amp;$W$2,Taostats_CSV!$X$3:$X$1167,0)</f>
        <v>#N/A</v>
      </c>
      <c r="X492" t="e">
        <f t="shared" ca="1" si="54"/>
        <v>#VALUE!</v>
      </c>
      <c r="Y492">
        <f t="shared" ca="1" si="55"/>
        <v>0.140786877</v>
      </c>
      <c r="Z492" t="e">
        <f t="shared" ca="1" si="56"/>
        <v>#VALUE!</v>
      </c>
    </row>
    <row r="493" spans="1:26" hidden="1" x14ac:dyDescent="0.4">
      <c r="A493" t="str">
        <f>MID(Taostats_CSV!C493,6,2)&amp;"/"&amp;MID(Taostats_CSV!C493,9,2)&amp;"/"&amp;LEFT(Taostats_CSV!C493,4)&amp;" "&amp;MID(Taostats_CSV!C493,12,8)</f>
        <v>06/18/2025 23:59:48</v>
      </c>
      <c r="C493" t="str">
        <f ca="1">IF(Q493,OFFSET(Taostats_CSV!$E$1,MATCH(K493&amp;D$1,Taostats_CSV!$X:$X,0)-1,0),IF(Taostats_CSV!F493="fee","",IF(VALUE(Taostats_CSV!G493)&gt;0,Taostats_CSV!E493,"")))</f>
        <v/>
      </c>
      <c r="D493" t="str">
        <f ca="1">IF(Q493,OFFSET(Taostats_CSV!$G$1,MATCH(K493&amp;D$1,Taostats_CSV!$X:$X,0)-1,0),IF(Taostats_CSV!F493="fee","",IF(VALUE(Taostats_CSV!G493)&gt;0,Taostats_CSV!G493,"")))</f>
        <v/>
      </c>
      <c r="E493" t="str">
        <f ca="1">IF(AND(Q493,P493&gt;0),OFFSET(Taostats_CSV!$E$1,MATCH(K493&amp;F$1,Taostats_CSV!$X:$X,0)-1,0),IF(LEN(F493)&gt;0,Taostats_CSV!E493,""))</f>
        <v>TAO</v>
      </c>
      <c r="F493" t="str">
        <f ca="1">TRIM(IF(AND(Q493,P493&gt;0),OFFSET(Taostats_CSV!$H$1,MATCH(K493&amp;F$1,Taostats_CSV!$X:$X,0)-1,0),IF(LEN(Taostats_CSV!H493)&gt;0,Taostats_CSV!H493,Taostats_CSV!R493)))</f>
        <v>0</v>
      </c>
      <c r="G493" t="str">
        <f ca="1">IF(AND(Q493,N493=1),OFFSET(Taostats_CSV!$E$1,MATCH(K493&amp;H$1,Taostats_CSV!$X:$X,0)-1,0),IF(Taostats_CSV!F493="fee",Taostats_CSV!E493,""))</f>
        <v/>
      </c>
      <c r="H493" t="str">
        <f ca="1">IF(AND(Q493,N493=1),OFFSET(Taostats_CSV!$G$1,MATCH(K493&amp;H$1,Taostats_CSV!$X:$X,0)-1,0),IF(Taostats_CSV!F493="fee",Taostats_CSV!G493,""))</f>
        <v/>
      </c>
      <c r="I493" t="str">
        <f ca="1">IF(AND(LEN(K493)=0,LEN(F493)&gt;0),"Income",IF(AND(O493&gt;0,P493&gt;0,C493&lt;&gt;E493),"Trade",IF(AND(NOT(Q493),Taostats_CSV!F493="fee"),'READ ME'!$C$5,"")))</f>
        <v>Income</v>
      </c>
      <c r="J493" t="str">
        <f ca="1">SUBSTITUTE(IF(LEN(I493)=0,Taostats_CSV!F493&amp;" "&amp;Taostats_CSV!J493,IF(I493="Cost","Extrinsic fee","")),"_"," ")</f>
        <v/>
      </c>
      <c r="K493" t="str">
        <f>TRIM(IF(LEN(Taostats_CSV!I493)&gt;0,Taostats_CSV!I493,""))</f>
        <v/>
      </c>
      <c r="L493" t="str">
        <f>IF(Taostats_CSV!E493&lt;&gt;"TAO",IF(LEN(F493)&gt;0,F493,IF(LEN(D493)&gt;0,D493,0))*Taostats_CSV!P493,"")</f>
        <v/>
      </c>
      <c r="M493" t="str">
        <f t="shared" si="57"/>
        <v/>
      </c>
      <c r="N493">
        <f>COUNTIF(Taostats_CSV!$X:$X,Taostats_CSV!$I493&amp;N$1)</f>
        <v>0</v>
      </c>
      <c r="O493">
        <f>COUNTIF(Taostats_CSV!$X:$X,Taostats_CSV!$I493&amp;O$1)</f>
        <v>0</v>
      </c>
      <c r="P493">
        <f>COUNTIF(Taostats_CSV!$X:$X,Taostats_CSV!$I493&amp;P$1)</f>
        <v>0</v>
      </c>
      <c r="Q493" t="b">
        <f t="shared" si="58"/>
        <v>0</v>
      </c>
      <c r="R493" t="b">
        <f>IF(LEN(K493)&gt;0,COUNTIF($K$3:K493,K493),FALSE)</f>
        <v>0</v>
      </c>
      <c r="S493" t="b">
        <f>IF(Taostats_CSV!A493=Taostats_CSV!$A$2,TRUE,Taostats_CSV!G493+Taostats_CSV!H493+Taostats_CSV!R493=0)</f>
        <v>1</v>
      </c>
      <c r="T493" t="b">
        <f t="shared" si="59"/>
        <v>0</v>
      </c>
      <c r="U493" t="b" cm="1">
        <f t="array" aca="1" ref="U493" ca="1">AND(T493,OR(O493-N493&gt;1,P493&gt;1,ISERROR(A493:P493)))</f>
        <v>0</v>
      </c>
      <c r="W493" t="e">
        <f>MATCH(K493&amp;$W$2,Taostats_CSV!$X$3:$X$1167,0)</f>
        <v>#N/A</v>
      </c>
      <c r="X493" t="e">
        <f t="shared" ca="1" si="54"/>
        <v>#VALUE!</v>
      </c>
      <c r="Y493">
        <f t="shared" ca="1" si="55"/>
        <v>0</v>
      </c>
      <c r="Z493" t="e">
        <f t="shared" ca="1" si="56"/>
        <v>#VALUE!</v>
      </c>
    </row>
    <row r="494" spans="1:26" x14ac:dyDescent="0.4">
      <c r="A494" t="str">
        <f>MID(Taostats_CSV!C494,6,2)&amp;"/"&amp;MID(Taostats_CSV!C494,9,2)&amp;"/"&amp;LEFT(Taostats_CSV!C494,4)&amp;" "&amp;MID(Taostats_CSV!C494,12,8)</f>
        <v>06/19/2025 23:59:48</v>
      </c>
      <c r="C494" t="str">
        <f ca="1">IF(Q494,OFFSET(Taostats_CSV!$E$1,MATCH(K494&amp;D$1,Taostats_CSV!$X:$X,0)-1,0),IF(Taostats_CSV!F494="fee",IF(VALUE(Taostats_CSV!G494)&gt;0,Taostats_CSV!E494,""),""))</f>
        <v/>
      </c>
      <c r="D494" t="str">
        <f ca="1">IF(Q494,OFFSET(Taostats_CSV!$G$1,MATCH(K494&amp;D$1,Taostats_CSV!$X:$X,0)-1,0),IF(Taostats_CSV!F494="fee",IF(VALUE(Taostats_CSV!G494)&gt;0,Taostats_CSV!G494,""),""))</f>
        <v/>
      </c>
      <c r="E494" t="str">
        <f ca="1">IF(AND(Q494,P494&gt;0),OFFSET(Taostats_CSV!$E$1,MATCH(K494&amp;F$1,Taostats_CSV!$X:$X,0)-1,0),IF(LEN(F494)&gt;0,Taostats_CSV!E494,""))</f>
        <v>SN3</v>
      </c>
      <c r="F494" t="str">
        <f ca="1">TRIM(IF(AND(Q494,P494&gt;0),OFFSET(Taostats_CSV!$H$1,MATCH(K494&amp;F$1,Taostats_CSV!$X:$X,0)-1,0),IF(LEN(Taostats_CSV!H494)&gt;0,Taostats_CSV!H494,Taostats_CSV!R494)))</f>
        <v>0.397272011</v>
      </c>
      <c r="G494" t="str">
        <f ca="1">IF(AND(Q494,N494=1),OFFSET(Taostats_CSV!$E$1,MATCH(K494&amp;H$1,Taostats_CSV!$X:$X,0)-1,0),"")</f>
        <v/>
      </c>
      <c r="H494" t="str">
        <f ca="1">IF(AND(Q494,N494=1),OFFSET(Taostats_CSV!$G$1,MATCH(K494&amp;H$1,Taostats_CSV!$X:$X,0)-1,0),"")</f>
        <v/>
      </c>
      <c r="I494" t="str">
        <f ca="1">IF(AND(LEN(K494)=0,LEN(F494)&gt;0),"Income",IF(AND(O494&gt;0,P494&gt;0,C494&lt;&gt;E494),"Trade",IF(AND(NOT(Q494),Taostats_CSV!F494="fee"),'READ ME'!$C$5,"")))</f>
        <v>Income</v>
      </c>
      <c r="J494" t="str">
        <f ca="1">SUBSTITUTE(IF(LEN(I494)=0,Taostats_CSV!F494&amp;" "&amp;Taostats_CSV!J494,IF(I494="Cost","Extrinsic fee","")),"_"," ")</f>
        <v/>
      </c>
      <c r="K494" t="str">
        <f>TRIM(IF(LEN(Taostats_CSV!I494)&gt;0,Taostats_CSV!I494,""))</f>
        <v/>
      </c>
      <c r="L494">
        <f ca="1">IF(Taostats_CSV!E494&lt;&gt;"TAO",IF(LEN(F494)&gt;0,F494,IF(LEN(D494)&gt;0,D494,0))*Taostats_CSV!P494,"")</f>
        <v>12.283431661598401</v>
      </c>
      <c r="M494" t="str">
        <f t="shared" ca="1" si="57"/>
        <v>USD</v>
      </c>
      <c r="N494">
        <f>COUNTIF(Taostats_CSV!$X:$X,Taostats_CSV!$I494&amp;N$1)</f>
        <v>0</v>
      </c>
      <c r="O494">
        <f>COUNTIF(Taostats_CSV!$X:$X,Taostats_CSV!$I494&amp;O$1)</f>
        <v>0</v>
      </c>
      <c r="P494">
        <f>COUNTIF(Taostats_CSV!$X:$X,Taostats_CSV!$I494&amp;P$1)</f>
        <v>0</v>
      </c>
      <c r="Q494" t="b">
        <f t="shared" si="58"/>
        <v>0</v>
      </c>
      <c r="R494" t="b">
        <f>IF(LEN(K494)&gt;0,COUNTIF($K$3:K494,K494),FALSE)</f>
        <v>0</v>
      </c>
      <c r="S494" t="b">
        <f>IF(Taostats_CSV!A494=Taostats_CSV!$A$2,TRUE,Taostats_CSV!G494+Taostats_CSV!H494+Taostats_CSV!R494=0)</f>
        <v>0</v>
      </c>
      <c r="T494" t="b">
        <f t="shared" si="59"/>
        <v>1</v>
      </c>
      <c r="U494" t="b" cm="1">
        <f t="array" aca="1" ref="U494" ca="1">AND(T494,OR(O494-N494&gt;1,P494&gt;1,ISERROR(A494:P494)))</f>
        <v>0</v>
      </c>
      <c r="W494" t="e">
        <f>MATCH(K494&amp;$W$2,Taostats_CSV!$X$3:$X$1167,0)</f>
        <v>#N/A</v>
      </c>
      <c r="X494" t="e">
        <f t="shared" ca="1" si="54"/>
        <v>#VALUE!</v>
      </c>
      <c r="Y494">
        <f t="shared" ca="1" si="55"/>
        <v>0.39727201099999998</v>
      </c>
      <c r="Z494" t="e">
        <f t="shared" ca="1" si="56"/>
        <v>#VALUE!</v>
      </c>
    </row>
    <row r="495" spans="1:26" x14ac:dyDescent="0.4">
      <c r="A495" t="str">
        <f>MID(Taostats_CSV!C495,6,2)&amp;"/"&amp;MID(Taostats_CSV!C495,9,2)&amp;"/"&amp;LEFT(Taostats_CSV!C495,4)&amp;" "&amp;MID(Taostats_CSV!C495,12,8)</f>
        <v>06/19/2025 23:59:48</v>
      </c>
      <c r="C495" t="str">
        <f ca="1">IF(Q495,OFFSET(Taostats_CSV!$E$1,MATCH(K495&amp;D$1,Taostats_CSV!$X:$X,0)-1,0),IF(Taostats_CSV!F495="fee",IF(VALUE(Taostats_CSV!G495)&gt;0,Taostats_CSV!E495,""),""))</f>
        <v/>
      </c>
      <c r="D495" t="str">
        <f ca="1">IF(Q495,OFFSET(Taostats_CSV!$G$1,MATCH(K495&amp;D$1,Taostats_CSV!$X:$X,0)-1,0),IF(Taostats_CSV!F495="fee",IF(VALUE(Taostats_CSV!G495)&gt;0,Taostats_CSV!G495,""),""))</f>
        <v/>
      </c>
      <c r="E495" t="str">
        <f ca="1">IF(AND(Q495,P495&gt;0),OFFSET(Taostats_CSV!$E$1,MATCH(K495&amp;F$1,Taostats_CSV!$X:$X,0)-1,0),IF(LEN(F495)&gt;0,Taostats_CSV!E495,""))</f>
        <v>SN4</v>
      </c>
      <c r="F495" t="str">
        <f ca="1">TRIM(IF(AND(Q495,P495&gt;0),OFFSET(Taostats_CSV!$H$1,MATCH(K495&amp;F$1,Taostats_CSV!$X:$X,0)-1,0),IF(LEN(Taostats_CSV!H495)&gt;0,Taostats_CSV!H495,Taostats_CSV!R495)))</f>
        <v>0.52232771</v>
      </c>
      <c r="G495" t="str">
        <f ca="1">IF(AND(Q495,N495=1),OFFSET(Taostats_CSV!$E$1,MATCH(K495&amp;H$1,Taostats_CSV!$X:$X,0)-1,0),"")</f>
        <v/>
      </c>
      <c r="H495" t="str">
        <f ca="1">IF(AND(Q495,N495=1),OFFSET(Taostats_CSV!$G$1,MATCH(K495&amp;H$1,Taostats_CSV!$X:$X,0)-1,0),"")</f>
        <v/>
      </c>
      <c r="I495" t="str">
        <f ca="1">IF(AND(LEN(K495)=0,LEN(F495)&gt;0),"Income",IF(AND(O495&gt;0,P495&gt;0,C495&lt;&gt;E495),"Trade",IF(AND(NOT(Q495),Taostats_CSV!F495="fee"),'READ ME'!$C$5,"")))</f>
        <v>Income</v>
      </c>
      <c r="J495" t="str">
        <f ca="1">SUBSTITUTE(IF(LEN(I495)=0,Taostats_CSV!F495&amp;" "&amp;Taostats_CSV!J495,IF(I495="Cost","Extrinsic fee","")),"_"," ")</f>
        <v/>
      </c>
      <c r="K495" t="str">
        <f>TRIM(IF(LEN(Taostats_CSV!I495)&gt;0,Taostats_CSV!I495,""))</f>
        <v/>
      </c>
      <c r="L495">
        <f ca="1">IF(Taostats_CSV!E495&lt;&gt;"TAO",IF(LEN(F495)&gt;0,F495,IF(LEN(D495)&gt;0,D495,0))*Taostats_CSV!P495,"")</f>
        <v>14.516984686576629</v>
      </c>
      <c r="M495" t="str">
        <f t="shared" ca="1" si="57"/>
        <v>USD</v>
      </c>
      <c r="N495">
        <f>COUNTIF(Taostats_CSV!$X:$X,Taostats_CSV!$I495&amp;N$1)</f>
        <v>0</v>
      </c>
      <c r="O495">
        <f>COUNTIF(Taostats_CSV!$X:$X,Taostats_CSV!$I495&amp;O$1)</f>
        <v>0</v>
      </c>
      <c r="P495">
        <f>COUNTIF(Taostats_CSV!$X:$X,Taostats_CSV!$I495&amp;P$1)</f>
        <v>0</v>
      </c>
      <c r="Q495" t="b">
        <f t="shared" si="58"/>
        <v>0</v>
      </c>
      <c r="R495" t="b">
        <f>IF(LEN(K495)&gt;0,COUNTIF($K$3:K495,K495),FALSE)</f>
        <v>0</v>
      </c>
      <c r="S495" t="b">
        <f>IF(Taostats_CSV!A495=Taostats_CSV!$A$2,TRUE,Taostats_CSV!G495+Taostats_CSV!H495+Taostats_CSV!R495=0)</f>
        <v>0</v>
      </c>
      <c r="T495" t="b">
        <f t="shared" si="59"/>
        <v>1</v>
      </c>
      <c r="U495" t="b" cm="1">
        <f t="array" aca="1" ref="U495" ca="1">AND(T495,OR(O495-N495&gt;1,P495&gt;1,ISERROR(A495:P495)))</f>
        <v>0</v>
      </c>
      <c r="W495" t="e">
        <f>MATCH(K495&amp;$W$2,Taostats_CSV!$X$3:$X$1167,0)</f>
        <v>#N/A</v>
      </c>
      <c r="X495" t="e">
        <f t="shared" ca="1" si="54"/>
        <v>#VALUE!</v>
      </c>
      <c r="Y495">
        <f t="shared" ca="1" si="55"/>
        <v>0.52232771</v>
      </c>
      <c r="Z495" t="e">
        <f t="shared" ca="1" si="56"/>
        <v>#VALUE!</v>
      </c>
    </row>
    <row r="496" spans="1:26" x14ac:dyDescent="0.4">
      <c r="A496" t="str">
        <f>MID(Taostats_CSV!C496,6,2)&amp;"/"&amp;MID(Taostats_CSV!C496,9,2)&amp;"/"&amp;LEFT(Taostats_CSV!C496,4)&amp;" "&amp;MID(Taostats_CSV!C496,12,8)</f>
        <v>06/19/2025 23:59:48</v>
      </c>
      <c r="C496" t="str">
        <f ca="1">IF(Q496,OFFSET(Taostats_CSV!$E$1,MATCH(K496&amp;D$1,Taostats_CSV!$X:$X,0)-1,0),IF(Taostats_CSV!F496="fee",IF(VALUE(Taostats_CSV!G496)&gt;0,Taostats_CSV!E496,""),""))</f>
        <v/>
      </c>
      <c r="D496" t="str">
        <f ca="1">IF(Q496,OFFSET(Taostats_CSV!$G$1,MATCH(K496&amp;D$1,Taostats_CSV!$X:$X,0)-1,0),IF(Taostats_CSV!F496="fee",IF(VALUE(Taostats_CSV!G496)&gt;0,Taostats_CSV!G496,""),""))</f>
        <v/>
      </c>
      <c r="E496" t="str">
        <f ca="1">IF(AND(Q496,P496&gt;0),OFFSET(Taostats_CSV!$E$1,MATCH(K496&amp;F$1,Taostats_CSV!$X:$X,0)-1,0),IF(LEN(F496)&gt;0,Taostats_CSV!E496,""))</f>
        <v>SN56</v>
      </c>
      <c r="F496" t="str">
        <f ca="1">TRIM(IF(AND(Q496,P496&gt;0),OFFSET(Taostats_CSV!$H$1,MATCH(K496&amp;F$1,Taostats_CSV!$X:$X,0)-1,0),IF(LEN(Taostats_CSV!H496)&gt;0,Taostats_CSV!H496,Taostats_CSV!R496)))</f>
        <v>0.252793859</v>
      </c>
      <c r="G496" t="str">
        <f ca="1">IF(AND(Q496,N496=1),OFFSET(Taostats_CSV!$E$1,MATCH(K496&amp;H$1,Taostats_CSV!$X:$X,0)-1,0),"")</f>
        <v/>
      </c>
      <c r="H496" t="str">
        <f ca="1">IF(AND(Q496,N496=1),OFFSET(Taostats_CSV!$G$1,MATCH(K496&amp;H$1,Taostats_CSV!$X:$X,0)-1,0),"")</f>
        <v/>
      </c>
      <c r="I496" t="str">
        <f ca="1">IF(AND(LEN(K496)=0,LEN(F496)&gt;0),"Income",IF(AND(O496&gt;0,P496&gt;0,C496&lt;&gt;E496),"Trade",IF(AND(NOT(Q496),Taostats_CSV!F496="fee"),'READ ME'!$C$5,"")))</f>
        <v>Income</v>
      </c>
      <c r="J496" t="str">
        <f ca="1">SUBSTITUTE(IF(LEN(I496)=0,Taostats_CSV!F496&amp;" "&amp;Taostats_CSV!J496,IF(I496="Cost","Extrinsic fee","")),"_"," ")</f>
        <v/>
      </c>
      <c r="K496" t="str">
        <f>TRIM(IF(LEN(Taostats_CSV!I496)&gt;0,Taostats_CSV!I496,""))</f>
        <v/>
      </c>
      <c r="L496">
        <f ca="1">IF(Taostats_CSV!E496&lt;&gt;"TAO",IF(LEN(F496)&gt;0,F496,IF(LEN(D496)&gt;0,D496,0))*Taostats_CSV!P496,"")</f>
        <v>7.0097546606729946</v>
      </c>
      <c r="M496" t="str">
        <f t="shared" ca="1" si="57"/>
        <v>USD</v>
      </c>
      <c r="N496">
        <f>COUNTIF(Taostats_CSV!$X:$X,Taostats_CSV!$I496&amp;N$1)</f>
        <v>0</v>
      </c>
      <c r="O496">
        <f>COUNTIF(Taostats_CSV!$X:$X,Taostats_CSV!$I496&amp;O$1)</f>
        <v>0</v>
      </c>
      <c r="P496">
        <f>COUNTIF(Taostats_CSV!$X:$X,Taostats_CSV!$I496&amp;P$1)</f>
        <v>0</v>
      </c>
      <c r="Q496" t="b">
        <f t="shared" si="58"/>
        <v>0</v>
      </c>
      <c r="R496" t="b">
        <f>IF(LEN(K496)&gt;0,COUNTIF($K$3:K496,K496),FALSE)</f>
        <v>0</v>
      </c>
      <c r="S496" t="b">
        <f>IF(Taostats_CSV!A496=Taostats_CSV!$A$2,TRUE,Taostats_CSV!G496+Taostats_CSV!H496+Taostats_CSV!R496=0)</f>
        <v>0</v>
      </c>
      <c r="T496" t="b">
        <f t="shared" si="59"/>
        <v>1</v>
      </c>
      <c r="U496" t="b" cm="1">
        <f t="array" aca="1" ref="U496" ca="1">AND(T496,OR(O496-N496&gt;1,P496&gt;1,ISERROR(A496:P496)))</f>
        <v>0</v>
      </c>
      <c r="W496" t="e">
        <f>MATCH(K496&amp;$W$2,Taostats_CSV!$X$3:$X$1167,0)</f>
        <v>#N/A</v>
      </c>
      <c r="X496" t="e">
        <f t="shared" ca="1" si="54"/>
        <v>#VALUE!</v>
      </c>
      <c r="Y496">
        <f t="shared" ca="1" si="55"/>
        <v>0.25279385900000001</v>
      </c>
      <c r="Z496" t="e">
        <f t="shared" ca="1" si="56"/>
        <v>#VALUE!</v>
      </c>
    </row>
    <row r="497" spans="1:26" x14ac:dyDescent="0.4">
      <c r="A497" t="str">
        <f>MID(Taostats_CSV!C497,6,2)&amp;"/"&amp;MID(Taostats_CSV!C497,9,2)&amp;"/"&amp;LEFT(Taostats_CSV!C497,4)&amp;" "&amp;MID(Taostats_CSV!C497,12,8)</f>
        <v>06/19/2025 23:59:48</v>
      </c>
      <c r="C497" t="str">
        <f ca="1">IF(Q497,OFFSET(Taostats_CSV!$E$1,MATCH(K497&amp;D$1,Taostats_CSV!$X:$X,0)-1,0),IF(Taostats_CSV!F497="fee",IF(VALUE(Taostats_CSV!G497)&gt;0,Taostats_CSV!E497,""),""))</f>
        <v/>
      </c>
      <c r="D497" t="str">
        <f ca="1">IF(Q497,OFFSET(Taostats_CSV!$G$1,MATCH(K497&amp;D$1,Taostats_CSV!$X:$X,0)-1,0),IF(Taostats_CSV!F497="fee",IF(VALUE(Taostats_CSV!G497)&gt;0,Taostats_CSV!G497,""),""))</f>
        <v/>
      </c>
      <c r="E497" t="str">
        <f ca="1">IF(AND(Q497,P497&gt;0),OFFSET(Taostats_CSV!$E$1,MATCH(K497&amp;F$1,Taostats_CSV!$X:$X,0)-1,0),IF(LEN(F497)&gt;0,Taostats_CSV!E497,""))</f>
        <v>SN64</v>
      </c>
      <c r="F497" t="str">
        <f ca="1">TRIM(IF(AND(Q497,P497&gt;0),OFFSET(Taostats_CSV!$H$1,MATCH(K497&amp;F$1,Taostats_CSV!$X:$X,0)-1,0),IF(LEN(Taostats_CSV!H497)&gt;0,Taostats_CSV!H497,Taostats_CSV!R497)))</f>
        <v>0.141730324</v>
      </c>
      <c r="G497" t="str">
        <f ca="1">IF(AND(Q497,N497=1),OFFSET(Taostats_CSV!$E$1,MATCH(K497&amp;H$1,Taostats_CSV!$X:$X,0)-1,0),"")</f>
        <v/>
      </c>
      <c r="H497" t="str">
        <f ca="1">IF(AND(Q497,N497=1),OFFSET(Taostats_CSV!$G$1,MATCH(K497&amp;H$1,Taostats_CSV!$X:$X,0)-1,0),"")</f>
        <v/>
      </c>
      <c r="I497" t="str">
        <f ca="1">IF(AND(LEN(K497)=0,LEN(F497)&gt;0),"Income",IF(AND(O497&gt;0,P497&gt;0,C497&lt;&gt;E497),"Trade",IF(AND(NOT(Q497),Taostats_CSV!F497="fee"),'READ ME'!$C$5,"")))</f>
        <v>Income</v>
      </c>
      <c r="J497" t="str">
        <f ca="1">SUBSTITUTE(IF(LEN(I497)=0,Taostats_CSV!F497&amp;" "&amp;Taostats_CSV!J497,IF(I497="Cost","Extrinsic fee","")),"_"," ")</f>
        <v/>
      </c>
      <c r="K497" t="str">
        <f>TRIM(IF(LEN(Taostats_CSV!I497)&gt;0,Taostats_CSV!I497,""))</f>
        <v/>
      </c>
      <c r="L497">
        <f ca="1">IF(Taostats_CSV!E497&lt;&gt;"TAO",IF(LEN(F497)&gt;0,F497,IF(LEN(D497)&gt;0,D497,0))*Taostats_CSV!P497,"")</f>
        <v>10.222988300852549</v>
      </c>
      <c r="M497" t="str">
        <f t="shared" ca="1" si="57"/>
        <v>USD</v>
      </c>
      <c r="N497">
        <f>COUNTIF(Taostats_CSV!$X:$X,Taostats_CSV!$I497&amp;N$1)</f>
        <v>0</v>
      </c>
      <c r="O497">
        <f>COUNTIF(Taostats_CSV!$X:$X,Taostats_CSV!$I497&amp;O$1)</f>
        <v>0</v>
      </c>
      <c r="P497">
        <f>COUNTIF(Taostats_CSV!$X:$X,Taostats_CSV!$I497&amp;P$1)</f>
        <v>0</v>
      </c>
      <c r="Q497" t="b">
        <f t="shared" si="58"/>
        <v>0</v>
      </c>
      <c r="R497" t="b">
        <f>IF(LEN(K497)&gt;0,COUNTIF($K$3:K497,K497),FALSE)</f>
        <v>0</v>
      </c>
      <c r="S497" t="b">
        <f>IF(Taostats_CSV!A497=Taostats_CSV!$A$2,TRUE,Taostats_CSV!G497+Taostats_CSV!H497+Taostats_CSV!R497=0)</f>
        <v>0</v>
      </c>
      <c r="T497" t="b">
        <f t="shared" si="59"/>
        <v>1</v>
      </c>
      <c r="U497" t="b" cm="1">
        <f t="array" aca="1" ref="U497" ca="1">AND(T497,OR(O497-N497&gt;1,P497&gt;1,ISERROR(A497:P497)))</f>
        <v>0</v>
      </c>
      <c r="W497" t="e">
        <f>MATCH(K497&amp;$W$2,Taostats_CSV!$X$3:$X$1167,0)</f>
        <v>#N/A</v>
      </c>
      <c r="X497" t="e">
        <f t="shared" ca="1" si="54"/>
        <v>#VALUE!</v>
      </c>
      <c r="Y497">
        <f t="shared" ca="1" si="55"/>
        <v>0.14173032399999999</v>
      </c>
      <c r="Z497" t="e">
        <f t="shared" ca="1" si="56"/>
        <v>#VALUE!</v>
      </c>
    </row>
    <row r="498" spans="1:26" hidden="1" x14ac:dyDescent="0.4">
      <c r="A498" t="str">
        <f>MID(Taostats_CSV!C498,6,2)&amp;"/"&amp;MID(Taostats_CSV!C498,9,2)&amp;"/"&amp;LEFT(Taostats_CSV!C498,4)&amp;" "&amp;MID(Taostats_CSV!C498,12,8)</f>
        <v>06/19/2025 23:59:48</v>
      </c>
      <c r="C498" t="str">
        <f ca="1">IF(Q498,OFFSET(Taostats_CSV!$E$1,MATCH(K498&amp;D$1,Taostats_CSV!$X:$X,0)-1,0),IF(Taostats_CSV!F498="fee","",IF(VALUE(Taostats_CSV!G498)&gt;0,Taostats_CSV!E498,"")))</f>
        <v/>
      </c>
      <c r="D498" t="str">
        <f ca="1">IF(Q498,OFFSET(Taostats_CSV!$G$1,MATCH(K498&amp;D$1,Taostats_CSV!$X:$X,0)-1,0),IF(Taostats_CSV!F498="fee","",IF(VALUE(Taostats_CSV!G498)&gt;0,Taostats_CSV!G498,"")))</f>
        <v/>
      </c>
      <c r="E498" t="str">
        <f ca="1">IF(AND(Q498,P498&gt;0),OFFSET(Taostats_CSV!$E$1,MATCH(K498&amp;F$1,Taostats_CSV!$X:$X,0)-1,0),IF(LEN(F498)&gt;0,Taostats_CSV!E498,""))</f>
        <v>TAO</v>
      </c>
      <c r="F498" t="str">
        <f ca="1">TRIM(IF(AND(Q498,P498&gt;0),OFFSET(Taostats_CSV!$H$1,MATCH(K498&amp;F$1,Taostats_CSV!$X:$X,0)-1,0),IF(LEN(Taostats_CSV!H498)&gt;0,Taostats_CSV!H498,Taostats_CSV!R498)))</f>
        <v>0</v>
      </c>
      <c r="G498" t="str">
        <f ca="1">IF(AND(Q498,N498=1),OFFSET(Taostats_CSV!$E$1,MATCH(K498&amp;H$1,Taostats_CSV!$X:$X,0)-1,0),IF(Taostats_CSV!F498="fee",Taostats_CSV!E498,""))</f>
        <v/>
      </c>
      <c r="H498" t="str">
        <f ca="1">IF(AND(Q498,N498=1),OFFSET(Taostats_CSV!$G$1,MATCH(K498&amp;H$1,Taostats_CSV!$X:$X,0)-1,0),IF(Taostats_CSV!F498="fee",Taostats_CSV!G498,""))</f>
        <v/>
      </c>
      <c r="I498" t="str">
        <f ca="1">IF(AND(LEN(K498)=0,LEN(F498)&gt;0),"Income",IF(AND(O498&gt;0,P498&gt;0,C498&lt;&gt;E498),"Trade",IF(AND(NOT(Q498),Taostats_CSV!F498="fee"),'READ ME'!$C$5,"")))</f>
        <v>Income</v>
      </c>
      <c r="J498" t="str">
        <f ca="1">SUBSTITUTE(IF(LEN(I498)=0,Taostats_CSV!F498&amp;" "&amp;Taostats_CSV!J498,IF(I498="Cost","Extrinsic fee","")),"_"," ")</f>
        <v/>
      </c>
      <c r="K498" t="str">
        <f>TRIM(IF(LEN(Taostats_CSV!I498)&gt;0,Taostats_CSV!I498,""))</f>
        <v/>
      </c>
      <c r="L498" t="str">
        <f>IF(Taostats_CSV!E498&lt;&gt;"TAO",IF(LEN(F498)&gt;0,F498,IF(LEN(D498)&gt;0,D498,0))*Taostats_CSV!P498,"")</f>
        <v/>
      </c>
      <c r="M498" t="str">
        <f t="shared" si="57"/>
        <v/>
      </c>
      <c r="N498">
        <f>COUNTIF(Taostats_CSV!$X:$X,Taostats_CSV!$I498&amp;N$1)</f>
        <v>0</v>
      </c>
      <c r="O498">
        <f>COUNTIF(Taostats_CSV!$X:$X,Taostats_CSV!$I498&amp;O$1)</f>
        <v>0</v>
      </c>
      <c r="P498">
        <f>COUNTIF(Taostats_CSV!$X:$X,Taostats_CSV!$I498&amp;P$1)</f>
        <v>0</v>
      </c>
      <c r="Q498" t="b">
        <f t="shared" si="58"/>
        <v>0</v>
      </c>
      <c r="R498" t="b">
        <f>IF(LEN(K498)&gt;0,COUNTIF($K$3:K498,K498),FALSE)</f>
        <v>0</v>
      </c>
      <c r="S498" t="b">
        <f>IF(Taostats_CSV!A498=Taostats_CSV!$A$2,TRUE,Taostats_CSV!G498+Taostats_CSV!H498+Taostats_CSV!R498=0)</f>
        <v>1</v>
      </c>
      <c r="T498" t="b">
        <f t="shared" si="59"/>
        <v>0</v>
      </c>
      <c r="U498" t="b" cm="1">
        <f t="array" aca="1" ref="U498" ca="1">AND(T498,OR(O498-N498&gt;1,P498&gt;1,ISERROR(A498:P498)))</f>
        <v>0</v>
      </c>
      <c r="W498" t="e">
        <f>MATCH(K498&amp;$W$2,Taostats_CSV!$X$3:$X$1167,0)</f>
        <v>#N/A</v>
      </c>
      <c r="X498" t="e">
        <f t="shared" ca="1" si="54"/>
        <v>#VALUE!</v>
      </c>
      <c r="Y498">
        <f t="shared" ca="1" si="55"/>
        <v>0</v>
      </c>
      <c r="Z498" t="e">
        <f t="shared" ca="1" si="56"/>
        <v>#VALUE!</v>
      </c>
    </row>
    <row r="499" spans="1:26" x14ac:dyDescent="0.4">
      <c r="A499" t="str">
        <f>MID(Taostats_CSV!C499,6,2)&amp;"/"&amp;MID(Taostats_CSV!C499,9,2)&amp;"/"&amp;LEFT(Taostats_CSV!C499,4)&amp;" "&amp;MID(Taostats_CSV!C499,12,8)</f>
        <v>06/20/2025 23:59:48</v>
      </c>
      <c r="C499" t="str">
        <f ca="1">IF(Q499,OFFSET(Taostats_CSV!$E$1,MATCH(K499&amp;D$1,Taostats_CSV!$X:$X,0)-1,0),IF(Taostats_CSV!F499="fee",IF(VALUE(Taostats_CSV!G499)&gt;0,Taostats_CSV!E499,""),""))</f>
        <v/>
      </c>
      <c r="D499" t="str">
        <f ca="1">IF(Q499,OFFSET(Taostats_CSV!$G$1,MATCH(K499&amp;D$1,Taostats_CSV!$X:$X,0)-1,0),IF(Taostats_CSV!F499="fee",IF(VALUE(Taostats_CSV!G499)&gt;0,Taostats_CSV!G499,""),""))</f>
        <v/>
      </c>
      <c r="E499" t="str">
        <f ca="1">IF(AND(Q499,P499&gt;0),OFFSET(Taostats_CSV!$E$1,MATCH(K499&amp;F$1,Taostats_CSV!$X:$X,0)-1,0),IF(LEN(F499)&gt;0,Taostats_CSV!E499,""))</f>
        <v>SN3</v>
      </c>
      <c r="F499" t="str">
        <f ca="1">TRIM(IF(AND(Q499,P499&gt;0),OFFSET(Taostats_CSV!$H$1,MATCH(K499&amp;F$1,Taostats_CSV!$X:$X,0)-1,0),IF(LEN(Taostats_CSV!H499)&gt;0,Taostats_CSV!H499,Taostats_CSV!R499)))</f>
        <v>0.377476734</v>
      </c>
      <c r="G499" t="str">
        <f ca="1">IF(AND(Q499,N499=1),OFFSET(Taostats_CSV!$E$1,MATCH(K499&amp;H$1,Taostats_CSV!$X:$X,0)-1,0),"")</f>
        <v/>
      </c>
      <c r="H499" t="str">
        <f ca="1">IF(AND(Q499,N499=1),OFFSET(Taostats_CSV!$G$1,MATCH(K499&amp;H$1,Taostats_CSV!$X:$X,0)-1,0),"")</f>
        <v/>
      </c>
      <c r="I499" t="str">
        <f ca="1">IF(AND(LEN(K499)=0,LEN(F499)&gt;0),"Income",IF(AND(O499&gt;0,P499&gt;0,C499&lt;&gt;E499),"Trade",IF(AND(NOT(Q499),Taostats_CSV!F499="fee"),'READ ME'!$C$5,"")))</f>
        <v>Income</v>
      </c>
      <c r="J499" t="str">
        <f ca="1">SUBSTITUTE(IF(LEN(I499)=0,Taostats_CSV!F499&amp;" "&amp;Taostats_CSV!J499,IF(I499="Cost","Extrinsic fee","")),"_"," ")</f>
        <v/>
      </c>
      <c r="K499" t="str">
        <f>TRIM(IF(LEN(Taostats_CSV!I499)&gt;0,Taostats_CSV!I499,""))</f>
        <v/>
      </c>
      <c r="L499">
        <f ca="1">IF(Taostats_CSV!E499&lt;&gt;"TAO",IF(LEN(F499)&gt;0,F499,IF(LEN(D499)&gt;0,D499,0))*Taostats_CSV!P499,"")</f>
        <v>11.201289914538144</v>
      </c>
      <c r="M499" t="str">
        <f t="shared" ca="1" si="57"/>
        <v>USD</v>
      </c>
      <c r="N499">
        <f>COUNTIF(Taostats_CSV!$X:$X,Taostats_CSV!$I499&amp;N$1)</f>
        <v>0</v>
      </c>
      <c r="O499">
        <f>COUNTIF(Taostats_CSV!$X:$X,Taostats_CSV!$I499&amp;O$1)</f>
        <v>0</v>
      </c>
      <c r="P499">
        <f>COUNTIF(Taostats_CSV!$X:$X,Taostats_CSV!$I499&amp;P$1)</f>
        <v>0</v>
      </c>
      <c r="Q499" t="b">
        <f t="shared" si="58"/>
        <v>0</v>
      </c>
      <c r="R499" t="b">
        <f>IF(LEN(K499)&gt;0,COUNTIF($K$3:K499,K499),FALSE)</f>
        <v>0</v>
      </c>
      <c r="S499" t="b">
        <f>IF(Taostats_CSV!A499=Taostats_CSV!$A$2,TRUE,Taostats_CSV!G499+Taostats_CSV!H499+Taostats_CSV!R499=0)</f>
        <v>0</v>
      </c>
      <c r="T499" t="b">
        <f t="shared" si="59"/>
        <v>1</v>
      </c>
      <c r="U499" t="b" cm="1">
        <f t="array" aca="1" ref="U499" ca="1">AND(T499,OR(O499-N499&gt;1,P499&gt;1,ISERROR(A499:P499)))</f>
        <v>0</v>
      </c>
      <c r="W499" t="e">
        <f>MATCH(K499&amp;$W$2,Taostats_CSV!$X$3:$X$1167,0)</f>
        <v>#N/A</v>
      </c>
      <c r="X499" t="e">
        <f t="shared" ca="1" si="54"/>
        <v>#VALUE!</v>
      </c>
      <c r="Y499">
        <f t="shared" ca="1" si="55"/>
        <v>0.37747673399999998</v>
      </c>
      <c r="Z499" t="e">
        <f t="shared" ca="1" si="56"/>
        <v>#VALUE!</v>
      </c>
    </row>
    <row r="500" spans="1:26" x14ac:dyDescent="0.4">
      <c r="A500" t="str">
        <f>MID(Taostats_CSV!C500,6,2)&amp;"/"&amp;MID(Taostats_CSV!C500,9,2)&amp;"/"&amp;LEFT(Taostats_CSV!C500,4)&amp;" "&amp;MID(Taostats_CSV!C500,12,8)</f>
        <v>06/20/2025 23:59:48</v>
      </c>
      <c r="C500" t="str">
        <f ca="1">IF(Q500,OFFSET(Taostats_CSV!$E$1,MATCH(K500&amp;D$1,Taostats_CSV!$X:$X,0)-1,0),IF(Taostats_CSV!F500="fee",IF(VALUE(Taostats_CSV!G500)&gt;0,Taostats_CSV!E500,""),""))</f>
        <v/>
      </c>
      <c r="D500" t="str">
        <f ca="1">IF(Q500,OFFSET(Taostats_CSV!$G$1,MATCH(K500&amp;D$1,Taostats_CSV!$X:$X,0)-1,0),IF(Taostats_CSV!F500="fee",IF(VALUE(Taostats_CSV!G500)&gt;0,Taostats_CSV!G500,""),""))</f>
        <v/>
      </c>
      <c r="E500" t="str">
        <f ca="1">IF(AND(Q500,P500&gt;0),OFFSET(Taostats_CSV!$E$1,MATCH(K500&amp;F$1,Taostats_CSV!$X:$X,0)-1,0),IF(LEN(F500)&gt;0,Taostats_CSV!E500,""))</f>
        <v>SN4</v>
      </c>
      <c r="F500" t="str">
        <f ca="1">TRIM(IF(AND(Q500,P500&gt;0),OFFSET(Taostats_CSV!$H$1,MATCH(K500&amp;F$1,Taostats_CSV!$X:$X,0)-1,0),IF(LEN(Taostats_CSV!H500)&gt;0,Taostats_CSV!H500,Taostats_CSV!R500)))</f>
        <v>0.482748617</v>
      </c>
      <c r="G500" t="str">
        <f ca="1">IF(AND(Q500,N500=1),OFFSET(Taostats_CSV!$E$1,MATCH(K500&amp;H$1,Taostats_CSV!$X:$X,0)-1,0),"")</f>
        <v/>
      </c>
      <c r="H500" t="str">
        <f ca="1">IF(AND(Q500,N500=1),OFFSET(Taostats_CSV!$G$1,MATCH(K500&amp;H$1,Taostats_CSV!$X:$X,0)-1,0),"")</f>
        <v/>
      </c>
      <c r="I500" t="str">
        <f ca="1">IF(AND(LEN(K500)=0,LEN(F500)&gt;0),"Income",IF(AND(O500&gt;0,P500&gt;0,C500&lt;&gt;E500),"Trade",IF(AND(NOT(Q500),Taostats_CSV!F500="fee"),'READ ME'!$C$5,"")))</f>
        <v>Income</v>
      </c>
      <c r="J500" t="str">
        <f ca="1">SUBSTITUTE(IF(LEN(I500)=0,Taostats_CSV!F500&amp;" "&amp;Taostats_CSV!J500,IF(I500="Cost","Extrinsic fee","")),"_"," ")</f>
        <v/>
      </c>
      <c r="K500" t="str">
        <f>TRIM(IF(LEN(Taostats_CSV!I500)&gt;0,Taostats_CSV!I500,""))</f>
        <v/>
      </c>
      <c r="L500">
        <f ca="1">IF(Taostats_CSV!E500&lt;&gt;"TAO",IF(LEN(F500)&gt;0,F500,IF(LEN(D500)&gt;0,D500,0))*Taostats_CSV!P500,"")</f>
        <v>12.884995932707715</v>
      </c>
      <c r="M500" t="str">
        <f t="shared" ca="1" si="57"/>
        <v>USD</v>
      </c>
      <c r="N500">
        <f>COUNTIF(Taostats_CSV!$X:$X,Taostats_CSV!$I500&amp;N$1)</f>
        <v>0</v>
      </c>
      <c r="O500">
        <f>COUNTIF(Taostats_CSV!$X:$X,Taostats_CSV!$I500&amp;O$1)</f>
        <v>0</v>
      </c>
      <c r="P500">
        <f>COUNTIF(Taostats_CSV!$X:$X,Taostats_CSV!$I500&amp;P$1)</f>
        <v>0</v>
      </c>
      <c r="Q500" t="b">
        <f t="shared" si="58"/>
        <v>0</v>
      </c>
      <c r="R500" t="b">
        <f>IF(LEN(K500)&gt;0,COUNTIF($K$3:K500,K500),FALSE)</f>
        <v>0</v>
      </c>
      <c r="S500" t="b">
        <f>IF(Taostats_CSV!A500=Taostats_CSV!$A$2,TRUE,Taostats_CSV!G500+Taostats_CSV!H500+Taostats_CSV!R500=0)</f>
        <v>0</v>
      </c>
      <c r="T500" t="b">
        <f t="shared" si="59"/>
        <v>1</v>
      </c>
      <c r="U500" t="b" cm="1">
        <f t="array" aca="1" ref="U500" ca="1">AND(T500,OR(O500-N500&gt;1,P500&gt;1,ISERROR(A500:P500)))</f>
        <v>0</v>
      </c>
      <c r="W500" t="e">
        <f>MATCH(K500&amp;$W$2,Taostats_CSV!$X$3:$X$1167,0)</f>
        <v>#N/A</v>
      </c>
      <c r="X500" t="e">
        <f t="shared" ca="1" si="54"/>
        <v>#VALUE!</v>
      </c>
      <c r="Y500">
        <f t="shared" ca="1" si="55"/>
        <v>0.48274861699999999</v>
      </c>
      <c r="Z500" t="e">
        <f t="shared" ca="1" si="56"/>
        <v>#VALUE!</v>
      </c>
    </row>
    <row r="501" spans="1:26" x14ac:dyDescent="0.4">
      <c r="A501" t="str">
        <f>MID(Taostats_CSV!C501,6,2)&amp;"/"&amp;MID(Taostats_CSV!C501,9,2)&amp;"/"&amp;LEFT(Taostats_CSV!C501,4)&amp;" "&amp;MID(Taostats_CSV!C501,12,8)</f>
        <v>06/20/2025 23:59:48</v>
      </c>
      <c r="C501" t="str">
        <f ca="1">IF(Q501,OFFSET(Taostats_CSV!$E$1,MATCH(K501&amp;D$1,Taostats_CSV!$X:$X,0)-1,0),IF(Taostats_CSV!F501="fee",IF(VALUE(Taostats_CSV!G501)&gt;0,Taostats_CSV!E501,""),""))</f>
        <v/>
      </c>
      <c r="D501" t="str">
        <f ca="1">IF(Q501,OFFSET(Taostats_CSV!$G$1,MATCH(K501&amp;D$1,Taostats_CSV!$X:$X,0)-1,0),IF(Taostats_CSV!F501="fee",IF(VALUE(Taostats_CSV!G501)&gt;0,Taostats_CSV!G501,""),""))</f>
        <v/>
      </c>
      <c r="E501" t="str">
        <f ca="1">IF(AND(Q501,P501&gt;0),OFFSET(Taostats_CSV!$E$1,MATCH(K501&amp;F$1,Taostats_CSV!$X:$X,0)-1,0),IF(LEN(F501)&gt;0,Taostats_CSV!E501,""))</f>
        <v>SN56</v>
      </c>
      <c r="F501" t="str">
        <f ca="1">TRIM(IF(AND(Q501,P501&gt;0),OFFSET(Taostats_CSV!$H$1,MATCH(K501&amp;F$1,Taostats_CSV!$X:$X,0)-1,0),IF(LEN(Taostats_CSV!H501)&gt;0,Taostats_CSV!H501,Taostats_CSV!R501)))</f>
        <v>0.255926833</v>
      </c>
      <c r="G501" t="str">
        <f ca="1">IF(AND(Q501,N501=1),OFFSET(Taostats_CSV!$E$1,MATCH(K501&amp;H$1,Taostats_CSV!$X:$X,0)-1,0),"")</f>
        <v/>
      </c>
      <c r="H501" t="str">
        <f ca="1">IF(AND(Q501,N501=1),OFFSET(Taostats_CSV!$G$1,MATCH(K501&amp;H$1,Taostats_CSV!$X:$X,0)-1,0),"")</f>
        <v/>
      </c>
      <c r="I501" t="str">
        <f ca="1">IF(AND(LEN(K501)=0,LEN(F501)&gt;0),"Income",IF(AND(O501&gt;0,P501&gt;0,C501&lt;&gt;E501),"Trade",IF(AND(NOT(Q501),Taostats_CSV!F501="fee"),'READ ME'!$C$5,"")))</f>
        <v>Income</v>
      </c>
      <c r="J501" t="str">
        <f ca="1">SUBSTITUTE(IF(LEN(I501)=0,Taostats_CSV!F501&amp;" "&amp;Taostats_CSV!J501,IF(I501="Cost","Extrinsic fee","")),"_"," ")</f>
        <v/>
      </c>
      <c r="K501" t="str">
        <f>TRIM(IF(LEN(Taostats_CSV!I501)&gt;0,Taostats_CSV!I501,""))</f>
        <v/>
      </c>
      <c r="L501">
        <f ca="1">IF(Taostats_CSV!E501&lt;&gt;"TAO",IF(LEN(F501)&gt;0,F501,IF(LEN(D501)&gt;0,D501,0))*Taostats_CSV!P501,"")</f>
        <v>6.9641986428370419</v>
      </c>
      <c r="M501" t="str">
        <f t="shared" ca="1" si="57"/>
        <v>USD</v>
      </c>
      <c r="N501">
        <f>COUNTIF(Taostats_CSV!$X:$X,Taostats_CSV!$I501&amp;N$1)</f>
        <v>0</v>
      </c>
      <c r="O501">
        <f>COUNTIF(Taostats_CSV!$X:$X,Taostats_CSV!$I501&amp;O$1)</f>
        <v>0</v>
      </c>
      <c r="P501">
        <f>COUNTIF(Taostats_CSV!$X:$X,Taostats_CSV!$I501&amp;P$1)</f>
        <v>0</v>
      </c>
      <c r="Q501" t="b">
        <f t="shared" si="58"/>
        <v>0</v>
      </c>
      <c r="R501" t="b">
        <f>IF(LEN(K501)&gt;0,COUNTIF($K$3:K501,K501),FALSE)</f>
        <v>0</v>
      </c>
      <c r="S501" t="b">
        <f>IF(Taostats_CSV!A501=Taostats_CSV!$A$2,TRUE,Taostats_CSV!G501+Taostats_CSV!H501+Taostats_CSV!R501=0)</f>
        <v>0</v>
      </c>
      <c r="T501" t="b">
        <f t="shared" si="59"/>
        <v>1</v>
      </c>
      <c r="U501" t="b" cm="1">
        <f t="array" aca="1" ref="U501" ca="1">AND(T501,OR(O501-N501&gt;1,P501&gt;1,ISERROR(A501:P501)))</f>
        <v>0</v>
      </c>
      <c r="W501" t="e">
        <f>MATCH(K501&amp;$W$2,Taostats_CSV!$X$3:$X$1167,0)</f>
        <v>#N/A</v>
      </c>
      <c r="X501" t="e">
        <f t="shared" ca="1" si="54"/>
        <v>#VALUE!</v>
      </c>
      <c r="Y501">
        <f t="shared" ca="1" si="55"/>
        <v>0.25592683300000002</v>
      </c>
      <c r="Z501" t="e">
        <f t="shared" ca="1" si="56"/>
        <v>#VALUE!</v>
      </c>
    </row>
    <row r="502" spans="1:26" x14ac:dyDescent="0.4">
      <c r="A502" t="str">
        <f>MID(Taostats_CSV!C502,6,2)&amp;"/"&amp;MID(Taostats_CSV!C502,9,2)&amp;"/"&amp;LEFT(Taostats_CSV!C502,4)&amp;" "&amp;MID(Taostats_CSV!C502,12,8)</f>
        <v>06/20/2025 23:59:48</v>
      </c>
      <c r="C502" t="str">
        <f ca="1">IF(Q502,OFFSET(Taostats_CSV!$E$1,MATCH(K502&amp;D$1,Taostats_CSV!$X:$X,0)-1,0),IF(Taostats_CSV!F502="fee",IF(VALUE(Taostats_CSV!G502)&gt;0,Taostats_CSV!E502,""),""))</f>
        <v/>
      </c>
      <c r="D502" t="str">
        <f ca="1">IF(Q502,OFFSET(Taostats_CSV!$G$1,MATCH(K502&amp;D$1,Taostats_CSV!$X:$X,0)-1,0),IF(Taostats_CSV!F502="fee",IF(VALUE(Taostats_CSV!G502)&gt;0,Taostats_CSV!G502,""),""))</f>
        <v/>
      </c>
      <c r="E502" t="str">
        <f ca="1">IF(AND(Q502,P502&gt;0),OFFSET(Taostats_CSV!$E$1,MATCH(K502&amp;F$1,Taostats_CSV!$X:$X,0)-1,0),IF(LEN(F502)&gt;0,Taostats_CSV!E502,""))</f>
        <v>SN64</v>
      </c>
      <c r="F502" t="str">
        <f ca="1">TRIM(IF(AND(Q502,P502&gt;0),OFFSET(Taostats_CSV!$H$1,MATCH(K502&amp;F$1,Taostats_CSV!$X:$X,0)-1,0),IF(LEN(Taostats_CSV!H502)&gt;0,Taostats_CSV!H502,Taostats_CSV!R502)))</f>
        <v>0.141738906</v>
      </c>
      <c r="G502" t="str">
        <f ca="1">IF(AND(Q502,N502=1),OFFSET(Taostats_CSV!$E$1,MATCH(K502&amp;H$1,Taostats_CSV!$X:$X,0)-1,0),"")</f>
        <v/>
      </c>
      <c r="H502" t="str">
        <f ca="1">IF(AND(Q502,N502=1),OFFSET(Taostats_CSV!$G$1,MATCH(K502&amp;H$1,Taostats_CSV!$X:$X,0)-1,0),"")</f>
        <v/>
      </c>
      <c r="I502" t="str">
        <f ca="1">IF(AND(LEN(K502)=0,LEN(F502)&gt;0),"Income",IF(AND(O502&gt;0,P502&gt;0,C502&lt;&gt;E502),"Trade",IF(AND(NOT(Q502),Taostats_CSV!F502="fee"),'READ ME'!$C$5,"")))</f>
        <v>Income</v>
      </c>
      <c r="J502" t="str">
        <f ca="1">SUBSTITUTE(IF(LEN(I502)=0,Taostats_CSV!F502&amp;" "&amp;Taostats_CSV!J502,IF(I502="Cost","Extrinsic fee","")),"_"," ")</f>
        <v/>
      </c>
      <c r="K502" t="str">
        <f>TRIM(IF(LEN(Taostats_CSV!I502)&gt;0,Taostats_CSV!I502,""))</f>
        <v/>
      </c>
      <c r="L502">
        <f ca="1">IF(Taostats_CSV!E502&lt;&gt;"TAO",IF(LEN(F502)&gt;0,F502,IF(LEN(D502)&gt;0,D502,0))*Taostats_CSV!P502,"")</f>
        <v>9.7066052168128003</v>
      </c>
      <c r="M502" t="str">
        <f t="shared" ca="1" si="57"/>
        <v>USD</v>
      </c>
      <c r="N502">
        <f>COUNTIF(Taostats_CSV!$X:$X,Taostats_CSV!$I502&amp;N$1)</f>
        <v>0</v>
      </c>
      <c r="O502">
        <f>COUNTIF(Taostats_CSV!$X:$X,Taostats_CSV!$I502&amp;O$1)</f>
        <v>0</v>
      </c>
      <c r="P502">
        <f>COUNTIF(Taostats_CSV!$X:$X,Taostats_CSV!$I502&amp;P$1)</f>
        <v>0</v>
      </c>
      <c r="Q502" t="b">
        <f t="shared" si="58"/>
        <v>0</v>
      </c>
      <c r="R502" t="b">
        <f>IF(LEN(K502)&gt;0,COUNTIF($K$3:K502,K502),FALSE)</f>
        <v>0</v>
      </c>
      <c r="S502" t="b">
        <f>IF(Taostats_CSV!A502=Taostats_CSV!$A$2,TRUE,Taostats_CSV!G502+Taostats_CSV!H502+Taostats_CSV!R502=0)</f>
        <v>0</v>
      </c>
      <c r="T502" t="b">
        <f t="shared" si="59"/>
        <v>1</v>
      </c>
      <c r="U502" t="b" cm="1">
        <f t="array" aca="1" ref="U502" ca="1">AND(T502,OR(O502-N502&gt;1,P502&gt;1,ISERROR(A502:P502)))</f>
        <v>0</v>
      </c>
      <c r="W502" t="e">
        <f>MATCH(K502&amp;$W$2,Taostats_CSV!$X$3:$X$1167,0)</f>
        <v>#N/A</v>
      </c>
      <c r="X502" t="e">
        <f t="shared" ca="1" si="54"/>
        <v>#VALUE!</v>
      </c>
      <c r="Y502">
        <f t="shared" ca="1" si="55"/>
        <v>0.141738906</v>
      </c>
      <c r="Z502" t="e">
        <f t="shared" ca="1" si="56"/>
        <v>#VALUE!</v>
      </c>
    </row>
    <row r="503" spans="1:26" hidden="1" x14ac:dyDescent="0.4">
      <c r="A503" t="str">
        <f>MID(Taostats_CSV!C503,6,2)&amp;"/"&amp;MID(Taostats_CSV!C503,9,2)&amp;"/"&amp;LEFT(Taostats_CSV!C503,4)&amp;" "&amp;MID(Taostats_CSV!C503,12,8)</f>
        <v>06/20/2025 23:59:48</v>
      </c>
      <c r="C503" t="str">
        <f ca="1">IF(Q503,OFFSET(Taostats_CSV!$E$1,MATCH(K503&amp;D$1,Taostats_CSV!$X:$X,0)-1,0),IF(Taostats_CSV!F503="fee","",IF(VALUE(Taostats_CSV!G503)&gt;0,Taostats_CSV!E503,"")))</f>
        <v/>
      </c>
      <c r="D503" t="str">
        <f ca="1">IF(Q503,OFFSET(Taostats_CSV!$G$1,MATCH(K503&amp;D$1,Taostats_CSV!$X:$X,0)-1,0),IF(Taostats_CSV!F503="fee","",IF(VALUE(Taostats_CSV!G503)&gt;0,Taostats_CSV!G503,"")))</f>
        <v/>
      </c>
      <c r="E503" t="str">
        <f ca="1">IF(AND(Q503,P503&gt;0),OFFSET(Taostats_CSV!$E$1,MATCH(K503&amp;F$1,Taostats_CSV!$X:$X,0)-1,0),IF(LEN(F503)&gt;0,Taostats_CSV!E503,""))</f>
        <v>TAO</v>
      </c>
      <c r="F503" t="str">
        <f ca="1">TRIM(IF(AND(Q503,P503&gt;0),OFFSET(Taostats_CSV!$H$1,MATCH(K503&amp;F$1,Taostats_CSV!$X:$X,0)-1,0),IF(LEN(Taostats_CSV!H503)&gt;0,Taostats_CSV!H503,Taostats_CSV!R503)))</f>
        <v>0</v>
      </c>
      <c r="G503" t="str">
        <f ca="1">IF(AND(Q503,N503=1),OFFSET(Taostats_CSV!$E$1,MATCH(K503&amp;H$1,Taostats_CSV!$X:$X,0)-1,0),IF(Taostats_CSV!F503="fee",Taostats_CSV!E503,""))</f>
        <v/>
      </c>
      <c r="H503" t="str">
        <f ca="1">IF(AND(Q503,N503=1),OFFSET(Taostats_CSV!$G$1,MATCH(K503&amp;H$1,Taostats_CSV!$X:$X,0)-1,0),IF(Taostats_CSV!F503="fee",Taostats_CSV!G503,""))</f>
        <v/>
      </c>
      <c r="I503" t="str">
        <f ca="1">IF(AND(LEN(K503)=0,LEN(F503)&gt;0),"Income",IF(AND(O503&gt;0,P503&gt;0,C503&lt;&gt;E503),"Trade",IF(AND(NOT(Q503),Taostats_CSV!F503="fee"),'READ ME'!$C$5,"")))</f>
        <v>Income</v>
      </c>
      <c r="J503" t="str">
        <f ca="1">SUBSTITUTE(IF(LEN(I503)=0,Taostats_CSV!F503&amp;" "&amp;Taostats_CSV!J503,IF(I503="Cost","Extrinsic fee","")),"_"," ")</f>
        <v/>
      </c>
      <c r="K503" t="str">
        <f>TRIM(IF(LEN(Taostats_CSV!I503)&gt;0,Taostats_CSV!I503,""))</f>
        <v/>
      </c>
      <c r="L503" t="str">
        <f>IF(Taostats_CSV!E503&lt;&gt;"TAO",IF(LEN(F503)&gt;0,F503,IF(LEN(D503)&gt;0,D503,0))*Taostats_CSV!P503,"")</f>
        <v/>
      </c>
      <c r="M503" t="str">
        <f t="shared" si="57"/>
        <v/>
      </c>
      <c r="N503">
        <f>COUNTIF(Taostats_CSV!$X:$X,Taostats_CSV!$I503&amp;N$1)</f>
        <v>0</v>
      </c>
      <c r="O503">
        <f>COUNTIF(Taostats_CSV!$X:$X,Taostats_CSV!$I503&amp;O$1)</f>
        <v>0</v>
      </c>
      <c r="P503">
        <f>COUNTIF(Taostats_CSV!$X:$X,Taostats_CSV!$I503&amp;P$1)</f>
        <v>0</v>
      </c>
      <c r="Q503" t="b">
        <f t="shared" si="58"/>
        <v>0</v>
      </c>
      <c r="R503" t="b">
        <f>IF(LEN(K503)&gt;0,COUNTIF($K$3:K503,K503),FALSE)</f>
        <v>0</v>
      </c>
      <c r="S503" t="b">
        <f>IF(Taostats_CSV!A503=Taostats_CSV!$A$2,TRUE,Taostats_CSV!G503+Taostats_CSV!H503+Taostats_CSV!R503=0)</f>
        <v>1</v>
      </c>
      <c r="T503" t="b">
        <f t="shared" si="59"/>
        <v>0</v>
      </c>
      <c r="U503" t="b" cm="1">
        <f t="array" aca="1" ref="U503" ca="1">AND(T503,OR(O503-N503&gt;1,P503&gt;1,ISERROR(A503:P503)))</f>
        <v>0</v>
      </c>
      <c r="W503" t="e">
        <f>MATCH(K503&amp;$W$2,Taostats_CSV!$X$3:$X$1167,0)</f>
        <v>#N/A</v>
      </c>
      <c r="X503" t="e">
        <f t="shared" ca="1" si="54"/>
        <v>#VALUE!</v>
      </c>
      <c r="Y503">
        <f t="shared" ca="1" si="55"/>
        <v>0</v>
      </c>
      <c r="Z503" t="e">
        <f t="shared" ca="1" si="56"/>
        <v>#VALUE!</v>
      </c>
    </row>
    <row r="504" spans="1:26" x14ac:dyDescent="0.4">
      <c r="A504" t="str">
        <f>MID(Taostats_CSV!C504,6,2)&amp;"/"&amp;MID(Taostats_CSV!C504,9,2)&amp;"/"&amp;LEFT(Taostats_CSV!C504,4)&amp;" "&amp;MID(Taostats_CSV!C504,12,8)</f>
        <v>06/21/2025 23:59:48</v>
      </c>
      <c r="C504" t="str">
        <f ca="1">IF(Q504,OFFSET(Taostats_CSV!$E$1,MATCH(K504&amp;D$1,Taostats_CSV!$X:$X,0)-1,0),IF(Taostats_CSV!F504="fee",IF(VALUE(Taostats_CSV!G504)&gt;0,Taostats_CSV!E504,""),""))</f>
        <v/>
      </c>
      <c r="D504" t="str">
        <f ca="1">IF(Q504,OFFSET(Taostats_CSV!$G$1,MATCH(K504&amp;D$1,Taostats_CSV!$X:$X,0)-1,0),IF(Taostats_CSV!F504="fee",IF(VALUE(Taostats_CSV!G504)&gt;0,Taostats_CSV!G504,""),""))</f>
        <v/>
      </c>
      <c r="E504" t="str">
        <f ca="1">IF(AND(Q504,P504&gt;0),OFFSET(Taostats_CSV!$E$1,MATCH(K504&amp;F$1,Taostats_CSV!$X:$X,0)-1,0),IF(LEN(F504)&gt;0,Taostats_CSV!E504,""))</f>
        <v>SN3</v>
      </c>
      <c r="F504" t="str">
        <f ca="1">TRIM(IF(AND(Q504,P504&gt;0),OFFSET(Taostats_CSV!$H$1,MATCH(K504&amp;F$1,Taostats_CSV!$X:$X,0)-1,0),IF(LEN(Taostats_CSV!H504)&gt;0,Taostats_CSV!H504,Taostats_CSV!R504)))</f>
        <v>0.406577975</v>
      </c>
      <c r="G504" t="str">
        <f ca="1">IF(AND(Q504,N504=1),OFFSET(Taostats_CSV!$E$1,MATCH(K504&amp;H$1,Taostats_CSV!$X:$X,0)-1,0),"")</f>
        <v/>
      </c>
      <c r="H504" t="str">
        <f ca="1">IF(AND(Q504,N504=1),OFFSET(Taostats_CSV!$G$1,MATCH(K504&amp;H$1,Taostats_CSV!$X:$X,0)-1,0),"")</f>
        <v/>
      </c>
      <c r="I504" t="str">
        <f ca="1">IF(AND(LEN(K504)=0,LEN(F504)&gt;0),"Income",IF(AND(O504&gt;0,P504&gt;0,C504&lt;&gt;E504),"Trade",IF(AND(NOT(Q504),Taostats_CSV!F504="fee"),'READ ME'!$C$5,"")))</f>
        <v>Income</v>
      </c>
      <c r="J504" t="str">
        <f ca="1">SUBSTITUTE(IF(LEN(I504)=0,Taostats_CSV!F504&amp;" "&amp;Taostats_CSV!J504,IF(I504="Cost","Extrinsic fee","")),"_"," ")</f>
        <v/>
      </c>
      <c r="K504" t="str">
        <f>TRIM(IF(LEN(Taostats_CSV!I504)&gt;0,Taostats_CSV!I504,""))</f>
        <v/>
      </c>
      <c r="L504">
        <f ca="1">IF(Taostats_CSV!E504&lt;&gt;"TAO",IF(LEN(F504)&gt;0,F504,IF(LEN(D504)&gt;0,D504,0))*Taostats_CSV!P504,"")</f>
        <v>10.604524866586143</v>
      </c>
      <c r="M504" t="str">
        <f t="shared" ca="1" si="57"/>
        <v>USD</v>
      </c>
      <c r="N504">
        <f>COUNTIF(Taostats_CSV!$X:$X,Taostats_CSV!$I504&amp;N$1)</f>
        <v>0</v>
      </c>
      <c r="O504">
        <f>COUNTIF(Taostats_CSV!$X:$X,Taostats_CSV!$I504&amp;O$1)</f>
        <v>0</v>
      </c>
      <c r="P504">
        <f>COUNTIF(Taostats_CSV!$X:$X,Taostats_CSV!$I504&amp;P$1)</f>
        <v>0</v>
      </c>
      <c r="Q504" t="b">
        <f t="shared" si="58"/>
        <v>0</v>
      </c>
      <c r="R504" t="b">
        <f>IF(LEN(K504)&gt;0,COUNTIF($K$3:K504,K504),FALSE)</f>
        <v>0</v>
      </c>
      <c r="S504" t="b">
        <f>IF(Taostats_CSV!A504=Taostats_CSV!$A$2,TRUE,Taostats_CSV!G504+Taostats_CSV!H504+Taostats_CSV!R504=0)</f>
        <v>0</v>
      </c>
      <c r="T504" t="b">
        <f t="shared" si="59"/>
        <v>1</v>
      </c>
      <c r="U504" t="b" cm="1">
        <f t="array" aca="1" ref="U504" ca="1">AND(T504,OR(O504-N504&gt;1,P504&gt;1,ISERROR(A504:P504)))</f>
        <v>0</v>
      </c>
      <c r="W504" t="e">
        <f>MATCH(K504&amp;$W$2,Taostats_CSV!$X$3:$X$1167,0)</f>
        <v>#N/A</v>
      </c>
      <c r="X504" t="e">
        <f t="shared" ca="1" si="54"/>
        <v>#VALUE!</v>
      </c>
      <c r="Y504">
        <f t="shared" ca="1" si="55"/>
        <v>0.40657797499999998</v>
      </c>
      <c r="Z504" t="e">
        <f t="shared" ca="1" si="56"/>
        <v>#VALUE!</v>
      </c>
    </row>
    <row r="505" spans="1:26" x14ac:dyDescent="0.4">
      <c r="A505" t="str">
        <f>MID(Taostats_CSV!C505,6,2)&amp;"/"&amp;MID(Taostats_CSV!C505,9,2)&amp;"/"&amp;LEFT(Taostats_CSV!C505,4)&amp;" "&amp;MID(Taostats_CSV!C505,12,8)</f>
        <v>06/21/2025 23:59:48</v>
      </c>
      <c r="C505" t="str">
        <f ca="1">IF(Q505,OFFSET(Taostats_CSV!$E$1,MATCH(K505&amp;D$1,Taostats_CSV!$X:$X,0)-1,0),IF(Taostats_CSV!F505="fee",IF(VALUE(Taostats_CSV!G505)&gt;0,Taostats_CSV!E505,""),""))</f>
        <v/>
      </c>
      <c r="D505" t="str">
        <f ca="1">IF(Q505,OFFSET(Taostats_CSV!$G$1,MATCH(K505&amp;D$1,Taostats_CSV!$X:$X,0)-1,0),IF(Taostats_CSV!F505="fee",IF(VALUE(Taostats_CSV!G505)&gt;0,Taostats_CSV!G505,""),""))</f>
        <v/>
      </c>
      <c r="E505" t="str">
        <f ca="1">IF(AND(Q505,P505&gt;0),OFFSET(Taostats_CSV!$E$1,MATCH(K505&amp;F$1,Taostats_CSV!$X:$X,0)-1,0),IF(LEN(F505)&gt;0,Taostats_CSV!E505,""))</f>
        <v>SN4</v>
      </c>
      <c r="F505" t="str">
        <f ca="1">TRIM(IF(AND(Q505,P505&gt;0),OFFSET(Taostats_CSV!$H$1,MATCH(K505&amp;F$1,Taostats_CSV!$X:$X,0)-1,0),IF(LEN(Taostats_CSV!H505)&gt;0,Taostats_CSV!H505,Taostats_CSV!R505)))</f>
        <v>0.454296782</v>
      </c>
      <c r="G505" t="str">
        <f ca="1">IF(AND(Q505,N505=1),OFFSET(Taostats_CSV!$E$1,MATCH(K505&amp;H$1,Taostats_CSV!$X:$X,0)-1,0),"")</f>
        <v/>
      </c>
      <c r="H505" t="str">
        <f ca="1">IF(AND(Q505,N505=1),OFFSET(Taostats_CSV!$G$1,MATCH(K505&amp;H$1,Taostats_CSV!$X:$X,0)-1,0),"")</f>
        <v/>
      </c>
      <c r="I505" t="str">
        <f ca="1">IF(AND(LEN(K505)=0,LEN(F505)&gt;0),"Income",IF(AND(O505&gt;0,P505&gt;0,C505&lt;&gt;E505),"Trade",IF(AND(NOT(Q505),Taostats_CSV!F505="fee"),'READ ME'!$C$5,"")))</f>
        <v>Income</v>
      </c>
      <c r="J505" t="str">
        <f ca="1">SUBSTITUTE(IF(LEN(I505)=0,Taostats_CSV!F505&amp;" "&amp;Taostats_CSV!J505,IF(I505="Cost","Extrinsic fee","")),"_"," ")</f>
        <v/>
      </c>
      <c r="K505" t="str">
        <f>TRIM(IF(LEN(Taostats_CSV!I505)&gt;0,Taostats_CSV!I505,""))</f>
        <v/>
      </c>
      <c r="L505">
        <f ca="1">IF(Taostats_CSV!E505&lt;&gt;"TAO",IF(LEN(F505)&gt;0,F505,IF(LEN(D505)&gt;0,D505,0))*Taostats_CSV!P505,"")</f>
        <v>10.83153568689016</v>
      </c>
      <c r="M505" t="str">
        <f t="shared" ca="1" si="57"/>
        <v>USD</v>
      </c>
      <c r="N505">
        <f>COUNTIF(Taostats_CSV!$X:$X,Taostats_CSV!$I505&amp;N$1)</f>
        <v>0</v>
      </c>
      <c r="O505">
        <f>COUNTIF(Taostats_CSV!$X:$X,Taostats_CSV!$I505&amp;O$1)</f>
        <v>0</v>
      </c>
      <c r="P505">
        <f>COUNTIF(Taostats_CSV!$X:$X,Taostats_CSV!$I505&amp;P$1)</f>
        <v>0</v>
      </c>
      <c r="Q505" t="b">
        <f t="shared" si="58"/>
        <v>0</v>
      </c>
      <c r="R505" t="b">
        <f>IF(LEN(K505)&gt;0,COUNTIF($K$3:K505,K505),FALSE)</f>
        <v>0</v>
      </c>
      <c r="S505" t="b">
        <f>IF(Taostats_CSV!A505=Taostats_CSV!$A$2,TRUE,Taostats_CSV!G505+Taostats_CSV!H505+Taostats_CSV!R505=0)</f>
        <v>0</v>
      </c>
      <c r="T505" t="b">
        <f t="shared" si="59"/>
        <v>1</v>
      </c>
      <c r="U505" t="b" cm="1">
        <f t="array" aca="1" ref="U505" ca="1">AND(T505,OR(O505-N505&gt;1,P505&gt;1,ISERROR(A505:P505)))</f>
        <v>0</v>
      </c>
      <c r="W505" t="e">
        <f>MATCH(K505&amp;$W$2,Taostats_CSV!$X$3:$X$1167,0)</f>
        <v>#N/A</v>
      </c>
      <c r="X505" t="e">
        <f t="shared" ca="1" si="54"/>
        <v>#VALUE!</v>
      </c>
      <c r="Y505">
        <f t="shared" ca="1" si="55"/>
        <v>0.45429678200000001</v>
      </c>
      <c r="Z505" t="e">
        <f t="shared" ca="1" si="56"/>
        <v>#VALUE!</v>
      </c>
    </row>
    <row r="506" spans="1:26" x14ac:dyDescent="0.4">
      <c r="A506" t="str">
        <f>MID(Taostats_CSV!C506,6,2)&amp;"/"&amp;MID(Taostats_CSV!C506,9,2)&amp;"/"&amp;LEFT(Taostats_CSV!C506,4)&amp;" "&amp;MID(Taostats_CSV!C506,12,8)</f>
        <v>06/21/2025 23:59:48</v>
      </c>
      <c r="C506" t="str">
        <f ca="1">IF(Q506,OFFSET(Taostats_CSV!$E$1,MATCH(K506&amp;D$1,Taostats_CSV!$X:$X,0)-1,0),IF(Taostats_CSV!F506="fee",IF(VALUE(Taostats_CSV!G506)&gt;0,Taostats_CSV!E506,""),""))</f>
        <v/>
      </c>
      <c r="D506" t="str">
        <f ca="1">IF(Q506,OFFSET(Taostats_CSV!$G$1,MATCH(K506&amp;D$1,Taostats_CSV!$X:$X,0)-1,0),IF(Taostats_CSV!F506="fee",IF(VALUE(Taostats_CSV!G506)&gt;0,Taostats_CSV!G506,""),""))</f>
        <v/>
      </c>
      <c r="E506" t="str">
        <f ca="1">IF(AND(Q506,P506&gt;0),OFFSET(Taostats_CSV!$E$1,MATCH(K506&amp;F$1,Taostats_CSV!$X:$X,0)-1,0),IF(LEN(F506)&gt;0,Taostats_CSV!E506,""))</f>
        <v>SN56</v>
      </c>
      <c r="F506" t="str">
        <f ca="1">TRIM(IF(AND(Q506,P506&gt;0),OFFSET(Taostats_CSV!$H$1,MATCH(K506&amp;F$1,Taostats_CSV!$X:$X,0)-1,0),IF(LEN(Taostats_CSV!H506)&gt;0,Taostats_CSV!H506,Taostats_CSV!R506)))</f>
        <v>0.249782808</v>
      </c>
      <c r="G506" t="str">
        <f ca="1">IF(AND(Q506,N506=1),OFFSET(Taostats_CSV!$E$1,MATCH(K506&amp;H$1,Taostats_CSV!$X:$X,0)-1,0),"")</f>
        <v/>
      </c>
      <c r="H506" t="str">
        <f ca="1">IF(AND(Q506,N506=1),OFFSET(Taostats_CSV!$G$1,MATCH(K506&amp;H$1,Taostats_CSV!$X:$X,0)-1,0),"")</f>
        <v/>
      </c>
      <c r="I506" t="str">
        <f ca="1">IF(AND(LEN(K506)=0,LEN(F506)&gt;0),"Income",IF(AND(O506&gt;0,P506&gt;0,C506&lt;&gt;E506),"Trade",IF(AND(NOT(Q506),Taostats_CSV!F506="fee"),'READ ME'!$C$5,"")))</f>
        <v>Income</v>
      </c>
      <c r="J506" t="str">
        <f ca="1">SUBSTITUTE(IF(LEN(I506)=0,Taostats_CSV!F506&amp;" "&amp;Taostats_CSV!J506,IF(I506="Cost","Extrinsic fee","")),"_"," ")</f>
        <v/>
      </c>
      <c r="K506" t="str">
        <f>TRIM(IF(LEN(Taostats_CSV!I506)&gt;0,Taostats_CSV!I506,""))</f>
        <v/>
      </c>
      <c r="L506">
        <f ca="1">IF(Taostats_CSV!E506&lt;&gt;"TAO",IF(LEN(F506)&gt;0,F506,IF(LEN(D506)&gt;0,D506,0))*Taostats_CSV!P506,"")</f>
        <v>5.8012632264064559</v>
      </c>
      <c r="M506" t="str">
        <f t="shared" ca="1" si="57"/>
        <v>USD</v>
      </c>
      <c r="N506">
        <f>COUNTIF(Taostats_CSV!$X:$X,Taostats_CSV!$I506&amp;N$1)</f>
        <v>0</v>
      </c>
      <c r="O506">
        <f>COUNTIF(Taostats_CSV!$X:$X,Taostats_CSV!$I506&amp;O$1)</f>
        <v>0</v>
      </c>
      <c r="P506">
        <f>COUNTIF(Taostats_CSV!$X:$X,Taostats_CSV!$I506&amp;P$1)</f>
        <v>0</v>
      </c>
      <c r="Q506" t="b">
        <f t="shared" si="58"/>
        <v>0</v>
      </c>
      <c r="R506" t="b">
        <f>IF(LEN(K506)&gt;0,COUNTIF($K$3:K506,K506),FALSE)</f>
        <v>0</v>
      </c>
      <c r="S506" t="b">
        <f>IF(Taostats_CSV!A506=Taostats_CSV!$A$2,TRUE,Taostats_CSV!G506+Taostats_CSV!H506+Taostats_CSV!R506=0)</f>
        <v>0</v>
      </c>
      <c r="T506" t="b">
        <f t="shared" si="59"/>
        <v>1</v>
      </c>
      <c r="U506" t="b" cm="1">
        <f t="array" aca="1" ref="U506" ca="1">AND(T506,OR(O506-N506&gt;1,P506&gt;1,ISERROR(A506:P506)))</f>
        <v>0</v>
      </c>
      <c r="W506" t="e">
        <f>MATCH(K506&amp;$W$2,Taostats_CSV!$X$3:$X$1167,0)</f>
        <v>#N/A</v>
      </c>
      <c r="X506" t="e">
        <f t="shared" ca="1" si="54"/>
        <v>#VALUE!</v>
      </c>
      <c r="Y506">
        <f t="shared" ca="1" si="55"/>
        <v>0.249782808</v>
      </c>
      <c r="Z506" t="e">
        <f t="shared" ca="1" si="56"/>
        <v>#VALUE!</v>
      </c>
    </row>
    <row r="507" spans="1:26" x14ac:dyDescent="0.4">
      <c r="A507" t="str">
        <f>MID(Taostats_CSV!C507,6,2)&amp;"/"&amp;MID(Taostats_CSV!C507,9,2)&amp;"/"&amp;LEFT(Taostats_CSV!C507,4)&amp;" "&amp;MID(Taostats_CSV!C507,12,8)</f>
        <v>06/21/2025 23:59:48</v>
      </c>
      <c r="C507" t="str">
        <f ca="1">IF(Q507,OFFSET(Taostats_CSV!$E$1,MATCH(K507&amp;D$1,Taostats_CSV!$X:$X,0)-1,0),IF(Taostats_CSV!F507="fee",IF(VALUE(Taostats_CSV!G507)&gt;0,Taostats_CSV!E507,""),""))</f>
        <v/>
      </c>
      <c r="D507" t="str">
        <f ca="1">IF(Q507,OFFSET(Taostats_CSV!$G$1,MATCH(K507&amp;D$1,Taostats_CSV!$X:$X,0)-1,0),IF(Taostats_CSV!F507="fee",IF(VALUE(Taostats_CSV!G507)&gt;0,Taostats_CSV!G507,""),""))</f>
        <v/>
      </c>
      <c r="E507" t="str">
        <f ca="1">IF(AND(Q507,P507&gt;0),OFFSET(Taostats_CSV!$E$1,MATCH(K507&amp;F$1,Taostats_CSV!$X:$X,0)-1,0),IF(LEN(F507)&gt;0,Taostats_CSV!E507,""))</f>
        <v>SN64</v>
      </c>
      <c r="F507" t="str">
        <f ca="1">TRIM(IF(AND(Q507,P507&gt;0),OFFSET(Taostats_CSV!$H$1,MATCH(K507&amp;F$1,Taostats_CSV!$X:$X,0)-1,0),IF(LEN(Taostats_CSV!H507)&gt;0,Taostats_CSV!H507,Taostats_CSV!R507)))</f>
        <v>0.141827343</v>
      </c>
      <c r="G507" t="str">
        <f ca="1">IF(AND(Q507,N507=1),OFFSET(Taostats_CSV!$E$1,MATCH(K507&amp;H$1,Taostats_CSV!$X:$X,0)-1,0),"")</f>
        <v/>
      </c>
      <c r="H507" t="str">
        <f ca="1">IF(AND(Q507,N507=1),OFFSET(Taostats_CSV!$G$1,MATCH(K507&amp;H$1,Taostats_CSV!$X:$X,0)-1,0),"")</f>
        <v/>
      </c>
      <c r="I507" t="str">
        <f ca="1">IF(AND(LEN(K507)=0,LEN(F507)&gt;0),"Income",IF(AND(O507&gt;0,P507&gt;0,C507&lt;&gt;E507),"Trade",IF(AND(NOT(Q507),Taostats_CSV!F507="fee"),'READ ME'!$C$5,"")))</f>
        <v>Income</v>
      </c>
      <c r="J507" t="str">
        <f ca="1">SUBSTITUTE(IF(LEN(I507)=0,Taostats_CSV!F507&amp;" "&amp;Taostats_CSV!J507,IF(I507="Cost","Extrinsic fee","")),"_"," ")</f>
        <v/>
      </c>
      <c r="K507" t="str">
        <f>TRIM(IF(LEN(Taostats_CSV!I507)&gt;0,Taostats_CSV!I507,""))</f>
        <v/>
      </c>
      <c r="L507">
        <f ca="1">IF(Taostats_CSV!E507&lt;&gt;"TAO",IF(LEN(F507)&gt;0,F507,IF(LEN(D507)&gt;0,D507,0))*Taostats_CSV!P507,"")</f>
        <v>8.4302712243190836</v>
      </c>
      <c r="M507" t="str">
        <f t="shared" ca="1" si="57"/>
        <v>USD</v>
      </c>
      <c r="N507">
        <f>COUNTIF(Taostats_CSV!$X:$X,Taostats_CSV!$I507&amp;N$1)</f>
        <v>0</v>
      </c>
      <c r="O507">
        <f>COUNTIF(Taostats_CSV!$X:$X,Taostats_CSV!$I507&amp;O$1)</f>
        <v>0</v>
      </c>
      <c r="P507">
        <f>COUNTIF(Taostats_CSV!$X:$X,Taostats_CSV!$I507&amp;P$1)</f>
        <v>0</v>
      </c>
      <c r="Q507" t="b">
        <f t="shared" si="58"/>
        <v>0</v>
      </c>
      <c r="R507" t="b">
        <f>IF(LEN(K507)&gt;0,COUNTIF($K$3:K507,K507),FALSE)</f>
        <v>0</v>
      </c>
      <c r="S507" t="b">
        <f>IF(Taostats_CSV!A507=Taostats_CSV!$A$2,TRUE,Taostats_CSV!G507+Taostats_CSV!H507+Taostats_CSV!R507=0)</f>
        <v>0</v>
      </c>
      <c r="T507" t="b">
        <f t="shared" si="59"/>
        <v>1</v>
      </c>
      <c r="U507" t="b" cm="1">
        <f t="array" aca="1" ref="U507" ca="1">AND(T507,OR(O507-N507&gt;1,P507&gt;1,ISERROR(A507:P507)))</f>
        <v>0</v>
      </c>
      <c r="W507" t="e">
        <f>MATCH(K507&amp;$W$2,Taostats_CSV!$X$3:$X$1167,0)</f>
        <v>#N/A</v>
      </c>
      <c r="X507" t="e">
        <f t="shared" ca="1" si="54"/>
        <v>#VALUE!</v>
      </c>
      <c r="Y507">
        <f t="shared" ca="1" si="55"/>
        <v>0.14182734299999999</v>
      </c>
      <c r="Z507" t="e">
        <f t="shared" ca="1" si="56"/>
        <v>#VALUE!</v>
      </c>
    </row>
    <row r="508" spans="1:26" hidden="1" x14ac:dyDescent="0.4">
      <c r="A508" t="str">
        <f>MID(Taostats_CSV!C508,6,2)&amp;"/"&amp;MID(Taostats_CSV!C508,9,2)&amp;"/"&amp;LEFT(Taostats_CSV!C508,4)&amp;" "&amp;MID(Taostats_CSV!C508,12,8)</f>
        <v>06/21/2025 23:59:48</v>
      </c>
      <c r="C508" t="str">
        <f ca="1">IF(Q508,OFFSET(Taostats_CSV!$E$1,MATCH(K508&amp;D$1,Taostats_CSV!$X:$X,0)-1,0),IF(Taostats_CSV!F508="fee","",IF(VALUE(Taostats_CSV!G508)&gt;0,Taostats_CSV!E508,"")))</f>
        <v/>
      </c>
      <c r="D508" t="str">
        <f ca="1">IF(Q508,OFFSET(Taostats_CSV!$G$1,MATCH(K508&amp;D$1,Taostats_CSV!$X:$X,0)-1,0),IF(Taostats_CSV!F508="fee","",IF(VALUE(Taostats_CSV!G508)&gt;0,Taostats_CSV!G508,"")))</f>
        <v/>
      </c>
      <c r="E508" t="str">
        <f ca="1">IF(AND(Q508,P508&gt;0),OFFSET(Taostats_CSV!$E$1,MATCH(K508&amp;F$1,Taostats_CSV!$X:$X,0)-1,0),IF(LEN(F508)&gt;0,Taostats_CSV!E508,""))</f>
        <v>TAO</v>
      </c>
      <c r="F508" t="str">
        <f ca="1">TRIM(IF(AND(Q508,P508&gt;0),OFFSET(Taostats_CSV!$H$1,MATCH(K508&amp;F$1,Taostats_CSV!$X:$X,0)-1,0),IF(LEN(Taostats_CSV!H508)&gt;0,Taostats_CSV!H508,Taostats_CSV!R508)))</f>
        <v>0</v>
      </c>
      <c r="G508" t="str">
        <f ca="1">IF(AND(Q508,N508=1),OFFSET(Taostats_CSV!$E$1,MATCH(K508&amp;H$1,Taostats_CSV!$X:$X,0)-1,0),IF(Taostats_CSV!F508="fee",Taostats_CSV!E508,""))</f>
        <v/>
      </c>
      <c r="H508" t="str">
        <f ca="1">IF(AND(Q508,N508=1),OFFSET(Taostats_CSV!$G$1,MATCH(K508&amp;H$1,Taostats_CSV!$X:$X,0)-1,0),IF(Taostats_CSV!F508="fee",Taostats_CSV!G508,""))</f>
        <v/>
      </c>
      <c r="I508" t="str">
        <f ca="1">IF(AND(LEN(K508)=0,LEN(F508)&gt;0),"Income",IF(AND(O508&gt;0,P508&gt;0,C508&lt;&gt;E508),"Trade",IF(AND(NOT(Q508),Taostats_CSV!F508="fee"),'READ ME'!$C$5,"")))</f>
        <v>Income</v>
      </c>
      <c r="J508" t="str">
        <f ca="1">SUBSTITUTE(IF(LEN(I508)=0,Taostats_CSV!F508&amp;" "&amp;Taostats_CSV!J508,IF(I508="Cost","Extrinsic fee","")),"_"," ")</f>
        <v/>
      </c>
      <c r="K508" t="str">
        <f>TRIM(IF(LEN(Taostats_CSV!I508)&gt;0,Taostats_CSV!I508,""))</f>
        <v/>
      </c>
      <c r="L508" t="str">
        <f>IF(Taostats_CSV!E508&lt;&gt;"TAO",IF(LEN(F508)&gt;0,F508,IF(LEN(D508)&gt;0,D508,0))*Taostats_CSV!P508,"")</f>
        <v/>
      </c>
      <c r="M508" t="str">
        <f t="shared" si="57"/>
        <v/>
      </c>
      <c r="N508">
        <f>COUNTIF(Taostats_CSV!$X:$X,Taostats_CSV!$I508&amp;N$1)</f>
        <v>0</v>
      </c>
      <c r="O508">
        <f>COUNTIF(Taostats_CSV!$X:$X,Taostats_CSV!$I508&amp;O$1)</f>
        <v>0</v>
      </c>
      <c r="P508">
        <f>COUNTIF(Taostats_CSV!$X:$X,Taostats_CSV!$I508&amp;P$1)</f>
        <v>0</v>
      </c>
      <c r="Q508" t="b">
        <f t="shared" si="58"/>
        <v>0</v>
      </c>
      <c r="R508" t="b">
        <f>IF(LEN(K508)&gt;0,COUNTIF($K$3:K508,K508),FALSE)</f>
        <v>0</v>
      </c>
      <c r="S508" t="b">
        <f>IF(Taostats_CSV!A508=Taostats_CSV!$A$2,TRUE,Taostats_CSV!G508+Taostats_CSV!H508+Taostats_CSV!R508=0)</f>
        <v>1</v>
      </c>
      <c r="T508" t="b">
        <f t="shared" si="59"/>
        <v>0</v>
      </c>
      <c r="U508" t="b" cm="1">
        <f t="array" aca="1" ref="U508" ca="1">AND(T508,OR(O508-N508&gt;1,P508&gt;1,ISERROR(A508:P508)))</f>
        <v>0</v>
      </c>
      <c r="W508" t="e">
        <f>MATCH(K508&amp;$W$2,Taostats_CSV!$X$3:$X$1167,0)</f>
        <v>#N/A</v>
      </c>
      <c r="X508" t="e">
        <f t="shared" ca="1" si="54"/>
        <v>#VALUE!</v>
      </c>
      <c r="Y508">
        <f t="shared" ca="1" si="55"/>
        <v>0</v>
      </c>
      <c r="Z508" t="e">
        <f t="shared" ca="1" si="56"/>
        <v>#VALUE!</v>
      </c>
    </row>
    <row r="509" spans="1:26" x14ac:dyDescent="0.4">
      <c r="A509" t="str">
        <f>MID(Taostats_CSV!C509,6,2)&amp;"/"&amp;MID(Taostats_CSV!C509,9,2)&amp;"/"&amp;LEFT(Taostats_CSV!C509,4)&amp;" "&amp;MID(Taostats_CSV!C509,12,8)</f>
        <v>06/22/2025 23:59:48</v>
      </c>
      <c r="C509" t="str">
        <f ca="1">IF(Q509,OFFSET(Taostats_CSV!$E$1,MATCH(K509&amp;D$1,Taostats_CSV!$X:$X,0)-1,0),IF(Taostats_CSV!F509="fee",IF(VALUE(Taostats_CSV!G509)&gt;0,Taostats_CSV!E509,""),""))</f>
        <v/>
      </c>
      <c r="D509" t="str">
        <f ca="1">IF(Q509,OFFSET(Taostats_CSV!$G$1,MATCH(K509&amp;D$1,Taostats_CSV!$X:$X,0)-1,0),IF(Taostats_CSV!F509="fee",IF(VALUE(Taostats_CSV!G509)&gt;0,Taostats_CSV!G509,""),""))</f>
        <v/>
      </c>
      <c r="E509" t="str">
        <f ca="1">IF(AND(Q509,P509&gt;0),OFFSET(Taostats_CSV!$E$1,MATCH(K509&amp;F$1,Taostats_CSV!$X:$X,0)-1,0),IF(LEN(F509)&gt;0,Taostats_CSV!E509,""))</f>
        <v>SN3</v>
      </c>
      <c r="F509" t="str">
        <f ca="1">TRIM(IF(AND(Q509,P509&gt;0),OFFSET(Taostats_CSV!$H$1,MATCH(K509&amp;F$1,Taostats_CSV!$X:$X,0)-1,0),IF(LEN(Taostats_CSV!H509)&gt;0,Taostats_CSV!H509,Taostats_CSV!R509)))</f>
        <v>0.40396875</v>
      </c>
      <c r="G509" t="str">
        <f ca="1">IF(AND(Q509,N509=1),OFFSET(Taostats_CSV!$E$1,MATCH(K509&amp;H$1,Taostats_CSV!$X:$X,0)-1,0),"")</f>
        <v/>
      </c>
      <c r="H509" t="str">
        <f ca="1">IF(AND(Q509,N509=1),OFFSET(Taostats_CSV!$G$1,MATCH(K509&amp;H$1,Taostats_CSV!$X:$X,0)-1,0),"")</f>
        <v/>
      </c>
      <c r="I509" t="str">
        <f ca="1">IF(AND(LEN(K509)=0,LEN(F509)&gt;0),"Income",IF(AND(O509&gt;0,P509&gt;0,C509&lt;&gt;E509),"Trade",IF(AND(NOT(Q509),Taostats_CSV!F509="fee"),'READ ME'!$C$5,"")))</f>
        <v>Income</v>
      </c>
      <c r="J509" t="str">
        <f ca="1">SUBSTITUTE(IF(LEN(I509)=0,Taostats_CSV!F509&amp;" "&amp;Taostats_CSV!J509,IF(I509="Cost","Extrinsic fee","")),"_"," ")</f>
        <v/>
      </c>
      <c r="K509" t="str">
        <f>TRIM(IF(LEN(Taostats_CSV!I509)&gt;0,Taostats_CSV!I509,""))</f>
        <v/>
      </c>
      <c r="L509">
        <f ca="1">IF(Taostats_CSV!E509&lt;&gt;"TAO",IF(LEN(F509)&gt;0,F509,IF(LEN(D509)&gt;0,D509,0))*Taostats_CSV!P509,"")</f>
        <v>10.292406734064082</v>
      </c>
      <c r="M509" t="str">
        <f t="shared" ca="1" si="57"/>
        <v>USD</v>
      </c>
      <c r="N509">
        <f>COUNTIF(Taostats_CSV!$X:$X,Taostats_CSV!$I509&amp;N$1)</f>
        <v>0</v>
      </c>
      <c r="O509">
        <f>COUNTIF(Taostats_CSV!$X:$X,Taostats_CSV!$I509&amp;O$1)</f>
        <v>0</v>
      </c>
      <c r="P509">
        <f>COUNTIF(Taostats_CSV!$X:$X,Taostats_CSV!$I509&amp;P$1)</f>
        <v>0</v>
      </c>
      <c r="Q509" t="b">
        <f t="shared" si="58"/>
        <v>0</v>
      </c>
      <c r="R509" t="b">
        <f>IF(LEN(K509)&gt;0,COUNTIF($K$3:K509,K509),FALSE)</f>
        <v>0</v>
      </c>
      <c r="S509" t="b">
        <f>IF(Taostats_CSV!A509=Taostats_CSV!$A$2,TRUE,Taostats_CSV!G509+Taostats_CSV!H509+Taostats_CSV!R509=0)</f>
        <v>0</v>
      </c>
      <c r="T509" t="b">
        <f t="shared" si="59"/>
        <v>1</v>
      </c>
      <c r="U509" t="b" cm="1">
        <f t="array" aca="1" ref="U509" ca="1">AND(T509,OR(O509-N509&gt;1,P509&gt;1,ISERROR(A509:P509)))</f>
        <v>0</v>
      </c>
      <c r="W509" t="e">
        <f>MATCH(K509&amp;$W$2,Taostats_CSV!$X$3:$X$1167,0)</f>
        <v>#N/A</v>
      </c>
      <c r="X509" t="e">
        <f t="shared" ca="1" si="54"/>
        <v>#VALUE!</v>
      </c>
      <c r="Y509">
        <f t="shared" ca="1" si="55"/>
        <v>0.40396874999999999</v>
      </c>
      <c r="Z509" t="e">
        <f t="shared" ca="1" si="56"/>
        <v>#VALUE!</v>
      </c>
    </row>
    <row r="510" spans="1:26" x14ac:dyDescent="0.4">
      <c r="A510" t="str">
        <f>MID(Taostats_CSV!C510,6,2)&amp;"/"&amp;MID(Taostats_CSV!C510,9,2)&amp;"/"&amp;LEFT(Taostats_CSV!C510,4)&amp;" "&amp;MID(Taostats_CSV!C510,12,8)</f>
        <v>06/22/2025 23:59:48</v>
      </c>
      <c r="C510" t="str">
        <f ca="1">IF(Q510,OFFSET(Taostats_CSV!$E$1,MATCH(K510&amp;D$1,Taostats_CSV!$X:$X,0)-1,0),IF(Taostats_CSV!F510="fee",IF(VALUE(Taostats_CSV!G510)&gt;0,Taostats_CSV!E510,""),""))</f>
        <v/>
      </c>
      <c r="D510" t="str">
        <f ca="1">IF(Q510,OFFSET(Taostats_CSV!$G$1,MATCH(K510&amp;D$1,Taostats_CSV!$X:$X,0)-1,0),IF(Taostats_CSV!F510="fee",IF(VALUE(Taostats_CSV!G510)&gt;0,Taostats_CSV!G510,""),""))</f>
        <v/>
      </c>
      <c r="E510" t="str">
        <f ca="1">IF(AND(Q510,P510&gt;0),OFFSET(Taostats_CSV!$E$1,MATCH(K510&amp;F$1,Taostats_CSV!$X:$X,0)-1,0),IF(LEN(F510)&gt;0,Taostats_CSV!E510,""))</f>
        <v>SN4</v>
      </c>
      <c r="F510" t="str">
        <f ca="1">TRIM(IF(AND(Q510,P510&gt;0),OFFSET(Taostats_CSV!$H$1,MATCH(K510&amp;F$1,Taostats_CSV!$X:$X,0)-1,0),IF(LEN(Taostats_CSV!H510)&gt;0,Taostats_CSV!H510,Taostats_CSV!R510)))</f>
        <v>0.47733164</v>
      </c>
      <c r="G510" t="str">
        <f ca="1">IF(AND(Q510,N510=1),OFFSET(Taostats_CSV!$E$1,MATCH(K510&amp;H$1,Taostats_CSV!$X:$X,0)-1,0),"")</f>
        <v/>
      </c>
      <c r="H510" t="str">
        <f ca="1">IF(AND(Q510,N510=1),OFFSET(Taostats_CSV!$G$1,MATCH(K510&amp;H$1,Taostats_CSV!$X:$X,0)-1,0),"")</f>
        <v/>
      </c>
      <c r="I510" t="str">
        <f ca="1">IF(AND(LEN(K510)=0,LEN(F510)&gt;0),"Income",IF(AND(O510&gt;0,P510&gt;0,C510&lt;&gt;E510),"Trade",IF(AND(NOT(Q510),Taostats_CSV!F510="fee"),'READ ME'!$C$5,"")))</f>
        <v>Income</v>
      </c>
      <c r="J510" t="str">
        <f ca="1">SUBSTITUTE(IF(LEN(I510)=0,Taostats_CSV!F510&amp;" "&amp;Taostats_CSV!J510,IF(I510="Cost","Extrinsic fee","")),"_"," ")</f>
        <v/>
      </c>
      <c r="K510" t="str">
        <f>TRIM(IF(LEN(Taostats_CSV!I510)&gt;0,Taostats_CSV!I510,""))</f>
        <v/>
      </c>
      <c r="L510">
        <f ca="1">IF(Taostats_CSV!E510&lt;&gt;"TAO",IF(LEN(F510)&gt;0,F510,IF(LEN(D510)&gt;0,D510,0))*Taostats_CSV!P510,"")</f>
        <v>11.101448850643717</v>
      </c>
      <c r="M510" t="str">
        <f t="shared" ca="1" si="57"/>
        <v>USD</v>
      </c>
      <c r="N510">
        <f>COUNTIF(Taostats_CSV!$X:$X,Taostats_CSV!$I510&amp;N$1)</f>
        <v>0</v>
      </c>
      <c r="O510">
        <f>COUNTIF(Taostats_CSV!$X:$X,Taostats_CSV!$I510&amp;O$1)</f>
        <v>0</v>
      </c>
      <c r="P510">
        <f>COUNTIF(Taostats_CSV!$X:$X,Taostats_CSV!$I510&amp;P$1)</f>
        <v>0</v>
      </c>
      <c r="Q510" t="b">
        <f t="shared" si="58"/>
        <v>0</v>
      </c>
      <c r="R510" t="b">
        <f>IF(LEN(K510)&gt;0,COUNTIF($K$3:K510,K510),FALSE)</f>
        <v>0</v>
      </c>
      <c r="S510" t="b">
        <f>IF(Taostats_CSV!A510=Taostats_CSV!$A$2,TRUE,Taostats_CSV!G510+Taostats_CSV!H510+Taostats_CSV!R510=0)</f>
        <v>0</v>
      </c>
      <c r="T510" t="b">
        <f t="shared" si="59"/>
        <v>1</v>
      </c>
      <c r="U510" t="b" cm="1">
        <f t="array" aca="1" ref="U510" ca="1">AND(T510,OR(O510-N510&gt;1,P510&gt;1,ISERROR(A510:P510)))</f>
        <v>0</v>
      </c>
      <c r="W510" t="e">
        <f>MATCH(K510&amp;$W$2,Taostats_CSV!$X$3:$X$1167,0)</f>
        <v>#N/A</v>
      </c>
      <c r="X510" t="e">
        <f t="shared" ca="1" si="54"/>
        <v>#VALUE!</v>
      </c>
      <c r="Y510">
        <f t="shared" ca="1" si="55"/>
        <v>0.47733164</v>
      </c>
      <c r="Z510" t="e">
        <f t="shared" ca="1" si="56"/>
        <v>#VALUE!</v>
      </c>
    </row>
    <row r="511" spans="1:26" x14ac:dyDescent="0.4">
      <c r="A511" t="str">
        <f>MID(Taostats_CSV!C511,6,2)&amp;"/"&amp;MID(Taostats_CSV!C511,9,2)&amp;"/"&amp;LEFT(Taostats_CSV!C511,4)&amp;" "&amp;MID(Taostats_CSV!C511,12,8)</f>
        <v>06/22/2025 23:59:48</v>
      </c>
      <c r="C511" t="str">
        <f ca="1">IF(Q511,OFFSET(Taostats_CSV!$E$1,MATCH(K511&amp;D$1,Taostats_CSV!$X:$X,0)-1,0),IF(Taostats_CSV!F511="fee",IF(VALUE(Taostats_CSV!G511)&gt;0,Taostats_CSV!E511,""),""))</f>
        <v/>
      </c>
      <c r="D511" t="str">
        <f ca="1">IF(Q511,OFFSET(Taostats_CSV!$G$1,MATCH(K511&amp;D$1,Taostats_CSV!$X:$X,0)-1,0),IF(Taostats_CSV!F511="fee",IF(VALUE(Taostats_CSV!G511)&gt;0,Taostats_CSV!G511,""),""))</f>
        <v/>
      </c>
      <c r="E511" t="str">
        <f ca="1">IF(AND(Q511,P511&gt;0),OFFSET(Taostats_CSV!$E$1,MATCH(K511&amp;F$1,Taostats_CSV!$X:$X,0)-1,0),IF(LEN(F511)&gt;0,Taostats_CSV!E511,""))</f>
        <v>SN56</v>
      </c>
      <c r="F511" t="str">
        <f ca="1">TRIM(IF(AND(Q511,P511&gt;0),OFFSET(Taostats_CSV!$H$1,MATCH(K511&amp;F$1,Taostats_CSV!$X:$X,0)-1,0),IF(LEN(Taostats_CSV!H511)&gt;0,Taostats_CSV!H511,Taostats_CSV!R511)))</f>
        <v>0.249508336</v>
      </c>
      <c r="G511" t="str">
        <f ca="1">IF(AND(Q511,N511=1),OFFSET(Taostats_CSV!$E$1,MATCH(K511&amp;H$1,Taostats_CSV!$X:$X,0)-1,0),"")</f>
        <v/>
      </c>
      <c r="H511" t="str">
        <f ca="1">IF(AND(Q511,N511=1),OFFSET(Taostats_CSV!$G$1,MATCH(K511&amp;H$1,Taostats_CSV!$X:$X,0)-1,0),"")</f>
        <v/>
      </c>
      <c r="I511" t="str">
        <f ca="1">IF(AND(LEN(K511)=0,LEN(F511)&gt;0),"Income",IF(AND(O511&gt;0,P511&gt;0,C511&lt;&gt;E511),"Trade",IF(AND(NOT(Q511),Taostats_CSV!F511="fee"),'READ ME'!$C$5,"")))</f>
        <v>Income</v>
      </c>
      <c r="J511" t="str">
        <f ca="1">SUBSTITUTE(IF(LEN(I511)=0,Taostats_CSV!F511&amp;" "&amp;Taostats_CSV!J511,IF(I511="Cost","Extrinsic fee","")),"_"," ")</f>
        <v/>
      </c>
      <c r="K511" t="str">
        <f>TRIM(IF(LEN(Taostats_CSV!I511)&gt;0,Taostats_CSV!I511,""))</f>
        <v/>
      </c>
      <c r="L511">
        <f ca="1">IF(Taostats_CSV!E511&lt;&gt;"TAO",IF(LEN(F511)&gt;0,F511,IF(LEN(D511)&gt;0,D511,0))*Taostats_CSV!P511,"")</f>
        <v>5.6323620991908054</v>
      </c>
      <c r="M511" t="str">
        <f t="shared" ca="1" si="57"/>
        <v>USD</v>
      </c>
      <c r="N511">
        <f>COUNTIF(Taostats_CSV!$X:$X,Taostats_CSV!$I511&amp;N$1)</f>
        <v>0</v>
      </c>
      <c r="O511">
        <f>COUNTIF(Taostats_CSV!$X:$X,Taostats_CSV!$I511&amp;O$1)</f>
        <v>0</v>
      </c>
      <c r="P511">
        <f>COUNTIF(Taostats_CSV!$X:$X,Taostats_CSV!$I511&amp;P$1)</f>
        <v>0</v>
      </c>
      <c r="Q511" t="b">
        <f t="shared" si="58"/>
        <v>0</v>
      </c>
      <c r="R511" t="b">
        <f>IF(LEN(K511)&gt;0,COUNTIF($K$3:K511,K511),FALSE)</f>
        <v>0</v>
      </c>
      <c r="S511" t="b">
        <f>IF(Taostats_CSV!A511=Taostats_CSV!$A$2,TRUE,Taostats_CSV!G511+Taostats_CSV!H511+Taostats_CSV!R511=0)</f>
        <v>0</v>
      </c>
      <c r="T511" t="b">
        <f t="shared" si="59"/>
        <v>1</v>
      </c>
      <c r="U511" t="b" cm="1">
        <f t="array" aca="1" ref="U511" ca="1">AND(T511,OR(O511-N511&gt;1,P511&gt;1,ISERROR(A511:P511)))</f>
        <v>0</v>
      </c>
      <c r="W511" t="e">
        <f>MATCH(K511&amp;$W$2,Taostats_CSV!$X$3:$X$1167,0)</f>
        <v>#N/A</v>
      </c>
      <c r="X511" t="e">
        <f t="shared" ca="1" si="54"/>
        <v>#VALUE!</v>
      </c>
      <c r="Y511">
        <f t="shared" ca="1" si="55"/>
        <v>0.249508336</v>
      </c>
      <c r="Z511" t="e">
        <f t="shared" ca="1" si="56"/>
        <v>#VALUE!</v>
      </c>
    </row>
    <row r="512" spans="1:26" x14ac:dyDescent="0.4">
      <c r="A512" t="str">
        <f>MID(Taostats_CSV!C512,6,2)&amp;"/"&amp;MID(Taostats_CSV!C512,9,2)&amp;"/"&amp;LEFT(Taostats_CSV!C512,4)&amp;" "&amp;MID(Taostats_CSV!C512,12,8)</f>
        <v>06/22/2025 23:59:48</v>
      </c>
      <c r="C512" t="str">
        <f ca="1">IF(Q512,OFFSET(Taostats_CSV!$E$1,MATCH(K512&amp;D$1,Taostats_CSV!$X:$X,0)-1,0),IF(Taostats_CSV!F512="fee",IF(VALUE(Taostats_CSV!G512)&gt;0,Taostats_CSV!E512,""),""))</f>
        <v/>
      </c>
      <c r="D512" t="str">
        <f ca="1">IF(Q512,OFFSET(Taostats_CSV!$G$1,MATCH(K512&amp;D$1,Taostats_CSV!$X:$X,0)-1,0),IF(Taostats_CSV!F512="fee",IF(VALUE(Taostats_CSV!G512)&gt;0,Taostats_CSV!G512,""),""))</f>
        <v/>
      </c>
      <c r="E512" t="str">
        <f ca="1">IF(AND(Q512,P512&gt;0),OFFSET(Taostats_CSV!$E$1,MATCH(K512&amp;F$1,Taostats_CSV!$X:$X,0)-1,0),IF(LEN(F512)&gt;0,Taostats_CSV!E512,""))</f>
        <v>SN64</v>
      </c>
      <c r="F512" t="str">
        <f ca="1">TRIM(IF(AND(Q512,P512&gt;0),OFFSET(Taostats_CSV!$H$1,MATCH(K512&amp;F$1,Taostats_CSV!$X:$X,0)-1,0),IF(LEN(Taostats_CSV!H512)&gt;0,Taostats_CSV!H512,Taostats_CSV!R512)))</f>
        <v>0.142762303</v>
      </c>
      <c r="G512" t="str">
        <f ca="1">IF(AND(Q512,N512=1),OFFSET(Taostats_CSV!$E$1,MATCH(K512&amp;H$1,Taostats_CSV!$X:$X,0)-1,0),"")</f>
        <v/>
      </c>
      <c r="H512" t="str">
        <f ca="1">IF(AND(Q512,N512=1),OFFSET(Taostats_CSV!$G$1,MATCH(K512&amp;H$1,Taostats_CSV!$X:$X,0)-1,0),"")</f>
        <v/>
      </c>
      <c r="I512" t="str">
        <f ca="1">IF(AND(LEN(K512)=0,LEN(F512)&gt;0),"Income",IF(AND(O512&gt;0,P512&gt;0,C512&lt;&gt;E512),"Trade",IF(AND(NOT(Q512),Taostats_CSV!F512="fee"),'READ ME'!$C$5,"")))</f>
        <v>Income</v>
      </c>
      <c r="J512" t="str">
        <f ca="1">SUBSTITUTE(IF(LEN(I512)=0,Taostats_CSV!F512&amp;" "&amp;Taostats_CSV!J512,IF(I512="Cost","Extrinsic fee","")),"_"," ")</f>
        <v/>
      </c>
      <c r="K512" t="str">
        <f>TRIM(IF(LEN(Taostats_CSV!I512)&gt;0,Taostats_CSV!I512,""))</f>
        <v/>
      </c>
      <c r="L512">
        <f ca="1">IF(Taostats_CSV!E512&lt;&gt;"TAO",IF(LEN(F512)&gt;0,F512,IF(LEN(D512)&gt;0,D512,0))*Taostats_CSV!P512,"")</f>
        <v>8.2566085349538323</v>
      </c>
      <c r="M512" t="str">
        <f t="shared" ca="1" si="57"/>
        <v>USD</v>
      </c>
      <c r="N512">
        <f>COUNTIF(Taostats_CSV!$X:$X,Taostats_CSV!$I512&amp;N$1)</f>
        <v>0</v>
      </c>
      <c r="O512">
        <f>COUNTIF(Taostats_CSV!$X:$X,Taostats_CSV!$I512&amp;O$1)</f>
        <v>0</v>
      </c>
      <c r="P512">
        <f>COUNTIF(Taostats_CSV!$X:$X,Taostats_CSV!$I512&amp;P$1)</f>
        <v>0</v>
      </c>
      <c r="Q512" t="b">
        <f t="shared" si="58"/>
        <v>0</v>
      </c>
      <c r="R512" t="b">
        <f>IF(LEN(K512)&gt;0,COUNTIF($K$3:K512,K512),FALSE)</f>
        <v>0</v>
      </c>
      <c r="S512" t="b">
        <f>IF(Taostats_CSV!A512=Taostats_CSV!$A$2,TRUE,Taostats_CSV!G512+Taostats_CSV!H512+Taostats_CSV!R512=0)</f>
        <v>0</v>
      </c>
      <c r="T512" t="b">
        <f t="shared" si="59"/>
        <v>1</v>
      </c>
      <c r="U512" t="b" cm="1">
        <f t="array" aca="1" ref="U512" ca="1">AND(T512,OR(O512-N512&gt;1,P512&gt;1,ISERROR(A512:P512)))</f>
        <v>0</v>
      </c>
      <c r="W512" t="e">
        <f>MATCH(K512&amp;$W$2,Taostats_CSV!$X$3:$X$1167,0)</f>
        <v>#N/A</v>
      </c>
      <c r="X512" t="e">
        <f t="shared" ca="1" si="54"/>
        <v>#VALUE!</v>
      </c>
      <c r="Y512">
        <f t="shared" ca="1" si="55"/>
        <v>0.14276230300000001</v>
      </c>
      <c r="Z512" t="e">
        <f t="shared" ca="1" si="56"/>
        <v>#VALUE!</v>
      </c>
    </row>
    <row r="513" spans="1:26" hidden="1" x14ac:dyDescent="0.4">
      <c r="A513" t="str">
        <f>MID(Taostats_CSV!C513,6,2)&amp;"/"&amp;MID(Taostats_CSV!C513,9,2)&amp;"/"&amp;LEFT(Taostats_CSV!C513,4)&amp;" "&amp;MID(Taostats_CSV!C513,12,8)</f>
        <v>06/22/2025 23:59:48</v>
      </c>
      <c r="C513" t="str">
        <f ca="1">IF(Q513,OFFSET(Taostats_CSV!$E$1,MATCH(K513&amp;D$1,Taostats_CSV!$X:$X,0)-1,0),IF(Taostats_CSV!F513="fee","",IF(VALUE(Taostats_CSV!G513)&gt;0,Taostats_CSV!E513,"")))</f>
        <v/>
      </c>
      <c r="D513" t="str">
        <f ca="1">IF(Q513,OFFSET(Taostats_CSV!$G$1,MATCH(K513&amp;D$1,Taostats_CSV!$X:$X,0)-1,0),IF(Taostats_CSV!F513="fee","",IF(VALUE(Taostats_CSV!G513)&gt;0,Taostats_CSV!G513,"")))</f>
        <v/>
      </c>
      <c r="E513" t="str">
        <f ca="1">IF(AND(Q513,P513&gt;0),OFFSET(Taostats_CSV!$E$1,MATCH(K513&amp;F$1,Taostats_CSV!$X:$X,0)-1,0),IF(LEN(F513)&gt;0,Taostats_CSV!E513,""))</f>
        <v>TAO</v>
      </c>
      <c r="F513" t="str">
        <f ca="1">TRIM(IF(AND(Q513,P513&gt;0),OFFSET(Taostats_CSV!$H$1,MATCH(K513&amp;F$1,Taostats_CSV!$X:$X,0)-1,0),IF(LEN(Taostats_CSV!H513)&gt;0,Taostats_CSV!H513,Taostats_CSV!R513)))</f>
        <v>0</v>
      </c>
      <c r="G513" t="str">
        <f ca="1">IF(AND(Q513,N513=1),OFFSET(Taostats_CSV!$E$1,MATCH(K513&amp;H$1,Taostats_CSV!$X:$X,0)-1,0),IF(Taostats_CSV!F513="fee",Taostats_CSV!E513,""))</f>
        <v/>
      </c>
      <c r="H513" t="str">
        <f ca="1">IF(AND(Q513,N513=1),OFFSET(Taostats_CSV!$G$1,MATCH(K513&amp;H$1,Taostats_CSV!$X:$X,0)-1,0),IF(Taostats_CSV!F513="fee",Taostats_CSV!G513,""))</f>
        <v/>
      </c>
      <c r="I513" t="str">
        <f ca="1">IF(AND(LEN(K513)=0,LEN(F513)&gt;0),"Income",IF(AND(O513&gt;0,P513&gt;0,C513&lt;&gt;E513),"Trade",IF(AND(NOT(Q513),Taostats_CSV!F513="fee"),'READ ME'!$C$5,"")))</f>
        <v>Income</v>
      </c>
      <c r="J513" t="str">
        <f ca="1">SUBSTITUTE(IF(LEN(I513)=0,Taostats_CSV!F513&amp;" "&amp;Taostats_CSV!J513,IF(I513="Cost","Extrinsic fee","")),"_"," ")</f>
        <v/>
      </c>
      <c r="K513" t="str">
        <f>TRIM(IF(LEN(Taostats_CSV!I513)&gt;0,Taostats_CSV!I513,""))</f>
        <v/>
      </c>
      <c r="L513" t="str">
        <f>IF(Taostats_CSV!E513&lt;&gt;"TAO",IF(LEN(F513)&gt;0,F513,IF(LEN(D513)&gt;0,D513,0))*Taostats_CSV!P513,"")</f>
        <v/>
      </c>
      <c r="M513" t="str">
        <f t="shared" si="57"/>
        <v/>
      </c>
      <c r="N513">
        <f>COUNTIF(Taostats_CSV!$X:$X,Taostats_CSV!$I513&amp;N$1)</f>
        <v>0</v>
      </c>
      <c r="O513">
        <f>COUNTIF(Taostats_CSV!$X:$X,Taostats_CSV!$I513&amp;O$1)</f>
        <v>0</v>
      </c>
      <c r="P513">
        <f>COUNTIF(Taostats_CSV!$X:$X,Taostats_CSV!$I513&amp;P$1)</f>
        <v>0</v>
      </c>
      <c r="Q513" t="b">
        <f t="shared" si="58"/>
        <v>0</v>
      </c>
      <c r="R513" t="b">
        <f>IF(LEN(K513)&gt;0,COUNTIF($K$3:K513,K513),FALSE)</f>
        <v>0</v>
      </c>
      <c r="S513" t="b">
        <f>IF(Taostats_CSV!A513=Taostats_CSV!$A$2,TRUE,Taostats_CSV!G513+Taostats_CSV!H513+Taostats_CSV!R513=0)</f>
        <v>1</v>
      </c>
      <c r="T513" t="b">
        <f t="shared" si="59"/>
        <v>0</v>
      </c>
      <c r="U513" t="b" cm="1">
        <f t="array" aca="1" ref="U513" ca="1">AND(T513,OR(O513-N513&gt;1,P513&gt;1,ISERROR(A513:P513)))</f>
        <v>0</v>
      </c>
      <c r="W513" t="e">
        <f>MATCH(K513&amp;$W$2,Taostats_CSV!$X$3:$X$1167,0)</f>
        <v>#N/A</v>
      </c>
      <c r="X513" t="e">
        <f t="shared" ca="1" si="54"/>
        <v>#VALUE!</v>
      </c>
      <c r="Y513">
        <f t="shared" ca="1" si="55"/>
        <v>0</v>
      </c>
      <c r="Z513" t="e">
        <f t="shared" ca="1" si="56"/>
        <v>#VALUE!</v>
      </c>
    </row>
    <row r="514" spans="1:26" x14ac:dyDescent="0.4">
      <c r="A514" t="str">
        <f>MID(Taostats_CSV!C514,6,2)&amp;"/"&amp;MID(Taostats_CSV!C514,9,2)&amp;"/"&amp;LEFT(Taostats_CSV!C514,4)&amp;" "&amp;MID(Taostats_CSV!C514,12,8)</f>
        <v>06/23/2025 23:59:48</v>
      </c>
      <c r="C514" t="str">
        <f ca="1">IF(Q514,OFFSET(Taostats_CSV!$E$1,MATCH(K514&amp;D$1,Taostats_CSV!$X:$X,0)-1,0),IF(Taostats_CSV!F514="fee",IF(VALUE(Taostats_CSV!G514)&gt;0,Taostats_CSV!E514,""),""))</f>
        <v/>
      </c>
      <c r="D514" t="str">
        <f ca="1">IF(Q514,OFFSET(Taostats_CSV!$G$1,MATCH(K514&amp;D$1,Taostats_CSV!$X:$X,0)-1,0),IF(Taostats_CSV!F514="fee",IF(VALUE(Taostats_CSV!G514)&gt;0,Taostats_CSV!G514,""),""))</f>
        <v/>
      </c>
      <c r="E514" t="str">
        <f ca="1">IF(AND(Q514,P514&gt;0),OFFSET(Taostats_CSV!$E$1,MATCH(K514&amp;F$1,Taostats_CSV!$X:$X,0)-1,0),IF(LEN(F514)&gt;0,Taostats_CSV!E514,""))</f>
        <v>SN3</v>
      </c>
      <c r="F514" t="str">
        <f ca="1">TRIM(IF(AND(Q514,P514&gt;0),OFFSET(Taostats_CSV!$H$1,MATCH(K514&amp;F$1,Taostats_CSV!$X:$X,0)-1,0),IF(LEN(Taostats_CSV!H514)&gt;0,Taostats_CSV!H514,Taostats_CSV!R514)))</f>
        <v>0.401965406</v>
      </c>
      <c r="G514" t="str">
        <f ca="1">IF(AND(Q514,N514=1),OFFSET(Taostats_CSV!$E$1,MATCH(K514&amp;H$1,Taostats_CSV!$X:$X,0)-1,0),"")</f>
        <v/>
      </c>
      <c r="H514" t="str">
        <f ca="1">IF(AND(Q514,N514=1),OFFSET(Taostats_CSV!$G$1,MATCH(K514&amp;H$1,Taostats_CSV!$X:$X,0)-1,0),"")</f>
        <v/>
      </c>
      <c r="I514" t="str">
        <f ca="1">IF(AND(LEN(K514)=0,LEN(F514)&gt;0),"Income",IF(AND(O514&gt;0,P514&gt;0,C514&lt;&gt;E514),"Trade",IF(AND(NOT(Q514),Taostats_CSV!F514="fee"),'READ ME'!$C$5,"")))</f>
        <v>Income</v>
      </c>
      <c r="J514" t="str">
        <f ca="1">SUBSTITUTE(IF(LEN(I514)=0,Taostats_CSV!F514&amp;" "&amp;Taostats_CSV!J514,IF(I514="Cost","Extrinsic fee","")),"_"," ")</f>
        <v/>
      </c>
      <c r="K514" t="str">
        <f>TRIM(IF(LEN(Taostats_CSV!I514)&gt;0,Taostats_CSV!I514,""))</f>
        <v/>
      </c>
      <c r="L514">
        <f ca="1">IF(Taostats_CSV!E514&lt;&gt;"TAO",IF(LEN(F514)&gt;0,F514,IF(LEN(D514)&gt;0,D514,0))*Taostats_CSV!P514,"")</f>
        <v>11.717823425918926</v>
      </c>
      <c r="M514" t="str">
        <f t="shared" ca="1" si="57"/>
        <v>USD</v>
      </c>
      <c r="N514">
        <f>COUNTIF(Taostats_CSV!$X:$X,Taostats_CSV!$I514&amp;N$1)</f>
        <v>0</v>
      </c>
      <c r="O514">
        <f>COUNTIF(Taostats_CSV!$X:$X,Taostats_CSV!$I514&amp;O$1)</f>
        <v>0</v>
      </c>
      <c r="P514">
        <f>COUNTIF(Taostats_CSV!$X:$X,Taostats_CSV!$I514&amp;P$1)</f>
        <v>0</v>
      </c>
      <c r="Q514" t="b">
        <f t="shared" si="58"/>
        <v>0</v>
      </c>
      <c r="R514" t="b">
        <f>IF(LEN(K514)&gt;0,COUNTIF($K$3:K514,K514),FALSE)</f>
        <v>0</v>
      </c>
      <c r="S514" t="b">
        <f>IF(Taostats_CSV!A514=Taostats_CSV!$A$2,TRUE,Taostats_CSV!G514+Taostats_CSV!H514+Taostats_CSV!R514=0)</f>
        <v>0</v>
      </c>
      <c r="T514" t="b">
        <f t="shared" si="59"/>
        <v>1</v>
      </c>
      <c r="U514" t="b" cm="1">
        <f t="array" aca="1" ref="U514" ca="1">AND(T514,OR(O514-N514&gt;1,P514&gt;1,ISERROR(A514:P514)))</f>
        <v>0</v>
      </c>
      <c r="W514" t="e">
        <f>MATCH(K514&amp;$W$2,Taostats_CSV!$X$3:$X$1167,0)</f>
        <v>#N/A</v>
      </c>
      <c r="X514" t="e">
        <f t="shared" ca="1" si="54"/>
        <v>#VALUE!</v>
      </c>
      <c r="Y514">
        <f t="shared" ca="1" si="55"/>
        <v>0.40196540600000003</v>
      </c>
      <c r="Z514" t="e">
        <f t="shared" ca="1" si="56"/>
        <v>#VALUE!</v>
      </c>
    </row>
    <row r="515" spans="1:26" x14ac:dyDescent="0.4">
      <c r="A515" t="str">
        <f>MID(Taostats_CSV!C515,6,2)&amp;"/"&amp;MID(Taostats_CSV!C515,9,2)&amp;"/"&amp;LEFT(Taostats_CSV!C515,4)&amp;" "&amp;MID(Taostats_CSV!C515,12,8)</f>
        <v>06/23/2025 23:59:48</v>
      </c>
      <c r="C515" t="str">
        <f ca="1">IF(Q515,OFFSET(Taostats_CSV!$E$1,MATCH(K515&amp;D$1,Taostats_CSV!$X:$X,0)-1,0),IF(Taostats_CSV!F515="fee",IF(VALUE(Taostats_CSV!G515)&gt;0,Taostats_CSV!E515,""),""))</f>
        <v/>
      </c>
      <c r="D515" t="str">
        <f ca="1">IF(Q515,OFFSET(Taostats_CSV!$G$1,MATCH(K515&amp;D$1,Taostats_CSV!$X:$X,0)-1,0),IF(Taostats_CSV!F515="fee",IF(VALUE(Taostats_CSV!G515)&gt;0,Taostats_CSV!G515,""),""))</f>
        <v/>
      </c>
      <c r="E515" t="str">
        <f ca="1">IF(AND(Q515,P515&gt;0),OFFSET(Taostats_CSV!$E$1,MATCH(K515&amp;F$1,Taostats_CSV!$X:$X,0)-1,0),IF(LEN(F515)&gt;0,Taostats_CSV!E515,""))</f>
        <v>SN4</v>
      </c>
      <c r="F515" t="str">
        <f ca="1">TRIM(IF(AND(Q515,P515&gt;0),OFFSET(Taostats_CSV!$H$1,MATCH(K515&amp;F$1,Taostats_CSV!$X:$X,0)-1,0),IF(LEN(Taostats_CSV!H515)&gt;0,Taostats_CSV!H515,Taostats_CSV!R515)))</f>
        <v>0.479397942</v>
      </c>
      <c r="G515" t="str">
        <f ca="1">IF(AND(Q515,N515=1),OFFSET(Taostats_CSV!$E$1,MATCH(K515&amp;H$1,Taostats_CSV!$X:$X,0)-1,0),"")</f>
        <v/>
      </c>
      <c r="H515" t="str">
        <f ca="1">IF(AND(Q515,N515=1),OFFSET(Taostats_CSV!$G$1,MATCH(K515&amp;H$1,Taostats_CSV!$X:$X,0)-1,0),"")</f>
        <v/>
      </c>
      <c r="I515" t="str">
        <f ca="1">IF(AND(LEN(K515)=0,LEN(F515)&gt;0),"Income",IF(AND(O515&gt;0,P515&gt;0,C515&lt;&gt;E515),"Trade",IF(AND(NOT(Q515),Taostats_CSV!F515="fee"),'READ ME'!$C$5,"")))</f>
        <v>Income</v>
      </c>
      <c r="J515" t="str">
        <f ca="1">SUBSTITUTE(IF(LEN(I515)=0,Taostats_CSV!F515&amp;" "&amp;Taostats_CSV!J515,IF(I515="Cost","Extrinsic fee","")),"_"," ")</f>
        <v/>
      </c>
      <c r="K515" t="str">
        <f>TRIM(IF(LEN(Taostats_CSV!I515)&gt;0,Taostats_CSV!I515,""))</f>
        <v/>
      </c>
      <c r="L515">
        <f ca="1">IF(Taostats_CSV!E515&lt;&gt;"TAO",IF(LEN(F515)&gt;0,F515,IF(LEN(D515)&gt;0,D515,0))*Taostats_CSV!P515,"")</f>
        <v>12.620915049674979</v>
      </c>
      <c r="M515" t="str">
        <f t="shared" ca="1" si="57"/>
        <v>USD</v>
      </c>
      <c r="N515">
        <f>COUNTIF(Taostats_CSV!$X:$X,Taostats_CSV!$I515&amp;N$1)</f>
        <v>0</v>
      </c>
      <c r="O515">
        <f>COUNTIF(Taostats_CSV!$X:$X,Taostats_CSV!$I515&amp;O$1)</f>
        <v>0</v>
      </c>
      <c r="P515">
        <f>COUNTIF(Taostats_CSV!$X:$X,Taostats_CSV!$I515&amp;P$1)</f>
        <v>0</v>
      </c>
      <c r="Q515" t="b">
        <f t="shared" si="58"/>
        <v>0</v>
      </c>
      <c r="R515" t="b">
        <f>IF(LEN(K515)&gt;0,COUNTIF($K$3:K515,K515),FALSE)</f>
        <v>0</v>
      </c>
      <c r="S515" t="b">
        <f>IF(Taostats_CSV!A515=Taostats_CSV!$A$2,TRUE,Taostats_CSV!G515+Taostats_CSV!H515+Taostats_CSV!R515=0)</f>
        <v>0</v>
      </c>
      <c r="T515" t="b">
        <f t="shared" si="59"/>
        <v>1</v>
      </c>
      <c r="U515" t="b" cm="1">
        <f t="array" aca="1" ref="U515" ca="1">AND(T515,OR(O515-N515&gt;1,P515&gt;1,ISERROR(A515:P515)))</f>
        <v>0</v>
      </c>
      <c r="W515" t="e">
        <f>MATCH(K515&amp;$W$2,Taostats_CSV!$X$3:$X$1167,0)</f>
        <v>#N/A</v>
      </c>
      <c r="X515" t="e">
        <f t="shared" ref="X515:X578" ca="1" si="60">VALUE(D515)</f>
        <v>#VALUE!</v>
      </c>
      <c r="Y515">
        <f t="shared" ref="Y515:Y578" ca="1" si="61">VALUE(F515)</f>
        <v>0.47939794200000002</v>
      </c>
      <c r="Z515" t="e">
        <f t="shared" ref="Z515:Z578" ca="1" si="62">VALUE(H515)</f>
        <v>#VALUE!</v>
      </c>
    </row>
    <row r="516" spans="1:26" x14ac:dyDescent="0.4">
      <c r="A516" t="str">
        <f>MID(Taostats_CSV!C516,6,2)&amp;"/"&amp;MID(Taostats_CSV!C516,9,2)&amp;"/"&amp;LEFT(Taostats_CSV!C516,4)&amp;" "&amp;MID(Taostats_CSV!C516,12,8)</f>
        <v>06/23/2025 23:59:48</v>
      </c>
      <c r="C516" t="str">
        <f ca="1">IF(Q516,OFFSET(Taostats_CSV!$E$1,MATCH(K516&amp;D$1,Taostats_CSV!$X:$X,0)-1,0),IF(Taostats_CSV!F516="fee",IF(VALUE(Taostats_CSV!G516)&gt;0,Taostats_CSV!E516,""),""))</f>
        <v/>
      </c>
      <c r="D516" t="str">
        <f ca="1">IF(Q516,OFFSET(Taostats_CSV!$G$1,MATCH(K516&amp;D$1,Taostats_CSV!$X:$X,0)-1,0),IF(Taostats_CSV!F516="fee",IF(VALUE(Taostats_CSV!G516)&gt;0,Taostats_CSV!G516,""),""))</f>
        <v/>
      </c>
      <c r="E516" t="str">
        <f ca="1">IF(AND(Q516,P516&gt;0),OFFSET(Taostats_CSV!$E$1,MATCH(K516&amp;F$1,Taostats_CSV!$X:$X,0)-1,0),IF(LEN(F516)&gt;0,Taostats_CSV!E516,""))</f>
        <v>SN56</v>
      </c>
      <c r="F516" t="str">
        <f ca="1">TRIM(IF(AND(Q516,P516&gt;0),OFFSET(Taostats_CSV!$H$1,MATCH(K516&amp;F$1,Taostats_CSV!$X:$X,0)-1,0),IF(LEN(Taostats_CSV!H516)&gt;0,Taostats_CSV!H516,Taostats_CSV!R516)))</f>
        <v>0.233953765</v>
      </c>
      <c r="G516" t="str">
        <f ca="1">IF(AND(Q516,N516=1),OFFSET(Taostats_CSV!$E$1,MATCH(K516&amp;H$1,Taostats_CSV!$X:$X,0)-1,0),"")</f>
        <v/>
      </c>
      <c r="H516" t="str">
        <f ca="1">IF(AND(Q516,N516=1),OFFSET(Taostats_CSV!$G$1,MATCH(K516&amp;H$1,Taostats_CSV!$X:$X,0)-1,0),"")</f>
        <v/>
      </c>
      <c r="I516" t="str">
        <f ca="1">IF(AND(LEN(K516)=0,LEN(F516)&gt;0),"Income",IF(AND(O516&gt;0,P516&gt;0,C516&lt;&gt;E516),"Trade",IF(AND(NOT(Q516),Taostats_CSV!F516="fee"),'READ ME'!$C$5,"")))</f>
        <v>Income</v>
      </c>
      <c r="J516" t="str">
        <f ca="1">SUBSTITUTE(IF(LEN(I516)=0,Taostats_CSV!F516&amp;" "&amp;Taostats_CSV!J516,IF(I516="Cost","Extrinsic fee","")),"_"," ")</f>
        <v/>
      </c>
      <c r="K516" t="str">
        <f>TRIM(IF(LEN(Taostats_CSV!I516)&gt;0,Taostats_CSV!I516,""))</f>
        <v/>
      </c>
      <c r="L516">
        <f ca="1">IF(Taostats_CSV!E516&lt;&gt;"TAO",IF(LEN(F516)&gt;0,F516,IF(LEN(D516)&gt;0,D516,0))*Taostats_CSV!P516,"")</f>
        <v>6.0217343297120598</v>
      </c>
      <c r="M516" t="str">
        <f t="shared" ref="M516:M579" ca="1" si="63">IF(LEN(L516)&gt;0,"USD","")</f>
        <v>USD</v>
      </c>
      <c r="N516">
        <f>COUNTIF(Taostats_CSV!$X:$X,Taostats_CSV!$I516&amp;N$1)</f>
        <v>0</v>
      </c>
      <c r="O516">
        <f>COUNTIF(Taostats_CSV!$X:$X,Taostats_CSV!$I516&amp;O$1)</f>
        <v>0</v>
      </c>
      <c r="P516">
        <f>COUNTIF(Taostats_CSV!$X:$X,Taostats_CSV!$I516&amp;P$1)</f>
        <v>0</v>
      </c>
      <c r="Q516" t="b">
        <f t="shared" ref="Q516:Q579" si="64">AND(O516&lt;=1,N516&lt;=1,P516&lt;=1,O516+N516+P516&gt;=2)</f>
        <v>0</v>
      </c>
      <c r="R516" t="b">
        <f>IF(LEN(K516)&gt;0,COUNTIF($K$3:K516,K516),FALSE)</f>
        <v>0</v>
      </c>
      <c r="S516" t="b">
        <f>IF(Taostats_CSV!A516=Taostats_CSV!$A$2,TRUE,Taostats_CSV!G516+Taostats_CSV!H516+Taostats_CSV!R516=0)</f>
        <v>0</v>
      </c>
      <c r="T516" t="b">
        <f t="shared" ref="T516:T579" si="65">AND(NOT(S516),OR(NOT(Q516),R516=1))</f>
        <v>1</v>
      </c>
      <c r="U516" t="b" cm="1">
        <f t="array" aca="1" ref="U516" ca="1">AND(T516,OR(O516-N516&gt;1,P516&gt;1,ISERROR(A516:P516)))</f>
        <v>0</v>
      </c>
      <c r="W516" t="e">
        <f>MATCH(K516&amp;$W$2,Taostats_CSV!$X$3:$X$1167,0)</f>
        <v>#N/A</v>
      </c>
      <c r="X516" t="e">
        <f t="shared" ca="1" si="60"/>
        <v>#VALUE!</v>
      </c>
      <c r="Y516">
        <f t="shared" ca="1" si="61"/>
        <v>0.23395376500000001</v>
      </c>
      <c r="Z516" t="e">
        <f t="shared" ca="1" si="62"/>
        <v>#VALUE!</v>
      </c>
    </row>
    <row r="517" spans="1:26" x14ac:dyDescent="0.4">
      <c r="A517" t="str">
        <f>MID(Taostats_CSV!C517,6,2)&amp;"/"&amp;MID(Taostats_CSV!C517,9,2)&amp;"/"&amp;LEFT(Taostats_CSV!C517,4)&amp;" "&amp;MID(Taostats_CSV!C517,12,8)</f>
        <v>06/23/2025 23:59:48</v>
      </c>
      <c r="C517" t="str">
        <f ca="1">IF(Q517,OFFSET(Taostats_CSV!$E$1,MATCH(K517&amp;D$1,Taostats_CSV!$X:$X,0)-1,0),IF(Taostats_CSV!F517="fee",IF(VALUE(Taostats_CSV!G517)&gt;0,Taostats_CSV!E517,""),""))</f>
        <v/>
      </c>
      <c r="D517" t="str">
        <f ca="1">IF(Q517,OFFSET(Taostats_CSV!$G$1,MATCH(K517&amp;D$1,Taostats_CSV!$X:$X,0)-1,0),IF(Taostats_CSV!F517="fee",IF(VALUE(Taostats_CSV!G517)&gt;0,Taostats_CSV!G517,""),""))</f>
        <v/>
      </c>
      <c r="E517" t="str">
        <f ca="1">IF(AND(Q517,P517&gt;0),OFFSET(Taostats_CSV!$E$1,MATCH(K517&amp;F$1,Taostats_CSV!$X:$X,0)-1,0),IF(LEN(F517)&gt;0,Taostats_CSV!E517,""))</f>
        <v>SN64</v>
      </c>
      <c r="F517" t="str">
        <f ca="1">TRIM(IF(AND(Q517,P517&gt;0),OFFSET(Taostats_CSV!$H$1,MATCH(K517&amp;F$1,Taostats_CSV!$X:$X,0)-1,0),IF(LEN(Taostats_CSV!H517)&gt;0,Taostats_CSV!H517,Taostats_CSV!R517)))</f>
        <v>0.142392191</v>
      </c>
      <c r="G517" t="str">
        <f ca="1">IF(AND(Q517,N517=1),OFFSET(Taostats_CSV!$E$1,MATCH(K517&amp;H$1,Taostats_CSV!$X:$X,0)-1,0),"")</f>
        <v/>
      </c>
      <c r="H517" t="str">
        <f ca="1">IF(AND(Q517,N517=1),OFFSET(Taostats_CSV!$G$1,MATCH(K517&amp;H$1,Taostats_CSV!$X:$X,0)-1,0),"")</f>
        <v/>
      </c>
      <c r="I517" t="str">
        <f ca="1">IF(AND(LEN(K517)=0,LEN(F517)&gt;0),"Income",IF(AND(O517&gt;0,P517&gt;0,C517&lt;&gt;E517),"Trade",IF(AND(NOT(Q517),Taostats_CSV!F517="fee"),'READ ME'!$C$5,"")))</f>
        <v>Income</v>
      </c>
      <c r="J517" t="str">
        <f ca="1">SUBSTITUTE(IF(LEN(I517)=0,Taostats_CSV!F517&amp;" "&amp;Taostats_CSV!J517,IF(I517="Cost","Extrinsic fee","")),"_"," ")</f>
        <v/>
      </c>
      <c r="K517" t="str">
        <f>TRIM(IF(LEN(Taostats_CSV!I517)&gt;0,Taostats_CSV!I517,""))</f>
        <v/>
      </c>
      <c r="L517">
        <f ca="1">IF(Taostats_CSV!E517&lt;&gt;"TAO",IF(LEN(F517)&gt;0,F517,IF(LEN(D517)&gt;0,D517,0))*Taostats_CSV!P517,"")</f>
        <v>9.2521694170482078</v>
      </c>
      <c r="M517" t="str">
        <f t="shared" ca="1" si="63"/>
        <v>USD</v>
      </c>
      <c r="N517">
        <f>COUNTIF(Taostats_CSV!$X:$X,Taostats_CSV!$I517&amp;N$1)</f>
        <v>0</v>
      </c>
      <c r="O517">
        <f>COUNTIF(Taostats_CSV!$X:$X,Taostats_CSV!$I517&amp;O$1)</f>
        <v>0</v>
      </c>
      <c r="P517">
        <f>COUNTIF(Taostats_CSV!$X:$X,Taostats_CSV!$I517&amp;P$1)</f>
        <v>0</v>
      </c>
      <c r="Q517" t="b">
        <f t="shared" si="64"/>
        <v>0</v>
      </c>
      <c r="R517" t="b">
        <f>IF(LEN(K517)&gt;0,COUNTIF($K$3:K517,K517),FALSE)</f>
        <v>0</v>
      </c>
      <c r="S517" t="b">
        <f>IF(Taostats_CSV!A517=Taostats_CSV!$A$2,TRUE,Taostats_CSV!G517+Taostats_CSV!H517+Taostats_CSV!R517=0)</f>
        <v>0</v>
      </c>
      <c r="T517" t="b">
        <f t="shared" si="65"/>
        <v>1</v>
      </c>
      <c r="U517" t="b" cm="1">
        <f t="array" aca="1" ref="U517" ca="1">AND(T517,OR(O517-N517&gt;1,P517&gt;1,ISERROR(A517:P517)))</f>
        <v>0</v>
      </c>
      <c r="W517" t="e">
        <f>MATCH(K517&amp;$W$2,Taostats_CSV!$X$3:$X$1167,0)</f>
        <v>#N/A</v>
      </c>
      <c r="X517" t="e">
        <f t="shared" ca="1" si="60"/>
        <v>#VALUE!</v>
      </c>
      <c r="Y517">
        <f t="shared" ca="1" si="61"/>
        <v>0.142392191</v>
      </c>
      <c r="Z517" t="e">
        <f t="shared" ca="1" si="62"/>
        <v>#VALUE!</v>
      </c>
    </row>
    <row r="518" spans="1:26" hidden="1" x14ac:dyDescent="0.4">
      <c r="A518" t="str">
        <f>MID(Taostats_CSV!C518,6,2)&amp;"/"&amp;MID(Taostats_CSV!C518,9,2)&amp;"/"&amp;LEFT(Taostats_CSV!C518,4)&amp;" "&amp;MID(Taostats_CSV!C518,12,8)</f>
        <v>06/23/2025 23:59:48</v>
      </c>
      <c r="C518" t="str">
        <f ca="1">IF(Q518,OFFSET(Taostats_CSV!$E$1,MATCH(K518&amp;D$1,Taostats_CSV!$X:$X,0)-1,0),IF(Taostats_CSV!F518="fee","",IF(VALUE(Taostats_CSV!G518)&gt;0,Taostats_CSV!E518,"")))</f>
        <v/>
      </c>
      <c r="D518" t="str">
        <f ca="1">IF(Q518,OFFSET(Taostats_CSV!$G$1,MATCH(K518&amp;D$1,Taostats_CSV!$X:$X,0)-1,0),IF(Taostats_CSV!F518="fee","",IF(VALUE(Taostats_CSV!G518)&gt;0,Taostats_CSV!G518,"")))</f>
        <v/>
      </c>
      <c r="E518" t="str">
        <f ca="1">IF(AND(Q518,P518&gt;0),OFFSET(Taostats_CSV!$E$1,MATCH(K518&amp;F$1,Taostats_CSV!$X:$X,0)-1,0),IF(LEN(F518)&gt;0,Taostats_CSV!E518,""))</f>
        <v>TAO</v>
      </c>
      <c r="F518" t="str">
        <f ca="1">TRIM(IF(AND(Q518,P518&gt;0),OFFSET(Taostats_CSV!$H$1,MATCH(K518&amp;F$1,Taostats_CSV!$X:$X,0)-1,0),IF(LEN(Taostats_CSV!H518)&gt;0,Taostats_CSV!H518,Taostats_CSV!R518)))</f>
        <v>0</v>
      </c>
      <c r="G518" t="str">
        <f ca="1">IF(AND(Q518,N518=1),OFFSET(Taostats_CSV!$E$1,MATCH(K518&amp;H$1,Taostats_CSV!$X:$X,0)-1,0),IF(Taostats_CSV!F518="fee",Taostats_CSV!E518,""))</f>
        <v/>
      </c>
      <c r="H518" t="str">
        <f ca="1">IF(AND(Q518,N518=1),OFFSET(Taostats_CSV!$G$1,MATCH(K518&amp;H$1,Taostats_CSV!$X:$X,0)-1,0),IF(Taostats_CSV!F518="fee",Taostats_CSV!G518,""))</f>
        <v/>
      </c>
      <c r="I518" t="str">
        <f ca="1">IF(AND(LEN(K518)=0,LEN(F518)&gt;0),"Income",IF(AND(O518&gt;0,P518&gt;0,C518&lt;&gt;E518),"Trade",IF(AND(NOT(Q518),Taostats_CSV!F518="fee"),'READ ME'!$C$5,"")))</f>
        <v>Income</v>
      </c>
      <c r="J518" t="str">
        <f ca="1">SUBSTITUTE(IF(LEN(I518)=0,Taostats_CSV!F518&amp;" "&amp;Taostats_CSV!J518,IF(I518="Cost","Extrinsic fee","")),"_"," ")</f>
        <v/>
      </c>
      <c r="K518" t="str">
        <f>TRIM(IF(LEN(Taostats_CSV!I518)&gt;0,Taostats_CSV!I518,""))</f>
        <v/>
      </c>
      <c r="L518" t="str">
        <f>IF(Taostats_CSV!E518&lt;&gt;"TAO",IF(LEN(F518)&gt;0,F518,IF(LEN(D518)&gt;0,D518,0))*Taostats_CSV!P518,"")</f>
        <v/>
      </c>
      <c r="M518" t="str">
        <f t="shared" si="63"/>
        <v/>
      </c>
      <c r="N518">
        <f>COUNTIF(Taostats_CSV!$X:$X,Taostats_CSV!$I518&amp;N$1)</f>
        <v>0</v>
      </c>
      <c r="O518">
        <f>COUNTIF(Taostats_CSV!$X:$X,Taostats_CSV!$I518&amp;O$1)</f>
        <v>0</v>
      </c>
      <c r="P518">
        <f>COUNTIF(Taostats_CSV!$X:$X,Taostats_CSV!$I518&amp;P$1)</f>
        <v>0</v>
      </c>
      <c r="Q518" t="b">
        <f t="shared" si="64"/>
        <v>0</v>
      </c>
      <c r="R518" t="b">
        <f>IF(LEN(K518)&gt;0,COUNTIF($K$3:K518,K518),FALSE)</f>
        <v>0</v>
      </c>
      <c r="S518" t="b">
        <f>IF(Taostats_CSV!A518=Taostats_CSV!$A$2,TRUE,Taostats_CSV!G518+Taostats_CSV!H518+Taostats_CSV!R518=0)</f>
        <v>1</v>
      </c>
      <c r="T518" t="b">
        <f t="shared" si="65"/>
        <v>0</v>
      </c>
      <c r="U518" t="b" cm="1">
        <f t="array" aca="1" ref="U518" ca="1">AND(T518,OR(O518-N518&gt;1,P518&gt;1,ISERROR(A518:P518)))</f>
        <v>0</v>
      </c>
      <c r="W518" t="e">
        <f>MATCH(K518&amp;$W$2,Taostats_CSV!$X$3:$X$1167,0)</f>
        <v>#N/A</v>
      </c>
      <c r="X518" t="e">
        <f t="shared" ca="1" si="60"/>
        <v>#VALUE!</v>
      </c>
      <c r="Y518">
        <f t="shared" ca="1" si="61"/>
        <v>0</v>
      </c>
      <c r="Z518" t="e">
        <f t="shared" ca="1" si="62"/>
        <v>#VALUE!</v>
      </c>
    </row>
    <row r="519" spans="1:26" x14ac:dyDescent="0.4">
      <c r="A519" t="str">
        <f>MID(Taostats_CSV!C519,6,2)&amp;"/"&amp;MID(Taostats_CSV!C519,9,2)&amp;"/"&amp;LEFT(Taostats_CSV!C519,4)&amp;" "&amp;MID(Taostats_CSV!C519,12,8)</f>
        <v>06/24/2025 23:59:48</v>
      </c>
      <c r="C519" t="str">
        <f ca="1">IF(Q519,OFFSET(Taostats_CSV!$E$1,MATCH(K519&amp;D$1,Taostats_CSV!$X:$X,0)-1,0),IF(Taostats_CSV!F519="fee",IF(VALUE(Taostats_CSV!G519)&gt;0,Taostats_CSV!E519,""),""))</f>
        <v/>
      </c>
      <c r="D519" t="str">
        <f ca="1">IF(Q519,OFFSET(Taostats_CSV!$G$1,MATCH(K519&amp;D$1,Taostats_CSV!$X:$X,0)-1,0),IF(Taostats_CSV!F519="fee",IF(VALUE(Taostats_CSV!G519)&gt;0,Taostats_CSV!G519,""),""))</f>
        <v/>
      </c>
      <c r="E519" t="str">
        <f ca="1">IF(AND(Q519,P519&gt;0),OFFSET(Taostats_CSV!$E$1,MATCH(K519&amp;F$1,Taostats_CSV!$X:$X,0)-1,0),IF(LEN(F519)&gt;0,Taostats_CSV!E519,""))</f>
        <v>SN3</v>
      </c>
      <c r="F519" t="str">
        <f ca="1">TRIM(IF(AND(Q519,P519&gt;0),OFFSET(Taostats_CSV!$H$1,MATCH(K519&amp;F$1,Taostats_CSV!$X:$X,0)-1,0),IF(LEN(Taostats_CSV!H519)&gt;0,Taostats_CSV!H519,Taostats_CSV!R519)))</f>
        <v>0.404567127</v>
      </c>
      <c r="G519" t="str">
        <f ca="1">IF(AND(Q519,N519=1),OFFSET(Taostats_CSV!$E$1,MATCH(K519&amp;H$1,Taostats_CSV!$X:$X,0)-1,0),"")</f>
        <v/>
      </c>
      <c r="H519" t="str">
        <f ca="1">IF(AND(Q519,N519=1),OFFSET(Taostats_CSV!$G$1,MATCH(K519&amp;H$1,Taostats_CSV!$X:$X,0)-1,0),"")</f>
        <v/>
      </c>
      <c r="I519" t="str">
        <f ca="1">IF(AND(LEN(K519)=0,LEN(F519)&gt;0),"Income",IF(AND(O519&gt;0,P519&gt;0,C519&lt;&gt;E519),"Trade",IF(AND(NOT(Q519),Taostats_CSV!F519="fee"),'READ ME'!$C$5,"")))</f>
        <v>Income</v>
      </c>
      <c r="J519" t="str">
        <f ca="1">SUBSTITUTE(IF(LEN(I519)=0,Taostats_CSV!F519&amp;" "&amp;Taostats_CSV!J519,IF(I519="Cost","Extrinsic fee","")),"_"," ")</f>
        <v/>
      </c>
      <c r="K519" t="str">
        <f>TRIM(IF(LEN(Taostats_CSV!I519)&gt;0,Taostats_CSV!I519,""))</f>
        <v/>
      </c>
      <c r="L519">
        <f ca="1">IF(Taostats_CSV!E519&lt;&gt;"TAO",IF(LEN(F519)&gt;0,F519,IF(LEN(D519)&gt;0,D519,0))*Taostats_CSV!P519,"")</f>
        <v>11.596112839861268</v>
      </c>
      <c r="M519" t="str">
        <f t="shared" ca="1" si="63"/>
        <v>USD</v>
      </c>
      <c r="N519">
        <f>COUNTIF(Taostats_CSV!$X:$X,Taostats_CSV!$I519&amp;N$1)</f>
        <v>0</v>
      </c>
      <c r="O519">
        <f>COUNTIF(Taostats_CSV!$X:$X,Taostats_CSV!$I519&amp;O$1)</f>
        <v>0</v>
      </c>
      <c r="P519">
        <f>COUNTIF(Taostats_CSV!$X:$X,Taostats_CSV!$I519&amp;P$1)</f>
        <v>0</v>
      </c>
      <c r="Q519" t="b">
        <f t="shared" si="64"/>
        <v>0</v>
      </c>
      <c r="R519" t="b">
        <f>IF(LEN(K519)&gt;0,COUNTIF($K$3:K519,K519),FALSE)</f>
        <v>0</v>
      </c>
      <c r="S519" t="b">
        <f>IF(Taostats_CSV!A519=Taostats_CSV!$A$2,TRUE,Taostats_CSV!G519+Taostats_CSV!H519+Taostats_CSV!R519=0)</f>
        <v>0</v>
      </c>
      <c r="T519" t="b">
        <f t="shared" si="65"/>
        <v>1</v>
      </c>
      <c r="U519" t="b" cm="1">
        <f t="array" aca="1" ref="U519" ca="1">AND(T519,OR(O519-N519&gt;1,P519&gt;1,ISERROR(A519:P519)))</f>
        <v>0</v>
      </c>
      <c r="W519" t="e">
        <f>MATCH(K519&amp;$W$2,Taostats_CSV!$X$3:$X$1167,0)</f>
        <v>#N/A</v>
      </c>
      <c r="X519" t="e">
        <f t="shared" ca="1" si="60"/>
        <v>#VALUE!</v>
      </c>
      <c r="Y519">
        <f t="shared" ca="1" si="61"/>
        <v>0.40456712700000003</v>
      </c>
      <c r="Z519" t="e">
        <f t="shared" ca="1" si="62"/>
        <v>#VALUE!</v>
      </c>
    </row>
    <row r="520" spans="1:26" x14ac:dyDescent="0.4">
      <c r="A520" t="str">
        <f>MID(Taostats_CSV!C520,6,2)&amp;"/"&amp;MID(Taostats_CSV!C520,9,2)&amp;"/"&amp;LEFT(Taostats_CSV!C520,4)&amp;" "&amp;MID(Taostats_CSV!C520,12,8)</f>
        <v>06/24/2025 23:59:48</v>
      </c>
      <c r="C520" t="str">
        <f ca="1">IF(Q520,OFFSET(Taostats_CSV!$E$1,MATCH(K520&amp;D$1,Taostats_CSV!$X:$X,0)-1,0),IF(Taostats_CSV!F520="fee",IF(VALUE(Taostats_CSV!G520)&gt;0,Taostats_CSV!E520,""),""))</f>
        <v/>
      </c>
      <c r="D520" t="str">
        <f ca="1">IF(Q520,OFFSET(Taostats_CSV!$G$1,MATCH(K520&amp;D$1,Taostats_CSV!$X:$X,0)-1,0),IF(Taostats_CSV!F520="fee",IF(VALUE(Taostats_CSV!G520)&gt;0,Taostats_CSV!G520,""),""))</f>
        <v/>
      </c>
      <c r="E520" t="str">
        <f ca="1">IF(AND(Q520,P520&gt;0),OFFSET(Taostats_CSV!$E$1,MATCH(K520&amp;F$1,Taostats_CSV!$X:$X,0)-1,0),IF(LEN(F520)&gt;0,Taostats_CSV!E520,""))</f>
        <v>SN4</v>
      </c>
      <c r="F520" t="str">
        <f ca="1">TRIM(IF(AND(Q520,P520&gt;0),OFFSET(Taostats_CSV!$H$1,MATCH(K520&amp;F$1,Taostats_CSV!$X:$X,0)-1,0),IF(LEN(Taostats_CSV!H520)&gt;0,Taostats_CSV!H520,Taostats_CSV!R520)))</f>
        <v>0.474593136</v>
      </c>
      <c r="G520" t="str">
        <f ca="1">IF(AND(Q520,N520=1),OFFSET(Taostats_CSV!$E$1,MATCH(K520&amp;H$1,Taostats_CSV!$X:$X,0)-1,0),"")</f>
        <v/>
      </c>
      <c r="H520" t="str">
        <f ca="1">IF(AND(Q520,N520=1),OFFSET(Taostats_CSV!$G$1,MATCH(K520&amp;H$1,Taostats_CSV!$X:$X,0)-1,0),"")</f>
        <v/>
      </c>
      <c r="I520" t="str">
        <f ca="1">IF(AND(LEN(K520)=0,LEN(F520)&gt;0),"Income",IF(AND(O520&gt;0,P520&gt;0,C520&lt;&gt;E520),"Trade",IF(AND(NOT(Q520),Taostats_CSV!F520="fee"),'READ ME'!$C$5,"")))</f>
        <v>Income</v>
      </c>
      <c r="J520" t="str">
        <f ca="1">SUBSTITUTE(IF(LEN(I520)=0,Taostats_CSV!F520&amp;" "&amp;Taostats_CSV!J520,IF(I520="Cost","Extrinsic fee","")),"_"," ")</f>
        <v/>
      </c>
      <c r="K520" t="str">
        <f>TRIM(IF(LEN(Taostats_CSV!I520)&gt;0,Taostats_CSV!I520,""))</f>
        <v/>
      </c>
      <c r="L520">
        <f ca="1">IF(Taostats_CSV!E520&lt;&gt;"TAO",IF(LEN(F520)&gt;0,F520,IF(LEN(D520)&gt;0,D520,0))*Taostats_CSV!P520,"")</f>
        <v>12.170626540915878</v>
      </c>
      <c r="M520" t="str">
        <f t="shared" ca="1" si="63"/>
        <v>USD</v>
      </c>
      <c r="N520">
        <f>COUNTIF(Taostats_CSV!$X:$X,Taostats_CSV!$I520&amp;N$1)</f>
        <v>0</v>
      </c>
      <c r="O520">
        <f>COUNTIF(Taostats_CSV!$X:$X,Taostats_CSV!$I520&amp;O$1)</f>
        <v>0</v>
      </c>
      <c r="P520">
        <f>COUNTIF(Taostats_CSV!$X:$X,Taostats_CSV!$I520&amp;P$1)</f>
        <v>0</v>
      </c>
      <c r="Q520" t="b">
        <f t="shared" si="64"/>
        <v>0</v>
      </c>
      <c r="R520" t="b">
        <f>IF(LEN(K520)&gt;0,COUNTIF($K$3:K520,K520),FALSE)</f>
        <v>0</v>
      </c>
      <c r="S520" t="b">
        <f>IF(Taostats_CSV!A520=Taostats_CSV!$A$2,TRUE,Taostats_CSV!G520+Taostats_CSV!H520+Taostats_CSV!R520=0)</f>
        <v>0</v>
      </c>
      <c r="T520" t="b">
        <f t="shared" si="65"/>
        <v>1</v>
      </c>
      <c r="U520" t="b" cm="1">
        <f t="array" aca="1" ref="U520" ca="1">AND(T520,OR(O520-N520&gt;1,P520&gt;1,ISERROR(A520:P520)))</f>
        <v>0</v>
      </c>
      <c r="W520" t="e">
        <f>MATCH(K520&amp;$W$2,Taostats_CSV!$X$3:$X$1167,0)</f>
        <v>#N/A</v>
      </c>
      <c r="X520" t="e">
        <f t="shared" ca="1" si="60"/>
        <v>#VALUE!</v>
      </c>
      <c r="Y520">
        <f t="shared" ca="1" si="61"/>
        <v>0.47459313600000003</v>
      </c>
      <c r="Z520" t="e">
        <f t="shared" ca="1" si="62"/>
        <v>#VALUE!</v>
      </c>
    </row>
    <row r="521" spans="1:26" x14ac:dyDescent="0.4">
      <c r="A521" t="str">
        <f>MID(Taostats_CSV!C521,6,2)&amp;"/"&amp;MID(Taostats_CSV!C521,9,2)&amp;"/"&amp;LEFT(Taostats_CSV!C521,4)&amp;" "&amp;MID(Taostats_CSV!C521,12,8)</f>
        <v>06/24/2025 23:59:48</v>
      </c>
      <c r="C521" t="str">
        <f ca="1">IF(Q521,OFFSET(Taostats_CSV!$E$1,MATCH(K521&amp;D$1,Taostats_CSV!$X:$X,0)-1,0),IF(Taostats_CSV!F521="fee",IF(VALUE(Taostats_CSV!G521)&gt;0,Taostats_CSV!E521,""),""))</f>
        <v/>
      </c>
      <c r="D521" t="str">
        <f ca="1">IF(Q521,OFFSET(Taostats_CSV!$G$1,MATCH(K521&amp;D$1,Taostats_CSV!$X:$X,0)-1,0),IF(Taostats_CSV!F521="fee",IF(VALUE(Taostats_CSV!G521)&gt;0,Taostats_CSV!G521,""),""))</f>
        <v/>
      </c>
      <c r="E521" t="str">
        <f ca="1">IF(AND(Q521,P521&gt;0),OFFSET(Taostats_CSV!$E$1,MATCH(K521&amp;F$1,Taostats_CSV!$X:$X,0)-1,0),IF(LEN(F521)&gt;0,Taostats_CSV!E521,""))</f>
        <v>SN56</v>
      </c>
      <c r="F521" t="str">
        <f ca="1">TRIM(IF(AND(Q521,P521&gt;0),OFFSET(Taostats_CSV!$H$1,MATCH(K521&amp;F$1,Taostats_CSV!$X:$X,0)-1,0),IF(LEN(Taostats_CSV!H521)&gt;0,Taostats_CSV!H521,Taostats_CSV!R521)))</f>
        <v>0.247861122</v>
      </c>
      <c r="G521" t="str">
        <f ca="1">IF(AND(Q521,N521=1),OFFSET(Taostats_CSV!$E$1,MATCH(K521&amp;H$1,Taostats_CSV!$X:$X,0)-1,0),"")</f>
        <v/>
      </c>
      <c r="H521" t="str">
        <f ca="1">IF(AND(Q521,N521=1),OFFSET(Taostats_CSV!$G$1,MATCH(K521&amp;H$1,Taostats_CSV!$X:$X,0)-1,0),"")</f>
        <v/>
      </c>
      <c r="I521" t="str">
        <f ca="1">IF(AND(LEN(K521)=0,LEN(F521)&gt;0),"Income",IF(AND(O521&gt;0,P521&gt;0,C521&lt;&gt;E521),"Trade",IF(AND(NOT(Q521),Taostats_CSV!F521="fee"),'READ ME'!$C$5,"")))</f>
        <v>Income</v>
      </c>
      <c r="J521" t="str">
        <f ca="1">SUBSTITUTE(IF(LEN(I521)=0,Taostats_CSV!F521&amp;" "&amp;Taostats_CSV!J521,IF(I521="Cost","Extrinsic fee","")),"_"," ")</f>
        <v/>
      </c>
      <c r="K521" t="str">
        <f>TRIM(IF(LEN(Taostats_CSV!I521)&gt;0,Taostats_CSV!I521,""))</f>
        <v/>
      </c>
      <c r="L521">
        <f ca="1">IF(Taostats_CSV!E521&lt;&gt;"TAO",IF(LEN(F521)&gt;0,F521,IF(LEN(D521)&gt;0,D521,0))*Taostats_CSV!P521,"")</f>
        <v>6.2721210000848453</v>
      </c>
      <c r="M521" t="str">
        <f t="shared" ca="1" si="63"/>
        <v>USD</v>
      </c>
      <c r="N521">
        <f>COUNTIF(Taostats_CSV!$X:$X,Taostats_CSV!$I521&amp;N$1)</f>
        <v>0</v>
      </c>
      <c r="O521">
        <f>COUNTIF(Taostats_CSV!$X:$X,Taostats_CSV!$I521&amp;O$1)</f>
        <v>0</v>
      </c>
      <c r="P521">
        <f>COUNTIF(Taostats_CSV!$X:$X,Taostats_CSV!$I521&amp;P$1)</f>
        <v>0</v>
      </c>
      <c r="Q521" t="b">
        <f t="shared" si="64"/>
        <v>0</v>
      </c>
      <c r="R521" t="b">
        <f>IF(LEN(K521)&gt;0,COUNTIF($K$3:K521,K521),FALSE)</f>
        <v>0</v>
      </c>
      <c r="S521" t="b">
        <f>IF(Taostats_CSV!A521=Taostats_CSV!$A$2,TRUE,Taostats_CSV!G521+Taostats_CSV!H521+Taostats_CSV!R521=0)</f>
        <v>0</v>
      </c>
      <c r="T521" t="b">
        <f t="shared" si="65"/>
        <v>1</v>
      </c>
      <c r="U521" t="b" cm="1">
        <f t="array" aca="1" ref="U521" ca="1">AND(T521,OR(O521-N521&gt;1,P521&gt;1,ISERROR(A521:P521)))</f>
        <v>0</v>
      </c>
      <c r="W521" t="e">
        <f>MATCH(K521&amp;$W$2,Taostats_CSV!$X$3:$X$1167,0)</f>
        <v>#N/A</v>
      </c>
      <c r="X521" t="e">
        <f t="shared" ca="1" si="60"/>
        <v>#VALUE!</v>
      </c>
      <c r="Y521">
        <f t="shared" ca="1" si="61"/>
        <v>0.24786112199999999</v>
      </c>
      <c r="Z521" t="e">
        <f t="shared" ca="1" si="62"/>
        <v>#VALUE!</v>
      </c>
    </row>
    <row r="522" spans="1:26" x14ac:dyDescent="0.4">
      <c r="A522" t="str">
        <f>MID(Taostats_CSV!C522,6,2)&amp;"/"&amp;MID(Taostats_CSV!C522,9,2)&amp;"/"&amp;LEFT(Taostats_CSV!C522,4)&amp;" "&amp;MID(Taostats_CSV!C522,12,8)</f>
        <v>06/24/2025 23:59:48</v>
      </c>
      <c r="C522" t="str">
        <f ca="1">IF(Q522,OFFSET(Taostats_CSV!$E$1,MATCH(K522&amp;D$1,Taostats_CSV!$X:$X,0)-1,0),IF(Taostats_CSV!F522="fee",IF(VALUE(Taostats_CSV!G522)&gt;0,Taostats_CSV!E522,""),""))</f>
        <v/>
      </c>
      <c r="D522" t="str">
        <f ca="1">IF(Q522,OFFSET(Taostats_CSV!$G$1,MATCH(K522&amp;D$1,Taostats_CSV!$X:$X,0)-1,0),IF(Taostats_CSV!F522="fee",IF(VALUE(Taostats_CSV!G522)&gt;0,Taostats_CSV!G522,""),""))</f>
        <v/>
      </c>
      <c r="E522" t="str">
        <f ca="1">IF(AND(Q522,P522&gt;0),OFFSET(Taostats_CSV!$E$1,MATCH(K522&amp;F$1,Taostats_CSV!$X:$X,0)-1,0),IF(LEN(F522)&gt;0,Taostats_CSV!E522,""))</f>
        <v>SN64</v>
      </c>
      <c r="F522" t="str">
        <f ca="1">TRIM(IF(AND(Q522,P522&gt;0),OFFSET(Taostats_CSV!$H$1,MATCH(K522&amp;F$1,Taostats_CSV!$X:$X,0)-1,0),IF(LEN(Taostats_CSV!H522)&gt;0,Taostats_CSV!H522,Taostats_CSV!R522)))</f>
        <v>0.135561531</v>
      </c>
      <c r="G522" t="str">
        <f ca="1">IF(AND(Q522,N522=1),OFFSET(Taostats_CSV!$E$1,MATCH(K522&amp;H$1,Taostats_CSV!$X:$X,0)-1,0),"")</f>
        <v/>
      </c>
      <c r="H522" t="str">
        <f ca="1">IF(AND(Q522,N522=1),OFFSET(Taostats_CSV!$G$1,MATCH(K522&amp;H$1,Taostats_CSV!$X:$X,0)-1,0),"")</f>
        <v/>
      </c>
      <c r="I522" t="str">
        <f ca="1">IF(AND(LEN(K522)=0,LEN(F522)&gt;0),"Income",IF(AND(O522&gt;0,P522&gt;0,C522&lt;&gt;E522),"Trade",IF(AND(NOT(Q522),Taostats_CSV!F522="fee"),'READ ME'!$C$5,"")))</f>
        <v>Income</v>
      </c>
      <c r="J522" t="str">
        <f ca="1">SUBSTITUTE(IF(LEN(I522)=0,Taostats_CSV!F522&amp;" "&amp;Taostats_CSV!J522,IF(I522="Cost","Extrinsic fee","")),"_"," ")</f>
        <v/>
      </c>
      <c r="K522" t="str">
        <f>TRIM(IF(LEN(Taostats_CSV!I522)&gt;0,Taostats_CSV!I522,""))</f>
        <v/>
      </c>
      <c r="L522">
        <f ca="1">IF(Taostats_CSV!E522&lt;&gt;"TAO",IF(LEN(F522)&gt;0,F522,IF(LEN(D522)&gt;0,D522,0))*Taostats_CSV!P522,"")</f>
        <v>8.5824248761892008</v>
      </c>
      <c r="M522" t="str">
        <f t="shared" ca="1" si="63"/>
        <v>USD</v>
      </c>
      <c r="N522">
        <f>COUNTIF(Taostats_CSV!$X:$X,Taostats_CSV!$I522&amp;N$1)</f>
        <v>0</v>
      </c>
      <c r="O522">
        <f>COUNTIF(Taostats_CSV!$X:$X,Taostats_CSV!$I522&amp;O$1)</f>
        <v>0</v>
      </c>
      <c r="P522">
        <f>COUNTIF(Taostats_CSV!$X:$X,Taostats_CSV!$I522&amp;P$1)</f>
        <v>0</v>
      </c>
      <c r="Q522" t="b">
        <f t="shared" si="64"/>
        <v>0</v>
      </c>
      <c r="R522" t="b">
        <f>IF(LEN(K522)&gt;0,COUNTIF($K$3:K522,K522),FALSE)</f>
        <v>0</v>
      </c>
      <c r="S522" t="b">
        <f>IF(Taostats_CSV!A522=Taostats_CSV!$A$2,TRUE,Taostats_CSV!G522+Taostats_CSV!H522+Taostats_CSV!R522=0)</f>
        <v>0</v>
      </c>
      <c r="T522" t="b">
        <f t="shared" si="65"/>
        <v>1</v>
      </c>
      <c r="U522" t="b" cm="1">
        <f t="array" aca="1" ref="U522" ca="1">AND(T522,OR(O522-N522&gt;1,P522&gt;1,ISERROR(A522:P522)))</f>
        <v>0</v>
      </c>
      <c r="W522" t="e">
        <f>MATCH(K522&amp;$W$2,Taostats_CSV!$X$3:$X$1167,0)</f>
        <v>#N/A</v>
      </c>
      <c r="X522" t="e">
        <f t="shared" ca="1" si="60"/>
        <v>#VALUE!</v>
      </c>
      <c r="Y522">
        <f t="shared" ca="1" si="61"/>
        <v>0.13556153100000001</v>
      </c>
      <c r="Z522" t="e">
        <f t="shared" ca="1" si="62"/>
        <v>#VALUE!</v>
      </c>
    </row>
    <row r="523" spans="1:26" hidden="1" x14ac:dyDescent="0.4">
      <c r="A523" t="str">
        <f>MID(Taostats_CSV!C523,6,2)&amp;"/"&amp;MID(Taostats_CSV!C523,9,2)&amp;"/"&amp;LEFT(Taostats_CSV!C523,4)&amp;" "&amp;MID(Taostats_CSV!C523,12,8)</f>
        <v>06/24/2025 23:59:48</v>
      </c>
      <c r="C523" t="str">
        <f ca="1">IF(Q523,OFFSET(Taostats_CSV!$E$1,MATCH(K523&amp;D$1,Taostats_CSV!$X:$X,0)-1,0),IF(Taostats_CSV!F523="fee","",IF(VALUE(Taostats_CSV!G523)&gt;0,Taostats_CSV!E523,"")))</f>
        <v/>
      </c>
      <c r="D523" t="str">
        <f ca="1">IF(Q523,OFFSET(Taostats_CSV!$G$1,MATCH(K523&amp;D$1,Taostats_CSV!$X:$X,0)-1,0),IF(Taostats_CSV!F523="fee","",IF(VALUE(Taostats_CSV!G523)&gt;0,Taostats_CSV!G523,"")))</f>
        <v/>
      </c>
      <c r="E523" t="str">
        <f ca="1">IF(AND(Q523,P523&gt;0),OFFSET(Taostats_CSV!$E$1,MATCH(K523&amp;F$1,Taostats_CSV!$X:$X,0)-1,0),IF(LEN(F523)&gt;0,Taostats_CSV!E523,""))</f>
        <v>TAO</v>
      </c>
      <c r="F523" t="str">
        <f ca="1">TRIM(IF(AND(Q523,P523&gt;0),OFFSET(Taostats_CSV!$H$1,MATCH(K523&amp;F$1,Taostats_CSV!$X:$X,0)-1,0),IF(LEN(Taostats_CSV!H523)&gt;0,Taostats_CSV!H523,Taostats_CSV!R523)))</f>
        <v>0</v>
      </c>
      <c r="G523" t="str">
        <f ca="1">IF(AND(Q523,N523=1),OFFSET(Taostats_CSV!$E$1,MATCH(K523&amp;H$1,Taostats_CSV!$X:$X,0)-1,0),IF(Taostats_CSV!F523="fee",Taostats_CSV!E523,""))</f>
        <v/>
      </c>
      <c r="H523" t="str">
        <f ca="1">IF(AND(Q523,N523=1),OFFSET(Taostats_CSV!$G$1,MATCH(K523&amp;H$1,Taostats_CSV!$X:$X,0)-1,0),IF(Taostats_CSV!F523="fee",Taostats_CSV!G523,""))</f>
        <v/>
      </c>
      <c r="I523" t="str">
        <f ca="1">IF(AND(LEN(K523)=0,LEN(F523)&gt;0),"Income",IF(AND(O523&gt;0,P523&gt;0,C523&lt;&gt;E523),"Trade",IF(AND(NOT(Q523),Taostats_CSV!F523="fee"),'READ ME'!$C$5,"")))</f>
        <v>Income</v>
      </c>
      <c r="J523" t="str">
        <f ca="1">SUBSTITUTE(IF(LEN(I523)=0,Taostats_CSV!F523&amp;" "&amp;Taostats_CSV!J523,IF(I523="Cost","Extrinsic fee","")),"_"," ")</f>
        <v/>
      </c>
      <c r="K523" t="str">
        <f>TRIM(IF(LEN(Taostats_CSV!I523)&gt;0,Taostats_CSV!I523,""))</f>
        <v/>
      </c>
      <c r="L523" t="str">
        <f>IF(Taostats_CSV!E523&lt;&gt;"TAO",IF(LEN(F523)&gt;0,F523,IF(LEN(D523)&gt;0,D523,0))*Taostats_CSV!P523,"")</f>
        <v/>
      </c>
      <c r="M523" t="str">
        <f t="shared" si="63"/>
        <v/>
      </c>
      <c r="N523">
        <f>COUNTIF(Taostats_CSV!$X:$X,Taostats_CSV!$I523&amp;N$1)</f>
        <v>0</v>
      </c>
      <c r="O523">
        <f>COUNTIF(Taostats_CSV!$X:$X,Taostats_CSV!$I523&amp;O$1)</f>
        <v>0</v>
      </c>
      <c r="P523">
        <f>COUNTIF(Taostats_CSV!$X:$X,Taostats_CSV!$I523&amp;P$1)</f>
        <v>0</v>
      </c>
      <c r="Q523" t="b">
        <f t="shared" si="64"/>
        <v>0</v>
      </c>
      <c r="R523" t="b">
        <f>IF(LEN(K523)&gt;0,COUNTIF($K$3:K523,K523),FALSE)</f>
        <v>0</v>
      </c>
      <c r="S523" t="b">
        <f>IF(Taostats_CSV!A523=Taostats_CSV!$A$2,TRUE,Taostats_CSV!G523+Taostats_CSV!H523+Taostats_CSV!R523=0)</f>
        <v>1</v>
      </c>
      <c r="T523" t="b">
        <f t="shared" si="65"/>
        <v>0</v>
      </c>
      <c r="U523" t="b" cm="1">
        <f t="array" aca="1" ref="U523" ca="1">AND(T523,OR(O523-N523&gt;1,P523&gt;1,ISERROR(A523:P523)))</f>
        <v>0</v>
      </c>
      <c r="W523" t="e">
        <f>MATCH(K523&amp;$W$2,Taostats_CSV!$X$3:$X$1167,0)</f>
        <v>#N/A</v>
      </c>
      <c r="X523" t="e">
        <f t="shared" ca="1" si="60"/>
        <v>#VALUE!</v>
      </c>
      <c r="Y523">
        <f t="shared" ca="1" si="61"/>
        <v>0</v>
      </c>
      <c r="Z523" t="e">
        <f t="shared" ca="1" si="62"/>
        <v>#VALUE!</v>
      </c>
    </row>
    <row r="524" spans="1:26" x14ac:dyDescent="0.4">
      <c r="A524" t="str">
        <f>MID(Taostats_CSV!C524,6,2)&amp;"/"&amp;MID(Taostats_CSV!C524,9,2)&amp;"/"&amp;LEFT(Taostats_CSV!C524,4)&amp;" "&amp;MID(Taostats_CSV!C524,12,8)</f>
        <v>06/25/2025 23:59:48</v>
      </c>
      <c r="C524" t="str">
        <f ca="1">IF(Q524,OFFSET(Taostats_CSV!$E$1,MATCH(K524&amp;D$1,Taostats_CSV!$X:$X,0)-1,0),IF(Taostats_CSV!F524="fee",IF(VALUE(Taostats_CSV!G524)&gt;0,Taostats_CSV!E524,""),""))</f>
        <v/>
      </c>
      <c r="D524" t="str">
        <f ca="1">IF(Q524,OFFSET(Taostats_CSV!$G$1,MATCH(K524&amp;D$1,Taostats_CSV!$X:$X,0)-1,0),IF(Taostats_CSV!F524="fee",IF(VALUE(Taostats_CSV!G524)&gt;0,Taostats_CSV!G524,""),""))</f>
        <v/>
      </c>
      <c r="E524" t="str">
        <f ca="1">IF(AND(Q524,P524&gt;0),OFFSET(Taostats_CSV!$E$1,MATCH(K524&amp;F$1,Taostats_CSV!$X:$X,0)-1,0),IF(LEN(F524)&gt;0,Taostats_CSV!E524,""))</f>
        <v>SN3</v>
      </c>
      <c r="F524" t="str">
        <f ca="1">TRIM(IF(AND(Q524,P524&gt;0),OFFSET(Taostats_CSV!$H$1,MATCH(K524&amp;F$1,Taostats_CSV!$X:$X,0)-1,0),IF(LEN(Taostats_CSV!H524)&gt;0,Taostats_CSV!H524,Taostats_CSV!R524)))</f>
        <v>0.402050828</v>
      </c>
      <c r="G524" t="str">
        <f ca="1">IF(AND(Q524,N524=1),OFFSET(Taostats_CSV!$E$1,MATCH(K524&amp;H$1,Taostats_CSV!$X:$X,0)-1,0),"")</f>
        <v/>
      </c>
      <c r="H524" t="str">
        <f ca="1">IF(AND(Q524,N524=1),OFFSET(Taostats_CSV!$G$1,MATCH(K524&amp;H$1,Taostats_CSV!$X:$X,0)-1,0),"")</f>
        <v/>
      </c>
      <c r="I524" t="str">
        <f ca="1">IF(AND(LEN(K524)=0,LEN(F524)&gt;0),"Income",IF(AND(O524&gt;0,P524&gt;0,C524&lt;&gt;E524),"Trade",IF(AND(NOT(Q524),Taostats_CSV!F524="fee"),'READ ME'!$C$5,"")))</f>
        <v>Income</v>
      </c>
      <c r="J524" t="str">
        <f ca="1">SUBSTITUTE(IF(LEN(I524)=0,Taostats_CSV!F524&amp;" "&amp;Taostats_CSV!J524,IF(I524="Cost","Extrinsic fee","")),"_"," ")</f>
        <v/>
      </c>
      <c r="K524" t="str">
        <f>TRIM(IF(LEN(Taostats_CSV!I524)&gt;0,Taostats_CSV!I524,""))</f>
        <v/>
      </c>
      <c r="L524">
        <f ca="1">IF(Taostats_CSV!E524&lt;&gt;"TAO",IF(LEN(F524)&gt;0,F524,IF(LEN(D524)&gt;0,D524,0))*Taostats_CSV!P524,"")</f>
        <v>10.586264376255272</v>
      </c>
      <c r="M524" t="str">
        <f t="shared" ca="1" si="63"/>
        <v>USD</v>
      </c>
      <c r="N524">
        <f>COUNTIF(Taostats_CSV!$X:$X,Taostats_CSV!$I524&amp;N$1)</f>
        <v>0</v>
      </c>
      <c r="O524">
        <f>COUNTIF(Taostats_CSV!$X:$X,Taostats_CSV!$I524&amp;O$1)</f>
        <v>0</v>
      </c>
      <c r="P524">
        <f>COUNTIF(Taostats_CSV!$X:$X,Taostats_CSV!$I524&amp;P$1)</f>
        <v>0</v>
      </c>
      <c r="Q524" t="b">
        <f t="shared" si="64"/>
        <v>0</v>
      </c>
      <c r="R524" t="b">
        <f>IF(LEN(K524)&gt;0,COUNTIF($K$3:K524,K524),FALSE)</f>
        <v>0</v>
      </c>
      <c r="S524" t="b">
        <f>IF(Taostats_CSV!A524=Taostats_CSV!$A$2,TRUE,Taostats_CSV!G524+Taostats_CSV!H524+Taostats_CSV!R524=0)</f>
        <v>0</v>
      </c>
      <c r="T524" t="b">
        <f t="shared" si="65"/>
        <v>1</v>
      </c>
      <c r="U524" t="b" cm="1">
        <f t="array" aca="1" ref="U524" ca="1">AND(T524,OR(O524-N524&gt;1,P524&gt;1,ISERROR(A524:P524)))</f>
        <v>0</v>
      </c>
      <c r="W524" t="e">
        <f>MATCH(K524&amp;$W$2,Taostats_CSV!$X$3:$X$1167,0)</f>
        <v>#N/A</v>
      </c>
      <c r="X524" t="e">
        <f t="shared" ca="1" si="60"/>
        <v>#VALUE!</v>
      </c>
      <c r="Y524">
        <f t="shared" ca="1" si="61"/>
        <v>0.40205082800000003</v>
      </c>
      <c r="Z524" t="e">
        <f t="shared" ca="1" si="62"/>
        <v>#VALUE!</v>
      </c>
    </row>
    <row r="525" spans="1:26" x14ac:dyDescent="0.4">
      <c r="A525" t="str">
        <f>MID(Taostats_CSV!C525,6,2)&amp;"/"&amp;MID(Taostats_CSV!C525,9,2)&amp;"/"&amp;LEFT(Taostats_CSV!C525,4)&amp;" "&amp;MID(Taostats_CSV!C525,12,8)</f>
        <v>06/25/2025 23:59:48</v>
      </c>
      <c r="C525" t="str">
        <f ca="1">IF(Q525,OFFSET(Taostats_CSV!$E$1,MATCH(K525&amp;D$1,Taostats_CSV!$X:$X,0)-1,0),IF(Taostats_CSV!F525="fee",IF(VALUE(Taostats_CSV!G525)&gt;0,Taostats_CSV!E525,""),""))</f>
        <v/>
      </c>
      <c r="D525" t="str">
        <f ca="1">IF(Q525,OFFSET(Taostats_CSV!$G$1,MATCH(K525&amp;D$1,Taostats_CSV!$X:$X,0)-1,0),IF(Taostats_CSV!F525="fee",IF(VALUE(Taostats_CSV!G525)&gt;0,Taostats_CSV!G525,""),""))</f>
        <v/>
      </c>
      <c r="E525" t="str">
        <f ca="1">IF(AND(Q525,P525&gt;0),OFFSET(Taostats_CSV!$E$1,MATCH(K525&amp;F$1,Taostats_CSV!$X:$X,0)-1,0),IF(LEN(F525)&gt;0,Taostats_CSV!E525,""))</f>
        <v>SN4</v>
      </c>
      <c r="F525" t="str">
        <f ca="1">TRIM(IF(AND(Q525,P525&gt;0),OFFSET(Taostats_CSV!$H$1,MATCH(K525&amp;F$1,Taostats_CSV!$X:$X,0)-1,0),IF(LEN(Taostats_CSV!H525)&gt;0,Taostats_CSV!H525,Taostats_CSV!R525)))</f>
        <v>0.461327302</v>
      </c>
      <c r="G525" t="str">
        <f ca="1">IF(AND(Q525,N525=1),OFFSET(Taostats_CSV!$E$1,MATCH(K525&amp;H$1,Taostats_CSV!$X:$X,0)-1,0),"")</f>
        <v/>
      </c>
      <c r="H525" t="str">
        <f ca="1">IF(AND(Q525,N525=1),OFFSET(Taostats_CSV!$G$1,MATCH(K525&amp;H$1,Taostats_CSV!$X:$X,0)-1,0),"")</f>
        <v/>
      </c>
      <c r="I525" t="str">
        <f ca="1">IF(AND(LEN(K525)=0,LEN(F525)&gt;0),"Income",IF(AND(O525&gt;0,P525&gt;0,C525&lt;&gt;E525),"Trade",IF(AND(NOT(Q525),Taostats_CSV!F525="fee"),'READ ME'!$C$5,"")))</f>
        <v>Income</v>
      </c>
      <c r="J525" t="str">
        <f ca="1">SUBSTITUTE(IF(LEN(I525)=0,Taostats_CSV!F525&amp;" "&amp;Taostats_CSV!J525,IF(I525="Cost","Extrinsic fee","")),"_"," ")</f>
        <v/>
      </c>
      <c r="K525" t="str">
        <f>TRIM(IF(LEN(Taostats_CSV!I525)&gt;0,Taostats_CSV!I525,""))</f>
        <v/>
      </c>
      <c r="L525">
        <f ca="1">IF(Taostats_CSV!E525&lt;&gt;"TAO",IF(LEN(F525)&gt;0,F525,IF(LEN(D525)&gt;0,D525,0))*Taostats_CSV!P525,"")</f>
        <v>10.974958389991064</v>
      </c>
      <c r="M525" t="str">
        <f t="shared" ca="1" si="63"/>
        <v>USD</v>
      </c>
      <c r="N525">
        <f>COUNTIF(Taostats_CSV!$X:$X,Taostats_CSV!$I525&amp;N$1)</f>
        <v>0</v>
      </c>
      <c r="O525">
        <f>COUNTIF(Taostats_CSV!$X:$X,Taostats_CSV!$I525&amp;O$1)</f>
        <v>0</v>
      </c>
      <c r="P525">
        <f>COUNTIF(Taostats_CSV!$X:$X,Taostats_CSV!$I525&amp;P$1)</f>
        <v>0</v>
      </c>
      <c r="Q525" t="b">
        <f t="shared" si="64"/>
        <v>0</v>
      </c>
      <c r="R525" t="b">
        <f>IF(LEN(K525)&gt;0,COUNTIF($K$3:K525,K525),FALSE)</f>
        <v>0</v>
      </c>
      <c r="S525" t="b">
        <f>IF(Taostats_CSV!A525=Taostats_CSV!$A$2,TRUE,Taostats_CSV!G525+Taostats_CSV!H525+Taostats_CSV!R525=0)</f>
        <v>0</v>
      </c>
      <c r="T525" t="b">
        <f t="shared" si="65"/>
        <v>1</v>
      </c>
      <c r="U525" t="b" cm="1">
        <f t="array" aca="1" ref="U525" ca="1">AND(T525,OR(O525-N525&gt;1,P525&gt;1,ISERROR(A525:P525)))</f>
        <v>0</v>
      </c>
      <c r="W525" t="e">
        <f>MATCH(K525&amp;$W$2,Taostats_CSV!$X$3:$X$1167,0)</f>
        <v>#N/A</v>
      </c>
      <c r="X525" t="e">
        <f t="shared" ca="1" si="60"/>
        <v>#VALUE!</v>
      </c>
      <c r="Y525">
        <f t="shared" ca="1" si="61"/>
        <v>0.46132730199999999</v>
      </c>
      <c r="Z525" t="e">
        <f t="shared" ca="1" si="62"/>
        <v>#VALUE!</v>
      </c>
    </row>
    <row r="526" spans="1:26" x14ac:dyDescent="0.4">
      <c r="A526" t="str">
        <f>MID(Taostats_CSV!C526,6,2)&amp;"/"&amp;MID(Taostats_CSV!C526,9,2)&amp;"/"&amp;LEFT(Taostats_CSV!C526,4)&amp;" "&amp;MID(Taostats_CSV!C526,12,8)</f>
        <v>06/25/2025 23:59:48</v>
      </c>
      <c r="C526" t="str">
        <f ca="1">IF(Q526,OFFSET(Taostats_CSV!$E$1,MATCH(K526&amp;D$1,Taostats_CSV!$X:$X,0)-1,0),IF(Taostats_CSV!F526="fee",IF(VALUE(Taostats_CSV!G526)&gt;0,Taostats_CSV!E526,""),""))</f>
        <v/>
      </c>
      <c r="D526" t="str">
        <f ca="1">IF(Q526,OFFSET(Taostats_CSV!$G$1,MATCH(K526&amp;D$1,Taostats_CSV!$X:$X,0)-1,0),IF(Taostats_CSV!F526="fee",IF(VALUE(Taostats_CSV!G526)&gt;0,Taostats_CSV!G526,""),""))</f>
        <v/>
      </c>
      <c r="E526" t="str">
        <f ca="1">IF(AND(Q526,P526&gt;0),OFFSET(Taostats_CSV!$E$1,MATCH(K526&amp;F$1,Taostats_CSV!$X:$X,0)-1,0),IF(LEN(F526)&gt;0,Taostats_CSV!E526,""))</f>
        <v>SN56</v>
      </c>
      <c r="F526" t="str">
        <f ca="1">TRIM(IF(AND(Q526,P526&gt;0),OFFSET(Taostats_CSV!$H$1,MATCH(K526&amp;F$1,Taostats_CSV!$X:$X,0)-1,0),IF(LEN(Taostats_CSV!H526)&gt;0,Taostats_CSV!H526,Taostats_CSV!R526)))</f>
        <v>0.248121815</v>
      </c>
      <c r="G526" t="str">
        <f ca="1">IF(AND(Q526,N526=1),OFFSET(Taostats_CSV!$E$1,MATCH(K526&amp;H$1,Taostats_CSV!$X:$X,0)-1,0),"")</f>
        <v/>
      </c>
      <c r="H526" t="str">
        <f ca="1">IF(AND(Q526,N526=1),OFFSET(Taostats_CSV!$G$1,MATCH(K526&amp;H$1,Taostats_CSV!$X:$X,0)-1,0),"")</f>
        <v/>
      </c>
      <c r="I526" t="str">
        <f ca="1">IF(AND(LEN(K526)=0,LEN(F526)&gt;0),"Income",IF(AND(O526&gt;0,P526&gt;0,C526&lt;&gt;E526),"Trade",IF(AND(NOT(Q526),Taostats_CSV!F526="fee"),'READ ME'!$C$5,"")))</f>
        <v>Income</v>
      </c>
      <c r="J526" t="str">
        <f ca="1">SUBSTITUTE(IF(LEN(I526)=0,Taostats_CSV!F526&amp;" "&amp;Taostats_CSV!J526,IF(I526="Cost","Extrinsic fee","")),"_"," ")</f>
        <v/>
      </c>
      <c r="K526" t="str">
        <f>TRIM(IF(LEN(Taostats_CSV!I526)&gt;0,Taostats_CSV!I526,""))</f>
        <v/>
      </c>
      <c r="L526">
        <f ca="1">IF(Taostats_CSV!E526&lt;&gt;"TAO",IF(LEN(F526)&gt;0,F526,IF(LEN(D526)&gt;0,D526,0))*Taostats_CSV!P526,"")</f>
        <v>5.5647991045555862</v>
      </c>
      <c r="M526" t="str">
        <f t="shared" ca="1" si="63"/>
        <v>USD</v>
      </c>
      <c r="N526">
        <f>COUNTIF(Taostats_CSV!$X:$X,Taostats_CSV!$I526&amp;N$1)</f>
        <v>0</v>
      </c>
      <c r="O526">
        <f>COUNTIF(Taostats_CSV!$X:$X,Taostats_CSV!$I526&amp;O$1)</f>
        <v>0</v>
      </c>
      <c r="P526">
        <f>COUNTIF(Taostats_CSV!$X:$X,Taostats_CSV!$I526&amp;P$1)</f>
        <v>0</v>
      </c>
      <c r="Q526" t="b">
        <f t="shared" si="64"/>
        <v>0</v>
      </c>
      <c r="R526" t="b">
        <f>IF(LEN(K526)&gt;0,COUNTIF($K$3:K526,K526),FALSE)</f>
        <v>0</v>
      </c>
      <c r="S526" t="b">
        <f>IF(Taostats_CSV!A526=Taostats_CSV!$A$2,TRUE,Taostats_CSV!G526+Taostats_CSV!H526+Taostats_CSV!R526=0)</f>
        <v>0</v>
      </c>
      <c r="T526" t="b">
        <f t="shared" si="65"/>
        <v>1</v>
      </c>
      <c r="U526" t="b" cm="1">
        <f t="array" aca="1" ref="U526" ca="1">AND(T526,OR(O526-N526&gt;1,P526&gt;1,ISERROR(A526:P526)))</f>
        <v>0</v>
      </c>
      <c r="W526" t="e">
        <f>MATCH(K526&amp;$W$2,Taostats_CSV!$X$3:$X$1167,0)</f>
        <v>#N/A</v>
      </c>
      <c r="X526" t="e">
        <f t="shared" ca="1" si="60"/>
        <v>#VALUE!</v>
      </c>
      <c r="Y526">
        <f t="shared" ca="1" si="61"/>
        <v>0.248121815</v>
      </c>
      <c r="Z526" t="e">
        <f t="shared" ca="1" si="62"/>
        <v>#VALUE!</v>
      </c>
    </row>
    <row r="527" spans="1:26" x14ac:dyDescent="0.4">
      <c r="A527" t="str">
        <f>MID(Taostats_CSV!C527,6,2)&amp;"/"&amp;MID(Taostats_CSV!C527,9,2)&amp;"/"&amp;LEFT(Taostats_CSV!C527,4)&amp;" "&amp;MID(Taostats_CSV!C527,12,8)</f>
        <v>06/25/2025 23:59:48</v>
      </c>
      <c r="C527" t="str">
        <f ca="1">IF(Q527,OFFSET(Taostats_CSV!$E$1,MATCH(K527&amp;D$1,Taostats_CSV!$X:$X,0)-1,0),IF(Taostats_CSV!F527="fee",IF(VALUE(Taostats_CSV!G527)&gt;0,Taostats_CSV!E527,""),""))</f>
        <v/>
      </c>
      <c r="D527" t="str">
        <f ca="1">IF(Q527,OFFSET(Taostats_CSV!$G$1,MATCH(K527&amp;D$1,Taostats_CSV!$X:$X,0)-1,0),IF(Taostats_CSV!F527="fee",IF(VALUE(Taostats_CSV!G527)&gt;0,Taostats_CSV!G527,""),""))</f>
        <v/>
      </c>
      <c r="E527" t="str">
        <f ca="1">IF(AND(Q527,P527&gt;0),OFFSET(Taostats_CSV!$E$1,MATCH(K527&amp;F$1,Taostats_CSV!$X:$X,0)-1,0),IF(LEN(F527)&gt;0,Taostats_CSV!E527,""))</f>
        <v>SN64</v>
      </c>
      <c r="F527" t="str">
        <f ca="1">TRIM(IF(AND(Q527,P527&gt;0),OFFSET(Taostats_CSV!$H$1,MATCH(K527&amp;F$1,Taostats_CSV!$X:$X,0)-1,0),IF(LEN(Taostats_CSV!H527)&gt;0,Taostats_CSV!H527,Taostats_CSV!R527)))</f>
        <v>0.143320623</v>
      </c>
      <c r="G527" t="str">
        <f ca="1">IF(AND(Q527,N527=1),OFFSET(Taostats_CSV!$E$1,MATCH(K527&amp;H$1,Taostats_CSV!$X:$X,0)-1,0),"")</f>
        <v/>
      </c>
      <c r="H527" t="str">
        <f ca="1">IF(AND(Q527,N527=1),OFFSET(Taostats_CSV!$G$1,MATCH(K527&amp;H$1,Taostats_CSV!$X:$X,0)-1,0),"")</f>
        <v/>
      </c>
      <c r="I527" t="str">
        <f ca="1">IF(AND(LEN(K527)=0,LEN(F527)&gt;0),"Income",IF(AND(O527&gt;0,P527&gt;0,C527&lt;&gt;E527),"Trade",IF(AND(NOT(Q527),Taostats_CSV!F527="fee"),'READ ME'!$C$5,"")))</f>
        <v>Income</v>
      </c>
      <c r="J527" t="str">
        <f ca="1">SUBSTITUTE(IF(LEN(I527)=0,Taostats_CSV!F527&amp;" "&amp;Taostats_CSV!J527,IF(I527="Cost","Extrinsic fee","")),"_"," ")</f>
        <v/>
      </c>
      <c r="K527" t="str">
        <f>TRIM(IF(LEN(Taostats_CSV!I527)&gt;0,Taostats_CSV!I527,""))</f>
        <v/>
      </c>
      <c r="L527">
        <f ca="1">IF(Taostats_CSV!E527&lt;&gt;"TAO",IF(LEN(F527)&gt;0,F527,IF(LEN(D527)&gt;0,D527,0))*Taostats_CSV!P527,"")</f>
        <v>8.4390925559163996</v>
      </c>
      <c r="M527" t="str">
        <f t="shared" ca="1" si="63"/>
        <v>USD</v>
      </c>
      <c r="N527">
        <f>COUNTIF(Taostats_CSV!$X:$X,Taostats_CSV!$I527&amp;N$1)</f>
        <v>0</v>
      </c>
      <c r="O527">
        <f>COUNTIF(Taostats_CSV!$X:$X,Taostats_CSV!$I527&amp;O$1)</f>
        <v>0</v>
      </c>
      <c r="P527">
        <f>COUNTIF(Taostats_CSV!$X:$X,Taostats_CSV!$I527&amp;P$1)</f>
        <v>0</v>
      </c>
      <c r="Q527" t="b">
        <f t="shared" si="64"/>
        <v>0</v>
      </c>
      <c r="R527" t="b">
        <f>IF(LEN(K527)&gt;0,COUNTIF($K$3:K527,K527),FALSE)</f>
        <v>0</v>
      </c>
      <c r="S527" t="b">
        <f>IF(Taostats_CSV!A527=Taostats_CSV!$A$2,TRUE,Taostats_CSV!G527+Taostats_CSV!H527+Taostats_CSV!R527=0)</f>
        <v>0</v>
      </c>
      <c r="T527" t="b">
        <f t="shared" si="65"/>
        <v>1</v>
      </c>
      <c r="U527" t="b" cm="1">
        <f t="array" aca="1" ref="U527" ca="1">AND(T527,OR(O527-N527&gt;1,P527&gt;1,ISERROR(A527:P527)))</f>
        <v>0</v>
      </c>
      <c r="W527" t="e">
        <f>MATCH(K527&amp;$W$2,Taostats_CSV!$X$3:$X$1167,0)</f>
        <v>#N/A</v>
      </c>
      <c r="X527" t="e">
        <f t="shared" ca="1" si="60"/>
        <v>#VALUE!</v>
      </c>
      <c r="Y527">
        <f t="shared" ca="1" si="61"/>
        <v>0.14332062300000001</v>
      </c>
      <c r="Z527" t="e">
        <f t="shared" ca="1" si="62"/>
        <v>#VALUE!</v>
      </c>
    </row>
    <row r="528" spans="1:26" hidden="1" x14ac:dyDescent="0.4">
      <c r="A528" t="str">
        <f>MID(Taostats_CSV!C528,6,2)&amp;"/"&amp;MID(Taostats_CSV!C528,9,2)&amp;"/"&amp;LEFT(Taostats_CSV!C528,4)&amp;" "&amp;MID(Taostats_CSV!C528,12,8)</f>
        <v>06/25/2025 23:59:48</v>
      </c>
      <c r="C528" t="str">
        <f ca="1">IF(Q528,OFFSET(Taostats_CSV!$E$1,MATCH(K528&amp;D$1,Taostats_CSV!$X:$X,0)-1,0),IF(Taostats_CSV!F528="fee","",IF(VALUE(Taostats_CSV!G528)&gt;0,Taostats_CSV!E528,"")))</f>
        <v/>
      </c>
      <c r="D528" t="str">
        <f ca="1">IF(Q528,OFFSET(Taostats_CSV!$G$1,MATCH(K528&amp;D$1,Taostats_CSV!$X:$X,0)-1,0),IF(Taostats_CSV!F528="fee","",IF(VALUE(Taostats_CSV!G528)&gt;0,Taostats_CSV!G528,"")))</f>
        <v/>
      </c>
      <c r="E528" t="str">
        <f ca="1">IF(AND(Q528,P528&gt;0),OFFSET(Taostats_CSV!$E$1,MATCH(K528&amp;F$1,Taostats_CSV!$X:$X,0)-1,0),IF(LEN(F528)&gt;0,Taostats_CSV!E528,""))</f>
        <v>TAO</v>
      </c>
      <c r="F528" t="str">
        <f ca="1">TRIM(IF(AND(Q528,P528&gt;0),OFFSET(Taostats_CSV!$H$1,MATCH(K528&amp;F$1,Taostats_CSV!$X:$X,0)-1,0),IF(LEN(Taostats_CSV!H528)&gt;0,Taostats_CSV!H528,Taostats_CSV!R528)))</f>
        <v>0</v>
      </c>
      <c r="G528" t="str">
        <f ca="1">IF(AND(Q528,N528=1),OFFSET(Taostats_CSV!$E$1,MATCH(K528&amp;H$1,Taostats_CSV!$X:$X,0)-1,0),IF(Taostats_CSV!F528="fee",Taostats_CSV!E528,""))</f>
        <v/>
      </c>
      <c r="H528" t="str">
        <f ca="1">IF(AND(Q528,N528=1),OFFSET(Taostats_CSV!$G$1,MATCH(K528&amp;H$1,Taostats_CSV!$X:$X,0)-1,0),IF(Taostats_CSV!F528="fee",Taostats_CSV!G528,""))</f>
        <v/>
      </c>
      <c r="I528" t="str">
        <f ca="1">IF(AND(LEN(K528)=0,LEN(F528)&gt;0),"Income",IF(AND(O528&gt;0,P528&gt;0,C528&lt;&gt;E528),"Trade",IF(AND(NOT(Q528),Taostats_CSV!F528="fee"),'READ ME'!$C$5,"")))</f>
        <v>Income</v>
      </c>
      <c r="J528" t="str">
        <f ca="1">SUBSTITUTE(IF(LEN(I528)=0,Taostats_CSV!F528&amp;" "&amp;Taostats_CSV!J528,IF(I528="Cost","Extrinsic fee","")),"_"," ")</f>
        <v/>
      </c>
      <c r="K528" t="str">
        <f>TRIM(IF(LEN(Taostats_CSV!I528)&gt;0,Taostats_CSV!I528,""))</f>
        <v/>
      </c>
      <c r="L528" t="str">
        <f>IF(Taostats_CSV!E528&lt;&gt;"TAO",IF(LEN(F528)&gt;0,F528,IF(LEN(D528)&gt;0,D528,0))*Taostats_CSV!P528,"")</f>
        <v/>
      </c>
      <c r="M528" t="str">
        <f t="shared" si="63"/>
        <v/>
      </c>
      <c r="N528">
        <f>COUNTIF(Taostats_CSV!$X:$X,Taostats_CSV!$I528&amp;N$1)</f>
        <v>0</v>
      </c>
      <c r="O528">
        <f>COUNTIF(Taostats_CSV!$X:$X,Taostats_CSV!$I528&amp;O$1)</f>
        <v>0</v>
      </c>
      <c r="P528">
        <f>COUNTIF(Taostats_CSV!$X:$X,Taostats_CSV!$I528&amp;P$1)</f>
        <v>0</v>
      </c>
      <c r="Q528" t="b">
        <f t="shared" si="64"/>
        <v>0</v>
      </c>
      <c r="R528" t="b">
        <f>IF(LEN(K528)&gt;0,COUNTIF($K$3:K528,K528),FALSE)</f>
        <v>0</v>
      </c>
      <c r="S528" t="b">
        <f>IF(Taostats_CSV!A528=Taostats_CSV!$A$2,TRUE,Taostats_CSV!G528+Taostats_CSV!H528+Taostats_CSV!R528=0)</f>
        <v>1</v>
      </c>
      <c r="T528" t="b">
        <f t="shared" si="65"/>
        <v>0</v>
      </c>
      <c r="U528" t="b" cm="1">
        <f t="array" aca="1" ref="U528" ca="1">AND(T528,OR(O528-N528&gt;1,P528&gt;1,ISERROR(A528:P528)))</f>
        <v>0</v>
      </c>
      <c r="W528" t="e">
        <f>MATCH(K528&amp;$W$2,Taostats_CSV!$X$3:$X$1167,0)</f>
        <v>#N/A</v>
      </c>
      <c r="X528" t="e">
        <f t="shared" ca="1" si="60"/>
        <v>#VALUE!</v>
      </c>
      <c r="Y528">
        <f t="shared" ca="1" si="61"/>
        <v>0</v>
      </c>
      <c r="Z528" t="e">
        <f t="shared" ca="1" si="62"/>
        <v>#VALUE!</v>
      </c>
    </row>
    <row r="529" spans="1:26" x14ac:dyDescent="0.4">
      <c r="A529" t="str">
        <f>MID(Taostats_CSV!C529,6,2)&amp;"/"&amp;MID(Taostats_CSV!C529,9,2)&amp;"/"&amp;LEFT(Taostats_CSV!C529,4)&amp;" "&amp;MID(Taostats_CSV!C529,12,8)</f>
        <v>06/26/2025 23:59:48</v>
      </c>
      <c r="C529" t="str">
        <f ca="1">IF(Q529,OFFSET(Taostats_CSV!$E$1,MATCH(K529&amp;D$1,Taostats_CSV!$X:$X,0)-1,0),IF(Taostats_CSV!F529="fee",IF(VALUE(Taostats_CSV!G529)&gt;0,Taostats_CSV!E529,""),""))</f>
        <v/>
      </c>
      <c r="D529" t="str">
        <f ca="1">IF(Q529,OFFSET(Taostats_CSV!$G$1,MATCH(K529&amp;D$1,Taostats_CSV!$X:$X,0)-1,0),IF(Taostats_CSV!F529="fee",IF(VALUE(Taostats_CSV!G529)&gt;0,Taostats_CSV!G529,""),""))</f>
        <v/>
      </c>
      <c r="E529" t="str">
        <f ca="1">IF(AND(Q529,P529&gt;0),OFFSET(Taostats_CSV!$E$1,MATCH(K529&amp;F$1,Taostats_CSV!$X:$X,0)-1,0),IF(LEN(F529)&gt;0,Taostats_CSV!E529,""))</f>
        <v>SN3</v>
      </c>
      <c r="F529" t="str">
        <f ca="1">TRIM(IF(AND(Q529,P529&gt;0),OFFSET(Taostats_CSV!$H$1,MATCH(K529&amp;F$1,Taostats_CSV!$X:$X,0)-1,0),IF(LEN(Taostats_CSV!H529)&gt;0,Taostats_CSV!H529,Taostats_CSV!R529)))</f>
        <v>0.403386232</v>
      </c>
      <c r="G529" t="str">
        <f ca="1">IF(AND(Q529,N529=1),OFFSET(Taostats_CSV!$E$1,MATCH(K529&amp;H$1,Taostats_CSV!$X:$X,0)-1,0),"")</f>
        <v/>
      </c>
      <c r="H529" t="str">
        <f ca="1">IF(AND(Q529,N529=1),OFFSET(Taostats_CSV!$G$1,MATCH(K529&amp;H$1,Taostats_CSV!$X:$X,0)-1,0),"")</f>
        <v/>
      </c>
      <c r="I529" t="str">
        <f ca="1">IF(AND(LEN(K529)=0,LEN(F529)&gt;0),"Income",IF(AND(O529&gt;0,P529&gt;0,C529&lt;&gt;E529),"Trade",IF(AND(NOT(Q529),Taostats_CSV!F529="fee"),'READ ME'!$C$5,"")))</f>
        <v>Income</v>
      </c>
      <c r="J529" t="str">
        <f ca="1">SUBSTITUTE(IF(LEN(I529)=0,Taostats_CSV!F529&amp;" "&amp;Taostats_CSV!J529,IF(I529="Cost","Extrinsic fee","")),"_"," ")</f>
        <v/>
      </c>
      <c r="K529" t="str">
        <f>TRIM(IF(LEN(Taostats_CSV!I529)&gt;0,Taostats_CSV!I529,""))</f>
        <v/>
      </c>
      <c r="L529">
        <f ca="1">IF(Taostats_CSV!E529&lt;&gt;"TAO",IF(LEN(F529)&gt;0,F529,IF(LEN(D529)&gt;0,D529,0))*Taostats_CSV!P529,"")</f>
        <v>10.287063680041305</v>
      </c>
      <c r="M529" t="str">
        <f t="shared" ca="1" si="63"/>
        <v>USD</v>
      </c>
      <c r="N529">
        <f>COUNTIF(Taostats_CSV!$X:$X,Taostats_CSV!$I529&amp;N$1)</f>
        <v>0</v>
      </c>
      <c r="O529">
        <f>COUNTIF(Taostats_CSV!$X:$X,Taostats_CSV!$I529&amp;O$1)</f>
        <v>0</v>
      </c>
      <c r="P529">
        <f>COUNTIF(Taostats_CSV!$X:$X,Taostats_CSV!$I529&amp;P$1)</f>
        <v>0</v>
      </c>
      <c r="Q529" t="b">
        <f t="shared" si="64"/>
        <v>0</v>
      </c>
      <c r="R529" t="b">
        <f>IF(LEN(K529)&gt;0,COUNTIF($K$3:K529,K529),FALSE)</f>
        <v>0</v>
      </c>
      <c r="S529" t="b">
        <f>IF(Taostats_CSV!A529=Taostats_CSV!$A$2,TRUE,Taostats_CSV!G529+Taostats_CSV!H529+Taostats_CSV!R529=0)</f>
        <v>0</v>
      </c>
      <c r="T529" t="b">
        <f t="shared" si="65"/>
        <v>1</v>
      </c>
      <c r="U529" t="b" cm="1">
        <f t="array" aca="1" ref="U529" ca="1">AND(T529,OR(O529-N529&gt;1,P529&gt;1,ISERROR(A529:P529)))</f>
        <v>0</v>
      </c>
      <c r="W529" t="e">
        <f>MATCH(K529&amp;$W$2,Taostats_CSV!$X$3:$X$1167,0)</f>
        <v>#N/A</v>
      </c>
      <c r="X529" t="e">
        <f t="shared" ca="1" si="60"/>
        <v>#VALUE!</v>
      </c>
      <c r="Y529">
        <f t="shared" ca="1" si="61"/>
        <v>0.40338623200000001</v>
      </c>
      <c r="Z529" t="e">
        <f t="shared" ca="1" si="62"/>
        <v>#VALUE!</v>
      </c>
    </row>
    <row r="530" spans="1:26" x14ac:dyDescent="0.4">
      <c r="A530" t="str">
        <f>MID(Taostats_CSV!C530,6,2)&amp;"/"&amp;MID(Taostats_CSV!C530,9,2)&amp;"/"&amp;LEFT(Taostats_CSV!C530,4)&amp;" "&amp;MID(Taostats_CSV!C530,12,8)</f>
        <v>06/26/2025 23:59:48</v>
      </c>
      <c r="C530" t="str">
        <f ca="1">IF(Q530,OFFSET(Taostats_CSV!$E$1,MATCH(K530&amp;D$1,Taostats_CSV!$X:$X,0)-1,0),IF(Taostats_CSV!F530="fee",IF(VALUE(Taostats_CSV!G530)&gt;0,Taostats_CSV!E530,""),""))</f>
        <v/>
      </c>
      <c r="D530" t="str">
        <f ca="1">IF(Q530,OFFSET(Taostats_CSV!$G$1,MATCH(K530&amp;D$1,Taostats_CSV!$X:$X,0)-1,0),IF(Taostats_CSV!F530="fee",IF(VALUE(Taostats_CSV!G530)&gt;0,Taostats_CSV!G530,""),""))</f>
        <v/>
      </c>
      <c r="E530" t="str">
        <f ca="1">IF(AND(Q530,P530&gt;0),OFFSET(Taostats_CSV!$E$1,MATCH(K530&amp;F$1,Taostats_CSV!$X:$X,0)-1,0),IF(LEN(F530)&gt;0,Taostats_CSV!E530,""))</f>
        <v>SN4</v>
      </c>
      <c r="F530" t="str">
        <f ca="1">TRIM(IF(AND(Q530,P530&gt;0),OFFSET(Taostats_CSV!$H$1,MATCH(K530&amp;F$1,Taostats_CSV!$X:$X,0)-1,0),IF(LEN(Taostats_CSV!H530)&gt;0,Taostats_CSV!H530,Taostats_CSV!R530)))</f>
        <v>0.462235963</v>
      </c>
      <c r="G530" t="str">
        <f ca="1">IF(AND(Q530,N530=1),OFFSET(Taostats_CSV!$E$1,MATCH(K530&amp;H$1,Taostats_CSV!$X:$X,0)-1,0),"")</f>
        <v/>
      </c>
      <c r="H530" t="str">
        <f ca="1">IF(AND(Q530,N530=1),OFFSET(Taostats_CSV!$G$1,MATCH(K530&amp;H$1,Taostats_CSV!$X:$X,0)-1,0),"")</f>
        <v/>
      </c>
      <c r="I530" t="str">
        <f ca="1">IF(AND(LEN(K530)=0,LEN(F530)&gt;0),"Income",IF(AND(O530&gt;0,P530&gt;0,C530&lt;&gt;E530),"Trade",IF(AND(NOT(Q530),Taostats_CSV!F530="fee"),'READ ME'!$C$5,"")))</f>
        <v>Income</v>
      </c>
      <c r="J530" t="str">
        <f ca="1">SUBSTITUTE(IF(LEN(I530)=0,Taostats_CSV!F530&amp;" "&amp;Taostats_CSV!J530,IF(I530="Cost","Extrinsic fee","")),"_"," ")</f>
        <v/>
      </c>
      <c r="K530" t="str">
        <f>TRIM(IF(LEN(Taostats_CSV!I530)&gt;0,Taostats_CSV!I530,""))</f>
        <v/>
      </c>
      <c r="L530">
        <f ca="1">IF(Taostats_CSV!E530&lt;&gt;"TAO",IF(LEN(F530)&gt;0,F530,IF(LEN(D530)&gt;0,D530,0))*Taostats_CSV!P530,"")</f>
        <v>10.700340111205142</v>
      </c>
      <c r="M530" t="str">
        <f t="shared" ca="1" si="63"/>
        <v>USD</v>
      </c>
      <c r="N530">
        <f>COUNTIF(Taostats_CSV!$X:$X,Taostats_CSV!$I530&amp;N$1)</f>
        <v>0</v>
      </c>
      <c r="O530">
        <f>COUNTIF(Taostats_CSV!$X:$X,Taostats_CSV!$I530&amp;O$1)</f>
        <v>0</v>
      </c>
      <c r="P530">
        <f>COUNTIF(Taostats_CSV!$X:$X,Taostats_CSV!$I530&amp;P$1)</f>
        <v>0</v>
      </c>
      <c r="Q530" t="b">
        <f t="shared" si="64"/>
        <v>0</v>
      </c>
      <c r="R530" t="b">
        <f>IF(LEN(K530)&gt;0,COUNTIF($K$3:K530,K530),FALSE)</f>
        <v>0</v>
      </c>
      <c r="S530" t="b">
        <f>IF(Taostats_CSV!A530=Taostats_CSV!$A$2,TRUE,Taostats_CSV!G530+Taostats_CSV!H530+Taostats_CSV!R530=0)</f>
        <v>0</v>
      </c>
      <c r="T530" t="b">
        <f t="shared" si="65"/>
        <v>1</v>
      </c>
      <c r="U530" t="b" cm="1">
        <f t="array" aca="1" ref="U530" ca="1">AND(T530,OR(O530-N530&gt;1,P530&gt;1,ISERROR(A530:P530)))</f>
        <v>0</v>
      </c>
      <c r="W530" t="e">
        <f>MATCH(K530&amp;$W$2,Taostats_CSV!$X$3:$X$1167,0)</f>
        <v>#N/A</v>
      </c>
      <c r="X530" t="e">
        <f t="shared" ca="1" si="60"/>
        <v>#VALUE!</v>
      </c>
      <c r="Y530">
        <f t="shared" ca="1" si="61"/>
        <v>0.46223596300000003</v>
      </c>
      <c r="Z530" t="e">
        <f t="shared" ca="1" si="62"/>
        <v>#VALUE!</v>
      </c>
    </row>
    <row r="531" spans="1:26" x14ac:dyDescent="0.4">
      <c r="A531" t="str">
        <f>MID(Taostats_CSV!C531,6,2)&amp;"/"&amp;MID(Taostats_CSV!C531,9,2)&amp;"/"&amp;LEFT(Taostats_CSV!C531,4)&amp;" "&amp;MID(Taostats_CSV!C531,12,8)</f>
        <v>06/26/2025 23:59:48</v>
      </c>
      <c r="C531" t="str">
        <f ca="1">IF(Q531,OFFSET(Taostats_CSV!$E$1,MATCH(K531&amp;D$1,Taostats_CSV!$X:$X,0)-1,0),IF(Taostats_CSV!F531="fee",IF(VALUE(Taostats_CSV!G531)&gt;0,Taostats_CSV!E531,""),""))</f>
        <v/>
      </c>
      <c r="D531" t="str">
        <f ca="1">IF(Q531,OFFSET(Taostats_CSV!$G$1,MATCH(K531&amp;D$1,Taostats_CSV!$X:$X,0)-1,0),IF(Taostats_CSV!F531="fee",IF(VALUE(Taostats_CSV!G531)&gt;0,Taostats_CSV!G531,""),""))</f>
        <v/>
      </c>
      <c r="E531" t="str">
        <f ca="1">IF(AND(Q531,P531&gt;0),OFFSET(Taostats_CSV!$E$1,MATCH(K531&amp;F$1,Taostats_CSV!$X:$X,0)-1,0),IF(LEN(F531)&gt;0,Taostats_CSV!E531,""))</f>
        <v>SN56</v>
      </c>
      <c r="F531" t="str">
        <f ca="1">TRIM(IF(AND(Q531,P531&gt;0),OFFSET(Taostats_CSV!$H$1,MATCH(K531&amp;F$1,Taostats_CSV!$X:$X,0)-1,0),IF(LEN(Taostats_CSV!H531)&gt;0,Taostats_CSV!H531,Taostats_CSV!R531)))</f>
        <v>0.250573295</v>
      </c>
      <c r="G531" t="str">
        <f ca="1">IF(AND(Q531,N531=1),OFFSET(Taostats_CSV!$E$1,MATCH(K531&amp;H$1,Taostats_CSV!$X:$X,0)-1,0),"")</f>
        <v/>
      </c>
      <c r="H531" t="str">
        <f ca="1">IF(AND(Q531,N531=1),OFFSET(Taostats_CSV!$G$1,MATCH(K531&amp;H$1,Taostats_CSV!$X:$X,0)-1,0),"")</f>
        <v/>
      </c>
      <c r="I531" t="str">
        <f ca="1">IF(AND(LEN(K531)=0,LEN(F531)&gt;0),"Income",IF(AND(O531&gt;0,P531&gt;0,C531&lt;&gt;E531),"Trade",IF(AND(NOT(Q531),Taostats_CSV!F531="fee"),'READ ME'!$C$5,"")))</f>
        <v>Income</v>
      </c>
      <c r="J531" t="str">
        <f ca="1">SUBSTITUTE(IF(LEN(I531)=0,Taostats_CSV!F531&amp;" "&amp;Taostats_CSV!J531,IF(I531="Cost","Extrinsic fee","")),"_"," ")</f>
        <v/>
      </c>
      <c r="K531" t="str">
        <f>TRIM(IF(LEN(Taostats_CSV!I531)&gt;0,Taostats_CSV!I531,""))</f>
        <v/>
      </c>
      <c r="L531">
        <f ca="1">IF(Taostats_CSV!E531&lt;&gt;"TAO",IF(LEN(F531)&gt;0,F531,IF(LEN(D531)&gt;0,D531,0))*Taostats_CSV!P531,"")</f>
        <v>5.3525543558817441</v>
      </c>
      <c r="M531" t="str">
        <f t="shared" ca="1" si="63"/>
        <v>USD</v>
      </c>
      <c r="N531">
        <f>COUNTIF(Taostats_CSV!$X:$X,Taostats_CSV!$I531&amp;N$1)</f>
        <v>0</v>
      </c>
      <c r="O531">
        <f>COUNTIF(Taostats_CSV!$X:$X,Taostats_CSV!$I531&amp;O$1)</f>
        <v>0</v>
      </c>
      <c r="P531">
        <f>COUNTIF(Taostats_CSV!$X:$X,Taostats_CSV!$I531&amp;P$1)</f>
        <v>0</v>
      </c>
      <c r="Q531" t="b">
        <f t="shared" si="64"/>
        <v>0</v>
      </c>
      <c r="R531" t="b">
        <f>IF(LEN(K531)&gt;0,COUNTIF($K$3:K531,K531),FALSE)</f>
        <v>0</v>
      </c>
      <c r="S531" t="b">
        <f>IF(Taostats_CSV!A531=Taostats_CSV!$A$2,TRUE,Taostats_CSV!G531+Taostats_CSV!H531+Taostats_CSV!R531=0)</f>
        <v>0</v>
      </c>
      <c r="T531" t="b">
        <f t="shared" si="65"/>
        <v>1</v>
      </c>
      <c r="U531" t="b" cm="1">
        <f t="array" aca="1" ref="U531" ca="1">AND(T531,OR(O531-N531&gt;1,P531&gt;1,ISERROR(A531:P531)))</f>
        <v>0</v>
      </c>
      <c r="W531" t="e">
        <f>MATCH(K531&amp;$W$2,Taostats_CSV!$X$3:$X$1167,0)</f>
        <v>#N/A</v>
      </c>
      <c r="X531" t="e">
        <f t="shared" ca="1" si="60"/>
        <v>#VALUE!</v>
      </c>
      <c r="Y531">
        <f t="shared" ca="1" si="61"/>
        <v>0.25057329499999997</v>
      </c>
      <c r="Z531" t="e">
        <f t="shared" ca="1" si="62"/>
        <v>#VALUE!</v>
      </c>
    </row>
    <row r="532" spans="1:26" x14ac:dyDescent="0.4">
      <c r="A532" t="str">
        <f>MID(Taostats_CSV!C532,6,2)&amp;"/"&amp;MID(Taostats_CSV!C532,9,2)&amp;"/"&amp;LEFT(Taostats_CSV!C532,4)&amp;" "&amp;MID(Taostats_CSV!C532,12,8)</f>
        <v>06/26/2025 23:59:48</v>
      </c>
      <c r="C532" t="str">
        <f ca="1">IF(Q532,OFFSET(Taostats_CSV!$E$1,MATCH(K532&amp;D$1,Taostats_CSV!$X:$X,0)-1,0),IF(Taostats_CSV!F532="fee",IF(VALUE(Taostats_CSV!G532)&gt;0,Taostats_CSV!E532,""),""))</f>
        <v/>
      </c>
      <c r="D532" t="str">
        <f ca="1">IF(Q532,OFFSET(Taostats_CSV!$G$1,MATCH(K532&amp;D$1,Taostats_CSV!$X:$X,0)-1,0),IF(Taostats_CSV!F532="fee",IF(VALUE(Taostats_CSV!G532)&gt;0,Taostats_CSV!G532,""),""))</f>
        <v/>
      </c>
      <c r="E532" t="str">
        <f ca="1">IF(AND(Q532,P532&gt;0),OFFSET(Taostats_CSV!$E$1,MATCH(K532&amp;F$1,Taostats_CSV!$X:$X,0)-1,0),IF(LEN(F532)&gt;0,Taostats_CSV!E532,""))</f>
        <v>SN64</v>
      </c>
      <c r="F532" t="str">
        <f ca="1">TRIM(IF(AND(Q532,P532&gt;0),OFFSET(Taostats_CSV!$H$1,MATCH(K532&amp;F$1,Taostats_CSV!$X:$X,0)-1,0),IF(LEN(Taostats_CSV!H532)&gt;0,Taostats_CSV!H532,Taostats_CSV!R532)))</f>
        <v>0.143000375</v>
      </c>
      <c r="G532" t="str">
        <f ca="1">IF(AND(Q532,N532=1),OFFSET(Taostats_CSV!$E$1,MATCH(K532&amp;H$1,Taostats_CSV!$X:$X,0)-1,0),"")</f>
        <v/>
      </c>
      <c r="H532" t="str">
        <f ca="1">IF(AND(Q532,N532=1),OFFSET(Taostats_CSV!$G$1,MATCH(K532&amp;H$1,Taostats_CSV!$X:$X,0)-1,0),"")</f>
        <v/>
      </c>
      <c r="I532" t="str">
        <f ca="1">IF(AND(LEN(K532)=0,LEN(F532)&gt;0),"Income",IF(AND(O532&gt;0,P532&gt;0,C532&lt;&gt;E532),"Trade",IF(AND(NOT(Q532),Taostats_CSV!F532="fee"),'READ ME'!$C$5,"")))</f>
        <v>Income</v>
      </c>
      <c r="J532" t="str">
        <f ca="1">SUBSTITUTE(IF(LEN(I532)=0,Taostats_CSV!F532&amp;" "&amp;Taostats_CSV!J532,IF(I532="Cost","Extrinsic fee","")),"_"," ")</f>
        <v/>
      </c>
      <c r="K532" t="str">
        <f>TRIM(IF(LEN(Taostats_CSV!I532)&gt;0,Taostats_CSV!I532,""))</f>
        <v/>
      </c>
      <c r="L532">
        <f ca="1">IF(Taostats_CSV!E532&lt;&gt;"TAO",IF(LEN(F532)&gt;0,F532,IF(LEN(D532)&gt;0,D532,0))*Taostats_CSV!P532,"")</f>
        <v>8.166630360144751</v>
      </c>
      <c r="M532" t="str">
        <f t="shared" ca="1" si="63"/>
        <v>USD</v>
      </c>
      <c r="N532">
        <f>COUNTIF(Taostats_CSV!$X:$X,Taostats_CSV!$I532&amp;N$1)</f>
        <v>0</v>
      </c>
      <c r="O532">
        <f>COUNTIF(Taostats_CSV!$X:$X,Taostats_CSV!$I532&amp;O$1)</f>
        <v>0</v>
      </c>
      <c r="P532">
        <f>COUNTIF(Taostats_CSV!$X:$X,Taostats_CSV!$I532&amp;P$1)</f>
        <v>0</v>
      </c>
      <c r="Q532" t="b">
        <f t="shared" si="64"/>
        <v>0</v>
      </c>
      <c r="R532" t="b">
        <f>IF(LEN(K532)&gt;0,COUNTIF($K$3:K532,K532),FALSE)</f>
        <v>0</v>
      </c>
      <c r="S532" t="b">
        <f>IF(Taostats_CSV!A532=Taostats_CSV!$A$2,TRUE,Taostats_CSV!G532+Taostats_CSV!H532+Taostats_CSV!R532=0)</f>
        <v>0</v>
      </c>
      <c r="T532" t="b">
        <f t="shared" si="65"/>
        <v>1</v>
      </c>
      <c r="U532" t="b" cm="1">
        <f t="array" aca="1" ref="U532" ca="1">AND(T532,OR(O532-N532&gt;1,P532&gt;1,ISERROR(A532:P532)))</f>
        <v>0</v>
      </c>
      <c r="W532" t="e">
        <f>MATCH(K532&amp;$W$2,Taostats_CSV!$X$3:$X$1167,0)</f>
        <v>#N/A</v>
      </c>
      <c r="X532" t="e">
        <f t="shared" ca="1" si="60"/>
        <v>#VALUE!</v>
      </c>
      <c r="Y532">
        <f t="shared" ca="1" si="61"/>
        <v>0.14300037500000001</v>
      </c>
      <c r="Z532" t="e">
        <f t="shared" ca="1" si="62"/>
        <v>#VALUE!</v>
      </c>
    </row>
    <row r="533" spans="1:26" hidden="1" x14ac:dyDescent="0.4">
      <c r="A533" t="str">
        <f>MID(Taostats_CSV!C533,6,2)&amp;"/"&amp;MID(Taostats_CSV!C533,9,2)&amp;"/"&amp;LEFT(Taostats_CSV!C533,4)&amp;" "&amp;MID(Taostats_CSV!C533,12,8)</f>
        <v>06/26/2025 23:59:48</v>
      </c>
      <c r="C533" t="str">
        <f ca="1">IF(Q533,OFFSET(Taostats_CSV!$E$1,MATCH(K533&amp;D$1,Taostats_CSV!$X:$X,0)-1,0),IF(Taostats_CSV!F533="fee","",IF(VALUE(Taostats_CSV!G533)&gt;0,Taostats_CSV!E533,"")))</f>
        <v/>
      </c>
      <c r="D533" t="str">
        <f ca="1">IF(Q533,OFFSET(Taostats_CSV!$G$1,MATCH(K533&amp;D$1,Taostats_CSV!$X:$X,0)-1,0),IF(Taostats_CSV!F533="fee","",IF(VALUE(Taostats_CSV!G533)&gt;0,Taostats_CSV!G533,"")))</f>
        <v/>
      </c>
      <c r="E533" t="str">
        <f ca="1">IF(AND(Q533,P533&gt;0),OFFSET(Taostats_CSV!$E$1,MATCH(K533&amp;F$1,Taostats_CSV!$X:$X,0)-1,0),IF(LEN(F533)&gt;0,Taostats_CSV!E533,""))</f>
        <v>TAO</v>
      </c>
      <c r="F533" t="str">
        <f ca="1">TRIM(IF(AND(Q533,P533&gt;0),OFFSET(Taostats_CSV!$H$1,MATCH(K533&amp;F$1,Taostats_CSV!$X:$X,0)-1,0),IF(LEN(Taostats_CSV!H533)&gt;0,Taostats_CSV!H533,Taostats_CSV!R533)))</f>
        <v>0</v>
      </c>
      <c r="G533" t="str">
        <f ca="1">IF(AND(Q533,N533=1),OFFSET(Taostats_CSV!$E$1,MATCH(K533&amp;H$1,Taostats_CSV!$X:$X,0)-1,0),IF(Taostats_CSV!F533="fee",Taostats_CSV!E533,""))</f>
        <v/>
      </c>
      <c r="H533" t="str">
        <f ca="1">IF(AND(Q533,N533=1),OFFSET(Taostats_CSV!$G$1,MATCH(K533&amp;H$1,Taostats_CSV!$X:$X,0)-1,0),IF(Taostats_CSV!F533="fee",Taostats_CSV!G533,""))</f>
        <v/>
      </c>
      <c r="I533" t="str">
        <f ca="1">IF(AND(LEN(K533)=0,LEN(F533)&gt;0),"Income",IF(AND(O533&gt;0,P533&gt;0,C533&lt;&gt;E533),"Trade",IF(AND(NOT(Q533),Taostats_CSV!F533="fee"),'READ ME'!$C$5,"")))</f>
        <v>Income</v>
      </c>
      <c r="J533" t="str">
        <f ca="1">SUBSTITUTE(IF(LEN(I533)=0,Taostats_CSV!F533&amp;" "&amp;Taostats_CSV!J533,IF(I533="Cost","Extrinsic fee","")),"_"," ")</f>
        <v/>
      </c>
      <c r="K533" t="str">
        <f>TRIM(IF(LEN(Taostats_CSV!I533)&gt;0,Taostats_CSV!I533,""))</f>
        <v/>
      </c>
      <c r="L533" t="str">
        <f>IF(Taostats_CSV!E533&lt;&gt;"TAO",IF(LEN(F533)&gt;0,F533,IF(LEN(D533)&gt;0,D533,0))*Taostats_CSV!P533,"")</f>
        <v/>
      </c>
      <c r="M533" t="str">
        <f t="shared" si="63"/>
        <v/>
      </c>
      <c r="N533">
        <f>COUNTIF(Taostats_CSV!$X:$X,Taostats_CSV!$I533&amp;N$1)</f>
        <v>0</v>
      </c>
      <c r="O533">
        <f>COUNTIF(Taostats_CSV!$X:$X,Taostats_CSV!$I533&amp;O$1)</f>
        <v>0</v>
      </c>
      <c r="P533">
        <f>COUNTIF(Taostats_CSV!$X:$X,Taostats_CSV!$I533&amp;P$1)</f>
        <v>0</v>
      </c>
      <c r="Q533" t="b">
        <f t="shared" si="64"/>
        <v>0</v>
      </c>
      <c r="R533" t="b">
        <f>IF(LEN(K533)&gt;0,COUNTIF($K$3:K533,K533),FALSE)</f>
        <v>0</v>
      </c>
      <c r="S533" t="b">
        <f>IF(Taostats_CSV!A533=Taostats_CSV!$A$2,TRUE,Taostats_CSV!G533+Taostats_CSV!H533+Taostats_CSV!R533=0)</f>
        <v>1</v>
      </c>
      <c r="T533" t="b">
        <f t="shared" si="65"/>
        <v>0</v>
      </c>
      <c r="U533" t="b" cm="1">
        <f t="array" aca="1" ref="U533" ca="1">AND(T533,OR(O533-N533&gt;1,P533&gt;1,ISERROR(A533:P533)))</f>
        <v>0</v>
      </c>
      <c r="W533" t="e">
        <f>MATCH(K533&amp;$W$2,Taostats_CSV!$X$3:$X$1167,0)</f>
        <v>#N/A</v>
      </c>
      <c r="X533" t="e">
        <f t="shared" ca="1" si="60"/>
        <v>#VALUE!</v>
      </c>
      <c r="Y533">
        <f t="shared" ca="1" si="61"/>
        <v>0</v>
      </c>
      <c r="Z533" t="e">
        <f t="shared" ca="1" si="62"/>
        <v>#VALUE!</v>
      </c>
    </row>
    <row r="534" spans="1:26" x14ac:dyDescent="0.4">
      <c r="A534" t="str">
        <f>MID(Taostats_CSV!C534,6,2)&amp;"/"&amp;MID(Taostats_CSV!C534,9,2)&amp;"/"&amp;LEFT(Taostats_CSV!C534,4)&amp;" "&amp;MID(Taostats_CSV!C534,12,8)</f>
        <v>06/27/2025 23:59:48</v>
      </c>
      <c r="C534" t="str">
        <f ca="1">IF(Q534,OFFSET(Taostats_CSV!$E$1,MATCH(K534&amp;D$1,Taostats_CSV!$X:$X,0)-1,0),IF(Taostats_CSV!F534="fee",IF(VALUE(Taostats_CSV!G534)&gt;0,Taostats_CSV!E534,""),""))</f>
        <v/>
      </c>
      <c r="D534" t="str">
        <f ca="1">IF(Q534,OFFSET(Taostats_CSV!$G$1,MATCH(K534&amp;D$1,Taostats_CSV!$X:$X,0)-1,0),IF(Taostats_CSV!F534="fee",IF(VALUE(Taostats_CSV!G534)&gt;0,Taostats_CSV!G534,""),""))</f>
        <v/>
      </c>
      <c r="E534" t="str">
        <f ca="1">IF(AND(Q534,P534&gt;0),OFFSET(Taostats_CSV!$E$1,MATCH(K534&amp;F$1,Taostats_CSV!$X:$X,0)-1,0),IF(LEN(F534)&gt;0,Taostats_CSV!E534,""))</f>
        <v>SN3</v>
      </c>
      <c r="F534" t="str">
        <f ca="1">TRIM(IF(AND(Q534,P534&gt;0),OFFSET(Taostats_CSV!$H$1,MATCH(K534&amp;F$1,Taostats_CSV!$X:$X,0)-1,0),IF(LEN(Taostats_CSV!H534)&gt;0,Taostats_CSV!H534,Taostats_CSV!R534)))</f>
        <v>0.416637664</v>
      </c>
      <c r="G534" t="str">
        <f ca="1">IF(AND(Q534,N534=1),OFFSET(Taostats_CSV!$E$1,MATCH(K534&amp;H$1,Taostats_CSV!$X:$X,0)-1,0),"")</f>
        <v/>
      </c>
      <c r="H534" t="str">
        <f ca="1">IF(AND(Q534,N534=1),OFFSET(Taostats_CSV!$G$1,MATCH(K534&amp;H$1,Taostats_CSV!$X:$X,0)-1,0),"")</f>
        <v/>
      </c>
      <c r="I534" t="str">
        <f ca="1">IF(AND(LEN(K534)=0,LEN(F534)&gt;0),"Income",IF(AND(O534&gt;0,P534&gt;0,C534&lt;&gt;E534),"Trade",IF(AND(NOT(Q534),Taostats_CSV!F534="fee"),'READ ME'!$C$5,"")))</f>
        <v>Income</v>
      </c>
      <c r="J534" t="str">
        <f ca="1">SUBSTITUTE(IF(LEN(I534)=0,Taostats_CSV!F534&amp;" "&amp;Taostats_CSV!J534,IF(I534="Cost","Extrinsic fee","")),"_"," ")</f>
        <v/>
      </c>
      <c r="K534" t="str">
        <f>TRIM(IF(LEN(Taostats_CSV!I534)&gt;0,Taostats_CSV!I534,""))</f>
        <v/>
      </c>
      <c r="L534">
        <f ca="1">IF(Taostats_CSV!E534&lt;&gt;"TAO",IF(LEN(F534)&gt;0,F534,IF(LEN(D534)&gt;0,D534,0))*Taostats_CSV!P534,"")</f>
        <v>8.7283295809241714</v>
      </c>
      <c r="M534" t="str">
        <f t="shared" ca="1" si="63"/>
        <v>USD</v>
      </c>
      <c r="N534">
        <f>COUNTIF(Taostats_CSV!$X:$X,Taostats_CSV!$I534&amp;N$1)</f>
        <v>0</v>
      </c>
      <c r="O534">
        <f>COUNTIF(Taostats_CSV!$X:$X,Taostats_CSV!$I534&amp;O$1)</f>
        <v>0</v>
      </c>
      <c r="P534">
        <f>COUNTIF(Taostats_CSV!$X:$X,Taostats_CSV!$I534&amp;P$1)</f>
        <v>0</v>
      </c>
      <c r="Q534" t="b">
        <f t="shared" si="64"/>
        <v>0</v>
      </c>
      <c r="R534" t="b">
        <f>IF(LEN(K534)&gt;0,COUNTIF($K$3:K534,K534),FALSE)</f>
        <v>0</v>
      </c>
      <c r="S534" t="b">
        <f>IF(Taostats_CSV!A534=Taostats_CSV!$A$2,TRUE,Taostats_CSV!G534+Taostats_CSV!H534+Taostats_CSV!R534=0)</f>
        <v>0</v>
      </c>
      <c r="T534" t="b">
        <f t="shared" si="65"/>
        <v>1</v>
      </c>
      <c r="U534" t="b" cm="1">
        <f t="array" aca="1" ref="U534" ca="1">AND(T534,OR(O534-N534&gt;1,P534&gt;1,ISERROR(A534:P534)))</f>
        <v>0</v>
      </c>
      <c r="W534" t="e">
        <f>MATCH(K534&amp;$W$2,Taostats_CSV!$X$3:$X$1167,0)</f>
        <v>#N/A</v>
      </c>
      <c r="X534" t="e">
        <f t="shared" ca="1" si="60"/>
        <v>#VALUE!</v>
      </c>
      <c r="Y534">
        <f t="shared" ca="1" si="61"/>
        <v>0.41663766400000002</v>
      </c>
      <c r="Z534" t="e">
        <f t="shared" ca="1" si="62"/>
        <v>#VALUE!</v>
      </c>
    </row>
    <row r="535" spans="1:26" x14ac:dyDescent="0.4">
      <c r="A535" t="str">
        <f>MID(Taostats_CSV!C535,6,2)&amp;"/"&amp;MID(Taostats_CSV!C535,9,2)&amp;"/"&amp;LEFT(Taostats_CSV!C535,4)&amp;" "&amp;MID(Taostats_CSV!C535,12,8)</f>
        <v>06/27/2025 23:59:48</v>
      </c>
      <c r="C535" t="str">
        <f ca="1">IF(Q535,OFFSET(Taostats_CSV!$E$1,MATCH(K535&amp;D$1,Taostats_CSV!$X:$X,0)-1,0),IF(Taostats_CSV!F535="fee",IF(VALUE(Taostats_CSV!G535)&gt;0,Taostats_CSV!E535,""),""))</f>
        <v/>
      </c>
      <c r="D535" t="str">
        <f ca="1">IF(Q535,OFFSET(Taostats_CSV!$G$1,MATCH(K535&amp;D$1,Taostats_CSV!$X:$X,0)-1,0),IF(Taostats_CSV!F535="fee",IF(VALUE(Taostats_CSV!G535)&gt;0,Taostats_CSV!G535,""),""))</f>
        <v/>
      </c>
      <c r="E535" t="str">
        <f ca="1">IF(AND(Q535,P535&gt;0),OFFSET(Taostats_CSV!$E$1,MATCH(K535&amp;F$1,Taostats_CSV!$X:$X,0)-1,0),IF(LEN(F535)&gt;0,Taostats_CSV!E535,""))</f>
        <v>SN4</v>
      </c>
      <c r="F535" t="str">
        <f ca="1">TRIM(IF(AND(Q535,P535&gt;0),OFFSET(Taostats_CSV!$H$1,MATCH(K535&amp;F$1,Taostats_CSV!$X:$X,0)-1,0),IF(LEN(Taostats_CSV!H535)&gt;0,Taostats_CSV!H535,Taostats_CSV!R535)))</f>
        <v>0.47401548</v>
      </c>
      <c r="G535" t="str">
        <f ca="1">IF(AND(Q535,N535=1),OFFSET(Taostats_CSV!$E$1,MATCH(K535&amp;H$1,Taostats_CSV!$X:$X,0)-1,0),"")</f>
        <v/>
      </c>
      <c r="H535" t="str">
        <f ca="1">IF(AND(Q535,N535=1),OFFSET(Taostats_CSV!$G$1,MATCH(K535&amp;H$1,Taostats_CSV!$X:$X,0)-1,0),"")</f>
        <v/>
      </c>
      <c r="I535" t="str">
        <f ca="1">IF(AND(LEN(K535)=0,LEN(F535)&gt;0),"Income",IF(AND(O535&gt;0,P535&gt;0,C535&lt;&gt;E535),"Trade",IF(AND(NOT(Q535),Taostats_CSV!F535="fee"),'READ ME'!$C$5,"")))</f>
        <v>Income</v>
      </c>
      <c r="J535" t="str">
        <f ca="1">SUBSTITUTE(IF(LEN(I535)=0,Taostats_CSV!F535&amp;" "&amp;Taostats_CSV!J535,IF(I535="Cost","Extrinsic fee","")),"_"," ")</f>
        <v/>
      </c>
      <c r="K535" t="str">
        <f>TRIM(IF(LEN(Taostats_CSV!I535)&gt;0,Taostats_CSV!I535,""))</f>
        <v/>
      </c>
      <c r="L535">
        <f ca="1">IF(Taostats_CSV!E535&lt;&gt;"TAO",IF(LEN(F535)&gt;0,F535,IF(LEN(D535)&gt;0,D535,0))*Taostats_CSV!P535,"")</f>
        <v>11.05700334814615</v>
      </c>
      <c r="M535" t="str">
        <f t="shared" ca="1" si="63"/>
        <v>USD</v>
      </c>
      <c r="N535">
        <f>COUNTIF(Taostats_CSV!$X:$X,Taostats_CSV!$I535&amp;N$1)</f>
        <v>0</v>
      </c>
      <c r="O535">
        <f>COUNTIF(Taostats_CSV!$X:$X,Taostats_CSV!$I535&amp;O$1)</f>
        <v>0</v>
      </c>
      <c r="P535">
        <f>COUNTIF(Taostats_CSV!$X:$X,Taostats_CSV!$I535&amp;P$1)</f>
        <v>0</v>
      </c>
      <c r="Q535" t="b">
        <f t="shared" si="64"/>
        <v>0</v>
      </c>
      <c r="R535" t="b">
        <f>IF(LEN(K535)&gt;0,COUNTIF($K$3:K535,K535),FALSE)</f>
        <v>0</v>
      </c>
      <c r="S535" t="b">
        <f>IF(Taostats_CSV!A535=Taostats_CSV!$A$2,TRUE,Taostats_CSV!G535+Taostats_CSV!H535+Taostats_CSV!R535=0)</f>
        <v>0</v>
      </c>
      <c r="T535" t="b">
        <f t="shared" si="65"/>
        <v>1</v>
      </c>
      <c r="U535" t="b" cm="1">
        <f t="array" aca="1" ref="U535" ca="1">AND(T535,OR(O535-N535&gt;1,P535&gt;1,ISERROR(A535:P535)))</f>
        <v>0</v>
      </c>
      <c r="W535" t="e">
        <f>MATCH(K535&amp;$W$2,Taostats_CSV!$X$3:$X$1167,0)</f>
        <v>#N/A</v>
      </c>
      <c r="X535" t="e">
        <f t="shared" ca="1" si="60"/>
        <v>#VALUE!</v>
      </c>
      <c r="Y535">
        <f t="shared" ca="1" si="61"/>
        <v>0.47401547999999999</v>
      </c>
      <c r="Z535" t="e">
        <f t="shared" ca="1" si="62"/>
        <v>#VALUE!</v>
      </c>
    </row>
    <row r="536" spans="1:26" x14ac:dyDescent="0.4">
      <c r="A536" t="str">
        <f>MID(Taostats_CSV!C536,6,2)&amp;"/"&amp;MID(Taostats_CSV!C536,9,2)&amp;"/"&amp;LEFT(Taostats_CSV!C536,4)&amp;" "&amp;MID(Taostats_CSV!C536,12,8)</f>
        <v>06/27/2025 23:59:48</v>
      </c>
      <c r="C536" t="str">
        <f ca="1">IF(Q536,OFFSET(Taostats_CSV!$E$1,MATCH(K536&amp;D$1,Taostats_CSV!$X:$X,0)-1,0),IF(Taostats_CSV!F536="fee",IF(VALUE(Taostats_CSV!G536)&gt;0,Taostats_CSV!E536,""),""))</f>
        <v/>
      </c>
      <c r="D536" t="str">
        <f ca="1">IF(Q536,OFFSET(Taostats_CSV!$G$1,MATCH(K536&amp;D$1,Taostats_CSV!$X:$X,0)-1,0),IF(Taostats_CSV!F536="fee",IF(VALUE(Taostats_CSV!G536)&gt;0,Taostats_CSV!G536,""),""))</f>
        <v/>
      </c>
      <c r="E536" t="str">
        <f ca="1">IF(AND(Q536,P536&gt;0),OFFSET(Taostats_CSV!$E$1,MATCH(K536&amp;F$1,Taostats_CSV!$X:$X,0)-1,0),IF(LEN(F536)&gt;0,Taostats_CSV!E536,""))</f>
        <v>SN56</v>
      </c>
      <c r="F536" t="str">
        <f ca="1">TRIM(IF(AND(Q536,P536&gt;0),OFFSET(Taostats_CSV!$H$1,MATCH(K536&amp;F$1,Taostats_CSV!$X:$X,0)-1,0),IF(LEN(Taostats_CSV!H536)&gt;0,Taostats_CSV!H536,Taostats_CSV!R536)))</f>
        <v>0.259776727</v>
      </c>
      <c r="G536" t="str">
        <f ca="1">IF(AND(Q536,N536=1),OFFSET(Taostats_CSV!$E$1,MATCH(K536&amp;H$1,Taostats_CSV!$X:$X,0)-1,0),"")</f>
        <v/>
      </c>
      <c r="H536" t="str">
        <f ca="1">IF(AND(Q536,N536=1),OFFSET(Taostats_CSV!$G$1,MATCH(K536&amp;H$1,Taostats_CSV!$X:$X,0)-1,0),"")</f>
        <v/>
      </c>
      <c r="I536" t="str">
        <f ca="1">IF(AND(LEN(K536)=0,LEN(F536)&gt;0),"Income",IF(AND(O536&gt;0,P536&gt;0,C536&lt;&gt;E536),"Trade",IF(AND(NOT(Q536),Taostats_CSV!F536="fee"),'READ ME'!$C$5,"")))</f>
        <v>Income</v>
      </c>
      <c r="J536" t="str">
        <f ca="1">SUBSTITUTE(IF(LEN(I536)=0,Taostats_CSV!F536&amp;" "&amp;Taostats_CSV!J536,IF(I536="Cost","Extrinsic fee","")),"_"," ")</f>
        <v/>
      </c>
      <c r="K536" t="str">
        <f>TRIM(IF(LEN(Taostats_CSV!I536)&gt;0,Taostats_CSV!I536,""))</f>
        <v/>
      </c>
      <c r="L536">
        <f ca="1">IF(Taostats_CSV!E536&lt;&gt;"TAO",IF(LEN(F536)&gt;0,F536,IF(LEN(D536)&gt;0,D536,0))*Taostats_CSV!P536,"")</f>
        <v>5.2696637925905447</v>
      </c>
      <c r="M536" t="str">
        <f t="shared" ca="1" si="63"/>
        <v>USD</v>
      </c>
      <c r="N536">
        <f>COUNTIF(Taostats_CSV!$X:$X,Taostats_CSV!$I536&amp;N$1)</f>
        <v>0</v>
      </c>
      <c r="O536">
        <f>COUNTIF(Taostats_CSV!$X:$X,Taostats_CSV!$I536&amp;O$1)</f>
        <v>0</v>
      </c>
      <c r="P536">
        <f>COUNTIF(Taostats_CSV!$X:$X,Taostats_CSV!$I536&amp;P$1)</f>
        <v>0</v>
      </c>
      <c r="Q536" t="b">
        <f t="shared" si="64"/>
        <v>0</v>
      </c>
      <c r="R536" t="b">
        <f>IF(LEN(K536)&gt;0,COUNTIF($K$3:K536,K536),FALSE)</f>
        <v>0</v>
      </c>
      <c r="S536" t="b">
        <f>IF(Taostats_CSV!A536=Taostats_CSV!$A$2,TRUE,Taostats_CSV!G536+Taostats_CSV!H536+Taostats_CSV!R536=0)</f>
        <v>0</v>
      </c>
      <c r="T536" t="b">
        <f t="shared" si="65"/>
        <v>1</v>
      </c>
      <c r="U536" t="b" cm="1">
        <f t="array" aca="1" ref="U536" ca="1">AND(T536,OR(O536-N536&gt;1,P536&gt;1,ISERROR(A536:P536)))</f>
        <v>0</v>
      </c>
      <c r="W536" t="e">
        <f>MATCH(K536&amp;$W$2,Taostats_CSV!$X$3:$X$1167,0)</f>
        <v>#N/A</v>
      </c>
      <c r="X536" t="e">
        <f t="shared" ca="1" si="60"/>
        <v>#VALUE!</v>
      </c>
      <c r="Y536">
        <f t="shared" ca="1" si="61"/>
        <v>0.25977672699999999</v>
      </c>
      <c r="Z536" t="e">
        <f t="shared" ca="1" si="62"/>
        <v>#VALUE!</v>
      </c>
    </row>
    <row r="537" spans="1:26" x14ac:dyDescent="0.4">
      <c r="A537" t="str">
        <f>MID(Taostats_CSV!C537,6,2)&amp;"/"&amp;MID(Taostats_CSV!C537,9,2)&amp;"/"&amp;LEFT(Taostats_CSV!C537,4)&amp;" "&amp;MID(Taostats_CSV!C537,12,8)</f>
        <v>06/27/2025 23:59:48</v>
      </c>
      <c r="C537" t="str">
        <f ca="1">IF(Q537,OFFSET(Taostats_CSV!$E$1,MATCH(K537&amp;D$1,Taostats_CSV!$X:$X,0)-1,0),IF(Taostats_CSV!F537="fee",IF(VALUE(Taostats_CSV!G537)&gt;0,Taostats_CSV!E537,""),""))</f>
        <v/>
      </c>
      <c r="D537" t="str">
        <f ca="1">IF(Q537,OFFSET(Taostats_CSV!$G$1,MATCH(K537&amp;D$1,Taostats_CSV!$X:$X,0)-1,0),IF(Taostats_CSV!F537="fee",IF(VALUE(Taostats_CSV!G537)&gt;0,Taostats_CSV!G537,""),""))</f>
        <v/>
      </c>
      <c r="E537" t="str">
        <f ca="1">IF(AND(Q537,P537&gt;0),OFFSET(Taostats_CSV!$E$1,MATCH(K537&amp;F$1,Taostats_CSV!$X:$X,0)-1,0),IF(LEN(F537)&gt;0,Taostats_CSV!E537,""))</f>
        <v>SN64</v>
      </c>
      <c r="F537" t="str">
        <f ca="1">TRIM(IF(AND(Q537,P537&gt;0),OFFSET(Taostats_CSV!$H$1,MATCH(K537&amp;F$1,Taostats_CSV!$X:$X,0)-1,0),IF(LEN(Taostats_CSV!H537)&gt;0,Taostats_CSV!H537,Taostats_CSV!R537)))</f>
        <v>0.144570214</v>
      </c>
      <c r="G537" t="str">
        <f ca="1">IF(AND(Q537,N537=1),OFFSET(Taostats_CSV!$E$1,MATCH(K537&amp;H$1,Taostats_CSV!$X:$X,0)-1,0),"")</f>
        <v/>
      </c>
      <c r="H537" t="str">
        <f ca="1">IF(AND(Q537,N537=1),OFFSET(Taostats_CSV!$G$1,MATCH(K537&amp;H$1,Taostats_CSV!$X:$X,0)-1,0),"")</f>
        <v/>
      </c>
      <c r="I537" t="str">
        <f ca="1">IF(AND(LEN(K537)=0,LEN(F537)&gt;0),"Income",IF(AND(O537&gt;0,P537&gt;0,C537&lt;&gt;E537),"Trade",IF(AND(NOT(Q537),Taostats_CSV!F537="fee"),'READ ME'!$C$5,"")))</f>
        <v>Income</v>
      </c>
      <c r="J537" t="str">
        <f ca="1">SUBSTITUTE(IF(LEN(I537)=0,Taostats_CSV!F537&amp;" "&amp;Taostats_CSV!J537,IF(I537="Cost","Extrinsic fee","")),"_"," ")</f>
        <v/>
      </c>
      <c r="K537" t="str">
        <f>TRIM(IF(LEN(Taostats_CSV!I537)&gt;0,Taostats_CSV!I537,""))</f>
        <v/>
      </c>
      <c r="L537">
        <f ca="1">IF(Taostats_CSV!E537&lt;&gt;"TAO",IF(LEN(F537)&gt;0,F537,IF(LEN(D537)&gt;0,D537,0))*Taostats_CSV!P537,"")</f>
        <v>8.036078166253029</v>
      </c>
      <c r="M537" t="str">
        <f t="shared" ca="1" si="63"/>
        <v>USD</v>
      </c>
      <c r="N537">
        <f>COUNTIF(Taostats_CSV!$X:$X,Taostats_CSV!$I537&amp;N$1)</f>
        <v>0</v>
      </c>
      <c r="O537">
        <f>COUNTIF(Taostats_CSV!$X:$X,Taostats_CSV!$I537&amp;O$1)</f>
        <v>0</v>
      </c>
      <c r="P537">
        <f>COUNTIF(Taostats_CSV!$X:$X,Taostats_CSV!$I537&amp;P$1)</f>
        <v>0</v>
      </c>
      <c r="Q537" t="b">
        <f t="shared" si="64"/>
        <v>0</v>
      </c>
      <c r="R537" t="b">
        <f>IF(LEN(K537)&gt;0,COUNTIF($K$3:K537,K537),FALSE)</f>
        <v>0</v>
      </c>
      <c r="S537" t="b">
        <f>IF(Taostats_CSV!A537=Taostats_CSV!$A$2,TRUE,Taostats_CSV!G537+Taostats_CSV!H537+Taostats_CSV!R537=0)</f>
        <v>0</v>
      </c>
      <c r="T537" t="b">
        <f t="shared" si="65"/>
        <v>1</v>
      </c>
      <c r="U537" t="b" cm="1">
        <f t="array" aca="1" ref="U537" ca="1">AND(T537,OR(O537-N537&gt;1,P537&gt;1,ISERROR(A537:P537)))</f>
        <v>0</v>
      </c>
      <c r="W537" t="e">
        <f>MATCH(K537&amp;$W$2,Taostats_CSV!$X$3:$X$1167,0)</f>
        <v>#N/A</v>
      </c>
      <c r="X537" t="e">
        <f t="shared" ca="1" si="60"/>
        <v>#VALUE!</v>
      </c>
      <c r="Y537">
        <f t="shared" ca="1" si="61"/>
        <v>0.144570214</v>
      </c>
      <c r="Z537" t="e">
        <f t="shared" ca="1" si="62"/>
        <v>#VALUE!</v>
      </c>
    </row>
    <row r="538" spans="1:26" hidden="1" x14ac:dyDescent="0.4">
      <c r="A538" t="str">
        <f>MID(Taostats_CSV!C538,6,2)&amp;"/"&amp;MID(Taostats_CSV!C538,9,2)&amp;"/"&amp;LEFT(Taostats_CSV!C538,4)&amp;" "&amp;MID(Taostats_CSV!C538,12,8)</f>
        <v>06/27/2025 23:59:48</v>
      </c>
      <c r="C538" t="str">
        <f ca="1">IF(Q538,OFFSET(Taostats_CSV!$E$1,MATCH(K538&amp;D$1,Taostats_CSV!$X:$X,0)-1,0),IF(Taostats_CSV!F538="fee","",IF(VALUE(Taostats_CSV!G538)&gt;0,Taostats_CSV!E538,"")))</f>
        <v/>
      </c>
      <c r="D538" t="str">
        <f ca="1">IF(Q538,OFFSET(Taostats_CSV!$G$1,MATCH(K538&amp;D$1,Taostats_CSV!$X:$X,0)-1,0),IF(Taostats_CSV!F538="fee","",IF(VALUE(Taostats_CSV!G538)&gt;0,Taostats_CSV!G538,"")))</f>
        <v/>
      </c>
      <c r="E538" t="str">
        <f ca="1">IF(AND(Q538,P538&gt;0),OFFSET(Taostats_CSV!$E$1,MATCH(K538&amp;F$1,Taostats_CSV!$X:$X,0)-1,0),IF(LEN(F538)&gt;0,Taostats_CSV!E538,""))</f>
        <v>TAO</v>
      </c>
      <c r="F538" t="str">
        <f ca="1">TRIM(IF(AND(Q538,P538&gt;0),OFFSET(Taostats_CSV!$H$1,MATCH(K538&amp;F$1,Taostats_CSV!$X:$X,0)-1,0),IF(LEN(Taostats_CSV!H538)&gt;0,Taostats_CSV!H538,Taostats_CSV!R538)))</f>
        <v>0</v>
      </c>
      <c r="G538" t="str">
        <f ca="1">IF(AND(Q538,N538=1),OFFSET(Taostats_CSV!$E$1,MATCH(K538&amp;H$1,Taostats_CSV!$X:$X,0)-1,0),IF(Taostats_CSV!F538="fee",Taostats_CSV!E538,""))</f>
        <v/>
      </c>
      <c r="H538" t="str">
        <f ca="1">IF(AND(Q538,N538=1),OFFSET(Taostats_CSV!$G$1,MATCH(K538&amp;H$1,Taostats_CSV!$X:$X,0)-1,0),IF(Taostats_CSV!F538="fee",Taostats_CSV!G538,""))</f>
        <v/>
      </c>
      <c r="I538" t="str">
        <f ca="1">IF(AND(LEN(K538)=0,LEN(F538)&gt;0),"Income",IF(AND(O538&gt;0,P538&gt;0,C538&lt;&gt;E538),"Trade",IF(AND(NOT(Q538),Taostats_CSV!F538="fee"),'READ ME'!$C$5,"")))</f>
        <v>Income</v>
      </c>
      <c r="J538" t="str">
        <f ca="1">SUBSTITUTE(IF(LEN(I538)=0,Taostats_CSV!F538&amp;" "&amp;Taostats_CSV!J538,IF(I538="Cost","Extrinsic fee","")),"_"," ")</f>
        <v/>
      </c>
      <c r="K538" t="str">
        <f>TRIM(IF(LEN(Taostats_CSV!I538)&gt;0,Taostats_CSV!I538,""))</f>
        <v/>
      </c>
      <c r="L538" t="str">
        <f>IF(Taostats_CSV!E538&lt;&gt;"TAO",IF(LEN(F538)&gt;0,F538,IF(LEN(D538)&gt;0,D538,0))*Taostats_CSV!P538,"")</f>
        <v/>
      </c>
      <c r="M538" t="str">
        <f t="shared" si="63"/>
        <v/>
      </c>
      <c r="N538">
        <f>COUNTIF(Taostats_CSV!$X:$X,Taostats_CSV!$I538&amp;N$1)</f>
        <v>0</v>
      </c>
      <c r="O538">
        <f>COUNTIF(Taostats_CSV!$X:$X,Taostats_CSV!$I538&amp;O$1)</f>
        <v>0</v>
      </c>
      <c r="P538">
        <f>COUNTIF(Taostats_CSV!$X:$X,Taostats_CSV!$I538&amp;P$1)</f>
        <v>0</v>
      </c>
      <c r="Q538" t="b">
        <f t="shared" si="64"/>
        <v>0</v>
      </c>
      <c r="R538" t="b">
        <f>IF(LEN(K538)&gt;0,COUNTIF($K$3:K538,K538),FALSE)</f>
        <v>0</v>
      </c>
      <c r="S538" t="b">
        <f>IF(Taostats_CSV!A538=Taostats_CSV!$A$2,TRUE,Taostats_CSV!G538+Taostats_CSV!H538+Taostats_CSV!R538=0)</f>
        <v>1</v>
      </c>
      <c r="T538" t="b">
        <f t="shared" si="65"/>
        <v>0</v>
      </c>
      <c r="U538" t="b" cm="1">
        <f t="array" aca="1" ref="U538" ca="1">AND(T538,OR(O538-N538&gt;1,P538&gt;1,ISERROR(A538:P538)))</f>
        <v>0</v>
      </c>
      <c r="W538" t="e">
        <f>MATCH(K538&amp;$W$2,Taostats_CSV!$X$3:$X$1167,0)</f>
        <v>#N/A</v>
      </c>
      <c r="X538" t="e">
        <f t="shared" ca="1" si="60"/>
        <v>#VALUE!</v>
      </c>
      <c r="Y538">
        <f t="shared" ca="1" si="61"/>
        <v>0</v>
      </c>
      <c r="Z538" t="e">
        <f t="shared" ca="1" si="62"/>
        <v>#VALUE!</v>
      </c>
    </row>
    <row r="539" spans="1:26" x14ac:dyDescent="0.4">
      <c r="A539" t="str">
        <f>MID(Taostats_CSV!C539,6,2)&amp;"/"&amp;MID(Taostats_CSV!C539,9,2)&amp;"/"&amp;LEFT(Taostats_CSV!C539,4)&amp;" "&amp;MID(Taostats_CSV!C539,12,8)</f>
        <v>06/28/2025 23:59:48</v>
      </c>
      <c r="C539" t="str">
        <f ca="1">IF(Q539,OFFSET(Taostats_CSV!$E$1,MATCH(K539&amp;D$1,Taostats_CSV!$X:$X,0)-1,0),IF(Taostats_CSV!F539="fee",IF(VALUE(Taostats_CSV!G539)&gt;0,Taostats_CSV!E539,""),""))</f>
        <v/>
      </c>
      <c r="D539" t="str">
        <f ca="1">IF(Q539,OFFSET(Taostats_CSV!$G$1,MATCH(K539&amp;D$1,Taostats_CSV!$X:$X,0)-1,0),IF(Taostats_CSV!F539="fee",IF(VALUE(Taostats_CSV!G539)&gt;0,Taostats_CSV!G539,""),""))</f>
        <v/>
      </c>
      <c r="E539" t="str">
        <f ca="1">IF(AND(Q539,P539&gt;0),OFFSET(Taostats_CSV!$E$1,MATCH(K539&amp;F$1,Taostats_CSV!$X:$X,0)-1,0),IF(LEN(F539)&gt;0,Taostats_CSV!E539,""))</f>
        <v>SN3</v>
      </c>
      <c r="F539" t="str">
        <f ca="1">TRIM(IF(AND(Q539,P539&gt;0),OFFSET(Taostats_CSV!$H$1,MATCH(K539&amp;F$1,Taostats_CSV!$X:$X,0)-1,0),IF(LEN(Taostats_CSV!H539)&gt;0,Taostats_CSV!H539,Taostats_CSV!R539)))</f>
        <v>0.430035315</v>
      </c>
      <c r="G539" t="str">
        <f ca="1">IF(AND(Q539,N539=1),OFFSET(Taostats_CSV!$E$1,MATCH(K539&amp;H$1,Taostats_CSV!$X:$X,0)-1,0),"")</f>
        <v/>
      </c>
      <c r="H539" t="str">
        <f ca="1">IF(AND(Q539,N539=1),OFFSET(Taostats_CSV!$G$1,MATCH(K539&amp;H$1,Taostats_CSV!$X:$X,0)-1,0),"")</f>
        <v/>
      </c>
      <c r="I539" t="str">
        <f ca="1">IF(AND(LEN(K539)=0,LEN(F539)&gt;0),"Income",IF(AND(O539&gt;0,P539&gt;0,C539&lt;&gt;E539),"Trade",IF(AND(NOT(Q539),Taostats_CSV!F539="fee"),'READ ME'!$C$5,"")))</f>
        <v>Income</v>
      </c>
      <c r="J539" t="str">
        <f ca="1">SUBSTITUTE(IF(LEN(I539)=0,Taostats_CSV!F539&amp;" "&amp;Taostats_CSV!J539,IF(I539="Cost","Extrinsic fee","")),"_"," ")</f>
        <v/>
      </c>
      <c r="K539" t="str">
        <f>TRIM(IF(LEN(Taostats_CSV!I539)&gt;0,Taostats_CSV!I539,""))</f>
        <v/>
      </c>
      <c r="L539">
        <f ca="1">IF(Taostats_CSV!E539&lt;&gt;"TAO",IF(LEN(F539)&gt;0,F539,IF(LEN(D539)&gt;0,D539,0))*Taostats_CSV!P539,"")</f>
        <v>9.4103801528560247</v>
      </c>
      <c r="M539" t="str">
        <f t="shared" ca="1" si="63"/>
        <v>USD</v>
      </c>
      <c r="N539">
        <f>COUNTIF(Taostats_CSV!$X:$X,Taostats_CSV!$I539&amp;N$1)</f>
        <v>0</v>
      </c>
      <c r="O539">
        <f>COUNTIF(Taostats_CSV!$X:$X,Taostats_CSV!$I539&amp;O$1)</f>
        <v>0</v>
      </c>
      <c r="P539">
        <f>COUNTIF(Taostats_CSV!$X:$X,Taostats_CSV!$I539&amp;P$1)</f>
        <v>0</v>
      </c>
      <c r="Q539" t="b">
        <f t="shared" si="64"/>
        <v>0</v>
      </c>
      <c r="R539" t="b">
        <f>IF(LEN(K539)&gt;0,COUNTIF($K$3:K539,K539),FALSE)</f>
        <v>0</v>
      </c>
      <c r="S539" t="b">
        <f>IF(Taostats_CSV!A539=Taostats_CSV!$A$2,TRUE,Taostats_CSV!G539+Taostats_CSV!H539+Taostats_CSV!R539=0)</f>
        <v>0</v>
      </c>
      <c r="T539" t="b">
        <f t="shared" si="65"/>
        <v>1</v>
      </c>
      <c r="U539" t="b" cm="1">
        <f t="array" aca="1" ref="U539" ca="1">AND(T539,OR(O539-N539&gt;1,P539&gt;1,ISERROR(A539:P539)))</f>
        <v>0</v>
      </c>
      <c r="W539" t="e">
        <f>MATCH(K539&amp;$W$2,Taostats_CSV!$X$3:$X$1167,0)</f>
        <v>#N/A</v>
      </c>
      <c r="X539" t="e">
        <f t="shared" ca="1" si="60"/>
        <v>#VALUE!</v>
      </c>
      <c r="Y539">
        <f t="shared" ca="1" si="61"/>
        <v>0.43003531499999997</v>
      </c>
      <c r="Z539" t="e">
        <f t="shared" ca="1" si="62"/>
        <v>#VALUE!</v>
      </c>
    </row>
    <row r="540" spans="1:26" x14ac:dyDescent="0.4">
      <c r="A540" t="str">
        <f>MID(Taostats_CSV!C540,6,2)&amp;"/"&amp;MID(Taostats_CSV!C540,9,2)&amp;"/"&amp;LEFT(Taostats_CSV!C540,4)&amp;" "&amp;MID(Taostats_CSV!C540,12,8)</f>
        <v>06/28/2025 23:59:48</v>
      </c>
      <c r="C540" t="str">
        <f ca="1">IF(Q540,OFFSET(Taostats_CSV!$E$1,MATCH(K540&amp;D$1,Taostats_CSV!$X:$X,0)-1,0),IF(Taostats_CSV!F540="fee",IF(VALUE(Taostats_CSV!G540)&gt;0,Taostats_CSV!E540,""),""))</f>
        <v/>
      </c>
      <c r="D540" t="str">
        <f ca="1">IF(Q540,OFFSET(Taostats_CSV!$G$1,MATCH(K540&amp;D$1,Taostats_CSV!$X:$X,0)-1,0),IF(Taostats_CSV!F540="fee",IF(VALUE(Taostats_CSV!G540)&gt;0,Taostats_CSV!G540,""),""))</f>
        <v/>
      </c>
      <c r="E540" t="str">
        <f ca="1">IF(AND(Q540,P540&gt;0),OFFSET(Taostats_CSV!$E$1,MATCH(K540&amp;F$1,Taostats_CSV!$X:$X,0)-1,0),IF(LEN(F540)&gt;0,Taostats_CSV!E540,""))</f>
        <v>SN4</v>
      </c>
      <c r="F540" t="str">
        <f ca="1">TRIM(IF(AND(Q540,P540&gt;0),OFFSET(Taostats_CSV!$H$1,MATCH(K540&amp;F$1,Taostats_CSV!$X:$X,0)-1,0),IF(LEN(Taostats_CSV!H540)&gt;0,Taostats_CSV!H540,Taostats_CSV!R540)))</f>
        <v>0.492171362</v>
      </c>
      <c r="G540" t="str">
        <f ca="1">IF(AND(Q540,N540=1),OFFSET(Taostats_CSV!$E$1,MATCH(K540&amp;H$1,Taostats_CSV!$X:$X,0)-1,0),"")</f>
        <v/>
      </c>
      <c r="H540" t="str">
        <f ca="1">IF(AND(Q540,N540=1),OFFSET(Taostats_CSV!$G$1,MATCH(K540&amp;H$1,Taostats_CSV!$X:$X,0)-1,0),"")</f>
        <v/>
      </c>
      <c r="I540" t="str">
        <f ca="1">IF(AND(LEN(K540)=0,LEN(F540)&gt;0),"Income",IF(AND(O540&gt;0,P540&gt;0,C540&lt;&gt;E540),"Trade",IF(AND(NOT(Q540),Taostats_CSV!F540="fee"),'READ ME'!$C$5,"")))</f>
        <v>Income</v>
      </c>
      <c r="J540" t="str">
        <f ca="1">SUBSTITUTE(IF(LEN(I540)=0,Taostats_CSV!F540&amp;" "&amp;Taostats_CSV!J540,IF(I540="Cost","Extrinsic fee","")),"_"," ")</f>
        <v/>
      </c>
      <c r="K540" t="str">
        <f>TRIM(IF(LEN(Taostats_CSV!I540)&gt;0,Taostats_CSV!I540,""))</f>
        <v/>
      </c>
      <c r="L540">
        <f ca="1">IF(Taostats_CSV!E540&lt;&gt;"TAO",IF(LEN(F540)&gt;0,F540,IF(LEN(D540)&gt;0,D540,0))*Taostats_CSV!P540,"")</f>
        <v>11.464379959686822</v>
      </c>
      <c r="M540" t="str">
        <f t="shared" ca="1" si="63"/>
        <v>USD</v>
      </c>
      <c r="N540">
        <f>COUNTIF(Taostats_CSV!$X:$X,Taostats_CSV!$I540&amp;N$1)</f>
        <v>0</v>
      </c>
      <c r="O540">
        <f>COUNTIF(Taostats_CSV!$X:$X,Taostats_CSV!$I540&amp;O$1)</f>
        <v>0</v>
      </c>
      <c r="P540">
        <f>COUNTIF(Taostats_CSV!$X:$X,Taostats_CSV!$I540&amp;P$1)</f>
        <v>0</v>
      </c>
      <c r="Q540" t="b">
        <f t="shared" si="64"/>
        <v>0</v>
      </c>
      <c r="R540" t="b">
        <f>IF(LEN(K540)&gt;0,COUNTIF($K$3:K540,K540),FALSE)</f>
        <v>0</v>
      </c>
      <c r="S540" t="b">
        <f>IF(Taostats_CSV!A540=Taostats_CSV!$A$2,TRUE,Taostats_CSV!G540+Taostats_CSV!H540+Taostats_CSV!R540=0)</f>
        <v>0</v>
      </c>
      <c r="T540" t="b">
        <f t="shared" si="65"/>
        <v>1</v>
      </c>
      <c r="U540" t="b" cm="1">
        <f t="array" aca="1" ref="U540" ca="1">AND(T540,OR(O540-N540&gt;1,P540&gt;1,ISERROR(A540:P540)))</f>
        <v>0</v>
      </c>
      <c r="W540" t="e">
        <f>MATCH(K540&amp;$W$2,Taostats_CSV!$X$3:$X$1167,0)</f>
        <v>#N/A</v>
      </c>
      <c r="X540" t="e">
        <f t="shared" ca="1" si="60"/>
        <v>#VALUE!</v>
      </c>
      <c r="Y540">
        <f t="shared" ca="1" si="61"/>
        <v>0.492171362</v>
      </c>
      <c r="Z540" t="e">
        <f t="shared" ca="1" si="62"/>
        <v>#VALUE!</v>
      </c>
    </row>
    <row r="541" spans="1:26" x14ac:dyDescent="0.4">
      <c r="A541" t="str">
        <f>MID(Taostats_CSV!C541,6,2)&amp;"/"&amp;MID(Taostats_CSV!C541,9,2)&amp;"/"&amp;LEFT(Taostats_CSV!C541,4)&amp;" "&amp;MID(Taostats_CSV!C541,12,8)</f>
        <v>06/28/2025 23:59:48</v>
      </c>
      <c r="C541" t="str">
        <f ca="1">IF(Q541,OFFSET(Taostats_CSV!$E$1,MATCH(K541&amp;D$1,Taostats_CSV!$X:$X,0)-1,0),IF(Taostats_CSV!F541="fee",IF(VALUE(Taostats_CSV!G541)&gt;0,Taostats_CSV!E541,""),""))</f>
        <v/>
      </c>
      <c r="D541" t="str">
        <f ca="1">IF(Q541,OFFSET(Taostats_CSV!$G$1,MATCH(K541&amp;D$1,Taostats_CSV!$X:$X,0)-1,0),IF(Taostats_CSV!F541="fee",IF(VALUE(Taostats_CSV!G541)&gt;0,Taostats_CSV!G541,""),""))</f>
        <v/>
      </c>
      <c r="E541" t="str">
        <f ca="1">IF(AND(Q541,P541&gt;0),OFFSET(Taostats_CSV!$E$1,MATCH(K541&amp;F$1,Taostats_CSV!$X:$X,0)-1,0),IF(LEN(F541)&gt;0,Taostats_CSV!E541,""))</f>
        <v>SN56</v>
      </c>
      <c r="F541" t="str">
        <f ca="1">TRIM(IF(AND(Q541,P541&gt;0),OFFSET(Taostats_CSV!$H$1,MATCH(K541&amp;F$1,Taostats_CSV!$X:$X,0)-1,0),IF(LEN(Taostats_CSV!H541)&gt;0,Taostats_CSV!H541,Taostats_CSV!R541)))</f>
        <v>0.263794177</v>
      </c>
      <c r="G541" t="str">
        <f ca="1">IF(AND(Q541,N541=1),OFFSET(Taostats_CSV!$E$1,MATCH(K541&amp;H$1,Taostats_CSV!$X:$X,0)-1,0),"")</f>
        <v/>
      </c>
      <c r="H541" t="str">
        <f ca="1">IF(AND(Q541,N541=1),OFFSET(Taostats_CSV!$G$1,MATCH(K541&amp;H$1,Taostats_CSV!$X:$X,0)-1,0),"")</f>
        <v/>
      </c>
      <c r="I541" t="str">
        <f ca="1">IF(AND(LEN(K541)=0,LEN(F541)&gt;0),"Income",IF(AND(O541&gt;0,P541&gt;0,C541&lt;&gt;E541),"Trade",IF(AND(NOT(Q541),Taostats_CSV!F541="fee"),'READ ME'!$C$5,"")))</f>
        <v>Income</v>
      </c>
      <c r="J541" t="str">
        <f ca="1">SUBSTITUTE(IF(LEN(I541)=0,Taostats_CSV!F541&amp;" "&amp;Taostats_CSV!J541,IF(I541="Cost","Extrinsic fee","")),"_"," ")</f>
        <v/>
      </c>
      <c r="K541" t="str">
        <f>TRIM(IF(LEN(Taostats_CSV!I541)&gt;0,Taostats_CSV!I541,""))</f>
        <v/>
      </c>
      <c r="L541">
        <f ca="1">IF(Taostats_CSV!E541&lt;&gt;"TAO",IF(LEN(F541)&gt;0,F541,IF(LEN(D541)&gt;0,D541,0))*Taostats_CSV!P541,"")</f>
        <v>5.2216171874904056</v>
      </c>
      <c r="M541" t="str">
        <f t="shared" ca="1" si="63"/>
        <v>USD</v>
      </c>
      <c r="N541">
        <f>COUNTIF(Taostats_CSV!$X:$X,Taostats_CSV!$I541&amp;N$1)</f>
        <v>0</v>
      </c>
      <c r="O541">
        <f>COUNTIF(Taostats_CSV!$X:$X,Taostats_CSV!$I541&amp;O$1)</f>
        <v>0</v>
      </c>
      <c r="P541">
        <f>COUNTIF(Taostats_CSV!$X:$X,Taostats_CSV!$I541&amp;P$1)</f>
        <v>0</v>
      </c>
      <c r="Q541" t="b">
        <f t="shared" si="64"/>
        <v>0</v>
      </c>
      <c r="R541" t="b">
        <f>IF(LEN(K541)&gt;0,COUNTIF($K$3:K541,K541),FALSE)</f>
        <v>0</v>
      </c>
      <c r="S541" t="b">
        <f>IF(Taostats_CSV!A541=Taostats_CSV!$A$2,TRUE,Taostats_CSV!G541+Taostats_CSV!H541+Taostats_CSV!R541=0)</f>
        <v>0</v>
      </c>
      <c r="T541" t="b">
        <f t="shared" si="65"/>
        <v>1</v>
      </c>
      <c r="U541" t="b" cm="1">
        <f t="array" aca="1" ref="U541" ca="1">AND(T541,OR(O541-N541&gt;1,P541&gt;1,ISERROR(A541:P541)))</f>
        <v>0</v>
      </c>
      <c r="W541" t="e">
        <f>MATCH(K541&amp;$W$2,Taostats_CSV!$X$3:$X$1167,0)</f>
        <v>#N/A</v>
      </c>
      <c r="X541" t="e">
        <f t="shared" ca="1" si="60"/>
        <v>#VALUE!</v>
      </c>
      <c r="Y541">
        <f t="shared" ca="1" si="61"/>
        <v>0.26379417700000002</v>
      </c>
      <c r="Z541" t="e">
        <f t="shared" ca="1" si="62"/>
        <v>#VALUE!</v>
      </c>
    </row>
    <row r="542" spans="1:26" x14ac:dyDescent="0.4">
      <c r="A542" t="str">
        <f>MID(Taostats_CSV!C542,6,2)&amp;"/"&amp;MID(Taostats_CSV!C542,9,2)&amp;"/"&amp;LEFT(Taostats_CSV!C542,4)&amp;" "&amp;MID(Taostats_CSV!C542,12,8)</f>
        <v>06/28/2025 23:59:48</v>
      </c>
      <c r="C542" t="str">
        <f ca="1">IF(Q542,OFFSET(Taostats_CSV!$E$1,MATCH(K542&amp;D$1,Taostats_CSV!$X:$X,0)-1,0),IF(Taostats_CSV!F542="fee",IF(VALUE(Taostats_CSV!G542)&gt;0,Taostats_CSV!E542,""),""))</f>
        <v/>
      </c>
      <c r="D542" t="str">
        <f ca="1">IF(Q542,OFFSET(Taostats_CSV!$G$1,MATCH(K542&amp;D$1,Taostats_CSV!$X:$X,0)-1,0),IF(Taostats_CSV!F542="fee",IF(VALUE(Taostats_CSV!G542)&gt;0,Taostats_CSV!G542,""),""))</f>
        <v/>
      </c>
      <c r="E542" t="str">
        <f ca="1">IF(AND(Q542,P542&gt;0),OFFSET(Taostats_CSV!$E$1,MATCH(K542&amp;F$1,Taostats_CSV!$X:$X,0)-1,0),IF(LEN(F542)&gt;0,Taostats_CSV!E542,""))</f>
        <v>SN64</v>
      </c>
      <c r="F542" t="str">
        <f ca="1">TRIM(IF(AND(Q542,P542&gt;0),OFFSET(Taostats_CSV!$H$1,MATCH(K542&amp;F$1,Taostats_CSV!$X:$X,0)-1,0),IF(LEN(Taostats_CSV!H542)&gt;0,Taostats_CSV!H542,Taostats_CSV!R542)))</f>
        <v>0.151464486</v>
      </c>
      <c r="G542" t="str">
        <f ca="1">IF(AND(Q542,N542=1),OFFSET(Taostats_CSV!$E$1,MATCH(K542&amp;H$1,Taostats_CSV!$X:$X,0)-1,0),"")</f>
        <v/>
      </c>
      <c r="H542" t="str">
        <f ca="1">IF(AND(Q542,N542=1),OFFSET(Taostats_CSV!$G$1,MATCH(K542&amp;H$1,Taostats_CSV!$X:$X,0)-1,0),"")</f>
        <v/>
      </c>
      <c r="I542" t="str">
        <f ca="1">IF(AND(LEN(K542)=0,LEN(F542)&gt;0),"Income",IF(AND(O542&gt;0,P542&gt;0,C542&lt;&gt;E542),"Trade",IF(AND(NOT(Q542),Taostats_CSV!F542="fee"),'READ ME'!$C$5,"")))</f>
        <v>Income</v>
      </c>
      <c r="J542" t="str">
        <f ca="1">SUBSTITUTE(IF(LEN(I542)=0,Taostats_CSV!F542&amp;" "&amp;Taostats_CSV!J542,IF(I542="Cost","Extrinsic fee","")),"_"," ")</f>
        <v/>
      </c>
      <c r="K542" t="str">
        <f>TRIM(IF(LEN(Taostats_CSV!I542)&gt;0,Taostats_CSV!I542,""))</f>
        <v/>
      </c>
      <c r="L542">
        <f ca="1">IF(Taostats_CSV!E542&lt;&gt;"TAO",IF(LEN(F542)&gt;0,F542,IF(LEN(D542)&gt;0,D542,0))*Taostats_CSV!P542,"")</f>
        <v>8.488807938205392</v>
      </c>
      <c r="M542" t="str">
        <f t="shared" ca="1" si="63"/>
        <v>USD</v>
      </c>
      <c r="N542">
        <f>COUNTIF(Taostats_CSV!$X:$X,Taostats_CSV!$I542&amp;N$1)</f>
        <v>0</v>
      </c>
      <c r="O542">
        <f>COUNTIF(Taostats_CSV!$X:$X,Taostats_CSV!$I542&amp;O$1)</f>
        <v>0</v>
      </c>
      <c r="P542">
        <f>COUNTIF(Taostats_CSV!$X:$X,Taostats_CSV!$I542&amp;P$1)</f>
        <v>0</v>
      </c>
      <c r="Q542" t="b">
        <f t="shared" si="64"/>
        <v>0</v>
      </c>
      <c r="R542" t="b">
        <f>IF(LEN(K542)&gt;0,COUNTIF($K$3:K542,K542),FALSE)</f>
        <v>0</v>
      </c>
      <c r="S542" t="b">
        <f>IF(Taostats_CSV!A542=Taostats_CSV!$A$2,TRUE,Taostats_CSV!G542+Taostats_CSV!H542+Taostats_CSV!R542=0)</f>
        <v>0</v>
      </c>
      <c r="T542" t="b">
        <f t="shared" si="65"/>
        <v>1</v>
      </c>
      <c r="U542" t="b" cm="1">
        <f t="array" aca="1" ref="U542" ca="1">AND(T542,OR(O542-N542&gt;1,P542&gt;1,ISERROR(A542:P542)))</f>
        <v>0</v>
      </c>
      <c r="W542" t="e">
        <f>MATCH(K542&amp;$W$2,Taostats_CSV!$X$3:$X$1167,0)</f>
        <v>#N/A</v>
      </c>
      <c r="X542" t="e">
        <f t="shared" ca="1" si="60"/>
        <v>#VALUE!</v>
      </c>
      <c r="Y542">
        <f t="shared" ca="1" si="61"/>
        <v>0.15146448600000001</v>
      </c>
      <c r="Z542" t="e">
        <f t="shared" ca="1" si="62"/>
        <v>#VALUE!</v>
      </c>
    </row>
    <row r="543" spans="1:26" hidden="1" x14ac:dyDescent="0.4">
      <c r="A543" t="str">
        <f>MID(Taostats_CSV!C543,6,2)&amp;"/"&amp;MID(Taostats_CSV!C543,9,2)&amp;"/"&amp;LEFT(Taostats_CSV!C543,4)&amp;" "&amp;MID(Taostats_CSV!C543,12,8)</f>
        <v>06/28/2025 23:59:48</v>
      </c>
      <c r="C543" t="str">
        <f ca="1">IF(Q543,OFFSET(Taostats_CSV!$E$1,MATCH(K543&amp;D$1,Taostats_CSV!$X:$X,0)-1,0),IF(Taostats_CSV!F543="fee","",IF(VALUE(Taostats_CSV!G543)&gt;0,Taostats_CSV!E543,"")))</f>
        <v/>
      </c>
      <c r="D543" t="str">
        <f ca="1">IF(Q543,OFFSET(Taostats_CSV!$G$1,MATCH(K543&amp;D$1,Taostats_CSV!$X:$X,0)-1,0),IF(Taostats_CSV!F543="fee","",IF(VALUE(Taostats_CSV!G543)&gt;0,Taostats_CSV!G543,"")))</f>
        <v/>
      </c>
      <c r="E543" t="str">
        <f ca="1">IF(AND(Q543,P543&gt;0),OFFSET(Taostats_CSV!$E$1,MATCH(K543&amp;F$1,Taostats_CSV!$X:$X,0)-1,0),IF(LEN(F543)&gt;0,Taostats_CSV!E543,""))</f>
        <v>TAO</v>
      </c>
      <c r="F543" t="str">
        <f ca="1">TRIM(IF(AND(Q543,P543&gt;0),OFFSET(Taostats_CSV!$H$1,MATCH(K543&amp;F$1,Taostats_CSV!$X:$X,0)-1,0),IF(LEN(Taostats_CSV!H543)&gt;0,Taostats_CSV!H543,Taostats_CSV!R543)))</f>
        <v>0</v>
      </c>
      <c r="G543" t="str">
        <f ca="1">IF(AND(Q543,N543=1),OFFSET(Taostats_CSV!$E$1,MATCH(K543&amp;H$1,Taostats_CSV!$X:$X,0)-1,0),IF(Taostats_CSV!F543="fee",Taostats_CSV!E543,""))</f>
        <v/>
      </c>
      <c r="H543" t="str">
        <f ca="1">IF(AND(Q543,N543=1),OFFSET(Taostats_CSV!$G$1,MATCH(K543&amp;H$1,Taostats_CSV!$X:$X,0)-1,0),IF(Taostats_CSV!F543="fee",Taostats_CSV!G543,""))</f>
        <v/>
      </c>
      <c r="I543" t="str">
        <f ca="1">IF(AND(LEN(K543)=0,LEN(F543)&gt;0),"Income",IF(AND(O543&gt;0,P543&gt;0,C543&lt;&gt;E543),"Trade",IF(AND(NOT(Q543),Taostats_CSV!F543="fee"),'READ ME'!$C$5,"")))</f>
        <v>Income</v>
      </c>
      <c r="J543" t="str">
        <f ca="1">SUBSTITUTE(IF(LEN(I543)=0,Taostats_CSV!F543&amp;" "&amp;Taostats_CSV!J543,IF(I543="Cost","Extrinsic fee","")),"_"," ")</f>
        <v/>
      </c>
      <c r="K543" t="str">
        <f>TRIM(IF(LEN(Taostats_CSV!I543)&gt;0,Taostats_CSV!I543,""))</f>
        <v/>
      </c>
      <c r="L543" t="str">
        <f>IF(Taostats_CSV!E543&lt;&gt;"TAO",IF(LEN(F543)&gt;0,F543,IF(LEN(D543)&gt;0,D543,0))*Taostats_CSV!P543,"")</f>
        <v/>
      </c>
      <c r="M543" t="str">
        <f t="shared" si="63"/>
        <v/>
      </c>
      <c r="N543">
        <f>COUNTIF(Taostats_CSV!$X:$X,Taostats_CSV!$I543&amp;N$1)</f>
        <v>0</v>
      </c>
      <c r="O543">
        <f>COUNTIF(Taostats_CSV!$X:$X,Taostats_CSV!$I543&amp;O$1)</f>
        <v>0</v>
      </c>
      <c r="P543">
        <f>COUNTIF(Taostats_CSV!$X:$X,Taostats_CSV!$I543&amp;P$1)</f>
        <v>0</v>
      </c>
      <c r="Q543" t="b">
        <f t="shared" si="64"/>
        <v>0</v>
      </c>
      <c r="R543" t="b">
        <f>IF(LEN(K543)&gt;0,COUNTIF($K$3:K543,K543),FALSE)</f>
        <v>0</v>
      </c>
      <c r="S543" t="b">
        <f>IF(Taostats_CSV!A543=Taostats_CSV!$A$2,TRUE,Taostats_CSV!G543+Taostats_CSV!H543+Taostats_CSV!R543=0)</f>
        <v>1</v>
      </c>
      <c r="T543" t="b">
        <f t="shared" si="65"/>
        <v>0</v>
      </c>
      <c r="U543" t="b" cm="1">
        <f t="array" aca="1" ref="U543" ca="1">AND(T543,OR(O543-N543&gt;1,P543&gt;1,ISERROR(A543:P543)))</f>
        <v>0</v>
      </c>
      <c r="W543" t="e">
        <f>MATCH(K543&amp;$W$2,Taostats_CSV!$X$3:$X$1167,0)</f>
        <v>#N/A</v>
      </c>
      <c r="X543" t="e">
        <f t="shared" ca="1" si="60"/>
        <v>#VALUE!</v>
      </c>
      <c r="Y543">
        <f t="shared" ca="1" si="61"/>
        <v>0</v>
      </c>
      <c r="Z543" t="e">
        <f t="shared" ca="1" si="62"/>
        <v>#VALUE!</v>
      </c>
    </row>
    <row r="544" spans="1:26" x14ac:dyDescent="0.4">
      <c r="A544" t="str">
        <f>MID(Taostats_CSV!C544,6,2)&amp;"/"&amp;MID(Taostats_CSV!C544,9,2)&amp;"/"&amp;LEFT(Taostats_CSV!C544,4)&amp;" "&amp;MID(Taostats_CSV!C544,12,8)</f>
        <v>06/29/2025 23:59:48</v>
      </c>
      <c r="C544" t="str">
        <f ca="1">IF(Q544,OFFSET(Taostats_CSV!$E$1,MATCH(K544&amp;D$1,Taostats_CSV!$X:$X,0)-1,0),IF(Taostats_CSV!F544="fee",IF(VALUE(Taostats_CSV!G544)&gt;0,Taostats_CSV!E544,""),""))</f>
        <v/>
      </c>
      <c r="D544" t="str">
        <f ca="1">IF(Q544,OFFSET(Taostats_CSV!$G$1,MATCH(K544&amp;D$1,Taostats_CSV!$X:$X,0)-1,0),IF(Taostats_CSV!F544="fee",IF(VALUE(Taostats_CSV!G544)&gt;0,Taostats_CSV!G544,""),""))</f>
        <v/>
      </c>
      <c r="E544" t="str">
        <f ca="1">IF(AND(Q544,P544&gt;0),OFFSET(Taostats_CSV!$E$1,MATCH(K544&amp;F$1,Taostats_CSV!$X:$X,0)-1,0),IF(LEN(F544)&gt;0,Taostats_CSV!E544,""))</f>
        <v>SN3</v>
      </c>
      <c r="F544" t="str">
        <f ca="1">TRIM(IF(AND(Q544,P544&gt;0),OFFSET(Taostats_CSV!$H$1,MATCH(K544&amp;F$1,Taostats_CSV!$X:$X,0)-1,0),IF(LEN(Taostats_CSV!H544)&gt;0,Taostats_CSV!H544,Taostats_CSV!R544)))</f>
        <v>0.429176664</v>
      </c>
      <c r="G544" t="str">
        <f ca="1">IF(AND(Q544,N544=1),OFFSET(Taostats_CSV!$E$1,MATCH(K544&amp;H$1,Taostats_CSV!$X:$X,0)-1,0),"")</f>
        <v/>
      </c>
      <c r="H544" t="str">
        <f ca="1">IF(AND(Q544,N544=1),OFFSET(Taostats_CSV!$G$1,MATCH(K544&amp;H$1,Taostats_CSV!$X:$X,0)-1,0),"")</f>
        <v/>
      </c>
      <c r="I544" t="str">
        <f ca="1">IF(AND(LEN(K544)=0,LEN(F544)&gt;0),"Income",IF(AND(O544&gt;0,P544&gt;0,C544&lt;&gt;E544),"Trade",IF(AND(NOT(Q544),Taostats_CSV!F544="fee"),'READ ME'!$C$5,"")))</f>
        <v>Income</v>
      </c>
      <c r="J544" t="str">
        <f ca="1">SUBSTITUTE(IF(LEN(I544)=0,Taostats_CSV!F544&amp;" "&amp;Taostats_CSV!J544,IF(I544="Cost","Extrinsic fee","")),"_"," ")</f>
        <v/>
      </c>
      <c r="K544" t="str">
        <f>TRIM(IF(LEN(Taostats_CSV!I544)&gt;0,Taostats_CSV!I544,""))</f>
        <v/>
      </c>
      <c r="L544">
        <f ca="1">IF(Taostats_CSV!E544&lt;&gt;"TAO",IF(LEN(F544)&gt;0,F544,IF(LEN(D544)&gt;0,D544,0))*Taostats_CSV!P544,"")</f>
        <v>9.8008558800342698</v>
      </c>
      <c r="M544" t="str">
        <f t="shared" ca="1" si="63"/>
        <v>USD</v>
      </c>
      <c r="N544">
        <f>COUNTIF(Taostats_CSV!$X:$X,Taostats_CSV!$I544&amp;N$1)</f>
        <v>0</v>
      </c>
      <c r="O544">
        <f>COUNTIF(Taostats_CSV!$X:$X,Taostats_CSV!$I544&amp;O$1)</f>
        <v>0</v>
      </c>
      <c r="P544">
        <f>COUNTIF(Taostats_CSV!$X:$X,Taostats_CSV!$I544&amp;P$1)</f>
        <v>0</v>
      </c>
      <c r="Q544" t="b">
        <f t="shared" si="64"/>
        <v>0</v>
      </c>
      <c r="R544" t="b">
        <f>IF(LEN(K544)&gt;0,COUNTIF($K$3:K544,K544),FALSE)</f>
        <v>0</v>
      </c>
      <c r="S544" t="b">
        <f>IF(Taostats_CSV!A544=Taostats_CSV!$A$2,TRUE,Taostats_CSV!G544+Taostats_CSV!H544+Taostats_CSV!R544=0)</f>
        <v>0</v>
      </c>
      <c r="T544" t="b">
        <f t="shared" si="65"/>
        <v>1</v>
      </c>
      <c r="U544" t="b" cm="1">
        <f t="array" aca="1" ref="U544" ca="1">AND(T544,OR(O544-N544&gt;1,P544&gt;1,ISERROR(A544:P544)))</f>
        <v>0</v>
      </c>
      <c r="W544" t="e">
        <f>MATCH(K544&amp;$W$2,Taostats_CSV!$X$3:$X$1167,0)</f>
        <v>#N/A</v>
      </c>
      <c r="X544" t="e">
        <f t="shared" ca="1" si="60"/>
        <v>#VALUE!</v>
      </c>
      <c r="Y544">
        <f t="shared" ca="1" si="61"/>
        <v>0.42917666399999999</v>
      </c>
      <c r="Z544" t="e">
        <f t="shared" ca="1" si="62"/>
        <v>#VALUE!</v>
      </c>
    </row>
    <row r="545" spans="1:26" x14ac:dyDescent="0.4">
      <c r="A545" t="str">
        <f>MID(Taostats_CSV!C545,6,2)&amp;"/"&amp;MID(Taostats_CSV!C545,9,2)&amp;"/"&amp;LEFT(Taostats_CSV!C545,4)&amp;" "&amp;MID(Taostats_CSV!C545,12,8)</f>
        <v>06/29/2025 23:59:48</v>
      </c>
      <c r="C545" t="str">
        <f ca="1">IF(Q545,OFFSET(Taostats_CSV!$E$1,MATCH(K545&amp;D$1,Taostats_CSV!$X:$X,0)-1,0),IF(Taostats_CSV!F545="fee",IF(VALUE(Taostats_CSV!G545)&gt;0,Taostats_CSV!E545,""),""))</f>
        <v/>
      </c>
      <c r="D545" t="str">
        <f ca="1">IF(Q545,OFFSET(Taostats_CSV!$G$1,MATCH(K545&amp;D$1,Taostats_CSV!$X:$X,0)-1,0),IF(Taostats_CSV!F545="fee",IF(VALUE(Taostats_CSV!G545)&gt;0,Taostats_CSV!G545,""),""))</f>
        <v/>
      </c>
      <c r="E545" t="str">
        <f ca="1">IF(AND(Q545,P545&gt;0),OFFSET(Taostats_CSV!$E$1,MATCH(K545&amp;F$1,Taostats_CSV!$X:$X,0)-1,0),IF(LEN(F545)&gt;0,Taostats_CSV!E545,""))</f>
        <v>SN4</v>
      </c>
      <c r="F545" t="str">
        <f ca="1">TRIM(IF(AND(Q545,P545&gt;0),OFFSET(Taostats_CSV!$H$1,MATCH(K545&amp;F$1,Taostats_CSV!$X:$X,0)-1,0),IF(LEN(Taostats_CSV!H545)&gt;0,Taostats_CSV!H545,Taostats_CSV!R545)))</f>
        <v>0.494581815</v>
      </c>
      <c r="G545" t="str">
        <f ca="1">IF(AND(Q545,N545=1),OFFSET(Taostats_CSV!$E$1,MATCH(K545&amp;H$1,Taostats_CSV!$X:$X,0)-1,0),"")</f>
        <v/>
      </c>
      <c r="H545" t="str">
        <f ca="1">IF(AND(Q545,N545=1),OFFSET(Taostats_CSV!$G$1,MATCH(K545&amp;H$1,Taostats_CSV!$X:$X,0)-1,0),"")</f>
        <v/>
      </c>
      <c r="I545" t="str">
        <f ca="1">IF(AND(LEN(K545)=0,LEN(F545)&gt;0),"Income",IF(AND(O545&gt;0,P545&gt;0,C545&lt;&gt;E545),"Trade",IF(AND(NOT(Q545),Taostats_CSV!F545="fee"),'READ ME'!$C$5,"")))</f>
        <v>Income</v>
      </c>
      <c r="J545" t="str">
        <f ca="1">SUBSTITUTE(IF(LEN(I545)=0,Taostats_CSV!F545&amp;" "&amp;Taostats_CSV!J545,IF(I545="Cost","Extrinsic fee","")),"_"," ")</f>
        <v/>
      </c>
      <c r="K545" t="str">
        <f>TRIM(IF(LEN(Taostats_CSV!I545)&gt;0,Taostats_CSV!I545,""))</f>
        <v/>
      </c>
      <c r="L545">
        <f ca="1">IF(Taostats_CSV!E545&lt;&gt;"TAO",IF(LEN(F545)&gt;0,F545,IF(LEN(D545)&gt;0,D545,0))*Taostats_CSV!P545,"")</f>
        <v>11.875054307456717</v>
      </c>
      <c r="M545" t="str">
        <f t="shared" ca="1" si="63"/>
        <v>USD</v>
      </c>
      <c r="N545">
        <f>COUNTIF(Taostats_CSV!$X:$X,Taostats_CSV!$I545&amp;N$1)</f>
        <v>0</v>
      </c>
      <c r="O545">
        <f>COUNTIF(Taostats_CSV!$X:$X,Taostats_CSV!$I545&amp;O$1)</f>
        <v>0</v>
      </c>
      <c r="P545">
        <f>COUNTIF(Taostats_CSV!$X:$X,Taostats_CSV!$I545&amp;P$1)</f>
        <v>0</v>
      </c>
      <c r="Q545" t="b">
        <f t="shared" si="64"/>
        <v>0</v>
      </c>
      <c r="R545" t="b">
        <f>IF(LEN(K545)&gt;0,COUNTIF($K$3:K545,K545),FALSE)</f>
        <v>0</v>
      </c>
      <c r="S545" t="b">
        <f>IF(Taostats_CSV!A545=Taostats_CSV!$A$2,TRUE,Taostats_CSV!G545+Taostats_CSV!H545+Taostats_CSV!R545=0)</f>
        <v>0</v>
      </c>
      <c r="T545" t="b">
        <f t="shared" si="65"/>
        <v>1</v>
      </c>
      <c r="U545" t="b" cm="1">
        <f t="array" aca="1" ref="U545" ca="1">AND(T545,OR(O545-N545&gt;1,P545&gt;1,ISERROR(A545:P545)))</f>
        <v>0</v>
      </c>
      <c r="W545" t="e">
        <f>MATCH(K545&amp;$W$2,Taostats_CSV!$X$3:$X$1167,0)</f>
        <v>#N/A</v>
      </c>
      <c r="X545" t="e">
        <f t="shared" ca="1" si="60"/>
        <v>#VALUE!</v>
      </c>
      <c r="Y545">
        <f t="shared" ca="1" si="61"/>
        <v>0.49458181499999998</v>
      </c>
      <c r="Z545" t="e">
        <f t="shared" ca="1" si="62"/>
        <v>#VALUE!</v>
      </c>
    </row>
    <row r="546" spans="1:26" x14ac:dyDescent="0.4">
      <c r="A546" t="str">
        <f>MID(Taostats_CSV!C546,6,2)&amp;"/"&amp;MID(Taostats_CSV!C546,9,2)&amp;"/"&amp;LEFT(Taostats_CSV!C546,4)&amp;" "&amp;MID(Taostats_CSV!C546,12,8)</f>
        <v>06/29/2025 23:59:48</v>
      </c>
      <c r="C546" t="str">
        <f ca="1">IF(Q546,OFFSET(Taostats_CSV!$E$1,MATCH(K546&amp;D$1,Taostats_CSV!$X:$X,0)-1,0),IF(Taostats_CSV!F546="fee",IF(VALUE(Taostats_CSV!G546)&gt;0,Taostats_CSV!E546,""),""))</f>
        <v/>
      </c>
      <c r="D546" t="str">
        <f ca="1">IF(Q546,OFFSET(Taostats_CSV!$G$1,MATCH(K546&amp;D$1,Taostats_CSV!$X:$X,0)-1,0),IF(Taostats_CSV!F546="fee",IF(VALUE(Taostats_CSV!G546)&gt;0,Taostats_CSV!G546,""),""))</f>
        <v/>
      </c>
      <c r="E546" t="str">
        <f ca="1">IF(AND(Q546,P546&gt;0),OFFSET(Taostats_CSV!$E$1,MATCH(K546&amp;F$1,Taostats_CSV!$X:$X,0)-1,0),IF(LEN(F546)&gt;0,Taostats_CSV!E546,""))</f>
        <v>SN56</v>
      </c>
      <c r="F546" t="str">
        <f ca="1">TRIM(IF(AND(Q546,P546&gt;0),OFFSET(Taostats_CSV!$H$1,MATCH(K546&amp;F$1,Taostats_CSV!$X:$X,0)-1,0),IF(LEN(Taostats_CSV!H546)&gt;0,Taostats_CSV!H546,Taostats_CSV!R546)))</f>
        <v>0.263125003</v>
      </c>
      <c r="G546" t="str">
        <f ca="1">IF(AND(Q546,N546=1),OFFSET(Taostats_CSV!$E$1,MATCH(K546&amp;H$1,Taostats_CSV!$X:$X,0)-1,0),"")</f>
        <v/>
      </c>
      <c r="H546" t="str">
        <f ca="1">IF(AND(Q546,N546=1),OFFSET(Taostats_CSV!$G$1,MATCH(K546&amp;H$1,Taostats_CSV!$X:$X,0)-1,0),"")</f>
        <v/>
      </c>
      <c r="I546" t="str">
        <f ca="1">IF(AND(LEN(K546)=0,LEN(F546)&gt;0),"Income",IF(AND(O546&gt;0,P546&gt;0,C546&lt;&gt;E546),"Trade",IF(AND(NOT(Q546),Taostats_CSV!F546="fee"),'READ ME'!$C$5,"")))</f>
        <v>Income</v>
      </c>
      <c r="J546" t="str">
        <f ca="1">SUBSTITUTE(IF(LEN(I546)=0,Taostats_CSV!F546&amp;" "&amp;Taostats_CSV!J546,IF(I546="Cost","Extrinsic fee","")),"_"," ")</f>
        <v/>
      </c>
      <c r="K546" t="str">
        <f>TRIM(IF(LEN(Taostats_CSV!I546)&gt;0,Taostats_CSV!I546,""))</f>
        <v/>
      </c>
      <c r="L546">
        <f ca="1">IF(Taostats_CSV!E546&lt;&gt;"TAO",IF(LEN(F546)&gt;0,F546,IF(LEN(D546)&gt;0,D546,0))*Taostats_CSV!P546,"")</f>
        <v>5.380194254862543</v>
      </c>
      <c r="M546" t="str">
        <f t="shared" ca="1" si="63"/>
        <v>USD</v>
      </c>
      <c r="N546">
        <f>COUNTIF(Taostats_CSV!$X:$X,Taostats_CSV!$I546&amp;N$1)</f>
        <v>0</v>
      </c>
      <c r="O546">
        <f>COUNTIF(Taostats_CSV!$X:$X,Taostats_CSV!$I546&amp;O$1)</f>
        <v>0</v>
      </c>
      <c r="P546">
        <f>COUNTIF(Taostats_CSV!$X:$X,Taostats_CSV!$I546&amp;P$1)</f>
        <v>0</v>
      </c>
      <c r="Q546" t="b">
        <f t="shared" si="64"/>
        <v>0</v>
      </c>
      <c r="R546" t="b">
        <f>IF(LEN(K546)&gt;0,COUNTIF($K$3:K546,K546),FALSE)</f>
        <v>0</v>
      </c>
      <c r="S546" t="b">
        <f>IF(Taostats_CSV!A546=Taostats_CSV!$A$2,TRUE,Taostats_CSV!G546+Taostats_CSV!H546+Taostats_CSV!R546=0)</f>
        <v>0</v>
      </c>
      <c r="T546" t="b">
        <f t="shared" si="65"/>
        <v>1</v>
      </c>
      <c r="U546" t="b" cm="1">
        <f t="array" aca="1" ref="U546" ca="1">AND(T546,OR(O546-N546&gt;1,P546&gt;1,ISERROR(A546:P546)))</f>
        <v>0</v>
      </c>
      <c r="W546" t="e">
        <f>MATCH(K546&amp;$W$2,Taostats_CSV!$X$3:$X$1167,0)</f>
        <v>#N/A</v>
      </c>
      <c r="X546" t="e">
        <f t="shared" ca="1" si="60"/>
        <v>#VALUE!</v>
      </c>
      <c r="Y546">
        <f t="shared" ca="1" si="61"/>
        <v>0.26312500300000002</v>
      </c>
      <c r="Z546" t="e">
        <f t="shared" ca="1" si="62"/>
        <v>#VALUE!</v>
      </c>
    </row>
    <row r="547" spans="1:26" x14ac:dyDescent="0.4">
      <c r="A547" t="str">
        <f>MID(Taostats_CSV!C547,6,2)&amp;"/"&amp;MID(Taostats_CSV!C547,9,2)&amp;"/"&amp;LEFT(Taostats_CSV!C547,4)&amp;" "&amp;MID(Taostats_CSV!C547,12,8)</f>
        <v>06/29/2025 23:59:48</v>
      </c>
      <c r="C547" t="str">
        <f ca="1">IF(Q547,OFFSET(Taostats_CSV!$E$1,MATCH(K547&amp;D$1,Taostats_CSV!$X:$X,0)-1,0),IF(Taostats_CSV!F547="fee",IF(VALUE(Taostats_CSV!G547)&gt;0,Taostats_CSV!E547,""),""))</f>
        <v/>
      </c>
      <c r="D547" t="str">
        <f ca="1">IF(Q547,OFFSET(Taostats_CSV!$G$1,MATCH(K547&amp;D$1,Taostats_CSV!$X:$X,0)-1,0),IF(Taostats_CSV!F547="fee",IF(VALUE(Taostats_CSV!G547)&gt;0,Taostats_CSV!G547,""),""))</f>
        <v/>
      </c>
      <c r="E547" t="str">
        <f ca="1">IF(AND(Q547,P547&gt;0),OFFSET(Taostats_CSV!$E$1,MATCH(K547&amp;F$1,Taostats_CSV!$X:$X,0)-1,0),IF(LEN(F547)&gt;0,Taostats_CSV!E547,""))</f>
        <v>SN64</v>
      </c>
      <c r="F547" t="str">
        <f ca="1">TRIM(IF(AND(Q547,P547&gt;0),OFFSET(Taostats_CSV!$H$1,MATCH(K547&amp;F$1,Taostats_CSV!$X:$X,0)-1,0),IF(LEN(Taostats_CSV!H547)&gt;0,Taostats_CSV!H547,Taostats_CSV!R547)))</f>
        <v>0.156391223</v>
      </c>
      <c r="G547" t="str">
        <f ca="1">IF(AND(Q547,N547=1),OFFSET(Taostats_CSV!$E$1,MATCH(K547&amp;H$1,Taostats_CSV!$X:$X,0)-1,0),"")</f>
        <v/>
      </c>
      <c r="H547" t="str">
        <f ca="1">IF(AND(Q547,N547=1),OFFSET(Taostats_CSV!$G$1,MATCH(K547&amp;H$1,Taostats_CSV!$X:$X,0)-1,0),"")</f>
        <v/>
      </c>
      <c r="I547" t="str">
        <f ca="1">IF(AND(LEN(K547)=0,LEN(F547)&gt;0),"Income",IF(AND(O547&gt;0,P547&gt;0,C547&lt;&gt;E547),"Trade",IF(AND(NOT(Q547),Taostats_CSV!F547="fee"),'READ ME'!$C$5,"")))</f>
        <v>Income</v>
      </c>
      <c r="J547" t="str">
        <f ca="1">SUBSTITUTE(IF(LEN(I547)=0,Taostats_CSV!F547&amp;" "&amp;Taostats_CSV!J547,IF(I547="Cost","Extrinsic fee","")),"_"," ")</f>
        <v/>
      </c>
      <c r="K547" t="str">
        <f>TRIM(IF(LEN(Taostats_CSV!I547)&gt;0,Taostats_CSV!I547,""))</f>
        <v/>
      </c>
      <c r="L547">
        <f ca="1">IF(Taostats_CSV!E547&lt;&gt;"TAO",IF(LEN(F547)&gt;0,F547,IF(LEN(D547)&gt;0,D547,0))*Taostats_CSV!P547,"")</f>
        <v>9.2622207954166811</v>
      </c>
      <c r="M547" t="str">
        <f t="shared" ca="1" si="63"/>
        <v>USD</v>
      </c>
      <c r="N547">
        <f>COUNTIF(Taostats_CSV!$X:$X,Taostats_CSV!$I547&amp;N$1)</f>
        <v>0</v>
      </c>
      <c r="O547">
        <f>COUNTIF(Taostats_CSV!$X:$X,Taostats_CSV!$I547&amp;O$1)</f>
        <v>0</v>
      </c>
      <c r="P547">
        <f>COUNTIF(Taostats_CSV!$X:$X,Taostats_CSV!$I547&amp;P$1)</f>
        <v>0</v>
      </c>
      <c r="Q547" t="b">
        <f t="shared" si="64"/>
        <v>0</v>
      </c>
      <c r="R547" t="b">
        <f>IF(LEN(K547)&gt;0,COUNTIF($K$3:K547,K547),FALSE)</f>
        <v>0</v>
      </c>
      <c r="S547" t="b">
        <f>IF(Taostats_CSV!A547=Taostats_CSV!$A$2,TRUE,Taostats_CSV!G547+Taostats_CSV!H547+Taostats_CSV!R547=0)</f>
        <v>0</v>
      </c>
      <c r="T547" t="b">
        <f t="shared" si="65"/>
        <v>1</v>
      </c>
      <c r="U547" t="b" cm="1">
        <f t="array" aca="1" ref="U547" ca="1">AND(T547,OR(O547-N547&gt;1,P547&gt;1,ISERROR(A547:P547)))</f>
        <v>0</v>
      </c>
      <c r="W547" t="e">
        <f>MATCH(K547&amp;$W$2,Taostats_CSV!$X$3:$X$1167,0)</f>
        <v>#N/A</v>
      </c>
      <c r="X547" t="e">
        <f t="shared" ca="1" si="60"/>
        <v>#VALUE!</v>
      </c>
      <c r="Y547">
        <f t="shared" ca="1" si="61"/>
        <v>0.156391223</v>
      </c>
      <c r="Z547" t="e">
        <f t="shared" ca="1" si="62"/>
        <v>#VALUE!</v>
      </c>
    </row>
    <row r="548" spans="1:26" hidden="1" x14ac:dyDescent="0.4">
      <c r="A548" t="str">
        <f>MID(Taostats_CSV!C548,6,2)&amp;"/"&amp;MID(Taostats_CSV!C548,9,2)&amp;"/"&amp;LEFT(Taostats_CSV!C548,4)&amp;" "&amp;MID(Taostats_CSV!C548,12,8)</f>
        <v>06/29/2025 23:59:48</v>
      </c>
      <c r="C548" t="str">
        <f ca="1">IF(Q548,OFFSET(Taostats_CSV!$E$1,MATCH(K548&amp;D$1,Taostats_CSV!$X:$X,0)-1,0),IF(Taostats_CSV!F548="fee","",IF(VALUE(Taostats_CSV!G548)&gt;0,Taostats_CSV!E548,"")))</f>
        <v/>
      </c>
      <c r="D548" t="str">
        <f ca="1">IF(Q548,OFFSET(Taostats_CSV!$G$1,MATCH(K548&amp;D$1,Taostats_CSV!$X:$X,0)-1,0),IF(Taostats_CSV!F548="fee","",IF(VALUE(Taostats_CSV!G548)&gt;0,Taostats_CSV!G548,"")))</f>
        <v/>
      </c>
      <c r="E548" t="str">
        <f ca="1">IF(AND(Q548,P548&gt;0),OFFSET(Taostats_CSV!$E$1,MATCH(K548&amp;F$1,Taostats_CSV!$X:$X,0)-1,0),IF(LEN(F548)&gt;0,Taostats_CSV!E548,""))</f>
        <v>TAO</v>
      </c>
      <c r="F548" t="str">
        <f ca="1">TRIM(IF(AND(Q548,P548&gt;0),OFFSET(Taostats_CSV!$H$1,MATCH(K548&amp;F$1,Taostats_CSV!$X:$X,0)-1,0),IF(LEN(Taostats_CSV!H548)&gt;0,Taostats_CSV!H548,Taostats_CSV!R548)))</f>
        <v>0</v>
      </c>
      <c r="G548" t="str">
        <f ca="1">IF(AND(Q548,N548=1),OFFSET(Taostats_CSV!$E$1,MATCH(K548&amp;H$1,Taostats_CSV!$X:$X,0)-1,0),IF(Taostats_CSV!F548="fee",Taostats_CSV!E548,""))</f>
        <v/>
      </c>
      <c r="H548" t="str">
        <f ca="1">IF(AND(Q548,N548=1),OFFSET(Taostats_CSV!$G$1,MATCH(K548&amp;H$1,Taostats_CSV!$X:$X,0)-1,0),IF(Taostats_CSV!F548="fee",Taostats_CSV!G548,""))</f>
        <v/>
      </c>
      <c r="I548" t="str">
        <f ca="1">IF(AND(LEN(K548)=0,LEN(F548)&gt;0),"Income",IF(AND(O548&gt;0,P548&gt;0,C548&lt;&gt;E548),"Trade",IF(AND(NOT(Q548),Taostats_CSV!F548="fee"),'READ ME'!$C$5,"")))</f>
        <v>Income</v>
      </c>
      <c r="J548" t="str">
        <f ca="1">SUBSTITUTE(IF(LEN(I548)=0,Taostats_CSV!F548&amp;" "&amp;Taostats_CSV!J548,IF(I548="Cost","Extrinsic fee","")),"_"," ")</f>
        <v/>
      </c>
      <c r="K548" t="str">
        <f>TRIM(IF(LEN(Taostats_CSV!I548)&gt;0,Taostats_CSV!I548,""))</f>
        <v/>
      </c>
      <c r="L548" t="str">
        <f>IF(Taostats_CSV!E548&lt;&gt;"TAO",IF(LEN(F548)&gt;0,F548,IF(LEN(D548)&gt;0,D548,0))*Taostats_CSV!P548,"")</f>
        <v/>
      </c>
      <c r="M548" t="str">
        <f t="shared" si="63"/>
        <v/>
      </c>
      <c r="N548">
        <f>COUNTIF(Taostats_CSV!$X:$X,Taostats_CSV!$I548&amp;N$1)</f>
        <v>0</v>
      </c>
      <c r="O548">
        <f>COUNTIF(Taostats_CSV!$X:$X,Taostats_CSV!$I548&amp;O$1)</f>
        <v>0</v>
      </c>
      <c r="P548">
        <f>COUNTIF(Taostats_CSV!$X:$X,Taostats_CSV!$I548&amp;P$1)</f>
        <v>0</v>
      </c>
      <c r="Q548" t="b">
        <f t="shared" si="64"/>
        <v>0</v>
      </c>
      <c r="R548" t="b">
        <f>IF(LEN(K548)&gt;0,COUNTIF($K$3:K548,K548),FALSE)</f>
        <v>0</v>
      </c>
      <c r="S548" t="b">
        <f>IF(Taostats_CSV!A548=Taostats_CSV!$A$2,TRUE,Taostats_CSV!G548+Taostats_CSV!H548+Taostats_CSV!R548=0)</f>
        <v>1</v>
      </c>
      <c r="T548" t="b">
        <f t="shared" si="65"/>
        <v>0</v>
      </c>
      <c r="U548" t="b" cm="1">
        <f t="array" aca="1" ref="U548" ca="1">AND(T548,OR(O548-N548&gt;1,P548&gt;1,ISERROR(A548:P548)))</f>
        <v>0</v>
      </c>
      <c r="W548" t="e">
        <f>MATCH(K548&amp;$W$2,Taostats_CSV!$X$3:$X$1167,0)</f>
        <v>#N/A</v>
      </c>
      <c r="X548" t="e">
        <f t="shared" ca="1" si="60"/>
        <v>#VALUE!</v>
      </c>
      <c r="Y548">
        <f t="shared" ca="1" si="61"/>
        <v>0</v>
      </c>
      <c r="Z548" t="e">
        <f t="shared" ca="1" si="62"/>
        <v>#VALUE!</v>
      </c>
    </row>
    <row r="549" spans="1:26" x14ac:dyDescent="0.4">
      <c r="A549" t="str">
        <f>MID(Taostats_CSV!C549,6,2)&amp;"/"&amp;MID(Taostats_CSV!C549,9,2)&amp;"/"&amp;LEFT(Taostats_CSV!C549,4)&amp;" "&amp;MID(Taostats_CSV!C549,12,8)</f>
        <v>06/30/2025 23:59:48</v>
      </c>
      <c r="C549" t="str">
        <f ca="1">IF(Q549,OFFSET(Taostats_CSV!$E$1,MATCH(K549&amp;D$1,Taostats_CSV!$X:$X,0)-1,0),IF(Taostats_CSV!F549="fee",IF(VALUE(Taostats_CSV!G549)&gt;0,Taostats_CSV!E549,""),""))</f>
        <v/>
      </c>
      <c r="D549" t="str">
        <f ca="1">IF(Q549,OFFSET(Taostats_CSV!$G$1,MATCH(K549&amp;D$1,Taostats_CSV!$X:$X,0)-1,0),IF(Taostats_CSV!F549="fee",IF(VALUE(Taostats_CSV!G549)&gt;0,Taostats_CSV!G549,""),""))</f>
        <v/>
      </c>
      <c r="E549" t="str">
        <f ca="1">IF(AND(Q549,P549&gt;0),OFFSET(Taostats_CSV!$E$1,MATCH(K549&amp;F$1,Taostats_CSV!$X:$X,0)-1,0),IF(LEN(F549)&gt;0,Taostats_CSV!E549,""))</f>
        <v>SN3</v>
      </c>
      <c r="F549" t="str">
        <f ca="1">TRIM(IF(AND(Q549,P549&gt;0),OFFSET(Taostats_CSV!$H$1,MATCH(K549&amp;F$1,Taostats_CSV!$X:$X,0)-1,0),IF(LEN(Taostats_CSV!H549)&gt;0,Taostats_CSV!H549,Taostats_CSV!R549)))</f>
        <v>0.428359792</v>
      </c>
      <c r="G549" t="str">
        <f ca="1">IF(AND(Q549,N549=1),OFFSET(Taostats_CSV!$E$1,MATCH(K549&amp;H$1,Taostats_CSV!$X:$X,0)-1,0),"")</f>
        <v/>
      </c>
      <c r="H549" t="str">
        <f ca="1">IF(AND(Q549,N549=1),OFFSET(Taostats_CSV!$G$1,MATCH(K549&amp;H$1,Taostats_CSV!$X:$X,0)-1,0),"")</f>
        <v/>
      </c>
      <c r="I549" t="str">
        <f ca="1">IF(AND(LEN(K549)=0,LEN(F549)&gt;0),"Income",IF(AND(O549&gt;0,P549&gt;0,C549&lt;&gt;E549),"Trade",IF(AND(NOT(Q549),Taostats_CSV!F549="fee"),'READ ME'!$C$5,"")))</f>
        <v>Income</v>
      </c>
      <c r="J549" t="str">
        <f ca="1">SUBSTITUTE(IF(LEN(I549)=0,Taostats_CSV!F549&amp;" "&amp;Taostats_CSV!J549,IF(I549="Cost","Extrinsic fee","")),"_"," ")</f>
        <v/>
      </c>
      <c r="K549" t="str">
        <f>TRIM(IF(LEN(Taostats_CSV!I549)&gt;0,Taostats_CSV!I549,""))</f>
        <v/>
      </c>
      <c r="L549">
        <f ca="1">IF(Taostats_CSV!E549&lt;&gt;"TAO",IF(LEN(F549)&gt;0,F549,IF(LEN(D549)&gt;0,D549,0))*Taostats_CSV!P549,"")</f>
        <v>9.3751563164573497</v>
      </c>
      <c r="M549" t="str">
        <f t="shared" ca="1" si="63"/>
        <v>USD</v>
      </c>
      <c r="N549">
        <f>COUNTIF(Taostats_CSV!$X:$X,Taostats_CSV!$I549&amp;N$1)</f>
        <v>0</v>
      </c>
      <c r="O549">
        <f>COUNTIF(Taostats_CSV!$X:$X,Taostats_CSV!$I549&amp;O$1)</f>
        <v>0</v>
      </c>
      <c r="P549">
        <f>COUNTIF(Taostats_CSV!$X:$X,Taostats_CSV!$I549&amp;P$1)</f>
        <v>0</v>
      </c>
      <c r="Q549" t="b">
        <f t="shared" si="64"/>
        <v>0</v>
      </c>
      <c r="R549" t="b">
        <f>IF(LEN(K549)&gt;0,COUNTIF($K$3:K549,K549),FALSE)</f>
        <v>0</v>
      </c>
      <c r="S549" t="b">
        <f>IF(Taostats_CSV!A549=Taostats_CSV!$A$2,TRUE,Taostats_CSV!G549+Taostats_CSV!H549+Taostats_CSV!R549=0)</f>
        <v>0</v>
      </c>
      <c r="T549" t="b">
        <f t="shared" si="65"/>
        <v>1</v>
      </c>
      <c r="U549" t="b" cm="1">
        <f t="array" aca="1" ref="U549" ca="1">AND(T549,OR(O549-N549&gt;1,P549&gt;1,ISERROR(A549:P549)))</f>
        <v>0</v>
      </c>
      <c r="W549" t="e">
        <f>MATCH(K549&amp;$W$2,Taostats_CSV!$X$3:$X$1167,0)</f>
        <v>#N/A</v>
      </c>
      <c r="X549" t="e">
        <f t="shared" ca="1" si="60"/>
        <v>#VALUE!</v>
      </c>
      <c r="Y549">
        <f t="shared" ca="1" si="61"/>
        <v>0.42835979200000002</v>
      </c>
      <c r="Z549" t="e">
        <f t="shared" ca="1" si="62"/>
        <v>#VALUE!</v>
      </c>
    </row>
    <row r="550" spans="1:26" x14ac:dyDescent="0.4">
      <c r="A550" t="str">
        <f>MID(Taostats_CSV!C550,6,2)&amp;"/"&amp;MID(Taostats_CSV!C550,9,2)&amp;"/"&amp;LEFT(Taostats_CSV!C550,4)&amp;" "&amp;MID(Taostats_CSV!C550,12,8)</f>
        <v>06/30/2025 23:59:48</v>
      </c>
      <c r="C550" t="str">
        <f ca="1">IF(Q550,OFFSET(Taostats_CSV!$E$1,MATCH(K550&amp;D$1,Taostats_CSV!$X:$X,0)-1,0),IF(Taostats_CSV!F550="fee",IF(VALUE(Taostats_CSV!G550)&gt;0,Taostats_CSV!E550,""),""))</f>
        <v/>
      </c>
      <c r="D550" t="str">
        <f ca="1">IF(Q550,OFFSET(Taostats_CSV!$G$1,MATCH(K550&amp;D$1,Taostats_CSV!$X:$X,0)-1,0),IF(Taostats_CSV!F550="fee",IF(VALUE(Taostats_CSV!G550)&gt;0,Taostats_CSV!G550,""),""))</f>
        <v/>
      </c>
      <c r="E550" t="str">
        <f ca="1">IF(AND(Q550,P550&gt;0),OFFSET(Taostats_CSV!$E$1,MATCH(K550&amp;F$1,Taostats_CSV!$X:$X,0)-1,0),IF(LEN(F550)&gt;0,Taostats_CSV!E550,""))</f>
        <v>SN4</v>
      </c>
      <c r="F550" t="str">
        <f ca="1">TRIM(IF(AND(Q550,P550&gt;0),OFFSET(Taostats_CSV!$H$1,MATCH(K550&amp;F$1,Taostats_CSV!$X:$X,0)-1,0),IF(LEN(Taostats_CSV!H550)&gt;0,Taostats_CSV!H550,Taostats_CSV!R550)))</f>
        <v>0.496416768</v>
      </c>
      <c r="G550" t="str">
        <f ca="1">IF(AND(Q550,N550=1),OFFSET(Taostats_CSV!$E$1,MATCH(K550&amp;H$1,Taostats_CSV!$X:$X,0)-1,0),"")</f>
        <v/>
      </c>
      <c r="H550" t="str">
        <f ca="1">IF(AND(Q550,N550=1),OFFSET(Taostats_CSV!$G$1,MATCH(K550&amp;H$1,Taostats_CSV!$X:$X,0)-1,0),"")</f>
        <v/>
      </c>
      <c r="I550" t="str">
        <f ca="1">IF(AND(LEN(K550)=0,LEN(F550)&gt;0),"Income",IF(AND(O550&gt;0,P550&gt;0,C550&lt;&gt;E550),"Trade",IF(AND(NOT(Q550),Taostats_CSV!F550="fee"),'READ ME'!$C$5,"")))</f>
        <v>Income</v>
      </c>
      <c r="J550" t="str">
        <f ca="1">SUBSTITUTE(IF(LEN(I550)=0,Taostats_CSV!F550&amp;" "&amp;Taostats_CSV!J550,IF(I550="Cost","Extrinsic fee","")),"_"," ")</f>
        <v/>
      </c>
      <c r="K550" t="str">
        <f>TRIM(IF(LEN(Taostats_CSV!I550)&gt;0,Taostats_CSV!I550,""))</f>
        <v/>
      </c>
      <c r="L550">
        <f ca="1">IF(Taostats_CSV!E550&lt;&gt;"TAO",IF(LEN(F550)&gt;0,F550,IF(LEN(D550)&gt;0,D550,0))*Taostats_CSV!P550,"")</f>
        <v>11.350856785742677</v>
      </c>
      <c r="M550" t="str">
        <f t="shared" ca="1" si="63"/>
        <v>USD</v>
      </c>
      <c r="N550">
        <f>COUNTIF(Taostats_CSV!$X:$X,Taostats_CSV!$I550&amp;N$1)</f>
        <v>0</v>
      </c>
      <c r="O550">
        <f>COUNTIF(Taostats_CSV!$X:$X,Taostats_CSV!$I550&amp;O$1)</f>
        <v>0</v>
      </c>
      <c r="P550">
        <f>COUNTIF(Taostats_CSV!$X:$X,Taostats_CSV!$I550&amp;P$1)</f>
        <v>0</v>
      </c>
      <c r="Q550" t="b">
        <f t="shared" si="64"/>
        <v>0</v>
      </c>
      <c r="R550" t="b">
        <f>IF(LEN(K550)&gt;0,COUNTIF($K$3:K550,K550),FALSE)</f>
        <v>0</v>
      </c>
      <c r="S550" t="b">
        <f>IF(Taostats_CSV!A550=Taostats_CSV!$A$2,TRUE,Taostats_CSV!G550+Taostats_CSV!H550+Taostats_CSV!R550=0)</f>
        <v>0</v>
      </c>
      <c r="T550" t="b">
        <f t="shared" si="65"/>
        <v>1</v>
      </c>
      <c r="U550" t="b" cm="1">
        <f t="array" aca="1" ref="U550" ca="1">AND(T550,OR(O550-N550&gt;1,P550&gt;1,ISERROR(A550:P550)))</f>
        <v>0</v>
      </c>
      <c r="W550" t="e">
        <f>MATCH(K550&amp;$W$2,Taostats_CSV!$X$3:$X$1167,0)</f>
        <v>#N/A</v>
      </c>
      <c r="X550" t="e">
        <f t="shared" ca="1" si="60"/>
        <v>#VALUE!</v>
      </c>
      <c r="Y550">
        <f t="shared" ca="1" si="61"/>
        <v>0.49641676800000001</v>
      </c>
      <c r="Z550" t="e">
        <f t="shared" ca="1" si="62"/>
        <v>#VALUE!</v>
      </c>
    </row>
    <row r="551" spans="1:26" x14ac:dyDescent="0.4">
      <c r="A551" t="str">
        <f>MID(Taostats_CSV!C551,6,2)&amp;"/"&amp;MID(Taostats_CSV!C551,9,2)&amp;"/"&amp;LEFT(Taostats_CSV!C551,4)&amp;" "&amp;MID(Taostats_CSV!C551,12,8)</f>
        <v>06/30/2025 23:59:48</v>
      </c>
      <c r="C551" t="str">
        <f ca="1">IF(Q551,OFFSET(Taostats_CSV!$E$1,MATCH(K551&amp;D$1,Taostats_CSV!$X:$X,0)-1,0),IF(Taostats_CSV!F551="fee",IF(VALUE(Taostats_CSV!G551)&gt;0,Taostats_CSV!E551,""),""))</f>
        <v/>
      </c>
      <c r="D551" t="str">
        <f ca="1">IF(Q551,OFFSET(Taostats_CSV!$G$1,MATCH(K551&amp;D$1,Taostats_CSV!$X:$X,0)-1,0),IF(Taostats_CSV!F551="fee",IF(VALUE(Taostats_CSV!G551)&gt;0,Taostats_CSV!G551,""),""))</f>
        <v/>
      </c>
      <c r="E551" t="str">
        <f ca="1">IF(AND(Q551,P551&gt;0),OFFSET(Taostats_CSV!$E$1,MATCH(K551&amp;F$1,Taostats_CSV!$X:$X,0)-1,0),IF(LEN(F551)&gt;0,Taostats_CSV!E551,""))</f>
        <v>SN56</v>
      </c>
      <c r="F551" t="str">
        <f ca="1">TRIM(IF(AND(Q551,P551&gt;0),OFFSET(Taostats_CSV!$H$1,MATCH(K551&amp;F$1,Taostats_CSV!$X:$X,0)-1,0),IF(LEN(Taostats_CSV!H551)&gt;0,Taostats_CSV!H551,Taostats_CSV!R551)))</f>
        <v>0.260486242</v>
      </c>
      <c r="G551" t="str">
        <f ca="1">IF(AND(Q551,N551=1),OFFSET(Taostats_CSV!$E$1,MATCH(K551&amp;H$1,Taostats_CSV!$X:$X,0)-1,0),"")</f>
        <v/>
      </c>
      <c r="H551" t="str">
        <f ca="1">IF(AND(Q551,N551=1),OFFSET(Taostats_CSV!$G$1,MATCH(K551&amp;H$1,Taostats_CSV!$X:$X,0)-1,0),"")</f>
        <v/>
      </c>
      <c r="I551" t="str">
        <f ca="1">IF(AND(LEN(K551)=0,LEN(F551)&gt;0),"Income",IF(AND(O551&gt;0,P551&gt;0,C551&lt;&gt;E551),"Trade",IF(AND(NOT(Q551),Taostats_CSV!F551="fee"),'READ ME'!$C$5,"")))</f>
        <v>Income</v>
      </c>
      <c r="J551" t="str">
        <f ca="1">SUBSTITUTE(IF(LEN(I551)=0,Taostats_CSV!F551&amp;" "&amp;Taostats_CSV!J551,IF(I551="Cost","Extrinsic fee","")),"_"," ")</f>
        <v/>
      </c>
      <c r="K551" t="str">
        <f>TRIM(IF(LEN(Taostats_CSV!I551)&gt;0,Taostats_CSV!I551,""))</f>
        <v/>
      </c>
      <c r="L551">
        <f ca="1">IF(Taostats_CSV!E551&lt;&gt;"TAO",IF(LEN(F551)&gt;0,F551,IF(LEN(D551)&gt;0,D551,0))*Taostats_CSV!P551,"")</f>
        <v>5.0652350317058934</v>
      </c>
      <c r="M551" t="str">
        <f t="shared" ca="1" si="63"/>
        <v>USD</v>
      </c>
      <c r="N551">
        <f>COUNTIF(Taostats_CSV!$X:$X,Taostats_CSV!$I551&amp;N$1)</f>
        <v>0</v>
      </c>
      <c r="O551">
        <f>COUNTIF(Taostats_CSV!$X:$X,Taostats_CSV!$I551&amp;O$1)</f>
        <v>0</v>
      </c>
      <c r="P551">
        <f>COUNTIF(Taostats_CSV!$X:$X,Taostats_CSV!$I551&amp;P$1)</f>
        <v>0</v>
      </c>
      <c r="Q551" t="b">
        <f t="shared" si="64"/>
        <v>0</v>
      </c>
      <c r="R551" t="b">
        <f>IF(LEN(K551)&gt;0,COUNTIF($K$3:K551,K551),FALSE)</f>
        <v>0</v>
      </c>
      <c r="S551" t="b">
        <f>IF(Taostats_CSV!A551=Taostats_CSV!$A$2,TRUE,Taostats_CSV!G551+Taostats_CSV!H551+Taostats_CSV!R551=0)</f>
        <v>0</v>
      </c>
      <c r="T551" t="b">
        <f t="shared" si="65"/>
        <v>1</v>
      </c>
      <c r="U551" t="b" cm="1">
        <f t="array" aca="1" ref="U551" ca="1">AND(T551,OR(O551-N551&gt;1,P551&gt;1,ISERROR(A551:P551)))</f>
        <v>0</v>
      </c>
      <c r="W551" t="e">
        <f>MATCH(K551&amp;$W$2,Taostats_CSV!$X$3:$X$1167,0)</f>
        <v>#N/A</v>
      </c>
      <c r="X551" t="e">
        <f t="shared" ca="1" si="60"/>
        <v>#VALUE!</v>
      </c>
      <c r="Y551">
        <f t="shared" ca="1" si="61"/>
        <v>0.26048624199999998</v>
      </c>
      <c r="Z551" t="e">
        <f t="shared" ca="1" si="62"/>
        <v>#VALUE!</v>
      </c>
    </row>
    <row r="552" spans="1:26" x14ac:dyDescent="0.4">
      <c r="A552" t="str">
        <f>MID(Taostats_CSV!C552,6,2)&amp;"/"&amp;MID(Taostats_CSV!C552,9,2)&amp;"/"&amp;LEFT(Taostats_CSV!C552,4)&amp;" "&amp;MID(Taostats_CSV!C552,12,8)</f>
        <v>06/30/2025 23:59:48</v>
      </c>
      <c r="C552" t="str">
        <f ca="1">IF(Q552,OFFSET(Taostats_CSV!$E$1,MATCH(K552&amp;D$1,Taostats_CSV!$X:$X,0)-1,0),IF(Taostats_CSV!F552="fee",IF(VALUE(Taostats_CSV!G552)&gt;0,Taostats_CSV!E552,""),""))</f>
        <v/>
      </c>
      <c r="D552" t="str">
        <f ca="1">IF(Q552,OFFSET(Taostats_CSV!$G$1,MATCH(K552&amp;D$1,Taostats_CSV!$X:$X,0)-1,0),IF(Taostats_CSV!F552="fee",IF(VALUE(Taostats_CSV!G552)&gt;0,Taostats_CSV!G552,""),""))</f>
        <v/>
      </c>
      <c r="E552" t="str">
        <f ca="1">IF(AND(Q552,P552&gt;0),OFFSET(Taostats_CSV!$E$1,MATCH(K552&amp;F$1,Taostats_CSV!$X:$X,0)-1,0),IF(LEN(F552)&gt;0,Taostats_CSV!E552,""))</f>
        <v>SN64</v>
      </c>
      <c r="F552" t="str">
        <f ca="1">TRIM(IF(AND(Q552,P552&gt;0),OFFSET(Taostats_CSV!$H$1,MATCH(K552&amp;F$1,Taostats_CSV!$X:$X,0)-1,0),IF(LEN(Taostats_CSV!H552)&gt;0,Taostats_CSV!H552,Taostats_CSV!R552)))</f>
        <v>0.155663198</v>
      </c>
      <c r="G552" t="str">
        <f ca="1">IF(AND(Q552,N552=1),OFFSET(Taostats_CSV!$E$1,MATCH(K552&amp;H$1,Taostats_CSV!$X:$X,0)-1,0),"")</f>
        <v/>
      </c>
      <c r="H552" t="str">
        <f ca="1">IF(AND(Q552,N552=1),OFFSET(Taostats_CSV!$G$1,MATCH(K552&amp;H$1,Taostats_CSV!$X:$X,0)-1,0),"")</f>
        <v/>
      </c>
      <c r="I552" t="str">
        <f ca="1">IF(AND(LEN(K552)=0,LEN(F552)&gt;0),"Income",IF(AND(O552&gt;0,P552&gt;0,C552&lt;&gt;E552),"Trade",IF(AND(NOT(Q552),Taostats_CSV!F552="fee"),'READ ME'!$C$5,"")))</f>
        <v>Income</v>
      </c>
      <c r="J552" t="str">
        <f ca="1">SUBSTITUTE(IF(LEN(I552)=0,Taostats_CSV!F552&amp;" "&amp;Taostats_CSV!J552,IF(I552="Cost","Extrinsic fee","")),"_"," ")</f>
        <v/>
      </c>
      <c r="K552" t="str">
        <f>TRIM(IF(LEN(Taostats_CSV!I552)&gt;0,Taostats_CSV!I552,""))</f>
        <v/>
      </c>
      <c r="L552">
        <f ca="1">IF(Taostats_CSV!E552&lt;&gt;"TAO",IF(LEN(F552)&gt;0,F552,IF(LEN(D552)&gt;0,D552,0))*Taostats_CSV!P552,"")</f>
        <v>8.749633379722944</v>
      </c>
      <c r="M552" t="str">
        <f t="shared" ca="1" si="63"/>
        <v>USD</v>
      </c>
      <c r="N552">
        <f>COUNTIF(Taostats_CSV!$X:$X,Taostats_CSV!$I552&amp;N$1)</f>
        <v>0</v>
      </c>
      <c r="O552">
        <f>COUNTIF(Taostats_CSV!$X:$X,Taostats_CSV!$I552&amp;O$1)</f>
        <v>0</v>
      </c>
      <c r="P552">
        <f>COUNTIF(Taostats_CSV!$X:$X,Taostats_CSV!$I552&amp;P$1)</f>
        <v>0</v>
      </c>
      <c r="Q552" t="b">
        <f t="shared" si="64"/>
        <v>0</v>
      </c>
      <c r="R552" t="b">
        <f>IF(LEN(K552)&gt;0,COUNTIF($K$3:K552,K552),FALSE)</f>
        <v>0</v>
      </c>
      <c r="S552" t="b">
        <f>IF(Taostats_CSV!A552=Taostats_CSV!$A$2,TRUE,Taostats_CSV!G552+Taostats_CSV!H552+Taostats_CSV!R552=0)</f>
        <v>0</v>
      </c>
      <c r="T552" t="b">
        <f t="shared" si="65"/>
        <v>1</v>
      </c>
      <c r="U552" t="b" cm="1">
        <f t="array" aca="1" ref="U552" ca="1">AND(T552,OR(O552-N552&gt;1,P552&gt;1,ISERROR(A552:P552)))</f>
        <v>0</v>
      </c>
      <c r="W552" t="e">
        <f>MATCH(K552&amp;$W$2,Taostats_CSV!$X$3:$X$1167,0)</f>
        <v>#N/A</v>
      </c>
      <c r="X552" t="e">
        <f t="shared" ca="1" si="60"/>
        <v>#VALUE!</v>
      </c>
      <c r="Y552">
        <f t="shared" ca="1" si="61"/>
        <v>0.155663198</v>
      </c>
      <c r="Z552" t="e">
        <f t="shared" ca="1" si="62"/>
        <v>#VALUE!</v>
      </c>
    </row>
    <row r="553" spans="1:26" hidden="1" x14ac:dyDescent="0.4">
      <c r="A553" t="str">
        <f>MID(Taostats_CSV!C553,6,2)&amp;"/"&amp;MID(Taostats_CSV!C553,9,2)&amp;"/"&amp;LEFT(Taostats_CSV!C553,4)&amp;" "&amp;MID(Taostats_CSV!C553,12,8)</f>
        <v>06/30/2025 23:59:48</v>
      </c>
      <c r="C553" t="str">
        <f ca="1">IF(Q553,OFFSET(Taostats_CSV!$E$1,MATCH(K553&amp;D$1,Taostats_CSV!$X:$X,0)-1,0),IF(Taostats_CSV!F553="fee","",IF(VALUE(Taostats_CSV!G553)&gt;0,Taostats_CSV!E553,"")))</f>
        <v/>
      </c>
      <c r="D553" t="str">
        <f ca="1">IF(Q553,OFFSET(Taostats_CSV!$G$1,MATCH(K553&amp;D$1,Taostats_CSV!$X:$X,0)-1,0),IF(Taostats_CSV!F553="fee","",IF(VALUE(Taostats_CSV!G553)&gt;0,Taostats_CSV!G553,"")))</f>
        <v/>
      </c>
      <c r="E553" t="str">
        <f ca="1">IF(AND(Q553,P553&gt;0),OFFSET(Taostats_CSV!$E$1,MATCH(K553&amp;F$1,Taostats_CSV!$X:$X,0)-1,0),IF(LEN(F553)&gt;0,Taostats_CSV!E553,""))</f>
        <v>TAO</v>
      </c>
      <c r="F553" t="str">
        <f ca="1">TRIM(IF(AND(Q553,P553&gt;0),OFFSET(Taostats_CSV!$H$1,MATCH(K553&amp;F$1,Taostats_CSV!$X:$X,0)-1,0),IF(LEN(Taostats_CSV!H553)&gt;0,Taostats_CSV!H553,Taostats_CSV!R553)))</f>
        <v>0</v>
      </c>
      <c r="G553" t="str">
        <f ca="1">IF(AND(Q553,N553=1),OFFSET(Taostats_CSV!$E$1,MATCH(K553&amp;H$1,Taostats_CSV!$X:$X,0)-1,0),IF(Taostats_CSV!F553="fee",Taostats_CSV!E553,""))</f>
        <v/>
      </c>
      <c r="H553" t="str">
        <f ca="1">IF(AND(Q553,N553=1),OFFSET(Taostats_CSV!$G$1,MATCH(K553&amp;H$1,Taostats_CSV!$X:$X,0)-1,0),IF(Taostats_CSV!F553="fee",Taostats_CSV!G553,""))</f>
        <v/>
      </c>
      <c r="I553" t="str">
        <f ca="1">IF(AND(LEN(K553)=0,LEN(F553)&gt;0),"Income",IF(AND(O553&gt;0,P553&gt;0,C553&lt;&gt;E553),"Trade",IF(AND(NOT(Q553),Taostats_CSV!F553="fee"),'READ ME'!$C$5,"")))</f>
        <v>Income</v>
      </c>
      <c r="J553" t="str">
        <f ca="1">SUBSTITUTE(IF(LEN(I553)=0,Taostats_CSV!F553&amp;" "&amp;Taostats_CSV!J553,IF(I553="Cost","Extrinsic fee","")),"_"," ")</f>
        <v/>
      </c>
      <c r="K553" t="str">
        <f>TRIM(IF(LEN(Taostats_CSV!I553)&gt;0,Taostats_CSV!I553,""))</f>
        <v/>
      </c>
      <c r="L553" t="str">
        <f>IF(Taostats_CSV!E553&lt;&gt;"TAO",IF(LEN(F553)&gt;0,F553,IF(LEN(D553)&gt;0,D553,0))*Taostats_CSV!P553,"")</f>
        <v/>
      </c>
      <c r="M553" t="str">
        <f t="shared" si="63"/>
        <v/>
      </c>
      <c r="N553">
        <f>COUNTIF(Taostats_CSV!$X:$X,Taostats_CSV!$I553&amp;N$1)</f>
        <v>0</v>
      </c>
      <c r="O553">
        <f>COUNTIF(Taostats_CSV!$X:$X,Taostats_CSV!$I553&amp;O$1)</f>
        <v>0</v>
      </c>
      <c r="P553">
        <f>COUNTIF(Taostats_CSV!$X:$X,Taostats_CSV!$I553&amp;P$1)</f>
        <v>0</v>
      </c>
      <c r="Q553" t="b">
        <f t="shared" si="64"/>
        <v>0</v>
      </c>
      <c r="R553" t="b">
        <f>IF(LEN(K553)&gt;0,COUNTIF($K$3:K553,K553),FALSE)</f>
        <v>0</v>
      </c>
      <c r="S553" t="b">
        <f>IF(Taostats_CSV!A553=Taostats_CSV!$A$2,TRUE,Taostats_CSV!G553+Taostats_CSV!H553+Taostats_CSV!R553=0)</f>
        <v>1</v>
      </c>
      <c r="T553" t="b">
        <f t="shared" si="65"/>
        <v>0</v>
      </c>
      <c r="U553" t="b" cm="1">
        <f t="array" aca="1" ref="U553" ca="1">AND(T553,OR(O553-N553&gt;1,P553&gt;1,ISERROR(A553:P553)))</f>
        <v>0</v>
      </c>
      <c r="W553" t="e">
        <f>MATCH(K553&amp;$W$2,Taostats_CSV!$X$3:$X$1167,0)</f>
        <v>#N/A</v>
      </c>
      <c r="X553" t="e">
        <f t="shared" ca="1" si="60"/>
        <v>#VALUE!</v>
      </c>
      <c r="Y553">
        <f t="shared" ca="1" si="61"/>
        <v>0</v>
      </c>
      <c r="Z553" t="e">
        <f t="shared" ca="1" si="62"/>
        <v>#VALUE!</v>
      </c>
    </row>
    <row r="554" spans="1:26" x14ac:dyDescent="0.4">
      <c r="A554" t="str">
        <f>MID(Taostats_CSV!C554,6,2)&amp;"/"&amp;MID(Taostats_CSV!C554,9,2)&amp;"/"&amp;LEFT(Taostats_CSV!C554,4)&amp;" "&amp;MID(Taostats_CSV!C554,12,8)</f>
        <v>07/01/2025 23:59:48</v>
      </c>
      <c r="C554" t="str">
        <f ca="1">IF(Q554,OFFSET(Taostats_CSV!$E$1,MATCH(K554&amp;D$1,Taostats_CSV!$X:$X,0)-1,0),IF(Taostats_CSV!F554="fee",IF(VALUE(Taostats_CSV!G554)&gt;0,Taostats_CSV!E554,""),""))</f>
        <v/>
      </c>
      <c r="D554" t="str">
        <f ca="1">IF(Q554,OFFSET(Taostats_CSV!$G$1,MATCH(K554&amp;D$1,Taostats_CSV!$X:$X,0)-1,0),IF(Taostats_CSV!F554="fee",IF(VALUE(Taostats_CSV!G554)&gt;0,Taostats_CSV!G554,""),""))</f>
        <v/>
      </c>
      <c r="E554" t="str">
        <f ca="1">IF(AND(Q554,P554&gt;0),OFFSET(Taostats_CSV!$E$1,MATCH(K554&amp;F$1,Taostats_CSV!$X:$X,0)-1,0),IF(LEN(F554)&gt;0,Taostats_CSV!E554,""))</f>
        <v>SN3</v>
      </c>
      <c r="F554" t="str">
        <f ca="1">TRIM(IF(AND(Q554,P554&gt;0),OFFSET(Taostats_CSV!$H$1,MATCH(K554&amp;F$1,Taostats_CSV!$X:$X,0)-1,0),IF(LEN(Taostats_CSV!H554)&gt;0,Taostats_CSV!H554,Taostats_CSV!R554)))</f>
        <v>0.426436946</v>
      </c>
      <c r="G554" t="str">
        <f ca="1">IF(AND(Q554,N554=1),OFFSET(Taostats_CSV!$E$1,MATCH(K554&amp;H$1,Taostats_CSV!$X:$X,0)-1,0),"")</f>
        <v/>
      </c>
      <c r="H554" t="str">
        <f ca="1">IF(AND(Q554,N554=1),OFFSET(Taostats_CSV!$G$1,MATCH(K554&amp;H$1,Taostats_CSV!$X:$X,0)-1,0),"")</f>
        <v/>
      </c>
      <c r="I554" t="str">
        <f ca="1">IF(AND(LEN(K554)=0,LEN(F554)&gt;0),"Income",IF(AND(O554&gt;0,P554&gt;0,C554&lt;&gt;E554),"Trade",IF(AND(NOT(Q554),Taostats_CSV!F554="fee"),'READ ME'!$C$5,"")))</f>
        <v>Income</v>
      </c>
      <c r="J554" t="str">
        <f ca="1">SUBSTITUTE(IF(LEN(I554)=0,Taostats_CSV!F554&amp;" "&amp;Taostats_CSV!J554,IF(I554="Cost","Extrinsic fee","")),"_"," ")</f>
        <v/>
      </c>
      <c r="K554" t="str">
        <f>TRIM(IF(LEN(Taostats_CSV!I554)&gt;0,Taostats_CSV!I554,""))</f>
        <v/>
      </c>
      <c r="L554">
        <f ca="1">IF(Taostats_CSV!E554&lt;&gt;"TAO",IF(LEN(F554)&gt;0,F554,IF(LEN(D554)&gt;0,D554,0))*Taostats_CSV!P554,"")</f>
        <v>8.6101717426424784</v>
      </c>
      <c r="M554" t="str">
        <f t="shared" ca="1" si="63"/>
        <v>USD</v>
      </c>
      <c r="N554">
        <f>COUNTIF(Taostats_CSV!$X:$X,Taostats_CSV!$I554&amp;N$1)</f>
        <v>0</v>
      </c>
      <c r="O554">
        <f>COUNTIF(Taostats_CSV!$X:$X,Taostats_CSV!$I554&amp;O$1)</f>
        <v>0</v>
      </c>
      <c r="P554">
        <f>COUNTIF(Taostats_CSV!$X:$X,Taostats_CSV!$I554&amp;P$1)</f>
        <v>0</v>
      </c>
      <c r="Q554" t="b">
        <f t="shared" si="64"/>
        <v>0</v>
      </c>
      <c r="R554" t="b">
        <f>IF(LEN(K554)&gt;0,COUNTIF($K$3:K554,K554),FALSE)</f>
        <v>0</v>
      </c>
      <c r="S554" t="b">
        <f>IF(Taostats_CSV!A554=Taostats_CSV!$A$2,TRUE,Taostats_CSV!G554+Taostats_CSV!H554+Taostats_CSV!R554=0)</f>
        <v>0</v>
      </c>
      <c r="T554" t="b">
        <f t="shared" si="65"/>
        <v>1</v>
      </c>
      <c r="U554" t="b" cm="1">
        <f t="array" aca="1" ref="U554" ca="1">AND(T554,OR(O554-N554&gt;1,P554&gt;1,ISERROR(A554:P554)))</f>
        <v>0</v>
      </c>
      <c r="W554" t="e">
        <f>MATCH(K554&amp;$W$2,Taostats_CSV!$X$3:$X$1167,0)</f>
        <v>#N/A</v>
      </c>
      <c r="X554" t="e">
        <f t="shared" ca="1" si="60"/>
        <v>#VALUE!</v>
      </c>
      <c r="Y554">
        <f t="shared" ca="1" si="61"/>
        <v>0.42643694599999998</v>
      </c>
      <c r="Z554" t="e">
        <f t="shared" ca="1" si="62"/>
        <v>#VALUE!</v>
      </c>
    </row>
    <row r="555" spans="1:26" x14ac:dyDescent="0.4">
      <c r="A555" t="str">
        <f>MID(Taostats_CSV!C555,6,2)&amp;"/"&amp;MID(Taostats_CSV!C555,9,2)&amp;"/"&amp;LEFT(Taostats_CSV!C555,4)&amp;" "&amp;MID(Taostats_CSV!C555,12,8)</f>
        <v>07/01/2025 23:59:48</v>
      </c>
      <c r="C555" t="str">
        <f ca="1">IF(Q555,OFFSET(Taostats_CSV!$E$1,MATCH(K555&amp;D$1,Taostats_CSV!$X:$X,0)-1,0),IF(Taostats_CSV!F555="fee",IF(VALUE(Taostats_CSV!G555)&gt;0,Taostats_CSV!E555,""),""))</f>
        <v/>
      </c>
      <c r="D555" t="str">
        <f ca="1">IF(Q555,OFFSET(Taostats_CSV!$G$1,MATCH(K555&amp;D$1,Taostats_CSV!$X:$X,0)-1,0),IF(Taostats_CSV!F555="fee",IF(VALUE(Taostats_CSV!G555)&gt;0,Taostats_CSV!G555,""),""))</f>
        <v/>
      </c>
      <c r="E555" t="str">
        <f ca="1">IF(AND(Q555,P555&gt;0),OFFSET(Taostats_CSV!$E$1,MATCH(K555&amp;F$1,Taostats_CSV!$X:$X,0)-1,0),IF(LEN(F555)&gt;0,Taostats_CSV!E555,""))</f>
        <v>SN4</v>
      </c>
      <c r="F555" t="str">
        <f ca="1">TRIM(IF(AND(Q555,P555&gt;0),OFFSET(Taostats_CSV!$H$1,MATCH(K555&amp;F$1,Taostats_CSV!$X:$X,0)-1,0),IF(LEN(Taostats_CSV!H555)&gt;0,Taostats_CSV!H555,Taostats_CSV!R555)))</f>
        <v>0.49734652</v>
      </c>
      <c r="G555" t="str">
        <f ca="1">IF(AND(Q555,N555=1),OFFSET(Taostats_CSV!$E$1,MATCH(K555&amp;H$1,Taostats_CSV!$X:$X,0)-1,0),"")</f>
        <v/>
      </c>
      <c r="H555" t="str">
        <f ca="1">IF(AND(Q555,N555=1),OFFSET(Taostats_CSV!$G$1,MATCH(K555&amp;H$1,Taostats_CSV!$X:$X,0)-1,0),"")</f>
        <v/>
      </c>
      <c r="I555" t="str">
        <f ca="1">IF(AND(LEN(K555)=0,LEN(F555)&gt;0),"Income",IF(AND(O555&gt;0,P555&gt;0,C555&lt;&gt;E555),"Trade",IF(AND(NOT(Q555),Taostats_CSV!F555="fee"),'READ ME'!$C$5,"")))</f>
        <v>Income</v>
      </c>
      <c r="J555" t="str">
        <f ca="1">SUBSTITUTE(IF(LEN(I555)=0,Taostats_CSV!F555&amp;" "&amp;Taostats_CSV!J555,IF(I555="Cost","Extrinsic fee","")),"_"," ")</f>
        <v/>
      </c>
      <c r="K555" t="str">
        <f>TRIM(IF(LEN(Taostats_CSV!I555)&gt;0,Taostats_CSV!I555,""))</f>
        <v/>
      </c>
      <c r="L555">
        <f ca="1">IF(Taostats_CSV!E555&lt;&gt;"TAO",IF(LEN(F555)&gt;0,F555,IF(LEN(D555)&gt;0,D555,0))*Taostats_CSV!P555,"")</f>
        <v>10.630104822890422</v>
      </c>
      <c r="M555" t="str">
        <f t="shared" ca="1" si="63"/>
        <v>USD</v>
      </c>
      <c r="N555">
        <f>COUNTIF(Taostats_CSV!$X:$X,Taostats_CSV!$I555&amp;N$1)</f>
        <v>0</v>
      </c>
      <c r="O555">
        <f>COUNTIF(Taostats_CSV!$X:$X,Taostats_CSV!$I555&amp;O$1)</f>
        <v>0</v>
      </c>
      <c r="P555">
        <f>COUNTIF(Taostats_CSV!$X:$X,Taostats_CSV!$I555&amp;P$1)</f>
        <v>0</v>
      </c>
      <c r="Q555" t="b">
        <f t="shared" si="64"/>
        <v>0</v>
      </c>
      <c r="R555" t="b">
        <f>IF(LEN(K555)&gt;0,COUNTIF($K$3:K555,K555),FALSE)</f>
        <v>0</v>
      </c>
      <c r="S555" t="b">
        <f>IF(Taostats_CSV!A555=Taostats_CSV!$A$2,TRUE,Taostats_CSV!G555+Taostats_CSV!H555+Taostats_CSV!R555=0)</f>
        <v>0</v>
      </c>
      <c r="T555" t="b">
        <f t="shared" si="65"/>
        <v>1</v>
      </c>
      <c r="U555" t="b" cm="1">
        <f t="array" aca="1" ref="U555" ca="1">AND(T555,OR(O555-N555&gt;1,P555&gt;1,ISERROR(A555:P555)))</f>
        <v>0</v>
      </c>
      <c r="W555" t="e">
        <f>MATCH(K555&amp;$W$2,Taostats_CSV!$X$3:$X$1167,0)</f>
        <v>#N/A</v>
      </c>
      <c r="X555" t="e">
        <f t="shared" ca="1" si="60"/>
        <v>#VALUE!</v>
      </c>
      <c r="Y555">
        <f t="shared" ca="1" si="61"/>
        <v>0.49734652000000001</v>
      </c>
      <c r="Z555" t="e">
        <f t="shared" ca="1" si="62"/>
        <v>#VALUE!</v>
      </c>
    </row>
    <row r="556" spans="1:26" x14ac:dyDescent="0.4">
      <c r="A556" t="str">
        <f>MID(Taostats_CSV!C556,6,2)&amp;"/"&amp;MID(Taostats_CSV!C556,9,2)&amp;"/"&amp;LEFT(Taostats_CSV!C556,4)&amp;" "&amp;MID(Taostats_CSV!C556,12,8)</f>
        <v>07/01/2025 23:59:48</v>
      </c>
      <c r="C556" t="str">
        <f ca="1">IF(Q556,OFFSET(Taostats_CSV!$E$1,MATCH(K556&amp;D$1,Taostats_CSV!$X:$X,0)-1,0),IF(Taostats_CSV!F556="fee",IF(VALUE(Taostats_CSV!G556)&gt;0,Taostats_CSV!E556,""),""))</f>
        <v/>
      </c>
      <c r="D556" t="str">
        <f ca="1">IF(Q556,OFFSET(Taostats_CSV!$G$1,MATCH(K556&amp;D$1,Taostats_CSV!$X:$X,0)-1,0),IF(Taostats_CSV!F556="fee",IF(VALUE(Taostats_CSV!G556)&gt;0,Taostats_CSV!G556,""),""))</f>
        <v/>
      </c>
      <c r="E556" t="str">
        <f ca="1">IF(AND(Q556,P556&gt;0),OFFSET(Taostats_CSV!$E$1,MATCH(K556&amp;F$1,Taostats_CSV!$X:$X,0)-1,0),IF(LEN(F556)&gt;0,Taostats_CSV!E556,""))</f>
        <v>SN56</v>
      </c>
      <c r="F556" t="str">
        <f ca="1">TRIM(IF(AND(Q556,P556&gt;0),OFFSET(Taostats_CSV!$H$1,MATCH(K556&amp;F$1,Taostats_CSV!$X:$X,0)-1,0),IF(LEN(Taostats_CSV!H556)&gt;0,Taostats_CSV!H556,Taostats_CSV!R556)))</f>
        <v>0.262409653</v>
      </c>
      <c r="G556" t="str">
        <f ca="1">IF(AND(Q556,N556=1),OFFSET(Taostats_CSV!$E$1,MATCH(K556&amp;H$1,Taostats_CSV!$X:$X,0)-1,0),"")</f>
        <v/>
      </c>
      <c r="H556" t="str">
        <f ca="1">IF(AND(Q556,N556=1),OFFSET(Taostats_CSV!$G$1,MATCH(K556&amp;H$1,Taostats_CSV!$X:$X,0)-1,0),"")</f>
        <v/>
      </c>
      <c r="I556" t="str">
        <f ca="1">IF(AND(LEN(K556)=0,LEN(F556)&gt;0),"Income",IF(AND(O556&gt;0,P556&gt;0,C556&lt;&gt;E556),"Trade",IF(AND(NOT(Q556),Taostats_CSV!F556="fee"),'READ ME'!$C$5,"")))</f>
        <v>Income</v>
      </c>
      <c r="J556" t="str">
        <f ca="1">SUBSTITUTE(IF(LEN(I556)=0,Taostats_CSV!F556&amp;" "&amp;Taostats_CSV!J556,IF(I556="Cost","Extrinsic fee","")),"_"," ")</f>
        <v/>
      </c>
      <c r="K556" t="str">
        <f>TRIM(IF(LEN(Taostats_CSV!I556)&gt;0,Taostats_CSV!I556,""))</f>
        <v/>
      </c>
      <c r="L556">
        <f ca="1">IF(Taostats_CSV!E556&lt;&gt;"TAO",IF(LEN(F556)&gt;0,F556,IF(LEN(D556)&gt;0,D556,0))*Taostats_CSV!P556,"")</f>
        <v>4.7016353686469374</v>
      </c>
      <c r="M556" t="str">
        <f t="shared" ca="1" si="63"/>
        <v>USD</v>
      </c>
      <c r="N556">
        <f>COUNTIF(Taostats_CSV!$X:$X,Taostats_CSV!$I556&amp;N$1)</f>
        <v>0</v>
      </c>
      <c r="O556">
        <f>COUNTIF(Taostats_CSV!$X:$X,Taostats_CSV!$I556&amp;O$1)</f>
        <v>0</v>
      </c>
      <c r="P556">
        <f>COUNTIF(Taostats_CSV!$X:$X,Taostats_CSV!$I556&amp;P$1)</f>
        <v>0</v>
      </c>
      <c r="Q556" t="b">
        <f t="shared" si="64"/>
        <v>0</v>
      </c>
      <c r="R556" t="b">
        <f>IF(LEN(K556)&gt;0,COUNTIF($K$3:K556,K556),FALSE)</f>
        <v>0</v>
      </c>
      <c r="S556" t="b">
        <f>IF(Taostats_CSV!A556=Taostats_CSV!$A$2,TRUE,Taostats_CSV!G556+Taostats_CSV!H556+Taostats_CSV!R556=0)</f>
        <v>0</v>
      </c>
      <c r="T556" t="b">
        <f t="shared" si="65"/>
        <v>1</v>
      </c>
      <c r="U556" t="b" cm="1">
        <f t="array" aca="1" ref="U556" ca="1">AND(T556,OR(O556-N556&gt;1,P556&gt;1,ISERROR(A556:P556)))</f>
        <v>0</v>
      </c>
      <c r="W556" t="e">
        <f>MATCH(K556&amp;$W$2,Taostats_CSV!$X$3:$X$1167,0)</f>
        <v>#N/A</v>
      </c>
      <c r="X556" t="e">
        <f t="shared" ca="1" si="60"/>
        <v>#VALUE!</v>
      </c>
      <c r="Y556">
        <f t="shared" ca="1" si="61"/>
        <v>0.26240965300000002</v>
      </c>
      <c r="Z556" t="e">
        <f t="shared" ca="1" si="62"/>
        <v>#VALUE!</v>
      </c>
    </row>
    <row r="557" spans="1:26" x14ac:dyDescent="0.4">
      <c r="A557" t="str">
        <f>MID(Taostats_CSV!C557,6,2)&amp;"/"&amp;MID(Taostats_CSV!C557,9,2)&amp;"/"&amp;LEFT(Taostats_CSV!C557,4)&amp;" "&amp;MID(Taostats_CSV!C557,12,8)</f>
        <v>07/01/2025 23:59:48</v>
      </c>
      <c r="C557" t="str">
        <f ca="1">IF(Q557,OFFSET(Taostats_CSV!$E$1,MATCH(K557&amp;D$1,Taostats_CSV!$X:$X,0)-1,0),IF(Taostats_CSV!F557="fee",IF(VALUE(Taostats_CSV!G557)&gt;0,Taostats_CSV!E557,""),""))</f>
        <v/>
      </c>
      <c r="D557" t="str">
        <f ca="1">IF(Q557,OFFSET(Taostats_CSV!$G$1,MATCH(K557&amp;D$1,Taostats_CSV!$X:$X,0)-1,0),IF(Taostats_CSV!F557="fee",IF(VALUE(Taostats_CSV!G557)&gt;0,Taostats_CSV!G557,""),""))</f>
        <v/>
      </c>
      <c r="E557" t="str">
        <f ca="1">IF(AND(Q557,P557&gt;0),OFFSET(Taostats_CSV!$E$1,MATCH(K557&amp;F$1,Taostats_CSV!$X:$X,0)-1,0),IF(LEN(F557)&gt;0,Taostats_CSV!E557,""))</f>
        <v>SN64</v>
      </c>
      <c r="F557" t="str">
        <f ca="1">TRIM(IF(AND(Q557,P557&gt;0),OFFSET(Taostats_CSV!$H$1,MATCH(K557&amp;F$1,Taostats_CSV!$X:$X,0)-1,0),IF(LEN(Taostats_CSV!H557)&gt;0,Taostats_CSV!H557,Taostats_CSV!R557)))</f>
        <v>0.146335013</v>
      </c>
      <c r="G557" t="str">
        <f ca="1">IF(AND(Q557,N557=1),OFFSET(Taostats_CSV!$E$1,MATCH(K557&amp;H$1,Taostats_CSV!$X:$X,0)-1,0),"")</f>
        <v/>
      </c>
      <c r="H557" t="str">
        <f ca="1">IF(AND(Q557,N557=1),OFFSET(Taostats_CSV!$G$1,MATCH(K557&amp;H$1,Taostats_CSV!$X:$X,0)-1,0),"")</f>
        <v/>
      </c>
      <c r="I557" t="str">
        <f ca="1">IF(AND(LEN(K557)=0,LEN(F557)&gt;0),"Income",IF(AND(O557&gt;0,P557&gt;0,C557&lt;&gt;E557),"Trade",IF(AND(NOT(Q557),Taostats_CSV!F557="fee"),'READ ME'!$C$5,"")))</f>
        <v>Income</v>
      </c>
      <c r="J557" t="str">
        <f ca="1">SUBSTITUTE(IF(LEN(I557)=0,Taostats_CSV!F557&amp;" "&amp;Taostats_CSV!J557,IF(I557="Cost","Extrinsic fee","")),"_"," ")</f>
        <v/>
      </c>
      <c r="K557" t="str">
        <f>TRIM(IF(LEN(Taostats_CSV!I557)&gt;0,Taostats_CSV!I557,""))</f>
        <v/>
      </c>
      <c r="L557">
        <f ca="1">IF(Taostats_CSV!E557&lt;&gt;"TAO",IF(LEN(F557)&gt;0,F557,IF(LEN(D557)&gt;0,D557,0))*Taostats_CSV!P557,"")</f>
        <v>7.4495845412936106</v>
      </c>
      <c r="M557" t="str">
        <f t="shared" ca="1" si="63"/>
        <v>USD</v>
      </c>
      <c r="N557">
        <f>COUNTIF(Taostats_CSV!$X:$X,Taostats_CSV!$I557&amp;N$1)</f>
        <v>0</v>
      </c>
      <c r="O557">
        <f>COUNTIF(Taostats_CSV!$X:$X,Taostats_CSV!$I557&amp;O$1)</f>
        <v>0</v>
      </c>
      <c r="P557">
        <f>COUNTIF(Taostats_CSV!$X:$X,Taostats_CSV!$I557&amp;P$1)</f>
        <v>0</v>
      </c>
      <c r="Q557" t="b">
        <f t="shared" si="64"/>
        <v>0</v>
      </c>
      <c r="R557" t="b">
        <f>IF(LEN(K557)&gt;0,COUNTIF($K$3:K557,K557),FALSE)</f>
        <v>0</v>
      </c>
      <c r="S557" t="b">
        <f>IF(Taostats_CSV!A557=Taostats_CSV!$A$2,TRUE,Taostats_CSV!G557+Taostats_CSV!H557+Taostats_CSV!R557=0)</f>
        <v>0</v>
      </c>
      <c r="T557" t="b">
        <f t="shared" si="65"/>
        <v>1</v>
      </c>
      <c r="U557" t="b" cm="1">
        <f t="array" aca="1" ref="U557" ca="1">AND(T557,OR(O557-N557&gt;1,P557&gt;1,ISERROR(A557:P557)))</f>
        <v>0</v>
      </c>
      <c r="W557" t="e">
        <f>MATCH(K557&amp;$W$2,Taostats_CSV!$X$3:$X$1167,0)</f>
        <v>#N/A</v>
      </c>
      <c r="X557" t="e">
        <f t="shared" ca="1" si="60"/>
        <v>#VALUE!</v>
      </c>
      <c r="Y557">
        <f t="shared" ca="1" si="61"/>
        <v>0.14633501300000001</v>
      </c>
      <c r="Z557" t="e">
        <f t="shared" ca="1" si="62"/>
        <v>#VALUE!</v>
      </c>
    </row>
    <row r="558" spans="1:26" hidden="1" x14ac:dyDescent="0.4">
      <c r="A558" t="str">
        <f>MID(Taostats_CSV!C558,6,2)&amp;"/"&amp;MID(Taostats_CSV!C558,9,2)&amp;"/"&amp;LEFT(Taostats_CSV!C558,4)&amp;" "&amp;MID(Taostats_CSV!C558,12,8)</f>
        <v>07/01/2025 23:59:48</v>
      </c>
      <c r="C558" t="str">
        <f ca="1">IF(Q558,OFFSET(Taostats_CSV!$E$1,MATCH(K558&amp;D$1,Taostats_CSV!$X:$X,0)-1,0),IF(Taostats_CSV!F558="fee","",IF(VALUE(Taostats_CSV!G558)&gt;0,Taostats_CSV!E558,"")))</f>
        <v/>
      </c>
      <c r="D558" t="str">
        <f ca="1">IF(Q558,OFFSET(Taostats_CSV!$G$1,MATCH(K558&amp;D$1,Taostats_CSV!$X:$X,0)-1,0),IF(Taostats_CSV!F558="fee","",IF(VALUE(Taostats_CSV!G558)&gt;0,Taostats_CSV!G558,"")))</f>
        <v/>
      </c>
      <c r="E558" t="str">
        <f ca="1">IF(AND(Q558,P558&gt;0),OFFSET(Taostats_CSV!$E$1,MATCH(K558&amp;F$1,Taostats_CSV!$X:$X,0)-1,0),IF(LEN(F558)&gt;0,Taostats_CSV!E558,""))</f>
        <v>TAO</v>
      </c>
      <c r="F558" t="str">
        <f ca="1">TRIM(IF(AND(Q558,P558&gt;0),OFFSET(Taostats_CSV!$H$1,MATCH(K558&amp;F$1,Taostats_CSV!$X:$X,0)-1,0),IF(LEN(Taostats_CSV!H558)&gt;0,Taostats_CSV!H558,Taostats_CSV!R558)))</f>
        <v>0</v>
      </c>
      <c r="G558" t="str">
        <f ca="1">IF(AND(Q558,N558=1),OFFSET(Taostats_CSV!$E$1,MATCH(K558&amp;H$1,Taostats_CSV!$X:$X,0)-1,0),IF(Taostats_CSV!F558="fee",Taostats_CSV!E558,""))</f>
        <v/>
      </c>
      <c r="H558" t="str">
        <f ca="1">IF(AND(Q558,N558=1),OFFSET(Taostats_CSV!$G$1,MATCH(K558&amp;H$1,Taostats_CSV!$X:$X,0)-1,0),IF(Taostats_CSV!F558="fee",Taostats_CSV!G558,""))</f>
        <v/>
      </c>
      <c r="I558" t="str">
        <f ca="1">IF(AND(LEN(K558)=0,LEN(F558)&gt;0),"Income",IF(AND(O558&gt;0,P558&gt;0,C558&lt;&gt;E558),"Trade",IF(AND(NOT(Q558),Taostats_CSV!F558="fee"),'READ ME'!$C$5,"")))</f>
        <v>Income</v>
      </c>
      <c r="J558" t="str">
        <f ca="1">SUBSTITUTE(IF(LEN(I558)=0,Taostats_CSV!F558&amp;" "&amp;Taostats_CSV!J558,IF(I558="Cost","Extrinsic fee","")),"_"," ")</f>
        <v/>
      </c>
      <c r="K558" t="str">
        <f>TRIM(IF(LEN(Taostats_CSV!I558)&gt;0,Taostats_CSV!I558,""))</f>
        <v/>
      </c>
      <c r="L558" t="str">
        <f>IF(Taostats_CSV!E558&lt;&gt;"TAO",IF(LEN(F558)&gt;0,F558,IF(LEN(D558)&gt;0,D558,0))*Taostats_CSV!P558,"")</f>
        <v/>
      </c>
      <c r="M558" t="str">
        <f t="shared" si="63"/>
        <v/>
      </c>
      <c r="N558">
        <f>COUNTIF(Taostats_CSV!$X:$X,Taostats_CSV!$I558&amp;N$1)</f>
        <v>0</v>
      </c>
      <c r="O558">
        <f>COUNTIF(Taostats_CSV!$X:$X,Taostats_CSV!$I558&amp;O$1)</f>
        <v>0</v>
      </c>
      <c r="P558">
        <f>COUNTIF(Taostats_CSV!$X:$X,Taostats_CSV!$I558&amp;P$1)</f>
        <v>0</v>
      </c>
      <c r="Q558" t="b">
        <f t="shared" si="64"/>
        <v>0</v>
      </c>
      <c r="R558" t="b">
        <f>IF(LEN(K558)&gt;0,COUNTIF($K$3:K558,K558),FALSE)</f>
        <v>0</v>
      </c>
      <c r="S558" t="b">
        <f>IF(Taostats_CSV!A558=Taostats_CSV!$A$2,TRUE,Taostats_CSV!G558+Taostats_CSV!H558+Taostats_CSV!R558=0)</f>
        <v>1</v>
      </c>
      <c r="T558" t="b">
        <f t="shared" si="65"/>
        <v>0</v>
      </c>
      <c r="U558" t="b" cm="1">
        <f t="array" aca="1" ref="U558" ca="1">AND(T558,OR(O558-N558&gt;1,P558&gt;1,ISERROR(A558:P558)))</f>
        <v>0</v>
      </c>
      <c r="W558" t="e">
        <f>MATCH(K558&amp;$W$2,Taostats_CSV!$X$3:$X$1167,0)</f>
        <v>#N/A</v>
      </c>
      <c r="X558" t="e">
        <f t="shared" ca="1" si="60"/>
        <v>#VALUE!</v>
      </c>
      <c r="Y558">
        <f t="shared" ca="1" si="61"/>
        <v>0</v>
      </c>
      <c r="Z558" t="e">
        <f t="shared" ca="1" si="62"/>
        <v>#VALUE!</v>
      </c>
    </row>
    <row r="559" spans="1:26" x14ac:dyDescent="0.4">
      <c r="A559" t="str">
        <f>MID(Taostats_CSV!C559,6,2)&amp;"/"&amp;MID(Taostats_CSV!C559,9,2)&amp;"/"&amp;LEFT(Taostats_CSV!C559,4)&amp;" "&amp;MID(Taostats_CSV!C559,12,8)</f>
        <v>07/02/2025 23:59:48</v>
      </c>
      <c r="C559" t="str">
        <f ca="1">IF(Q559,OFFSET(Taostats_CSV!$E$1,MATCH(K559&amp;D$1,Taostats_CSV!$X:$X,0)-1,0),IF(Taostats_CSV!F559="fee",IF(VALUE(Taostats_CSV!G559)&gt;0,Taostats_CSV!E559,""),""))</f>
        <v/>
      </c>
      <c r="D559" t="str">
        <f ca="1">IF(Q559,OFFSET(Taostats_CSV!$G$1,MATCH(K559&amp;D$1,Taostats_CSV!$X:$X,0)-1,0),IF(Taostats_CSV!F559="fee",IF(VALUE(Taostats_CSV!G559)&gt;0,Taostats_CSV!G559,""),""))</f>
        <v/>
      </c>
      <c r="E559" t="str">
        <f ca="1">IF(AND(Q559,P559&gt;0),OFFSET(Taostats_CSV!$E$1,MATCH(K559&amp;F$1,Taostats_CSV!$X:$X,0)-1,0),IF(LEN(F559)&gt;0,Taostats_CSV!E559,""))</f>
        <v>SN3</v>
      </c>
      <c r="F559" t="str">
        <f ca="1">TRIM(IF(AND(Q559,P559&gt;0),OFFSET(Taostats_CSV!$H$1,MATCH(K559&amp;F$1,Taostats_CSV!$X:$X,0)-1,0),IF(LEN(Taostats_CSV!H559)&gt;0,Taostats_CSV!H559,Taostats_CSV!R559)))</f>
        <v>0.432115563</v>
      </c>
      <c r="G559" t="str">
        <f ca="1">IF(AND(Q559,N559=1),OFFSET(Taostats_CSV!$E$1,MATCH(K559&amp;H$1,Taostats_CSV!$X:$X,0)-1,0),"")</f>
        <v/>
      </c>
      <c r="H559" t="str">
        <f ca="1">IF(AND(Q559,N559=1),OFFSET(Taostats_CSV!$G$1,MATCH(K559&amp;H$1,Taostats_CSV!$X:$X,0)-1,0),"")</f>
        <v/>
      </c>
      <c r="I559" t="str">
        <f ca="1">IF(AND(LEN(K559)=0,LEN(F559)&gt;0),"Income",IF(AND(O559&gt;0,P559&gt;0,C559&lt;&gt;E559),"Trade",IF(AND(NOT(Q559),Taostats_CSV!F559="fee"),'READ ME'!$C$5,"")))</f>
        <v>Income</v>
      </c>
      <c r="J559" t="str">
        <f ca="1">SUBSTITUTE(IF(LEN(I559)=0,Taostats_CSV!F559&amp;" "&amp;Taostats_CSV!J559,IF(I559="Cost","Extrinsic fee","")),"_"," ")</f>
        <v/>
      </c>
      <c r="K559" t="str">
        <f>TRIM(IF(LEN(Taostats_CSV!I559)&gt;0,Taostats_CSV!I559,""))</f>
        <v/>
      </c>
      <c r="L559">
        <f ca="1">IF(Taostats_CSV!E559&lt;&gt;"TAO",IF(LEN(F559)&gt;0,F559,IF(LEN(D559)&gt;0,D559,0))*Taostats_CSV!P559,"")</f>
        <v>9.062125241335476</v>
      </c>
      <c r="M559" t="str">
        <f t="shared" ca="1" si="63"/>
        <v>USD</v>
      </c>
      <c r="N559">
        <f>COUNTIF(Taostats_CSV!$X:$X,Taostats_CSV!$I559&amp;N$1)</f>
        <v>0</v>
      </c>
      <c r="O559">
        <f>COUNTIF(Taostats_CSV!$X:$X,Taostats_CSV!$I559&amp;O$1)</f>
        <v>0</v>
      </c>
      <c r="P559">
        <f>COUNTIF(Taostats_CSV!$X:$X,Taostats_CSV!$I559&amp;P$1)</f>
        <v>0</v>
      </c>
      <c r="Q559" t="b">
        <f t="shared" si="64"/>
        <v>0</v>
      </c>
      <c r="R559" t="b">
        <f>IF(LEN(K559)&gt;0,COUNTIF($K$3:K559,K559),FALSE)</f>
        <v>0</v>
      </c>
      <c r="S559" t="b">
        <f>IF(Taostats_CSV!A559=Taostats_CSV!$A$2,TRUE,Taostats_CSV!G559+Taostats_CSV!H559+Taostats_CSV!R559=0)</f>
        <v>0</v>
      </c>
      <c r="T559" t="b">
        <f t="shared" si="65"/>
        <v>1</v>
      </c>
      <c r="U559" t="b" cm="1">
        <f t="array" aca="1" ref="U559" ca="1">AND(T559,OR(O559-N559&gt;1,P559&gt;1,ISERROR(A559:P559)))</f>
        <v>0</v>
      </c>
      <c r="W559" t="e">
        <f>MATCH(K559&amp;$W$2,Taostats_CSV!$X$3:$X$1167,0)</f>
        <v>#N/A</v>
      </c>
      <c r="X559" t="e">
        <f t="shared" ca="1" si="60"/>
        <v>#VALUE!</v>
      </c>
      <c r="Y559">
        <f t="shared" ca="1" si="61"/>
        <v>0.43211556299999998</v>
      </c>
      <c r="Z559" t="e">
        <f t="shared" ca="1" si="62"/>
        <v>#VALUE!</v>
      </c>
    </row>
    <row r="560" spans="1:26" x14ac:dyDescent="0.4">
      <c r="A560" t="str">
        <f>MID(Taostats_CSV!C560,6,2)&amp;"/"&amp;MID(Taostats_CSV!C560,9,2)&amp;"/"&amp;LEFT(Taostats_CSV!C560,4)&amp;" "&amp;MID(Taostats_CSV!C560,12,8)</f>
        <v>07/02/2025 23:59:48</v>
      </c>
      <c r="C560" t="str">
        <f ca="1">IF(Q560,OFFSET(Taostats_CSV!$E$1,MATCH(K560&amp;D$1,Taostats_CSV!$X:$X,0)-1,0),IF(Taostats_CSV!F560="fee",IF(VALUE(Taostats_CSV!G560)&gt;0,Taostats_CSV!E560,""),""))</f>
        <v/>
      </c>
      <c r="D560" t="str">
        <f ca="1">IF(Q560,OFFSET(Taostats_CSV!$G$1,MATCH(K560&amp;D$1,Taostats_CSV!$X:$X,0)-1,0),IF(Taostats_CSV!F560="fee",IF(VALUE(Taostats_CSV!G560)&gt;0,Taostats_CSV!G560,""),""))</f>
        <v/>
      </c>
      <c r="E560" t="str">
        <f ca="1">IF(AND(Q560,P560&gt;0),OFFSET(Taostats_CSV!$E$1,MATCH(K560&amp;F$1,Taostats_CSV!$X:$X,0)-1,0),IF(LEN(F560)&gt;0,Taostats_CSV!E560,""))</f>
        <v>SN4</v>
      </c>
      <c r="F560" t="str">
        <f ca="1">TRIM(IF(AND(Q560,P560&gt;0),OFFSET(Taostats_CSV!$H$1,MATCH(K560&amp;F$1,Taostats_CSV!$X:$X,0)-1,0),IF(LEN(Taostats_CSV!H560)&gt;0,Taostats_CSV!H560,Taostats_CSV!R560)))</f>
        <v>0.491478049</v>
      </c>
      <c r="G560" t="str">
        <f ca="1">IF(AND(Q560,N560=1),OFFSET(Taostats_CSV!$E$1,MATCH(K560&amp;H$1,Taostats_CSV!$X:$X,0)-1,0),"")</f>
        <v/>
      </c>
      <c r="H560" t="str">
        <f ca="1">IF(AND(Q560,N560=1),OFFSET(Taostats_CSV!$G$1,MATCH(K560&amp;H$1,Taostats_CSV!$X:$X,0)-1,0),"")</f>
        <v/>
      </c>
      <c r="I560" t="str">
        <f ca="1">IF(AND(LEN(K560)=0,LEN(F560)&gt;0),"Income",IF(AND(O560&gt;0,P560&gt;0,C560&lt;&gt;E560),"Trade",IF(AND(NOT(Q560),Taostats_CSV!F560="fee"),'READ ME'!$C$5,"")))</f>
        <v>Income</v>
      </c>
      <c r="J560" t="str">
        <f ca="1">SUBSTITUTE(IF(LEN(I560)=0,Taostats_CSV!F560&amp;" "&amp;Taostats_CSV!J560,IF(I560="Cost","Extrinsic fee","")),"_"," ")</f>
        <v/>
      </c>
      <c r="K560" t="str">
        <f>TRIM(IF(LEN(Taostats_CSV!I560)&gt;0,Taostats_CSV!I560,""))</f>
        <v/>
      </c>
      <c r="L560">
        <f ca="1">IF(Taostats_CSV!E560&lt;&gt;"TAO",IF(LEN(F560)&gt;0,F560,IF(LEN(D560)&gt;0,D560,0))*Taostats_CSV!P560,"")</f>
        <v>10.973905409149712</v>
      </c>
      <c r="M560" t="str">
        <f t="shared" ca="1" si="63"/>
        <v>USD</v>
      </c>
      <c r="N560">
        <f>COUNTIF(Taostats_CSV!$X:$X,Taostats_CSV!$I560&amp;N$1)</f>
        <v>0</v>
      </c>
      <c r="O560">
        <f>COUNTIF(Taostats_CSV!$X:$X,Taostats_CSV!$I560&amp;O$1)</f>
        <v>0</v>
      </c>
      <c r="P560">
        <f>COUNTIF(Taostats_CSV!$X:$X,Taostats_CSV!$I560&amp;P$1)</f>
        <v>0</v>
      </c>
      <c r="Q560" t="b">
        <f t="shared" si="64"/>
        <v>0</v>
      </c>
      <c r="R560" t="b">
        <f>IF(LEN(K560)&gt;0,COUNTIF($K$3:K560,K560),FALSE)</f>
        <v>0</v>
      </c>
      <c r="S560" t="b">
        <f>IF(Taostats_CSV!A560=Taostats_CSV!$A$2,TRUE,Taostats_CSV!G560+Taostats_CSV!H560+Taostats_CSV!R560=0)</f>
        <v>0</v>
      </c>
      <c r="T560" t="b">
        <f t="shared" si="65"/>
        <v>1</v>
      </c>
      <c r="U560" t="b" cm="1">
        <f t="array" aca="1" ref="U560" ca="1">AND(T560,OR(O560-N560&gt;1,P560&gt;1,ISERROR(A560:P560)))</f>
        <v>0</v>
      </c>
      <c r="W560" t="e">
        <f>MATCH(K560&amp;$W$2,Taostats_CSV!$X$3:$X$1167,0)</f>
        <v>#N/A</v>
      </c>
      <c r="X560" t="e">
        <f t="shared" ca="1" si="60"/>
        <v>#VALUE!</v>
      </c>
      <c r="Y560">
        <f t="shared" ca="1" si="61"/>
        <v>0.49147804899999997</v>
      </c>
      <c r="Z560" t="e">
        <f t="shared" ca="1" si="62"/>
        <v>#VALUE!</v>
      </c>
    </row>
    <row r="561" spans="1:26" x14ac:dyDescent="0.4">
      <c r="A561" t="str">
        <f>MID(Taostats_CSV!C561,6,2)&amp;"/"&amp;MID(Taostats_CSV!C561,9,2)&amp;"/"&amp;LEFT(Taostats_CSV!C561,4)&amp;" "&amp;MID(Taostats_CSV!C561,12,8)</f>
        <v>07/02/2025 23:59:48</v>
      </c>
      <c r="C561" t="str">
        <f ca="1">IF(Q561,OFFSET(Taostats_CSV!$E$1,MATCH(K561&amp;D$1,Taostats_CSV!$X:$X,0)-1,0),IF(Taostats_CSV!F561="fee",IF(VALUE(Taostats_CSV!G561)&gt;0,Taostats_CSV!E561,""),""))</f>
        <v/>
      </c>
      <c r="D561" t="str">
        <f ca="1">IF(Q561,OFFSET(Taostats_CSV!$G$1,MATCH(K561&amp;D$1,Taostats_CSV!$X:$X,0)-1,0),IF(Taostats_CSV!F561="fee",IF(VALUE(Taostats_CSV!G561)&gt;0,Taostats_CSV!G561,""),""))</f>
        <v/>
      </c>
      <c r="E561" t="str">
        <f ca="1">IF(AND(Q561,P561&gt;0),OFFSET(Taostats_CSV!$E$1,MATCH(K561&amp;F$1,Taostats_CSV!$X:$X,0)-1,0),IF(LEN(F561)&gt;0,Taostats_CSV!E561,""))</f>
        <v>SN56</v>
      </c>
      <c r="F561" t="str">
        <f ca="1">TRIM(IF(AND(Q561,P561&gt;0),OFFSET(Taostats_CSV!$H$1,MATCH(K561&amp;F$1,Taostats_CSV!$X:$X,0)-1,0),IF(LEN(Taostats_CSV!H561)&gt;0,Taostats_CSV!H561,Taostats_CSV!R561)))</f>
        <v>0.262705943</v>
      </c>
      <c r="G561" t="str">
        <f ca="1">IF(AND(Q561,N561=1),OFFSET(Taostats_CSV!$E$1,MATCH(K561&amp;H$1,Taostats_CSV!$X:$X,0)-1,0),"")</f>
        <v/>
      </c>
      <c r="H561" t="str">
        <f ca="1">IF(AND(Q561,N561=1),OFFSET(Taostats_CSV!$G$1,MATCH(K561&amp;H$1,Taostats_CSV!$X:$X,0)-1,0),"")</f>
        <v/>
      </c>
      <c r="I561" t="str">
        <f ca="1">IF(AND(LEN(K561)=0,LEN(F561)&gt;0),"Income",IF(AND(O561&gt;0,P561&gt;0,C561&lt;&gt;E561),"Trade",IF(AND(NOT(Q561),Taostats_CSV!F561="fee"),'READ ME'!$C$5,"")))</f>
        <v>Income</v>
      </c>
      <c r="J561" t="str">
        <f ca="1">SUBSTITUTE(IF(LEN(I561)=0,Taostats_CSV!F561&amp;" "&amp;Taostats_CSV!J561,IF(I561="Cost","Extrinsic fee","")),"_"," ")</f>
        <v/>
      </c>
      <c r="K561" t="str">
        <f>TRIM(IF(LEN(Taostats_CSV!I561)&gt;0,Taostats_CSV!I561,""))</f>
        <v/>
      </c>
      <c r="L561">
        <f ca="1">IF(Taostats_CSV!E561&lt;&gt;"TAO",IF(LEN(F561)&gt;0,F561,IF(LEN(D561)&gt;0,D561,0))*Taostats_CSV!P561,"")</f>
        <v>4.8815162711602467</v>
      </c>
      <c r="M561" t="str">
        <f t="shared" ca="1" si="63"/>
        <v>USD</v>
      </c>
      <c r="N561">
        <f>COUNTIF(Taostats_CSV!$X:$X,Taostats_CSV!$I561&amp;N$1)</f>
        <v>0</v>
      </c>
      <c r="O561">
        <f>COUNTIF(Taostats_CSV!$X:$X,Taostats_CSV!$I561&amp;O$1)</f>
        <v>0</v>
      </c>
      <c r="P561">
        <f>COUNTIF(Taostats_CSV!$X:$X,Taostats_CSV!$I561&amp;P$1)</f>
        <v>0</v>
      </c>
      <c r="Q561" t="b">
        <f t="shared" si="64"/>
        <v>0</v>
      </c>
      <c r="R561" t="b">
        <f>IF(LEN(K561)&gt;0,COUNTIF($K$3:K561,K561),FALSE)</f>
        <v>0</v>
      </c>
      <c r="S561" t="b">
        <f>IF(Taostats_CSV!A561=Taostats_CSV!$A$2,TRUE,Taostats_CSV!G561+Taostats_CSV!H561+Taostats_CSV!R561=0)</f>
        <v>0</v>
      </c>
      <c r="T561" t="b">
        <f t="shared" si="65"/>
        <v>1</v>
      </c>
      <c r="U561" t="b" cm="1">
        <f t="array" aca="1" ref="U561" ca="1">AND(T561,OR(O561-N561&gt;1,P561&gt;1,ISERROR(A561:P561)))</f>
        <v>0</v>
      </c>
      <c r="W561" t="e">
        <f>MATCH(K561&amp;$W$2,Taostats_CSV!$X$3:$X$1167,0)</f>
        <v>#N/A</v>
      </c>
      <c r="X561" t="e">
        <f t="shared" ca="1" si="60"/>
        <v>#VALUE!</v>
      </c>
      <c r="Y561">
        <f t="shared" ca="1" si="61"/>
        <v>0.262705943</v>
      </c>
      <c r="Z561" t="e">
        <f t="shared" ca="1" si="62"/>
        <v>#VALUE!</v>
      </c>
    </row>
    <row r="562" spans="1:26" x14ac:dyDescent="0.4">
      <c r="A562" t="str">
        <f>MID(Taostats_CSV!C562,6,2)&amp;"/"&amp;MID(Taostats_CSV!C562,9,2)&amp;"/"&amp;LEFT(Taostats_CSV!C562,4)&amp;" "&amp;MID(Taostats_CSV!C562,12,8)</f>
        <v>07/02/2025 23:59:48</v>
      </c>
      <c r="C562" t="str">
        <f ca="1">IF(Q562,OFFSET(Taostats_CSV!$E$1,MATCH(K562&amp;D$1,Taostats_CSV!$X:$X,0)-1,0),IF(Taostats_CSV!F562="fee",IF(VALUE(Taostats_CSV!G562)&gt;0,Taostats_CSV!E562,""),""))</f>
        <v/>
      </c>
      <c r="D562" t="str">
        <f ca="1">IF(Q562,OFFSET(Taostats_CSV!$G$1,MATCH(K562&amp;D$1,Taostats_CSV!$X:$X,0)-1,0),IF(Taostats_CSV!F562="fee",IF(VALUE(Taostats_CSV!G562)&gt;0,Taostats_CSV!G562,""),""))</f>
        <v/>
      </c>
      <c r="E562" t="str">
        <f ca="1">IF(AND(Q562,P562&gt;0),OFFSET(Taostats_CSV!$E$1,MATCH(K562&amp;F$1,Taostats_CSV!$X:$X,0)-1,0),IF(LEN(F562)&gt;0,Taostats_CSV!E562,""))</f>
        <v>SN64</v>
      </c>
      <c r="F562" t="str">
        <f ca="1">TRIM(IF(AND(Q562,P562&gt;0),OFFSET(Taostats_CSV!$H$1,MATCH(K562&amp;F$1,Taostats_CSV!$X:$X,0)-1,0),IF(LEN(Taostats_CSV!H562)&gt;0,Taostats_CSV!H562,Taostats_CSV!R562)))</f>
        <v>0.146513441</v>
      </c>
      <c r="G562" t="str">
        <f ca="1">IF(AND(Q562,N562=1),OFFSET(Taostats_CSV!$E$1,MATCH(K562&amp;H$1,Taostats_CSV!$X:$X,0)-1,0),"")</f>
        <v/>
      </c>
      <c r="H562" t="str">
        <f ca="1">IF(AND(Q562,N562=1),OFFSET(Taostats_CSV!$G$1,MATCH(K562&amp;H$1,Taostats_CSV!$X:$X,0)-1,0),"")</f>
        <v/>
      </c>
      <c r="I562" t="str">
        <f ca="1">IF(AND(LEN(K562)=0,LEN(F562)&gt;0),"Income",IF(AND(O562&gt;0,P562&gt;0,C562&lt;&gt;E562),"Trade",IF(AND(NOT(Q562),Taostats_CSV!F562="fee"),'READ ME'!$C$5,"")))</f>
        <v>Income</v>
      </c>
      <c r="J562" t="str">
        <f ca="1">SUBSTITUTE(IF(LEN(I562)=0,Taostats_CSV!F562&amp;" "&amp;Taostats_CSV!J562,IF(I562="Cost","Extrinsic fee","")),"_"," ")</f>
        <v/>
      </c>
      <c r="K562" t="str">
        <f>TRIM(IF(LEN(Taostats_CSV!I562)&gt;0,Taostats_CSV!I562,""))</f>
        <v/>
      </c>
      <c r="L562">
        <f ca="1">IF(Taostats_CSV!E562&lt;&gt;"TAO",IF(LEN(F562)&gt;0,F562,IF(LEN(D562)&gt;0,D562,0))*Taostats_CSV!P562,"")</f>
        <v>7.7833744811355716</v>
      </c>
      <c r="M562" t="str">
        <f t="shared" ca="1" si="63"/>
        <v>USD</v>
      </c>
      <c r="N562">
        <f>COUNTIF(Taostats_CSV!$X:$X,Taostats_CSV!$I562&amp;N$1)</f>
        <v>0</v>
      </c>
      <c r="O562">
        <f>COUNTIF(Taostats_CSV!$X:$X,Taostats_CSV!$I562&amp;O$1)</f>
        <v>0</v>
      </c>
      <c r="P562">
        <f>COUNTIF(Taostats_CSV!$X:$X,Taostats_CSV!$I562&amp;P$1)</f>
        <v>0</v>
      </c>
      <c r="Q562" t="b">
        <f t="shared" si="64"/>
        <v>0</v>
      </c>
      <c r="R562" t="b">
        <f>IF(LEN(K562)&gt;0,COUNTIF($K$3:K562,K562),FALSE)</f>
        <v>0</v>
      </c>
      <c r="S562" t="b">
        <f>IF(Taostats_CSV!A562=Taostats_CSV!$A$2,TRUE,Taostats_CSV!G562+Taostats_CSV!H562+Taostats_CSV!R562=0)</f>
        <v>0</v>
      </c>
      <c r="T562" t="b">
        <f t="shared" si="65"/>
        <v>1</v>
      </c>
      <c r="U562" t="b" cm="1">
        <f t="array" aca="1" ref="U562" ca="1">AND(T562,OR(O562-N562&gt;1,P562&gt;1,ISERROR(A562:P562)))</f>
        <v>0</v>
      </c>
      <c r="W562" t="e">
        <f>MATCH(K562&amp;$W$2,Taostats_CSV!$X$3:$X$1167,0)</f>
        <v>#N/A</v>
      </c>
      <c r="X562" t="e">
        <f t="shared" ca="1" si="60"/>
        <v>#VALUE!</v>
      </c>
      <c r="Y562">
        <f t="shared" ca="1" si="61"/>
        <v>0.14651344099999999</v>
      </c>
      <c r="Z562" t="e">
        <f t="shared" ca="1" si="62"/>
        <v>#VALUE!</v>
      </c>
    </row>
    <row r="563" spans="1:26" hidden="1" x14ac:dyDescent="0.4">
      <c r="A563" t="str">
        <f>MID(Taostats_CSV!C563,6,2)&amp;"/"&amp;MID(Taostats_CSV!C563,9,2)&amp;"/"&amp;LEFT(Taostats_CSV!C563,4)&amp;" "&amp;MID(Taostats_CSV!C563,12,8)</f>
        <v>07/02/2025 23:59:48</v>
      </c>
      <c r="C563" t="str">
        <f ca="1">IF(Q563,OFFSET(Taostats_CSV!$E$1,MATCH(K563&amp;D$1,Taostats_CSV!$X:$X,0)-1,0),IF(Taostats_CSV!F563="fee","",IF(VALUE(Taostats_CSV!G563)&gt;0,Taostats_CSV!E563,"")))</f>
        <v/>
      </c>
      <c r="D563" t="str">
        <f ca="1">IF(Q563,OFFSET(Taostats_CSV!$G$1,MATCH(K563&amp;D$1,Taostats_CSV!$X:$X,0)-1,0),IF(Taostats_CSV!F563="fee","",IF(VALUE(Taostats_CSV!G563)&gt;0,Taostats_CSV!G563,"")))</f>
        <v/>
      </c>
      <c r="E563" t="str">
        <f ca="1">IF(AND(Q563,P563&gt;0),OFFSET(Taostats_CSV!$E$1,MATCH(K563&amp;F$1,Taostats_CSV!$X:$X,0)-1,0),IF(LEN(F563)&gt;0,Taostats_CSV!E563,""))</f>
        <v>TAO</v>
      </c>
      <c r="F563" t="str">
        <f ca="1">TRIM(IF(AND(Q563,P563&gt;0),OFFSET(Taostats_CSV!$H$1,MATCH(K563&amp;F$1,Taostats_CSV!$X:$X,0)-1,0),IF(LEN(Taostats_CSV!H563)&gt;0,Taostats_CSV!H563,Taostats_CSV!R563)))</f>
        <v>0</v>
      </c>
      <c r="G563" t="str">
        <f ca="1">IF(AND(Q563,N563=1),OFFSET(Taostats_CSV!$E$1,MATCH(K563&amp;H$1,Taostats_CSV!$X:$X,0)-1,0),IF(Taostats_CSV!F563="fee",Taostats_CSV!E563,""))</f>
        <v/>
      </c>
      <c r="H563" t="str">
        <f ca="1">IF(AND(Q563,N563=1),OFFSET(Taostats_CSV!$G$1,MATCH(K563&amp;H$1,Taostats_CSV!$X:$X,0)-1,0),IF(Taostats_CSV!F563="fee",Taostats_CSV!G563,""))</f>
        <v/>
      </c>
      <c r="I563" t="str">
        <f ca="1">IF(AND(LEN(K563)=0,LEN(F563)&gt;0),"Income",IF(AND(O563&gt;0,P563&gt;0,C563&lt;&gt;E563),"Trade",IF(AND(NOT(Q563),Taostats_CSV!F563="fee"),'READ ME'!$C$5,"")))</f>
        <v>Income</v>
      </c>
      <c r="J563" t="str">
        <f ca="1">SUBSTITUTE(IF(LEN(I563)=0,Taostats_CSV!F563&amp;" "&amp;Taostats_CSV!J563,IF(I563="Cost","Extrinsic fee","")),"_"," ")</f>
        <v/>
      </c>
      <c r="K563" t="str">
        <f>TRIM(IF(LEN(Taostats_CSV!I563)&gt;0,Taostats_CSV!I563,""))</f>
        <v/>
      </c>
      <c r="L563" t="str">
        <f>IF(Taostats_CSV!E563&lt;&gt;"TAO",IF(LEN(F563)&gt;0,F563,IF(LEN(D563)&gt;0,D563,0))*Taostats_CSV!P563,"")</f>
        <v/>
      </c>
      <c r="M563" t="str">
        <f t="shared" si="63"/>
        <v/>
      </c>
      <c r="N563">
        <f>COUNTIF(Taostats_CSV!$X:$X,Taostats_CSV!$I563&amp;N$1)</f>
        <v>0</v>
      </c>
      <c r="O563">
        <f>COUNTIF(Taostats_CSV!$X:$X,Taostats_CSV!$I563&amp;O$1)</f>
        <v>0</v>
      </c>
      <c r="P563">
        <f>COUNTIF(Taostats_CSV!$X:$X,Taostats_CSV!$I563&amp;P$1)</f>
        <v>0</v>
      </c>
      <c r="Q563" t="b">
        <f t="shared" si="64"/>
        <v>0</v>
      </c>
      <c r="R563" t="b">
        <f>IF(LEN(K563)&gt;0,COUNTIF($K$3:K563,K563),FALSE)</f>
        <v>0</v>
      </c>
      <c r="S563" t="b">
        <f>IF(Taostats_CSV!A563=Taostats_CSV!$A$2,TRUE,Taostats_CSV!G563+Taostats_CSV!H563+Taostats_CSV!R563=0)</f>
        <v>1</v>
      </c>
      <c r="T563" t="b">
        <f t="shared" si="65"/>
        <v>0</v>
      </c>
      <c r="U563" t="b" cm="1">
        <f t="array" aca="1" ref="U563" ca="1">AND(T563,OR(O563-N563&gt;1,P563&gt;1,ISERROR(A563:P563)))</f>
        <v>0</v>
      </c>
      <c r="W563" t="e">
        <f>MATCH(K563&amp;$W$2,Taostats_CSV!$X$3:$X$1167,0)</f>
        <v>#N/A</v>
      </c>
      <c r="X563" t="e">
        <f t="shared" ca="1" si="60"/>
        <v>#VALUE!</v>
      </c>
      <c r="Y563">
        <f t="shared" ca="1" si="61"/>
        <v>0</v>
      </c>
      <c r="Z563" t="e">
        <f t="shared" ca="1" si="62"/>
        <v>#VALUE!</v>
      </c>
    </row>
    <row r="564" spans="1:26" x14ac:dyDescent="0.4">
      <c r="A564" t="str">
        <f>MID(Taostats_CSV!C564,6,2)&amp;"/"&amp;MID(Taostats_CSV!C564,9,2)&amp;"/"&amp;LEFT(Taostats_CSV!C564,4)&amp;" "&amp;MID(Taostats_CSV!C564,12,8)</f>
        <v>07/03/2025 23:59:48</v>
      </c>
      <c r="C564" t="str">
        <f ca="1">IF(Q564,OFFSET(Taostats_CSV!$E$1,MATCH(K564&amp;D$1,Taostats_CSV!$X:$X,0)-1,0),IF(Taostats_CSV!F564="fee",IF(VALUE(Taostats_CSV!G564)&gt;0,Taostats_CSV!E564,""),""))</f>
        <v/>
      </c>
      <c r="D564" t="str">
        <f ca="1">IF(Q564,OFFSET(Taostats_CSV!$G$1,MATCH(K564&amp;D$1,Taostats_CSV!$X:$X,0)-1,0),IF(Taostats_CSV!F564="fee",IF(VALUE(Taostats_CSV!G564)&gt;0,Taostats_CSV!G564,""),""))</f>
        <v/>
      </c>
      <c r="E564" t="str">
        <f ca="1">IF(AND(Q564,P564&gt;0),OFFSET(Taostats_CSV!$E$1,MATCH(K564&amp;F$1,Taostats_CSV!$X:$X,0)-1,0),IF(LEN(F564)&gt;0,Taostats_CSV!E564,""))</f>
        <v>SN3</v>
      </c>
      <c r="F564" t="str">
        <f ca="1">TRIM(IF(AND(Q564,P564&gt;0),OFFSET(Taostats_CSV!$H$1,MATCH(K564&amp;F$1,Taostats_CSV!$X:$X,0)-1,0),IF(LEN(Taostats_CSV!H564)&gt;0,Taostats_CSV!H564,Taostats_CSV!R564)))</f>
        <v>0.431344249</v>
      </c>
      <c r="G564" t="str">
        <f ca="1">IF(AND(Q564,N564=1),OFFSET(Taostats_CSV!$E$1,MATCH(K564&amp;H$1,Taostats_CSV!$X:$X,0)-1,0),"")</f>
        <v/>
      </c>
      <c r="H564" t="str">
        <f ca="1">IF(AND(Q564,N564=1),OFFSET(Taostats_CSV!$G$1,MATCH(K564&amp;H$1,Taostats_CSV!$X:$X,0)-1,0),"")</f>
        <v/>
      </c>
      <c r="I564" t="str">
        <f ca="1">IF(AND(LEN(K564)=0,LEN(F564)&gt;0),"Income",IF(AND(O564&gt;0,P564&gt;0,C564&lt;&gt;E564),"Trade",IF(AND(NOT(Q564),Taostats_CSV!F564="fee"),'READ ME'!$C$5,"")))</f>
        <v>Income</v>
      </c>
      <c r="J564" t="str">
        <f ca="1">SUBSTITUTE(IF(LEN(I564)=0,Taostats_CSV!F564&amp;" "&amp;Taostats_CSV!J564,IF(I564="Cost","Extrinsic fee","")),"_"," ")</f>
        <v/>
      </c>
      <c r="K564" t="str">
        <f>TRIM(IF(LEN(Taostats_CSV!I564)&gt;0,Taostats_CSV!I564,""))</f>
        <v/>
      </c>
      <c r="L564">
        <f ca="1">IF(Taostats_CSV!E564&lt;&gt;"TAO",IF(LEN(F564)&gt;0,F564,IF(LEN(D564)&gt;0,D564,0))*Taostats_CSV!P564,"")</f>
        <v>9.0768003310612624</v>
      </c>
      <c r="M564" t="str">
        <f t="shared" ca="1" si="63"/>
        <v>USD</v>
      </c>
      <c r="N564">
        <f>COUNTIF(Taostats_CSV!$X:$X,Taostats_CSV!$I564&amp;N$1)</f>
        <v>0</v>
      </c>
      <c r="O564">
        <f>COUNTIF(Taostats_CSV!$X:$X,Taostats_CSV!$I564&amp;O$1)</f>
        <v>0</v>
      </c>
      <c r="P564">
        <f>COUNTIF(Taostats_CSV!$X:$X,Taostats_CSV!$I564&amp;P$1)</f>
        <v>0</v>
      </c>
      <c r="Q564" t="b">
        <f t="shared" si="64"/>
        <v>0</v>
      </c>
      <c r="R564" t="b">
        <f>IF(LEN(K564)&gt;0,COUNTIF($K$3:K564,K564),FALSE)</f>
        <v>0</v>
      </c>
      <c r="S564" t="b">
        <f>IF(Taostats_CSV!A564=Taostats_CSV!$A$2,TRUE,Taostats_CSV!G564+Taostats_CSV!H564+Taostats_CSV!R564=0)</f>
        <v>0</v>
      </c>
      <c r="T564" t="b">
        <f t="shared" si="65"/>
        <v>1</v>
      </c>
      <c r="U564" t="b" cm="1">
        <f t="array" aca="1" ref="U564" ca="1">AND(T564,OR(O564-N564&gt;1,P564&gt;1,ISERROR(A564:P564)))</f>
        <v>0</v>
      </c>
      <c r="W564" t="e">
        <f>MATCH(K564&amp;$W$2,Taostats_CSV!$X$3:$X$1167,0)</f>
        <v>#N/A</v>
      </c>
      <c r="X564" t="e">
        <f t="shared" ca="1" si="60"/>
        <v>#VALUE!</v>
      </c>
      <c r="Y564">
        <f t="shared" ca="1" si="61"/>
        <v>0.43134424900000001</v>
      </c>
      <c r="Z564" t="e">
        <f t="shared" ca="1" si="62"/>
        <v>#VALUE!</v>
      </c>
    </row>
    <row r="565" spans="1:26" x14ac:dyDescent="0.4">
      <c r="A565" t="str">
        <f>MID(Taostats_CSV!C565,6,2)&amp;"/"&amp;MID(Taostats_CSV!C565,9,2)&amp;"/"&amp;LEFT(Taostats_CSV!C565,4)&amp;" "&amp;MID(Taostats_CSV!C565,12,8)</f>
        <v>07/03/2025 23:59:48</v>
      </c>
      <c r="C565" t="str">
        <f ca="1">IF(Q565,OFFSET(Taostats_CSV!$E$1,MATCH(K565&amp;D$1,Taostats_CSV!$X:$X,0)-1,0),IF(Taostats_CSV!F565="fee",IF(VALUE(Taostats_CSV!G565)&gt;0,Taostats_CSV!E565,""),""))</f>
        <v/>
      </c>
      <c r="D565" t="str">
        <f ca="1">IF(Q565,OFFSET(Taostats_CSV!$G$1,MATCH(K565&amp;D$1,Taostats_CSV!$X:$X,0)-1,0),IF(Taostats_CSV!F565="fee",IF(VALUE(Taostats_CSV!G565)&gt;0,Taostats_CSV!G565,""),""))</f>
        <v/>
      </c>
      <c r="E565" t="str">
        <f ca="1">IF(AND(Q565,P565&gt;0),OFFSET(Taostats_CSV!$E$1,MATCH(K565&amp;F$1,Taostats_CSV!$X:$X,0)-1,0),IF(LEN(F565)&gt;0,Taostats_CSV!E565,""))</f>
        <v>SN4</v>
      </c>
      <c r="F565" t="str">
        <f ca="1">TRIM(IF(AND(Q565,P565&gt;0),OFFSET(Taostats_CSV!$H$1,MATCH(K565&amp;F$1,Taostats_CSV!$X:$X,0)-1,0),IF(LEN(Taostats_CSV!H565)&gt;0,Taostats_CSV!H565,Taostats_CSV!R565)))</f>
        <v>0.477011866</v>
      </c>
      <c r="G565" t="str">
        <f ca="1">IF(AND(Q565,N565=1),OFFSET(Taostats_CSV!$E$1,MATCH(K565&amp;H$1,Taostats_CSV!$X:$X,0)-1,0),"")</f>
        <v/>
      </c>
      <c r="H565" t="str">
        <f ca="1">IF(AND(Q565,N565=1),OFFSET(Taostats_CSV!$G$1,MATCH(K565&amp;H$1,Taostats_CSV!$X:$X,0)-1,0),"")</f>
        <v/>
      </c>
      <c r="I565" t="str">
        <f ca="1">IF(AND(LEN(K565)=0,LEN(F565)&gt;0),"Income",IF(AND(O565&gt;0,P565&gt;0,C565&lt;&gt;E565),"Trade",IF(AND(NOT(Q565),Taostats_CSV!F565="fee"),'READ ME'!$C$5,"")))</f>
        <v>Income</v>
      </c>
      <c r="J565" t="str">
        <f ca="1">SUBSTITUTE(IF(LEN(I565)=0,Taostats_CSV!F565&amp;" "&amp;Taostats_CSV!J565,IF(I565="Cost","Extrinsic fee","")),"_"," ")</f>
        <v/>
      </c>
      <c r="K565" t="str">
        <f>TRIM(IF(LEN(Taostats_CSV!I565)&gt;0,Taostats_CSV!I565,""))</f>
        <v/>
      </c>
      <c r="L565">
        <f ca="1">IF(Taostats_CSV!E565&lt;&gt;"TAO",IF(LEN(F565)&gt;0,F565,IF(LEN(D565)&gt;0,D565,0))*Taostats_CSV!P565,"")</f>
        <v>10.642130307197084</v>
      </c>
      <c r="M565" t="str">
        <f t="shared" ca="1" si="63"/>
        <v>USD</v>
      </c>
      <c r="N565">
        <f>COUNTIF(Taostats_CSV!$X:$X,Taostats_CSV!$I565&amp;N$1)</f>
        <v>0</v>
      </c>
      <c r="O565">
        <f>COUNTIF(Taostats_CSV!$X:$X,Taostats_CSV!$I565&amp;O$1)</f>
        <v>0</v>
      </c>
      <c r="P565">
        <f>COUNTIF(Taostats_CSV!$X:$X,Taostats_CSV!$I565&amp;P$1)</f>
        <v>0</v>
      </c>
      <c r="Q565" t="b">
        <f t="shared" si="64"/>
        <v>0</v>
      </c>
      <c r="R565" t="b">
        <f>IF(LEN(K565)&gt;0,COUNTIF($K$3:K565,K565),FALSE)</f>
        <v>0</v>
      </c>
      <c r="S565" t="b">
        <f>IF(Taostats_CSV!A565=Taostats_CSV!$A$2,TRUE,Taostats_CSV!G565+Taostats_CSV!H565+Taostats_CSV!R565=0)</f>
        <v>0</v>
      </c>
      <c r="T565" t="b">
        <f t="shared" si="65"/>
        <v>1</v>
      </c>
      <c r="U565" t="b" cm="1">
        <f t="array" aca="1" ref="U565" ca="1">AND(T565,OR(O565-N565&gt;1,P565&gt;1,ISERROR(A565:P565)))</f>
        <v>0</v>
      </c>
      <c r="W565" t="e">
        <f>MATCH(K565&amp;$W$2,Taostats_CSV!$X$3:$X$1167,0)</f>
        <v>#N/A</v>
      </c>
      <c r="X565" t="e">
        <f t="shared" ca="1" si="60"/>
        <v>#VALUE!</v>
      </c>
      <c r="Y565">
        <f t="shared" ca="1" si="61"/>
        <v>0.47701186600000001</v>
      </c>
      <c r="Z565" t="e">
        <f t="shared" ca="1" si="62"/>
        <v>#VALUE!</v>
      </c>
    </row>
    <row r="566" spans="1:26" x14ac:dyDescent="0.4">
      <c r="A566" t="str">
        <f>MID(Taostats_CSV!C566,6,2)&amp;"/"&amp;MID(Taostats_CSV!C566,9,2)&amp;"/"&amp;LEFT(Taostats_CSV!C566,4)&amp;" "&amp;MID(Taostats_CSV!C566,12,8)</f>
        <v>07/03/2025 23:59:48</v>
      </c>
      <c r="C566" t="str">
        <f ca="1">IF(Q566,OFFSET(Taostats_CSV!$E$1,MATCH(K566&amp;D$1,Taostats_CSV!$X:$X,0)-1,0),IF(Taostats_CSV!F566="fee",IF(VALUE(Taostats_CSV!G566)&gt;0,Taostats_CSV!E566,""),""))</f>
        <v/>
      </c>
      <c r="D566" t="str">
        <f ca="1">IF(Q566,OFFSET(Taostats_CSV!$G$1,MATCH(K566&amp;D$1,Taostats_CSV!$X:$X,0)-1,0),IF(Taostats_CSV!F566="fee",IF(VALUE(Taostats_CSV!G566)&gt;0,Taostats_CSV!G566,""),""))</f>
        <v/>
      </c>
      <c r="E566" t="str">
        <f ca="1">IF(AND(Q566,P566&gt;0),OFFSET(Taostats_CSV!$E$1,MATCH(K566&amp;F$1,Taostats_CSV!$X:$X,0)-1,0),IF(LEN(F566)&gt;0,Taostats_CSV!E566,""))</f>
        <v>SN56</v>
      </c>
      <c r="F566" t="str">
        <f ca="1">TRIM(IF(AND(Q566,P566&gt;0),OFFSET(Taostats_CSV!$H$1,MATCH(K566&amp;F$1,Taostats_CSV!$X:$X,0)-1,0),IF(LEN(Taostats_CSV!H566)&gt;0,Taostats_CSV!H566,Taostats_CSV!R566)))</f>
        <v>0.264745365</v>
      </c>
      <c r="G566" t="str">
        <f ca="1">IF(AND(Q566,N566=1),OFFSET(Taostats_CSV!$E$1,MATCH(K566&amp;H$1,Taostats_CSV!$X:$X,0)-1,0),"")</f>
        <v/>
      </c>
      <c r="H566" t="str">
        <f ca="1">IF(AND(Q566,N566=1),OFFSET(Taostats_CSV!$G$1,MATCH(K566&amp;H$1,Taostats_CSV!$X:$X,0)-1,0),"")</f>
        <v/>
      </c>
      <c r="I566" t="str">
        <f ca="1">IF(AND(LEN(K566)=0,LEN(F566)&gt;0),"Income",IF(AND(O566&gt;0,P566&gt;0,C566&lt;&gt;E566),"Trade",IF(AND(NOT(Q566),Taostats_CSV!F566="fee"),'READ ME'!$C$5,"")))</f>
        <v>Income</v>
      </c>
      <c r="J566" t="str">
        <f ca="1">SUBSTITUTE(IF(LEN(I566)=0,Taostats_CSV!F566&amp;" "&amp;Taostats_CSV!J566,IF(I566="Cost","Extrinsic fee","")),"_"," ")</f>
        <v/>
      </c>
      <c r="K566" t="str">
        <f>TRIM(IF(LEN(Taostats_CSV!I566)&gt;0,Taostats_CSV!I566,""))</f>
        <v/>
      </c>
      <c r="L566">
        <f ca="1">IF(Taostats_CSV!E566&lt;&gt;"TAO",IF(LEN(F566)&gt;0,F566,IF(LEN(D566)&gt;0,D566,0))*Taostats_CSV!P566,"")</f>
        <v>4.909764616371608</v>
      </c>
      <c r="M566" t="str">
        <f t="shared" ca="1" si="63"/>
        <v>USD</v>
      </c>
      <c r="N566">
        <f>COUNTIF(Taostats_CSV!$X:$X,Taostats_CSV!$I566&amp;N$1)</f>
        <v>0</v>
      </c>
      <c r="O566">
        <f>COUNTIF(Taostats_CSV!$X:$X,Taostats_CSV!$I566&amp;O$1)</f>
        <v>0</v>
      </c>
      <c r="P566">
        <f>COUNTIF(Taostats_CSV!$X:$X,Taostats_CSV!$I566&amp;P$1)</f>
        <v>0</v>
      </c>
      <c r="Q566" t="b">
        <f t="shared" si="64"/>
        <v>0</v>
      </c>
      <c r="R566" t="b">
        <f>IF(LEN(K566)&gt;0,COUNTIF($K$3:K566,K566),FALSE)</f>
        <v>0</v>
      </c>
      <c r="S566" t="b">
        <f>IF(Taostats_CSV!A566=Taostats_CSV!$A$2,TRUE,Taostats_CSV!G566+Taostats_CSV!H566+Taostats_CSV!R566=0)</f>
        <v>0</v>
      </c>
      <c r="T566" t="b">
        <f t="shared" si="65"/>
        <v>1</v>
      </c>
      <c r="U566" t="b" cm="1">
        <f t="array" aca="1" ref="U566" ca="1">AND(T566,OR(O566-N566&gt;1,P566&gt;1,ISERROR(A566:P566)))</f>
        <v>0</v>
      </c>
      <c r="W566" t="e">
        <f>MATCH(K566&amp;$W$2,Taostats_CSV!$X$3:$X$1167,0)</f>
        <v>#N/A</v>
      </c>
      <c r="X566" t="e">
        <f t="shared" ca="1" si="60"/>
        <v>#VALUE!</v>
      </c>
      <c r="Y566">
        <f t="shared" ca="1" si="61"/>
        <v>0.26474536500000001</v>
      </c>
      <c r="Z566" t="e">
        <f t="shared" ca="1" si="62"/>
        <v>#VALUE!</v>
      </c>
    </row>
    <row r="567" spans="1:26" x14ac:dyDescent="0.4">
      <c r="A567" t="str">
        <f>MID(Taostats_CSV!C567,6,2)&amp;"/"&amp;MID(Taostats_CSV!C567,9,2)&amp;"/"&amp;LEFT(Taostats_CSV!C567,4)&amp;" "&amp;MID(Taostats_CSV!C567,12,8)</f>
        <v>07/03/2025 23:59:48</v>
      </c>
      <c r="C567" t="str">
        <f ca="1">IF(Q567,OFFSET(Taostats_CSV!$E$1,MATCH(K567&amp;D$1,Taostats_CSV!$X:$X,0)-1,0),IF(Taostats_CSV!F567="fee",IF(VALUE(Taostats_CSV!G567)&gt;0,Taostats_CSV!E567,""),""))</f>
        <v/>
      </c>
      <c r="D567" t="str">
        <f ca="1">IF(Q567,OFFSET(Taostats_CSV!$G$1,MATCH(K567&amp;D$1,Taostats_CSV!$X:$X,0)-1,0),IF(Taostats_CSV!F567="fee",IF(VALUE(Taostats_CSV!G567)&gt;0,Taostats_CSV!G567,""),""))</f>
        <v/>
      </c>
      <c r="E567" t="str">
        <f ca="1">IF(AND(Q567,P567&gt;0),OFFSET(Taostats_CSV!$E$1,MATCH(K567&amp;F$1,Taostats_CSV!$X:$X,0)-1,0),IF(LEN(F567)&gt;0,Taostats_CSV!E567,""))</f>
        <v>SN64</v>
      </c>
      <c r="F567" t="str">
        <f ca="1">TRIM(IF(AND(Q567,P567&gt;0),OFFSET(Taostats_CSV!$H$1,MATCH(K567&amp;F$1,Taostats_CSV!$X:$X,0)-1,0),IF(LEN(Taostats_CSV!H567)&gt;0,Taostats_CSV!H567,Taostats_CSV!R567)))</f>
        <v>0.146410239</v>
      </c>
      <c r="G567" t="str">
        <f ca="1">IF(AND(Q567,N567=1),OFFSET(Taostats_CSV!$E$1,MATCH(K567&amp;H$1,Taostats_CSV!$X:$X,0)-1,0),"")</f>
        <v/>
      </c>
      <c r="H567" t="str">
        <f ca="1">IF(AND(Q567,N567=1),OFFSET(Taostats_CSV!$G$1,MATCH(K567&amp;H$1,Taostats_CSV!$X:$X,0)-1,0),"")</f>
        <v/>
      </c>
      <c r="I567" t="str">
        <f ca="1">IF(AND(LEN(K567)=0,LEN(F567)&gt;0),"Income",IF(AND(O567&gt;0,P567&gt;0,C567&lt;&gt;E567),"Trade",IF(AND(NOT(Q567),Taostats_CSV!F567="fee"),'READ ME'!$C$5,"")))</f>
        <v>Income</v>
      </c>
      <c r="J567" t="str">
        <f ca="1">SUBSTITUTE(IF(LEN(I567)=0,Taostats_CSV!F567&amp;" "&amp;Taostats_CSV!J567,IF(I567="Cost","Extrinsic fee","")),"_"," ")</f>
        <v/>
      </c>
      <c r="K567" t="str">
        <f>TRIM(IF(LEN(Taostats_CSV!I567)&gt;0,Taostats_CSV!I567,""))</f>
        <v/>
      </c>
      <c r="L567">
        <f ca="1">IF(Taostats_CSV!E567&lt;&gt;"TAO",IF(LEN(F567)&gt;0,F567,IF(LEN(D567)&gt;0,D567,0))*Taostats_CSV!P567,"")</f>
        <v>7.8412646354647855</v>
      </c>
      <c r="M567" t="str">
        <f t="shared" ca="1" si="63"/>
        <v>USD</v>
      </c>
      <c r="N567">
        <f>COUNTIF(Taostats_CSV!$X:$X,Taostats_CSV!$I567&amp;N$1)</f>
        <v>0</v>
      </c>
      <c r="O567">
        <f>COUNTIF(Taostats_CSV!$X:$X,Taostats_CSV!$I567&amp;O$1)</f>
        <v>0</v>
      </c>
      <c r="P567">
        <f>COUNTIF(Taostats_CSV!$X:$X,Taostats_CSV!$I567&amp;P$1)</f>
        <v>0</v>
      </c>
      <c r="Q567" t="b">
        <f t="shared" si="64"/>
        <v>0</v>
      </c>
      <c r="R567" t="b">
        <f>IF(LEN(K567)&gt;0,COUNTIF($K$3:K567,K567),FALSE)</f>
        <v>0</v>
      </c>
      <c r="S567" t="b">
        <f>IF(Taostats_CSV!A567=Taostats_CSV!$A$2,TRUE,Taostats_CSV!G567+Taostats_CSV!H567+Taostats_CSV!R567=0)</f>
        <v>0</v>
      </c>
      <c r="T567" t="b">
        <f t="shared" si="65"/>
        <v>1</v>
      </c>
      <c r="U567" t="b" cm="1">
        <f t="array" aca="1" ref="U567" ca="1">AND(T567,OR(O567-N567&gt;1,P567&gt;1,ISERROR(A567:P567)))</f>
        <v>0</v>
      </c>
      <c r="W567" t="e">
        <f>MATCH(K567&amp;$W$2,Taostats_CSV!$X$3:$X$1167,0)</f>
        <v>#N/A</v>
      </c>
      <c r="X567" t="e">
        <f t="shared" ca="1" si="60"/>
        <v>#VALUE!</v>
      </c>
      <c r="Y567">
        <f t="shared" ca="1" si="61"/>
        <v>0.146410239</v>
      </c>
      <c r="Z567" t="e">
        <f t="shared" ca="1" si="62"/>
        <v>#VALUE!</v>
      </c>
    </row>
    <row r="568" spans="1:26" hidden="1" x14ac:dyDescent="0.4">
      <c r="A568" t="str">
        <f>MID(Taostats_CSV!C568,6,2)&amp;"/"&amp;MID(Taostats_CSV!C568,9,2)&amp;"/"&amp;LEFT(Taostats_CSV!C568,4)&amp;" "&amp;MID(Taostats_CSV!C568,12,8)</f>
        <v>07/03/2025 23:59:48</v>
      </c>
      <c r="C568" t="str">
        <f ca="1">IF(Q568,OFFSET(Taostats_CSV!$E$1,MATCH(K568&amp;D$1,Taostats_CSV!$X:$X,0)-1,0),IF(Taostats_CSV!F568="fee","",IF(VALUE(Taostats_CSV!G568)&gt;0,Taostats_CSV!E568,"")))</f>
        <v/>
      </c>
      <c r="D568" t="str">
        <f ca="1">IF(Q568,OFFSET(Taostats_CSV!$G$1,MATCH(K568&amp;D$1,Taostats_CSV!$X:$X,0)-1,0),IF(Taostats_CSV!F568="fee","",IF(VALUE(Taostats_CSV!G568)&gt;0,Taostats_CSV!G568,"")))</f>
        <v/>
      </c>
      <c r="E568" t="str">
        <f ca="1">IF(AND(Q568,P568&gt;0),OFFSET(Taostats_CSV!$E$1,MATCH(K568&amp;F$1,Taostats_CSV!$X:$X,0)-1,0),IF(LEN(F568)&gt;0,Taostats_CSV!E568,""))</f>
        <v>TAO</v>
      </c>
      <c r="F568" t="str">
        <f ca="1">TRIM(IF(AND(Q568,P568&gt;0),OFFSET(Taostats_CSV!$H$1,MATCH(K568&amp;F$1,Taostats_CSV!$X:$X,0)-1,0),IF(LEN(Taostats_CSV!H568)&gt;0,Taostats_CSV!H568,Taostats_CSV!R568)))</f>
        <v>0</v>
      </c>
      <c r="G568" t="str">
        <f ca="1">IF(AND(Q568,N568=1),OFFSET(Taostats_CSV!$E$1,MATCH(K568&amp;H$1,Taostats_CSV!$X:$X,0)-1,0),IF(Taostats_CSV!F568="fee",Taostats_CSV!E568,""))</f>
        <v/>
      </c>
      <c r="H568" t="str">
        <f ca="1">IF(AND(Q568,N568=1),OFFSET(Taostats_CSV!$G$1,MATCH(K568&amp;H$1,Taostats_CSV!$X:$X,0)-1,0),IF(Taostats_CSV!F568="fee",Taostats_CSV!G568,""))</f>
        <v/>
      </c>
      <c r="I568" t="str">
        <f ca="1">IF(AND(LEN(K568)=0,LEN(F568)&gt;0),"Income",IF(AND(O568&gt;0,P568&gt;0,C568&lt;&gt;E568),"Trade",IF(AND(NOT(Q568),Taostats_CSV!F568="fee"),'READ ME'!$C$5,"")))</f>
        <v>Income</v>
      </c>
      <c r="J568" t="str">
        <f ca="1">SUBSTITUTE(IF(LEN(I568)=0,Taostats_CSV!F568&amp;" "&amp;Taostats_CSV!J568,IF(I568="Cost","Extrinsic fee","")),"_"," ")</f>
        <v/>
      </c>
      <c r="K568" t="str">
        <f>TRIM(IF(LEN(Taostats_CSV!I568)&gt;0,Taostats_CSV!I568,""))</f>
        <v/>
      </c>
      <c r="L568" t="str">
        <f>IF(Taostats_CSV!E568&lt;&gt;"TAO",IF(LEN(F568)&gt;0,F568,IF(LEN(D568)&gt;0,D568,0))*Taostats_CSV!P568,"")</f>
        <v/>
      </c>
      <c r="M568" t="str">
        <f t="shared" si="63"/>
        <v/>
      </c>
      <c r="N568">
        <f>COUNTIF(Taostats_CSV!$X:$X,Taostats_CSV!$I568&amp;N$1)</f>
        <v>0</v>
      </c>
      <c r="O568">
        <f>COUNTIF(Taostats_CSV!$X:$X,Taostats_CSV!$I568&amp;O$1)</f>
        <v>0</v>
      </c>
      <c r="P568">
        <f>COUNTIF(Taostats_CSV!$X:$X,Taostats_CSV!$I568&amp;P$1)</f>
        <v>0</v>
      </c>
      <c r="Q568" t="b">
        <f t="shared" si="64"/>
        <v>0</v>
      </c>
      <c r="R568" t="b">
        <f>IF(LEN(K568)&gt;0,COUNTIF($K$3:K568,K568),FALSE)</f>
        <v>0</v>
      </c>
      <c r="S568" t="b">
        <f>IF(Taostats_CSV!A568=Taostats_CSV!$A$2,TRUE,Taostats_CSV!G568+Taostats_CSV!H568+Taostats_CSV!R568=0)</f>
        <v>1</v>
      </c>
      <c r="T568" t="b">
        <f t="shared" si="65"/>
        <v>0</v>
      </c>
      <c r="U568" t="b" cm="1">
        <f t="array" aca="1" ref="U568" ca="1">AND(T568,OR(O568-N568&gt;1,P568&gt;1,ISERROR(A568:P568)))</f>
        <v>0</v>
      </c>
      <c r="W568" t="e">
        <f>MATCH(K568&amp;$W$2,Taostats_CSV!$X$3:$X$1167,0)</f>
        <v>#N/A</v>
      </c>
      <c r="X568" t="e">
        <f t="shared" ca="1" si="60"/>
        <v>#VALUE!</v>
      </c>
      <c r="Y568">
        <f t="shared" ca="1" si="61"/>
        <v>0</v>
      </c>
      <c r="Z568" t="e">
        <f t="shared" ca="1" si="62"/>
        <v>#VALUE!</v>
      </c>
    </row>
    <row r="569" spans="1:26" x14ac:dyDescent="0.4">
      <c r="A569" t="str">
        <f>MID(Taostats_CSV!C569,6,2)&amp;"/"&amp;MID(Taostats_CSV!C569,9,2)&amp;"/"&amp;LEFT(Taostats_CSV!C569,4)&amp;" "&amp;MID(Taostats_CSV!C569,12,8)</f>
        <v>07/04/2025 23:59:48</v>
      </c>
      <c r="C569" t="str">
        <f ca="1">IF(Q569,OFFSET(Taostats_CSV!$E$1,MATCH(K569&amp;D$1,Taostats_CSV!$X:$X,0)-1,0),IF(Taostats_CSV!F569="fee",IF(VALUE(Taostats_CSV!G569)&gt;0,Taostats_CSV!E569,""),""))</f>
        <v/>
      </c>
      <c r="D569" t="str">
        <f ca="1">IF(Q569,OFFSET(Taostats_CSV!$G$1,MATCH(K569&amp;D$1,Taostats_CSV!$X:$X,0)-1,0),IF(Taostats_CSV!F569="fee",IF(VALUE(Taostats_CSV!G569)&gt;0,Taostats_CSV!G569,""),""))</f>
        <v/>
      </c>
      <c r="E569" t="str">
        <f ca="1">IF(AND(Q569,P569&gt;0),OFFSET(Taostats_CSV!$E$1,MATCH(K569&amp;F$1,Taostats_CSV!$X:$X,0)-1,0),IF(LEN(F569)&gt;0,Taostats_CSV!E569,""))</f>
        <v>SN3</v>
      </c>
      <c r="F569" t="str">
        <f ca="1">TRIM(IF(AND(Q569,P569&gt;0),OFFSET(Taostats_CSV!$H$1,MATCH(K569&amp;F$1,Taostats_CSV!$X:$X,0)-1,0),IF(LEN(Taostats_CSV!H569)&gt;0,Taostats_CSV!H569,Taostats_CSV!R569)))</f>
        <v>0.431955158</v>
      </c>
      <c r="G569" t="str">
        <f ca="1">IF(AND(Q569,N569=1),OFFSET(Taostats_CSV!$E$1,MATCH(K569&amp;H$1,Taostats_CSV!$X:$X,0)-1,0),"")</f>
        <v/>
      </c>
      <c r="H569" t="str">
        <f ca="1">IF(AND(Q569,N569=1),OFFSET(Taostats_CSV!$G$1,MATCH(K569&amp;H$1,Taostats_CSV!$X:$X,0)-1,0),"")</f>
        <v/>
      </c>
      <c r="I569" t="str">
        <f ca="1">IF(AND(LEN(K569)=0,LEN(F569)&gt;0),"Income",IF(AND(O569&gt;0,P569&gt;0,C569&lt;&gt;E569),"Trade",IF(AND(NOT(Q569),Taostats_CSV!F569="fee"),'READ ME'!$C$5,"")))</f>
        <v>Income</v>
      </c>
      <c r="J569" t="str">
        <f ca="1">SUBSTITUTE(IF(LEN(I569)=0,Taostats_CSV!F569&amp;" "&amp;Taostats_CSV!J569,IF(I569="Cost","Extrinsic fee","")),"_"," ")</f>
        <v/>
      </c>
      <c r="K569" t="str">
        <f>TRIM(IF(LEN(Taostats_CSV!I569)&gt;0,Taostats_CSV!I569,""))</f>
        <v/>
      </c>
      <c r="L569">
        <f ca="1">IF(Taostats_CSV!E569&lt;&gt;"TAO",IF(LEN(F569)&gt;0,F569,IF(LEN(D569)&gt;0,D569,0))*Taostats_CSV!P569,"")</f>
        <v>8.5108249145261414</v>
      </c>
      <c r="M569" t="str">
        <f t="shared" ca="1" si="63"/>
        <v>USD</v>
      </c>
      <c r="N569">
        <f>COUNTIF(Taostats_CSV!$X:$X,Taostats_CSV!$I569&amp;N$1)</f>
        <v>0</v>
      </c>
      <c r="O569">
        <f>COUNTIF(Taostats_CSV!$X:$X,Taostats_CSV!$I569&amp;O$1)</f>
        <v>0</v>
      </c>
      <c r="P569">
        <f>COUNTIF(Taostats_CSV!$X:$X,Taostats_CSV!$I569&amp;P$1)</f>
        <v>0</v>
      </c>
      <c r="Q569" t="b">
        <f t="shared" si="64"/>
        <v>0</v>
      </c>
      <c r="R569" t="b">
        <f>IF(LEN(K569)&gt;0,COUNTIF($K$3:K569,K569),FALSE)</f>
        <v>0</v>
      </c>
      <c r="S569" t="b">
        <f>IF(Taostats_CSV!A569=Taostats_CSV!$A$2,TRUE,Taostats_CSV!G569+Taostats_CSV!H569+Taostats_CSV!R569=0)</f>
        <v>0</v>
      </c>
      <c r="T569" t="b">
        <f t="shared" si="65"/>
        <v>1</v>
      </c>
      <c r="U569" t="b" cm="1">
        <f t="array" aca="1" ref="U569" ca="1">AND(T569,OR(O569-N569&gt;1,P569&gt;1,ISERROR(A569:P569)))</f>
        <v>0</v>
      </c>
      <c r="W569" t="e">
        <f>MATCH(K569&amp;$W$2,Taostats_CSV!$X$3:$X$1167,0)</f>
        <v>#N/A</v>
      </c>
      <c r="X569" t="e">
        <f t="shared" ca="1" si="60"/>
        <v>#VALUE!</v>
      </c>
      <c r="Y569">
        <f t="shared" ca="1" si="61"/>
        <v>0.43195515800000001</v>
      </c>
      <c r="Z569" t="e">
        <f t="shared" ca="1" si="62"/>
        <v>#VALUE!</v>
      </c>
    </row>
    <row r="570" spans="1:26" x14ac:dyDescent="0.4">
      <c r="A570" t="str">
        <f>MID(Taostats_CSV!C570,6,2)&amp;"/"&amp;MID(Taostats_CSV!C570,9,2)&amp;"/"&amp;LEFT(Taostats_CSV!C570,4)&amp;" "&amp;MID(Taostats_CSV!C570,12,8)</f>
        <v>07/04/2025 23:59:48</v>
      </c>
      <c r="C570" t="str">
        <f ca="1">IF(Q570,OFFSET(Taostats_CSV!$E$1,MATCH(K570&amp;D$1,Taostats_CSV!$X:$X,0)-1,0),IF(Taostats_CSV!F570="fee",IF(VALUE(Taostats_CSV!G570)&gt;0,Taostats_CSV!E570,""),""))</f>
        <v/>
      </c>
      <c r="D570" t="str">
        <f ca="1">IF(Q570,OFFSET(Taostats_CSV!$G$1,MATCH(K570&amp;D$1,Taostats_CSV!$X:$X,0)-1,0),IF(Taostats_CSV!F570="fee",IF(VALUE(Taostats_CSV!G570)&gt;0,Taostats_CSV!G570,""),""))</f>
        <v/>
      </c>
      <c r="E570" t="str">
        <f ca="1">IF(AND(Q570,P570&gt;0),OFFSET(Taostats_CSV!$E$1,MATCH(K570&amp;F$1,Taostats_CSV!$X:$X,0)-1,0),IF(LEN(F570)&gt;0,Taostats_CSV!E570,""))</f>
        <v>SN4</v>
      </c>
      <c r="F570" t="str">
        <f ca="1">TRIM(IF(AND(Q570,P570&gt;0),OFFSET(Taostats_CSV!$H$1,MATCH(K570&amp;F$1,Taostats_CSV!$X:$X,0)-1,0),IF(LEN(Taostats_CSV!H570)&gt;0,Taostats_CSV!H570,Taostats_CSV!R570)))</f>
        <v>0.496565799</v>
      </c>
      <c r="G570" t="str">
        <f ca="1">IF(AND(Q570,N570=1),OFFSET(Taostats_CSV!$E$1,MATCH(K570&amp;H$1,Taostats_CSV!$X:$X,0)-1,0),"")</f>
        <v/>
      </c>
      <c r="H570" t="str">
        <f ca="1">IF(AND(Q570,N570=1),OFFSET(Taostats_CSV!$G$1,MATCH(K570&amp;H$1,Taostats_CSV!$X:$X,0)-1,0),"")</f>
        <v/>
      </c>
      <c r="I570" t="str">
        <f ca="1">IF(AND(LEN(K570)=0,LEN(F570)&gt;0),"Income",IF(AND(O570&gt;0,P570&gt;0,C570&lt;&gt;E570),"Trade",IF(AND(NOT(Q570),Taostats_CSV!F570="fee"),'READ ME'!$C$5,"")))</f>
        <v>Income</v>
      </c>
      <c r="J570" t="str">
        <f ca="1">SUBSTITUTE(IF(LEN(I570)=0,Taostats_CSV!F570&amp;" "&amp;Taostats_CSV!J570,IF(I570="Cost","Extrinsic fee","")),"_"," ")</f>
        <v/>
      </c>
      <c r="K570" t="str">
        <f>TRIM(IF(LEN(Taostats_CSV!I570)&gt;0,Taostats_CSV!I570,""))</f>
        <v/>
      </c>
      <c r="L570">
        <f ca="1">IF(Taostats_CSV!E570&lt;&gt;"TAO",IF(LEN(F570)&gt;0,F570,IF(LEN(D570)&gt;0,D570,0))*Taostats_CSV!P570,"")</f>
        <v>10.306564013767947</v>
      </c>
      <c r="M570" t="str">
        <f t="shared" ca="1" si="63"/>
        <v>USD</v>
      </c>
      <c r="N570">
        <f>COUNTIF(Taostats_CSV!$X:$X,Taostats_CSV!$I570&amp;N$1)</f>
        <v>0</v>
      </c>
      <c r="O570">
        <f>COUNTIF(Taostats_CSV!$X:$X,Taostats_CSV!$I570&amp;O$1)</f>
        <v>0</v>
      </c>
      <c r="P570">
        <f>COUNTIF(Taostats_CSV!$X:$X,Taostats_CSV!$I570&amp;P$1)</f>
        <v>0</v>
      </c>
      <c r="Q570" t="b">
        <f t="shared" si="64"/>
        <v>0</v>
      </c>
      <c r="R570" t="b">
        <f>IF(LEN(K570)&gt;0,COUNTIF($K$3:K570,K570),FALSE)</f>
        <v>0</v>
      </c>
      <c r="S570" t="b">
        <f>IF(Taostats_CSV!A570=Taostats_CSV!$A$2,TRUE,Taostats_CSV!G570+Taostats_CSV!H570+Taostats_CSV!R570=0)</f>
        <v>0</v>
      </c>
      <c r="T570" t="b">
        <f t="shared" si="65"/>
        <v>1</v>
      </c>
      <c r="U570" t="b" cm="1">
        <f t="array" aca="1" ref="U570" ca="1">AND(T570,OR(O570-N570&gt;1,P570&gt;1,ISERROR(A570:P570)))</f>
        <v>0</v>
      </c>
      <c r="W570" t="e">
        <f>MATCH(K570&amp;$W$2,Taostats_CSV!$X$3:$X$1167,0)</f>
        <v>#N/A</v>
      </c>
      <c r="X570" t="e">
        <f t="shared" ca="1" si="60"/>
        <v>#VALUE!</v>
      </c>
      <c r="Y570">
        <f t="shared" ca="1" si="61"/>
        <v>0.49656579899999997</v>
      </c>
      <c r="Z570" t="e">
        <f t="shared" ca="1" si="62"/>
        <v>#VALUE!</v>
      </c>
    </row>
    <row r="571" spans="1:26" x14ac:dyDescent="0.4">
      <c r="A571" t="str">
        <f>MID(Taostats_CSV!C571,6,2)&amp;"/"&amp;MID(Taostats_CSV!C571,9,2)&amp;"/"&amp;LEFT(Taostats_CSV!C571,4)&amp;" "&amp;MID(Taostats_CSV!C571,12,8)</f>
        <v>07/04/2025 23:59:48</v>
      </c>
      <c r="C571" t="str">
        <f ca="1">IF(Q571,OFFSET(Taostats_CSV!$E$1,MATCH(K571&amp;D$1,Taostats_CSV!$X:$X,0)-1,0),IF(Taostats_CSV!F571="fee",IF(VALUE(Taostats_CSV!G571)&gt;0,Taostats_CSV!E571,""),""))</f>
        <v/>
      </c>
      <c r="D571" t="str">
        <f ca="1">IF(Q571,OFFSET(Taostats_CSV!$G$1,MATCH(K571&amp;D$1,Taostats_CSV!$X:$X,0)-1,0),IF(Taostats_CSV!F571="fee",IF(VALUE(Taostats_CSV!G571)&gt;0,Taostats_CSV!G571,""),""))</f>
        <v/>
      </c>
      <c r="E571" t="str">
        <f ca="1">IF(AND(Q571,P571&gt;0),OFFSET(Taostats_CSV!$E$1,MATCH(K571&amp;F$1,Taostats_CSV!$X:$X,0)-1,0),IF(LEN(F571)&gt;0,Taostats_CSV!E571,""))</f>
        <v>SN56</v>
      </c>
      <c r="F571" t="str">
        <f ca="1">TRIM(IF(AND(Q571,P571&gt;0),OFFSET(Taostats_CSV!$H$1,MATCH(K571&amp;F$1,Taostats_CSV!$X:$X,0)-1,0),IF(LEN(Taostats_CSV!H571)&gt;0,Taostats_CSV!H571,Taostats_CSV!R571)))</f>
        <v>0.263915135</v>
      </c>
      <c r="G571" t="str">
        <f ca="1">IF(AND(Q571,N571=1),OFFSET(Taostats_CSV!$E$1,MATCH(K571&amp;H$1,Taostats_CSV!$X:$X,0)-1,0),"")</f>
        <v/>
      </c>
      <c r="H571" t="str">
        <f ca="1">IF(AND(Q571,N571=1),OFFSET(Taostats_CSV!$G$1,MATCH(K571&amp;H$1,Taostats_CSV!$X:$X,0)-1,0),"")</f>
        <v/>
      </c>
      <c r="I571" t="str">
        <f ca="1">IF(AND(LEN(K571)=0,LEN(F571)&gt;0),"Income",IF(AND(O571&gt;0,P571&gt;0,C571&lt;&gt;E571),"Trade",IF(AND(NOT(Q571),Taostats_CSV!F571="fee"),'READ ME'!$C$5,"")))</f>
        <v>Income</v>
      </c>
      <c r="J571" t="str">
        <f ca="1">SUBSTITUTE(IF(LEN(I571)=0,Taostats_CSV!F571&amp;" "&amp;Taostats_CSV!J571,IF(I571="Cost","Extrinsic fee","")),"_"," ")</f>
        <v/>
      </c>
      <c r="K571" t="str">
        <f>TRIM(IF(LEN(Taostats_CSV!I571)&gt;0,Taostats_CSV!I571,""))</f>
        <v/>
      </c>
      <c r="L571">
        <f ca="1">IF(Taostats_CSV!E571&lt;&gt;"TAO",IF(LEN(F571)&gt;0,F571,IF(LEN(D571)&gt;0,D571,0))*Taostats_CSV!P571,"")</f>
        <v>4.6320533425178674</v>
      </c>
      <c r="M571" t="str">
        <f t="shared" ca="1" si="63"/>
        <v>USD</v>
      </c>
      <c r="N571">
        <f>COUNTIF(Taostats_CSV!$X:$X,Taostats_CSV!$I571&amp;N$1)</f>
        <v>0</v>
      </c>
      <c r="O571">
        <f>COUNTIF(Taostats_CSV!$X:$X,Taostats_CSV!$I571&amp;O$1)</f>
        <v>0</v>
      </c>
      <c r="P571">
        <f>COUNTIF(Taostats_CSV!$X:$X,Taostats_CSV!$I571&amp;P$1)</f>
        <v>0</v>
      </c>
      <c r="Q571" t="b">
        <f t="shared" si="64"/>
        <v>0</v>
      </c>
      <c r="R571" t="b">
        <f>IF(LEN(K571)&gt;0,COUNTIF($K$3:K571,K571),FALSE)</f>
        <v>0</v>
      </c>
      <c r="S571" t="b">
        <f>IF(Taostats_CSV!A571=Taostats_CSV!$A$2,TRUE,Taostats_CSV!G571+Taostats_CSV!H571+Taostats_CSV!R571=0)</f>
        <v>0</v>
      </c>
      <c r="T571" t="b">
        <f t="shared" si="65"/>
        <v>1</v>
      </c>
      <c r="U571" t="b" cm="1">
        <f t="array" aca="1" ref="U571" ca="1">AND(T571,OR(O571-N571&gt;1,P571&gt;1,ISERROR(A571:P571)))</f>
        <v>0</v>
      </c>
      <c r="W571" t="e">
        <f>MATCH(K571&amp;$W$2,Taostats_CSV!$X$3:$X$1167,0)</f>
        <v>#N/A</v>
      </c>
      <c r="X571" t="e">
        <f t="shared" ca="1" si="60"/>
        <v>#VALUE!</v>
      </c>
      <c r="Y571">
        <f t="shared" ca="1" si="61"/>
        <v>0.26391513500000002</v>
      </c>
      <c r="Z571" t="e">
        <f t="shared" ca="1" si="62"/>
        <v>#VALUE!</v>
      </c>
    </row>
    <row r="572" spans="1:26" x14ac:dyDescent="0.4">
      <c r="A572" t="str">
        <f>MID(Taostats_CSV!C572,6,2)&amp;"/"&amp;MID(Taostats_CSV!C572,9,2)&amp;"/"&amp;LEFT(Taostats_CSV!C572,4)&amp;" "&amp;MID(Taostats_CSV!C572,12,8)</f>
        <v>07/04/2025 23:59:48</v>
      </c>
      <c r="C572" t="str">
        <f ca="1">IF(Q572,OFFSET(Taostats_CSV!$E$1,MATCH(K572&amp;D$1,Taostats_CSV!$X:$X,0)-1,0),IF(Taostats_CSV!F572="fee",IF(VALUE(Taostats_CSV!G572)&gt;0,Taostats_CSV!E572,""),""))</f>
        <v/>
      </c>
      <c r="D572" t="str">
        <f ca="1">IF(Q572,OFFSET(Taostats_CSV!$G$1,MATCH(K572&amp;D$1,Taostats_CSV!$X:$X,0)-1,0),IF(Taostats_CSV!F572="fee",IF(VALUE(Taostats_CSV!G572)&gt;0,Taostats_CSV!G572,""),""))</f>
        <v/>
      </c>
      <c r="E572" t="str">
        <f ca="1">IF(AND(Q572,P572&gt;0),OFFSET(Taostats_CSV!$E$1,MATCH(K572&amp;F$1,Taostats_CSV!$X:$X,0)-1,0),IF(LEN(F572)&gt;0,Taostats_CSV!E572,""))</f>
        <v>SN64</v>
      </c>
      <c r="F572" t="str">
        <f ca="1">TRIM(IF(AND(Q572,P572&gt;0),OFFSET(Taostats_CSV!$H$1,MATCH(K572&amp;F$1,Taostats_CSV!$X:$X,0)-1,0),IF(LEN(Taostats_CSV!H572)&gt;0,Taostats_CSV!H572,Taostats_CSV!R572)))</f>
        <v>0.14624321</v>
      </c>
      <c r="G572" t="str">
        <f ca="1">IF(AND(Q572,N572=1),OFFSET(Taostats_CSV!$E$1,MATCH(K572&amp;H$1,Taostats_CSV!$X:$X,0)-1,0),"")</f>
        <v/>
      </c>
      <c r="H572" t="str">
        <f ca="1">IF(AND(Q572,N572=1),OFFSET(Taostats_CSV!$G$1,MATCH(K572&amp;H$1,Taostats_CSV!$X:$X,0)-1,0),"")</f>
        <v/>
      </c>
      <c r="I572" t="str">
        <f ca="1">IF(AND(LEN(K572)=0,LEN(F572)&gt;0),"Income",IF(AND(O572&gt;0,P572&gt;0,C572&lt;&gt;E572),"Trade",IF(AND(NOT(Q572),Taostats_CSV!F572="fee"),'READ ME'!$C$5,"")))</f>
        <v>Income</v>
      </c>
      <c r="J572" t="str">
        <f ca="1">SUBSTITUTE(IF(LEN(I572)=0,Taostats_CSV!F572&amp;" "&amp;Taostats_CSV!J572,IF(I572="Cost","Extrinsic fee","")),"_"," ")</f>
        <v/>
      </c>
      <c r="K572" t="str">
        <f>TRIM(IF(LEN(Taostats_CSV!I572)&gt;0,Taostats_CSV!I572,""))</f>
        <v/>
      </c>
      <c r="L572">
        <f ca="1">IF(Taostats_CSV!E572&lt;&gt;"TAO",IF(LEN(F572)&gt;0,F572,IF(LEN(D572)&gt;0,D572,0))*Taostats_CSV!P572,"")</f>
        <v>7.4814724448281655</v>
      </c>
      <c r="M572" t="str">
        <f t="shared" ca="1" si="63"/>
        <v>USD</v>
      </c>
      <c r="N572">
        <f>COUNTIF(Taostats_CSV!$X:$X,Taostats_CSV!$I572&amp;N$1)</f>
        <v>0</v>
      </c>
      <c r="O572">
        <f>COUNTIF(Taostats_CSV!$X:$X,Taostats_CSV!$I572&amp;O$1)</f>
        <v>0</v>
      </c>
      <c r="P572">
        <f>COUNTIF(Taostats_CSV!$X:$X,Taostats_CSV!$I572&amp;P$1)</f>
        <v>0</v>
      </c>
      <c r="Q572" t="b">
        <f t="shared" si="64"/>
        <v>0</v>
      </c>
      <c r="R572" t="b">
        <f>IF(LEN(K572)&gt;0,COUNTIF($K$3:K572,K572),FALSE)</f>
        <v>0</v>
      </c>
      <c r="S572" t="b">
        <f>IF(Taostats_CSV!A572=Taostats_CSV!$A$2,TRUE,Taostats_CSV!G572+Taostats_CSV!H572+Taostats_CSV!R572=0)</f>
        <v>0</v>
      </c>
      <c r="T572" t="b">
        <f t="shared" si="65"/>
        <v>1</v>
      </c>
      <c r="U572" t="b" cm="1">
        <f t="array" aca="1" ref="U572" ca="1">AND(T572,OR(O572-N572&gt;1,P572&gt;1,ISERROR(A572:P572)))</f>
        <v>0</v>
      </c>
      <c r="W572" t="e">
        <f>MATCH(K572&amp;$W$2,Taostats_CSV!$X$3:$X$1167,0)</f>
        <v>#N/A</v>
      </c>
      <c r="X572" t="e">
        <f t="shared" ca="1" si="60"/>
        <v>#VALUE!</v>
      </c>
      <c r="Y572">
        <f t="shared" ca="1" si="61"/>
        <v>0.14624321000000001</v>
      </c>
      <c r="Z572" t="e">
        <f t="shared" ca="1" si="62"/>
        <v>#VALUE!</v>
      </c>
    </row>
    <row r="573" spans="1:26" hidden="1" x14ac:dyDescent="0.4">
      <c r="A573" t="str">
        <f>MID(Taostats_CSV!C573,6,2)&amp;"/"&amp;MID(Taostats_CSV!C573,9,2)&amp;"/"&amp;LEFT(Taostats_CSV!C573,4)&amp;" "&amp;MID(Taostats_CSV!C573,12,8)</f>
        <v>07/04/2025 23:59:48</v>
      </c>
      <c r="C573" t="str">
        <f ca="1">IF(Q573,OFFSET(Taostats_CSV!$E$1,MATCH(K573&amp;D$1,Taostats_CSV!$X:$X,0)-1,0),IF(Taostats_CSV!F573="fee","",IF(VALUE(Taostats_CSV!G573)&gt;0,Taostats_CSV!E573,"")))</f>
        <v/>
      </c>
      <c r="D573" t="str">
        <f ca="1">IF(Q573,OFFSET(Taostats_CSV!$G$1,MATCH(K573&amp;D$1,Taostats_CSV!$X:$X,0)-1,0),IF(Taostats_CSV!F573="fee","",IF(VALUE(Taostats_CSV!G573)&gt;0,Taostats_CSV!G573,"")))</f>
        <v/>
      </c>
      <c r="E573" t="str">
        <f ca="1">IF(AND(Q573,P573&gt;0),OFFSET(Taostats_CSV!$E$1,MATCH(K573&amp;F$1,Taostats_CSV!$X:$X,0)-1,0),IF(LEN(F573)&gt;0,Taostats_CSV!E573,""))</f>
        <v>TAO</v>
      </c>
      <c r="F573" t="str">
        <f ca="1">TRIM(IF(AND(Q573,P573&gt;0),OFFSET(Taostats_CSV!$H$1,MATCH(K573&amp;F$1,Taostats_CSV!$X:$X,0)-1,0),IF(LEN(Taostats_CSV!H573)&gt;0,Taostats_CSV!H573,Taostats_CSV!R573)))</f>
        <v>0</v>
      </c>
      <c r="G573" t="str">
        <f ca="1">IF(AND(Q573,N573=1),OFFSET(Taostats_CSV!$E$1,MATCH(K573&amp;H$1,Taostats_CSV!$X:$X,0)-1,0),IF(Taostats_CSV!F573="fee",Taostats_CSV!E573,""))</f>
        <v/>
      </c>
      <c r="H573" t="str">
        <f ca="1">IF(AND(Q573,N573=1),OFFSET(Taostats_CSV!$G$1,MATCH(K573&amp;H$1,Taostats_CSV!$X:$X,0)-1,0),IF(Taostats_CSV!F573="fee",Taostats_CSV!G573,""))</f>
        <v/>
      </c>
      <c r="I573" t="str">
        <f ca="1">IF(AND(LEN(K573)=0,LEN(F573)&gt;0),"Income",IF(AND(O573&gt;0,P573&gt;0,C573&lt;&gt;E573),"Trade",IF(AND(NOT(Q573),Taostats_CSV!F573="fee"),'READ ME'!$C$5,"")))</f>
        <v>Income</v>
      </c>
      <c r="J573" t="str">
        <f ca="1">SUBSTITUTE(IF(LEN(I573)=0,Taostats_CSV!F573&amp;" "&amp;Taostats_CSV!J573,IF(I573="Cost","Extrinsic fee","")),"_"," ")</f>
        <v/>
      </c>
      <c r="K573" t="str">
        <f>TRIM(IF(LEN(Taostats_CSV!I573)&gt;0,Taostats_CSV!I573,""))</f>
        <v/>
      </c>
      <c r="L573" t="str">
        <f>IF(Taostats_CSV!E573&lt;&gt;"TAO",IF(LEN(F573)&gt;0,F573,IF(LEN(D573)&gt;0,D573,0))*Taostats_CSV!P573,"")</f>
        <v/>
      </c>
      <c r="M573" t="str">
        <f t="shared" si="63"/>
        <v/>
      </c>
      <c r="N573">
        <f>COUNTIF(Taostats_CSV!$X:$X,Taostats_CSV!$I573&amp;N$1)</f>
        <v>0</v>
      </c>
      <c r="O573">
        <f>COUNTIF(Taostats_CSV!$X:$X,Taostats_CSV!$I573&amp;O$1)</f>
        <v>0</v>
      </c>
      <c r="P573">
        <f>COUNTIF(Taostats_CSV!$X:$X,Taostats_CSV!$I573&amp;P$1)</f>
        <v>0</v>
      </c>
      <c r="Q573" t="b">
        <f t="shared" si="64"/>
        <v>0</v>
      </c>
      <c r="R573" t="b">
        <f>IF(LEN(K573)&gt;0,COUNTIF($K$3:K573,K573),FALSE)</f>
        <v>0</v>
      </c>
      <c r="S573" t="b">
        <f>IF(Taostats_CSV!A573=Taostats_CSV!$A$2,TRUE,Taostats_CSV!G573+Taostats_CSV!H573+Taostats_CSV!R573=0)</f>
        <v>1</v>
      </c>
      <c r="T573" t="b">
        <f t="shared" si="65"/>
        <v>0</v>
      </c>
      <c r="U573" t="b" cm="1">
        <f t="array" aca="1" ref="U573" ca="1">AND(T573,OR(O573-N573&gt;1,P573&gt;1,ISERROR(A573:P573)))</f>
        <v>0</v>
      </c>
      <c r="W573" t="e">
        <f>MATCH(K573&amp;$W$2,Taostats_CSV!$X$3:$X$1167,0)</f>
        <v>#N/A</v>
      </c>
      <c r="X573" t="e">
        <f t="shared" ca="1" si="60"/>
        <v>#VALUE!</v>
      </c>
      <c r="Y573">
        <f t="shared" ca="1" si="61"/>
        <v>0</v>
      </c>
      <c r="Z573" t="e">
        <f t="shared" ca="1" si="62"/>
        <v>#VALUE!</v>
      </c>
    </row>
    <row r="574" spans="1:26" x14ac:dyDescent="0.4">
      <c r="A574" t="str">
        <f>MID(Taostats_CSV!C574,6,2)&amp;"/"&amp;MID(Taostats_CSV!C574,9,2)&amp;"/"&amp;LEFT(Taostats_CSV!C574,4)&amp;" "&amp;MID(Taostats_CSV!C574,12,8)</f>
        <v>07/05/2025 23:59:48</v>
      </c>
      <c r="C574" t="str">
        <f ca="1">IF(Q574,OFFSET(Taostats_CSV!$E$1,MATCH(K574&amp;D$1,Taostats_CSV!$X:$X,0)-1,0),IF(Taostats_CSV!F574="fee",IF(VALUE(Taostats_CSV!G574)&gt;0,Taostats_CSV!E574,""),""))</f>
        <v/>
      </c>
      <c r="D574" t="str">
        <f ca="1">IF(Q574,OFFSET(Taostats_CSV!$G$1,MATCH(K574&amp;D$1,Taostats_CSV!$X:$X,0)-1,0),IF(Taostats_CSV!F574="fee",IF(VALUE(Taostats_CSV!G574)&gt;0,Taostats_CSV!G574,""),""))</f>
        <v/>
      </c>
      <c r="E574" t="str">
        <f ca="1">IF(AND(Q574,P574&gt;0),OFFSET(Taostats_CSV!$E$1,MATCH(K574&amp;F$1,Taostats_CSV!$X:$X,0)-1,0),IF(LEN(F574)&gt;0,Taostats_CSV!E574,""))</f>
        <v>SN3</v>
      </c>
      <c r="F574" t="str">
        <f ca="1">TRIM(IF(AND(Q574,P574&gt;0),OFFSET(Taostats_CSV!$H$1,MATCH(K574&amp;F$1,Taostats_CSV!$X:$X,0)-1,0),IF(LEN(Taostats_CSV!H574)&gt;0,Taostats_CSV!H574,Taostats_CSV!R574)))</f>
        <v>0.437488043</v>
      </c>
      <c r="G574" t="str">
        <f ca="1">IF(AND(Q574,N574=1),OFFSET(Taostats_CSV!$E$1,MATCH(K574&amp;H$1,Taostats_CSV!$X:$X,0)-1,0),"")</f>
        <v/>
      </c>
      <c r="H574" t="str">
        <f ca="1">IF(AND(Q574,N574=1),OFFSET(Taostats_CSV!$G$1,MATCH(K574&amp;H$1,Taostats_CSV!$X:$X,0)-1,0),"")</f>
        <v/>
      </c>
      <c r="I574" t="str">
        <f ca="1">IF(AND(LEN(K574)=0,LEN(F574)&gt;0),"Income",IF(AND(O574&gt;0,P574&gt;0,C574&lt;&gt;E574),"Trade",IF(AND(NOT(Q574),Taostats_CSV!F574="fee"),'READ ME'!$C$5,"")))</f>
        <v>Income</v>
      </c>
      <c r="J574" t="str">
        <f ca="1">SUBSTITUTE(IF(LEN(I574)=0,Taostats_CSV!F574&amp;" "&amp;Taostats_CSV!J574,IF(I574="Cost","Extrinsic fee","")),"_"," ")</f>
        <v/>
      </c>
      <c r="K574" t="str">
        <f>TRIM(IF(LEN(Taostats_CSV!I574)&gt;0,Taostats_CSV!I574,""))</f>
        <v/>
      </c>
      <c r="L574">
        <f ca="1">IF(Taostats_CSV!E574&lt;&gt;"TAO",IF(LEN(F574)&gt;0,F574,IF(LEN(D574)&gt;0,D574,0))*Taostats_CSV!P574,"")</f>
        <v>8.468064251114285</v>
      </c>
      <c r="M574" t="str">
        <f t="shared" ca="1" si="63"/>
        <v>USD</v>
      </c>
      <c r="N574">
        <f>COUNTIF(Taostats_CSV!$X:$X,Taostats_CSV!$I574&amp;N$1)</f>
        <v>0</v>
      </c>
      <c r="O574">
        <f>COUNTIF(Taostats_CSV!$X:$X,Taostats_CSV!$I574&amp;O$1)</f>
        <v>0</v>
      </c>
      <c r="P574">
        <f>COUNTIF(Taostats_CSV!$X:$X,Taostats_CSV!$I574&amp;P$1)</f>
        <v>0</v>
      </c>
      <c r="Q574" t="b">
        <f t="shared" si="64"/>
        <v>0</v>
      </c>
      <c r="R574" t="b">
        <f>IF(LEN(K574)&gt;0,COUNTIF($K$3:K574,K574),FALSE)</f>
        <v>0</v>
      </c>
      <c r="S574" t="b">
        <f>IF(Taostats_CSV!A574=Taostats_CSV!$A$2,TRUE,Taostats_CSV!G574+Taostats_CSV!H574+Taostats_CSV!R574=0)</f>
        <v>0</v>
      </c>
      <c r="T574" t="b">
        <f t="shared" si="65"/>
        <v>1</v>
      </c>
      <c r="U574" t="b" cm="1">
        <f t="array" aca="1" ref="U574" ca="1">AND(T574,OR(O574-N574&gt;1,P574&gt;1,ISERROR(A574:P574)))</f>
        <v>0</v>
      </c>
      <c r="W574" t="e">
        <f>MATCH(K574&amp;$W$2,Taostats_CSV!$X$3:$X$1167,0)</f>
        <v>#N/A</v>
      </c>
      <c r="X574" t="e">
        <f t="shared" ca="1" si="60"/>
        <v>#VALUE!</v>
      </c>
      <c r="Y574">
        <f t="shared" ca="1" si="61"/>
        <v>0.43748804299999999</v>
      </c>
      <c r="Z574" t="e">
        <f t="shared" ca="1" si="62"/>
        <v>#VALUE!</v>
      </c>
    </row>
    <row r="575" spans="1:26" x14ac:dyDescent="0.4">
      <c r="A575" t="str">
        <f>MID(Taostats_CSV!C575,6,2)&amp;"/"&amp;MID(Taostats_CSV!C575,9,2)&amp;"/"&amp;LEFT(Taostats_CSV!C575,4)&amp;" "&amp;MID(Taostats_CSV!C575,12,8)</f>
        <v>07/05/2025 23:59:48</v>
      </c>
      <c r="C575" t="str">
        <f ca="1">IF(Q575,OFFSET(Taostats_CSV!$E$1,MATCH(K575&amp;D$1,Taostats_CSV!$X:$X,0)-1,0),IF(Taostats_CSV!F575="fee",IF(VALUE(Taostats_CSV!G575)&gt;0,Taostats_CSV!E575,""),""))</f>
        <v/>
      </c>
      <c r="D575" t="str">
        <f ca="1">IF(Q575,OFFSET(Taostats_CSV!$G$1,MATCH(K575&amp;D$1,Taostats_CSV!$X:$X,0)-1,0),IF(Taostats_CSV!F575="fee",IF(VALUE(Taostats_CSV!G575)&gt;0,Taostats_CSV!G575,""),""))</f>
        <v/>
      </c>
      <c r="E575" t="str">
        <f ca="1">IF(AND(Q575,P575&gt;0),OFFSET(Taostats_CSV!$E$1,MATCH(K575&amp;F$1,Taostats_CSV!$X:$X,0)-1,0),IF(LEN(F575)&gt;0,Taostats_CSV!E575,""))</f>
        <v>SN4</v>
      </c>
      <c r="F575" t="str">
        <f ca="1">TRIM(IF(AND(Q575,P575&gt;0),OFFSET(Taostats_CSV!$H$1,MATCH(K575&amp;F$1,Taostats_CSV!$X:$X,0)-1,0),IF(LEN(Taostats_CSV!H575)&gt;0,Taostats_CSV!H575,Taostats_CSV!R575)))</f>
        <v>0.486239752</v>
      </c>
      <c r="G575" t="str">
        <f ca="1">IF(AND(Q575,N575=1),OFFSET(Taostats_CSV!$E$1,MATCH(K575&amp;H$1,Taostats_CSV!$X:$X,0)-1,0),"")</f>
        <v/>
      </c>
      <c r="H575" t="str">
        <f ca="1">IF(AND(Q575,N575=1),OFFSET(Taostats_CSV!$G$1,MATCH(K575&amp;H$1,Taostats_CSV!$X:$X,0)-1,0),"")</f>
        <v/>
      </c>
      <c r="I575" t="str">
        <f ca="1">IF(AND(LEN(K575)=0,LEN(F575)&gt;0),"Income",IF(AND(O575&gt;0,P575&gt;0,C575&lt;&gt;E575),"Trade",IF(AND(NOT(Q575),Taostats_CSV!F575="fee"),'READ ME'!$C$5,"")))</f>
        <v>Income</v>
      </c>
      <c r="J575" t="str">
        <f ca="1">SUBSTITUTE(IF(LEN(I575)=0,Taostats_CSV!F575&amp;" "&amp;Taostats_CSV!J575,IF(I575="Cost","Extrinsic fee","")),"_"," ")</f>
        <v/>
      </c>
      <c r="K575" t="str">
        <f>TRIM(IF(LEN(Taostats_CSV!I575)&gt;0,Taostats_CSV!I575,""))</f>
        <v/>
      </c>
      <c r="L575">
        <f ca="1">IF(Taostats_CSV!E575&lt;&gt;"TAO",IF(LEN(F575)&gt;0,F575,IF(LEN(D575)&gt;0,D575,0))*Taostats_CSV!P575,"")</f>
        <v>9.4733014988718267</v>
      </c>
      <c r="M575" t="str">
        <f t="shared" ca="1" si="63"/>
        <v>USD</v>
      </c>
      <c r="N575">
        <f>COUNTIF(Taostats_CSV!$X:$X,Taostats_CSV!$I575&amp;N$1)</f>
        <v>0</v>
      </c>
      <c r="O575">
        <f>COUNTIF(Taostats_CSV!$X:$X,Taostats_CSV!$I575&amp;O$1)</f>
        <v>0</v>
      </c>
      <c r="P575">
        <f>COUNTIF(Taostats_CSV!$X:$X,Taostats_CSV!$I575&amp;P$1)</f>
        <v>0</v>
      </c>
      <c r="Q575" t="b">
        <f t="shared" si="64"/>
        <v>0</v>
      </c>
      <c r="R575" t="b">
        <f>IF(LEN(K575)&gt;0,COUNTIF($K$3:K575,K575),FALSE)</f>
        <v>0</v>
      </c>
      <c r="S575" t="b">
        <f>IF(Taostats_CSV!A575=Taostats_CSV!$A$2,TRUE,Taostats_CSV!G575+Taostats_CSV!H575+Taostats_CSV!R575=0)</f>
        <v>0</v>
      </c>
      <c r="T575" t="b">
        <f t="shared" si="65"/>
        <v>1</v>
      </c>
      <c r="U575" t="b" cm="1">
        <f t="array" aca="1" ref="U575" ca="1">AND(T575,OR(O575-N575&gt;1,P575&gt;1,ISERROR(A575:P575)))</f>
        <v>0</v>
      </c>
      <c r="W575" t="e">
        <f>MATCH(K575&amp;$W$2,Taostats_CSV!$X$3:$X$1167,0)</f>
        <v>#N/A</v>
      </c>
      <c r="X575" t="e">
        <f t="shared" ca="1" si="60"/>
        <v>#VALUE!</v>
      </c>
      <c r="Y575">
        <f t="shared" ca="1" si="61"/>
        <v>0.48623975200000003</v>
      </c>
      <c r="Z575" t="e">
        <f t="shared" ca="1" si="62"/>
        <v>#VALUE!</v>
      </c>
    </row>
    <row r="576" spans="1:26" x14ac:dyDescent="0.4">
      <c r="A576" t="str">
        <f>MID(Taostats_CSV!C576,6,2)&amp;"/"&amp;MID(Taostats_CSV!C576,9,2)&amp;"/"&amp;LEFT(Taostats_CSV!C576,4)&amp;" "&amp;MID(Taostats_CSV!C576,12,8)</f>
        <v>07/05/2025 23:59:48</v>
      </c>
      <c r="C576" t="str">
        <f ca="1">IF(Q576,OFFSET(Taostats_CSV!$E$1,MATCH(K576&amp;D$1,Taostats_CSV!$X:$X,0)-1,0),IF(Taostats_CSV!F576="fee",IF(VALUE(Taostats_CSV!G576)&gt;0,Taostats_CSV!E576,""),""))</f>
        <v/>
      </c>
      <c r="D576" t="str">
        <f ca="1">IF(Q576,OFFSET(Taostats_CSV!$G$1,MATCH(K576&amp;D$1,Taostats_CSV!$X:$X,0)-1,0),IF(Taostats_CSV!F576="fee",IF(VALUE(Taostats_CSV!G576)&gt;0,Taostats_CSV!G576,""),""))</f>
        <v/>
      </c>
      <c r="E576" t="str">
        <f ca="1">IF(AND(Q576,P576&gt;0),OFFSET(Taostats_CSV!$E$1,MATCH(K576&amp;F$1,Taostats_CSV!$X:$X,0)-1,0),IF(LEN(F576)&gt;0,Taostats_CSV!E576,""))</f>
        <v>SN56</v>
      </c>
      <c r="F576" t="str">
        <f ca="1">TRIM(IF(AND(Q576,P576&gt;0),OFFSET(Taostats_CSV!$H$1,MATCH(K576&amp;F$1,Taostats_CSV!$X:$X,0)-1,0),IF(LEN(Taostats_CSV!H576)&gt;0,Taostats_CSV!H576,Taostats_CSV!R576)))</f>
        <v>0.26645816</v>
      </c>
      <c r="G576" t="str">
        <f ca="1">IF(AND(Q576,N576=1),OFFSET(Taostats_CSV!$E$1,MATCH(K576&amp;H$1,Taostats_CSV!$X:$X,0)-1,0),"")</f>
        <v/>
      </c>
      <c r="H576" t="str">
        <f ca="1">IF(AND(Q576,N576=1),OFFSET(Taostats_CSV!$G$1,MATCH(K576&amp;H$1,Taostats_CSV!$X:$X,0)-1,0),"")</f>
        <v/>
      </c>
      <c r="I576" t="str">
        <f ca="1">IF(AND(LEN(K576)=0,LEN(F576)&gt;0),"Income",IF(AND(O576&gt;0,P576&gt;0,C576&lt;&gt;E576),"Trade",IF(AND(NOT(Q576),Taostats_CSV!F576="fee"),'READ ME'!$C$5,"")))</f>
        <v>Income</v>
      </c>
      <c r="J576" t="str">
        <f ca="1">SUBSTITUTE(IF(LEN(I576)=0,Taostats_CSV!F576&amp;" "&amp;Taostats_CSV!J576,IF(I576="Cost","Extrinsic fee","")),"_"," ")</f>
        <v/>
      </c>
      <c r="K576" t="str">
        <f>TRIM(IF(LEN(Taostats_CSV!I576)&gt;0,Taostats_CSV!I576,""))</f>
        <v/>
      </c>
      <c r="L576">
        <f ca="1">IF(Taostats_CSV!E576&lt;&gt;"TAO",IF(LEN(F576)&gt;0,F576,IF(LEN(D576)&gt;0,D576,0))*Taostats_CSV!P576,"")</f>
        <v>4.4014653873074456</v>
      </c>
      <c r="M576" t="str">
        <f t="shared" ca="1" si="63"/>
        <v>USD</v>
      </c>
      <c r="N576">
        <f>COUNTIF(Taostats_CSV!$X:$X,Taostats_CSV!$I576&amp;N$1)</f>
        <v>0</v>
      </c>
      <c r="O576">
        <f>COUNTIF(Taostats_CSV!$X:$X,Taostats_CSV!$I576&amp;O$1)</f>
        <v>0</v>
      </c>
      <c r="P576">
        <f>COUNTIF(Taostats_CSV!$X:$X,Taostats_CSV!$I576&amp;P$1)</f>
        <v>0</v>
      </c>
      <c r="Q576" t="b">
        <f t="shared" si="64"/>
        <v>0</v>
      </c>
      <c r="R576" t="b">
        <f>IF(LEN(K576)&gt;0,COUNTIF($K$3:K576,K576),FALSE)</f>
        <v>0</v>
      </c>
      <c r="S576" t="b">
        <f>IF(Taostats_CSV!A576=Taostats_CSV!$A$2,TRUE,Taostats_CSV!G576+Taostats_CSV!H576+Taostats_CSV!R576=0)</f>
        <v>0</v>
      </c>
      <c r="T576" t="b">
        <f t="shared" si="65"/>
        <v>1</v>
      </c>
      <c r="U576" t="b" cm="1">
        <f t="array" aca="1" ref="U576" ca="1">AND(T576,OR(O576-N576&gt;1,P576&gt;1,ISERROR(A576:P576)))</f>
        <v>0</v>
      </c>
      <c r="W576" t="e">
        <f>MATCH(K576&amp;$W$2,Taostats_CSV!$X$3:$X$1167,0)</f>
        <v>#N/A</v>
      </c>
      <c r="X576" t="e">
        <f t="shared" ca="1" si="60"/>
        <v>#VALUE!</v>
      </c>
      <c r="Y576">
        <f t="shared" ca="1" si="61"/>
        <v>0.26645816</v>
      </c>
      <c r="Z576" t="e">
        <f t="shared" ca="1" si="62"/>
        <v>#VALUE!</v>
      </c>
    </row>
    <row r="577" spans="1:26" x14ac:dyDescent="0.4">
      <c r="A577" t="str">
        <f>MID(Taostats_CSV!C577,6,2)&amp;"/"&amp;MID(Taostats_CSV!C577,9,2)&amp;"/"&amp;LEFT(Taostats_CSV!C577,4)&amp;" "&amp;MID(Taostats_CSV!C577,12,8)</f>
        <v>07/05/2025 23:59:48</v>
      </c>
      <c r="C577" t="str">
        <f ca="1">IF(Q577,OFFSET(Taostats_CSV!$E$1,MATCH(K577&amp;D$1,Taostats_CSV!$X:$X,0)-1,0),IF(Taostats_CSV!F577="fee",IF(VALUE(Taostats_CSV!G577)&gt;0,Taostats_CSV!E577,""),""))</f>
        <v/>
      </c>
      <c r="D577" t="str">
        <f ca="1">IF(Q577,OFFSET(Taostats_CSV!$G$1,MATCH(K577&amp;D$1,Taostats_CSV!$X:$X,0)-1,0),IF(Taostats_CSV!F577="fee",IF(VALUE(Taostats_CSV!G577)&gt;0,Taostats_CSV!G577,""),""))</f>
        <v/>
      </c>
      <c r="E577" t="str">
        <f ca="1">IF(AND(Q577,P577&gt;0),OFFSET(Taostats_CSV!$E$1,MATCH(K577&amp;F$1,Taostats_CSV!$X:$X,0)-1,0),IF(LEN(F577)&gt;0,Taostats_CSV!E577,""))</f>
        <v>SN64</v>
      </c>
      <c r="F577" t="str">
        <f ca="1">TRIM(IF(AND(Q577,P577&gt;0),OFFSET(Taostats_CSV!$H$1,MATCH(K577&amp;F$1,Taostats_CSV!$X:$X,0)-1,0),IF(LEN(Taostats_CSV!H577)&gt;0,Taostats_CSV!H577,Taostats_CSV!R577)))</f>
        <v>0.147492308</v>
      </c>
      <c r="G577" t="str">
        <f ca="1">IF(AND(Q577,N577=1),OFFSET(Taostats_CSV!$E$1,MATCH(K577&amp;H$1,Taostats_CSV!$X:$X,0)-1,0),"")</f>
        <v/>
      </c>
      <c r="H577" t="str">
        <f ca="1">IF(AND(Q577,N577=1),OFFSET(Taostats_CSV!$G$1,MATCH(K577&amp;H$1,Taostats_CSV!$X:$X,0)-1,0),"")</f>
        <v/>
      </c>
      <c r="I577" t="str">
        <f ca="1">IF(AND(LEN(K577)=0,LEN(F577)&gt;0),"Income",IF(AND(O577&gt;0,P577&gt;0,C577&lt;&gt;E577),"Trade",IF(AND(NOT(Q577),Taostats_CSV!F577="fee"),'READ ME'!$C$5,"")))</f>
        <v>Income</v>
      </c>
      <c r="J577" t="str">
        <f ca="1">SUBSTITUTE(IF(LEN(I577)=0,Taostats_CSV!F577&amp;" "&amp;Taostats_CSV!J577,IF(I577="Cost","Extrinsic fee","")),"_"," ")</f>
        <v/>
      </c>
      <c r="K577" t="str">
        <f>TRIM(IF(LEN(Taostats_CSV!I577)&gt;0,Taostats_CSV!I577,""))</f>
        <v/>
      </c>
      <c r="L577">
        <f ca="1">IF(Taostats_CSV!E577&lt;&gt;"TAO",IF(LEN(F577)&gt;0,F577,IF(LEN(D577)&gt;0,D577,0))*Taostats_CSV!P577,"")</f>
        <v>7.058484267937871</v>
      </c>
      <c r="M577" t="str">
        <f t="shared" ca="1" si="63"/>
        <v>USD</v>
      </c>
      <c r="N577">
        <f>COUNTIF(Taostats_CSV!$X:$X,Taostats_CSV!$I577&amp;N$1)</f>
        <v>0</v>
      </c>
      <c r="O577">
        <f>COUNTIF(Taostats_CSV!$X:$X,Taostats_CSV!$I577&amp;O$1)</f>
        <v>0</v>
      </c>
      <c r="P577">
        <f>COUNTIF(Taostats_CSV!$X:$X,Taostats_CSV!$I577&amp;P$1)</f>
        <v>0</v>
      </c>
      <c r="Q577" t="b">
        <f t="shared" si="64"/>
        <v>0</v>
      </c>
      <c r="R577" t="b">
        <f>IF(LEN(K577)&gt;0,COUNTIF($K$3:K577,K577),FALSE)</f>
        <v>0</v>
      </c>
      <c r="S577" t="b">
        <f>IF(Taostats_CSV!A577=Taostats_CSV!$A$2,TRUE,Taostats_CSV!G577+Taostats_CSV!H577+Taostats_CSV!R577=0)</f>
        <v>0</v>
      </c>
      <c r="T577" t="b">
        <f t="shared" si="65"/>
        <v>1</v>
      </c>
      <c r="U577" t="b" cm="1">
        <f t="array" aca="1" ref="U577" ca="1">AND(T577,OR(O577-N577&gt;1,P577&gt;1,ISERROR(A577:P577)))</f>
        <v>0</v>
      </c>
      <c r="W577" t="e">
        <f>MATCH(K577&amp;$W$2,Taostats_CSV!$X$3:$X$1167,0)</f>
        <v>#N/A</v>
      </c>
      <c r="X577" t="e">
        <f t="shared" ca="1" si="60"/>
        <v>#VALUE!</v>
      </c>
      <c r="Y577">
        <f t="shared" ca="1" si="61"/>
        <v>0.14749230799999999</v>
      </c>
      <c r="Z577" t="e">
        <f t="shared" ca="1" si="62"/>
        <v>#VALUE!</v>
      </c>
    </row>
    <row r="578" spans="1:26" hidden="1" x14ac:dyDescent="0.4">
      <c r="A578" t="str">
        <f>MID(Taostats_CSV!C578,6,2)&amp;"/"&amp;MID(Taostats_CSV!C578,9,2)&amp;"/"&amp;LEFT(Taostats_CSV!C578,4)&amp;" "&amp;MID(Taostats_CSV!C578,12,8)</f>
        <v>07/05/2025 23:59:48</v>
      </c>
      <c r="C578" t="str">
        <f ca="1">IF(Q578,OFFSET(Taostats_CSV!$E$1,MATCH(K578&amp;D$1,Taostats_CSV!$X:$X,0)-1,0),IF(Taostats_CSV!F578="fee","",IF(VALUE(Taostats_CSV!G578)&gt;0,Taostats_CSV!E578,"")))</f>
        <v/>
      </c>
      <c r="D578" t="str">
        <f ca="1">IF(Q578,OFFSET(Taostats_CSV!$G$1,MATCH(K578&amp;D$1,Taostats_CSV!$X:$X,0)-1,0),IF(Taostats_CSV!F578="fee","",IF(VALUE(Taostats_CSV!G578)&gt;0,Taostats_CSV!G578,"")))</f>
        <v/>
      </c>
      <c r="E578" t="str">
        <f ca="1">IF(AND(Q578,P578&gt;0),OFFSET(Taostats_CSV!$E$1,MATCH(K578&amp;F$1,Taostats_CSV!$X:$X,0)-1,0),IF(LEN(F578)&gt;0,Taostats_CSV!E578,""))</f>
        <v>TAO</v>
      </c>
      <c r="F578" t="str">
        <f ca="1">TRIM(IF(AND(Q578,P578&gt;0),OFFSET(Taostats_CSV!$H$1,MATCH(K578&amp;F$1,Taostats_CSV!$X:$X,0)-1,0),IF(LEN(Taostats_CSV!H578)&gt;0,Taostats_CSV!H578,Taostats_CSV!R578)))</f>
        <v>0</v>
      </c>
      <c r="G578" t="str">
        <f ca="1">IF(AND(Q578,N578=1),OFFSET(Taostats_CSV!$E$1,MATCH(K578&amp;H$1,Taostats_CSV!$X:$X,0)-1,0),IF(Taostats_CSV!F578="fee",Taostats_CSV!E578,""))</f>
        <v/>
      </c>
      <c r="H578" t="str">
        <f ca="1">IF(AND(Q578,N578=1),OFFSET(Taostats_CSV!$G$1,MATCH(K578&amp;H$1,Taostats_CSV!$X:$X,0)-1,0),IF(Taostats_CSV!F578="fee",Taostats_CSV!G578,""))</f>
        <v/>
      </c>
      <c r="I578" t="str">
        <f ca="1">IF(AND(LEN(K578)=0,LEN(F578)&gt;0),"Income",IF(AND(O578&gt;0,P578&gt;0,C578&lt;&gt;E578),"Trade",IF(AND(NOT(Q578),Taostats_CSV!F578="fee"),'READ ME'!$C$5,"")))</f>
        <v>Income</v>
      </c>
      <c r="J578" t="str">
        <f ca="1">SUBSTITUTE(IF(LEN(I578)=0,Taostats_CSV!F578&amp;" "&amp;Taostats_CSV!J578,IF(I578="Cost","Extrinsic fee","")),"_"," ")</f>
        <v/>
      </c>
      <c r="K578" t="str">
        <f>TRIM(IF(LEN(Taostats_CSV!I578)&gt;0,Taostats_CSV!I578,""))</f>
        <v/>
      </c>
      <c r="L578" t="str">
        <f>IF(Taostats_CSV!E578&lt;&gt;"TAO",IF(LEN(F578)&gt;0,F578,IF(LEN(D578)&gt;0,D578,0))*Taostats_CSV!P578,"")</f>
        <v/>
      </c>
      <c r="M578" t="str">
        <f t="shared" si="63"/>
        <v/>
      </c>
      <c r="N578">
        <f>COUNTIF(Taostats_CSV!$X:$X,Taostats_CSV!$I578&amp;N$1)</f>
        <v>0</v>
      </c>
      <c r="O578">
        <f>COUNTIF(Taostats_CSV!$X:$X,Taostats_CSV!$I578&amp;O$1)</f>
        <v>0</v>
      </c>
      <c r="P578">
        <f>COUNTIF(Taostats_CSV!$X:$X,Taostats_CSV!$I578&amp;P$1)</f>
        <v>0</v>
      </c>
      <c r="Q578" t="b">
        <f t="shared" si="64"/>
        <v>0</v>
      </c>
      <c r="R578" t="b">
        <f>IF(LEN(K578)&gt;0,COUNTIF($K$3:K578,K578),FALSE)</f>
        <v>0</v>
      </c>
      <c r="S578" t="b">
        <f>IF(Taostats_CSV!A578=Taostats_CSV!$A$2,TRUE,Taostats_CSV!G578+Taostats_CSV!H578+Taostats_CSV!R578=0)</f>
        <v>1</v>
      </c>
      <c r="T578" t="b">
        <f t="shared" si="65"/>
        <v>0</v>
      </c>
      <c r="U578" t="b" cm="1">
        <f t="array" aca="1" ref="U578" ca="1">AND(T578,OR(O578-N578&gt;1,P578&gt;1,ISERROR(A578:P578)))</f>
        <v>0</v>
      </c>
      <c r="W578" t="e">
        <f>MATCH(K578&amp;$W$2,Taostats_CSV!$X$3:$X$1167,0)</f>
        <v>#N/A</v>
      </c>
      <c r="X578" t="e">
        <f t="shared" ca="1" si="60"/>
        <v>#VALUE!</v>
      </c>
      <c r="Y578">
        <f t="shared" ca="1" si="61"/>
        <v>0</v>
      </c>
      <c r="Z578" t="e">
        <f t="shared" ca="1" si="62"/>
        <v>#VALUE!</v>
      </c>
    </row>
    <row r="579" spans="1:26" x14ac:dyDescent="0.4">
      <c r="A579" t="str">
        <f>MID(Taostats_CSV!C579,6,2)&amp;"/"&amp;MID(Taostats_CSV!C579,9,2)&amp;"/"&amp;LEFT(Taostats_CSV!C579,4)&amp;" "&amp;MID(Taostats_CSV!C579,12,8)</f>
        <v>07/06/2025 23:59:48</v>
      </c>
      <c r="C579" t="str">
        <f ca="1">IF(Q579,OFFSET(Taostats_CSV!$E$1,MATCH(K579&amp;D$1,Taostats_CSV!$X:$X,0)-1,0),IF(Taostats_CSV!F579="fee",IF(VALUE(Taostats_CSV!G579)&gt;0,Taostats_CSV!E579,""),""))</f>
        <v/>
      </c>
      <c r="D579" t="str">
        <f ca="1">IF(Q579,OFFSET(Taostats_CSV!$G$1,MATCH(K579&amp;D$1,Taostats_CSV!$X:$X,0)-1,0),IF(Taostats_CSV!F579="fee",IF(VALUE(Taostats_CSV!G579)&gt;0,Taostats_CSV!G579,""),""))</f>
        <v/>
      </c>
      <c r="E579" t="str">
        <f ca="1">IF(AND(Q579,P579&gt;0),OFFSET(Taostats_CSV!$E$1,MATCH(K579&amp;F$1,Taostats_CSV!$X:$X,0)-1,0),IF(LEN(F579)&gt;0,Taostats_CSV!E579,""))</f>
        <v>SN3</v>
      </c>
      <c r="F579" t="str">
        <f ca="1">TRIM(IF(AND(Q579,P579&gt;0),OFFSET(Taostats_CSV!$H$1,MATCH(K579&amp;F$1,Taostats_CSV!$X:$X,0)-1,0),IF(LEN(Taostats_CSV!H579)&gt;0,Taostats_CSV!H579,Taostats_CSV!R579)))</f>
        <v>0.439652145</v>
      </c>
      <c r="G579" t="str">
        <f ca="1">IF(AND(Q579,N579=1),OFFSET(Taostats_CSV!$E$1,MATCH(K579&amp;H$1,Taostats_CSV!$X:$X,0)-1,0),"")</f>
        <v/>
      </c>
      <c r="H579" t="str">
        <f ca="1">IF(AND(Q579,N579=1),OFFSET(Taostats_CSV!$G$1,MATCH(K579&amp;H$1,Taostats_CSV!$X:$X,0)-1,0),"")</f>
        <v/>
      </c>
      <c r="I579" t="str">
        <f ca="1">IF(AND(LEN(K579)=0,LEN(F579)&gt;0),"Income",IF(AND(O579&gt;0,P579&gt;0,C579&lt;&gt;E579),"Trade",IF(AND(NOT(Q579),Taostats_CSV!F579="fee"),'READ ME'!$C$5,"")))</f>
        <v>Income</v>
      </c>
      <c r="J579" t="str">
        <f ca="1">SUBSTITUTE(IF(LEN(I579)=0,Taostats_CSV!F579&amp;" "&amp;Taostats_CSV!J579,IF(I579="Cost","Extrinsic fee","")),"_"," ")</f>
        <v/>
      </c>
      <c r="K579" t="str">
        <f>TRIM(IF(LEN(Taostats_CSV!I579)&gt;0,Taostats_CSV!I579,""))</f>
        <v/>
      </c>
      <c r="L579">
        <f ca="1">IF(Taostats_CSV!E579&lt;&gt;"TAO",IF(LEN(F579)&gt;0,F579,IF(LEN(D579)&gt;0,D579,0))*Taostats_CSV!P579,"")</f>
        <v>8.5416509479354961</v>
      </c>
      <c r="M579" t="str">
        <f t="shared" ca="1" si="63"/>
        <v>USD</v>
      </c>
      <c r="N579">
        <f>COUNTIF(Taostats_CSV!$X:$X,Taostats_CSV!$I579&amp;N$1)</f>
        <v>0</v>
      </c>
      <c r="O579">
        <f>COUNTIF(Taostats_CSV!$X:$X,Taostats_CSV!$I579&amp;O$1)</f>
        <v>0</v>
      </c>
      <c r="P579">
        <f>COUNTIF(Taostats_CSV!$X:$X,Taostats_CSV!$I579&amp;P$1)</f>
        <v>0</v>
      </c>
      <c r="Q579" t="b">
        <f t="shared" si="64"/>
        <v>0</v>
      </c>
      <c r="R579" t="b">
        <f>IF(LEN(K579)&gt;0,COUNTIF($K$3:K579,K579),FALSE)</f>
        <v>0</v>
      </c>
      <c r="S579" t="b">
        <f>IF(Taostats_CSV!A579=Taostats_CSV!$A$2,TRUE,Taostats_CSV!G579+Taostats_CSV!H579+Taostats_CSV!R579=0)</f>
        <v>0</v>
      </c>
      <c r="T579" t="b">
        <f t="shared" si="65"/>
        <v>1</v>
      </c>
      <c r="U579" t="b" cm="1">
        <f t="array" aca="1" ref="U579" ca="1">AND(T579,OR(O579-N579&gt;1,P579&gt;1,ISERROR(A579:P579)))</f>
        <v>0</v>
      </c>
      <c r="W579" t="e">
        <f>MATCH(K579&amp;$W$2,Taostats_CSV!$X$3:$X$1167,0)</f>
        <v>#N/A</v>
      </c>
      <c r="X579" t="e">
        <f t="shared" ref="X579:X642" ca="1" si="66">VALUE(D579)</f>
        <v>#VALUE!</v>
      </c>
      <c r="Y579">
        <f t="shared" ref="Y579:Y642" ca="1" si="67">VALUE(F579)</f>
        <v>0.43965214499999999</v>
      </c>
      <c r="Z579" t="e">
        <f t="shared" ref="Z579:Z642" ca="1" si="68">VALUE(H579)</f>
        <v>#VALUE!</v>
      </c>
    </row>
    <row r="580" spans="1:26" x14ac:dyDescent="0.4">
      <c r="A580" t="str">
        <f>MID(Taostats_CSV!C580,6,2)&amp;"/"&amp;MID(Taostats_CSV!C580,9,2)&amp;"/"&amp;LEFT(Taostats_CSV!C580,4)&amp;" "&amp;MID(Taostats_CSV!C580,12,8)</f>
        <v>07/06/2025 23:59:48</v>
      </c>
      <c r="C580" t="str">
        <f ca="1">IF(Q580,OFFSET(Taostats_CSV!$E$1,MATCH(K580&amp;D$1,Taostats_CSV!$X:$X,0)-1,0),IF(Taostats_CSV!F580="fee",IF(VALUE(Taostats_CSV!G580)&gt;0,Taostats_CSV!E580,""),""))</f>
        <v/>
      </c>
      <c r="D580" t="str">
        <f ca="1">IF(Q580,OFFSET(Taostats_CSV!$G$1,MATCH(K580&amp;D$1,Taostats_CSV!$X:$X,0)-1,0),IF(Taostats_CSV!F580="fee",IF(VALUE(Taostats_CSV!G580)&gt;0,Taostats_CSV!G580,""),""))</f>
        <v/>
      </c>
      <c r="E580" t="str">
        <f ca="1">IF(AND(Q580,P580&gt;0),OFFSET(Taostats_CSV!$E$1,MATCH(K580&amp;F$1,Taostats_CSV!$X:$X,0)-1,0),IF(LEN(F580)&gt;0,Taostats_CSV!E580,""))</f>
        <v>SN4</v>
      </c>
      <c r="F580" t="str">
        <f ca="1">TRIM(IF(AND(Q580,P580&gt;0),OFFSET(Taostats_CSV!$H$1,MATCH(K580&amp;F$1,Taostats_CSV!$X:$X,0)-1,0),IF(LEN(Taostats_CSV!H580)&gt;0,Taostats_CSV!H580,Taostats_CSV!R580)))</f>
        <v>0.492079421</v>
      </c>
      <c r="G580" t="str">
        <f ca="1">IF(AND(Q580,N580=1),OFFSET(Taostats_CSV!$E$1,MATCH(K580&amp;H$1,Taostats_CSV!$X:$X,0)-1,0),"")</f>
        <v/>
      </c>
      <c r="H580" t="str">
        <f ca="1">IF(AND(Q580,N580=1),OFFSET(Taostats_CSV!$G$1,MATCH(K580&amp;H$1,Taostats_CSV!$X:$X,0)-1,0),"")</f>
        <v/>
      </c>
      <c r="I580" t="str">
        <f ca="1">IF(AND(LEN(K580)=0,LEN(F580)&gt;0),"Income",IF(AND(O580&gt;0,P580&gt;0,C580&lt;&gt;E580),"Trade",IF(AND(NOT(Q580),Taostats_CSV!F580="fee"),'READ ME'!$C$5,"")))</f>
        <v>Income</v>
      </c>
      <c r="J580" t="str">
        <f ca="1">SUBSTITUTE(IF(LEN(I580)=0,Taostats_CSV!F580&amp;" "&amp;Taostats_CSV!J580,IF(I580="Cost","Extrinsic fee","")),"_"," ")</f>
        <v/>
      </c>
      <c r="K580" t="str">
        <f>TRIM(IF(LEN(Taostats_CSV!I580)&gt;0,Taostats_CSV!I580,""))</f>
        <v/>
      </c>
      <c r="L580">
        <f ca="1">IF(Taostats_CSV!E580&lt;&gt;"TAO",IF(LEN(F580)&gt;0,F580,IF(LEN(D580)&gt;0,D580,0))*Taostats_CSV!P580,"")</f>
        <v>9.6896396291013644</v>
      </c>
      <c r="M580" t="str">
        <f t="shared" ref="M580:M643" ca="1" si="69">IF(LEN(L580)&gt;0,"USD","")</f>
        <v>USD</v>
      </c>
      <c r="N580">
        <f>COUNTIF(Taostats_CSV!$X:$X,Taostats_CSV!$I580&amp;N$1)</f>
        <v>0</v>
      </c>
      <c r="O580">
        <f>COUNTIF(Taostats_CSV!$X:$X,Taostats_CSV!$I580&amp;O$1)</f>
        <v>0</v>
      </c>
      <c r="P580">
        <f>COUNTIF(Taostats_CSV!$X:$X,Taostats_CSV!$I580&amp;P$1)</f>
        <v>0</v>
      </c>
      <c r="Q580" t="b">
        <f t="shared" ref="Q580:Q643" si="70">AND(O580&lt;=1,N580&lt;=1,P580&lt;=1,O580+N580+P580&gt;=2)</f>
        <v>0</v>
      </c>
      <c r="R580" t="b">
        <f>IF(LEN(K580)&gt;0,COUNTIF($K$3:K580,K580),FALSE)</f>
        <v>0</v>
      </c>
      <c r="S580" t="b">
        <f>IF(Taostats_CSV!A580=Taostats_CSV!$A$2,TRUE,Taostats_CSV!G580+Taostats_CSV!H580+Taostats_CSV!R580=0)</f>
        <v>0</v>
      </c>
      <c r="T580" t="b">
        <f t="shared" ref="T580:T643" si="71">AND(NOT(S580),OR(NOT(Q580),R580=1))</f>
        <v>1</v>
      </c>
      <c r="U580" t="b" cm="1">
        <f t="array" aca="1" ref="U580" ca="1">AND(T580,OR(O580-N580&gt;1,P580&gt;1,ISERROR(A580:P580)))</f>
        <v>0</v>
      </c>
      <c r="W580" t="e">
        <f>MATCH(K580&amp;$W$2,Taostats_CSV!$X$3:$X$1167,0)</f>
        <v>#N/A</v>
      </c>
      <c r="X580" t="e">
        <f t="shared" ca="1" si="66"/>
        <v>#VALUE!</v>
      </c>
      <c r="Y580">
        <f t="shared" ca="1" si="67"/>
        <v>0.49207942100000002</v>
      </c>
      <c r="Z580" t="e">
        <f t="shared" ca="1" si="68"/>
        <v>#VALUE!</v>
      </c>
    </row>
    <row r="581" spans="1:26" x14ac:dyDescent="0.4">
      <c r="A581" t="str">
        <f>MID(Taostats_CSV!C581,6,2)&amp;"/"&amp;MID(Taostats_CSV!C581,9,2)&amp;"/"&amp;LEFT(Taostats_CSV!C581,4)&amp;" "&amp;MID(Taostats_CSV!C581,12,8)</f>
        <v>07/06/2025 23:59:48</v>
      </c>
      <c r="C581" t="str">
        <f ca="1">IF(Q581,OFFSET(Taostats_CSV!$E$1,MATCH(K581&amp;D$1,Taostats_CSV!$X:$X,0)-1,0),IF(Taostats_CSV!F581="fee",IF(VALUE(Taostats_CSV!G581)&gt;0,Taostats_CSV!E581,""),""))</f>
        <v/>
      </c>
      <c r="D581" t="str">
        <f ca="1">IF(Q581,OFFSET(Taostats_CSV!$G$1,MATCH(K581&amp;D$1,Taostats_CSV!$X:$X,0)-1,0),IF(Taostats_CSV!F581="fee",IF(VALUE(Taostats_CSV!G581)&gt;0,Taostats_CSV!G581,""),""))</f>
        <v/>
      </c>
      <c r="E581" t="str">
        <f ca="1">IF(AND(Q581,P581&gt;0),OFFSET(Taostats_CSV!$E$1,MATCH(K581&amp;F$1,Taostats_CSV!$X:$X,0)-1,0),IF(LEN(F581)&gt;0,Taostats_CSV!E581,""))</f>
        <v>SN56</v>
      </c>
      <c r="F581" t="str">
        <f ca="1">TRIM(IF(AND(Q581,P581&gt;0),OFFSET(Taostats_CSV!$H$1,MATCH(K581&amp;F$1,Taostats_CSV!$X:$X,0)-1,0),IF(LEN(Taostats_CSV!H581)&gt;0,Taostats_CSV!H581,Taostats_CSV!R581)))</f>
        <v>0.26885563</v>
      </c>
      <c r="G581" t="str">
        <f ca="1">IF(AND(Q581,N581=1),OFFSET(Taostats_CSV!$E$1,MATCH(K581&amp;H$1,Taostats_CSV!$X:$X,0)-1,0),"")</f>
        <v/>
      </c>
      <c r="H581" t="str">
        <f ca="1">IF(AND(Q581,N581=1),OFFSET(Taostats_CSV!$G$1,MATCH(K581&amp;H$1,Taostats_CSV!$X:$X,0)-1,0),"")</f>
        <v/>
      </c>
      <c r="I581" t="str">
        <f ca="1">IF(AND(LEN(K581)=0,LEN(F581)&gt;0),"Income",IF(AND(O581&gt;0,P581&gt;0,C581&lt;&gt;E581),"Trade",IF(AND(NOT(Q581),Taostats_CSV!F581="fee"),'READ ME'!$C$5,"")))</f>
        <v>Income</v>
      </c>
      <c r="J581" t="str">
        <f ca="1">SUBSTITUTE(IF(LEN(I581)=0,Taostats_CSV!F581&amp;" "&amp;Taostats_CSV!J581,IF(I581="Cost","Extrinsic fee","")),"_"," ")</f>
        <v/>
      </c>
      <c r="K581" t="str">
        <f>TRIM(IF(LEN(Taostats_CSV!I581)&gt;0,Taostats_CSV!I581,""))</f>
        <v/>
      </c>
      <c r="L581">
        <f ca="1">IF(Taostats_CSV!E581&lt;&gt;"TAO",IF(LEN(F581)&gt;0,F581,IF(LEN(D581)&gt;0,D581,0))*Taostats_CSV!P581,"")</f>
        <v>4.4216654340443258</v>
      </c>
      <c r="M581" t="str">
        <f t="shared" ca="1" si="69"/>
        <v>USD</v>
      </c>
      <c r="N581">
        <f>COUNTIF(Taostats_CSV!$X:$X,Taostats_CSV!$I581&amp;N$1)</f>
        <v>0</v>
      </c>
      <c r="O581">
        <f>COUNTIF(Taostats_CSV!$X:$X,Taostats_CSV!$I581&amp;O$1)</f>
        <v>0</v>
      </c>
      <c r="P581">
        <f>COUNTIF(Taostats_CSV!$X:$X,Taostats_CSV!$I581&amp;P$1)</f>
        <v>0</v>
      </c>
      <c r="Q581" t="b">
        <f t="shared" si="70"/>
        <v>0</v>
      </c>
      <c r="R581" t="b">
        <f>IF(LEN(K581)&gt;0,COUNTIF($K$3:K581,K581),FALSE)</f>
        <v>0</v>
      </c>
      <c r="S581" t="b">
        <f>IF(Taostats_CSV!A581=Taostats_CSV!$A$2,TRUE,Taostats_CSV!G581+Taostats_CSV!H581+Taostats_CSV!R581=0)</f>
        <v>0</v>
      </c>
      <c r="T581" t="b">
        <f t="shared" si="71"/>
        <v>1</v>
      </c>
      <c r="U581" t="b" cm="1">
        <f t="array" aca="1" ref="U581" ca="1">AND(T581,OR(O581-N581&gt;1,P581&gt;1,ISERROR(A581:P581)))</f>
        <v>0</v>
      </c>
      <c r="W581" t="e">
        <f>MATCH(K581&amp;$W$2,Taostats_CSV!$X$3:$X$1167,0)</f>
        <v>#N/A</v>
      </c>
      <c r="X581" t="e">
        <f t="shared" ca="1" si="66"/>
        <v>#VALUE!</v>
      </c>
      <c r="Y581">
        <f t="shared" ca="1" si="67"/>
        <v>0.26885563000000001</v>
      </c>
      <c r="Z581" t="e">
        <f t="shared" ca="1" si="68"/>
        <v>#VALUE!</v>
      </c>
    </row>
    <row r="582" spans="1:26" x14ac:dyDescent="0.4">
      <c r="A582" t="str">
        <f>MID(Taostats_CSV!C582,6,2)&amp;"/"&amp;MID(Taostats_CSV!C582,9,2)&amp;"/"&amp;LEFT(Taostats_CSV!C582,4)&amp;" "&amp;MID(Taostats_CSV!C582,12,8)</f>
        <v>07/06/2025 23:59:48</v>
      </c>
      <c r="C582" t="str">
        <f ca="1">IF(Q582,OFFSET(Taostats_CSV!$E$1,MATCH(K582&amp;D$1,Taostats_CSV!$X:$X,0)-1,0),IF(Taostats_CSV!F582="fee",IF(VALUE(Taostats_CSV!G582)&gt;0,Taostats_CSV!E582,""),""))</f>
        <v/>
      </c>
      <c r="D582" t="str">
        <f ca="1">IF(Q582,OFFSET(Taostats_CSV!$G$1,MATCH(K582&amp;D$1,Taostats_CSV!$X:$X,0)-1,0),IF(Taostats_CSV!F582="fee",IF(VALUE(Taostats_CSV!G582)&gt;0,Taostats_CSV!G582,""),""))</f>
        <v/>
      </c>
      <c r="E582" t="str">
        <f ca="1">IF(AND(Q582,P582&gt;0),OFFSET(Taostats_CSV!$E$1,MATCH(K582&amp;F$1,Taostats_CSV!$X:$X,0)-1,0),IF(LEN(F582)&gt;0,Taostats_CSV!E582,""))</f>
        <v>SN64</v>
      </c>
      <c r="F582" t="str">
        <f ca="1">TRIM(IF(AND(Q582,P582&gt;0),OFFSET(Taostats_CSV!$H$1,MATCH(K582&amp;F$1,Taostats_CSV!$X:$X,0)-1,0),IF(LEN(Taostats_CSV!H582)&gt;0,Taostats_CSV!H582,Taostats_CSV!R582)))</f>
        <v>0.149557657</v>
      </c>
      <c r="G582" t="str">
        <f ca="1">IF(AND(Q582,N582=1),OFFSET(Taostats_CSV!$E$1,MATCH(K582&amp;H$1,Taostats_CSV!$X:$X,0)-1,0),"")</f>
        <v/>
      </c>
      <c r="H582" t="str">
        <f ca="1">IF(AND(Q582,N582=1),OFFSET(Taostats_CSV!$G$1,MATCH(K582&amp;H$1,Taostats_CSV!$X:$X,0)-1,0),"")</f>
        <v/>
      </c>
      <c r="I582" t="str">
        <f ca="1">IF(AND(LEN(K582)=0,LEN(F582)&gt;0),"Income",IF(AND(O582&gt;0,P582&gt;0,C582&lt;&gt;E582),"Trade",IF(AND(NOT(Q582),Taostats_CSV!F582="fee"),'READ ME'!$C$5,"")))</f>
        <v>Income</v>
      </c>
      <c r="J582" t="str">
        <f ca="1">SUBSTITUTE(IF(LEN(I582)=0,Taostats_CSV!F582&amp;" "&amp;Taostats_CSV!J582,IF(I582="Cost","Extrinsic fee","")),"_"," ")</f>
        <v/>
      </c>
      <c r="K582" t="str">
        <f>TRIM(IF(LEN(Taostats_CSV!I582)&gt;0,Taostats_CSV!I582,""))</f>
        <v/>
      </c>
      <c r="L582">
        <f ca="1">IF(Taostats_CSV!E582&lt;&gt;"TAO",IF(LEN(F582)&gt;0,F582,IF(LEN(D582)&gt;0,D582,0))*Taostats_CSV!P582,"")</f>
        <v>7.1532203870492506</v>
      </c>
      <c r="M582" t="str">
        <f t="shared" ca="1" si="69"/>
        <v>USD</v>
      </c>
      <c r="N582">
        <f>COUNTIF(Taostats_CSV!$X:$X,Taostats_CSV!$I582&amp;N$1)</f>
        <v>0</v>
      </c>
      <c r="O582">
        <f>COUNTIF(Taostats_CSV!$X:$X,Taostats_CSV!$I582&amp;O$1)</f>
        <v>0</v>
      </c>
      <c r="P582">
        <f>COUNTIF(Taostats_CSV!$X:$X,Taostats_CSV!$I582&amp;P$1)</f>
        <v>0</v>
      </c>
      <c r="Q582" t="b">
        <f t="shared" si="70"/>
        <v>0</v>
      </c>
      <c r="R582" t="b">
        <f>IF(LEN(K582)&gt;0,COUNTIF($K$3:K582,K582),FALSE)</f>
        <v>0</v>
      </c>
      <c r="S582" t="b">
        <f>IF(Taostats_CSV!A582=Taostats_CSV!$A$2,TRUE,Taostats_CSV!G582+Taostats_CSV!H582+Taostats_CSV!R582=0)</f>
        <v>0</v>
      </c>
      <c r="T582" t="b">
        <f t="shared" si="71"/>
        <v>1</v>
      </c>
      <c r="U582" t="b" cm="1">
        <f t="array" aca="1" ref="U582" ca="1">AND(T582,OR(O582-N582&gt;1,P582&gt;1,ISERROR(A582:P582)))</f>
        <v>0</v>
      </c>
      <c r="W582" t="e">
        <f>MATCH(K582&amp;$W$2,Taostats_CSV!$X$3:$X$1167,0)</f>
        <v>#N/A</v>
      </c>
      <c r="X582" t="e">
        <f t="shared" ca="1" si="66"/>
        <v>#VALUE!</v>
      </c>
      <c r="Y582">
        <f t="shared" ca="1" si="67"/>
        <v>0.14955765700000001</v>
      </c>
      <c r="Z582" t="e">
        <f t="shared" ca="1" si="68"/>
        <v>#VALUE!</v>
      </c>
    </row>
    <row r="583" spans="1:26" hidden="1" x14ac:dyDescent="0.4">
      <c r="A583" t="str">
        <f>MID(Taostats_CSV!C583,6,2)&amp;"/"&amp;MID(Taostats_CSV!C583,9,2)&amp;"/"&amp;LEFT(Taostats_CSV!C583,4)&amp;" "&amp;MID(Taostats_CSV!C583,12,8)</f>
        <v>07/06/2025 23:59:48</v>
      </c>
      <c r="C583" t="str">
        <f ca="1">IF(Q583,OFFSET(Taostats_CSV!$E$1,MATCH(K583&amp;D$1,Taostats_CSV!$X:$X,0)-1,0),IF(Taostats_CSV!F583="fee","",IF(VALUE(Taostats_CSV!G583)&gt;0,Taostats_CSV!E583,"")))</f>
        <v/>
      </c>
      <c r="D583" t="str">
        <f ca="1">IF(Q583,OFFSET(Taostats_CSV!$G$1,MATCH(K583&amp;D$1,Taostats_CSV!$X:$X,0)-1,0),IF(Taostats_CSV!F583="fee","",IF(VALUE(Taostats_CSV!G583)&gt;0,Taostats_CSV!G583,"")))</f>
        <v/>
      </c>
      <c r="E583" t="str">
        <f ca="1">IF(AND(Q583,P583&gt;0),OFFSET(Taostats_CSV!$E$1,MATCH(K583&amp;F$1,Taostats_CSV!$X:$X,0)-1,0),IF(LEN(F583)&gt;0,Taostats_CSV!E583,""))</f>
        <v>TAO</v>
      </c>
      <c r="F583" t="str">
        <f ca="1">TRIM(IF(AND(Q583,P583&gt;0),OFFSET(Taostats_CSV!$H$1,MATCH(K583&amp;F$1,Taostats_CSV!$X:$X,0)-1,0),IF(LEN(Taostats_CSV!H583)&gt;0,Taostats_CSV!H583,Taostats_CSV!R583)))</f>
        <v>0</v>
      </c>
      <c r="G583" t="str">
        <f ca="1">IF(AND(Q583,N583=1),OFFSET(Taostats_CSV!$E$1,MATCH(K583&amp;H$1,Taostats_CSV!$X:$X,0)-1,0),IF(Taostats_CSV!F583="fee",Taostats_CSV!E583,""))</f>
        <v/>
      </c>
      <c r="H583" t="str">
        <f ca="1">IF(AND(Q583,N583=1),OFFSET(Taostats_CSV!$G$1,MATCH(K583&amp;H$1,Taostats_CSV!$X:$X,0)-1,0),IF(Taostats_CSV!F583="fee",Taostats_CSV!G583,""))</f>
        <v/>
      </c>
      <c r="I583" t="str">
        <f ca="1">IF(AND(LEN(K583)=0,LEN(F583)&gt;0),"Income",IF(AND(O583&gt;0,P583&gt;0,C583&lt;&gt;E583),"Trade",IF(AND(NOT(Q583),Taostats_CSV!F583="fee"),'READ ME'!$C$5,"")))</f>
        <v>Income</v>
      </c>
      <c r="J583" t="str">
        <f ca="1">SUBSTITUTE(IF(LEN(I583)=0,Taostats_CSV!F583&amp;" "&amp;Taostats_CSV!J583,IF(I583="Cost","Extrinsic fee","")),"_"," ")</f>
        <v/>
      </c>
      <c r="K583" t="str">
        <f>TRIM(IF(LEN(Taostats_CSV!I583)&gt;0,Taostats_CSV!I583,""))</f>
        <v/>
      </c>
      <c r="L583" t="str">
        <f>IF(Taostats_CSV!E583&lt;&gt;"TAO",IF(LEN(F583)&gt;0,F583,IF(LEN(D583)&gt;0,D583,0))*Taostats_CSV!P583,"")</f>
        <v/>
      </c>
      <c r="M583" t="str">
        <f t="shared" si="69"/>
        <v/>
      </c>
      <c r="N583">
        <f>COUNTIF(Taostats_CSV!$X:$X,Taostats_CSV!$I583&amp;N$1)</f>
        <v>0</v>
      </c>
      <c r="O583">
        <f>COUNTIF(Taostats_CSV!$X:$X,Taostats_CSV!$I583&amp;O$1)</f>
        <v>0</v>
      </c>
      <c r="P583">
        <f>COUNTIF(Taostats_CSV!$X:$X,Taostats_CSV!$I583&amp;P$1)</f>
        <v>0</v>
      </c>
      <c r="Q583" t="b">
        <f t="shared" si="70"/>
        <v>0</v>
      </c>
      <c r="R583" t="b">
        <f>IF(LEN(K583)&gt;0,COUNTIF($K$3:K583,K583),FALSE)</f>
        <v>0</v>
      </c>
      <c r="S583" t="b">
        <f>IF(Taostats_CSV!A583=Taostats_CSV!$A$2,TRUE,Taostats_CSV!G583+Taostats_CSV!H583+Taostats_CSV!R583=0)</f>
        <v>1</v>
      </c>
      <c r="T583" t="b">
        <f t="shared" si="71"/>
        <v>0</v>
      </c>
      <c r="U583" t="b" cm="1">
        <f t="array" aca="1" ref="U583" ca="1">AND(T583,OR(O583-N583&gt;1,P583&gt;1,ISERROR(A583:P583)))</f>
        <v>0</v>
      </c>
      <c r="W583" t="e">
        <f>MATCH(K583&amp;$W$2,Taostats_CSV!$X$3:$X$1167,0)</f>
        <v>#N/A</v>
      </c>
      <c r="X583" t="e">
        <f t="shared" ca="1" si="66"/>
        <v>#VALUE!</v>
      </c>
      <c r="Y583">
        <f t="shared" ca="1" si="67"/>
        <v>0</v>
      </c>
      <c r="Z583" t="e">
        <f t="shared" ca="1" si="68"/>
        <v>#VALUE!</v>
      </c>
    </row>
    <row r="584" spans="1:26" x14ac:dyDescent="0.4">
      <c r="A584" t="str">
        <f>MID(Taostats_CSV!C584,6,2)&amp;"/"&amp;MID(Taostats_CSV!C584,9,2)&amp;"/"&amp;LEFT(Taostats_CSV!C584,4)&amp;" "&amp;MID(Taostats_CSV!C584,12,8)</f>
        <v>07/07/2025 23:59:48</v>
      </c>
      <c r="C584" t="str">
        <f ca="1">IF(Q584,OFFSET(Taostats_CSV!$E$1,MATCH(K584&amp;D$1,Taostats_CSV!$X:$X,0)-1,0),IF(Taostats_CSV!F584="fee",IF(VALUE(Taostats_CSV!G584)&gt;0,Taostats_CSV!E584,""),""))</f>
        <v/>
      </c>
      <c r="D584" t="str">
        <f ca="1">IF(Q584,OFFSET(Taostats_CSV!$G$1,MATCH(K584&amp;D$1,Taostats_CSV!$X:$X,0)-1,0),IF(Taostats_CSV!F584="fee",IF(VALUE(Taostats_CSV!G584)&gt;0,Taostats_CSV!G584,""),""))</f>
        <v/>
      </c>
      <c r="E584" t="str">
        <f ca="1">IF(AND(Q584,P584&gt;0),OFFSET(Taostats_CSV!$E$1,MATCH(K584&amp;F$1,Taostats_CSV!$X:$X,0)-1,0),IF(LEN(F584)&gt;0,Taostats_CSV!E584,""))</f>
        <v>SN3</v>
      </c>
      <c r="F584" t="str">
        <f ca="1">TRIM(IF(AND(Q584,P584&gt;0),OFFSET(Taostats_CSV!$H$1,MATCH(K584&amp;F$1,Taostats_CSV!$X:$X,0)-1,0),IF(LEN(Taostats_CSV!H584)&gt;0,Taostats_CSV!H584,Taostats_CSV!R584)))</f>
        <v>0.441117397</v>
      </c>
      <c r="G584" t="str">
        <f ca="1">IF(AND(Q584,N584=1),OFFSET(Taostats_CSV!$E$1,MATCH(K584&amp;H$1,Taostats_CSV!$X:$X,0)-1,0),"")</f>
        <v/>
      </c>
      <c r="H584" t="str">
        <f ca="1">IF(AND(Q584,N584=1),OFFSET(Taostats_CSV!$G$1,MATCH(K584&amp;H$1,Taostats_CSV!$X:$X,0)-1,0),"")</f>
        <v/>
      </c>
      <c r="I584" t="str">
        <f ca="1">IF(AND(LEN(K584)=0,LEN(F584)&gt;0),"Income",IF(AND(O584&gt;0,P584&gt;0,C584&lt;&gt;E584),"Trade",IF(AND(NOT(Q584),Taostats_CSV!F584="fee"),'READ ME'!$C$5,"")))</f>
        <v>Income</v>
      </c>
      <c r="J584" t="str">
        <f ca="1">SUBSTITUTE(IF(LEN(I584)=0,Taostats_CSV!F584&amp;" "&amp;Taostats_CSV!J584,IF(I584="Cost","Extrinsic fee","")),"_"," ")</f>
        <v/>
      </c>
      <c r="K584" t="str">
        <f>TRIM(IF(LEN(Taostats_CSV!I584)&gt;0,Taostats_CSV!I584,""))</f>
        <v/>
      </c>
      <c r="L584">
        <f ca="1">IF(Taostats_CSV!E584&lt;&gt;"TAO",IF(LEN(F584)&gt;0,F584,IF(LEN(D584)&gt;0,D584,0))*Taostats_CSV!P584,"")</f>
        <v>8.2528659331660137</v>
      </c>
      <c r="M584" t="str">
        <f t="shared" ca="1" si="69"/>
        <v>USD</v>
      </c>
      <c r="N584">
        <f>COUNTIF(Taostats_CSV!$X:$X,Taostats_CSV!$I584&amp;N$1)</f>
        <v>0</v>
      </c>
      <c r="O584">
        <f>COUNTIF(Taostats_CSV!$X:$X,Taostats_CSV!$I584&amp;O$1)</f>
        <v>0</v>
      </c>
      <c r="P584">
        <f>COUNTIF(Taostats_CSV!$X:$X,Taostats_CSV!$I584&amp;P$1)</f>
        <v>0</v>
      </c>
      <c r="Q584" t="b">
        <f t="shared" si="70"/>
        <v>0</v>
      </c>
      <c r="R584" t="b">
        <f>IF(LEN(K584)&gt;0,COUNTIF($K$3:K584,K584),FALSE)</f>
        <v>0</v>
      </c>
      <c r="S584" t="b">
        <f>IF(Taostats_CSV!A584=Taostats_CSV!$A$2,TRUE,Taostats_CSV!G584+Taostats_CSV!H584+Taostats_CSV!R584=0)</f>
        <v>0</v>
      </c>
      <c r="T584" t="b">
        <f t="shared" si="71"/>
        <v>1</v>
      </c>
      <c r="U584" t="b" cm="1">
        <f t="array" aca="1" ref="U584" ca="1">AND(T584,OR(O584-N584&gt;1,P584&gt;1,ISERROR(A584:P584)))</f>
        <v>0</v>
      </c>
      <c r="W584" t="e">
        <f>MATCH(K584&amp;$W$2,Taostats_CSV!$X$3:$X$1167,0)</f>
        <v>#N/A</v>
      </c>
      <c r="X584" t="e">
        <f t="shared" ca="1" si="66"/>
        <v>#VALUE!</v>
      </c>
      <c r="Y584">
        <f t="shared" ca="1" si="67"/>
        <v>0.44111739700000002</v>
      </c>
      <c r="Z584" t="e">
        <f t="shared" ca="1" si="68"/>
        <v>#VALUE!</v>
      </c>
    </row>
    <row r="585" spans="1:26" x14ac:dyDescent="0.4">
      <c r="A585" t="str">
        <f>MID(Taostats_CSV!C585,6,2)&amp;"/"&amp;MID(Taostats_CSV!C585,9,2)&amp;"/"&amp;LEFT(Taostats_CSV!C585,4)&amp;" "&amp;MID(Taostats_CSV!C585,12,8)</f>
        <v>07/07/2025 23:59:48</v>
      </c>
      <c r="C585" t="str">
        <f ca="1">IF(Q585,OFFSET(Taostats_CSV!$E$1,MATCH(K585&amp;D$1,Taostats_CSV!$X:$X,0)-1,0),IF(Taostats_CSV!F585="fee",IF(VALUE(Taostats_CSV!G585)&gt;0,Taostats_CSV!E585,""),""))</f>
        <v/>
      </c>
      <c r="D585" t="str">
        <f ca="1">IF(Q585,OFFSET(Taostats_CSV!$G$1,MATCH(K585&amp;D$1,Taostats_CSV!$X:$X,0)-1,0),IF(Taostats_CSV!F585="fee",IF(VALUE(Taostats_CSV!G585)&gt;0,Taostats_CSV!G585,""),""))</f>
        <v/>
      </c>
      <c r="E585" t="str">
        <f ca="1">IF(AND(Q585,P585&gt;0),OFFSET(Taostats_CSV!$E$1,MATCH(K585&amp;F$1,Taostats_CSV!$X:$X,0)-1,0),IF(LEN(F585)&gt;0,Taostats_CSV!E585,""))</f>
        <v>SN4</v>
      </c>
      <c r="F585" t="str">
        <f ca="1">TRIM(IF(AND(Q585,P585&gt;0),OFFSET(Taostats_CSV!$H$1,MATCH(K585&amp;F$1,Taostats_CSV!$X:$X,0)-1,0),IF(LEN(Taostats_CSV!H585)&gt;0,Taostats_CSV!H585,Taostats_CSV!R585)))</f>
        <v>0.47767094</v>
      </c>
      <c r="G585" t="str">
        <f ca="1">IF(AND(Q585,N585=1),OFFSET(Taostats_CSV!$E$1,MATCH(K585&amp;H$1,Taostats_CSV!$X:$X,0)-1,0),"")</f>
        <v/>
      </c>
      <c r="H585" t="str">
        <f ca="1">IF(AND(Q585,N585=1),OFFSET(Taostats_CSV!$G$1,MATCH(K585&amp;H$1,Taostats_CSV!$X:$X,0)-1,0),"")</f>
        <v/>
      </c>
      <c r="I585" t="str">
        <f ca="1">IF(AND(LEN(K585)=0,LEN(F585)&gt;0),"Income",IF(AND(O585&gt;0,P585&gt;0,C585&lt;&gt;E585),"Trade",IF(AND(NOT(Q585),Taostats_CSV!F585="fee"),'READ ME'!$C$5,"")))</f>
        <v>Income</v>
      </c>
      <c r="J585" t="str">
        <f ca="1">SUBSTITUTE(IF(LEN(I585)=0,Taostats_CSV!F585&amp;" "&amp;Taostats_CSV!J585,IF(I585="Cost","Extrinsic fee","")),"_"," ")</f>
        <v/>
      </c>
      <c r="K585" t="str">
        <f>TRIM(IF(LEN(Taostats_CSV!I585)&gt;0,Taostats_CSV!I585,""))</f>
        <v/>
      </c>
      <c r="L585">
        <f ca="1">IF(Taostats_CSV!E585&lt;&gt;"TAO",IF(LEN(F585)&gt;0,F585,IF(LEN(D585)&gt;0,D585,0))*Taostats_CSV!P585,"")</f>
        <v>9.9434384030749996</v>
      </c>
      <c r="M585" t="str">
        <f t="shared" ca="1" si="69"/>
        <v>USD</v>
      </c>
      <c r="N585">
        <f>COUNTIF(Taostats_CSV!$X:$X,Taostats_CSV!$I585&amp;N$1)</f>
        <v>0</v>
      </c>
      <c r="O585">
        <f>COUNTIF(Taostats_CSV!$X:$X,Taostats_CSV!$I585&amp;O$1)</f>
        <v>0</v>
      </c>
      <c r="P585">
        <f>COUNTIF(Taostats_CSV!$X:$X,Taostats_CSV!$I585&amp;P$1)</f>
        <v>0</v>
      </c>
      <c r="Q585" t="b">
        <f t="shared" si="70"/>
        <v>0</v>
      </c>
      <c r="R585" t="b">
        <f>IF(LEN(K585)&gt;0,COUNTIF($K$3:K585,K585),FALSE)</f>
        <v>0</v>
      </c>
      <c r="S585" t="b">
        <f>IF(Taostats_CSV!A585=Taostats_CSV!$A$2,TRUE,Taostats_CSV!G585+Taostats_CSV!H585+Taostats_CSV!R585=0)</f>
        <v>0</v>
      </c>
      <c r="T585" t="b">
        <f t="shared" si="71"/>
        <v>1</v>
      </c>
      <c r="U585" t="b" cm="1">
        <f t="array" aca="1" ref="U585" ca="1">AND(T585,OR(O585-N585&gt;1,P585&gt;1,ISERROR(A585:P585)))</f>
        <v>0</v>
      </c>
      <c r="W585" t="e">
        <f>MATCH(K585&amp;$W$2,Taostats_CSV!$X$3:$X$1167,0)</f>
        <v>#N/A</v>
      </c>
      <c r="X585" t="e">
        <f t="shared" ca="1" si="66"/>
        <v>#VALUE!</v>
      </c>
      <c r="Y585">
        <f t="shared" ca="1" si="67"/>
        <v>0.47767093999999999</v>
      </c>
      <c r="Z585" t="e">
        <f t="shared" ca="1" si="68"/>
        <v>#VALUE!</v>
      </c>
    </row>
    <row r="586" spans="1:26" x14ac:dyDescent="0.4">
      <c r="A586" t="str">
        <f>MID(Taostats_CSV!C586,6,2)&amp;"/"&amp;MID(Taostats_CSV!C586,9,2)&amp;"/"&amp;LEFT(Taostats_CSV!C586,4)&amp;" "&amp;MID(Taostats_CSV!C586,12,8)</f>
        <v>07/07/2025 23:59:48</v>
      </c>
      <c r="C586" t="str">
        <f ca="1">IF(Q586,OFFSET(Taostats_CSV!$E$1,MATCH(K586&amp;D$1,Taostats_CSV!$X:$X,0)-1,0),IF(Taostats_CSV!F586="fee",IF(VALUE(Taostats_CSV!G586)&gt;0,Taostats_CSV!E586,""),""))</f>
        <v/>
      </c>
      <c r="D586" t="str">
        <f ca="1">IF(Q586,OFFSET(Taostats_CSV!$G$1,MATCH(K586&amp;D$1,Taostats_CSV!$X:$X,0)-1,0),IF(Taostats_CSV!F586="fee",IF(VALUE(Taostats_CSV!G586)&gt;0,Taostats_CSV!G586,""),""))</f>
        <v/>
      </c>
      <c r="E586" t="str">
        <f ca="1">IF(AND(Q586,P586&gt;0),OFFSET(Taostats_CSV!$E$1,MATCH(K586&amp;F$1,Taostats_CSV!$X:$X,0)-1,0),IF(LEN(F586)&gt;0,Taostats_CSV!E586,""))</f>
        <v>SN56</v>
      </c>
      <c r="F586" t="str">
        <f ca="1">TRIM(IF(AND(Q586,P586&gt;0),OFFSET(Taostats_CSV!$H$1,MATCH(K586&amp;F$1,Taostats_CSV!$X:$X,0)-1,0),IF(LEN(Taostats_CSV!H586)&gt;0,Taostats_CSV!H586,Taostats_CSV!R586)))</f>
        <v>0.280968</v>
      </c>
      <c r="G586" t="str">
        <f ca="1">IF(AND(Q586,N586=1),OFFSET(Taostats_CSV!$E$1,MATCH(K586&amp;H$1,Taostats_CSV!$X:$X,0)-1,0),"")</f>
        <v/>
      </c>
      <c r="H586" t="str">
        <f ca="1">IF(AND(Q586,N586=1),OFFSET(Taostats_CSV!$G$1,MATCH(K586&amp;H$1,Taostats_CSV!$X:$X,0)-1,0),"")</f>
        <v/>
      </c>
      <c r="I586" t="str">
        <f ca="1">IF(AND(LEN(K586)=0,LEN(F586)&gt;0),"Income",IF(AND(O586&gt;0,P586&gt;0,C586&lt;&gt;E586),"Trade",IF(AND(NOT(Q586),Taostats_CSV!F586="fee"),'READ ME'!$C$5,"")))</f>
        <v>Income</v>
      </c>
      <c r="J586" t="str">
        <f ca="1">SUBSTITUTE(IF(LEN(I586)=0,Taostats_CSV!F586&amp;" "&amp;Taostats_CSV!J586,IF(I586="Cost","Extrinsic fee","")),"_"," ")</f>
        <v/>
      </c>
      <c r="K586" t="str">
        <f>TRIM(IF(LEN(Taostats_CSV!I586)&gt;0,Taostats_CSV!I586,""))</f>
        <v/>
      </c>
      <c r="L586">
        <f ca="1">IF(Taostats_CSV!E586&lt;&gt;"TAO",IF(LEN(F586)&gt;0,F586,IF(LEN(D586)&gt;0,D586,0))*Taostats_CSV!P586,"")</f>
        <v>4.2730195873222492</v>
      </c>
      <c r="M586" t="str">
        <f t="shared" ca="1" si="69"/>
        <v>USD</v>
      </c>
      <c r="N586">
        <f>COUNTIF(Taostats_CSV!$X:$X,Taostats_CSV!$I586&amp;N$1)</f>
        <v>0</v>
      </c>
      <c r="O586">
        <f>COUNTIF(Taostats_CSV!$X:$X,Taostats_CSV!$I586&amp;O$1)</f>
        <v>0</v>
      </c>
      <c r="P586">
        <f>COUNTIF(Taostats_CSV!$X:$X,Taostats_CSV!$I586&amp;P$1)</f>
        <v>0</v>
      </c>
      <c r="Q586" t="b">
        <f t="shared" si="70"/>
        <v>0</v>
      </c>
      <c r="R586" t="b">
        <f>IF(LEN(K586)&gt;0,COUNTIF($K$3:K586,K586),FALSE)</f>
        <v>0</v>
      </c>
      <c r="S586" t="b">
        <f>IF(Taostats_CSV!A586=Taostats_CSV!$A$2,TRUE,Taostats_CSV!G586+Taostats_CSV!H586+Taostats_CSV!R586=0)</f>
        <v>0</v>
      </c>
      <c r="T586" t="b">
        <f t="shared" si="71"/>
        <v>1</v>
      </c>
      <c r="U586" t="b" cm="1">
        <f t="array" aca="1" ref="U586" ca="1">AND(T586,OR(O586-N586&gt;1,P586&gt;1,ISERROR(A586:P586)))</f>
        <v>0</v>
      </c>
      <c r="W586" t="e">
        <f>MATCH(K586&amp;$W$2,Taostats_CSV!$X$3:$X$1167,0)</f>
        <v>#N/A</v>
      </c>
      <c r="X586" t="e">
        <f t="shared" ca="1" si="66"/>
        <v>#VALUE!</v>
      </c>
      <c r="Y586">
        <f t="shared" ca="1" si="67"/>
        <v>0.280968</v>
      </c>
      <c r="Z586" t="e">
        <f t="shared" ca="1" si="68"/>
        <v>#VALUE!</v>
      </c>
    </row>
    <row r="587" spans="1:26" x14ac:dyDescent="0.4">
      <c r="A587" t="str">
        <f>MID(Taostats_CSV!C587,6,2)&amp;"/"&amp;MID(Taostats_CSV!C587,9,2)&amp;"/"&amp;LEFT(Taostats_CSV!C587,4)&amp;" "&amp;MID(Taostats_CSV!C587,12,8)</f>
        <v>07/07/2025 23:59:48</v>
      </c>
      <c r="C587" t="str">
        <f ca="1">IF(Q587,OFFSET(Taostats_CSV!$E$1,MATCH(K587&amp;D$1,Taostats_CSV!$X:$X,0)-1,0),IF(Taostats_CSV!F587="fee",IF(VALUE(Taostats_CSV!G587)&gt;0,Taostats_CSV!E587,""),""))</f>
        <v/>
      </c>
      <c r="D587" t="str">
        <f ca="1">IF(Q587,OFFSET(Taostats_CSV!$G$1,MATCH(K587&amp;D$1,Taostats_CSV!$X:$X,0)-1,0),IF(Taostats_CSV!F587="fee",IF(VALUE(Taostats_CSV!G587)&gt;0,Taostats_CSV!G587,""),""))</f>
        <v/>
      </c>
      <c r="E587" t="str">
        <f ca="1">IF(AND(Q587,P587&gt;0),OFFSET(Taostats_CSV!$E$1,MATCH(K587&amp;F$1,Taostats_CSV!$X:$X,0)-1,0),IF(LEN(F587)&gt;0,Taostats_CSV!E587,""))</f>
        <v>SN64</v>
      </c>
      <c r="F587" t="str">
        <f ca="1">TRIM(IF(AND(Q587,P587&gt;0),OFFSET(Taostats_CSV!$H$1,MATCH(K587&amp;F$1,Taostats_CSV!$X:$X,0)-1,0),IF(LEN(Taostats_CSV!H587)&gt;0,Taostats_CSV!H587,Taostats_CSV!R587)))</f>
        <v>0.149835907</v>
      </c>
      <c r="G587" t="str">
        <f ca="1">IF(AND(Q587,N587=1),OFFSET(Taostats_CSV!$E$1,MATCH(K587&amp;H$1,Taostats_CSV!$X:$X,0)-1,0),"")</f>
        <v/>
      </c>
      <c r="H587" t="str">
        <f ca="1">IF(AND(Q587,N587=1),OFFSET(Taostats_CSV!$G$1,MATCH(K587&amp;H$1,Taostats_CSV!$X:$X,0)-1,0),"")</f>
        <v/>
      </c>
      <c r="I587" t="str">
        <f ca="1">IF(AND(LEN(K587)=0,LEN(F587)&gt;0),"Income",IF(AND(O587&gt;0,P587&gt;0,C587&lt;&gt;E587),"Trade",IF(AND(NOT(Q587),Taostats_CSV!F587="fee"),'READ ME'!$C$5,"")))</f>
        <v>Income</v>
      </c>
      <c r="J587" t="str">
        <f ca="1">SUBSTITUTE(IF(LEN(I587)=0,Taostats_CSV!F587&amp;" "&amp;Taostats_CSV!J587,IF(I587="Cost","Extrinsic fee","")),"_"," ")</f>
        <v/>
      </c>
      <c r="K587" t="str">
        <f>TRIM(IF(LEN(Taostats_CSV!I587)&gt;0,Taostats_CSV!I587,""))</f>
        <v/>
      </c>
      <c r="L587">
        <f ca="1">IF(Taostats_CSV!E587&lt;&gt;"TAO",IF(LEN(F587)&gt;0,F587,IF(LEN(D587)&gt;0,D587,0))*Taostats_CSV!P587,"")</f>
        <v>6.8813304538060205</v>
      </c>
      <c r="M587" t="str">
        <f t="shared" ca="1" si="69"/>
        <v>USD</v>
      </c>
      <c r="N587">
        <f>COUNTIF(Taostats_CSV!$X:$X,Taostats_CSV!$I587&amp;N$1)</f>
        <v>0</v>
      </c>
      <c r="O587">
        <f>COUNTIF(Taostats_CSV!$X:$X,Taostats_CSV!$I587&amp;O$1)</f>
        <v>0</v>
      </c>
      <c r="P587">
        <f>COUNTIF(Taostats_CSV!$X:$X,Taostats_CSV!$I587&amp;P$1)</f>
        <v>0</v>
      </c>
      <c r="Q587" t="b">
        <f t="shared" si="70"/>
        <v>0</v>
      </c>
      <c r="R587" t="b">
        <f>IF(LEN(K587)&gt;0,COUNTIF($K$3:K587,K587),FALSE)</f>
        <v>0</v>
      </c>
      <c r="S587" t="b">
        <f>IF(Taostats_CSV!A587=Taostats_CSV!$A$2,TRUE,Taostats_CSV!G587+Taostats_CSV!H587+Taostats_CSV!R587=0)</f>
        <v>0</v>
      </c>
      <c r="T587" t="b">
        <f t="shared" si="71"/>
        <v>1</v>
      </c>
      <c r="U587" t="b" cm="1">
        <f t="array" aca="1" ref="U587" ca="1">AND(T587,OR(O587-N587&gt;1,P587&gt;1,ISERROR(A587:P587)))</f>
        <v>0</v>
      </c>
      <c r="W587" t="e">
        <f>MATCH(K587&amp;$W$2,Taostats_CSV!$X$3:$X$1167,0)</f>
        <v>#N/A</v>
      </c>
      <c r="X587" t="e">
        <f t="shared" ca="1" si="66"/>
        <v>#VALUE!</v>
      </c>
      <c r="Y587">
        <f t="shared" ca="1" si="67"/>
        <v>0.14983590699999999</v>
      </c>
      <c r="Z587" t="e">
        <f t="shared" ca="1" si="68"/>
        <v>#VALUE!</v>
      </c>
    </row>
    <row r="588" spans="1:26" hidden="1" x14ac:dyDescent="0.4">
      <c r="A588" t="str">
        <f>MID(Taostats_CSV!C588,6,2)&amp;"/"&amp;MID(Taostats_CSV!C588,9,2)&amp;"/"&amp;LEFT(Taostats_CSV!C588,4)&amp;" "&amp;MID(Taostats_CSV!C588,12,8)</f>
        <v>07/07/2025 23:59:48</v>
      </c>
      <c r="C588" t="str">
        <f ca="1">IF(Q588,OFFSET(Taostats_CSV!$E$1,MATCH(K588&amp;D$1,Taostats_CSV!$X:$X,0)-1,0),IF(Taostats_CSV!F588="fee","",IF(VALUE(Taostats_CSV!G588)&gt;0,Taostats_CSV!E588,"")))</f>
        <v/>
      </c>
      <c r="D588" t="str">
        <f ca="1">IF(Q588,OFFSET(Taostats_CSV!$G$1,MATCH(K588&amp;D$1,Taostats_CSV!$X:$X,0)-1,0),IF(Taostats_CSV!F588="fee","",IF(VALUE(Taostats_CSV!G588)&gt;0,Taostats_CSV!G588,"")))</f>
        <v/>
      </c>
      <c r="E588" t="str">
        <f ca="1">IF(AND(Q588,P588&gt;0),OFFSET(Taostats_CSV!$E$1,MATCH(K588&amp;F$1,Taostats_CSV!$X:$X,0)-1,0),IF(LEN(F588)&gt;0,Taostats_CSV!E588,""))</f>
        <v>TAO</v>
      </c>
      <c r="F588" t="str">
        <f ca="1">TRIM(IF(AND(Q588,P588&gt;0),OFFSET(Taostats_CSV!$H$1,MATCH(K588&amp;F$1,Taostats_CSV!$X:$X,0)-1,0),IF(LEN(Taostats_CSV!H588)&gt;0,Taostats_CSV!H588,Taostats_CSV!R588)))</f>
        <v>0</v>
      </c>
      <c r="G588" t="str">
        <f ca="1">IF(AND(Q588,N588=1),OFFSET(Taostats_CSV!$E$1,MATCH(K588&amp;H$1,Taostats_CSV!$X:$X,0)-1,0),IF(Taostats_CSV!F588="fee",Taostats_CSV!E588,""))</f>
        <v/>
      </c>
      <c r="H588" t="str">
        <f ca="1">IF(AND(Q588,N588=1),OFFSET(Taostats_CSV!$G$1,MATCH(K588&amp;H$1,Taostats_CSV!$X:$X,0)-1,0),IF(Taostats_CSV!F588="fee",Taostats_CSV!G588,""))</f>
        <v/>
      </c>
      <c r="I588" t="str">
        <f ca="1">IF(AND(LEN(K588)=0,LEN(F588)&gt;0),"Income",IF(AND(O588&gt;0,P588&gt;0,C588&lt;&gt;E588),"Trade",IF(AND(NOT(Q588),Taostats_CSV!F588="fee"),'READ ME'!$C$5,"")))</f>
        <v>Income</v>
      </c>
      <c r="J588" t="str">
        <f ca="1">SUBSTITUTE(IF(LEN(I588)=0,Taostats_CSV!F588&amp;" "&amp;Taostats_CSV!J588,IF(I588="Cost","Extrinsic fee","")),"_"," ")</f>
        <v/>
      </c>
      <c r="K588" t="str">
        <f>TRIM(IF(LEN(Taostats_CSV!I588)&gt;0,Taostats_CSV!I588,""))</f>
        <v/>
      </c>
      <c r="L588" t="str">
        <f>IF(Taostats_CSV!E588&lt;&gt;"TAO",IF(LEN(F588)&gt;0,F588,IF(LEN(D588)&gt;0,D588,0))*Taostats_CSV!P588,"")</f>
        <v/>
      </c>
      <c r="M588" t="str">
        <f t="shared" si="69"/>
        <v/>
      </c>
      <c r="N588">
        <f>COUNTIF(Taostats_CSV!$X:$X,Taostats_CSV!$I588&amp;N$1)</f>
        <v>0</v>
      </c>
      <c r="O588">
        <f>COUNTIF(Taostats_CSV!$X:$X,Taostats_CSV!$I588&amp;O$1)</f>
        <v>0</v>
      </c>
      <c r="P588">
        <f>COUNTIF(Taostats_CSV!$X:$X,Taostats_CSV!$I588&amp;P$1)</f>
        <v>0</v>
      </c>
      <c r="Q588" t="b">
        <f t="shared" si="70"/>
        <v>0</v>
      </c>
      <c r="R588" t="b">
        <f>IF(LEN(K588)&gt;0,COUNTIF($K$3:K588,K588),FALSE)</f>
        <v>0</v>
      </c>
      <c r="S588" t="b">
        <f>IF(Taostats_CSV!A588=Taostats_CSV!$A$2,TRUE,Taostats_CSV!G588+Taostats_CSV!H588+Taostats_CSV!R588=0)</f>
        <v>1</v>
      </c>
      <c r="T588" t="b">
        <f t="shared" si="71"/>
        <v>0</v>
      </c>
      <c r="U588" t="b" cm="1">
        <f t="array" aca="1" ref="U588" ca="1">AND(T588,OR(O588-N588&gt;1,P588&gt;1,ISERROR(A588:P588)))</f>
        <v>0</v>
      </c>
      <c r="W588" t="e">
        <f>MATCH(K588&amp;$W$2,Taostats_CSV!$X$3:$X$1167,0)</f>
        <v>#N/A</v>
      </c>
      <c r="X588" t="e">
        <f t="shared" ca="1" si="66"/>
        <v>#VALUE!</v>
      </c>
      <c r="Y588">
        <f t="shared" ca="1" si="67"/>
        <v>0</v>
      </c>
      <c r="Z588" t="e">
        <f t="shared" ca="1" si="68"/>
        <v>#VALUE!</v>
      </c>
    </row>
    <row r="589" spans="1:26" x14ac:dyDescent="0.4">
      <c r="A589" t="str">
        <f>MID(Taostats_CSV!C589,6,2)&amp;"/"&amp;MID(Taostats_CSV!C589,9,2)&amp;"/"&amp;LEFT(Taostats_CSV!C589,4)&amp;" "&amp;MID(Taostats_CSV!C589,12,8)</f>
        <v>07/08/2025 23:59:48</v>
      </c>
      <c r="C589" t="str">
        <f ca="1">IF(Q589,OFFSET(Taostats_CSV!$E$1,MATCH(K589&amp;D$1,Taostats_CSV!$X:$X,0)-1,0),IF(Taostats_CSV!F589="fee",IF(VALUE(Taostats_CSV!G589)&gt;0,Taostats_CSV!E589,""),""))</f>
        <v/>
      </c>
      <c r="D589" t="str">
        <f ca="1">IF(Q589,OFFSET(Taostats_CSV!$G$1,MATCH(K589&amp;D$1,Taostats_CSV!$X:$X,0)-1,0),IF(Taostats_CSV!F589="fee",IF(VALUE(Taostats_CSV!G589)&gt;0,Taostats_CSV!G589,""),""))</f>
        <v/>
      </c>
      <c r="E589" t="str">
        <f ca="1">IF(AND(Q589,P589&gt;0),OFFSET(Taostats_CSV!$E$1,MATCH(K589&amp;F$1,Taostats_CSV!$X:$X,0)-1,0),IF(LEN(F589)&gt;0,Taostats_CSV!E589,""))</f>
        <v>SN3</v>
      </c>
      <c r="F589" t="str">
        <f ca="1">TRIM(IF(AND(Q589,P589&gt;0),OFFSET(Taostats_CSV!$H$1,MATCH(K589&amp;F$1,Taostats_CSV!$X:$X,0)-1,0),IF(LEN(Taostats_CSV!H589)&gt;0,Taostats_CSV!H589,Taostats_CSV!R589)))</f>
        <v>0.409804408</v>
      </c>
      <c r="G589" t="str">
        <f ca="1">IF(AND(Q589,N589=1),OFFSET(Taostats_CSV!$E$1,MATCH(K589&amp;H$1,Taostats_CSV!$X:$X,0)-1,0),"")</f>
        <v/>
      </c>
      <c r="H589" t="str">
        <f ca="1">IF(AND(Q589,N589=1),OFFSET(Taostats_CSV!$G$1,MATCH(K589&amp;H$1,Taostats_CSV!$X:$X,0)-1,0),"")</f>
        <v/>
      </c>
      <c r="I589" t="str">
        <f ca="1">IF(AND(LEN(K589)=0,LEN(F589)&gt;0),"Income",IF(AND(O589&gt;0,P589&gt;0,C589&lt;&gt;E589),"Trade",IF(AND(NOT(Q589),Taostats_CSV!F589="fee"),'READ ME'!$C$5,"")))</f>
        <v>Income</v>
      </c>
      <c r="J589" t="str">
        <f ca="1">SUBSTITUTE(IF(LEN(I589)=0,Taostats_CSV!F589&amp;" "&amp;Taostats_CSV!J589,IF(I589="Cost","Extrinsic fee","")),"_"," ")</f>
        <v/>
      </c>
      <c r="K589" t="str">
        <f>TRIM(IF(LEN(Taostats_CSV!I589)&gt;0,Taostats_CSV!I589,""))</f>
        <v/>
      </c>
      <c r="L589">
        <f ca="1">IF(Taostats_CSV!E589&lt;&gt;"TAO",IF(LEN(F589)&gt;0,F589,IF(LEN(D589)&gt;0,D589,0))*Taostats_CSV!P589,"")</f>
        <v>7.891257588625983</v>
      </c>
      <c r="M589" t="str">
        <f t="shared" ca="1" si="69"/>
        <v>USD</v>
      </c>
      <c r="N589">
        <f>COUNTIF(Taostats_CSV!$X:$X,Taostats_CSV!$I589&amp;N$1)</f>
        <v>0</v>
      </c>
      <c r="O589">
        <f>COUNTIF(Taostats_CSV!$X:$X,Taostats_CSV!$I589&amp;O$1)</f>
        <v>0</v>
      </c>
      <c r="P589">
        <f>COUNTIF(Taostats_CSV!$X:$X,Taostats_CSV!$I589&amp;P$1)</f>
        <v>0</v>
      </c>
      <c r="Q589" t="b">
        <f t="shared" si="70"/>
        <v>0</v>
      </c>
      <c r="R589" t="b">
        <f>IF(LEN(K589)&gt;0,COUNTIF($K$3:K589,K589),FALSE)</f>
        <v>0</v>
      </c>
      <c r="S589" t="b">
        <f>IF(Taostats_CSV!A589=Taostats_CSV!$A$2,TRUE,Taostats_CSV!G589+Taostats_CSV!H589+Taostats_CSV!R589=0)</f>
        <v>0</v>
      </c>
      <c r="T589" t="b">
        <f t="shared" si="71"/>
        <v>1</v>
      </c>
      <c r="U589" t="b" cm="1">
        <f t="array" aca="1" ref="U589" ca="1">AND(T589,OR(O589-N589&gt;1,P589&gt;1,ISERROR(A589:P589)))</f>
        <v>0</v>
      </c>
      <c r="W589" t="e">
        <f>MATCH(K589&amp;$W$2,Taostats_CSV!$X$3:$X$1167,0)</f>
        <v>#N/A</v>
      </c>
      <c r="X589" t="e">
        <f t="shared" ca="1" si="66"/>
        <v>#VALUE!</v>
      </c>
      <c r="Y589">
        <f t="shared" ca="1" si="67"/>
        <v>0.40980440800000001</v>
      </c>
      <c r="Z589" t="e">
        <f t="shared" ca="1" si="68"/>
        <v>#VALUE!</v>
      </c>
    </row>
    <row r="590" spans="1:26" x14ac:dyDescent="0.4">
      <c r="A590" t="str">
        <f>MID(Taostats_CSV!C590,6,2)&amp;"/"&amp;MID(Taostats_CSV!C590,9,2)&amp;"/"&amp;LEFT(Taostats_CSV!C590,4)&amp;" "&amp;MID(Taostats_CSV!C590,12,8)</f>
        <v>07/08/2025 23:59:48</v>
      </c>
      <c r="C590" t="str">
        <f ca="1">IF(Q590,OFFSET(Taostats_CSV!$E$1,MATCH(K590&amp;D$1,Taostats_CSV!$X:$X,0)-1,0),IF(Taostats_CSV!F590="fee",IF(VALUE(Taostats_CSV!G590)&gt;0,Taostats_CSV!E590,""),""))</f>
        <v/>
      </c>
      <c r="D590" t="str">
        <f ca="1">IF(Q590,OFFSET(Taostats_CSV!$G$1,MATCH(K590&amp;D$1,Taostats_CSV!$X:$X,0)-1,0),IF(Taostats_CSV!F590="fee",IF(VALUE(Taostats_CSV!G590)&gt;0,Taostats_CSV!G590,""),""))</f>
        <v/>
      </c>
      <c r="E590" t="str">
        <f ca="1">IF(AND(Q590,P590&gt;0),OFFSET(Taostats_CSV!$E$1,MATCH(K590&amp;F$1,Taostats_CSV!$X:$X,0)-1,0),IF(LEN(F590)&gt;0,Taostats_CSV!E590,""))</f>
        <v>SN4</v>
      </c>
      <c r="F590" t="str">
        <f ca="1">TRIM(IF(AND(Q590,P590&gt;0),OFFSET(Taostats_CSV!$H$1,MATCH(K590&amp;F$1,Taostats_CSV!$X:$X,0)-1,0),IF(LEN(Taostats_CSV!H590)&gt;0,Taostats_CSV!H590,Taostats_CSV!R590)))</f>
        <v>0.51441604</v>
      </c>
      <c r="G590" t="str">
        <f ca="1">IF(AND(Q590,N590=1),OFFSET(Taostats_CSV!$E$1,MATCH(K590&amp;H$1,Taostats_CSV!$X:$X,0)-1,0),"")</f>
        <v/>
      </c>
      <c r="H590" t="str">
        <f ca="1">IF(AND(Q590,N590=1),OFFSET(Taostats_CSV!$G$1,MATCH(K590&amp;H$1,Taostats_CSV!$X:$X,0)-1,0),"")</f>
        <v/>
      </c>
      <c r="I590" t="str">
        <f ca="1">IF(AND(LEN(K590)=0,LEN(F590)&gt;0),"Income",IF(AND(O590&gt;0,P590&gt;0,C590&lt;&gt;E590),"Trade",IF(AND(NOT(Q590),Taostats_CSV!F590="fee"),'READ ME'!$C$5,"")))</f>
        <v>Income</v>
      </c>
      <c r="J590" t="str">
        <f ca="1">SUBSTITUTE(IF(LEN(I590)=0,Taostats_CSV!F590&amp;" "&amp;Taostats_CSV!J590,IF(I590="Cost","Extrinsic fee","")),"_"," ")</f>
        <v/>
      </c>
      <c r="K590" t="str">
        <f>TRIM(IF(LEN(Taostats_CSV!I590)&gt;0,Taostats_CSV!I590,""))</f>
        <v/>
      </c>
      <c r="L590">
        <f ca="1">IF(Taostats_CSV!E590&lt;&gt;"TAO",IF(LEN(F590)&gt;0,F590,IF(LEN(D590)&gt;0,D590,0))*Taostats_CSV!P590,"")</f>
        <v>10.599624647713696</v>
      </c>
      <c r="M590" t="str">
        <f t="shared" ca="1" si="69"/>
        <v>USD</v>
      </c>
      <c r="N590">
        <f>COUNTIF(Taostats_CSV!$X:$X,Taostats_CSV!$I590&amp;N$1)</f>
        <v>0</v>
      </c>
      <c r="O590">
        <f>COUNTIF(Taostats_CSV!$X:$X,Taostats_CSV!$I590&amp;O$1)</f>
        <v>0</v>
      </c>
      <c r="P590">
        <f>COUNTIF(Taostats_CSV!$X:$X,Taostats_CSV!$I590&amp;P$1)</f>
        <v>0</v>
      </c>
      <c r="Q590" t="b">
        <f t="shared" si="70"/>
        <v>0</v>
      </c>
      <c r="R590" t="b">
        <f>IF(LEN(K590)&gt;0,COUNTIF($K$3:K590,K590),FALSE)</f>
        <v>0</v>
      </c>
      <c r="S590" t="b">
        <f>IF(Taostats_CSV!A590=Taostats_CSV!$A$2,TRUE,Taostats_CSV!G590+Taostats_CSV!H590+Taostats_CSV!R590=0)</f>
        <v>0</v>
      </c>
      <c r="T590" t="b">
        <f t="shared" si="71"/>
        <v>1</v>
      </c>
      <c r="U590" t="b" cm="1">
        <f t="array" aca="1" ref="U590" ca="1">AND(T590,OR(O590-N590&gt;1,P590&gt;1,ISERROR(A590:P590)))</f>
        <v>0</v>
      </c>
      <c r="W590" t="e">
        <f>MATCH(K590&amp;$W$2,Taostats_CSV!$X$3:$X$1167,0)</f>
        <v>#N/A</v>
      </c>
      <c r="X590" t="e">
        <f t="shared" ca="1" si="66"/>
        <v>#VALUE!</v>
      </c>
      <c r="Y590">
        <f t="shared" ca="1" si="67"/>
        <v>0.51441603999999996</v>
      </c>
      <c r="Z590" t="e">
        <f t="shared" ca="1" si="68"/>
        <v>#VALUE!</v>
      </c>
    </row>
    <row r="591" spans="1:26" x14ac:dyDescent="0.4">
      <c r="A591" t="str">
        <f>MID(Taostats_CSV!C591,6,2)&amp;"/"&amp;MID(Taostats_CSV!C591,9,2)&amp;"/"&amp;LEFT(Taostats_CSV!C591,4)&amp;" "&amp;MID(Taostats_CSV!C591,12,8)</f>
        <v>07/08/2025 23:59:48</v>
      </c>
      <c r="C591" t="str">
        <f ca="1">IF(Q591,OFFSET(Taostats_CSV!$E$1,MATCH(K591&amp;D$1,Taostats_CSV!$X:$X,0)-1,0),IF(Taostats_CSV!F591="fee",IF(VALUE(Taostats_CSV!G591)&gt;0,Taostats_CSV!E591,""),""))</f>
        <v/>
      </c>
      <c r="D591" t="str">
        <f ca="1">IF(Q591,OFFSET(Taostats_CSV!$G$1,MATCH(K591&amp;D$1,Taostats_CSV!$X:$X,0)-1,0),IF(Taostats_CSV!F591="fee",IF(VALUE(Taostats_CSV!G591)&gt;0,Taostats_CSV!G591,""),""))</f>
        <v/>
      </c>
      <c r="E591" t="str">
        <f ca="1">IF(AND(Q591,P591&gt;0),OFFSET(Taostats_CSV!$E$1,MATCH(K591&amp;F$1,Taostats_CSV!$X:$X,0)-1,0),IF(LEN(F591)&gt;0,Taostats_CSV!E591,""))</f>
        <v>SN56</v>
      </c>
      <c r="F591" t="str">
        <f ca="1">TRIM(IF(AND(Q591,P591&gt;0),OFFSET(Taostats_CSV!$H$1,MATCH(K591&amp;F$1,Taostats_CSV!$X:$X,0)-1,0),IF(LEN(Taostats_CSV!H591)&gt;0,Taostats_CSV!H591,Taostats_CSV!R591)))</f>
        <v>0.266872821</v>
      </c>
      <c r="G591" t="str">
        <f ca="1">IF(AND(Q591,N591=1),OFFSET(Taostats_CSV!$E$1,MATCH(K591&amp;H$1,Taostats_CSV!$X:$X,0)-1,0),"")</f>
        <v/>
      </c>
      <c r="H591" t="str">
        <f ca="1">IF(AND(Q591,N591=1),OFFSET(Taostats_CSV!$G$1,MATCH(K591&amp;H$1,Taostats_CSV!$X:$X,0)-1,0),"")</f>
        <v/>
      </c>
      <c r="I591" t="str">
        <f ca="1">IF(AND(LEN(K591)=0,LEN(F591)&gt;0),"Income",IF(AND(O591&gt;0,P591&gt;0,C591&lt;&gt;E591),"Trade",IF(AND(NOT(Q591),Taostats_CSV!F591="fee"),'READ ME'!$C$5,"")))</f>
        <v>Income</v>
      </c>
      <c r="J591" t="str">
        <f ca="1">SUBSTITUTE(IF(LEN(I591)=0,Taostats_CSV!F591&amp;" "&amp;Taostats_CSV!J591,IF(I591="Cost","Extrinsic fee","")),"_"," ")</f>
        <v/>
      </c>
      <c r="K591" t="str">
        <f>TRIM(IF(LEN(Taostats_CSV!I591)&gt;0,Taostats_CSV!I591,""))</f>
        <v/>
      </c>
      <c r="L591">
        <f ca="1">IF(Taostats_CSV!E591&lt;&gt;"TAO",IF(LEN(F591)&gt;0,F591,IF(LEN(D591)&gt;0,D591,0))*Taostats_CSV!P591,"")</f>
        <v>4.5710039141054217</v>
      </c>
      <c r="M591" t="str">
        <f t="shared" ca="1" si="69"/>
        <v>USD</v>
      </c>
      <c r="N591">
        <f>COUNTIF(Taostats_CSV!$X:$X,Taostats_CSV!$I591&amp;N$1)</f>
        <v>0</v>
      </c>
      <c r="O591">
        <f>COUNTIF(Taostats_CSV!$X:$X,Taostats_CSV!$I591&amp;O$1)</f>
        <v>0</v>
      </c>
      <c r="P591">
        <f>COUNTIF(Taostats_CSV!$X:$X,Taostats_CSV!$I591&amp;P$1)</f>
        <v>0</v>
      </c>
      <c r="Q591" t="b">
        <f t="shared" si="70"/>
        <v>0</v>
      </c>
      <c r="R591" t="b">
        <f>IF(LEN(K591)&gt;0,COUNTIF($K$3:K591,K591),FALSE)</f>
        <v>0</v>
      </c>
      <c r="S591" t="b">
        <f>IF(Taostats_CSV!A591=Taostats_CSV!$A$2,TRUE,Taostats_CSV!G591+Taostats_CSV!H591+Taostats_CSV!R591=0)</f>
        <v>0</v>
      </c>
      <c r="T591" t="b">
        <f t="shared" si="71"/>
        <v>1</v>
      </c>
      <c r="U591" t="b" cm="1">
        <f t="array" aca="1" ref="U591" ca="1">AND(T591,OR(O591-N591&gt;1,P591&gt;1,ISERROR(A591:P591)))</f>
        <v>0</v>
      </c>
      <c r="W591" t="e">
        <f>MATCH(K591&amp;$W$2,Taostats_CSV!$X$3:$X$1167,0)</f>
        <v>#N/A</v>
      </c>
      <c r="X591" t="e">
        <f t="shared" ca="1" si="66"/>
        <v>#VALUE!</v>
      </c>
      <c r="Y591">
        <f t="shared" ca="1" si="67"/>
        <v>0.26687282099999998</v>
      </c>
      <c r="Z591" t="e">
        <f t="shared" ca="1" si="68"/>
        <v>#VALUE!</v>
      </c>
    </row>
    <row r="592" spans="1:26" x14ac:dyDescent="0.4">
      <c r="A592" t="str">
        <f>MID(Taostats_CSV!C592,6,2)&amp;"/"&amp;MID(Taostats_CSV!C592,9,2)&amp;"/"&amp;LEFT(Taostats_CSV!C592,4)&amp;" "&amp;MID(Taostats_CSV!C592,12,8)</f>
        <v>07/08/2025 23:59:48</v>
      </c>
      <c r="C592" t="str">
        <f ca="1">IF(Q592,OFFSET(Taostats_CSV!$E$1,MATCH(K592&amp;D$1,Taostats_CSV!$X:$X,0)-1,0),IF(Taostats_CSV!F592="fee",IF(VALUE(Taostats_CSV!G592)&gt;0,Taostats_CSV!E592,""),""))</f>
        <v/>
      </c>
      <c r="D592" t="str">
        <f ca="1">IF(Q592,OFFSET(Taostats_CSV!$G$1,MATCH(K592&amp;D$1,Taostats_CSV!$X:$X,0)-1,0),IF(Taostats_CSV!F592="fee",IF(VALUE(Taostats_CSV!G592)&gt;0,Taostats_CSV!G592,""),""))</f>
        <v/>
      </c>
      <c r="E592" t="str">
        <f ca="1">IF(AND(Q592,P592&gt;0),OFFSET(Taostats_CSV!$E$1,MATCH(K592&amp;F$1,Taostats_CSV!$X:$X,0)-1,0),IF(LEN(F592)&gt;0,Taostats_CSV!E592,""))</f>
        <v>SN64</v>
      </c>
      <c r="F592" t="str">
        <f ca="1">TRIM(IF(AND(Q592,P592&gt;0),OFFSET(Taostats_CSV!$H$1,MATCH(K592&amp;F$1,Taostats_CSV!$X:$X,0)-1,0),IF(LEN(Taostats_CSV!H592)&gt;0,Taostats_CSV!H592,Taostats_CSV!R592)))</f>
        <v>0.14648986</v>
      </c>
      <c r="G592" t="str">
        <f ca="1">IF(AND(Q592,N592=1),OFFSET(Taostats_CSV!$E$1,MATCH(K592&amp;H$1,Taostats_CSV!$X:$X,0)-1,0),"")</f>
        <v/>
      </c>
      <c r="H592" t="str">
        <f ca="1">IF(AND(Q592,N592=1),OFFSET(Taostats_CSV!$G$1,MATCH(K592&amp;H$1,Taostats_CSV!$X:$X,0)-1,0),"")</f>
        <v/>
      </c>
      <c r="I592" t="str">
        <f ca="1">IF(AND(LEN(K592)=0,LEN(F592)&gt;0),"Income",IF(AND(O592&gt;0,P592&gt;0,C592&lt;&gt;E592),"Trade",IF(AND(NOT(Q592),Taostats_CSV!F592="fee"),'READ ME'!$C$5,"")))</f>
        <v>Income</v>
      </c>
      <c r="J592" t="str">
        <f ca="1">SUBSTITUTE(IF(LEN(I592)=0,Taostats_CSV!F592&amp;" "&amp;Taostats_CSV!J592,IF(I592="Cost","Extrinsic fee","")),"_"," ")</f>
        <v/>
      </c>
      <c r="K592" t="str">
        <f>TRIM(IF(LEN(Taostats_CSV!I592)&gt;0,Taostats_CSV!I592,""))</f>
        <v/>
      </c>
      <c r="L592">
        <f ca="1">IF(Taostats_CSV!E592&lt;&gt;"TAO",IF(LEN(F592)&gt;0,F592,IF(LEN(D592)&gt;0,D592,0))*Taostats_CSV!P592,"")</f>
        <v>6.7858218138024373</v>
      </c>
      <c r="M592" t="str">
        <f t="shared" ca="1" si="69"/>
        <v>USD</v>
      </c>
      <c r="N592">
        <f>COUNTIF(Taostats_CSV!$X:$X,Taostats_CSV!$I592&amp;N$1)</f>
        <v>0</v>
      </c>
      <c r="O592">
        <f>COUNTIF(Taostats_CSV!$X:$X,Taostats_CSV!$I592&amp;O$1)</f>
        <v>0</v>
      </c>
      <c r="P592">
        <f>COUNTIF(Taostats_CSV!$X:$X,Taostats_CSV!$I592&amp;P$1)</f>
        <v>0</v>
      </c>
      <c r="Q592" t="b">
        <f t="shared" si="70"/>
        <v>0</v>
      </c>
      <c r="R592" t="b">
        <f>IF(LEN(K592)&gt;0,COUNTIF($K$3:K592,K592),FALSE)</f>
        <v>0</v>
      </c>
      <c r="S592" t="b">
        <f>IF(Taostats_CSV!A592=Taostats_CSV!$A$2,TRUE,Taostats_CSV!G592+Taostats_CSV!H592+Taostats_CSV!R592=0)</f>
        <v>0</v>
      </c>
      <c r="T592" t="b">
        <f t="shared" si="71"/>
        <v>1</v>
      </c>
      <c r="U592" t="b" cm="1">
        <f t="array" aca="1" ref="U592" ca="1">AND(T592,OR(O592-N592&gt;1,P592&gt;1,ISERROR(A592:P592)))</f>
        <v>0</v>
      </c>
      <c r="W592" t="e">
        <f>MATCH(K592&amp;$W$2,Taostats_CSV!$X$3:$X$1167,0)</f>
        <v>#N/A</v>
      </c>
      <c r="X592" t="e">
        <f t="shared" ca="1" si="66"/>
        <v>#VALUE!</v>
      </c>
      <c r="Y592">
        <f t="shared" ca="1" si="67"/>
        <v>0.14648986</v>
      </c>
      <c r="Z592" t="e">
        <f t="shared" ca="1" si="68"/>
        <v>#VALUE!</v>
      </c>
    </row>
    <row r="593" spans="1:26" hidden="1" x14ac:dyDescent="0.4">
      <c r="A593" t="str">
        <f>MID(Taostats_CSV!C593,6,2)&amp;"/"&amp;MID(Taostats_CSV!C593,9,2)&amp;"/"&amp;LEFT(Taostats_CSV!C593,4)&amp;" "&amp;MID(Taostats_CSV!C593,12,8)</f>
        <v>07/08/2025 23:59:48</v>
      </c>
      <c r="C593" t="str">
        <f ca="1">IF(Q593,OFFSET(Taostats_CSV!$E$1,MATCH(K593&amp;D$1,Taostats_CSV!$X:$X,0)-1,0),IF(Taostats_CSV!F593="fee","",IF(VALUE(Taostats_CSV!G593)&gt;0,Taostats_CSV!E593,"")))</f>
        <v/>
      </c>
      <c r="D593" t="str">
        <f ca="1">IF(Q593,OFFSET(Taostats_CSV!$G$1,MATCH(K593&amp;D$1,Taostats_CSV!$X:$X,0)-1,0),IF(Taostats_CSV!F593="fee","",IF(VALUE(Taostats_CSV!G593)&gt;0,Taostats_CSV!G593,"")))</f>
        <v/>
      </c>
      <c r="E593" t="str">
        <f ca="1">IF(AND(Q593,P593&gt;0),OFFSET(Taostats_CSV!$E$1,MATCH(K593&amp;F$1,Taostats_CSV!$X:$X,0)-1,0),IF(LEN(F593)&gt;0,Taostats_CSV!E593,""))</f>
        <v>TAO</v>
      </c>
      <c r="F593" t="str">
        <f ca="1">TRIM(IF(AND(Q593,P593&gt;0),OFFSET(Taostats_CSV!$H$1,MATCH(K593&amp;F$1,Taostats_CSV!$X:$X,0)-1,0),IF(LEN(Taostats_CSV!H593)&gt;0,Taostats_CSV!H593,Taostats_CSV!R593)))</f>
        <v>0</v>
      </c>
      <c r="G593" t="str">
        <f ca="1">IF(AND(Q593,N593=1),OFFSET(Taostats_CSV!$E$1,MATCH(K593&amp;H$1,Taostats_CSV!$X:$X,0)-1,0),IF(Taostats_CSV!F593="fee",Taostats_CSV!E593,""))</f>
        <v/>
      </c>
      <c r="H593" t="str">
        <f ca="1">IF(AND(Q593,N593=1),OFFSET(Taostats_CSV!$G$1,MATCH(K593&amp;H$1,Taostats_CSV!$X:$X,0)-1,0),IF(Taostats_CSV!F593="fee",Taostats_CSV!G593,""))</f>
        <v/>
      </c>
      <c r="I593" t="str">
        <f ca="1">IF(AND(LEN(K593)=0,LEN(F593)&gt;0),"Income",IF(AND(O593&gt;0,P593&gt;0,C593&lt;&gt;E593),"Trade",IF(AND(NOT(Q593),Taostats_CSV!F593="fee"),'READ ME'!$C$5,"")))</f>
        <v>Income</v>
      </c>
      <c r="J593" t="str">
        <f ca="1">SUBSTITUTE(IF(LEN(I593)=0,Taostats_CSV!F593&amp;" "&amp;Taostats_CSV!J593,IF(I593="Cost","Extrinsic fee","")),"_"," ")</f>
        <v/>
      </c>
      <c r="K593" t="str">
        <f>TRIM(IF(LEN(Taostats_CSV!I593)&gt;0,Taostats_CSV!I593,""))</f>
        <v/>
      </c>
      <c r="L593" t="str">
        <f>IF(Taostats_CSV!E593&lt;&gt;"TAO",IF(LEN(F593)&gt;0,F593,IF(LEN(D593)&gt;0,D593,0))*Taostats_CSV!P593,"")</f>
        <v/>
      </c>
      <c r="M593" t="str">
        <f t="shared" si="69"/>
        <v/>
      </c>
      <c r="N593">
        <f>COUNTIF(Taostats_CSV!$X:$X,Taostats_CSV!$I593&amp;N$1)</f>
        <v>0</v>
      </c>
      <c r="O593">
        <f>COUNTIF(Taostats_CSV!$X:$X,Taostats_CSV!$I593&amp;O$1)</f>
        <v>0</v>
      </c>
      <c r="P593">
        <f>COUNTIF(Taostats_CSV!$X:$X,Taostats_CSV!$I593&amp;P$1)</f>
        <v>0</v>
      </c>
      <c r="Q593" t="b">
        <f t="shared" si="70"/>
        <v>0</v>
      </c>
      <c r="R593" t="b">
        <f>IF(LEN(K593)&gt;0,COUNTIF($K$3:K593,K593),FALSE)</f>
        <v>0</v>
      </c>
      <c r="S593" t="b">
        <f>IF(Taostats_CSV!A593=Taostats_CSV!$A$2,TRUE,Taostats_CSV!G593+Taostats_CSV!H593+Taostats_CSV!R593=0)</f>
        <v>1</v>
      </c>
      <c r="T593" t="b">
        <f t="shared" si="71"/>
        <v>0</v>
      </c>
      <c r="U593" t="b" cm="1">
        <f t="array" aca="1" ref="U593" ca="1">AND(T593,OR(O593-N593&gt;1,P593&gt;1,ISERROR(A593:P593)))</f>
        <v>0</v>
      </c>
      <c r="W593" t="e">
        <f>MATCH(K593&amp;$W$2,Taostats_CSV!$X$3:$X$1167,0)</f>
        <v>#N/A</v>
      </c>
      <c r="X593" t="e">
        <f t="shared" ca="1" si="66"/>
        <v>#VALUE!</v>
      </c>
      <c r="Y593">
        <f t="shared" ca="1" si="67"/>
        <v>0</v>
      </c>
      <c r="Z593" t="e">
        <f t="shared" ca="1" si="68"/>
        <v>#VALUE!</v>
      </c>
    </row>
    <row r="594" spans="1:26" x14ac:dyDescent="0.4">
      <c r="A594" t="str">
        <f>MID(Taostats_CSV!C594,6,2)&amp;"/"&amp;MID(Taostats_CSV!C594,9,2)&amp;"/"&amp;LEFT(Taostats_CSV!C594,4)&amp;" "&amp;MID(Taostats_CSV!C594,12,8)</f>
        <v>07/09/2025 23:59:48</v>
      </c>
      <c r="C594" t="str">
        <f ca="1">IF(Q594,OFFSET(Taostats_CSV!$E$1,MATCH(K594&amp;D$1,Taostats_CSV!$X:$X,0)-1,0),IF(Taostats_CSV!F594="fee",IF(VALUE(Taostats_CSV!G594)&gt;0,Taostats_CSV!E594,""),""))</f>
        <v/>
      </c>
      <c r="D594" t="str">
        <f ca="1">IF(Q594,OFFSET(Taostats_CSV!$G$1,MATCH(K594&amp;D$1,Taostats_CSV!$X:$X,0)-1,0),IF(Taostats_CSV!F594="fee",IF(VALUE(Taostats_CSV!G594)&gt;0,Taostats_CSV!G594,""),""))</f>
        <v/>
      </c>
      <c r="E594" t="str">
        <f ca="1">IF(AND(Q594,P594&gt;0),OFFSET(Taostats_CSV!$E$1,MATCH(K594&amp;F$1,Taostats_CSV!$X:$X,0)-1,0),IF(LEN(F594)&gt;0,Taostats_CSV!E594,""))</f>
        <v>SN3</v>
      </c>
      <c r="F594" t="str">
        <f ca="1">TRIM(IF(AND(Q594,P594&gt;0),OFFSET(Taostats_CSV!$H$1,MATCH(K594&amp;F$1,Taostats_CSV!$X:$X,0)-1,0),IF(LEN(Taostats_CSV!H594)&gt;0,Taostats_CSV!H594,Taostats_CSV!R594)))</f>
        <v>0.433899273</v>
      </c>
      <c r="G594" t="str">
        <f ca="1">IF(AND(Q594,N594=1),OFFSET(Taostats_CSV!$E$1,MATCH(K594&amp;H$1,Taostats_CSV!$X:$X,0)-1,0),"")</f>
        <v/>
      </c>
      <c r="H594" t="str">
        <f ca="1">IF(AND(Q594,N594=1),OFFSET(Taostats_CSV!$G$1,MATCH(K594&amp;H$1,Taostats_CSV!$X:$X,0)-1,0),"")</f>
        <v/>
      </c>
      <c r="I594" t="str">
        <f ca="1">IF(AND(LEN(K594)=0,LEN(F594)&gt;0),"Income",IF(AND(O594&gt;0,P594&gt;0,C594&lt;&gt;E594),"Trade",IF(AND(NOT(Q594),Taostats_CSV!F594="fee"),'READ ME'!$C$5,"")))</f>
        <v>Income</v>
      </c>
      <c r="J594" t="str">
        <f ca="1">SUBSTITUTE(IF(LEN(I594)=0,Taostats_CSV!F594&amp;" "&amp;Taostats_CSV!J594,IF(I594="Cost","Extrinsic fee","")),"_"," ")</f>
        <v/>
      </c>
      <c r="K594" t="str">
        <f>TRIM(IF(LEN(Taostats_CSV!I594)&gt;0,Taostats_CSV!I594,""))</f>
        <v/>
      </c>
      <c r="L594">
        <f ca="1">IF(Taostats_CSV!E594&lt;&gt;"TAO",IF(LEN(F594)&gt;0,F594,IF(LEN(D594)&gt;0,D594,0))*Taostats_CSV!P594,"")</f>
        <v>8.9783962354930367</v>
      </c>
      <c r="M594" t="str">
        <f t="shared" ca="1" si="69"/>
        <v>USD</v>
      </c>
      <c r="N594">
        <f>COUNTIF(Taostats_CSV!$X:$X,Taostats_CSV!$I594&amp;N$1)</f>
        <v>0</v>
      </c>
      <c r="O594">
        <f>COUNTIF(Taostats_CSV!$X:$X,Taostats_CSV!$I594&amp;O$1)</f>
        <v>0</v>
      </c>
      <c r="P594">
        <f>COUNTIF(Taostats_CSV!$X:$X,Taostats_CSV!$I594&amp;P$1)</f>
        <v>0</v>
      </c>
      <c r="Q594" t="b">
        <f t="shared" si="70"/>
        <v>0</v>
      </c>
      <c r="R594" t="b">
        <f>IF(LEN(K594)&gt;0,COUNTIF($K$3:K594,K594),FALSE)</f>
        <v>0</v>
      </c>
      <c r="S594" t="b">
        <f>IF(Taostats_CSV!A594=Taostats_CSV!$A$2,TRUE,Taostats_CSV!G594+Taostats_CSV!H594+Taostats_CSV!R594=0)</f>
        <v>0</v>
      </c>
      <c r="T594" t="b">
        <f t="shared" si="71"/>
        <v>1</v>
      </c>
      <c r="U594" t="b" cm="1">
        <f t="array" aca="1" ref="U594" ca="1">AND(T594,OR(O594-N594&gt;1,P594&gt;1,ISERROR(A594:P594)))</f>
        <v>0</v>
      </c>
      <c r="W594" t="e">
        <f>MATCH(K594&amp;$W$2,Taostats_CSV!$X$3:$X$1167,0)</f>
        <v>#N/A</v>
      </c>
      <c r="X594" t="e">
        <f t="shared" ca="1" si="66"/>
        <v>#VALUE!</v>
      </c>
      <c r="Y594">
        <f t="shared" ca="1" si="67"/>
        <v>0.43389927299999997</v>
      </c>
      <c r="Z594" t="e">
        <f t="shared" ca="1" si="68"/>
        <v>#VALUE!</v>
      </c>
    </row>
    <row r="595" spans="1:26" x14ac:dyDescent="0.4">
      <c r="A595" t="str">
        <f>MID(Taostats_CSV!C595,6,2)&amp;"/"&amp;MID(Taostats_CSV!C595,9,2)&amp;"/"&amp;LEFT(Taostats_CSV!C595,4)&amp;" "&amp;MID(Taostats_CSV!C595,12,8)</f>
        <v>07/09/2025 23:59:48</v>
      </c>
      <c r="C595" t="str">
        <f ca="1">IF(Q595,OFFSET(Taostats_CSV!$E$1,MATCH(K595&amp;D$1,Taostats_CSV!$X:$X,0)-1,0),IF(Taostats_CSV!F595="fee",IF(VALUE(Taostats_CSV!G595)&gt;0,Taostats_CSV!E595,""),""))</f>
        <v/>
      </c>
      <c r="D595" t="str">
        <f ca="1">IF(Q595,OFFSET(Taostats_CSV!$G$1,MATCH(K595&amp;D$1,Taostats_CSV!$X:$X,0)-1,0),IF(Taostats_CSV!F595="fee",IF(VALUE(Taostats_CSV!G595)&gt;0,Taostats_CSV!G595,""),""))</f>
        <v/>
      </c>
      <c r="E595" t="str">
        <f ca="1">IF(AND(Q595,P595&gt;0),OFFSET(Taostats_CSV!$E$1,MATCH(K595&amp;F$1,Taostats_CSV!$X:$X,0)-1,0),IF(LEN(F595)&gt;0,Taostats_CSV!E595,""))</f>
        <v>SN4</v>
      </c>
      <c r="F595" t="str">
        <f ca="1">TRIM(IF(AND(Q595,P595&gt;0),OFFSET(Taostats_CSV!$H$1,MATCH(K595&amp;F$1,Taostats_CSV!$X:$X,0)-1,0),IF(LEN(Taostats_CSV!H595)&gt;0,Taostats_CSV!H595,Taostats_CSV!R595)))</f>
        <v>0.521277336</v>
      </c>
      <c r="G595" t="str">
        <f ca="1">IF(AND(Q595,N595=1),OFFSET(Taostats_CSV!$E$1,MATCH(K595&amp;H$1,Taostats_CSV!$X:$X,0)-1,0),"")</f>
        <v/>
      </c>
      <c r="H595" t="str">
        <f ca="1">IF(AND(Q595,N595=1),OFFSET(Taostats_CSV!$G$1,MATCH(K595&amp;H$1,Taostats_CSV!$X:$X,0)-1,0),"")</f>
        <v/>
      </c>
      <c r="I595" t="str">
        <f ca="1">IF(AND(LEN(K595)=0,LEN(F595)&gt;0),"Income",IF(AND(O595&gt;0,P595&gt;0,C595&lt;&gt;E595),"Trade",IF(AND(NOT(Q595),Taostats_CSV!F595="fee"),'READ ME'!$C$5,"")))</f>
        <v>Income</v>
      </c>
      <c r="J595" t="str">
        <f ca="1">SUBSTITUTE(IF(LEN(I595)=0,Taostats_CSV!F595&amp;" "&amp;Taostats_CSV!J595,IF(I595="Cost","Extrinsic fee","")),"_"," ")</f>
        <v/>
      </c>
      <c r="K595" t="str">
        <f>TRIM(IF(LEN(Taostats_CSV!I595)&gt;0,Taostats_CSV!I595,""))</f>
        <v/>
      </c>
      <c r="L595">
        <f ca="1">IF(Taostats_CSV!E595&lt;&gt;"TAO",IF(LEN(F595)&gt;0,F595,IF(LEN(D595)&gt;0,D595,0))*Taostats_CSV!P595,"")</f>
        <v>11.613806306664062</v>
      </c>
      <c r="M595" t="str">
        <f t="shared" ca="1" si="69"/>
        <v>USD</v>
      </c>
      <c r="N595">
        <f>COUNTIF(Taostats_CSV!$X:$X,Taostats_CSV!$I595&amp;N$1)</f>
        <v>0</v>
      </c>
      <c r="O595">
        <f>COUNTIF(Taostats_CSV!$X:$X,Taostats_CSV!$I595&amp;O$1)</f>
        <v>0</v>
      </c>
      <c r="P595">
        <f>COUNTIF(Taostats_CSV!$X:$X,Taostats_CSV!$I595&amp;P$1)</f>
        <v>0</v>
      </c>
      <c r="Q595" t="b">
        <f t="shared" si="70"/>
        <v>0</v>
      </c>
      <c r="R595" t="b">
        <f>IF(LEN(K595)&gt;0,COUNTIF($K$3:K595,K595),FALSE)</f>
        <v>0</v>
      </c>
      <c r="S595" t="b">
        <f>IF(Taostats_CSV!A595=Taostats_CSV!$A$2,TRUE,Taostats_CSV!G595+Taostats_CSV!H595+Taostats_CSV!R595=0)</f>
        <v>0</v>
      </c>
      <c r="T595" t="b">
        <f t="shared" si="71"/>
        <v>1</v>
      </c>
      <c r="U595" t="b" cm="1">
        <f t="array" aca="1" ref="U595" ca="1">AND(T595,OR(O595-N595&gt;1,P595&gt;1,ISERROR(A595:P595)))</f>
        <v>0</v>
      </c>
      <c r="W595" t="e">
        <f>MATCH(K595&amp;$W$2,Taostats_CSV!$X$3:$X$1167,0)</f>
        <v>#N/A</v>
      </c>
      <c r="X595" t="e">
        <f t="shared" ca="1" si="66"/>
        <v>#VALUE!</v>
      </c>
      <c r="Y595">
        <f t="shared" ca="1" si="67"/>
        <v>0.52127733600000004</v>
      </c>
      <c r="Z595" t="e">
        <f t="shared" ca="1" si="68"/>
        <v>#VALUE!</v>
      </c>
    </row>
    <row r="596" spans="1:26" x14ac:dyDescent="0.4">
      <c r="A596" t="str">
        <f>MID(Taostats_CSV!C596,6,2)&amp;"/"&amp;MID(Taostats_CSV!C596,9,2)&amp;"/"&amp;LEFT(Taostats_CSV!C596,4)&amp;" "&amp;MID(Taostats_CSV!C596,12,8)</f>
        <v>07/09/2025 23:59:48</v>
      </c>
      <c r="C596" t="str">
        <f ca="1">IF(Q596,OFFSET(Taostats_CSV!$E$1,MATCH(K596&amp;D$1,Taostats_CSV!$X:$X,0)-1,0),IF(Taostats_CSV!F596="fee",IF(VALUE(Taostats_CSV!G596)&gt;0,Taostats_CSV!E596,""),""))</f>
        <v/>
      </c>
      <c r="D596" t="str">
        <f ca="1">IF(Q596,OFFSET(Taostats_CSV!$G$1,MATCH(K596&amp;D$1,Taostats_CSV!$X:$X,0)-1,0),IF(Taostats_CSV!F596="fee",IF(VALUE(Taostats_CSV!G596)&gt;0,Taostats_CSV!G596,""),""))</f>
        <v/>
      </c>
      <c r="E596" t="str">
        <f ca="1">IF(AND(Q596,P596&gt;0),OFFSET(Taostats_CSV!$E$1,MATCH(K596&amp;F$1,Taostats_CSV!$X:$X,0)-1,0),IF(LEN(F596)&gt;0,Taostats_CSV!E596,""))</f>
        <v>SN56</v>
      </c>
      <c r="F596" t="str">
        <f ca="1">TRIM(IF(AND(Q596,P596&gt;0),OFFSET(Taostats_CSV!$H$1,MATCH(K596&amp;F$1,Taostats_CSV!$X:$X,0)-1,0),IF(LEN(Taostats_CSV!H596)&gt;0,Taostats_CSV!H596,Taostats_CSV!R596)))</f>
        <v>0.259047293</v>
      </c>
      <c r="G596" t="str">
        <f ca="1">IF(AND(Q596,N596=1),OFFSET(Taostats_CSV!$E$1,MATCH(K596&amp;H$1,Taostats_CSV!$X:$X,0)-1,0),"")</f>
        <v/>
      </c>
      <c r="H596" t="str">
        <f ca="1">IF(AND(Q596,N596=1),OFFSET(Taostats_CSV!$G$1,MATCH(K596&amp;H$1,Taostats_CSV!$X:$X,0)-1,0),"")</f>
        <v/>
      </c>
      <c r="I596" t="str">
        <f ca="1">IF(AND(LEN(K596)=0,LEN(F596)&gt;0),"Income",IF(AND(O596&gt;0,P596&gt;0,C596&lt;&gt;E596),"Trade",IF(AND(NOT(Q596),Taostats_CSV!F596="fee"),'READ ME'!$C$5,"")))</f>
        <v>Income</v>
      </c>
      <c r="J596" t="str">
        <f ca="1">SUBSTITUTE(IF(LEN(I596)=0,Taostats_CSV!F596&amp;" "&amp;Taostats_CSV!J596,IF(I596="Cost","Extrinsic fee","")),"_"," ")</f>
        <v/>
      </c>
      <c r="K596" t="str">
        <f>TRIM(IF(LEN(Taostats_CSV!I596)&gt;0,Taostats_CSV!I596,""))</f>
        <v/>
      </c>
      <c r="L596">
        <f ca="1">IF(Taostats_CSV!E596&lt;&gt;"TAO",IF(LEN(F596)&gt;0,F596,IF(LEN(D596)&gt;0,D596,0))*Taostats_CSV!P596,"")</f>
        <v>4.4993335877978451</v>
      </c>
      <c r="M596" t="str">
        <f t="shared" ca="1" si="69"/>
        <v>USD</v>
      </c>
      <c r="N596">
        <f>COUNTIF(Taostats_CSV!$X:$X,Taostats_CSV!$I596&amp;N$1)</f>
        <v>0</v>
      </c>
      <c r="O596">
        <f>COUNTIF(Taostats_CSV!$X:$X,Taostats_CSV!$I596&amp;O$1)</f>
        <v>0</v>
      </c>
      <c r="P596">
        <f>COUNTIF(Taostats_CSV!$X:$X,Taostats_CSV!$I596&amp;P$1)</f>
        <v>0</v>
      </c>
      <c r="Q596" t="b">
        <f t="shared" si="70"/>
        <v>0</v>
      </c>
      <c r="R596" t="b">
        <f>IF(LEN(K596)&gt;0,COUNTIF($K$3:K596,K596),FALSE)</f>
        <v>0</v>
      </c>
      <c r="S596" t="b">
        <f>IF(Taostats_CSV!A596=Taostats_CSV!$A$2,TRUE,Taostats_CSV!G596+Taostats_CSV!H596+Taostats_CSV!R596=0)</f>
        <v>0</v>
      </c>
      <c r="T596" t="b">
        <f t="shared" si="71"/>
        <v>1</v>
      </c>
      <c r="U596" t="b" cm="1">
        <f t="array" aca="1" ref="U596" ca="1">AND(T596,OR(O596-N596&gt;1,P596&gt;1,ISERROR(A596:P596)))</f>
        <v>0</v>
      </c>
      <c r="W596" t="e">
        <f>MATCH(K596&amp;$W$2,Taostats_CSV!$X$3:$X$1167,0)</f>
        <v>#N/A</v>
      </c>
      <c r="X596" t="e">
        <f t="shared" ca="1" si="66"/>
        <v>#VALUE!</v>
      </c>
      <c r="Y596">
        <f t="shared" ca="1" si="67"/>
        <v>0.25904729300000001</v>
      </c>
      <c r="Z596" t="e">
        <f t="shared" ca="1" si="68"/>
        <v>#VALUE!</v>
      </c>
    </row>
    <row r="597" spans="1:26" x14ac:dyDescent="0.4">
      <c r="A597" t="str">
        <f>MID(Taostats_CSV!C597,6,2)&amp;"/"&amp;MID(Taostats_CSV!C597,9,2)&amp;"/"&amp;LEFT(Taostats_CSV!C597,4)&amp;" "&amp;MID(Taostats_CSV!C597,12,8)</f>
        <v>07/09/2025 23:59:48</v>
      </c>
      <c r="C597" t="str">
        <f ca="1">IF(Q597,OFFSET(Taostats_CSV!$E$1,MATCH(K597&amp;D$1,Taostats_CSV!$X:$X,0)-1,0),IF(Taostats_CSV!F597="fee",IF(VALUE(Taostats_CSV!G597)&gt;0,Taostats_CSV!E597,""),""))</f>
        <v/>
      </c>
      <c r="D597" t="str">
        <f ca="1">IF(Q597,OFFSET(Taostats_CSV!$G$1,MATCH(K597&amp;D$1,Taostats_CSV!$X:$X,0)-1,0),IF(Taostats_CSV!F597="fee",IF(VALUE(Taostats_CSV!G597)&gt;0,Taostats_CSV!G597,""),""))</f>
        <v/>
      </c>
      <c r="E597" t="str">
        <f ca="1">IF(AND(Q597,P597&gt;0),OFFSET(Taostats_CSV!$E$1,MATCH(K597&amp;F$1,Taostats_CSV!$X:$X,0)-1,0),IF(LEN(F597)&gt;0,Taostats_CSV!E597,""))</f>
        <v>SN64</v>
      </c>
      <c r="F597" t="str">
        <f ca="1">TRIM(IF(AND(Q597,P597&gt;0),OFFSET(Taostats_CSV!$H$1,MATCH(K597&amp;F$1,Taostats_CSV!$X:$X,0)-1,0),IF(LEN(Taostats_CSV!H597)&gt;0,Taostats_CSV!H597,Taostats_CSV!R597)))</f>
        <v>0.146731479</v>
      </c>
      <c r="G597" t="str">
        <f ca="1">IF(AND(Q597,N597=1),OFFSET(Taostats_CSV!$E$1,MATCH(K597&amp;H$1,Taostats_CSV!$X:$X,0)-1,0),"")</f>
        <v/>
      </c>
      <c r="H597" t="str">
        <f ca="1">IF(AND(Q597,N597=1),OFFSET(Taostats_CSV!$G$1,MATCH(K597&amp;H$1,Taostats_CSV!$X:$X,0)-1,0),"")</f>
        <v/>
      </c>
      <c r="I597" t="str">
        <f ca="1">IF(AND(LEN(K597)=0,LEN(F597)&gt;0),"Income",IF(AND(O597&gt;0,P597&gt;0,C597&lt;&gt;E597),"Trade",IF(AND(NOT(Q597),Taostats_CSV!F597="fee"),'READ ME'!$C$5,"")))</f>
        <v>Income</v>
      </c>
      <c r="J597" t="str">
        <f ca="1">SUBSTITUTE(IF(LEN(I597)=0,Taostats_CSV!F597&amp;" "&amp;Taostats_CSV!J597,IF(I597="Cost","Extrinsic fee","")),"_"," ")</f>
        <v/>
      </c>
      <c r="K597" t="str">
        <f>TRIM(IF(LEN(Taostats_CSV!I597)&gt;0,Taostats_CSV!I597,""))</f>
        <v/>
      </c>
      <c r="L597">
        <f ca="1">IF(Taostats_CSV!E597&lt;&gt;"TAO",IF(LEN(F597)&gt;0,F597,IF(LEN(D597)&gt;0,D597,0))*Taostats_CSV!P597,"")</f>
        <v>7.3428821676396607</v>
      </c>
      <c r="M597" t="str">
        <f t="shared" ca="1" si="69"/>
        <v>USD</v>
      </c>
      <c r="N597">
        <f>COUNTIF(Taostats_CSV!$X:$X,Taostats_CSV!$I597&amp;N$1)</f>
        <v>0</v>
      </c>
      <c r="O597">
        <f>COUNTIF(Taostats_CSV!$X:$X,Taostats_CSV!$I597&amp;O$1)</f>
        <v>0</v>
      </c>
      <c r="P597">
        <f>COUNTIF(Taostats_CSV!$X:$X,Taostats_CSV!$I597&amp;P$1)</f>
        <v>0</v>
      </c>
      <c r="Q597" t="b">
        <f t="shared" si="70"/>
        <v>0</v>
      </c>
      <c r="R597" t="b">
        <f>IF(LEN(K597)&gt;0,COUNTIF($K$3:K597,K597),FALSE)</f>
        <v>0</v>
      </c>
      <c r="S597" t="b">
        <f>IF(Taostats_CSV!A597=Taostats_CSV!$A$2,TRUE,Taostats_CSV!G597+Taostats_CSV!H597+Taostats_CSV!R597=0)</f>
        <v>0</v>
      </c>
      <c r="T597" t="b">
        <f t="shared" si="71"/>
        <v>1</v>
      </c>
      <c r="U597" t="b" cm="1">
        <f t="array" aca="1" ref="U597" ca="1">AND(T597,OR(O597-N597&gt;1,P597&gt;1,ISERROR(A597:P597)))</f>
        <v>0</v>
      </c>
      <c r="W597" t="e">
        <f>MATCH(K597&amp;$W$2,Taostats_CSV!$X$3:$X$1167,0)</f>
        <v>#N/A</v>
      </c>
      <c r="X597" t="e">
        <f t="shared" ca="1" si="66"/>
        <v>#VALUE!</v>
      </c>
      <c r="Y597">
        <f t="shared" ca="1" si="67"/>
        <v>0.146731479</v>
      </c>
      <c r="Z597" t="e">
        <f t="shared" ca="1" si="68"/>
        <v>#VALUE!</v>
      </c>
    </row>
    <row r="598" spans="1:26" hidden="1" x14ac:dyDescent="0.4">
      <c r="A598" t="str">
        <f>MID(Taostats_CSV!C598,6,2)&amp;"/"&amp;MID(Taostats_CSV!C598,9,2)&amp;"/"&amp;LEFT(Taostats_CSV!C598,4)&amp;" "&amp;MID(Taostats_CSV!C598,12,8)</f>
        <v>07/09/2025 23:59:48</v>
      </c>
      <c r="C598" t="str">
        <f ca="1">IF(Q598,OFFSET(Taostats_CSV!$E$1,MATCH(K598&amp;D$1,Taostats_CSV!$X:$X,0)-1,0),IF(Taostats_CSV!F598="fee","",IF(VALUE(Taostats_CSV!G598)&gt;0,Taostats_CSV!E598,"")))</f>
        <v/>
      </c>
      <c r="D598" t="str">
        <f ca="1">IF(Q598,OFFSET(Taostats_CSV!$G$1,MATCH(K598&amp;D$1,Taostats_CSV!$X:$X,0)-1,0),IF(Taostats_CSV!F598="fee","",IF(VALUE(Taostats_CSV!G598)&gt;0,Taostats_CSV!G598,"")))</f>
        <v/>
      </c>
      <c r="E598" t="str">
        <f ca="1">IF(AND(Q598,P598&gt;0),OFFSET(Taostats_CSV!$E$1,MATCH(K598&amp;F$1,Taostats_CSV!$X:$X,0)-1,0),IF(LEN(F598)&gt;0,Taostats_CSV!E598,""))</f>
        <v>TAO</v>
      </c>
      <c r="F598" t="str">
        <f ca="1">TRIM(IF(AND(Q598,P598&gt;0),OFFSET(Taostats_CSV!$H$1,MATCH(K598&amp;F$1,Taostats_CSV!$X:$X,0)-1,0),IF(LEN(Taostats_CSV!H598)&gt;0,Taostats_CSV!H598,Taostats_CSV!R598)))</f>
        <v>0</v>
      </c>
      <c r="G598" t="str">
        <f ca="1">IF(AND(Q598,N598=1),OFFSET(Taostats_CSV!$E$1,MATCH(K598&amp;H$1,Taostats_CSV!$X:$X,0)-1,0),IF(Taostats_CSV!F598="fee",Taostats_CSV!E598,""))</f>
        <v/>
      </c>
      <c r="H598" t="str">
        <f ca="1">IF(AND(Q598,N598=1),OFFSET(Taostats_CSV!$G$1,MATCH(K598&amp;H$1,Taostats_CSV!$X:$X,0)-1,0),IF(Taostats_CSV!F598="fee",Taostats_CSV!G598,""))</f>
        <v/>
      </c>
      <c r="I598" t="str">
        <f ca="1">IF(AND(LEN(K598)=0,LEN(F598)&gt;0),"Income",IF(AND(O598&gt;0,P598&gt;0,C598&lt;&gt;E598),"Trade",IF(AND(NOT(Q598),Taostats_CSV!F598="fee"),'READ ME'!$C$5,"")))</f>
        <v>Income</v>
      </c>
      <c r="J598" t="str">
        <f ca="1">SUBSTITUTE(IF(LEN(I598)=0,Taostats_CSV!F598&amp;" "&amp;Taostats_CSV!J598,IF(I598="Cost","Extrinsic fee","")),"_"," ")</f>
        <v/>
      </c>
      <c r="K598" t="str">
        <f>TRIM(IF(LEN(Taostats_CSV!I598)&gt;0,Taostats_CSV!I598,""))</f>
        <v/>
      </c>
      <c r="L598" t="str">
        <f>IF(Taostats_CSV!E598&lt;&gt;"TAO",IF(LEN(F598)&gt;0,F598,IF(LEN(D598)&gt;0,D598,0))*Taostats_CSV!P598,"")</f>
        <v/>
      </c>
      <c r="M598" t="str">
        <f t="shared" si="69"/>
        <v/>
      </c>
      <c r="N598">
        <f>COUNTIF(Taostats_CSV!$X:$X,Taostats_CSV!$I598&amp;N$1)</f>
        <v>0</v>
      </c>
      <c r="O598">
        <f>COUNTIF(Taostats_CSV!$X:$X,Taostats_CSV!$I598&amp;O$1)</f>
        <v>0</v>
      </c>
      <c r="P598">
        <f>COUNTIF(Taostats_CSV!$X:$X,Taostats_CSV!$I598&amp;P$1)</f>
        <v>0</v>
      </c>
      <c r="Q598" t="b">
        <f t="shared" si="70"/>
        <v>0</v>
      </c>
      <c r="R598" t="b">
        <f>IF(LEN(K598)&gt;0,COUNTIF($K$3:K598,K598),FALSE)</f>
        <v>0</v>
      </c>
      <c r="S598" t="b">
        <f>IF(Taostats_CSV!A598=Taostats_CSV!$A$2,TRUE,Taostats_CSV!G598+Taostats_CSV!H598+Taostats_CSV!R598=0)</f>
        <v>1</v>
      </c>
      <c r="T598" t="b">
        <f t="shared" si="71"/>
        <v>0</v>
      </c>
      <c r="U598" t="b" cm="1">
        <f t="array" aca="1" ref="U598" ca="1">AND(T598,OR(O598-N598&gt;1,P598&gt;1,ISERROR(A598:P598)))</f>
        <v>0</v>
      </c>
      <c r="W598" t="e">
        <f>MATCH(K598&amp;$W$2,Taostats_CSV!$X$3:$X$1167,0)</f>
        <v>#N/A</v>
      </c>
      <c r="X598" t="e">
        <f t="shared" ca="1" si="66"/>
        <v>#VALUE!</v>
      </c>
      <c r="Y598">
        <f t="shared" ca="1" si="67"/>
        <v>0</v>
      </c>
      <c r="Z598" t="e">
        <f t="shared" ca="1" si="68"/>
        <v>#VALUE!</v>
      </c>
    </row>
    <row r="599" spans="1:26" x14ac:dyDescent="0.4">
      <c r="A599" t="str">
        <f>MID(Taostats_CSV!C599,6,2)&amp;"/"&amp;MID(Taostats_CSV!C599,9,2)&amp;"/"&amp;LEFT(Taostats_CSV!C599,4)&amp;" "&amp;MID(Taostats_CSV!C599,12,8)</f>
        <v>07/10/2025 23:59:48</v>
      </c>
      <c r="C599" t="str">
        <f ca="1">IF(Q599,OFFSET(Taostats_CSV!$E$1,MATCH(K599&amp;D$1,Taostats_CSV!$X:$X,0)-1,0),IF(Taostats_CSV!F599="fee",IF(VALUE(Taostats_CSV!G599)&gt;0,Taostats_CSV!E599,""),""))</f>
        <v/>
      </c>
      <c r="D599" t="str">
        <f ca="1">IF(Q599,OFFSET(Taostats_CSV!$G$1,MATCH(K599&amp;D$1,Taostats_CSV!$X:$X,0)-1,0),IF(Taostats_CSV!F599="fee",IF(VALUE(Taostats_CSV!G599)&gt;0,Taostats_CSV!G599,""),""))</f>
        <v/>
      </c>
      <c r="E599" t="str">
        <f ca="1">IF(AND(Q599,P599&gt;0),OFFSET(Taostats_CSV!$E$1,MATCH(K599&amp;F$1,Taostats_CSV!$X:$X,0)-1,0),IF(LEN(F599)&gt;0,Taostats_CSV!E599,""))</f>
        <v>SN3</v>
      </c>
      <c r="F599" t="str">
        <f ca="1">TRIM(IF(AND(Q599,P599&gt;0),OFFSET(Taostats_CSV!$H$1,MATCH(K599&amp;F$1,Taostats_CSV!$X:$X,0)-1,0),IF(LEN(Taostats_CSV!H599)&gt;0,Taostats_CSV!H599,Taostats_CSV!R599)))</f>
        <v>0.432772147</v>
      </c>
      <c r="G599" t="str">
        <f ca="1">IF(AND(Q599,N599=1),OFFSET(Taostats_CSV!$E$1,MATCH(K599&amp;H$1,Taostats_CSV!$X:$X,0)-1,0),"")</f>
        <v/>
      </c>
      <c r="H599" t="str">
        <f ca="1">IF(AND(Q599,N599=1),OFFSET(Taostats_CSV!$G$1,MATCH(K599&amp;H$1,Taostats_CSV!$X:$X,0)-1,0),"")</f>
        <v/>
      </c>
      <c r="I599" t="str">
        <f ca="1">IF(AND(LEN(K599)=0,LEN(F599)&gt;0),"Income",IF(AND(O599&gt;0,P599&gt;0,C599&lt;&gt;E599),"Trade",IF(AND(NOT(Q599),Taostats_CSV!F599="fee"),'READ ME'!$C$5,"")))</f>
        <v>Income</v>
      </c>
      <c r="J599" t="str">
        <f ca="1">SUBSTITUTE(IF(LEN(I599)=0,Taostats_CSV!F599&amp;" "&amp;Taostats_CSV!J599,IF(I599="Cost","Extrinsic fee","")),"_"," ")</f>
        <v/>
      </c>
      <c r="K599" t="str">
        <f>TRIM(IF(LEN(Taostats_CSV!I599)&gt;0,Taostats_CSV!I599,""))</f>
        <v/>
      </c>
      <c r="L599">
        <f ca="1">IF(Taostats_CSV!E599&lt;&gt;"TAO",IF(LEN(F599)&gt;0,F599,IF(LEN(D599)&gt;0,D599,0))*Taostats_CSV!P599,"")</f>
        <v>9.4708703954606577</v>
      </c>
      <c r="M599" t="str">
        <f t="shared" ca="1" si="69"/>
        <v>USD</v>
      </c>
      <c r="N599">
        <f>COUNTIF(Taostats_CSV!$X:$X,Taostats_CSV!$I599&amp;N$1)</f>
        <v>0</v>
      </c>
      <c r="O599">
        <f>COUNTIF(Taostats_CSV!$X:$X,Taostats_CSV!$I599&amp;O$1)</f>
        <v>0</v>
      </c>
      <c r="P599">
        <f>COUNTIF(Taostats_CSV!$X:$X,Taostats_CSV!$I599&amp;P$1)</f>
        <v>0</v>
      </c>
      <c r="Q599" t="b">
        <f t="shared" si="70"/>
        <v>0</v>
      </c>
      <c r="R599" t="b">
        <f>IF(LEN(K599)&gt;0,COUNTIF($K$3:K599,K599),FALSE)</f>
        <v>0</v>
      </c>
      <c r="S599" t="b">
        <f>IF(Taostats_CSV!A599=Taostats_CSV!$A$2,TRUE,Taostats_CSV!G599+Taostats_CSV!H599+Taostats_CSV!R599=0)</f>
        <v>0</v>
      </c>
      <c r="T599" t="b">
        <f t="shared" si="71"/>
        <v>1</v>
      </c>
      <c r="U599" t="b" cm="1">
        <f t="array" aca="1" ref="U599" ca="1">AND(T599,OR(O599-N599&gt;1,P599&gt;1,ISERROR(A599:P599)))</f>
        <v>0</v>
      </c>
      <c r="W599" t="e">
        <f>MATCH(K599&amp;$W$2,Taostats_CSV!$X$3:$X$1167,0)</f>
        <v>#N/A</v>
      </c>
      <c r="X599" t="e">
        <f t="shared" ca="1" si="66"/>
        <v>#VALUE!</v>
      </c>
      <c r="Y599">
        <f t="shared" ca="1" si="67"/>
        <v>0.432772147</v>
      </c>
      <c r="Z599" t="e">
        <f t="shared" ca="1" si="68"/>
        <v>#VALUE!</v>
      </c>
    </row>
    <row r="600" spans="1:26" x14ac:dyDescent="0.4">
      <c r="A600" t="str">
        <f>MID(Taostats_CSV!C600,6,2)&amp;"/"&amp;MID(Taostats_CSV!C600,9,2)&amp;"/"&amp;LEFT(Taostats_CSV!C600,4)&amp;" "&amp;MID(Taostats_CSV!C600,12,8)</f>
        <v>07/10/2025 23:59:48</v>
      </c>
      <c r="C600" t="str">
        <f ca="1">IF(Q600,OFFSET(Taostats_CSV!$E$1,MATCH(K600&amp;D$1,Taostats_CSV!$X:$X,0)-1,0),IF(Taostats_CSV!F600="fee",IF(VALUE(Taostats_CSV!G600)&gt;0,Taostats_CSV!E600,""),""))</f>
        <v/>
      </c>
      <c r="D600" t="str">
        <f ca="1">IF(Q600,OFFSET(Taostats_CSV!$G$1,MATCH(K600&amp;D$1,Taostats_CSV!$X:$X,0)-1,0),IF(Taostats_CSV!F600="fee",IF(VALUE(Taostats_CSV!G600)&gt;0,Taostats_CSV!G600,""),""))</f>
        <v/>
      </c>
      <c r="E600" t="str">
        <f ca="1">IF(AND(Q600,P600&gt;0),OFFSET(Taostats_CSV!$E$1,MATCH(K600&amp;F$1,Taostats_CSV!$X:$X,0)-1,0),IF(LEN(F600)&gt;0,Taostats_CSV!E600,""))</f>
        <v>SN4</v>
      </c>
      <c r="F600" t="str">
        <f ca="1">TRIM(IF(AND(Q600,P600&gt;0),OFFSET(Taostats_CSV!$H$1,MATCH(K600&amp;F$1,Taostats_CSV!$X:$X,0)-1,0),IF(LEN(Taostats_CSV!H600)&gt;0,Taostats_CSV!H600,Taostats_CSV!R600)))</f>
        <v>0.457158056</v>
      </c>
      <c r="G600" t="str">
        <f ca="1">IF(AND(Q600,N600=1),OFFSET(Taostats_CSV!$E$1,MATCH(K600&amp;H$1,Taostats_CSV!$X:$X,0)-1,0),"")</f>
        <v/>
      </c>
      <c r="H600" t="str">
        <f ca="1">IF(AND(Q600,N600=1),OFFSET(Taostats_CSV!$G$1,MATCH(K600&amp;H$1,Taostats_CSV!$X:$X,0)-1,0),"")</f>
        <v/>
      </c>
      <c r="I600" t="str">
        <f ca="1">IF(AND(LEN(K600)=0,LEN(F600)&gt;0),"Income",IF(AND(O600&gt;0,P600&gt;0,C600&lt;&gt;E600),"Trade",IF(AND(NOT(Q600),Taostats_CSV!F600="fee"),'READ ME'!$C$5,"")))</f>
        <v>Income</v>
      </c>
      <c r="J600" t="str">
        <f ca="1">SUBSTITUTE(IF(LEN(I600)=0,Taostats_CSV!F600&amp;" "&amp;Taostats_CSV!J600,IF(I600="Cost","Extrinsic fee","")),"_"," ")</f>
        <v/>
      </c>
      <c r="K600" t="str">
        <f>TRIM(IF(LEN(Taostats_CSV!I600)&gt;0,Taostats_CSV!I600,""))</f>
        <v/>
      </c>
      <c r="L600">
        <f ca="1">IF(Taostats_CSV!E600&lt;&gt;"TAO",IF(LEN(F600)&gt;0,F600,IF(LEN(D600)&gt;0,D600,0))*Taostats_CSV!P600,"")</f>
        <v>10.747246135296027</v>
      </c>
      <c r="M600" t="str">
        <f t="shared" ca="1" si="69"/>
        <v>USD</v>
      </c>
      <c r="N600">
        <f>COUNTIF(Taostats_CSV!$X:$X,Taostats_CSV!$I600&amp;N$1)</f>
        <v>0</v>
      </c>
      <c r="O600">
        <f>COUNTIF(Taostats_CSV!$X:$X,Taostats_CSV!$I600&amp;O$1)</f>
        <v>0</v>
      </c>
      <c r="P600">
        <f>COUNTIF(Taostats_CSV!$X:$X,Taostats_CSV!$I600&amp;P$1)</f>
        <v>0</v>
      </c>
      <c r="Q600" t="b">
        <f t="shared" si="70"/>
        <v>0</v>
      </c>
      <c r="R600" t="b">
        <f>IF(LEN(K600)&gt;0,COUNTIF($K$3:K600,K600),FALSE)</f>
        <v>0</v>
      </c>
      <c r="S600" t="b">
        <f>IF(Taostats_CSV!A600=Taostats_CSV!$A$2,TRUE,Taostats_CSV!G600+Taostats_CSV!H600+Taostats_CSV!R600=0)</f>
        <v>0</v>
      </c>
      <c r="T600" t="b">
        <f t="shared" si="71"/>
        <v>1</v>
      </c>
      <c r="U600" t="b" cm="1">
        <f t="array" aca="1" ref="U600" ca="1">AND(T600,OR(O600-N600&gt;1,P600&gt;1,ISERROR(A600:P600)))</f>
        <v>0</v>
      </c>
      <c r="W600" t="e">
        <f>MATCH(K600&amp;$W$2,Taostats_CSV!$X$3:$X$1167,0)</f>
        <v>#N/A</v>
      </c>
      <c r="X600" t="e">
        <f t="shared" ca="1" si="66"/>
        <v>#VALUE!</v>
      </c>
      <c r="Y600">
        <f t="shared" ca="1" si="67"/>
        <v>0.45715805599999998</v>
      </c>
      <c r="Z600" t="e">
        <f t="shared" ca="1" si="68"/>
        <v>#VALUE!</v>
      </c>
    </row>
    <row r="601" spans="1:26" x14ac:dyDescent="0.4">
      <c r="A601" t="str">
        <f>MID(Taostats_CSV!C601,6,2)&amp;"/"&amp;MID(Taostats_CSV!C601,9,2)&amp;"/"&amp;LEFT(Taostats_CSV!C601,4)&amp;" "&amp;MID(Taostats_CSV!C601,12,8)</f>
        <v>07/10/2025 23:59:48</v>
      </c>
      <c r="C601" t="str">
        <f ca="1">IF(Q601,OFFSET(Taostats_CSV!$E$1,MATCH(K601&amp;D$1,Taostats_CSV!$X:$X,0)-1,0),IF(Taostats_CSV!F601="fee",IF(VALUE(Taostats_CSV!G601)&gt;0,Taostats_CSV!E601,""),""))</f>
        <v/>
      </c>
      <c r="D601" t="str">
        <f ca="1">IF(Q601,OFFSET(Taostats_CSV!$G$1,MATCH(K601&amp;D$1,Taostats_CSV!$X:$X,0)-1,0),IF(Taostats_CSV!F601="fee",IF(VALUE(Taostats_CSV!G601)&gt;0,Taostats_CSV!G601,""),""))</f>
        <v/>
      </c>
      <c r="E601" t="str">
        <f ca="1">IF(AND(Q601,P601&gt;0),OFFSET(Taostats_CSV!$E$1,MATCH(K601&amp;F$1,Taostats_CSV!$X:$X,0)-1,0),IF(LEN(F601)&gt;0,Taostats_CSV!E601,""))</f>
        <v>SN56</v>
      </c>
      <c r="F601" t="str">
        <f ca="1">TRIM(IF(AND(Q601,P601&gt;0),OFFSET(Taostats_CSV!$H$1,MATCH(K601&amp;F$1,Taostats_CSV!$X:$X,0)-1,0),IF(LEN(Taostats_CSV!H601)&gt;0,Taostats_CSV!H601,Taostats_CSV!R601)))</f>
        <v>0.252905069</v>
      </c>
      <c r="G601" t="str">
        <f ca="1">IF(AND(Q601,N601=1),OFFSET(Taostats_CSV!$E$1,MATCH(K601&amp;H$1,Taostats_CSV!$X:$X,0)-1,0),"")</f>
        <v/>
      </c>
      <c r="H601" t="str">
        <f ca="1">IF(AND(Q601,N601=1),OFFSET(Taostats_CSV!$G$1,MATCH(K601&amp;H$1,Taostats_CSV!$X:$X,0)-1,0),"")</f>
        <v/>
      </c>
      <c r="I601" t="str">
        <f ca="1">IF(AND(LEN(K601)=0,LEN(F601)&gt;0),"Income",IF(AND(O601&gt;0,P601&gt;0,C601&lt;&gt;E601),"Trade",IF(AND(NOT(Q601),Taostats_CSV!F601="fee"),'READ ME'!$C$5,"")))</f>
        <v>Income</v>
      </c>
      <c r="J601" t="str">
        <f ca="1">SUBSTITUTE(IF(LEN(I601)=0,Taostats_CSV!F601&amp;" "&amp;Taostats_CSV!J601,IF(I601="Cost","Extrinsic fee","")),"_"," ")</f>
        <v/>
      </c>
      <c r="K601" t="str">
        <f>TRIM(IF(LEN(Taostats_CSV!I601)&gt;0,Taostats_CSV!I601,""))</f>
        <v/>
      </c>
      <c r="L601">
        <f ca="1">IF(Taostats_CSV!E601&lt;&gt;"TAO",IF(LEN(F601)&gt;0,F601,IF(LEN(D601)&gt;0,D601,0))*Taostats_CSV!P601,"")</f>
        <v>5.4393467268366686</v>
      </c>
      <c r="M601" t="str">
        <f t="shared" ca="1" si="69"/>
        <v>USD</v>
      </c>
      <c r="N601">
        <f>COUNTIF(Taostats_CSV!$X:$X,Taostats_CSV!$I601&amp;N$1)</f>
        <v>0</v>
      </c>
      <c r="O601">
        <f>COUNTIF(Taostats_CSV!$X:$X,Taostats_CSV!$I601&amp;O$1)</f>
        <v>0</v>
      </c>
      <c r="P601">
        <f>COUNTIF(Taostats_CSV!$X:$X,Taostats_CSV!$I601&amp;P$1)</f>
        <v>0</v>
      </c>
      <c r="Q601" t="b">
        <f t="shared" si="70"/>
        <v>0</v>
      </c>
      <c r="R601" t="b">
        <f>IF(LEN(K601)&gt;0,COUNTIF($K$3:K601,K601),FALSE)</f>
        <v>0</v>
      </c>
      <c r="S601" t="b">
        <f>IF(Taostats_CSV!A601=Taostats_CSV!$A$2,TRUE,Taostats_CSV!G601+Taostats_CSV!H601+Taostats_CSV!R601=0)</f>
        <v>0</v>
      </c>
      <c r="T601" t="b">
        <f t="shared" si="71"/>
        <v>1</v>
      </c>
      <c r="U601" t="b" cm="1">
        <f t="array" aca="1" ref="U601" ca="1">AND(T601,OR(O601-N601&gt;1,P601&gt;1,ISERROR(A601:P601)))</f>
        <v>0</v>
      </c>
      <c r="W601" t="e">
        <f>MATCH(K601&amp;$W$2,Taostats_CSV!$X$3:$X$1167,0)</f>
        <v>#N/A</v>
      </c>
      <c r="X601" t="e">
        <f t="shared" ca="1" si="66"/>
        <v>#VALUE!</v>
      </c>
      <c r="Y601">
        <f t="shared" ca="1" si="67"/>
        <v>0.25290506899999998</v>
      </c>
      <c r="Z601" t="e">
        <f t="shared" ca="1" si="68"/>
        <v>#VALUE!</v>
      </c>
    </row>
    <row r="602" spans="1:26" x14ac:dyDescent="0.4">
      <c r="A602" t="str">
        <f>MID(Taostats_CSV!C602,6,2)&amp;"/"&amp;MID(Taostats_CSV!C602,9,2)&amp;"/"&amp;LEFT(Taostats_CSV!C602,4)&amp;" "&amp;MID(Taostats_CSV!C602,12,8)</f>
        <v>07/10/2025 23:59:48</v>
      </c>
      <c r="C602" t="str">
        <f ca="1">IF(Q602,OFFSET(Taostats_CSV!$E$1,MATCH(K602&amp;D$1,Taostats_CSV!$X:$X,0)-1,0),IF(Taostats_CSV!F602="fee",IF(VALUE(Taostats_CSV!G602)&gt;0,Taostats_CSV!E602,""),""))</f>
        <v/>
      </c>
      <c r="D602" t="str">
        <f ca="1">IF(Q602,OFFSET(Taostats_CSV!$G$1,MATCH(K602&amp;D$1,Taostats_CSV!$X:$X,0)-1,0),IF(Taostats_CSV!F602="fee",IF(VALUE(Taostats_CSV!G602)&gt;0,Taostats_CSV!G602,""),""))</f>
        <v/>
      </c>
      <c r="E602" t="str">
        <f ca="1">IF(AND(Q602,P602&gt;0),OFFSET(Taostats_CSV!$E$1,MATCH(K602&amp;F$1,Taostats_CSV!$X:$X,0)-1,0),IF(LEN(F602)&gt;0,Taostats_CSV!E602,""))</f>
        <v>SN64</v>
      </c>
      <c r="F602" t="str">
        <f ca="1">TRIM(IF(AND(Q602,P602&gt;0),OFFSET(Taostats_CSV!$H$1,MATCH(K602&amp;F$1,Taostats_CSV!$X:$X,0)-1,0),IF(LEN(Taostats_CSV!H602)&gt;0,Taostats_CSV!H602,Taostats_CSV!R602)))</f>
        <v>0.147033867</v>
      </c>
      <c r="G602" t="str">
        <f ca="1">IF(AND(Q602,N602=1),OFFSET(Taostats_CSV!$E$1,MATCH(K602&amp;H$1,Taostats_CSV!$X:$X,0)-1,0),"")</f>
        <v/>
      </c>
      <c r="H602" t="str">
        <f ca="1">IF(AND(Q602,N602=1),OFFSET(Taostats_CSV!$G$1,MATCH(K602&amp;H$1,Taostats_CSV!$X:$X,0)-1,0),"")</f>
        <v/>
      </c>
      <c r="I602" t="str">
        <f ca="1">IF(AND(LEN(K602)=0,LEN(F602)&gt;0),"Income",IF(AND(O602&gt;0,P602&gt;0,C602&lt;&gt;E602),"Trade",IF(AND(NOT(Q602),Taostats_CSV!F602="fee"),'READ ME'!$C$5,"")))</f>
        <v>Income</v>
      </c>
      <c r="J602" t="str">
        <f ca="1">SUBSTITUTE(IF(LEN(I602)=0,Taostats_CSV!F602&amp;" "&amp;Taostats_CSV!J602,IF(I602="Cost","Extrinsic fee","")),"_"," ")</f>
        <v/>
      </c>
      <c r="K602" t="str">
        <f>TRIM(IF(LEN(Taostats_CSV!I602)&gt;0,Taostats_CSV!I602,""))</f>
        <v/>
      </c>
      <c r="L602">
        <f ca="1">IF(Taostats_CSV!E602&lt;&gt;"TAO",IF(LEN(F602)&gt;0,F602,IF(LEN(D602)&gt;0,D602,0))*Taostats_CSV!P602,"")</f>
        <v>7.7319549556332854</v>
      </c>
      <c r="M602" t="str">
        <f t="shared" ca="1" si="69"/>
        <v>USD</v>
      </c>
      <c r="N602">
        <f>COUNTIF(Taostats_CSV!$X:$X,Taostats_CSV!$I602&amp;N$1)</f>
        <v>0</v>
      </c>
      <c r="O602">
        <f>COUNTIF(Taostats_CSV!$X:$X,Taostats_CSV!$I602&amp;O$1)</f>
        <v>0</v>
      </c>
      <c r="P602">
        <f>COUNTIF(Taostats_CSV!$X:$X,Taostats_CSV!$I602&amp;P$1)</f>
        <v>0</v>
      </c>
      <c r="Q602" t="b">
        <f t="shared" si="70"/>
        <v>0</v>
      </c>
      <c r="R602" t="b">
        <f>IF(LEN(K602)&gt;0,COUNTIF($K$3:K602,K602),FALSE)</f>
        <v>0</v>
      </c>
      <c r="S602" t="b">
        <f>IF(Taostats_CSV!A602=Taostats_CSV!$A$2,TRUE,Taostats_CSV!G602+Taostats_CSV!H602+Taostats_CSV!R602=0)</f>
        <v>0</v>
      </c>
      <c r="T602" t="b">
        <f t="shared" si="71"/>
        <v>1</v>
      </c>
      <c r="U602" t="b" cm="1">
        <f t="array" aca="1" ref="U602" ca="1">AND(T602,OR(O602-N602&gt;1,P602&gt;1,ISERROR(A602:P602)))</f>
        <v>0</v>
      </c>
      <c r="W602" t="e">
        <f>MATCH(K602&amp;$W$2,Taostats_CSV!$X$3:$X$1167,0)</f>
        <v>#N/A</v>
      </c>
      <c r="X602" t="e">
        <f t="shared" ca="1" si="66"/>
        <v>#VALUE!</v>
      </c>
      <c r="Y602">
        <f t="shared" ca="1" si="67"/>
        <v>0.14703386700000001</v>
      </c>
      <c r="Z602" t="e">
        <f t="shared" ca="1" si="68"/>
        <v>#VALUE!</v>
      </c>
    </row>
    <row r="603" spans="1:26" hidden="1" x14ac:dyDescent="0.4">
      <c r="A603" t="str">
        <f>MID(Taostats_CSV!C603,6,2)&amp;"/"&amp;MID(Taostats_CSV!C603,9,2)&amp;"/"&amp;LEFT(Taostats_CSV!C603,4)&amp;" "&amp;MID(Taostats_CSV!C603,12,8)</f>
        <v>07/10/2025 23:59:48</v>
      </c>
      <c r="C603" t="str">
        <f ca="1">IF(Q603,OFFSET(Taostats_CSV!$E$1,MATCH(K603&amp;D$1,Taostats_CSV!$X:$X,0)-1,0),IF(Taostats_CSV!F603="fee","",IF(VALUE(Taostats_CSV!G603)&gt;0,Taostats_CSV!E603,"")))</f>
        <v/>
      </c>
      <c r="D603" t="str">
        <f ca="1">IF(Q603,OFFSET(Taostats_CSV!$G$1,MATCH(K603&amp;D$1,Taostats_CSV!$X:$X,0)-1,0),IF(Taostats_CSV!F603="fee","",IF(VALUE(Taostats_CSV!G603)&gt;0,Taostats_CSV!G603,"")))</f>
        <v/>
      </c>
      <c r="E603" t="str">
        <f ca="1">IF(AND(Q603,P603&gt;0),OFFSET(Taostats_CSV!$E$1,MATCH(K603&amp;F$1,Taostats_CSV!$X:$X,0)-1,0),IF(LEN(F603)&gt;0,Taostats_CSV!E603,""))</f>
        <v>TAO</v>
      </c>
      <c r="F603" t="str">
        <f ca="1">TRIM(IF(AND(Q603,P603&gt;0),OFFSET(Taostats_CSV!$H$1,MATCH(K603&amp;F$1,Taostats_CSV!$X:$X,0)-1,0),IF(LEN(Taostats_CSV!H603)&gt;0,Taostats_CSV!H603,Taostats_CSV!R603)))</f>
        <v>0</v>
      </c>
      <c r="G603" t="str">
        <f ca="1">IF(AND(Q603,N603=1),OFFSET(Taostats_CSV!$E$1,MATCH(K603&amp;H$1,Taostats_CSV!$X:$X,0)-1,0),IF(Taostats_CSV!F603="fee",Taostats_CSV!E603,""))</f>
        <v/>
      </c>
      <c r="H603" t="str">
        <f ca="1">IF(AND(Q603,N603=1),OFFSET(Taostats_CSV!$G$1,MATCH(K603&amp;H$1,Taostats_CSV!$X:$X,0)-1,0),IF(Taostats_CSV!F603="fee",Taostats_CSV!G603,""))</f>
        <v/>
      </c>
      <c r="I603" t="str">
        <f ca="1">IF(AND(LEN(K603)=0,LEN(F603)&gt;0),"Income",IF(AND(O603&gt;0,P603&gt;0,C603&lt;&gt;E603),"Trade",IF(AND(NOT(Q603),Taostats_CSV!F603="fee"),'READ ME'!$C$5,"")))</f>
        <v>Income</v>
      </c>
      <c r="J603" t="str">
        <f ca="1">SUBSTITUTE(IF(LEN(I603)=0,Taostats_CSV!F603&amp;" "&amp;Taostats_CSV!J603,IF(I603="Cost","Extrinsic fee","")),"_"," ")</f>
        <v/>
      </c>
      <c r="K603" t="str">
        <f>TRIM(IF(LEN(Taostats_CSV!I603)&gt;0,Taostats_CSV!I603,""))</f>
        <v/>
      </c>
      <c r="L603" t="str">
        <f>IF(Taostats_CSV!E603&lt;&gt;"TAO",IF(LEN(F603)&gt;0,F603,IF(LEN(D603)&gt;0,D603,0))*Taostats_CSV!P603,"")</f>
        <v/>
      </c>
      <c r="M603" t="str">
        <f t="shared" si="69"/>
        <v/>
      </c>
      <c r="N603">
        <f>COUNTIF(Taostats_CSV!$X:$X,Taostats_CSV!$I603&amp;N$1)</f>
        <v>0</v>
      </c>
      <c r="O603">
        <f>COUNTIF(Taostats_CSV!$X:$X,Taostats_CSV!$I603&amp;O$1)</f>
        <v>0</v>
      </c>
      <c r="P603">
        <f>COUNTIF(Taostats_CSV!$X:$X,Taostats_CSV!$I603&amp;P$1)</f>
        <v>0</v>
      </c>
      <c r="Q603" t="b">
        <f t="shared" si="70"/>
        <v>0</v>
      </c>
      <c r="R603" t="b">
        <f>IF(LEN(K603)&gt;0,COUNTIF($K$3:K603,K603),FALSE)</f>
        <v>0</v>
      </c>
      <c r="S603" t="b">
        <f>IF(Taostats_CSV!A603=Taostats_CSV!$A$2,TRUE,Taostats_CSV!G603+Taostats_CSV!H603+Taostats_CSV!R603=0)</f>
        <v>1</v>
      </c>
      <c r="T603" t="b">
        <f t="shared" si="71"/>
        <v>0</v>
      </c>
      <c r="U603" t="b" cm="1">
        <f t="array" aca="1" ref="U603" ca="1">AND(T603,OR(O603-N603&gt;1,P603&gt;1,ISERROR(A603:P603)))</f>
        <v>0</v>
      </c>
      <c r="W603" t="e">
        <f>MATCH(K603&amp;$W$2,Taostats_CSV!$X$3:$X$1167,0)</f>
        <v>#N/A</v>
      </c>
      <c r="X603" t="e">
        <f t="shared" ca="1" si="66"/>
        <v>#VALUE!</v>
      </c>
      <c r="Y603">
        <f t="shared" ca="1" si="67"/>
        <v>0</v>
      </c>
      <c r="Z603" t="e">
        <f t="shared" ca="1" si="68"/>
        <v>#VALUE!</v>
      </c>
    </row>
    <row r="604" spans="1:26" x14ac:dyDescent="0.4">
      <c r="A604" t="str">
        <f>MID(Taostats_CSV!C604,6,2)&amp;"/"&amp;MID(Taostats_CSV!C604,9,2)&amp;"/"&amp;LEFT(Taostats_CSV!C604,4)&amp;" "&amp;MID(Taostats_CSV!C604,12,8)</f>
        <v>07/11/2025 23:59:48</v>
      </c>
      <c r="C604" t="str">
        <f ca="1">IF(Q604,OFFSET(Taostats_CSV!$E$1,MATCH(K604&amp;D$1,Taostats_CSV!$X:$X,0)-1,0),IF(Taostats_CSV!F604="fee",IF(VALUE(Taostats_CSV!G604)&gt;0,Taostats_CSV!E604,""),""))</f>
        <v/>
      </c>
      <c r="D604" t="str">
        <f ca="1">IF(Q604,OFFSET(Taostats_CSV!$G$1,MATCH(K604&amp;D$1,Taostats_CSV!$X:$X,0)-1,0),IF(Taostats_CSV!F604="fee",IF(VALUE(Taostats_CSV!G604)&gt;0,Taostats_CSV!G604,""),""))</f>
        <v/>
      </c>
      <c r="E604" t="str">
        <f ca="1">IF(AND(Q604,P604&gt;0),OFFSET(Taostats_CSV!$E$1,MATCH(K604&amp;F$1,Taostats_CSV!$X:$X,0)-1,0),IF(LEN(F604)&gt;0,Taostats_CSV!E604,""))</f>
        <v>SN3</v>
      </c>
      <c r="F604" t="str">
        <f ca="1">TRIM(IF(AND(Q604,P604&gt;0),OFFSET(Taostats_CSV!$H$1,MATCH(K604&amp;F$1,Taostats_CSV!$X:$X,0)-1,0),IF(LEN(Taostats_CSV!H604)&gt;0,Taostats_CSV!H604,Taostats_CSV!R604)))</f>
        <v>0.436349769</v>
      </c>
      <c r="G604" t="str">
        <f ca="1">IF(AND(Q604,N604=1),OFFSET(Taostats_CSV!$E$1,MATCH(K604&amp;H$1,Taostats_CSV!$X:$X,0)-1,0),"")</f>
        <v/>
      </c>
      <c r="H604" t="str">
        <f ca="1">IF(AND(Q604,N604=1),OFFSET(Taostats_CSV!$G$1,MATCH(K604&amp;H$1,Taostats_CSV!$X:$X,0)-1,0),"")</f>
        <v/>
      </c>
      <c r="I604" t="str">
        <f ca="1">IF(AND(LEN(K604)=0,LEN(F604)&gt;0),"Income",IF(AND(O604&gt;0,P604&gt;0,C604&lt;&gt;E604),"Trade",IF(AND(NOT(Q604),Taostats_CSV!F604="fee"),'READ ME'!$C$5,"")))</f>
        <v>Income</v>
      </c>
      <c r="J604" t="str">
        <f ca="1">SUBSTITUTE(IF(LEN(I604)=0,Taostats_CSV!F604&amp;" "&amp;Taostats_CSV!J604,IF(I604="Cost","Extrinsic fee","")),"_"," ")</f>
        <v/>
      </c>
      <c r="K604" t="str">
        <f>TRIM(IF(LEN(Taostats_CSV!I604)&gt;0,Taostats_CSV!I604,""))</f>
        <v/>
      </c>
      <c r="L604">
        <f ca="1">IF(Taostats_CSV!E604&lt;&gt;"TAO",IF(LEN(F604)&gt;0,F604,IF(LEN(D604)&gt;0,D604,0))*Taostats_CSV!P604,"")</f>
        <v>9.8161595598204467</v>
      </c>
      <c r="M604" t="str">
        <f t="shared" ca="1" si="69"/>
        <v>USD</v>
      </c>
      <c r="N604">
        <f>COUNTIF(Taostats_CSV!$X:$X,Taostats_CSV!$I604&amp;N$1)</f>
        <v>0</v>
      </c>
      <c r="O604">
        <f>COUNTIF(Taostats_CSV!$X:$X,Taostats_CSV!$I604&amp;O$1)</f>
        <v>0</v>
      </c>
      <c r="P604">
        <f>COUNTIF(Taostats_CSV!$X:$X,Taostats_CSV!$I604&amp;P$1)</f>
        <v>0</v>
      </c>
      <c r="Q604" t="b">
        <f t="shared" si="70"/>
        <v>0</v>
      </c>
      <c r="R604" t="b">
        <f>IF(LEN(K604)&gt;0,COUNTIF($K$3:K604,K604),FALSE)</f>
        <v>0</v>
      </c>
      <c r="S604" t="b">
        <f>IF(Taostats_CSV!A604=Taostats_CSV!$A$2,TRUE,Taostats_CSV!G604+Taostats_CSV!H604+Taostats_CSV!R604=0)</f>
        <v>0</v>
      </c>
      <c r="T604" t="b">
        <f t="shared" si="71"/>
        <v>1</v>
      </c>
      <c r="U604" t="b" cm="1">
        <f t="array" aca="1" ref="U604" ca="1">AND(T604,OR(O604-N604&gt;1,P604&gt;1,ISERROR(A604:P604)))</f>
        <v>0</v>
      </c>
      <c r="W604" t="e">
        <f>MATCH(K604&amp;$W$2,Taostats_CSV!$X$3:$X$1167,0)</f>
        <v>#N/A</v>
      </c>
      <c r="X604" t="e">
        <f t="shared" ca="1" si="66"/>
        <v>#VALUE!</v>
      </c>
      <c r="Y604">
        <f t="shared" ca="1" si="67"/>
        <v>0.436349769</v>
      </c>
      <c r="Z604" t="e">
        <f t="shared" ca="1" si="68"/>
        <v>#VALUE!</v>
      </c>
    </row>
    <row r="605" spans="1:26" x14ac:dyDescent="0.4">
      <c r="A605" t="str">
        <f>MID(Taostats_CSV!C605,6,2)&amp;"/"&amp;MID(Taostats_CSV!C605,9,2)&amp;"/"&amp;LEFT(Taostats_CSV!C605,4)&amp;" "&amp;MID(Taostats_CSV!C605,12,8)</f>
        <v>07/11/2025 23:59:48</v>
      </c>
      <c r="C605" t="str">
        <f ca="1">IF(Q605,OFFSET(Taostats_CSV!$E$1,MATCH(K605&amp;D$1,Taostats_CSV!$X:$X,0)-1,0),IF(Taostats_CSV!F605="fee",IF(VALUE(Taostats_CSV!G605)&gt;0,Taostats_CSV!E605,""),""))</f>
        <v/>
      </c>
      <c r="D605" t="str">
        <f ca="1">IF(Q605,OFFSET(Taostats_CSV!$G$1,MATCH(K605&amp;D$1,Taostats_CSV!$X:$X,0)-1,0),IF(Taostats_CSV!F605="fee",IF(VALUE(Taostats_CSV!G605)&gt;0,Taostats_CSV!G605,""),""))</f>
        <v/>
      </c>
      <c r="E605" t="str">
        <f ca="1">IF(AND(Q605,P605&gt;0),OFFSET(Taostats_CSV!$E$1,MATCH(K605&amp;F$1,Taostats_CSV!$X:$X,0)-1,0),IF(LEN(F605)&gt;0,Taostats_CSV!E605,""))</f>
        <v>SN4</v>
      </c>
      <c r="F605" t="str">
        <f ca="1">TRIM(IF(AND(Q605,P605&gt;0),OFFSET(Taostats_CSV!$H$1,MATCH(K605&amp;F$1,Taostats_CSV!$X:$X,0)-1,0),IF(LEN(Taostats_CSV!H605)&gt;0,Taostats_CSV!H605,Taostats_CSV!R605)))</f>
        <v>0.461578404</v>
      </c>
      <c r="G605" t="str">
        <f ca="1">IF(AND(Q605,N605=1),OFFSET(Taostats_CSV!$E$1,MATCH(K605&amp;H$1,Taostats_CSV!$X:$X,0)-1,0),"")</f>
        <v/>
      </c>
      <c r="H605" t="str">
        <f ca="1">IF(AND(Q605,N605=1),OFFSET(Taostats_CSV!$G$1,MATCH(K605&amp;H$1,Taostats_CSV!$X:$X,0)-1,0),"")</f>
        <v/>
      </c>
      <c r="I605" t="str">
        <f ca="1">IF(AND(LEN(K605)=0,LEN(F605)&gt;0),"Income",IF(AND(O605&gt;0,P605&gt;0,C605&lt;&gt;E605),"Trade",IF(AND(NOT(Q605),Taostats_CSV!F605="fee"),'READ ME'!$C$5,"")))</f>
        <v>Income</v>
      </c>
      <c r="J605" t="str">
        <f ca="1">SUBSTITUTE(IF(LEN(I605)=0,Taostats_CSV!F605&amp;" "&amp;Taostats_CSV!J605,IF(I605="Cost","Extrinsic fee","")),"_"," ")</f>
        <v/>
      </c>
      <c r="K605" t="str">
        <f>TRIM(IF(LEN(Taostats_CSV!I605)&gt;0,Taostats_CSV!I605,""))</f>
        <v/>
      </c>
      <c r="L605">
        <f ca="1">IF(Taostats_CSV!E605&lt;&gt;"TAO",IF(LEN(F605)&gt;0,F605,IF(LEN(D605)&gt;0,D605,0))*Taostats_CSV!P605,"")</f>
        <v>11.331208793184711</v>
      </c>
      <c r="M605" t="str">
        <f t="shared" ca="1" si="69"/>
        <v>USD</v>
      </c>
      <c r="N605">
        <f>COUNTIF(Taostats_CSV!$X:$X,Taostats_CSV!$I605&amp;N$1)</f>
        <v>0</v>
      </c>
      <c r="O605">
        <f>COUNTIF(Taostats_CSV!$X:$X,Taostats_CSV!$I605&amp;O$1)</f>
        <v>0</v>
      </c>
      <c r="P605">
        <f>COUNTIF(Taostats_CSV!$X:$X,Taostats_CSV!$I605&amp;P$1)</f>
        <v>0</v>
      </c>
      <c r="Q605" t="b">
        <f t="shared" si="70"/>
        <v>0</v>
      </c>
      <c r="R605" t="b">
        <f>IF(LEN(K605)&gt;0,COUNTIF($K$3:K605,K605),FALSE)</f>
        <v>0</v>
      </c>
      <c r="S605" t="b">
        <f>IF(Taostats_CSV!A605=Taostats_CSV!$A$2,TRUE,Taostats_CSV!G605+Taostats_CSV!H605+Taostats_CSV!R605=0)</f>
        <v>0</v>
      </c>
      <c r="T605" t="b">
        <f t="shared" si="71"/>
        <v>1</v>
      </c>
      <c r="U605" t="b" cm="1">
        <f t="array" aca="1" ref="U605" ca="1">AND(T605,OR(O605-N605&gt;1,P605&gt;1,ISERROR(A605:P605)))</f>
        <v>0</v>
      </c>
      <c r="W605" t="e">
        <f>MATCH(K605&amp;$W$2,Taostats_CSV!$X$3:$X$1167,0)</f>
        <v>#N/A</v>
      </c>
      <c r="X605" t="e">
        <f t="shared" ca="1" si="66"/>
        <v>#VALUE!</v>
      </c>
      <c r="Y605">
        <f t="shared" ca="1" si="67"/>
        <v>0.461578404</v>
      </c>
      <c r="Z605" t="e">
        <f t="shared" ca="1" si="68"/>
        <v>#VALUE!</v>
      </c>
    </row>
    <row r="606" spans="1:26" x14ac:dyDescent="0.4">
      <c r="A606" t="str">
        <f>MID(Taostats_CSV!C606,6,2)&amp;"/"&amp;MID(Taostats_CSV!C606,9,2)&amp;"/"&amp;LEFT(Taostats_CSV!C606,4)&amp;" "&amp;MID(Taostats_CSV!C606,12,8)</f>
        <v>07/11/2025 23:59:48</v>
      </c>
      <c r="C606" t="str">
        <f ca="1">IF(Q606,OFFSET(Taostats_CSV!$E$1,MATCH(K606&amp;D$1,Taostats_CSV!$X:$X,0)-1,0),IF(Taostats_CSV!F606="fee",IF(VALUE(Taostats_CSV!G606)&gt;0,Taostats_CSV!E606,""),""))</f>
        <v/>
      </c>
      <c r="D606" t="str">
        <f ca="1">IF(Q606,OFFSET(Taostats_CSV!$G$1,MATCH(K606&amp;D$1,Taostats_CSV!$X:$X,0)-1,0),IF(Taostats_CSV!F606="fee",IF(VALUE(Taostats_CSV!G606)&gt;0,Taostats_CSV!G606,""),""))</f>
        <v/>
      </c>
      <c r="E606" t="str">
        <f ca="1">IF(AND(Q606,P606&gt;0),OFFSET(Taostats_CSV!$E$1,MATCH(K606&amp;F$1,Taostats_CSV!$X:$X,0)-1,0),IF(LEN(F606)&gt;0,Taostats_CSV!E606,""))</f>
        <v>SN56</v>
      </c>
      <c r="F606" t="str">
        <f ca="1">TRIM(IF(AND(Q606,P606&gt;0),OFFSET(Taostats_CSV!$H$1,MATCH(K606&amp;F$1,Taostats_CSV!$X:$X,0)-1,0),IF(LEN(Taostats_CSV!H606)&gt;0,Taostats_CSV!H606,Taostats_CSV!R606)))</f>
        <v>0.240190967</v>
      </c>
      <c r="G606" t="str">
        <f ca="1">IF(AND(Q606,N606=1),OFFSET(Taostats_CSV!$E$1,MATCH(K606&amp;H$1,Taostats_CSV!$X:$X,0)-1,0),"")</f>
        <v/>
      </c>
      <c r="H606" t="str">
        <f ca="1">IF(AND(Q606,N606=1),OFFSET(Taostats_CSV!$G$1,MATCH(K606&amp;H$1,Taostats_CSV!$X:$X,0)-1,0),"")</f>
        <v/>
      </c>
      <c r="I606" t="str">
        <f ca="1">IF(AND(LEN(K606)=0,LEN(F606)&gt;0),"Income",IF(AND(O606&gt;0,P606&gt;0,C606&lt;&gt;E606),"Trade",IF(AND(NOT(Q606),Taostats_CSV!F606="fee"),'READ ME'!$C$5,"")))</f>
        <v>Income</v>
      </c>
      <c r="J606" t="str">
        <f ca="1">SUBSTITUTE(IF(LEN(I606)=0,Taostats_CSV!F606&amp;" "&amp;Taostats_CSV!J606,IF(I606="Cost","Extrinsic fee","")),"_"," ")</f>
        <v/>
      </c>
      <c r="K606" t="str">
        <f>TRIM(IF(LEN(Taostats_CSV!I606)&gt;0,Taostats_CSV!I606,""))</f>
        <v/>
      </c>
      <c r="L606">
        <f ca="1">IF(Taostats_CSV!E606&lt;&gt;"TAO",IF(LEN(F606)&gt;0,F606,IF(LEN(D606)&gt;0,D606,0))*Taostats_CSV!P606,"")</f>
        <v>4.9161259883160886</v>
      </c>
      <c r="M606" t="str">
        <f t="shared" ca="1" si="69"/>
        <v>USD</v>
      </c>
      <c r="N606">
        <f>COUNTIF(Taostats_CSV!$X:$X,Taostats_CSV!$I606&amp;N$1)</f>
        <v>0</v>
      </c>
      <c r="O606">
        <f>COUNTIF(Taostats_CSV!$X:$X,Taostats_CSV!$I606&amp;O$1)</f>
        <v>0</v>
      </c>
      <c r="P606">
        <f>COUNTIF(Taostats_CSV!$X:$X,Taostats_CSV!$I606&amp;P$1)</f>
        <v>0</v>
      </c>
      <c r="Q606" t="b">
        <f t="shared" si="70"/>
        <v>0</v>
      </c>
      <c r="R606" t="b">
        <f>IF(LEN(K606)&gt;0,COUNTIF($K$3:K606,K606),FALSE)</f>
        <v>0</v>
      </c>
      <c r="S606" t="b">
        <f>IF(Taostats_CSV!A606=Taostats_CSV!$A$2,TRUE,Taostats_CSV!G606+Taostats_CSV!H606+Taostats_CSV!R606=0)</f>
        <v>0</v>
      </c>
      <c r="T606" t="b">
        <f t="shared" si="71"/>
        <v>1</v>
      </c>
      <c r="U606" t="b" cm="1">
        <f t="array" aca="1" ref="U606" ca="1">AND(T606,OR(O606-N606&gt;1,P606&gt;1,ISERROR(A606:P606)))</f>
        <v>0</v>
      </c>
      <c r="W606" t="e">
        <f>MATCH(K606&amp;$W$2,Taostats_CSV!$X$3:$X$1167,0)</f>
        <v>#N/A</v>
      </c>
      <c r="X606" t="e">
        <f t="shared" ca="1" si="66"/>
        <v>#VALUE!</v>
      </c>
      <c r="Y606">
        <f t="shared" ca="1" si="67"/>
        <v>0.24019096700000001</v>
      </c>
      <c r="Z606" t="e">
        <f t="shared" ca="1" si="68"/>
        <v>#VALUE!</v>
      </c>
    </row>
    <row r="607" spans="1:26" x14ac:dyDescent="0.4">
      <c r="A607" t="str">
        <f>MID(Taostats_CSV!C607,6,2)&amp;"/"&amp;MID(Taostats_CSV!C607,9,2)&amp;"/"&amp;LEFT(Taostats_CSV!C607,4)&amp;" "&amp;MID(Taostats_CSV!C607,12,8)</f>
        <v>07/11/2025 23:59:48</v>
      </c>
      <c r="C607" t="str">
        <f ca="1">IF(Q607,OFFSET(Taostats_CSV!$E$1,MATCH(K607&amp;D$1,Taostats_CSV!$X:$X,0)-1,0),IF(Taostats_CSV!F607="fee",IF(VALUE(Taostats_CSV!G607)&gt;0,Taostats_CSV!E607,""),""))</f>
        <v/>
      </c>
      <c r="D607" t="str">
        <f ca="1">IF(Q607,OFFSET(Taostats_CSV!$G$1,MATCH(K607&amp;D$1,Taostats_CSV!$X:$X,0)-1,0),IF(Taostats_CSV!F607="fee",IF(VALUE(Taostats_CSV!G607)&gt;0,Taostats_CSV!G607,""),""))</f>
        <v/>
      </c>
      <c r="E607" t="str">
        <f ca="1">IF(AND(Q607,P607&gt;0),OFFSET(Taostats_CSV!$E$1,MATCH(K607&amp;F$1,Taostats_CSV!$X:$X,0)-1,0),IF(LEN(F607)&gt;0,Taostats_CSV!E607,""))</f>
        <v>SN64</v>
      </c>
      <c r="F607" t="str">
        <f ca="1">TRIM(IF(AND(Q607,P607&gt;0),OFFSET(Taostats_CSV!$H$1,MATCH(K607&amp;F$1,Taostats_CSV!$X:$X,0)-1,0),IF(LEN(Taostats_CSV!H607)&gt;0,Taostats_CSV!H607,Taostats_CSV!R607)))</f>
        <v>0.140427591</v>
      </c>
      <c r="G607" t="str">
        <f ca="1">IF(AND(Q607,N607=1),OFFSET(Taostats_CSV!$E$1,MATCH(K607&amp;H$1,Taostats_CSV!$X:$X,0)-1,0),"")</f>
        <v/>
      </c>
      <c r="H607" t="str">
        <f ca="1">IF(AND(Q607,N607=1),OFFSET(Taostats_CSV!$G$1,MATCH(K607&amp;H$1,Taostats_CSV!$X:$X,0)-1,0),"")</f>
        <v/>
      </c>
      <c r="I607" t="str">
        <f ca="1">IF(AND(LEN(K607)=0,LEN(F607)&gt;0),"Income",IF(AND(O607&gt;0,P607&gt;0,C607&lt;&gt;E607),"Trade",IF(AND(NOT(Q607),Taostats_CSV!F607="fee"),'READ ME'!$C$5,"")))</f>
        <v>Income</v>
      </c>
      <c r="J607" t="str">
        <f ca="1">SUBSTITUTE(IF(LEN(I607)=0,Taostats_CSV!F607&amp;" "&amp;Taostats_CSV!J607,IF(I607="Cost","Extrinsic fee","")),"_"," ")</f>
        <v/>
      </c>
      <c r="K607" t="str">
        <f>TRIM(IF(LEN(Taostats_CSV!I607)&gt;0,Taostats_CSV!I607,""))</f>
        <v/>
      </c>
      <c r="L607">
        <f ca="1">IF(Taostats_CSV!E607&lt;&gt;"TAO",IF(LEN(F607)&gt;0,F607,IF(LEN(D607)&gt;0,D607,0))*Taostats_CSV!P607,"")</f>
        <v>7.6716383621059814</v>
      </c>
      <c r="M607" t="str">
        <f t="shared" ca="1" si="69"/>
        <v>USD</v>
      </c>
      <c r="N607">
        <f>COUNTIF(Taostats_CSV!$X:$X,Taostats_CSV!$I607&amp;N$1)</f>
        <v>0</v>
      </c>
      <c r="O607">
        <f>COUNTIF(Taostats_CSV!$X:$X,Taostats_CSV!$I607&amp;O$1)</f>
        <v>0</v>
      </c>
      <c r="P607">
        <f>COUNTIF(Taostats_CSV!$X:$X,Taostats_CSV!$I607&amp;P$1)</f>
        <v>0</v>
      </c>
      <c r="Q607" t="b">
        <f t="shared" si="70"/>
        <v>0</v>
      </c>
      <c r="R607" t="b">
        <f>IF(LEN(K607)&gt;0,COUNTIF($K$3:K607,K607),FALSE)</f>
        <v>0</v>
      </c>
      <c r="S607" t="b">
        <f>IF(Taostats_CSV!A607=Taostats_CSV!$A$2,TRUE,Taostats_CSV!G607+Taostats_CSV!H607+Taostats_CSV!R607=0)</f>
        <v>0</v>
      </c>
      <c r="T607" t="b">
        <f t="shared" si="71"/>
        <v>1</v>
      </c>
      <c r="U607" t="b" cm="1">
        <f t="array" aca="1" ref="U607" ca="1">AND(T607,OR(O607-N607&gt;1,P607&gt;1,ISERROR(A607:P607)))</f>
        <v>0</v>
      </c>
      <c r="W607" t="e">
        <f>MATCH(K607&amp;$W$2,Taostats_CSV!$X$3:$X$1167,0)</f>
        <v>#N/A</v>
      </c>
      <c r="X607" t="e">
        <f t="shared" ca="1" si="66"/>
        <v>#VALUE!</v>
      </c>
      <c r="Y607">
        <f t="shared" ca="1" si="67"/>
        <v>0.14042759099999999</v>
      </c>
      <c r="Z607" t="e">
        <f t="shared" ca="1" si="68"/>
        <v>#VALUE!</v>
      </c>
    </row>
    <row r="608" spans="1:26" hidden="1" x14ac:dyDescent="0.4">
      <c r="A608" t="str">
        <f>MID(Taostats_CSV!C608,6,2)&amp;"/"&amp;MID(Taostats_CSV!C608,9,2)&amp;"/"&amp;LEFT(Taostats_CSV!C608,4)&amp;" "&amp;MID(Taostats_CSV!C608,12,8)</f>
        <v>07/11/2025 23:59:48</v>
      </c>
      <c r="C608" t="str">
        <f ca="1">IF(Q608,OFFSET(Taostats_CSV!$E$1,MATCH(K608&amp;D$1,Taostats_CSV!$X:$X,0)-1,0),IF(Taostats_CSV!F608="fee","",IF(VALUE(Taostats_CSV!G608)&gt;0,Taostats_CSV!E608,"")))</f>
        <v/>
      </c>
      <c r="D608" t="str">
        <f ca="1">IF(Q608,OFFSET(Taostats_CSV!$G$1,MATCH(K608&amp;D$1,Taostats_CSV!$X:$X,0)-1,0),IF(Taostats_CSV!F608="fee","",IF(VALUE(Taostats_CSV!G608)&gt;0,Taostats_CSV!G608,"")))</f>
        <v/>
      </c>
      <c r="E608" t="str">
        <f ca="1">IF(AND(Q608,P608&gt;0),OFFSET(Taostats_CSV!$E$1,MATCH(K608&amp;F$1,Taostats_CSV!$X:$X,0)-1,0),IF(LEN(F608)&gt;0,Taostats_CSV!E608,""))</f>
        <v>TAO</v>
      </c>
      <c r="F608" t="str">
        <f ca="1">TRIM(IF(AND(Q608,P608&gt;0),OFFSET(Taostats_CSV!$H$1,MATCH(K608&amp;F$1,Taostats_CSV!$X:$X,0)-1,0),IF(LEN(Taostats_CSV!H608)&gt;0,Taostats_CSV!H608,Taostats_CSV!R608)))</f>
        <v>0</v>
      </c>
      <c r="G608" t="str">
        <f ca="1">IF(AND(Q608,N608=1),OFFSET(Taostats_CSV!$E$1,MATCH(K608&amp;H$1,Taostats_CSV!$X:$X,0)-1,0),IF(Taostats_CSV!F608="fee",Taostats_CSV!E608,""))</f>
        <v/>
      </c>
      <c r="H608" t="str">
        <f ca="1">IF(AND(Q608,N608=1),OFFSET(Taostats_CSV!$G$1,MATCH(K608&amp;H$1,Taostats_CSV!$X:$X,0)-1,0),IF(Taostats_CSV!F608="fee",Taostats_CSV!G608,""))</f>
        <v/>
      </c>
      <c r="I608" t="str">
        <f ca="1">IF(AND(LEN(K608)=0,LEN(F608)&gt;0),"Income",IF(AND(O608&gt;0,P608&gt;0,C608&lt;&gt;E608),"Trade",IF(AND(NOT(Q608),Taostats_CSV!F608="fee"),'READ ME'!$C$5,"")))</f>
        <v>Income</v>
      </c>
      <c r="J608" t="str">
        <f ca="1">SUBSTITUTE(IF(LEN(I608)=0,Taostats_CSV!F608&amp;" "&amp;Taostats_CSV!J608,IF(I608="Cost","Extrinsic fee","")),"_"," ")</f>
        <v/>
      </c>
      <c r="K608" t="str">
        <f>TRIM(IF(LEN(Taostats_CSV!I608)&gt;0,Taostats_CSV!I608,""))</f>
        <v/>
      </c>
      <c r="L608" t="str">
        <f>IF(Taostats_CSV!E608&lt;&gt;"TAO",IF(LEN(F608)&gt;0,F608,IF(LEN(D608)&gt;0,D608,0))*Taostats_CSV!P608,"")</f>
        <v/>
      </c>
      <c r="M608" t="str">
        <f t="shared" si="69"/>
        <v/>
      </c>
      <c r="N608">
        <f>COUNTIF(Taostats_CSV!$X:$X,Taostats_CSV!$I608&amp;N$1)</f>
        <v>0</v>
      </c>
      <c r="O608">
        <f>COUNTIF(Taostats_CSV!$X:$X,Taostats_CSV!$I608&amp;O$1)</f>
        <v>0</v>
      </c>
      <c r="P608">
        <f>COUNTIF(Taostats_CSV!$X:$X,Taostats_CSV!$I608&amp;P$1)</f>
        <v>0</v>
      </c>
      <c r="Q608" t="b">
        <f t="shared" si="70"/>
        <v>0</v>
      </c>
      <c r="R608" t="b">
        <f>IF(LEN(K608)&gt;0,COUNTIF($K$3:K608,K608),FALSE)</f>
        <v>0</v>
      </c>
      <c r="S608" t="b">
        <f>IF(Taostats_CSV!A608=Taostats_CSV!$A$2,TRUE,Taostats_CSV!G608+Taostats_CSV!H608+Taostats_CSV!R608=0)</f>
        <v>1</v>
      </c>
      <c r="T608" t="b">
        <f t="shared" si="71"/>
        <v>0</v>
      </c>
      <c r="U608" t="b" cm="1">
        <f t="array" aca="1" ref="U608" ca="1">AND(T608,OR(O608-N608&gt;1,P608&gt;1,ISERROR(A608:P608)))</f>
        <v>0</v>
      </c>
      <c r="W608" t="e">
        <f>MATCH(K608&amp;$W$2,Taostats_CSV!$X$3:$X$1167,0)</f>
        <v>#N/A</v>
      </c>
      <c r="X608" t="e">
        <f t="shared" ca="1" si="66"/>
        <v>#VALUE!</v>
      </c>
      <c r="Y608">
        <f t="shared" ca="1" si="67"/>
        <v>0</v>
      </c>
      <c r="Z608" t="e">
        <f t="shared" ca="1" si="68"/>
        <v>#VALUE!</v>
      </c>
    </row>
    <row r="609" spans="1:26" x14ac:dyDescent="0.4">
      <c r="A609" t="str">
        <f>MID(Taostats_CSV!C609,6,2)&amp;"/"&amp;MID(Taostats_CSV!C609,9,2)&amp;"/"&amp;LEFT(Taostats_CSV!C609,4)&amp;" "&amp;MID(Taostats_CSV!C609,12,8)</f>
        <v>07/12/2025 23:59:48</v>
      </c>
      <c r="C609" t="str">
        <f ca="1">IF(Q609,OFFSET(Taostats_CSV!$E$1,MATCH(K609&amp;D$1,Taostats_CSV!$X:$X,0)-1,0),IF(Taostats_CSV!F609="fee",IF(VALUE(Taostats_CSV!G609)&gt;0,Taostats_CSV!E609,""),""))</f>
        <v/>
      </c>
      <c r="D609" t="str">
        <f ca="1">IF(Q609,OFFSET(Taostats_CSV!$G$1,MATCH(K609&amp;D$1,Taostats_CSV!$X:$X,0)-1,0),IF(Taostats_CSV!F609="fee",IF(VALUE(Taostats_CSV!G609)&gt;0,Taostats_CSV!G609,""),""))</f>
        <v/>
      </c>
      <c r="E609" t="str">
        <f ca="1">IF(AND(Q609,P609&gt;0),OFFSET(Taostats_CSV!$E$1,MATCH(K609&amp;F$1,Taostats_CSV!$X:$X,0)-1,0),IF(LEN(F609)&gt;0,Taostats_CSV!E609,""))</f>
        <v>SN3</v>
      </c>
      <c r="F609" t="str">
        <f ca="1">TRIM(IF(AND(Q609,P609&gt;0),OFFSET(Taostats_CSV!$H$1,MATCH(K609&amp;F$1,Taostats_CSV!$X:$X,0)-1,0),IF(LEN(Taostats_CSV!H609)&gt;0,Taostats_CSV!H609,Taostats_CSV!R609)))</f>
        <v>0.338993587</v>
      </c>
      <c r="G609" t="str">
        <f ca="1">IF(AND(Q609,N609=1),OFFSET(Taostats_CSV!$E$1,MATCH(K609&amp;H$1,Taostats_CSV!$X:$X,0)-1,0),"")</f>
        <v/>
      </c>
      <c r="H609" t="str">
        <f ca="1">IF(AND(Q609,N609=1),OFFSET(Taostats_CSV!$G$1,MATCH(K609&amp;H$1,Taostats_CSV!$X:$X,0)-1,0),"")</f>
        <v/>
      </c>
      <c r="I609" t="str">
        <f ca="1">IF(AND(LEN(K609)=0,LEN(F609)&gt;0),"Income",IF(AND(O609&gt;0,P609&gt;0,C609&lt;&gt;E609),"Trade",IF(AND(NOT(Q609),Taostats_CSV!F609="fee"),'READ ME'!$C$5,"")))</f>
        <v>Income</v>
      </c>
      <c r="J609" t="str">
        <f ca="1">SUBSTITUTE(IF(LEN(I609)=0,Taostats_CSV!F609&amp;" "&amp;Taostats_CSV!J609,IF(I609="Cost","Extrinsic fee","")),"_"," ")</f>
        <v/>
      </c>
      <c r="K609" t="str">
        <f>TRIM(IF(LEN(Taostats_CSV!I609)&gt;0,Taostats_CSV!I609,""))</f>
        <v/>
      </c>
      <c r="L609">
        <f ca="1">IF(Taostats_CSV!E609&lt;&gt;"TAO",IF(LEN(F609)&gt;0,F609,IF(LEN(D609)&gt;0,D609,0))*Taostats_CSV!P609,"")</f>
        <v>7.3544700026974477</v>
      </c>
      <c r="M609" t="str">
        <f t="shared" ca="1" si="69"/>
        <v>USD</v>
      </c>
      <c r="N609">
        <f>COUNTIF(Taostats_CSV!$X:$X,Taostats_CSV!$I609&amp;N$1)</f>
        <v>0</v>
      </c>
      <c r="O609">
        <f>COUNTIF(Taostats_CSV!$X:$X,Taostats_CSV!$I609&amp;O$1)</f>
        <v>0</v>
      </c>
      <c r="P609">
        <f>COUNTIF(Taostats_CSV!$X:$X,Taostats_CSV!$I609&amp;P$1)</f>
        <v>0</v>
      </c>
      <c r="Q609" t="b">
        <f t="shared" si="70"/>
        <v>0</v>
      </c>
      <c r="R609" t="b">
        <f>IF(LEN(K609)&gt;0,COUNTIF($K$3:K609,K609),FALSE)</f>
        <v>0</v>
      </c>
      <c r="S609" t="b">
        <f>IF(Taostats_CSV!A609=Taostats_CSV!$A$2,TRUE,Taostats_CSV!G609+Taostats_CSV!H609+Taostats_CSV!R609=0)</f>
        <v>0</v>
      </c>
      <c r="T609" t="b">
        <f t="shared" si="71"/>
        <v>1</v>
      </c>
      <c r="U609" t="b" cm="1">
        <f t="array" aca="1" ref="U609" ca="1">AND(T609,OR(O609-N609&gt;1,P609&gt;1,ISERROR(A609:P609)))</f>
        <v>0</v>
      </c>
      <c r="W609" t="e">
        <f>MATCH(K609&amp;$W$2,Taostats_CSV!$X$3:$X$1167,0)</f>
        <v>#N/A</v>
      </c>
      <c r="X609" t="e">
        <f t="shared" ca="1" si="66"/>
        <v>#VALUE!</v>
      </c>
      <c r="Y609">
        <f t="shared" ca="1" si="67"/>
        <v>0.33899358699999999</v>
      </c>
      <c r="Z609" t="e">
        <f t="shared" ca="1" si="68"/>
        <v>#VALUE!</v>
      </c>
    </row>
    <row r="610" spans="1:26" x14ac:dyDescent="0.4">
      <c r="A610" t="str">
        <f>MID(Taostats_CSV!C610,6,2)&amp;"/"&amp;MID(Taostats_CSV!C610,9,2)&amp;"/"&amp;LEFT(Taostats_CSV!C610,4)&amp;" "&amp;MID(Taostats_CSV!C610,12,8)</f>
        <v>07/12/2025 23:59:48</v>
      </c>
      <c r="C610" t="str">
        <f ca="1">IF(Q610,OFFSET(Taostats_CSV!$E$1,MATCH(K610&amp;D$1,Taostats_CSV!$X:$X,0)-1,0),IF(Taostats_CSV!F610="fee",IF(VALUE(Taostats_CSV!G610)&gt;0,Taostats_CSV!E610,""),""))</f>
        <v/>
      </c>
      <c r="D610" t="str">
        <f ca="1">IF(Q610,OFFSET(Taostats_CSV!$G$1,MATCH(K610&amp;D$1,Taostats_CSV!$X:$X,0)-1,0),IF(Taostats_CSV!F610="fee",IF(VALUE(Taostats_CSV!G610)&gt;0,Taostats_CSV!G610,""),""))</f>
        <v/>
      </c>
      <c r="E610" t="str">
        <f ca="1">IF(AND(Q610,P610&gt;0),OFFSET(Taostats_CSV!$E$1,MATCH(K610&amp;F$1,Taostats_CSV!$X:$X,0)-1,0),IF(LEN(F610)&gt;0,Taostats_CSV!E610,""))</f>
        <v>SN4</v>
      </c>
      <c r="F610" t="str">
        <f ca="1">TRIM(IF(AND(Q610,P610&gt;0),OFFSET(Taostats_CSV!$H$1,MATCH(K610&amp;F$1,Taostats_CSV!$X:$X,0)-1,0),IF(LEN(Taostats_CSV!H610)&gt;0,Taostats_CSV!H610,Taostats_CSV!R610)))</f>
        <v>0.480337705</v>
      </c>
      <c r="G610" t="str">
        <f ca="1">IF(AND(Q610,N610=1),OFFSET(Taostats_CSV!$E$1,MATCH(K610&amp;H$1,Taostats_CSV!$X:$X,0)-1,0),"")</f>
        <v/>
      </c>
      <c r="H610" t="str">
        <f ca="1">IF(AND(Q610,N610=1),OFFSET(Taostats_CSV!$G$1,MATCH(K610&amp;H$1,Taostats_CSV!$X:$X,0)-1,0),"")</f>
        <v/>
      </c>
      <c r="I610" t="str">
        <f ca="1">IF(AND(LEN(K610)=0,LEN(F610)&gt;0),"Income",IF(AND(O610&gt;0,P610&gt;0,C610&lt;&gt;E610),"Trade",IF(AND(NOT(Q610),Taostats_CSV!F610="fee"),'READ ME'!$C$5,"")))</f>
        <v>Income</v>
      </c>
      <c r="J610" t="str">
        <f ca="1">SUBSTITUTE(IF(LEN(I610)=0,Taostats_CSV!F610&amp;" "&amp;Taostats_CSV!J610,IF(I610="Cost","Extrinsic fee","")),"_"," ")</f>
        <v/>
      </c>
      <c r="K610" t="str">
        <f>TRIM(IF(LEN(Taostats_CSV!I610)&gt;0,Taostats_CSV!I610,""))</f>
        <v/>
      </c>
      <c r="L610">
        <f ca="1">IF(Taostats_CSV!E610&lt;&gt;"TAO",IF(LEN(F610)&gt;0,F610,IF(LEN(D610)&gt;0,D610,0))*Taostats_CSV!P610,"")</f>
        <v>11.450770232348381</v>
      </c>
      <c r="M610" t="str">
        <f t="shared" ca="1" si="69"/>
        <v>USD</v>
      </c>
      <c r="N610">
        <f>COUNTIF(Taostats_CSV!$X:$X,Taostats_CSV!$I610&amp;N$1)</f>
        <v>0</v>
      </c>
      <c r="O610">
        <f>COUNTIF(Taostats_CSV!$X:$X,Taostats_CSV!$I610&amp;O$1)</f>
        <v>0</v>
      </c>
      <c r="P610">
        <f>COUNTIF(Taostats_CSV!$X:$X,Taostats_CSV!$I610&amp;P$1)</f>
        <v>0</v>
      </c>
      <c r="Q610" t="b">
        <f t="shared" si="70"/>
        <v>0</v>
      </c>
      <c r="R610" t="b">
        <f>IF(LEN(K610)&gt;0,COUNTIF($K$3:K610,K610),FALSE)</f>
        <v>0</v>
      </c>
      <c r="S610" t="b">
        <f>IF(Taostats_CSV!A610=Taostats_CSV!$A$2,TRUE,Taostats_CSV!G610+Taostats_CSV!H610+Taostats_CSV!R610=0)</f>
        <v>0</v>
      </c>
      <c r="T610" t="b">
        <f t="shared" si="71"/>
        <v>1</v>
      </c>
      <c r="U610" t="b" cm="1">
        <f t="array" aca="1" ref="U610" ca="1">AND(T610,OR(O610-N610&gt;1,P610&gt;1,ISERROR(A610:P610)))</f>
        <v>0</v>
      </c>
      <c r="W610" t="e">
        <f>MATCH(K610&amp;$W$2,Taostats_CSV!$X$3:$X$1167,0)</f>
        <v>#N/A</v>
      </c>
      <c r="X610" t="e">
        <f t="shared" ca="1" si="66"/>
        <v>#VALUE!</v>
      </c>
      <c r="Y610">
        <f t="shared" ca="1" si="67"/>
        <v>0.480337705</v>
      </c>
      <c r="Z610" t="e">
        <f t="shared" ca="1" si="68"/>
        <v>#VALUE!</v>
      </c>
    </row>
    <row r="611" spans="1:26" x14ac:dyDescent="0.4">
      <c r="A611" t="str">
        <f>MID(Taostats_CSV!C611,6,2)&amp;"/"&amp;MID(Taostats_CSV!C611,9,2)&amp;"/"&amp;LEFT(Taostats_CSV!C611,4)&amp;" "&amp;MID(Taostats_CSV!C611,12,8)</f>
        <v>07/12/2025 23:59:48</v>
      </c>
      <c r="C611" t="str">
        <f ca="1">IF(Q611,OFFSET(Taostats_CSV!$E$1,MATCH(K611&amp;D$1,Taostats_CSV!$X:$X,0)-1,0),IF(Taostats_CSV!F611="fee",IF(VALUE(Taostats_CSV!G611)&gt;0,Taostats_CSV!E611,""),""))</f>
        <v/>
      </c>
      <c r="D611" t="str">
        <f ca="1">IF(Q611,OFFSET(Taostats_CSV!$G$1,MATCH(K611&amp;D$1,Taostats_CSV!$X:$X,0)-1,0),IF(Taostats_CSV!F611="fee",IF(VALUE(Taostats_CSV!G611)&gt;0,Taostats_CSV!G611,""),""))</f>
        <v/>
      </c>
      <c r="E611" t="str">
        <f ca="1">IF(AND(Q611,P611&gt;0),OFFSET(Taostats_CSV!$E$1,MATCH(K611&amp;F$1,Taostats_CSV!$X:$X,0)-1,0),IF(LEN(F611)&gt;0,Taostats_CSV!E611,""))</f>
        <v>SN56</v>
      </c>
      <c r="F611" t="str">
        <f ca="1">TRIM(IF(AND(Q611,P611&gt;0),OFFSET(Taostats_CSV!$H$1,MATCH(K611&amp;F$1,Taostats_CSV!$X:$X,0)-1,0),IF(LEN(Taostats_CSV!H611)&gt;0,Taostats_CSV!H611,Taostats_CSV!R611)))</f>
        <v>0.252128588</v>
      </c>
      <c r="G611" t="str">
        <f ca="1">IF(AND(Q611,N611=1),OFFSET(Taostats_CSV!$E$1,MATCH(K611&amp;H$1,Taostats_CSV!$X:$X,0)-1,0),"")</f>
        <v/>
      </c>
      <c r="H611" t="str">
        <f ca="1">IF(AND(Q611,N611=1),OFFSET(Taostats_CSV!$G$1,MATCH(K611&amp;H$1,Taostats_CSV!$X:$X,0)-1,0),"")</f>
        <v/>
      </c>
      <c r="I611" t="str">
        <f ca="1">IF(AND(LEN(K611)=0,LEN(F611)&gt;0),"Income",IF(AND(O611&gt;0,P611&gt;0,C611&lt;&gt;E611),"Trade",IF(AND(NOT(Q611),Taostats_CSV!F611="fee"),'READ ME'!$C$5,"")))</f>
        <v>Income</v>
      </c>
      <c r="J611" t="str">
        <f ca="1">SUBSTITUTE(IF(LEN(I611)=0,Taostats_CSV!F611&amp;" "&amp;Taostats_CSV!J611,IF(I611="Cost","Extrinsic fee","")),"_"," ")</f>
        <v/>
      </c>
      <c r="K611" t="str">
        <f>TRIM(IF(LEN(Taostats_CSV!I611)&gt;0,Taostats_CSV!I611,""))</f>
        <v/>
      </c>
      <c r="L611">
        <f ca="1">IF(Taostats_CSV!E611&lt;&gt;"TAO",IF(LEN(F611)&gt;0,F611,IF(LEN(D611)&gt;0,D611,0))*Taostats_CSV!P611,"")</f>
        <v>5.4729039611684094</v>
      </c>
      <c r="M611" t="str">
        <f t="shared" ca="1" si="69"/>
        <v>USD</v>
      </c>
      <c r="N611">
        <f>COUNTIF(Taostats_CSV!$X:$X,Taostats_CSV!$I611&amp;N$1)</f>
        <v>0</v>
      </c>
      <c r="O611">
        <f>COUNTIF(Taostats_CSV!$X:$X,Taostats_CSV!$I611&amp;O$1)</f>
        <v>0</v>
      </c>
      <c r="P611">
        <f>COUNTIF(Taostats_CSV!$X:$X,Taostats_CSV!$I611&amp;P$1)</f>
        <v>0</v>
      </c>
      <c r="Q611" t="b">
        <f t="shared" si="70"/>
        <v>0</v>
      </c>
      <c r="R611" t="b">
        <f>IF(LEN(K611)&gt;0,COUNTIF($K$3:K611,K611),FALSE)</f>
        <v>0</v>
      </c>
      <c r="S611" t="b">
        <f>IF(Taostats_CSV!A611=Taostats_CSV!$A$2,TRUE,Taostats_CSV!G611+Taostats_CSV!H611+Taostats_CSV!R611=0)</f>
        <v>0</v>
      </c>
      <c r="T611" t="b">
        <f t="shared" si="71"/>
        <v>1</v>
      </c>
      <c r="U611" t="b" cm="1">
        <f t="array" aca="1" ref="U611" ca="1">AND(T611,OR(O611-N611&gt;1,P611&gt;1,ISERROR(A611:P611)))</f>
        <v>0</v>
      </c>
      <c r="W611" t="e">
        <f>MATCH(K611&amp;$W$2,Taostats_CSV!$X$3:$X$1167,0)</f>
        <v>#N/A</v>
      </c>
      <c r="X611" t="e">
        <f t="shared" ca="1" si="66"/>
        <v>#VALUE!</v>
      </c>
      <c r="Y611">
        <f t="shared" ca="1" si="67"/>
        <v>0.25212858799999999</v>
      </c>
      <c r="Z611" t="e">
        <f t="shared" ca="1" si="68"/>
        <v>#VALUE!</v>
      </c>
    </row>
    <row r="612" spans="1:26" x14ac:dyDescent="0.4">
      <c r="A612" t="str">
        <f>MID(Taostats_CSV!C612,6,2)&amp;"/"&amp;MID(Taostats_CSV!C612,9,2)&amp;"/"&amp;LEFT(Taostats_CSV!C612,4)&amp;" "&amp;MID(Taostats_CSV!C612,12,8)</f>
        <v>07/12/2025 23:59:48</v>
      </c>
      <c r="C612" t="str">
        <f ca="1">IF(Q612,OFFSET(Taostats_CSV!$E$1,MATCH(K612&amp;D$1,Taostats_CSV!$X:$X,0)-1,0),IF(Taostats_CSV!F612="fee",IF(VALUE(Taostats_CSV!G612)&gt;0,Taostats_CSV!E612,""),""))</f>
        <v/>
      </c>
      <c r="D612" t="str">
        <f ca="1">IF(Q612,OFFSET(Taostats_CSV!$G$1,MATCH(K612&amp;D$1,Taostats_CSV!$X:$X,0)-1,0),IF(Taostats_CSV!F612="fee",IF(VALUE(Taostats_CSV!G612)&gt;0,Taostats_CSV!G612,""),""))</f>
        <v/>
      </c>
      <c r="E612" t="str">
        <f ca="1">IF(AND(Q612,P612&gt;0),OFFSET(Taostats_CSV!$E$1,MATCH(K612&amp;F$1,Taostats_CSV!$X:$X,0)-1,0),IF(LEN(F612)&gt;0,Taostats_CSV!E612,""))</f>
        <v>SN64</v>
      </c>
      <c r="F612" t="str">
        <f ca="1">TRIM(IF(AND(Q612,P612&gt;0),OFFSET(Taostats_CSV!$H$1,MATCH(K612&amp;F$1,Taostats_CSV!$X:$X,0)-1,0),IF(LEN(Taostats_CSV!H612)&gt;0,Taostats_CSV!H612,Taostats_CSV!R612)))</f>
        <v>0.146631433</v>
      </c>
      <c r="G612" t="str">
        <f ca="1">IF(AND(Q612,N612=1),OFFSET(Taostats_CSV!$E$1,MATCH(K612&amp;H$1,Taostats_CSV!$X:$X,0)-1,0),"")</f>
        <v/>
      </c>
      <c r="H612" t="str">
        <f ca="1">IF(AND(Q612,N612=1),OFFSET(Taostats_CSV!$G$1,MATCH(K612&amp;H$1,Taostats_CSV!$X:$X,0)-1,0),"")</f>
        <v/>
      </c>
      <c r="I612" t="str">
        <f ca="1">IF(AND(LEN(K612)=0,LEN(F612)&gt;0),"Income",IF(AND(O612&gt;0,P612&gt;0,C612&lt;&gt;E612),"Trade",IF(AND(NOT(Q612),Taostats_CSV!F612="fee"),'READ ME'!$C$5,"")))</f>
        <v>Income</v>
      </c>
      <c r="J612" t="str">
        <f ca="1">SUBSTITUTE(IF(LEN(I612)=0,Taostats_CSV!F612&amp;" "&amp;Taostats_CSV!J612,IF(I612="Cost","Extrinsic fee","")),"_"," ")</f>
        <v/>
      </c>
      <c r="K612" t="str">
        <f>TRIM(IF(LEN(Taostats_CSV!I612)&gt;0,Taostats_CSV!I612,""))</f>
        <v/>
      </c>
      <c r="L612">
        <f ca="1">IF(Taostats_CSV!E612&lt;&gt;"TAO",IF(LEN(F612)&gt;0,F612,IF(LEN(D612)&gt;0,D612,0))*Taostats_CSV!P612,"")</f>
        <v>8.032639704251519</v>
      </c>
      <c r="M612" t="str">
        <f t="shared" ca="1" si="69"/>
        <v>USD</v>
      </c>
      <c r="N612">
        <f>COUNTIF(Taostats_CSV!$X:$X,Taostats_CSV!$I612&amp;N$1)</f>
        <v>0</v>
      </c>
      <c r="O612">
        <f>COUNTIF(Taostats_CSV!$X:$X,Taostats_CSV!$I612&amp;O$1)</f>
        <v>0</v>
      </c>
      <c r="P612">
        <f>COUNTIF(Taostats_CSV!$X:$X,Taostats_CSV!$I612&amp;P$1)</f>
        <v>0</v>
      </c>
      <c r="Q612" t="b">
        <f t="shared" si="70"/>
        <v>0</v>
      </c>
      <c r="R612" t="b">
        <f>IF(LEN(K612)&gt;0,COUNTIF($K$3:K612,K612),FALSE)</f>
        <v>0</v>
      </c>
      <c r="S612" t="b">
        <f>IF(Taostats_CSV!A612=Taostats_CSV!$A$2,TRUE,Taostats_CSV!G612+Taostats_CSV!H612+Taostats_CSV!R612=0)</f>
        <v>0</v>
      </c>
      <c r="T612" t="b">
        <f t="shared" si="71"/>
        <v>1</v>
      </c>
      <c r="U612" t="b" cm="1">
        <f t="array" aca="1" ref="U612" ca="1">AND(T612,OR(O612-N612&gt;1,P612&gt;1,ISERROR(A612:P612)))</f>
        <v>0</v>
      </c>
      <c r="W612" t="e">
        <f>MATCH(K612&amp;$W$2,Taostats_CSV!$X$3:$X$1167,0)</f>
        <v>#N/A</v>
      </c>
      <c r="X612" t="e">
        <f t="shared" ca="1" si="66"/>
        <v>#VALUE!</v>
      </c>
      <c r="Y612">
        <f t="shared" ca="1" si="67"/>
        <v>0.14663143300000001</v>
      </c>
      <c r="Z612" t="e">
        <f t="shared" ca="1" si="68"/>
        <v>#VALUE!</v>
      </c>
    </row>
    <row r="613" spans="1:26" hidden="1" x14ac:dyDescent="0.4">
      <c r="A613" t="str">
        <f>MID(Taostats_CSV!C613,6,2)&amp;"/"&amp;MID(Taostats_CSV!C613,9,2)&amp;"/"&amp;LEFT(Taostats_CSV!C613,4)&amp;" "&amp;MID(Taostats_CSV!C613,12,8)</f>
        <v>07/12/2025 23:59:48</v>
      </c>
      <c r="C613" t="str">
        <f ca="1">IF(Q613,OFFSET(Taostats_CSV!$E$1,MATCH(K613&amp;D$1,Taostats_CSV!$X:$X,0)-1,0),IF(Taostats_CSV!F613="fee","",IF(VALUE(Taostats_CSV!G613)&gt;0,Taostats_CSV!E613,"")))</f>
        <v/>
      </c>
      <c r="D613" t="str">
        <f ca="1">IF(Q613,OFFSET(Taostats_CSV!$G$1,MATCH(K613&amp;D$1,Taostats_CSV!$X:$X,0)-1,0),IF(Taostats_CSV!F613="fee","",IF(VALUE(Taostats_CSV!G613)&gt;0,Taostats_CSV!G613,"")))</f>
        <v/>
      </c>
      <c r="E613" t="str">
        <f ca="1">IF(AND(Q613,P613&gt;0),OFFSET(Taostats_CSV!$E$1,MATCH(K613&amp;F$1,Taostats_CSV!$X:$X,0)-1,0),IF(LEN(F613)&gt;0,Taostats_CSV!E613,""))</f>
        <v>TAO</v>
      </c>
      <c r="F613" t="str">
        <f ca="1">TRIM(IF(AND(Q613,P613&gt;0),OFFSET(Taostats_CSV!$H$1,MATCH(K613&amp;F$1,Taostats_CSV!$X:$X,0)-1,0),IF(LEN(Taostats_CSV!H613)&gt;0,Taostats_CSV!H613,Taostats_CSV!R613)))</f>
        <v>0</v>
      </c>
      <c r="G613" t="str">
        <f ca="1">IF(AND(Q613,N613=1),OFFSET(Taostats_CSV!$E$1,MATCH(K613&amp;H$1,Taostats_CSV!$X:$X,0)-1,0),IF(Taostats_CSV!F613="fee",Taostats_CSV!E613,""))</f>
        <v/>
      </c>
      <c r="H613" t="str">
        <f ca="1">IF(AND(Q613,N613=1),OFFSET(Taostats_CSV!$G$1,MATCH(K613&amp;H$1,Taostats_CSV!$X:$X,0)-1,0),IF(Taostats_CSV!F613="fee",Taostats_CSV!G613,""))</f>
        <v/>
      </c>
      <c r="I613" t="str">
        <f ca="1">IF(AND(LEN(K613)=0,LEN(F613)&gt;0),"Income",IF(AND(O613&gt;0,P613&gt;0,C613&lt;&gt;E613),"Trade",IF(AND(NOT(Q613),Taostats_CSV!F613="fee"),'READ ME'!$C$5,"")))</f>
        <v>Income</v>
      </c>
      <c r="J613" t="str">
        <f ca="1">SUBSTITUTE(IF(LEN(I613)=0,Taostats_CSV!F613&amp;" "&amp;Taostats_CSV!J613,IF(I613="Cost","Extrinsic fee","")),"_"," ")</f>
        <v/>
      </c>
      <c r="K613" t="str">
        <f>TRIM(IF(LEN(Taostats_CSV!I613)&gt;0,Taostats_CSV!I613,""))</f>
        <v/>
      </c>
      <c r="L613" t="str">
        <f>IF(Taostats_CSV!E613&lt;&gt;"TAO",IF(LEN(F613)&gt;0,F613,IF(LEN(D613)&gt;0,D613,0))*Taostats_CSV!P613,"")</f>
        <v/>
      </c>
      <c r="M613" t="str">
        <f t="shared" si="69"/>
        <v/>
      </c>
      <c r="N613">
        <f>COUNTIF(Taostats_CSV!$X:$X,Taostats_CSV!$I613&amp;N$1)</f>
        <v>0</v>
      </c>
      <c r="O613">
        <f>COUNTIF(Taostats_CSV!$X:$X,Taostats_CSV!$I613&amp;O$1)</f>
        <v>0</v>
      </c>
      <c r="P613">
        <f>COUNTIF(Taostats_CSV!$X:$X,Taostats_CSV!$I613&amp;P$1)</f>
        <v>0</v>
      </c>
      <c r="Q613" t="b">
        <f t="shared" si="70"/>
        <v>0</v>
      </c>
      <c r="R613" t="b">
        <f>IF(LEN(K613)&gt;0,COUNTIF($K$3:K613,K613),FALSE)</f>
        <v>0</v>
      </c>
      <c r="S613" t="b">
        <f>IF(Taostats_CSV!A613=Taostats_CSV!$A$2,TRUE,Taostats_CSV!G613+Taostats_CSV!H613+Taostats_CSV!R613=0)</f>
        <v>1</v>
      </c>
      <c r="T613" t="b">
        <f t="shared" si="71"/>
        <v>0</v>
      </c>
      <c r="U613" t="b" cm="1">
        <f t="array" aca="1" ref="U613" ca="1">AND(T613,OR(O613-N613&gt;1,P613&gt;1,ISERROR(A613:P613)))</f>
        <v>0</v>
      </c>
      <c r="W613" t="e">
        <f>MATCH(K613&amp;$W$2,Taostats_CSV!$X$3:$X$1167,0)</f>
        <v>#N/A</v>
      </c>
      <c r="X613" t="e">
        <f t="shared" ca="1" si="66"/>
        <v>#VALUE!</v>
      </c>
      <c r="Y613">
        <f t="shared" ca="1" si="67"/>
        <v>0</v>
      </c>
      <c r="Z613" t="e">
        <f t="shared" ca="1" si="68"/>
        <v>#VALUE!</v>
      </c>
    </row>
    <row r="614" spans="1:26" x14ac:dyDescent="0.4">
      <c r="A614" t="str">
        <f>MID(Taostats_CSV!C614,6,2)&amp;"/"&amp;MID(Taostats_CSV!C614,9,2)&amp;"/"&amp;LEFT(Taostats_CSV!C614,4)&amp;" "&amp;MID(Taostats_CSV!C614,12,8)</f>
        <v>07/13/2025 23:59:48</v>
      </c>
      <c r="C614" t="str">
        <f ca="1">IF(Q614,OFFSET(Taostats_CSV!$E$1,MATCH(K614&amp;D$1,Taostats_CSV!$X:$X,0)-1,0),IF(Taostats_CSV!F614="fee",IF(VALUE(Taostats_CSV!G614)&gt;0,Taostats_CSV!E614,""),""))</f>
        <v/>
      </c>
      <c r="D614" t="str">
        <f ca="1">IF(Q614,OFFSET(Taostats_CSV!$G$1,MATCH(K614&amp;D$1,Taostats_CSV!$X:$X,0)-1,0),IF(Taostats_CSV!F614="fee",IF(VALUE(Taostats_CSV!G614)&gt;0,Taostats_CSV!G614,""),""))</f>
        <v/>
      </c>
      <c r="E614" t="str">
        <f ca="1">IF(AND(Q614,P614&gt;0),OFFSET(Taostats_CSV!$E$1,MATCH(K614&amp;F$1,Taostats_CSV!$X:$X,0)-1,0),IF(LEN(F614)&gt;0,Taostats_CSV!E614,""))</f>
        <v>SN3</v>
      </c>
      <c r="F614" t="str">
        <f ca="1">TRIM(IF(AND(Q614,P614&gt;0),OFFSET(Taostats_CSV!$H$1,MATCH(K614&amp;F$1,Taostats_CSV!$X:$X,0)-1,0),IF(LEN(Taostats_CSV!H614)&gt;0,Taostats_CSV!H614,Taostats_CSV!R614)))</f>
        <v>0.412089685</v>
      </c>
      <c r="G614" t="str">
        <f ca="1">IF(AND(Q614,N614=1),OFFSET(Taostats_CSV!$E$1,MATCH(K614&amp;H$1,Taostats_CSV!$X:$X,0)-1,0),"")</f>
        <v/>
      </c>
      <c r="H614" t="str">
        <f ca="1">IF(AND(Q614,N614=1),OFFSET(Taostats_CSV!$G$1,MATCH(K614&amp;H$1,Taostats_CSV!$X:$X,0)-1,0),"")</f>
        <v/>
      </c>
      <c r="I614" t="str">
        <f ca="1">IF(AND(LEN(K614)=0,LEN(F614)&gt;0),"Income",IF(AND(O614&gt;0,P614&gt;0,C614&lt;&gt;E614),"Trade",IF(AND(NOT(Q614),Taostats_CSV!F614="fee"),'READ ME'!$C$5,"")))</f>
        <v>Income</v>
      </c>
      <c r="J614" t="str">
        <f ca="1">SUBSTITUTE(IF(LEN(I614)=0,Taostats_CSV!F614&amp;" "&amp;Taostats_CSV!J614,IF(I614="Cost","Extrinsic fee","")),"_"," ")</f>
        <v/>
      </c>
      <c r="K614" t="str">
        <f>TRIM(IF(LEN(Taostats_CSV!I614)&gt;0,Taostats_CSV!I614,""))</f>
        <v/>
      </c>
      <c r="L614">
        <f ca="1">IF(Taostats_CSV!E614&lt;&gt;"TAO",IF(LEN(F614)&gt;0,F614,IF(LEN(D614)&gt;0,D614,0))*Taostats_CSV!P614,"")</f>
        <v>9.2467052429658114</v>
      </c>
      <c r="M614" t="str">
        <f t="shared" ca="1" si="69"/>
        <v>USD</v>
      </c>
      <c r="N614">
        <f>COUNTIF(Taostats_CSV!$X:$X,Taostats_CSV!$I614&amp;N$1)</f>
        <v>0</v>
      </c>
      <c r="O614">
        <f>COUNTIF(Taostats_CSV!$X:$X,Taostats_CSV!$I614&amp;O$1)</f>
        <v>0</v>
      </c>
      <c r="P614">
        <f>COUNTIF(Taostats_CSV!$X:$X,Taostats_CSV!$I614&amp;P$1)</f>
        <v>0</v>
      </c>
      <c r="Q614" t="b">
        <f t="shared" si="70"/>
        <v>0</v>
      </c>
      <c r="R614" t="b">
        <f>IF(LEN(K614)&gt;0,COUNTIF($K$3:K614,K614),FALSE)</f>
        <v>0</v>
      </c>
      <c r="S614" t="b">
        <f>IF(Taostats_CSV!A614=Taostats_CSV!$A$2,TRUE,Taostats_CSV!G614+Taostats_CSV!H614+Taostats_CSV!R614=0)</f>
        <v>0</v>
      </c>
      <c r="T614" t="b">
        <f t="shared" si="71"/>
        <v>1</v>
      </c>
      <c r="U614" t="b" cm="1">
        <f t="array" aca="1" ref="U614" ca="1">AND(T614,OR(O614-N614&gt;1,P614&gt;1,ISERROR(A614:P614)))</f>
        <v>0</v>
      </c>
      <c r="W614" t="e">
        <f>MATCH(K614&amp;$W$2,Taostats_CSV!$X$3:$X$1167,0)</f>
        <v>#N/A</v>
      </c>
      <c r="X614" t="e">
        <f t="shared" ca="1" si="66"/>
        <v>#VALUE!</v>
      </c>
      <c r="Y614">
        <f t="shared" ca="1" si="67"/>
        <v>0.41208968499999998</v>
      </c>
      <c r="Z614" t="e">
        <f t="shared" ca="1" si="68"/>
        <v>#VALUE!</v>
      </c>
    </row>
    <row r="615" spans="1:26" x14ac:dyDescent="0.4">
      <c r="A615" t="str">
        <f>MID(Taostats_CSV!C615,6,2)&amp;"/"&amp;MID(Taostats_CSV!C615,9,2)&amp;"/"&amp;LEFT(Taostats_CSV!C615,4)&amp;" "&amp;MID(Taostats_CSV!C615,12,8)</f>
        <v>07/13/2025 23:59:48</v>
      </c>
      <c r="C615" t="str">
        <f ca="1">IF(Q615,OFFSET(Taostats_CSV!$E$1,MATCH(K615&amp;D$1,Taostats_CSV!$X:$X,0)-1,0),IF(Taostats_CSV!F615="fee",IF(VALUE(Taostats_CSV!G615)&gt;0,Taostats_CSV!E615,""),""))</f>
        <v/>
      </c>
      <c r="D615" t="str">
        <f ca="1">IF(Q615,OFFSET(Taostats_CSV!$G$1,MATCH(K615&amp;D$1,Taostats_CSV!$X:$X,0)-1,0),IF(Taostats_CSV!F615="fee",IF(VALUE(Taostats_CSV!G615)&gt;0,Taostats_CSV!G615,""),""))</f>
        <v/>
      </c>
      <c r="E615" t="str">
        <f ca="1">IF(AND(Q615,P615&gt;0),OFFSET(Taostats_CSV!$E$1,MATCH(K615&amp;F$1,Taostats_CSV!$X:$X,0)-1,0),IF(LEN(F615)&gt;0,Taostats_CSV!E615,""))</f>
        <v>SN4</v>
      </c>
      <c r="F615" t="str">
        <f ca="1">TRIM(IF(AND(Q615,P615&gt;0),OFFSET(Taostats_CSV!$H$1,MATCH(K615&amp;F$1,Taostats_CSV!$X:$X,0)-1,0),IF(LEN(Taostats_CSV!H615)&gt;0,Taostats_CSV!H615,Taostats_CSV!R615)))</f>
        <v>0.461276223</v>
      </c>
      <c r="G615" t="str">
        <f ca="1">IF(AND(Q615,N615=1),OFFSET(Taostats_CSV!$E$1,MATCH(K615&amp;H$1,Taostats_CSV!$X:$X,0)-1,0),"")</f>
        <v/>
      </c>
      <c r="H615" t="str">
        <f ca="1">IF(AND(Q615,N615=1),OFFSET(Taostats_CSV!$G$1,MATCH(K615&amp;H$1,Taostats_CSV!$X:$X,0)-1,0),"")</f>
        <v/>
      </c>
      <c r="I615" t="str">
        <f ca="1">IF(AND(LEN(K615)=0,LEN(F615)&gt;0),"Income",IF(AND(O615&gt;0,P615&gt;0,C615&lt;&gt;E615),"Trade",IF(AND(NOT(Q615),Taostats_CSV!F615="fee"),'READ ME'!$C$5,"")))</f>
        <v>Income</v>
      </c>
      <c r="J615" t="str">
        <f ca="1">SUBSTITUTE(IF(LEN(I615)=0,Taostats_CSV!F615&amp;" "&amp;Taostats_CSV!J615,IF(I615="Cost","Extrinsic fee","")),"_"," ")</f>
        <v/>
      </c>
      <c r="K615" t="str">
        <f>TRIM(IF(LEN(Taostats_CSV!I615)&gt;0,Taostats_CSV!I615,""))</f>
        <v/>
      </c>
      <c r="L615">
        <f ca="1">IF(Taostats_CSV!E615&lt;&gt;"TAO",IF(LEN(F615)&gt;0,F615,IF(LEN(D615)&gt;0,D615,0))*Taostats_CSV!P615,"")</f>
        <v>11.149327154584526</v>
      </c>
      <c r="M615" t="str">
        <f t="shared" ca="1" si="69"/>
        <v>USD</v>
      </c>
      <c r="N615">
        <f>COUNTIF(Taostats_CSV!$X:$X,Taostats_CSV!$I615&amp;N$1)</f>
        <v>0</v>
      </c>
      <c r="O615">
        <f>COUNTIF(Taostats_CSV!$X:$X,Taostats_CSV!$I615&amp;O$1)</f>
        <v>0</v>
      </c>
      <c r="P615">
        <f>COUNTIF(Taostats_CSV!$X:$X,Taostats_CSV!$I615&amp;P$1)</f>
        <v>0</v>
      </c>
      <c r="Q615" t="b">
        <f t="shared" si="70"/>
        <v>0</v>
      </c>
      <c r="R615" t="b">
        <f>IF(LEN(K615)&gt;0,COUNTIF($K$3:K615,K615),FALSE)</f>
        <v>0</v>
      </c>
      <c r="S615" t="b">
        <f>IF(Taostats_CSV!A615=Taostats_CSV!$A$2,TRUE,Taostats_CSV!G615+Taostats_CSV!H615+Taostats_CSV!R615=0)</f>
        <v>0</v>
      </c>
      <c r="T615" t="b">
        <f t="shared" si="71"/>
        <v>1</v>
      </c>
      <c r="U615" t="b" cm="1">
        <f t="array" aca="1" ref="U615" ca="1">AND(T615,OR(O615-N615&gt;1,P615&gt;1,ISERROR(A615:P615)))</f>
        <v>0</v>
      </c>
      <c r="W615" t="e">
        <f>MATCH(K615&amp;$W$2,Taostats_CSV!$X$3:$X$1167,0)</f>
        <v>#N/A</v>
      </c>
      <c r="X615" t="e">
        <f t="shared" ca="1" si="66"/>
        <v>#VALUE!</v>
      </c>
      <c r="Y615">
        <f t="shared" ca="1" si="67"/>
        <v>0.46127622299999999</v>
      </c>
      <c r="Z615" t="e">
        <f t="shared" ca="1" si="68"/>
        <v>#VALUE!</v>
      </c>
    </row>
    <row r="616" spans="1:26" x14ac:dyDescent="0.4">
      <c r="A616" t="str">
        <f>MID(Taostats_CSV!C616,6,2)&amp;"/"&amp;MID(Taostats_CSV!C616,9,2)&amp;"/"&amp;LEFT(Taostats_CSV!C616,4)&amp;" "&amp;MID(Taostats_CSV!C616,12,8)</f>
        <v>07/13/2025 23:59:48</v>
      </c>
      <c r="C616" t="str">
        <f ca="1">IF(Q616,OFFSET(Taostats_CSV!$E$1,MATCH(K616&amp;D$1,Taostats_CSV!$X:$X,0)-1,0),IF(Taostats_CSV!F616="fee",IF(VALUE(Taostats_CSV!G616)&gt;0,Taostats_CSV!E616,""),""))</f>
        <v/>
      </c>
      <c r="D616" t="str">
        <f ca="1">IF(Q616,OFFSET(Taostats_CSV!$G$1,MATCH(K616&amp;D$1,Taostats_CSV!$X:$X,0)-1,0),IF(Taostats_CSV!F616="fee",IF(VALUE(Taostats_CSV!G616)&gt;0,Taostats_CSV!G616,""),""))</f>
        <v/>
      </c>
      <c r="E616" t="str">
        <f ca="1">IF(AND(Q616,P616&gt;0),OFFSET(Taostats_CSV!$E$1,MATCH(K616&amp;F$1,Taostats_CSV!$X:$X,0)-1,0),IF(LEN(F616)&gt;0,Taostats_CSV!E616,""))</f>
        <v>SN56</v>
      </c>
      <c r="F616" t="str">
        <f ca="1">TRIM(IF(AND(Q616,P616&gt;0),OFFSET(Taostats_CSV!$H$1,MATCH(K616&amp;F$1,Taostats_CSV!$X:$X,0)-1,0),IF(LEN(Taostats_CSV!H616)&gt;0,Taostats_CSV!H616,Taostats_CSV!R616)))</f>
        <v>0.249599793</v>
      </c>
      <c r="G616" t="str">
        <f ca="1">IF(AND(Q616,N616=1),OFFSET(Taostats_CSV!$E$1,MATCH(K616&amp;H$1,Taostats_CSV!$X:$X,0)-1,0),"")</f>
        <v/>
      </c>
      <c r="H616" t="str">
        <f ca="1">IF(AND(Q616,N616=1),OFFSET(Taostats_CSV!$G$1,MATCH(K616&amp;H$1,Taostats_CSV!$X:$X,0)-1,0),"")</f>
        <v/>
      </c>
      <c r="I616" t="str">
        <f ca="1">IF(AND(LEN(K616)=0,LEN(F616)&gt;0),"Income",IF(AND(O616&gt;0,P616&gt;0,C616&lt;&gt;E616),"Trade",IF(AND(NOT(Q616),Taostats_CSV!F616="fee"),'READ ME'!$C$5,"")))</f>
        <v>Income</v>
      </c>
      <c r="J616" t="str">
        <f ca="1">SUBSTITUTE(IF(LEN(I616)=0,Taostats_CSV!F616&amp;" "&amp;Taostats_CSV!J616,IF(I616="Cost","Extrinsic fee","")),"_"," ")</f>
        <v/>
      </c>
      <c r="K616" t="str">
        <f>TRIM(IF(LEN(Taostats_CSV!I616)&gt;0,Taostats_CSV!I616,""))</f>
        <v/>
      </c>
      <c r="L616">
        <f ca="1">IF(Taostats_CSV!E616&lt;&gt;"TAO",IF(LEN(F616)&gt;0,F616,IF(LEN(D616)&gt;0,D616,0))*Taostats_CSV!P616,"")</f>
        <v>5.4015802885668256</v>
      </c>
      <c r="M616" t="str">
        <f t="shared" ca="1" si="69"/>
        <v>USD</v>
      </c>
      <c r="N616">
        <f>COUNTIF(Taostats_CSV!$X:$X,Taostats_CSV!$I616&amp;N$1)</f>
        <v>0</v>
      </c>
      <c r="O616">
        <f>COUNTIF(Taostats_CSV!$X:$X,Taostats_CSV!$I616&amp;O$1)</f>
        <v>0</v>
      </c>
      <c r="P616">
        <f>COUNTIF(Taostats_CSV!$X:$X,Taostats_CSV!$I616&amp;P$1)</f>
        <v>0</v>
      </c>
      <c r="Q616" t="b">
        <f t="shared" si="70"/>
        <v>0</v>
      </c>
      <c r="R616" t="b">
        <f>IF(LEN(K616)&gt;0,COUNTIF($K$3:K616,K616),FALSE)</f>
        <v>0</v>
      </c>
      <c r="S616" t="b">
        <f>IF(Taostats_CSV!A616=Taostats_CSV!$A$2,TRUE,Taostats_CSV!G616+Taostats_CSV!H616+Taostats_CSV!R616=0)</f>
        <v>0</v>
      </c>
      <c r="T616" t="b">
        <f t="shared" si="71"/>
        <v>1</v>
      </c>
      <c r="U616" t="b" cm="1">
        <f t="array" aca="1" ref="U616" ca="1">AND(T616,OR(O616-N616&gt;1,P616&gt;1,ISERROR(A616:P616)))</f>
        <v>0</v>
      </c>
      <c r="W616" t="e">
        <f>MATCH(K616&amp;$W$2,Taostats_CSV!$X$3:$X$1167,0)</f>
        <v>#N/A</v>
      </c>
      <c r="X616" t="e">
        <f t="shared" ca="1" si="66"/>
        <v>#VALUE!</v>
      </c>
      <c r="Y616">
        <f t="shared" ca="1" si="67"/>
        <v>0.24959979299999999</v>
      </c>
      <c r="Z616" t="e">
        <f t="shared" ca="1" si="68"/>
        <v>#VALUE!</v>
      </c>
    </row>
    <row r="617" spans="1:26" x14ac:dyDescent="0.4">
      <c r="A617" t="str">
        <f>MID(Taostats_CSV!C617,6,2)&amp;"/"&amp;MID(Taostats_CSV!C617,9,2)&amp;"/"&amp;LEFT(Taostats_CSV!C617,4)&amp;" "&amp;MID(Taostats_CSV!C617,12,8)</f>
        <v>07/13/2025 23:59:48</v>
      </c>
      <c r="C617" t="str">
        <f ca="1">IF(Q617,OFFSET(Taostats_CSV!$E$1,MATCH(K617&amp;D$1,Taostats_CSV!$X:$X,0)-1,0),IF(Taostats_CSV!F617="fee",IF(VALUE(Taostats_CSV!G617)&gt;0,Taostats_CSV!E617,""),""))</f>
        <v/>
      </c>
      <c r="D617" t="str">
        <f ca="1">IF(Q617,OFFSET(Taostats_CSV!$G$1,MATCH(K617&amp;D$1,Taostats_CSV!$X:$X,0)-1,0),IF(Taostats_CSV!F617="fee",IF(VALUE(Taostats_CSV!G617)&gt;0,Taostats_CSV!G617,""),""))</f>
        <v/>
      </c>
      <c r="E617" t="str">
        <f ca="1">IF(AND(Q617,P617&gt;0),OFFSET(Taostats_CSV!$E$1,MATCH(K617&amp;F$1,Taostats_CSV!$X:$X,0)-1,0),IF(LEN(F617)&gt;0,Taostats_CSV!E617,""))</f>
        <v>SN64</v>
      </c>
      <c r="F617" t="str">
        <f ca="1">TRIM(IF(AND(Q617,P617&gt;0),OFFSET(Taostats_CSV!$H$1,MATCH(K617&amp;F$1,Taostats_CSV!$X:$X,0)-1,0),IF(LEN(Taostats_CSV!H617)&gt;0,Taostats_CSV!H617,Taostats_CSV!R617)))</f>
        <v>0.144905123</v>
      </c>
      <c r="G617" t="str">
        <f ca="1">IF(AND(Q617,N617=1),OFFSET(Taostats_CSV!$E$1,MATCH(K617&amp;H$1,Taostats_CSV!$X:$X,0)-1,0),"")</f>
        <v/>
      </c>
      <c r="H617" t="str">
        <f ca="1">IF(AND(Q617,N617=1),OFFSET(Taostats_CSV!$G$1,MATCH(K617&amp;H$1,Taostats_CSV!$X:$X,0)-1,0),"")</f>
        <v/>
      </c>
      <c r="I617" t="str">
        <f ca="1">IF(AND(LEN(K617)=0,LEN(F617)&gt;0),"Income",IF(AND(O617&gt;0,P617&gt;0,C617&lt;&gt;E617),"Trade",IF(AND(NOT(Q617),Taostats_CSV!F617="fee"),'READ ME'!$C$5,"")))</f>
        <v>Income</v>
      </c>
      <c r="J617" t="str">
        <f ca="1">SUBSTITUTE(IF(LEN(I617)=0,Taostats_CSV!F617&amp;" "&amp;Taostats_CSV!J617,IF(I617="Cost","Extrinsic fee","")),"_"," ")</f>
        <v/>
      </c>
      <c r="K617" t="str">
        <f>TRIM(IF(LEN(Taostats_CSV!I617)&gt;0,Taostats_CSV!I617,""))</f>
        <v/>
      </c>
      <c r="L617">
        <f ca="1">IF(Taostats_CSV!E617&lt;&gt;"TAO",IF(LEN(F617)&gt;0,F617,IF(LEN(D617)&gt;0,D617,0))*Taostats_CSV!P617,"")</f>
        <v>8.1475232748107089</v>
      </c>
      <c r="M617" t="str">
        <f t="shared" ca="1" si="69"/>
        <v>USD</v>
      </c>
      <c r="N617">
        <f>COUNTIF(Taostats_CSV!$X:$X,Taostats_CSV!$I617&amp;N$1)</f>
        <v>0</v>
      </c>
      <c r="O617">
        <f>COUNTIF(Taostats_CSV!$X:$X,Taostats_CSV!$I617&amp;O$1)</f>
        <v>0</v>
      </c>
      <c r="P617">
        <f>COUNTIF(Taostats_CSV!$X:$X,Taostats_CSV!$I617&amp;P$1)</f>
        <v>0</v>
      </c>
      <c r="Q617" t="b">
        <f t="shared" si="70"/>
        <v>0</v>
      </c>
      <c r="R617" t="b">
        <f>IF(LEN(K617)&gt;0,COUNTIF($K$3:K617,K617),FALSE)</f>
        <v>0</v>
      </c>
      <c r="S617" t="b">
        <f>IF(Taostats_CSV!A617=Taostats_CSV!$A$2,TRUE,Taostats_CSV!G617+Taostats_CSV!H617+Taostats_CSV!R617=0)</f>
        <v>0</v>
      </c>
      <c r="T617" t="b">
        <f t="shared" si="71"/>
        <v>1</v>
      </c>
      <c r="U617" t="b" cm="1">
        <f t="array" aca="1" ref="U617" ca="1">AND(T617,OR(O617-N617&gt;1,P617&gt;1,ISERROR(A617:P617)))</f>
        <v>0</v>
      </c>
      <c r="W617" t="e">
        <f>MATCH(K617&amp;$W$2,Taostats_CSV!$X$3:$X$1167,0)</f>
        <v>#N/A</v>
      </c>
      <c r="X617" t="e">
        <f t="shared" ca="1" si="66"/>
        <v>#VALUE!</v>
      </c>
      <c r="Y617">
        <f t="shared" ca="1" si="67"/>
        <v>0.144905123</v>
      </c>
      <c r="Z617" t="e">
        <f t="shared" ca="1" si="68"/>
        <v>#VALUE!</v>
      </c>
    </row>
    <row r="618" spans="1:26" hidden="1" x14ac:dyDescent="0.4">
      <c r="A618" t="str">
        <f>MID(Taostats_CSV!C618,6,2)&amp;"/"&amp;MID(Taostats_CSV!C618,9,2)&amp;"/"&amp;LEFT(Taostats_CSV!C618,4)&amp;" "&amp;MID(Taostats_CSV!C618,12,8)</f>
        <v>07/13/2025 23:59:48</v>
      </c>
      <c r="C618" t="str">
        <f ca="1">IF(Q618,OFFSET(Taostats_CSV!$E$1,MATCH(K618&amp;D$1,Taostats_CSV!$X:$X,0)-1,0),IF(Taostats_CSV!F618="fee","",IF(VALUE(Taostats_CSV!G618)&gt;0,Taostats_CSV!E618,"")))</f>
        <v/>
      </c>
      <c r="D618" t="str">
        <f ca="1">IF(Q618,OFFSET(Taostats_CSV!$G$1,MATCH(K618&amp;D$1,Taostats_CSV!$X:$X,0)-1,0),IF(Taostats_CSV!F618="fee","",IF(VALUE(Taostats_CSV!G618)&gt;0,Taostats_CSV!G618,"")))</f>
        <v/>
      </c>
      <c r="E618" t="str">
        <f ca="1">IF(AND(Q618,P618&gt;0),OFFSET(Taostats_CSV!$E$1,MATCH(K618&amp;F$1,Taostats_CSV!$X:$X,0)-1,0),IF(LEN(F618)&gt;0,Taostats_CSV!E618,""))</f>
        <v>TAO</v>
      </c>
      <c r="F618" t="str">
        <f ca="1">TRIM(IF(AND(Q618,P618&gt;0),OFFSET(Taostats_CSV!$H$1,MATCH(K618&amp;F$1,Taostats_CSV!$X:$X,0)-1,0),IF(LEN(Taostats_CSV!H618)&gt;0,Taostats_CSV!H618,Taostats_CSV!R618)))</f>
        <v>0</v>
      </c>
      <c r="G618" t="str">
        <f ca="1">IF(AND(Q618,N618=1),OFFSET(Taostats_CSV!$E$1,MATCH(K618&amp;H$1,Taostats_CSV!$X:$X,0)-1,0),IF(Taostats_CSV!F618="fee",Taostats_CSV!E618,""))</f>
        <v/>
      </c>
      <c r="H618" t="str">
        <f ca="1">IF(AND(Q618,N618=1),OFFSET(Taostats_CSV!$G$1,MATCH(K618&amp;H$1,Taostats_CSV!$X:$X,0)-1,0),IF(Taostats_CSV!F618="fee",Taostats_CSV!G618,""))</f>
        <v/>
      </c>
      <c r="I618" t="str">
        <f ca="1">IF(AND(LEN(K618)=0,LEN(F618)&gt;0),"Income",IF(AND(O618&gt;0,P618&gt;0,C618&lt;&gt;E618),"Trade",IF(AND(NOT(Q618),Taostats_CSV!F618="fee"),'READ ME'!$C$5,"")))</f>
        <v>Income</v>
      </c>
      <c r="J618" t="str">
        <f ca="1">SUBSTITUTE(IF(LEN(I618)=0,Taostats_CSV!F618&amp;" "&amp;Taostats_CSV!J618,IF(I618="Cost","Extrinsic fee","")),"_"," ")</f>
        <v/>
      </c>
      <c r="K618" t="str">
        <f>TRIM(IF(LEN(Taostats_CSV!I618)&gt;0,Taostats_CSV!I618,""))</f>
        <v/>
      </c>
      <c r="L618" t="str">
        <f>IF(Taostats_CSV!E618&lt;&gt;"TAO",IF(LEN(F618)&gt;0,F618,IF(LEN(D618)&gt;0,D618,0))*Taostats_CSV!P618,"")</f>
        <v/>
      </c>
      <c r="M618" t="str">
        <f t="shared" si="69"/>
        <v/>
      </c>
      <c r="N618">
        <f>COUNTIF(Taostats_CSV!$X:$X,Taostats_CSV!$I618&amp;N$1)</f>
        <v>0</v>
      </c>
      <c r="O618">
        <f>COUNTIF(Taostats_CSV!$X:$X,Taostats_CSV!$I618&amp;O$1)</f>
        <v>0</v>
      </c>
      <c r="P618">
        <f>COUNTIF(Taostats_CSV!$X:$X,Taostats_CSV!$I618&amp;P$1)</f>
        <v>0</v>
      </c>
      <c r="Q618" t="b">
        <f t="shared" si="70"/>
        <v>0</v>
      </c>
      <c r="R618" t="b">
        <f>IF(LEN(K618)&gt;0,COUNTIF($K$3:K618,K618),FALSE)</f>
        <v>0</v>
      </c>
      <c r="S618" t="b">
        <f>IF(Taostats_CSV!A618=Taostats_CSV!$A$2,TRUE,Taostats_CSV!G618+Taostats_CSV!H618+Taostats_CSV!R618=0)</f>
        <v>1</v>
      </c>
      <c r="T618" t="b">
        <f t="shared" si="71"/>
        <v>0</v>
      </c>
      <c r="U618" t="b" cm="1">
        <f t="array" aca="1" ref="U618" ca="1">AND(T618,OR(O618-N618&gt;1,P618&gt;1,ISERROR(A618:P618)))</f>
        <v>0</v>
      </c>
      <c r="W618" t="e">
        <f>MATCH(K618&amp;$W$2,Taostats_CSV!$X$3:$X$1167,0)</f>
        <v>#N/A</v>
      </c>
      <c r="X618" t="e">
        <f t="shared" ca="1" si="66"/>
        <v>#VALUE!</v>
      </c>
      <c r="Y618">
        <f t="shared" ca="1" si="67"/>
        <v>0</v>
      </c>
      <c r="Z618" t="e">
        <f t="shared" ca="1" si="68"/>
        <v>#VALUE!</v>
      </c>
    </row>
    <row r="619" spans="1:26" x14ac:dyDescent="0.4">
      <c r="A619" t="str">
        <f>MID(Taostats_CSV!C619,6,2)&amp;"/"&amp;MID(Taostats_CSV!C619,9,2)&amp;"/"&amp;LEFT(Taostats_CSV!C619,4)&amp;" "&amp;MID(Taostats_CSV!C619,12,8)</f>
        <v>07/14/2025 23:59:48</v>
      </c>
      <c r="C619" t="str">
        <f ca="1">IF(Q619,OFFSET(Taostats_CSV!$E$1,MATCH(K619&amp;D$1,Taostats_CSV!$X:$X,0)-1,0),IF(Taostats_CSV!F619="fee",IF(VALUE(Taostats_CSV!G619)&gt;0,Taostats_CSV!E619,""),""))</f>
        <v/>
      </c>
      <c r="D619" t="str">
        <f ca="1">IF(Q619,OFFSET(Taostats_CSV!$G$1,MATCH(K619&amp;D$1,Taostats_CSV!$X:$X,0)-1,0),IF(Taostats_CSV!F619="fee",IF(VALUE(Taostats_CSV!G619)&gt;0,Taostats_CSV!G619,""),""))</f>
        <v/>
      </c>
      <c r="E619" t="str">
        <f ca="1">IF(AND(Q619,P619&gt;0),OFFSET(Taostats_CSV!$E$1,MATCH(K619&amp;F$1,Taostats_CSV!$X:$X,0)-1,0),IF(LEN(F619)&gt;0,Taostats_CSV!E619,""))</f>
        <v>SN3</v>
      </c>
      <c r="F619" t="str">
        <f ca="1">TRIM(IF(AND(Q619,P619&gt;0),OFFSET(Taostats_CSV!$H$1,MATCH(K619&amp;F$1,Taostats_CSV!$X:$X,0)-1,0),IF(LEN(Taostats_CSV!H619)&gt;0,Taostats_CSV!H619,Taostats_CSV!R619)))</f>
        <v>0.404348344</v>
      </c>
      <c r="G619" t="str">
        <f ca="1">IF(AND(Q619,N619=1),OFFSET(Taostats_CSV!$E$1,MATCH(K619&amp;H$1,Taostats_CSV!$X:$X,0)-1,0),"")</f>
        <v/>
      </c>
      <c r="H619" t="str">
        <f ca="1">IF(AND(Q619,N619=1),OFFSET(Taostats_CSV!$G$1,MATCH(K619&amp;H$1,Taostats_CSV!$X:$X,0)-1,0),"")</f>
        <v/>
      </c>
      <c r="I619" t="str">
        <f ca="1">IF(AND(LEN(K619)=0,LEN(F619)&gt;0),"Income",IF(AND(O619&gt;0,P619&gt;0,C619&lt;&gt;E619),"Trade",IF(AND(NOT(Q619),Taostats_CSV!F619="fee"),'READ ME'!$C$5,"")))</f>
        <v>Income</v>
      </c>
      <c r="J619" t="str">
        <f ca="1">SUBSTITUTE(IF(LEN(I619)=0,Taostats_CSV!F619&amp;" "&amp;Taostats_CSV!J619,IF(I619="Cost","Extrinsic fee","")),"_"," ")</f>
        <v/>
      </c>
      <c r="K619" t="str">
        <f>TRIM(IF(LEN(Taostats_CSV!I619)&gt;0,Taostats_CSV!I619,""))</f>
        <v/>
      </c>
      <c r="L619">
        <f ca="1">IF(Taostats_CSV!E619&lt;&gt;"TAO",IF(LEN(F619)&gt;0,F619,IF(LEN(D619)&gt;0,D619,0))*Taostats_CSV!P619,"")</f>
        <v>10.302553723489781</v>
      </c>
      <c r="M619" t="str">
        <f t="shared" ca="1" si="69"/>
        <v>USD</v>
      </c>
      <c r="N619">
        <f>COUNTIF(Taostats_CSV!$X:$X,Taostats_CSV!$I619&amp;N$1)</f>
        <v>0</v>
      </c>
      <c r="O619">
        <f>COUNTIF(Taostats_CSV!$X:$X,Taostats_CSV!$I619&amp;O$1)</f>
        <v>0</v>
      </c>
      <c r="P619">
        <f>COUNTIF(Taostats_CSV!$X:$X,Taostats_CSV!$I619&amp;P$1)</f>
        <v>0</v>
      </c>
      <c r="Q619" t="b">
        <f t="shared" si="70"/>
        <v>0</v>
      </c>
      <c r="R619" t="b">
        <f>IF(LEN(K619)&gt;0,COUNTIF($K$3:K619,K619),FALSE)</f>
        <v>0</v>
      </c>
      <c r="S619" t="b">
        <f>IF(Taostats_CSV!A619=Taostats_CSV!$A$2,TRUE,Taostats_CSV!G619+Taostats_CSV!H619+Taostats_CSV!R619=0)</f>
        <v>0</v>
      </c>
      <c r="T619" t="b">
        <f t="shared" si="71"/>
        <v>1</v>
      </c>
      <c r="U619" t="b" cm="1">
        <f t="array" aca="1" ref="U619" ca="1">AND(T619,OR(O619-N619&gt;1,P619&gt;1,ISERROR(A619:P619)))</f>
        <v>0</v>
      </c>
      <c r="W619" t="e">
        <f>MATCH(K619&amp;$W$2,Taostats_CSV!$X$3:$X$1167,0)</f>
        <v>#N/A</v>
      </c>
      <c r="X619" t="e">
        <f t="shared" ca="1" si="66"/>
        <v>#VALUE!</v>
      </c>
      <c r="Y619">
        <f t="shared" ca="1" si="67"/>
        <v>0.40434834400000003</v>
      </c>
      <c r="Z619" t="e">
        <f t="shared" ca="1" si="68"/>
        <v>#VALUE!</v>
      </c>
    </row>
    <row r="620" spans="1:26" x14ac:dyDescent="0.4">
      <c r="A620" t="str">
        <f>MID(Taostats_CSV!C620,6,2)&amp;"/"&amp;MID(Taostats_CSV!C620,9,2)&amp;"/"&amp;LEFT(Taostats_CSV!C620,4)&amp;" "&amp;MID(Taostats_CSV!C620,12,8)</f>
        <v>07/14/2025 23:59:48</v>
      </c>
      <c r="C620" t="str">
        <f ca="1">IF(Q620,OFFSET(Taostats_CSV!$E$1,MATCH(K620&amp;D$1,Taostats_CSV!$X:$X,0)-1,0),IF(Taostats_CSV!F620="fee",IF(VALUE(Taostats_CSV!G620)&gt;0,Taostats_CSV!E620,""),""))</f>
        <v/>
      </c>
      <c r="D620" t="str">
        <f ca="1">IF(Q620,OFFSET(Taostats_CSV!$G$1,MATCH(K620&amp;D$1,Taostats_CSV!$X:$X,0)-1,0),IF(Taostats_CSV!F620="fee",IF(VALUE(Taostats_CSV!G620)&gt;0,Taostats_CSV!G620,""),""))</f>
        <v/>
      </c>
      <c r="E620" t="str">
        <f ca="1">IF(AND(Q620,P620&gt;0),OFFSET(Taostats_CSV!$E$1,MATCH(K620&amp;F$1,Taostats_CSV!$X:$X,0)-1,0),IF(LEN(F620)&gt;0,Taostats_CSV!E620,""))</f>
        <v>SN4</v>
      </c>
      <c r="F620" t="str">
        <f ca="1">TRIM(IF(AND(Q620,P620&gt;0),OFFSET(Taostats_CSV!$H$1,MATCH(K620&amp;F$1,Taostats_CSV!$X:$X,0)-1,0),IF(LEN(Taostats_CSV!H620)&gt;0,Taostats_CSV!H620,Taostats_CSV!R620)))</f>
        <v>0.48438075</v>
      </c>
      <c r="G620" t="str">
        <f ca="1">IF(AND(Q620,N620=1),OFFSET(Taostats_CSV!$E$1,MATCH(K620&amp;H$1,Taostats_CSV!$X:$X,0)-1,0),"")</f>
        <v/>
      </c>
      <c r="H620" t="str">
        <f ca="1">IF(AND(Q620,N620=1),OFFSET(Taostats_CSV!$G$1,MATCH(K620&amp;H$1,Taostats_CSV!$X:$X,0)-1,0),"")</f>
        <v/>
      </c>
      <c r="I620" t="str">
        <f ca="1">IF(AND(LEN(K620)=0,LEN(F620)&gt;0),"Income",IF(AND(O620&gt;0,P620&gt;0,C620&lt;&gt;E620),"Trade",IF(AND(NOT(Q620),Taostats_CSV!F620="fee"),'READ ME'!$C$5,"")))</f>
        <v>Income</v>
      </c>
      <c r="J620" t="str">
        <f ca="1">SUBSTITUTE(IF(LEN(I620)=0,Taostats_CSV!F620&amp;" "&amp;Taostats_CSV!J620,IF(I620="Cost","Extrinsic fee","")),"_"," ")</f>
        <v/>
      </c>
      <c r="K620" t="str">
        <f>TRIM(IF(LEN(Taostats_CSV!I620)&gt;0,Taostats_CSV!I620,""))</f>
        <v/>
      </c>
      <c r="L620">
        <f ca="1">IF(Taostats_CSV!E620&lt;&gt;"TAO",IF(LEN(F620)&gt;0,F620,IF(LEN(D620)&gt;0,D620,0))*Taostats_CSV!P620,"")</f>
        <v>12.162368684637871</v>
      </c>
      <c r="M620" t="str">
        <f t="shared" ca="1" si="69"/>
        <v>USD</v>
      </c>
      <c r="N620">
        <f>COUNTIF(Taostats_CSV!$X:$X,Taostats_CSV!$I620&amp;N$1)</f>
        <v>0</v>
      </c>
      <c r="O620">
        <f>COUNTIF(Taostats_CSV!$X:$X,Taostats_CSV!$I620&amp;O$1)</f>
        <v>0</v>
      </c>
      <c r="P620">
        <f>COUNTIF(Taostats_CSV!$X:$X,Taostats_CSV!$I620&amp;P$1)</f>
        <v>0</v>
      </c>
      <c r="Q620" t="b">
        <f t="shared" si="70"/>
        <v>0</v>
      </c>
      <c r="R620" t="b">
        <f>IF(LEN(K620)&gt;0,COUNTIF($K$3:K620,K620),FALSE)</f>
        <v>0</v>
      </c>
      <c r="S620" t="b">
        <f>IF(Taostats_CSV!A620=Taostats_CSV!$A$2,TRUE,Taostats_CSV!G620+Taostats_CSV!H620+Taostats_CSV!R620=0)</f>
        <v>0</v>
      </c>
      <c r="T620" t="b">
        <f t="shared" si="71"/>
        <v>1</v>
      </c>
      <c r="U620" t="b" cm="1">
        <f t="array" aca="1" ref="U620" ca="1">AND(T620,OR(O620-N620&gt;1,P620&gt;1,ISERROR(A620:P620)))</f>
        <v>0</v>
      </c>
      <c r="W620" t="e">
        <f>MATCH(K620&amp;$W$2,Taostats_CSV!$X$3:$X$1167,0)</f>
        <v>#N/A</v>
      </c>
      <c r="X620" t="e">
        <f t="shared" ca="1" si="66"/>
        <v>#VALUE!</v>
      </c>
      <c r="Y620">
        <f t="shared" ca="1" si="67"/>
        <v>0.48438075000000003</v>
      </c>
      <c r="Z620" t="e">
        <f t="shared" ca="1" si="68"/>
        <v>#VALUE!</v>
      </c>
    </row>
    <row r="621" spans="1:26" x14ac:dyDescent="0.4">
      <c r="A621" t="str">
        <f>MID(Taostats_CSV!C621,6,2)&amp;"/"&amp;MID(Taostats_CSV!C621,9,2)&amp;"/"&amp;LEFT(Taostats_CSV!C621,4)&amp;" "&amp;MID(Taostats_CSV!C621,12,8)</f>
        <v>07/14/2025 23:59:48</v>
      </c>
      <c r="C621" t="str">
        <f ca="1">IF(Q621,OFFSET(Taostats_CSV!$E$1,MATCH(K621&amp;D$1,Taostats_CSV!$X:$X,0)-1,0),IF(Taostats_CSV!F621="fee",IF(VALUE(Taostats_CSV!G621)&gt;0,Taostats_CSV!E621,""),""))</f>
        <v/>
      </c>
      <c r="D621" t="str">
        <f ca="1">IF(Q621,OFFSET(Taostats_CSV!$G$1,MATCH(K621&amp;D$1,Taostats_CSV!$X:$X,0)-1,0),IF(Taostats_CSV!F621="fee",IF(VALUE(Taostats_CSV!G621)&gt;0,Taostats_CSV!G621,""),""))</f>
        <v/>
      </c>
      <c r="E621" t="str">
        <f ca="1">IF(AND(Q621,P621&gt;0),OFFSET(Taostats_CSV!$E$1,MATCH(K621&amp;F$1,Taostats_CSV!$X:$X,0)-1,0),IF(LEN(F621)&gt;0,Taostats_CSV!E621,""))</f>
        <v>SN56</v>
      </c>
      <c r="F621" t="str">
        <f ca="1">TRIM(IF(AND(Q621,P621&gt;0),OFFSET(Taostats_CSV!$H$1,MATCH(K621&amp;F$1,Taostats_CSV!$X:$X,0)-1,0),IF(LEN(Taostats_CSV!H621)&gt;0,Taostats_CSV!H621,Taostats_CSV!R621)))</f>
        <v>0.245051472</v>
      </c>
      <c r="G621" t="str">
        <f ca="1">IF(AND(Q621,N621=1),OFFSET(Taostats_CSV!$E$1,MATCH(K621&amp;H$1,Taostats_CSV!$X:$X,0)-1,0),"")</f>
        <v/>
      </c>
      <c r="H621" t="str">
        <f ca="1">IF(AND(Q621,N621=1),OFFSET(Taostats_CSV!$G$1,MATCH(K621&amp;H$1,Taostats_CSV!$X:$X,0)-1,0),"")</f>
        <v/>
      </c>
      <c r="I621" t="str">
        <f ca="1">IF(AND(LEN(K621)=0,LEN(F621)&gt;0),"Income",IF(AND(O621&gt;0,P621&gt;0,C621&lt;&gt;E621),"Trade",IF(AND(NOT(Q621),Taostats_CSV!F621="fee"),'READ ME'!$C$5,"")))</f>
        <v>Income</v>
      </c>
      <c r="J621" t="str">
        <f ca="1">SUBSTITUTE(IF(LEN(I621)=0,Taostats_CSV!F621&amp;" "&amp;Taostats_CSV!J621,IF(I621="Cost","Extrinsic fee","")),"_"," ")</f>
        <v/>
      </c>
      <c r="K621" t="str">
        <f>TRIM(IF(LEN(Taostats_CSV!I621)&gt;0,Taostats_CSV!I621,""))</f>
        <v/>
      </c>
      <c r="L621">
        <f ca="1">IF(Taostats_CSV!E621&lt;&gt;"TAO",IF(LEN(F621)&gt;0,F621,IF(LEN(D621)&gt;0,D621,0))*Taostats_CSV!P621,"")</f>
        <v>6.0585229681611832</v>
      </c>
      <c r="M621" t="str">
        <f t="shared" ca="1" si="69"/>
        <v>USD</v>
      </c>
      <c r="N621">
        <f>COUNTIF(Taostats_CSV!$X:$X,Taostats_CSV!$I621&amp;N$1)</f>
        <v>0</v>
      </c>
      <c r="O621">
        <f>COUNTIF(Taostats_CSV!$X:$X,Taostats_CSV!$I621&amp;O$1)</f>
        <v>0</v>
      </c>
      <c r="P621">
        <f>COUNTIF(Taostats_CSV!$X:$X,Taostats_CSV!$I621&amp;P$1)</f>
        <v>0</v>
      </c>
      <c r="Q621" t="b">
        <f t="shared" si="70"/>
        <v>0</v>
      </c>
      <c r="R621" t="b">
        <f>IF(LEN(K621)&gt;0,COUNTIF($K$3:K621,K621),FALSE)</f>
        <v>0</v>
      </c>
      <c r="S621" t="b">
        <f>IF(Taostats_CSV!A621=Taostats_CSV!$A$2,TRUE,Taostats_CSV!G621+Taostats_CSV!H621+Taostats_CSV!R621=0)</f>
        <v>0</v>
      </c>
      <c r="T621" t="b">
        <f t="shared" si="71"/>
        <v>1</v>
      </c>
      <c r="U621" t="b" cm="1">
        <f t="array" aca="1" ref="U621" ca="1">AND(T621,OR(O621-N621&gt;1,P621&gt;1,ISERROR(A621:P621)))</f>
        <v>0</v>
      </c>
      <c r="W621" t="e">
        <f>MATCH(K621&amp;$W$2,Taostats_CSV!$X$3:$X$1167,0)</f>
        <v>#N/A</v>
      </c>
      <c r="X621" t="e">
        <f t="shared" ca="1" si="66"/>
        <v>#VALUE!</v>
      </c>
      <c r="Y621">
        <f t="shared" ca="1" si="67"/>
        <v>0.24505147199999999</v>
      </c>
      <c r="Z621" t="e">
        <f t="shared" ca="1" si="68"/>
        <v>#VALUE!</v>
      </c>
    </row>
    <row r="622" spans="1:26" x14ac:dyDescent="0.4">
      <c r="A622" t="str">
        <f>MID(Taostats_CSV!C622,6,2)&amp;"/"&amp;MID(Taostats_CSV!C622,9,2)&amp;"/"&amp;LEFT(Taostats_CSV!C622,4)&amp;" "&amp;MID(Taostats_CSV!C622,12,8)</f>
        <v>07/14/2025 23:59:48</v>
      </c>
      <c r="C622" t="str">
        <f ca="1">IF(Q622,OFFSET(Taostats_CSV!$E$1,MATCH(K622&amp;D$1,Taostats_CSV!$X:$X,0)-1,0),IF(Taostats_CSV!F622="fee",IF(VALUE(Taostats_CSV!G622)&gt;0,Taostats_CSV!E622,""),""))</f>
        <v/>
      </c>
      <c r="D622" t="str">
        <f ca="1">IF(Q622,OFFSET(Taostats_CSV!$G$1,MATCH(K622&amp;D$1,Taostats_CSV!$X:$X,0)-1,0),IF(Taostats_CSV!F622="fee",IF(VALUE(Taostats_CSV!G622)&gt;0,Taostats_CSV!G622,""),""))</f>
        <v/>
      </c>
      <c r="E622" t="str">
        <f ca="1">IF(AND(Q622,P622&gt;0),OFFSET(Taostats_CSV!$E$1,MATCH(K622&amp;F$1,Taostats_CSV!$X:$X,0)-1,0),IF(LEN(F622)&gt;0,Taostats_CSV!E622,""))</f>
        <v>SN64</v>
      </c>
      <c r="F622" t="str">
        <f ca="1">TRIM(IF(AND(Q622,P622&gt;0),OFFSET(Taostats_CSV!$H$1,MATCH(K622&amp;F$1,Taostats_CSV!$X:$X,0)-1,0),IF(LEN(Taostats_CSV!H622)&gt;0,Taostats_CSV!H622,Taostats_CSV!R622)))</f>
        <v>0.142645458</v>
      </c>
      <c r="G622" t="str">
        <f ca="1">IF(AND(Q622,N622=1),OFFSET(Taostats_CSV!$E$1,MATCH(K622&amp;H$1,Taostats_CSV!$X:$X,0)-1,0),"")</f>
        <v/>
      </c>
      <c r="H622" t="str">
        <f ca="1">IF(AND(Q622,N622=1),OFFSET(Taostats_CSV!$G$1,MATCH(K622&amp;H$1,Taostats_CSV!$X:$X,0)-1,0),"")</f>
        <v/>
      </c>
      <c r="I622" t="str">
        <f ca="1">IF(AND(LEN(K622)=0,LEN(F622)&gt;0),"Income",IF(AND(O622&gt;0,P622&gt;0,C622&lt;&gt;E622),"Trade",IF(AND(NOT(Q622),Taostats_CSV!F622="fee"),'READ ME'!$C$5,"")))</f>
        <v>Income</v>
      </c>
      <c r="J622" t="str">
        <f ca="1">SUBSTITUTE(IF(LEN(I622)=0,Taostats_CSV!F622&amp;" "&amp;Taostats_CSV!J622,IF(I622="Cost","Extrinsic fee","")),"_"," ")</f>
        <v/>
      </c>
      <c r="K622" t="str">
        <f>TRIM(IF(LEN(Taostats_CSV!I622)&gt;0,Taostats_CSV!I622,""))</f>
        <v/>
      </c>
      <c r="L622">
        <f ca="1">IF(Taostats_CSV!E622&lt;&gt;"TAO",IF(LEN(F622)&gt;0,F622,IF(LEN(D622)&gt;0,D622,0))*Taostats_CSV!P622,"")</f>
        <v>8.6318483316641892</v>
      </c>
      <c r="M622" t="str">
        <f t="shared" ca="1" si="69"/>
        <v>USD</v>
      </c>
      <c r="N622">
        <f>COUNTIF(Taostats_CSV!$X:$X,Taostats_CSV!$I622&amp;N$1)</f>
        <v>0</v>
      </c>
      <c r="O622">
        <f>COUNTIF(Taostats_CSV!$X:$X,Taostats_CSV!$I622&amp;O$1)</f>
        <v>0</v>
      </c>
      <c r="P622">
        <f>COUNTIF(Taostats_CSV!$X:$X,Taostats_CSV!$I622&amp;P$1)</f>
        <v>0</v>
      </c>
      <c r="Q622" t="b">
        <f t="shared" si="70"/>
        <v>0</v>
      </c>
      <c r="R622" t="b">
        <f>IF(LEN(K622)&gt;0,COUNTIF($K$3:K622,K622),FALSE)</f>
        <v>0</v>
      </c>
      <c r="S622" t="b">
        <f>IF(Taostats_CSV!A622=Taostats_CSV!$A$2,TRUE,Taostats_CSV!G622+Taostats_CSV!H622+Taostats_CSV!R622=0)</f>
        <v>0</v>
      </c>
      <c r="T622" t="b">
        <f t="shared" si="71"/>
        <v>1</v>
      </c>
      <c r="U622" t="b" cm="1">
        <f t="array" aca="1" ref="U622" ca="1">AND(T622,OR(O622-N622&gt;1,P622&gt;1,ISERROR(A622:P622)))</f>
        <v>0</v>
      </c>
      <c r="W622" t="e">
        <f>MATCH(K622&amp;$W$2,Taostats_CSV!$X$3:$X$1167,0)</f>
        <v>#N/A</v>
      </c>
      <c r="X622" t="e">
        <f t="shared" ca="1" si="66"/>
        <v>#VALUE!</v>
      </c>
      <c r="Y622">
        <f t="shared" ca="1" si="67"/>
        <v>0.142645458</v>
      </c>
      <c r="Z622" t="e">
        <f t="shared" ca="1" si="68"/>
        <v>#VALUE!</v>
      </c>
    </row>
    <row r="623" spans="1:26" hidden="1" x14ac:dyDescent="0.4">
      <c r="A623" t="str">
        <f>MID(Taostats_CSV!C623,6,2)&amp;"/"&amp;MID(Taostats_CSV!C623,9,2)&amp;"/"&amp;LEFT(Taostats_CSV!C623,4)&amp;" "&amp;MID(Taostats_CSV!C623,12,8)</f>
        <v>07/14/2025 23:59:48</v>
      </c>
      <c r="C623" t="str">
        <f ca="1">IF(Q623,OFFSET(Taostats_CSV!$E$1,MATCH(K623&amp;D$1,Taostats_CSV!$X:$X,0)-1,0),IF(Taostats_CSV!F623="fee","",IF(VALUE(Taostats_CSV!G623)&gt;0,Taostats_CSV!E623,"")))</f>
        <v/>
      </c>
      <c r="D623" t="str">
        <f ca="1">IF(Q623,OFFSET(Taostats_CSV!$G$1,MATCH(K623&amp;D$1,Taostats_CSV!$X:$X,0)-1,0),IF(Taostats_CSV!F623="fee","",IF(VALUE(Taostats_CSV!G623)&gt;0,Taostats_CSV!G623,"")))</f>
        <v/>
      </c>
      <c r="E623" t="str">
        <f ca="1">IF(AND(Q623,P623&gt;0),OFFSET(Taostats_CSV!$E$1,MATCH(K623&amp;F$1,Taostats_CSV!$X:$X,0)-1,0),IF(LEN(F623)&gt;0,Taostats_CSV!E623,""))</f>
        <v>TAO</v>
      </c>
      <c r="F623" t="str">
        <f ca="1">TRIM(IF(AND(Q623,P623&gt;0),OFFSET(Taostats_CSV!$H$1,MATCH(K623&amp;F$1,Taostats_CSV!$X:$X,0)-1,0),IF(LEN(Taostats_CSV!H623)&gt;0,Taostats_CSV!H623,Taostats_CSV!R623)))</f>
        <v>0</v>
      </c>
      <c r="G623" t="str">
        <f ca="1">IF(AND(Q623,N623=1),OFFSET(Taostats_CSV!$E$1,MATCH(K623&amp;H$1,Taostats_CSV!$X:$X,0)-1,0),IF(Taostats_CSV!F623="fee",Taostats_CSV!E623,""))</f>
        <v/>
      </c>
      <c r="H623" t="str">
        <f ca="1">IF(AND(Q623,N623=1),OFFSET(Taostats_CSV!$G$1,MATCH(K623&amp;H$1,Taostats_CSV!$X:$X,0)-1,0),IF(Taostats_CSV!F623="fee",Taostats_CSV!G623,""))</f>
        <v/>
      </c>
      <c r="I623" t="str">
        <f ca="1">IF(AND(LEN(K623)=0,LEN(F623)&gt;0),"Income",IF(AND(O623&gt;0,P623&gt;0,C623&lt;&gt;E623),"Trade",IF(AND(NOT(Q623),Taostats_CSV!F623="fee"),'READ ME'!$C$5,"")))</f>
        <v>Income</v>
      </c>
      <c r="J623" t="str">
        <f ca="1">SUBSTITUTE(IF(LEN(I623)=0,Taostats_CSV!F623&amp;" "&amp;Taostats_CSV!J623,IF(I623="Cost","Extrinsic fee","")),"_"," ")</f>
        <v/>
      </c>
      <c r="K623" t="str">
        <f>TRIM(IF(LEN(Taostats_CSV!I623)&gt;0,Taostats_CSV!I623,""))</f>
        <v/>
      </c>
      <c r="L623" t="str">
        <f>IF(Taostats_CSV!E623&lt;&gt;"TAO",IF(LEN(F623)&gt;0,F623,IF(LEN(D623)&gt;0,D623,0))*Taostats_CSV!P623,"")</f>
        <v/>
      </c>
      <c r="M623" t="str">
        <f t="shared" si="69"/>
        <v/>
      </c>
      <c r="N623">
        <f>COUNTIF(Taostats_CSV!$X:$X,Taostats_CSV!$I623&amp;N$1)</f>
        <v>0</v>
      </c>
      <c r="O623">
        <f>COUNTIF(Taostats_CSV!$X:$X,Taostats_CSV!$I623&amp;O$1)</f>
        <v>0</v>
      </c>
      <c r="P623">
        <f>COUNTIF(Taostats_CSV!$X:$X,Taostats_CSV!$I623&amp;P$1)</f>
        <v>0</v>
      </c>
      <c r="Q623" t="b">
        <f t="shared" si="70"/>
        <v>0</v>
      </c>
      <c r="R623" t="b">
        <f>IF(LEN(K623)&gt;0,COUNTIF($K$3:K623,K623),FALSE)</f>
        <v>0</v>
      </c>
      <c r="S623" t="b">
        <f>IF(Taostats_CSV!A623=Taostats_CSV!$A$2,TRUE,Taostats_CSV!G623+Taostats_CSV!H623+Taostats_CSV!R623=0)</f>
        <v>1</v>
      </c>
      <c r="T623" t="b">
        <f t="shared" si="71"/>
        <v>0</v>
      </c>
      <c r="U623" t="b" cm="1">
        <f t="array" aca="1" ref="U623" ca="1">AND(T623,OR(O623-N623&gt;1,P623&gt;1,ISERROR(A623:P623)))</f>
        <v>0</v>
      </c>
      <c r="W623" t="e">
        <f>MATCH(K623&amp;$W$2,Taostats_CSV!$X$3:$X$1167,0)</f>
        <v>#N/A</v>
      </c>
      <c r="X623" t="e">
        <f t="shared" ca="1" si="66"/>
        <v>#VALUE!</v>
      </c>
      <c r="Y623">
        <f t="shared" ca="1" si="67"/>
        <v>0</v>
      </c>
      <c r="Z623" t="e">
        <f t="shared" ca="1" si="68"/>
        <v>#VALUE!</v>
      </c>
    </row>
    <row r="624" spans="1:26" x14ac:dyDescent="0.4">
      <c r="A624" t="str">
        <f>MID(Taostats_CSV!C624,6,2)&amp;"/"&amp;MID(Taostats_CSV!C624,9,2)&amp;"/"&amp;LEFT(Taostats_CSV!C624,4)&amp;" "&amp;MID(Taostats_CSV!C624,12,8)</f>
        <v>07/15/2025 23:59:48</v>
      </c>
      <c r="C624" t="str">
        <f ca="1">IF(Q624,OFFSET(Taostats_CSV!$E$1,MATCH(K624&amp;D$1,Taostats_CSV!$X:$X,0)-1,0),IF(Taostats_CSV!F624="fee",IF(VALUE(Taostats_CSV!G624)&gt;0,Taostats_CSV!E624,""),""))</f>
        <v/>
      </c>
      <c r="D624" t="str">
        <f ca="1">IF(Q624,OFFSET(Taostats_CSV!$G$1,MATCH(K624&amp;D$1,Taostats_CSV!$X:$X,0)-1,0),IF(Taostats_CSV!F624="fee",IF(VALUE(Taostats_CSV!G624)&gt;0,Taostats_CSV!G624,""),""))</f>
        <v/>
      </c>
      <c r="E624" t="str">
        <f ca="1">IF(AND(Q624,P624&gt;0),OFFSET(Taostats_CSV!$E$1,MATCH(K624&amp;F$1,Taostats_CSV!$X:$X,0)-1,0),IF(LEN(F624)&gt;0,Taostats_CSV!E624,""))</f>
        <v>SN3</v>
      </c>
      <c r="F624" t="str">
        <f ca="1">TRIM(IF(AND(Q624,P624&gt;0),OFFSET(Taostats_CSV!$H$1,MATCH(K624&amp;F$1,Taostats_CSV!$X:$X,0)-1,0),IF(LEN(Taostats_CSV!H624)&gt;0,Taostats_CSV!H624,Taostats_CSV!R624)))</f>
        <v>0.385296881</v>
      </c>
      <c r="G624" t="str">
        <f ca="1">IF(AND(Q624,N624=1),OFFSET(Taostats_CSV!$E$1,MATCH(K624&amp;H$1,Taostats_CSV!$X:$X,0)-1,0),"")</f>
        <v/>
      </c>
      <c r="H624" t="str">
        <f ca="1">IF(AND(Q624,N624=1),OFFSET(Taostats_CSV!$G$1,MATCH(K624&amp;H$1,Taostats_CSV!$X:$X,0)-1,0),"")</f>
        <v/>
      </c>
      <c r="I624" t="str">
        <f ca="1">IF(AND(LEN(K624)=0,LEN(F624)&gt;0),"Income",IF(AND(O624&gt;0,P624&gt;0,C624&lt;&gt;E624),"Trade",IF(AND(NOT(Q624),Taostats_CSV!F624="fee"),'READ ME'!$C$5,"")))</f>
        <v>Income</v>
      </c>
      <c r="J624" t="str">
        <f ca="1">SUBSTITUTE(IF(LEN(I624)=0,Taostats_CSV!F624&amp;" "&amp;Taostats_CSV!J624,IF(I624="Cost","Extrinsic fee","")),"_"," ")</f>
        <v/>
      </c>
      <c r="K624" t="str">
        <f>TRIM(IF(LEN(Taostats_CSV!I624)&gt;0,Taostats_CSV!I624,""))</f>
        <v/>
      </c>
      <c r="L624">
        <f ca="1">IF(Taostats_CSV!E624&lt;&gt;"TAO",IF(LEN(F624)&gt;0,F624,IF(LEN(D624)&gt;0,D624,0))*Taostats_CSV!P624,"")</f>
        <v>11.713086974376001</v>
      </c>
      <c r="M624" t="str">
        <f t="shared" ca="1" si="69"/>
        <v>USD</v>
      </c>
      <c r="N624">
        <f>COUNTIF(Taostats_CSV!$X:$X,Taostats_CSV!$I624&amp;N$1)</f>
        <v>0</v>
      </c>
      <c r="O624">
        <f>COUNTIF(Taostats_CSV!$X:$X,Taostats_CSV!$I624&amp;O$1)</f>
        <v>0</v>
      </c>
      <c r="P624">
        <f>COUNTIF(Taostats_CSV!$X:$X,Taostats_CSV!$I624&amp;P$1)</f>
        <v>0</v>
      </c>
      <c r="Q624" t="b">
        <f t="shared" si="70"/>
        <v>0</v>
      </c>
      <c r="R624" t="b">
        <f>IF(LEN(K624)&gt;0,COUNTIF($K$3:K624,K624),FALSE)</f>
        <v>0</v>
      </c>
      <c r="S624" t="b">
        <f>IF(Taostats_CSV!A624=Taostats_CSV!$A$2,TRUE,Taostats_CSV!G624+Taostats_CSV!H624+Taostats_CSV!R624=0)</f>
        <v>0</v>
      </c>
      <c r="T624" t="b">
        <f t="shared" si="71"/>
        <v>1</v>
      </c>
      <c r="U624" t="b" cm="1">
        <f t="array" aca="1" ref="U624" ca="1">AND(T624,OR(O624-N624&gt;1,P624&gt;1,ISERROR(A624:P624)))</f>
        <v>0</v>
      </c>
      <c r="W624" t="e">
        <f>MATCH(K624&amp;$W$2,Taostats_CSV!$X$3:$X$1167,0)</f>
        <v>#N/A</v>
      </c>
      <c r="X624" t="e">
        <f t="shared" ca="1" si="66"/>
        <v>#VALUE!</v>
      </c>
      <c r="Y624">
        <f t="shared" ca="1" si="67"/>
        <v>0.38529688099999998</v>
      </c>
      <c r="Z624" t="e">
        <f t="shared" ca="1" si="68"/>
        <v>#VALUE!</v>
      </c>
    </row>
    <row r="625" spans="1:26" x14ac:dyDescent="0.4">
      <c r="A625" t="str">
        <f>MID(Taostats_CSV!C625,6,2)&amp;"/"&amp;MID(Taostats_CSV!C625,9,2)&amp;"/"&amp;LEFT(Taostats_CSV!C625,4)&amp;" "&amp;MID(Taostats_CSV!C625,12,8)</f>
        <v>07/15/2025 23:59:48</v>
      </c>
      <c r="C625" t="str">
        <f ca="1">IF(Q625,OFFSET(Taostats_CSV!$E$1,MATCH(K625&amp;D$1,Taostats_CSV!$X:$X,0)-1,0),IF(Taostats_CSV!F625="fee",IF(VALUE(Taostats_CSV!G625)&gt;0,Taostats_CSV!E625,""),""))</f>
        <v/>
      </c>
      <c r="D625" t="str">
        <f ca="1">IF(Q625,OFFSET(Taostats_CSV!$G$1,MATCH(K625&amp;D$1,Taostats_CSV!$X:$X,0)-1,0),IF(Taostats_CSV!F625="fee",IF(VALUE(Taostats_CSV!G625)&gt;0,Taostats_CSV!G625,""),""))</f>
        <v/>
      </c>
      <c r="E625" t="str">
        <f ca="1">IF(AND(Q625,P625&gt;0),OFFSET(Taostats_CSV!$E$1,MATCH(K625&amp;F$1,Taostats_CSV!$X:$X,0)-1,0),IF(LEN(F625)&gt;0,Taostats_CSV!E625,""))</f>
        <v>SN4</v>
      </c>
      <c r="F625" t="str">
        <f ca="1">TRIM(IF(AND(Q625,P625&gt;0),OFFSET(Taostats_CSV!$H$1,MATCH(K625&amp;F$1,Taostats_CSV!$X:$X,0)-1,0),IF(LEN(Taostats_CSV!H625)&gt;0,Taostats_CSV!H625,Taostats_CSV!R625)))</f>
        <v>0.44397078</v>
      </c>
      <c r="G625" t="str">
        <f ca="1">IF(AND(Q625,N625=1),OFFSET(Taostats_CSV!$E$1,MATCH(K625&amp;H$1,Taostats_CSV!$X:$X,0)-1,0),"")</f>
        <v/>
      </c>
      <c r="H625" t="str">
        <f ca="1">IF(AND(Q625,N625=1),OFFSET(Taostats_CSV!$G$1,MATCH(K625&amp;H$1,Taostats_CSV!$X:$X,0)-1,0),"")</f>
        <v/>
      </c>
      <c r="I625" t="str">
        <f ca="1">IF(AND(LEN(K625)=0,LEN(F625)&gt;0),"Income",IF(AND(O625&gt;0,P625&gt;0,C625&lt;&gt;E625),"Trade",IF(AND(NOT(Q625),Taostats_CSV!F625="fee"),'READ ME'!$C$5,"")))</f>
        <v>Income</v>
      </c>
      <c r="J625" t="str">
        <f ca="1">SUBSTITUTE(IF(LEN(I625)=0,Taostats_CSV!F625&amp;" "&amp;Taostats_CSV!J625,IF(I625="Cost","Extrinsic fee","")),"_"," ")</f>
        <v/>
      </c>
      <c r="K625" t="str">
        <f>TRIM(IF(LEN(Taostats_CSV!I625)&gt;0,Taostats_CSV!I625,""))</f>
        <v/>
      </c>
      <c r="L625">
        <f ca="1">IF(Taostats_CSV!E625&lt;&gt;"TAO",IF(LEN(F625)&gt;0,F625,IF(LEN(D625)&gt;0,D625,0))*Taostats_CSV!P625,"")</f>
        <v>12.342768043112724</v>
      </c>
      <c r="M625" t="str">
        <f t="shared" ca="1" si="69"/>
        <v>USD</v>
      </c>
      <c r="N625">
        <f>COUNTIF(Taostats_CSV!$X:$X,Taostats_CSV!$I625&amp;N$1)</f>
        <v>0</v>
      </c>
      <c r="O625">
        <f>COUNTIF(Taostats_CSV!$X:$X,Taostats_CSV!$I625&amp;O$1)</f>
        <v>0</v>
      </c>
      <c r="P625">
        <f>COUNTIF(Taostats_CSV!$X:$X,Taostats_CSV!$I625&amp;P$1)</f>
        <v>0</v>
      </c>
      <c r="Q625" t="b">
        <f t="shared" si="70"/>
        <v>0</v>
      </c>
      <c r="R625" t="b">
        <f>IF(LEN(K625)&gt;0,COUNTIF($K$3:K625,K625),FALSE)</f>
        <v>0</v>
      </c>
      <c r="S625" t="b">
        <f>IF(Taostats_CSV!A625=Taostats_CSV!$A$2,TRUE,Taostats_CSV!G625+Taostats_CSV!H625+Taostats_CSV!R625=0)</f>
        <v>0</v>
      </c>
      <c r="T625" t="b">
        <f t="shared" si="71"/>
        <v>1</v>
      </c>
      <c r="U625" t="b" cm="1">
        <f t="array" aca="1" ref="U625" ca="1">AND(T625,OR(O625-N625&gt;1,P625&gt;1,ISERROR(A625:P625)))</f>
        <v>0</v>
      </c>
      <c r="W625" t="e">
        <f>MATCH(K625&amp;$W$2,Taostats_CSV!$X$3:$X$1167,0)</f>
        <v>#N/A</v>
      </c>
      <c r="X625" t="e">
        <f t="shared" ca="1" si="66"/>
        <v>#VALUE!</v>
      </c>
      <c r="Y625">
        <f t="shared" ca="1" si="67"/>
        <v>0.44397078000000001</v>
      </c>
      <c r="Z625" t="e">
        <f t="shared" ca="1" si="68"/>
        <v>#VALUE!</v>
      </c>
    </row>
    <row r="626" spans="1:26" x14ac:dyDescent="0.4">
      <c r="A626" t="str">
        <f>MID(Taostats_CSV!C626,6,2)&amp;"/"&amp;MID(Taostats_CSV!C626,9,2)&amp;"/"&amp;LEFT(Taostats_CSV!C626,4)&amp;" "&amp;MID(Taostats_CSV!C626,12,8)</f>
        <v>07/15/2025 23:59:48</v>
      </c>
      <c r="C626" t="str">
        <f ca="1">IF(Q626,OFFSET(Taostats_CSV!$E$1,MATCH(K626&amp;D$1,Taostats_CSV!$X:$X,0)-1,0),IF(Taostats_CSV!F626="fee",IF(VALUE(Taostats_CSV!G626)&gt;0,Taostats_CSV!E626,""),""))</f>
        <v/>
      </c>
      <c r="D626" t="str">
        <f ca="1">IF(Q626,OFFSET(Taostats_CSV!$G$1,MATCH(K626&amp;D$1,Taostats_CSV!$X:$X,0)-1,0),IF(Taostats_CSV!F626="fee",IF(VALUE(Taostats_CSV!G626)&gt;0,Taostats_CSV!G626,""),""))</f>
        <v/>
      </c>
      <c r="E626" t="str">
        <f ca="1">IF(AND(Q626,P626&gt;0),OFFSET(Taostats_CSV!$E$1,MATCH(K626&amp;F$1,Taostats_CSV!$X:$X,0)-1,0),IF(LEN(F626)&gt;0,Taostats_CSV!E626,""))</f>
        <v>SN56</v>
      </c>
      <c r="F626" t="str">
        <f ca="1">TRIM(IF(AND(Q626,P626&gt;0),OFFSET(Taostats_CSV!$H$1,MATCH(K626&amp;F$1,Taostats_CSV!$X:$X,0)-1,0),IF(LEN(Taostats_CSV!H626)&gt;0,Taostats_CSV!H626,Taostats_CSV!R626)))</f>
        <v>0.238025842</v>
      </c>
      <c r="G626" t="str">
        <f ca="1">IF(AND(Q626,N626=1),OFFSET(Taostats_CSV!$E$1,MATCH(K626&amp;H$1,Taostats_CSV!$X:$X,0)-1,0),"")</f>
        <v/>
      </c>
      <c r="H626" t="str">
        <f ca="1">IF(AND(Q626,N626=1),OFFSET(Taostats_CSV!$G$1,MATCH(K626&amp;H$1,Taostats_CSV!$X:$X,0)-1,0),"")</f>
        <v/>
      </c>
      <c r="I626" t="str">
        <f ca="1">IF(AND(LEN(K626)=0,LEN(F626)&gt;0),"Income",IF(AND(O626&gt;0,P626&gt;0,C626&lt;&gt;E626),"Trade",IF(AND(NOT(Q626),Taostats_CSV!F626="fee"),'READ ME'!$C$5,"")))</f>
        <v>Income</v>
      </c>
      <c r="J626" t="str">
        <f ca="1">SUBSTITUTE(IF(LEN(I626)=0,Taostats_CSV!F626&amp;" "&amp;Taostats_CSV!J626,IF(I626="Cost","Extrinsic fee","")),"_"," ")</f>
        <v/>
      </c>
      <c r="K626" t="str">
        <f>TRIM(IF(LEN(Taostats_CSV!I626)&gt;0,Taostats_CSV!I626,""))</f>
        <v/>
      </c>
      <c r="L626">
        <f ca="1">IF(Taostats_CSV!E626&lt;&gt;"TAO",IF(LEN(F626)&gt;0,F626,IF(LEN(D626)&gt;0,D626,0))*Taostats_CSV!P626,"")</f>
        <v>7.0771760516495217</v>
      </c>
      <c r="M626" t="str">
        <f t="shared" ca="1" si="69"/>
        <v>USD</v>
      </c>
      <c r="N626">
        <f>COUNTIF(Taostats_CSV!$X:$X,Taostats_CSV!$I626&amp;N$1)</f>
        <v>0</v>
      </c>
      <c r="O626">
        <f>COUNTIF(Taostats_CSV!$X:$X,Taostats_CSV!$I626&amp;O$1)</f>
        <v>0</v>
      </c>
      <c r="P626">
        <f>COUNTIF(Taostats_CSV!$X:$X,Taostats_CSV!$I626&amp;P$1)</f>
        <v>0</v>
      </c>
      <c r="Q626" t="b">
        <f t="shared" si="70"/>
        <v>0</v>
      </c>
      <c r="R626" t="b">
        <f>IF(LEN(K626)&gt;0,COUNTIF($K$3:K626,K626),FALSE)</f>
        <v>0</v>
      </c>
      <c r="S626" t="b">
        <f>IF(Taostats_CSV!A626=Taostats_CSV!$A$2,TRUE,Taostats_CSV!G626+Taostats_CSV!H626+Taostats_CSV!R626=0)</f>
        <v>0</v>
      </c>
      <c r="T626" t="b">
        <f t="shared" si="71"/>
        <v>1</v>
      </c>
      <c r="U626" t="b" cm="1">
        <f t="array" aca="1" ref="U626" ca="1">AND(T626,OR(O626-N626&gt;1,P626&gt;1,ISERROR(A626:P626)))</f>
        <v>0</v>
      </c>
      <c r="W626" t="e">
        <f>MATCH(K626&amp;$W$2,Taostats_CSV!$X$3:$X$1167,0)</f>
        <v>#N/A</v>
      </c>
      <c r="X626" t="e">
        <f t="shared" ca="1" si="66"/>
        <v>#VALUE!</v>
      </c>
      <c r="Y626">
        <f t="shared" ca="1" si="67"/>
        <v>0.23802584199999999</v>
      </c>
      <c r="Z626" t="e">
        <f t="shared" ca="1" si="68"/>
        <v>#VALUE!</v>
      </c>
    </row>
    <row r="627" spans="1:26" x14ac:dyDescent="0.4">
      <c r="A627" t="str">
        <f>MID(Taostats_CSV!C627,6,2)&amp;"/"&amp;MID(Taostats_CSV!C627,9,2)&amp;"/"&amp;LEFT(Taostats_CSV!C627,4)&amp;" "&amp;MID(Taostats_CSV!C627,12,8)</f>
        <v>07/15/2025 23:59:48</v>
      </c>
      <c r="C627" t="str">
        <f ca="1">IF(Q627,OFFSET(Taostats_CSV!$E$1,MATCH(K627&amp;D$1,Taostats_CSV!$X:$X,0)-1,0),IF(Taostats_CSV!F627="fee",IF(VALUE(Taostats_CSV!G627)&gt;0,Taostats_CSV!E627,""),""))</f>
        <v/>
      </c>
      <c r="D627" t="str">
        <f ca="1">IF(Q627,OFFSET(Taostats_CSV!$G$1,MATCH(K627&amp;D$1,Taostats_CSV!$X:$X,0)-1,0),IF(Taostats_CSV!F627="fee",IF(VALUE(Taostats_CSV!G627)&gt;0,Taostats_CSV!G627,""),""))</f>
        <v/>
      </c>
      <c r="E627" t="str">
        <f ca="1">IF(AND(Q627,P627&gt;0),OFFSET(Taostats_CSV!$E$1,MATCH(K627&amp;F$1,Taostats_CSV!$X:$X,0)-1,0),IF(LEN(F627)&gt;0,Taostats_CSV!E627,""))</f>
        <v>SN64</v>
      </c>
      <c r="F627" t="str">
        <f ca="1">TRIM(IF(AND(Q627,P627&gt;0),OFFSET(Taostats_CSV!$H$1,MATCH(K627&amp;F$1,Taostats_CSV!$X:$X,0)-1,0),IF(LEN(Taostats_CSV!H627)&gt;0,Taostats_CSV!H627,Taostats_CSV!R627)))</f>
        <v>0.137832649</v>
      </c>
      <c r="G627" t="str">
        <f ca="1">IF(AND(Q627,N627=1),OFFSET(Taostats_CSV!$E$1,MATCH(K627&amp;H$1,Taostats_CSV!$X:$X,0)-1,0),"")</f>
        <v/>
      </c>
      <c r="H627" t="str">
        <f ca="1">IF(AND(Q627,N627=1),OFFSET(Taostats_CSV!$G$1,MATCH(K627&amp;H$1,Taostats_CSV!$X:$X,0)-1,0),"")</f>
        <v/>
      </c>
      <c r="I627" t="str">
        <f ca="1">IF(AND(LEN(K627)=0,LEN(F627)&gt;0),"Income",IF(AND(O627&gt;0,P627&gt;0,C627&lt;&gt;E627),"Trade",IF(AND(NOT(Q627),Taostats_CSV!F627="fee"),'READ ME'!$C$5,"")))</f>
        <v>Income</v>
      </c>
      <c r="J627" t="str">
        <f ca="1">SUBSTITUTE(IF(LEN(I627)=0,Taostats_CSV!F627&amp;" "&amp;Taostats_CSV!J627,IF(I627="Cost","Extrinsic fee","")),"_"," ")</f>
        <v/>
      </c>
      <c r="K627" t="str">
        <f>TRIM(IF(LEN(Taostats_CSV!I627)&gt;0,Taostats_CSV!I627,""))</f>
        <v/>
      </c>
      <c r="L627">
        <f ca="1">IF(Taostats_CSV!E627&lt;&gt;"TAO",IF(LEN(F627)&gt;0,F627,IF(LEN(D627)&gt;0,D627,0))*Taostats_CSV!P627,"")</f>
        <v>10.077584684752239</v>
      </c>
      <c r="M627" t="str">
        <f t="shared" ca="1" si="69"/>
        <v>USD</v>
      </c>
      <c r="N627">
        <f>COUNTIF(Taostats_CSV!$X:$X,Taostats_CSV!$I627&amp;N$1)</f>
        <v>0</v>
      </c>
      <c r="O627">
        <f>COUNTIF(Taostats_CSV!$X:$X,Taostats_CSV!$I627&amp;O$1)</f>
        <v>0</v>
      </c>
      <c r="P627">
        <f>COUNTIF(Taostats_CSV!$X:$X,Taostats_CSV!$I627&amp;P$1)</f>
        <v>0</v>
      </c>
      <c r="Q627" t="b">
        <f t="shared" si="70"/>
        <v>0</v>
      </c>
      <c r="R627" t="b">
        <f>IF(LEN(K627)&gt;0,COUNTIF($K$3:K627,K627),FALSE)</f>
        <v>0</v>
      </c>
      <c r="S627" t="b">
        <f>IF(Taostats_CSV!A627=Taostats_CSV!$A$2,TRUE,Taostats_CSV!G627+Taostats_CSV!H627+Taostats_CSV!R627=0)</f>
        <v>0</v>
      </c>
      <c r="T627" t="b">
        <f t="shared" si="71"/>
        <v>1</v>
      </c>
      <c r="U627" t="b" cm="1">
        <f t="array" aca="1" ref="U627" ca="1">AND(T627,OR(O627-N627&gt;1,P627&gt;1,ISERROR(A627:P627)))</f>
        <v>0</v>
      </c>
      <c r="W627" t="e">
        <f>MATCH(K627&amp;$W$2,Taostats_CSV!$X$3:$X$1167,0)</f>
        <v>#N/A</v>
      </c>
      <c r="X627" t="e">
        <f t="shared" ca="1" si="66"/>
        <v>#VALUE!</v>
      </c>
      <c r="Y627">
        <f t="shared" ca="1" si="67"/>
        <v>0.137832649</v>
      </c>
      <c r="Z627" t="e">
        <f t="shared" ca="1" si="68"/>
        <v>#VALUE!</v>
      </c>
    </row>
    <row r="628" spans="1:26" hidden="1" x14ac:dyDescent="0.4">
      <c r="A628" t="str">
        <f>MID(Taostats_CSV!C628,6,2)&amp;"/"&amp;MID(Taostats_CSV!C628,9,2)&amp;"/"&amp;LEFT(Taostats_CSV!C628,4)&amp;" "&amp;MID(Taostats_CSV!C628,12,8)</f>
        <v>07/15/2025 23:59:48</v>
      </c>
      <c r="C628" t="str">
        <f ca="1">IF(Q628,OFFSET(Taostats_CSV!$E$1,MATCH(K628&amp;D$1,Taostats_CSV!$X:$X,0)-1,0),IF(Taostats_CSV!F628="fee","",IF(VALUE(Taostats_CSV!G628)&gt;0,Taostats_CSV!E628,"")))</f>
        <v/>
      </c>
      <c r="D628" t="str">
        <f ca="1">IF(Q628,OFFSET(Taostats_CSV!$G$1,MATCH(K628&amp;D$1,Taostats_CSV!$X:$X,0)-1,0),IF(Taostats_CSV!F628="fee","",IF(VALUE(Taostats_CSV!G628)&gt;0,Taostats_CSV!G628,"")))</f>
        <v/>
      </c>
      <c r="E628" t="str">
        <f ca="1">IF(AND(Q628,P628&gt;0),OFFSET(Taostats_CSV!$E$1,MATCH(K628&amp;F$1,Taostats_CSV!$X:$X,0)-1,0),IF(LEN(F628)&gt;0,Taostats_CSV!E628,""))</f>
        <v>TAO</v>
      </c>
      <c r="F628" t="str">
        <f ca="1">TRIM(IF(AND(Q628,P628&gt;0),OFFSET(Taostats_CSV!$H$1,MATCH(K628&amp;F$1,Taostats_CSV!$X:$X,0)-1,0),IF(LEN(Taostats_CSV!H628)&gt;0,Taostats_CSV!H628,Taostats_CSV!R628)))</f>
        <v>0</v>
      </c>
      <c r="G628" t="str">
        <f ca="1">IF(AND(Q628,N628=1),OFFSET(Taostats_CSV!$E$1,MATCH(K628&amp;H$1,Taostats_CSV!$X:$X,0)-1,0),IF(Taostats_CSV!F628="fee",Taostats_CSV!E628,""))</f>
        <v/>
      </c>
      <c r="H628" t="str">
        <f ca="1">IF(AND(Q628,N628=1),OFFSET(Taostats_CSV!$G$1,MATCH(K628&amp;H$1,Taostats_CSV!$X:$X,0)-1,0),IF(Taostats_CSV!F628="fee",Taostats_CSV!G628,""))</f>
        <v/>
      </c>
      <c r="I628" t="str">
        <f ca="1">IF(AND(LEN(K628)=0,LEN(F628)&gt;0),"Income",IF(AND(O628&gt;0,P628&gt;0,C628&lt;&gt;E628),"Trade",IF(AND(NOT(Q628),Taostats_CSV!F628="fee"),'READ ME'!$C$5,"")))</f>
        <v>Income</v>
      </c>
      <c r="J628" t="str">
        <f ca="1">SUBSTITUTE(IF(LEN(I628)=0,Taostats_CSV!F628&amp;" "&amp;Taostats_CSV!J628,IF(I628="Cost","Extrinsic fee","")),"_"," ")</f>
        <v/>
      </c>
      <c r="K628" t="str">
        <f>TRIM(IF(LEN(Taostats_CSV!I628)&gt;0,Taostats_CSV!I628,""))</f>
        <v/>
      </c>
      <c r="L628" t="str">
        <f>IF(Taostats_CSV!E628&lt;&gt;"TAO",IF(LEN(F628)&gt;0,F628,IF(LEN(D628)&gt;0,D628,0))*Taostats_CSV!P628,"")</f>
        <v/>
      </c>
      <c r="M628" t="str">
        <f t="shared" si="69"/>
        <v/>
      </c>
      <c r="N628">
        <f>COUNTIF(Taostats_CSV!$X:$X,Taostats_CSV!$I628&amp;N$1)</f>
        <v>0</v>
      </c>
      <c r="O628">
        <f>COUNTIF(Taostats_CSV!$X:$X,Taostats_CSV!$I628&amp;O$1)</f>
        <v>0</v>
      </c>
      <c r="P628">
        <f>COUNTIF(Taostats_CSV!$X:$X,Taostats_CSV!$I628&amp;P$1)</f>
        <v>0</v>
      </c>
      <c r="Q628" t="b">
        <f t="shared" si="70"/>
        <v>0</v>
      </c>
      <c r="R628" t="b">
        <f>IF(LEN(K628)&gt;0,COUNTIF($K$3:K628,K628),FALSE)</f>
        <v>0</v>
      </c>
      <c r="S628" t="b">
        <f>IF(Taostats_CSV!A628=Taostats_CSV!$A$2,TRUE,Taostats_CSV!G628+Taostats_CSV!H628+Taostats_CSV!R628=0)</f>
        <v>1</v>
      </c>
      <c r="T628" t="b">
        <f t="shared" si="71"/>
        <v>0</v>
      </c>
      <c r="U628" t="b" cm="1">
        <f t="array" aca="1" ref="U628" ca="1">AND(T628,OR(O628-N628&gt;1,P628&gt;1,ISERROR(A628:P628)))</f>
        <v>0</v>
      </c>
      <c r="W628" t="e">
        <f>MATCH(K628&amp;$W$2,Taostats_CSV!$X$3:$X$1167,0)</f>
        <v>#N/A</v>
      </c>
      <c r="X628" t="e">
        <f t="shared" ca="1" si="66"/>
        <v>#VALUE!</v>
      </c>
      <c r="Y628">
        <f t="shared" ca="1" si="67"/>
        <v>0</v>
      </c>
      <c r="Z628" t="e">
        <f t="shared" ca="1" si="68"/>
        <v>#VALUE!</v>
      </c>
    </row>
    <row r="629" spans="1:26" x14ac:dyDescent="0.4">
      <c r="A629" t="str">
        <f>MID(Taostats_CSV!C629,6,2)&amp;"/"&amp;MID(Taostats_CSV!C629,9,2)&amp;"/"&amp;LEFT(Taostats_CSV!C629,4)&amp;" "&amp;MID(Taostats_CSV!C629,12,8)</f>
        <v>07/16/2025 23:59:48</v>
      </c>
      <c r="C629" t="str">
        <f ca="1">IF(Q629,OFFSET(Taostats_CSV!$E$1,MATCH(K629&amp;D$1,Taostats_CSV!$X:$X,0)-1,0),IF(Taostats_CSV!F629="fee",IF(VALUE(Taostats_CSV!G629)&gt;0,Taostats_CSV!E629,""),""))</f>
        <v/>
      </c>
      <c r="D629" t="str">
        <f ca="1">IF(Q629,OFFSET(Taostats_CSV!$G$1,MATCH(K629&amp;D$1,Taostats_CSV!$X:$X,0)-1,0),IF(Taostats_CSV!F629="fee",IF(VALUE(Taostats_CSV!G629)&gt;0,Taostats_CSV!G629,""),""))</f>
        <v/>
      </c>
      <c r="E629" t="str">
        <f ca="1">IF(AND(Q629,P629&gt;0),OFFSET(Taostats_CSV!$E$1,MATCH(K629&amp;F$1,Taostats_CSV!$X:$X,0)-1,0),IF(LEN(F629)&gt;0,Taostats_CSV!E629,""))</f>
        <v>SN3</v>
      </c>
      <c r="F629" t="str">
        <f ca="1">TRIM(IF(AND(Q629,P629&gt;0),OFFSET(Taostats_CSV!$H$1,MATCH(K629&amp;F$1,Taostats_CSV!$X:$X,0)-1,0),IF(LEN(Taostats_CSV!H629)&gt;0,Taostats_CSV!H629,Taostats_CSV!R629)))</f>
        <v>0.37728472</v>
      </c>
      <c r="G629" t="str">
        <f ca="1">IF(AND(Q629,N629=1),OFFSET(Taostats_CSV!$E$1,MATCH(K629&amp;H$1,Taostats_CSV!$X:$X,0)-1,0),"")</f>
        <v/>
      </c>
      <c r="H629" t="str">
        <f ca="1">IF(AND(Q629,N629=1),OFFSET(Taostats_CSV!$G$1,MATCH(K629&amp;H$1,Taostats_CSV!$X:$X,0)-1,0),"")</f>
        <v/>
      </c>
      <c r="I629" t="str">
        <f ca="1">IF(AND(LEN(K629)=0,LEN(F629)&gt;0),"Income",IF(AND(O629&gt;0,P629&gt;0,C629&lt;&gt;E629),"Trade",IF(AND(NOT(Q629),Taostats_CSV!F629="fee"),'READ ME'!$C$5,"")))</f>
        <v>Income</v>
      </c>
      <c r="J629" t="str">
        <f ca="1">SUBSTITUTE(IF(LEN(I629)=0,Taostats_CSV!F629&amp;" "&amp;Taostats_CSV!J629,IF(I629="Cost","Extrinsic fee","")),"_"," ")</f>
        <v/>
      </c>
      <c r="K629" t="str">
        <f>TRIM(IF(LEN(Taostats_CSV!I629)&gt;0,Taostats_CSV!I629,""))</f>
        <v/>
      </c>
      <c r="L629">
        <f ca="1">IF(Taostats_CSV!E629&lt;&gt;"TAO",IF(LEN(F629)&gt;0,F629,IF(LEN(D629)&gt;0,D629,0))*Taostats_CSV!P629,"")</f>
        <v>11.345230655017268</v>
      </c>
      <c r="M629" t="str">
        <f t="shared" ca="1" si="69"/>
        <v>USD</v>
      </c>
      <c r="N629">
        <f>COUNTIF(Taostats_CSV!$X:$X,Taostats_CSV!$I629&amp;N$1)</f>
        <v>0</v>
      </c>
      <c r="O629">
        <f>COUNTIF(Taostats_CSV!$X:$X,Taostats_CSV!$I629&amp;O$1)</f>
        <v>0</v>
      </c>
      <c r="P629">
        <f>COUNTIF(Taostats_CSV!$X:$X,Taostats_CSV!$I629&amp;P$1)</f>
        <v>0</v>
      </c>
      <c r="Q629" t="b">
        <f t="shared" si="70"/>
        <v>0</v>
      </c>
      <c r="R629" t="b">
        <f>IF(LEN(K629)&gt;0,COUNTIF($K$3:K629,K629),FALSE)</f>
        <v>0</v>
      </c>
      <c r="S629" t="b">
        <f>IF(Taostats_CSV!A629=Taostats_CSV!$A$2,TRUE,Taostats_CSV!G629+Taostats_CSV!H629+Taostats_CSV!R629=0)</f>
        <v>0</v>
      </c>
      <c r="T629" t="b">
        <f t="shared" si="71"/>
        <v>1</v>
      </c>
      <c r="U629" t="b" cm="1">
        <f t="array" aca="1" ref="U629" ca="1">AND(T629,OR(O629-N629&gt;1,P629&gt;1,ISERROR(A629:P629)))</f>
        <v>0</v>
      </c>
      <c r="W629" t="e">
        <f>MATCH(K629&amp;$W$2,Taostats_CSV!$X$3:$X$1167,0)</f>
        <v>#N/A</v>
      </c>
      <c r="X629" t="e">
        <f t="shared" ca="1" si="66"/>
        <v>#VALUE!</v>
      </c>
      <c r="Y629">
        <f t="shared" ca="1" si="67"/>
        <v>0.37728472000000002</v>
      </c>
      <c r="Z629" t="e">
        <f t="shared" ca="1" si="68"/>
        <v>#VALUE!</v>
      </c>
    </row>
    <row r="630" spans="1:26" x14ac:dyDescent="0.4">
      <c r="A630" t="str">
        <f>MID(Taostats_CSV!C630,6,2)&amp;"/"&amp;MID(Taostats_CSV!C630,9,2)&amp;"/"&amp;LEFT(Taostats_CSV!C630,4)&amp;" "&amp;MID(Taostats_CSV!C630,12,8)</f>
        <v>07/16/2025 23:59:48</v>
      </c>
      <c r="C630" t="str">
        <f ca="1">IF(Q630,OFFSET(Taostats_CSV!$E$1,MATCH(K630&amp;D$1,Taostats_CSV!$X:$X,0)-1,0),IF(Taostats_CSV!F630="fee",IF(VALUE(Taostats_CSV!G630)&gt;0,Taostats_CSV!E630,""),""))</f>
        <v/>
      </c>
      <c r="D630" t="str">
        <f ca="1">IF(Q630,OFFSET(Taostats_CSV!$G$1,MATCH(K630&amp;D$1,Taostats_CSV!$X:$X,0)-1,0),IF(Taostats_CSV!F630="fee",IF(VALUE(Taostats_CSV!G630)&gt;0,Taostats_CSV!G630,""),""))</f>
        <v/>
      </c>
      <c r="E630" t="str">
        <f ca="1">IF(AND(Q630,P630&gt;0),OFFSET(Taostats_CSV!$E$1,MATCH(K630&amp;F$1,Taostats_CSV!$X:$X,0)-1,0),IF(LEN(F630)&gt;0,Taostats_CSV!E630,""))</f>
        <v>SN4</v>
      </c>
      <c r="F630" t="str">
        <f ca="1">TRIM(IF(AND(Q630,P630&gt;0),OFFSET(Taostats_CSV!$H$1,MATCH(K630&amp;F$1,Taostats_CSV!$X:$X,0)-1,0),IF(LEN(Taostats_CSV!H630)&gt;0,Taostats_CSV!H630,Taostats_CSV!R630)))</f>
        <v>0.432484665</v>
      </c>
      <c r="G630" t="str">
        <f ca="1">IF(AND(Q630,N630=1),OFFSET(Taostats_CSV!$E$1,MATCH(K630&amp;H$1,Taostats_CSV!$X:$X,0)-1,0),"")</f>
        <v/>
      </c>
      <c r="H630" t="str">
        <f ca="1">IF(AND(Q630,N630=1),OFFSET(Taostats_CSV!$G$1,MATCH(K630&amp;H$1,Taostats_CSV!$X:$X,0)-1,0),"")</f>
        <v/>
      </c>
      <c r="I630" t="str">
        <f ca="1">IF(AND(LEN(K630)=0,LEN(F630)&gt;0),"Income",IF(AND(O630&gt;0,P630&gt;0,C630&lt;&gt;E630),"Trade",IF(AND(NOT(Q630),Taostats_CSV!F630="fee"),'READ ME'!$C$5,"")))</f>
        <v>Income</v>
      </c>
      <c r="J630" t="str">
        <f ca="1">SUBSTITUTE(IF(LEN(I630)=0,Taostats_CSV!F630&amp;" "&amp;Taostats_CSV!J630,IF(I630="Cost","Extrinsic fee","")),"_"," ")</f>
        <v/>
      </c>
      <c r="K630" t="str">
        <f>TRIM(IF(LEN(Taostats_CSV!I630)&gt;0,Taostats_CSV!I630,""))</f>
        <v/>
      </c>
      <c r="L630">
        <f ca="1">IF(Taostats_CSV!E630&lt;&gt;"TAO",IF(LEN(F630)&gt;0,F630,IF(LEN(D630)&gt;0,D630,0))*Taostats_CSV!P630,"")</f>
        <v>12.020906964341528</v>
      </c>
      <c r="M630" t="str">
        <f t="shared" ca="1" si="69"/>
        <v>USD</v>
      </c>
      <c r="N630">
        <f>COUNTIF(Taostats_CSV!$X:$X,Taostats_CSV!$I630&amp;N$1)</f>
        <v>0</v>
      </c>
      <c r="O630">
        <f>COUNTIF(Taostats_CSV!$X:$X,Taostats_CSV!$I630&amp;O$1)</f>
        <v>0</v>
      </c>
      <c r="P630">
        <f>COUNTIF(Taostats_CSV!$X:$X,Taostats_CSV!$I630&amp;P$1)</f>
        <v>0</v>
      </c>
      <c r="Q630" t="b">
        <f t="shared" si="70"/>
        <v>0</v>
      </c>
      <c r="R630" t="b">
        <f>IF(LEN(K630)&gt;0,COUNTIF($K$3:K630,K630),FALSE)</f>
        <v>0</v>
      </c>
      <c r="S630" t="b">
        <f>IF(Taostats_CSV!A630=Taostats_CSV!$A$2,TRUE,Taostats_CSV!G630+Taostats_CSV!H630+Taostats_CSV!R630=0)</f>
        <v>0</v>
      </c>
      <c r="T630" t="b">
        <f t="shared" si="71"/>
        <v>1</v>
      </c>
      <c r="U630" t="b" cm="1">
        <f t="array" aca="1" ref="U630" ca="1">AND(T630,OR(O630-N630&gt;1,P630&gt;1,ISERROR(A630:P630)))</f>
        <v>0</v>
      </c>
      <c r="W630" t="e">
        <f>MATCH(K630&amp;$W$2,Taostats_CSV!$X$3:$X$1167,0)</f>
        <v>#N/A</v>
      </c>
      <c r="X630" t="e">
        <f t="shared" ca="1" si="66"/>
        <v>#VALUE!</v>
      </c>
      <c r="Y630">
        <f t="shared" ca="1" si="67"/>
        <v>0.43248466499999999</v>
      </c>
      <c r="Z630" t="e">
        <f t="shared" ca="1" si="68"/>
        <v>#VALUE!</v>
      </c>
    </row>
    <row r="631" spans="1:26" x14ac:dyDescent="0.4">
      <c r="A631" t="str">
        <f>MID(Taostats_CSV!C631,6,2)&amp;"/"&amp;MID(Taostats_CSV!C631,9,2)&amp;"/"&amp;LEFT(Taostats_CSV!C631,4)&amp;" "&amp;MID(Taostats_CSV!C631,12,8)</f>
        <v>07/16/2025 23:59:48</v>
      </c>
      <c r="C631" t="str">
        <f ca="1">IF(Q631,OFFSET(Taostats_CSV!$E$1,MATCH(K631&amp;D$1,Taostats_CSV!$X:$X,0)-1,0),IF(Taostats_CSV!F631="fee",IF(VALUE(Taostats_CSV!G631)&gt;0,Taostats_CSV!E631,""),""))</f>
        <v/>
      </c>
      <c r="D631" t="str">
        <f ca="1">IF(Q631,OFFSET(Taostats_CSV!$G$1,MATCH(K631&amp;D$1,Taostats_CSV!$X:$X,0)-1,0),IF(Taostats_CSV!F631="fee",IF(VALUE(Taostats_CSV!G631)&gt;0,Taostats_CSV!G631,""),""))</f>
        <v/>
      </c>
      <c r="E631" t="str">
        <f ca="1">IF(AND(Q631,P631&gt;0),OFFSET(Taostats_CSV!$E$1,MATCH(K631&amp;F$1,Taostats_CSV!$X:$X,0)-1,0),IF(LEN(F631)&gt;0,Taostats_CSV!E631,""))</f>
        <v>SN56</v>
      </c>
      <c r="F631" t="str">
        <f ca="1">TRIM(IF(AND(Q631,P631&gt;0),OFFSET(Taostats_CSV!$H$1,MATCH(K631&amp;F$1,Taostats_CSV!$X:$X,0)-1,0),IF(LEN(Taostats_CSV!H631)&gt;0,Taostats_CSV!H631,Taostats_CSV!R631)))</f>
        <v>0.237860054</v>
      </c>
      <c r="G631" t="str">
        <f ca="1">IF(AND(Q631,N631=1),OFFSET(Taostats_CSV!$E$1,MATCH(K631&amp;H$1,Taostats_CSV!$X:$X,0)-1,0),"")</f>
        <v/>
      </c>
      <c r="H631" t="str">
        <f ca="1">IF(AND(Q631,N631=1),OFFSET(Taostats_CSV!$G$1,MATCH(K631&amp;H$1,Taostats_CSV!$X:$X,0)-1,0),"")</f>
        <v/>
      </c>
      <c r="I631" t="str">
        <f ca="1">IF(AND(LEN(K631)=0,LEN(F631)&gt;0),"Income",IF(AND(O631&gt;0,P631&gt;0,C631&lt;&gt;E631),"Trade",IF(AND(NOT(Q631),Taostats_CSV!F631="fee"),'READ ME'!$C$5,"")))</f>
        <v>Income</v>
      </c>
      <c r="J631" t="str">
        <f ca="1">SUBSTITUTE(IF(LEN(I631)=0,Taostats_CSV!F631&amp;" "&amp;Taostats_CSV!J631,IF(I631="Cost","Extrinsic fee","")),"_"," ")</f>
        <v/>
      </c>
      <c r="K631" t="str">
        <f>TRIM(IF(LEN(Taostats_CSV!I631)&gt;0,Taostats_CSV!I631,""))</f>
        <v/>
      </c>
      <c r="L631">
        <f ca="1">IF(Taostats_CSV!E631&lt;&gt;"TAO",IF(LEN(F631)&gt;0,F631,IF(LEN(D631)&gt;0,D631,0))*Taostats_CSV!P631,"")</f>
        <v>6.9734758919662525</v>
      </c>
      <c r="M631" t="str">
        <f t="shared" ca="1" si="69"/>
        <v>USD</v>
      </c>
      <c r="N631">
        <f>COUNTIF(Taostats_CSV!$X:$X,Taostats_CSV!$I631&amp;N$1)</f>
        <v>0</v>
      </c>
      <c r="O631">
        <f>COUNTIF(Taostats_CSV!$X:$X,Taostats_CSV!$I631&amp;O$1)</f>
        <v>0</v>
      </c>
      <c r="P631">
        <f>COUNTIF(Taostats_CSV!$X:$X,Taostats_CSV!$I631&amp;P$1)</f>
        <v>0</v>
      </c>
      <c r="Q631" t="b">
        <f t="shared" si="70"/>
        <v>0</v>
      </c>
      <c r="R631" t="b">
        <f>IF(LEN(K631)&gt;0,COUNTIF($K$3:K631,K631),FALSE)</f>
        <v>0</v>
      </c>
      <c r="S631" t="b">
        <f>IF(Taostats_CSV!A631=Taostats_CSV!$A$2,TRUE,Taostats_CSV!G631+Taostats_CSV!H631+Taostats_CSV!R631=0)</f>
        <v>0</v>
      </c>
      <c r="T631" t="b">
        <f t="shared" si="71"/>
        <v>1</v>
      </c>
      <c r="U631" t="b" cm="1">
        <f t="array" aca="1" ref="U631" ca="1">AND(T631,OR(O631-N631&gt;1,P631&gt;1,ISERROR(A631:P631)))</f>
        <v>0</v>
      </c>
      <c r="W631" t="e">
        <f>MATCH(K631&amp;$W$2,Taostats_CSV!$X$3:$X$1167,0)</f>
        <v>#N/A</v>
      </c>
      <c r="X631" t="e">
        <f t="shared" ca="1" si="66"/>
        <v>#VALUE!</v>
      </c>
      <c r="Y631">
        <f t="shared" ca="1" si="67"/>
        <v>0.23786005399999999</v>
      </c>
      <c r="Z631" t="e">
        <f t="shared" ca="1" si="68"/>
        <v>#VALUE!</v>
      </c>
    </row>
    <row r="632" spans="1:26" x14ac:dyDescent="0.4">
      <c r="A632" t="str">
        <f>MID(Taostats_CSV!C632,6,2)&amp;"/"&amp;MID(Taostats_CSV!C632,9,2)&amp;"/"&amp;LEFT(Taostats_CSV!C632,4)&amp;" "&amp;MID(Taostats_CSV!C632,12,8)</f>
        <v>07/16/2025 23:59:48</v>
      </c>
      <c r="C632" t="str">
        <f ca="1">IF(Q632,OFFSET(Taostats_CSV!$E$1,MATCH(K632&amp;D$1,Taostats_CSV!$X:$X,0)-1,0),IF(Taostats_CSV!F632="fee",IF(VALUE(Taostats_CSV!G632)&gt;0,Taostats_CSV!E632,""),""))</f>
        <v/>
      </c>
      <c r="D632" t="str">
        <f ca="1">IF(Q632,OFFSET(Taostats_CSV!$G$1,MATCH(K632&amp;D$1,Taostats_CSV!$X:$X,0)-1,0),IF(Taostats_CSV!F632="fee",IF(VALUE(Taostats_CSV!G632)&gt;0,Taostats_CSV!G632,""),""))</f>
        <v/>
      </c>
      <c r="E632" t="str">
        <f ca="1">IF(AND(Q632,P632&gt;0),OFFSET(Taostats_CSV!$E$1,MATCH(K632&amp;F$1,Taostats_CSV!$X:$X,0)-1,0),IF(LEN(F632)&gt;0,Taostats_CSV!E632,""))</f>
        <v>SN64</v>
      </c>
      <c r="F632" t="str">
        <f ca="1">TRIM(IF(AND(Q632,P632&gt;0),OFFSET(Taostats_CSV!$H$1,MATCH(K632&amp;F$1,Taostats_CSV!$X:$X,0)-1,0),IF(LEN(Taostats_CSV!H632)&gt;0,Taostats_CSV!H632,Taostats_CSV!R632)))</f>
        <v>0.132913312</v>
      </c>
      <c r="G632" t="str">
        <f ca="1">IF(AND(Q632,N632=1),OFFSET(Taostats_CSV!$E$1,MATCH(K632&amp;H$1,Taostats_CSV!$X:$X,0)-1,0),"")</f>
        <v/>
      </c>
      <c r="H632" t="str">
        <f ca="1">IF(AND(Q632,N632=1),OFFSET(Taostats_CSV!$G$1,MATCH(K632&amp;H$1,Taostats_CSV!$X:$X,0)-1,0),"")</f>
        <v/>
      </c>
      <c r="I632" t="str">
        <f ca="1">IF(AND(LEN(K632)=0,LEN(F632)&gt;0),"Income",IF(AND(O632&gt;0,P632&gt;0,C632&lt;&gt;E632),"Trade",IF(AND(NOT(Q632),Taostats_CSV!F632="fee"),'READ ME'!$C$5,"")))</f>
        <v>Income</v>
      </c>
      <c r="J632" t="str">
        <f ca="1">SUBSTITUTE(IF(LEN(I632)=0,Taostats_CSV!F632&amp;" "&amp;Taostats_CSV!J632,IF(I632="Cost","Extrinsic fee","")),"_"," ")</f>
        <v/>
      </c>
      <c r="K632" t="str">
        <f>TRIM(IF(LEN(Taostats_CSV!I632)&gt;0,Taostats_CSV!I632,""))</f>
        <v/>
      </c>
      <c r="L632">
        <f ca="1">IF(Taostats_CSV!E632&lt;&gt;"TAO",IF(LEN(F632)&gt;0,F632,IF(LEN(D632)&gt;0,D632,0))*Taostats_CSV!P632,"")</f>
        <v>9.7311511636108765</v>
      </c>
      <c r="M632" t="str">
        <f t="shared" ca="1" si="69"/>
        <v>USD</v>
      </c>
      <c r="N632">
        <f>COUNTIF(Taostats_CSV!$X:$X,Taostats_CSV!$I632&amp;N$1)</f>
        <v>0</v>
      </c>
      <c r="O632">
        <f>COUNTIF(Taostats_CSV!$X:$X,Taostats_CSV!$I632&amp;O$1)</f>
        <v>0</v>
      </c>
      <c r="P632">
        <f>COUNTIF(Taostats_CSV!$X:$X,Taostats_CSV!$I632&amp;P$1)</f>
        <v>0</v>
      </c>
      <c r="Q632" t="b">
        <f t="shared" si="70"/>
        <v>0</v>
      </c>
      <c r="R632" t="b">
        <f>IF(LEN(K632)&gt;0,COUNTIF($K$3:K632,K632),FALSE)</f>
        <v>0</v>
      </c>
      <c r="S632" t="b">
        <f>IF(Taostats_CSV!A632=Taostats_CSV!$A$2,TRUE,Taostats_CSV!G632+Taostats_CSV!H632+Taostats_CSV!R632=0)</f>
        <v>0</v>
      </c>
      <c r="T632" t="b">
        <f t="shared" si="71"/>
        <v>1</v>
      </c>
      <c r="U632" t="b" cm="1">
        <f t="array" aca="1" ref="U632" ca="1">AND(T632,OR(O632-N632&gt;1,P632&gt;1,ISERROR(A632:P632)))</f>
        <v>0</v>
      </c>
      <c r="W632" t="e">
        <f>MATCH(K632&amp;$W$2,Taostats_CSV!$X$3:$X$1167,0)</f>
        <v>#N/A</v>
      </c>
      <c r="X632" t="e">
        <f t="shared" ca="1" si="66"/>
        <v>#VALUE!</v>
      </c>
      <c r="Y632">
        <f t="shared" ca="1" si="67"/>
        <v>0.13291331200000001</v>
      </c>
      <c r="Z632" t="e">
        <f t="shared" ca="1" si="68"/>
        <v>#VALUE!</v>
      </c>
    </row>
    <row r="633" spans="1:26" hidden="1" x14ac:dyDescent="0.4">
      <c r="A633" t="str">
        <f>MID(Taostats_CSV!C633,6,2)&amp;"/"&amp;MID(Taostats_CSV!C633,9,2)&amp;"/"&amp;LEFT(Taostats_CSV!C633,4)&amp;" "&amp;MID(Taostats_CSV!C633,12,8)</f>
        <v>07/16/2025 23:59:48</v>
      </c>
      <c r="C633" t="str">
        <f ca="1">IF(Q633,OFFSET(Taostats_CSV!$E$1,MATCH(K633&amp;D$1,Taostats_CSV!$X:$X,0)-1,0),IF(Taostats_CSV!F633="fee","",IF(VALUE(Taostats_CSV!G633)&gt;0,Taostats_CSV!E633,"")))</f>
        <v/>
      </c>
      <c r="D633" t="str">
        <f ca="1">IF(Q633,OFFSET(Taostats_CSV!$G$1,MATCH(K633&amp;D$1,Taostats_CSV!$X:$X,0)-1,0),IF(Taostats_CSV!F633="fee","",IF(VALUE(Taostats_CSV!G633)&gt;0,Taostats_CSV!G633,"")))</f>
        <v/>
      </c>
      <c r="E633" t="str">
        <f ca="1">IF(AND(Q633,P633&gt;0),OFFSET(Taostats_CSV!$E$1,MATCH(K633&amp;F$1,Taostats_CSV!$X:$X,0)-1,0),IF(LEN(F633)&gt;0,Taostats_CSV!E633,""))</f>
        <v>TAO</v>
      </c>
      <c r="F633" t="str">
        <f ca="1">TRIM(IF(AND(Q633,P633&gt;0),OFFSET(Taostats_CSV!$H$1,MATCH(K633&amp;F$1,Taostats_CSV!$X:$X,0)-1,0),IF(LEN(Taostats_CSV!H633)&gt;0,Taostats_CSV!H633,Taostats_CSV!R633)))</f>
        <v>0</v>
      </c>
      <c r="G633" t="str">
        <f ca="1">IF(AND(Q633,N633=1),OFFSET(Taostats_CSV!$E$1,MATCH(K633&amp;H$1,Taostats_CSV!$X:$X,0)-1,0),IF(Taostats_CSV!F633="fee",Taostats_CSV!E633,""))</f>
        <v/>
      </c>
      <c r="H633" t="str">
        <f ca="1">IF(AND(Q633,N633=1),OFFSET(Taostats_CSV!$G$1,MATCH(K633&amp;H$1,Taostats_CSV!$X:$X,0)-1,0),IF(Taostats_CSV!F633="fee",Taostats_CSV!G633,""))</f>
        <v/>
      </c>
      <c r="I633" t="str">
        <f ca="1">IF(AND(LEN(K633)=0,LEN(F633)&gt;0),"Income",IF(AND(O633&gt;0,P633&gt;0,C633&lt;&gt;E633),"Trade",IF(AND(NOT(Q633),Taostats_CSV!F633="fee"),'READ ME'!$C$5,"")))</f>
        <v>Income</v>
      </c>
      <c r="J633" t="str">
        <f ca="1">SUBSTITUTE(IF(LEN(I633)=0,Taostats_CSV!F633&amp;" "&amp;Taostats_CSV!J633,IF(I633="Cost","Extrinsic fee","")),"_"," ")</f>
        <v/>
      </c>
      <c r="K633" t="str">
        <f>TRIM(IF(LEN(Taostats_CSV!I633)&gt;0,Taostats_CSV!I633,""))</f>
        <v/>
      </c>
      <c r="L633" t="str">
        <f>IF(Taostats_CSV!E633&lt;&gt;"TAO",IF(LEN(F633)&gt;0,F633,IF(LEN(D633)&gt;0,D633,0))*Taostats_CSV!P633,"")</f>
        <v/>
      </c>
      <c r="M633" t="str">
        <f t="shared" si="69"/>
        <v/>
      </c>
      <c r="N633">
        <f>COUNTIF(Taostats_CSV!$X:$X,Taostats_CSV!$I633&amp;N$1)</f>
        <v>0</v>
      </c>
      <c r="O633">
        <f>COUNTIF(Taostats_CSV!$X:$X,Taostats_CSV!$I633&amp;O$1)</f>
        <v>0</v>
      </c>
      <c r="P633">
        <f>COUNTIF(Taostats_CSV!$X:$X,Taostats_CSV!$I633&amp;P$1)</f>
        <v>0</v>
      </c>
      <c r="Q633" t="b">
        <f t="shared" si="70"/>
        <v>0</v>
      </c>
      <c r="R633" t="b">
        <f>IF(LEN(K633)&gt;0,COUNTIF($K$3:K633,K633),FALSE)</f>
        <v>0</v>
      </c>
      <c r="S633" t="b">
        <f>IF(Taostats_CSV!A633=Taostats_CSV!$A$2,TRUE,Taostats_CSV!G633+Taostats_CSV!H633+Taostats_CSV!R633=0)</f>
        <v>1</v>
      </c>
      <c r="T633" t="b">
        <f t="shared" si="71"/>
        <v>0</v>
      </c>
      <c r="U633" t="b" cm="1">
        <f t="array" aca="1" ref="U633" ca="1">AND(T633,OR(O633-N633&gt;1,P633&gt;1,ISERROR(A633:P633)))</f>
        <v>0</v>
      </c>
      <c r="W633" t="e">
        <f>MATCH(K633&amp;$W$2,Taostats_CSV!$X$3:$X$1167,0)</f>
        <v>#N/A</v>
      </c>
      <c r="X633" t="e">
        <f t="shared" ca="1" si="66"/>
        <v>#VALUE!</v>
      </c>
      <c r="Y633">
        <f t="shared" ca="1" si="67"/>
        <v>0</v>
      </c>
      <c r="Z633" t="e">
        <f t="shared" ca="1" si="68"/>
        <v>#VALUE!</v>
      </c>
    </row>
    <row r="634" spans="1:26" x14ac:dyDescent="0.4">
      <c r="A634" t="str">
        <f>MID(Taostats_CSV!C634,6,2)&amp;"/"&amp;MID(Taostats_CSV!C634,9,2)&amp;"/"&amp;LEFT(Taostats_CSV!C634,4)&amp;" "&amp;MID(Taostats_CSV!C634,12,8)</f>
        <v>07/17/2025 23:59:48</v>
      </c>
      <c r="C634" t="str">
        <f ca="1">IF(Q634,OFFSET(Taostats_CSV!$E$1,MATCH(K634&amp;D$1,Taostats_CSV!$X:$X,0)-1,0),IF(Taostats_CSV!F634="fee",IF(VALUE(Taostats_CSV!G634)&gt;0,Taostats_CSV!E634,""),""))</f>
        <v/>
      </c>
      <c r="D634" t="str">
        <f ca="1">IF(Q634,OFFSET(Taostats_CSV!$G$1,MATCH(K634&amp;D$1,Taostats_CSV!$X:$X,0)-1,0),IF(Taostats_CSV!F634="fee",IF(VALUE(Taostats_CSV!G634)&gt;0,Taostats_CSV!G634,""),""))</f>
        <v/>
      </c>
      <c r="E634" t="str">
        <f ca="1">IF(AND(Q634,P634&gt;0),OFFSET(Taostats_CSV!$E$1,MATCH(K634&amp;F$1,Taostats_CSV!$X:$X,0)-1,0),IF(LEN(F634)&gt;0,Taostats_CSV!E634,""))</f>
        <v>SN3</v>
      </c>
      <c r="F634" t="str">
        <f ca="1">TRIM(IF(AND(Q634,P634&gt;0),OFFSET(Taostats_CSV!$H$1,MATCH(K634&amp;F$1,Taostats_CSV!$X:$X,0)-1,0),IF(LEN(Taostats_CSV!H634)&gt;0,Taostats_CSV!H634,Taostats_CSV!R634)))</f>
        <v>0.374251517</v>
      </c>
      <c r="G634" t="str">
        <f ca="1">IF(AND(Q634,N634=1),OFFSET(Taostats_CSV!$E$1,MATCH(K634&amp;H$1,Taostats_CSV!$X:$X,0)-1,0),"")</f>
        <v/>
      </c>
      <c r="H634" t="str">
        <f ca="1">IF(AND(Q634,N634=1),OFFSET(Taostats_CSV!$G$1,MATCH(K634&amp;H$1,Taostats_CSV!$X:$X,0)-1,0),"")</f>
        <v/>
      </c>
      <c r="I634" t="str">
        <f ca="1">IF(AND(LEN(K634)=0,LEN(F634)&gt;0),"Income",IF(AND(O634&gt;0,P634&gt;0,C634&lt;&gt;E634),"Trade",IF(AND(NOT(Q634),Taostats_CSV!F634="fee"),'READ ME'!$C$5,"")))</f>
        <v>Income</v>
      </c>
      <c r="J634" t="str">
        <f ca="1">SUBSTITUTE(IF(LEN(I634)=0,Taostats_CSV!F634&amp;" "&amp;Taostats_CSV!J634,IF(I634="Cost","Extrinsic fee","")),"_"," ")</f>
        <v/>
      </c>
      <c r="K634" t="str">
        <f>TRIM(IF(LEN(Taostats_CSV!I634)&gt;0,Taostats_CSV!I634,""))</f>
        <v/>
      </c>
      <c r="L634">
        <f ca="1">IF(Taostats_CSV!E634&lt;&gt;"TAO",IF(LEN(F634)&gt;0,F634,IF(LEN(D634)&gt;0,D634,0))*Taostats_CSV!P634,"")</f>
        <v>11.681762364487412</v>
      </c>
      <c r="M634" t="str">
        <f t="shared" ca="1" si="69"/>
        <v>USD</v>
      </c>
      <c r="N634">
        <f>COUNTIF(Taostats_CSV!$X:$X,Taostats_CSV!$I634&amp;N$1)</f>
        <v>0</v>
      </c>
      <c r="O634">
        <f>COUNTIF(Taostats_CSV!$X:$X,Taostats_CSV!$I634&amp;O$1)</f>
        <v>0</v>
      </c>
      <c r="P634">
        <f>COUNTIF(Taostats_CSV!$X:$X,Taostats_CSV!$I634&amp;P$1)</f>
        <v>0</v>
      </c>
      <c r="Q634" t="b">
        <f t="shared" si="70"/>
        <v>0</v>
      </c>
      <c r="R634" t="b">
        <f>IF(LEN(K634)&gt;0,COUNTIF($K$3:K634,K634),FALSE)</f>
        <v>0</v>
      </c>
      <c r="S634" t="b">
        <f>IF(Taostats_CSV!A634=Taostats_CSV!$A$2,TRUE,Taostats_CSV!G634+Taostats_CSV!H634+Taostats_CSV!R634=0)</f>
        <v>0</v>
      </c>
      <c r="T634" t="b">
        <f t="shared" si="71"/>
        <v>1</v>
      </c>
      <c r="U634" t="b" cm="1">
        <f t="array" aca="1" ref="U634" ca="1">AND(T634,OR(O634-N634&gt;1,P634&gt;1,ISERROR(A634:P634)))</f>
        <v>0</v>
      </c>
      <c r="W634" t="e">
        <f>MATCH(K634&amp;$W$2,Taostats_CSV!$X$3:$X$1167,0)</f>
        <v>#N/A</v>
      </c>
      <c r="X634" t="e">
        <f t="shared" ca="1" si="66"/>
        <v>#VALUE!</v>
      </c>
      <c r="Y634">
        <f t="shared" ca="1" si="67"/>
        <v>0.37425151699999998</v>
      </c>
      <c r="Z634" t="e">
        <f t="shared" ca="1" si="68"/>
        <v>#VALUE!</v>
      </c>
    </row>
    <row r="635" spans="1:26" x14ac:dyDescent="0.4">
      <c r="A635" t="str">
        <f>MID(Taostats_CSV!C635,6,2)&amp;"/"&amp;MID(Taostats_CSV!C635,9,2)&amp;"/"&amp;LEFT(Taostats_CSV!C635,4)&amp;" "&amp;MID(Taostats_CSV!C635,12,8)</f>
        <v>07/17/2025 23:59:48</v>
      </c>
      <c r="C635" t="str">
        <f ca="1">IF(Q635,OFFSET(Taostats_CSV!$E$1,MATCH(K635&amp;D$1,Taostats_CSV!$X:$X,0)-1,0),IF(Taostats_CSV!F635="fee",IF(VALUE(Taostats_CSV!G635)&gt;0,Taostats_CSV!E635,""),""))</f>
        <v/>
      </c>
      <c r="D635" t="str">
        <f ca="1">IF(Q635,OFFSET(Taostats_CSV!$G$1,MATCH(K635&amp;D$1,Taostats_CSV!$X:$X,0)-1,0),IF(Taostats_CSV!F635="fee",IF(VALUE(Taostats_CSV!G635)&gt;0,Taostats_CSV!G635,""),""))</f>
        <v/>
      </c>
      <c r="E635" t="str">
        <f ca="1">IF(AND(Q635,P635&gt;0),OFFSET(Taostats_CSV!$E$1,MATCH(K635&amp;F$1,Taostats_CSV!$X:$X,0)-1,0),IF(LEN(F635)&gt;0,Taostats_CSV!E635,""))</f>
        <v>SN4</v>
      </c>
      <c r="F635" t="str">
        <f ca="1">TRIM(IF(AND(Q635,P635&gt;0),OFFSET(Taostats_CSV!$H$1,MATCH(K635&amp;F$1,Taostats_CSV!$X:$X,0)-1,0),IF(LEN(Taostats_CSV!H635)&gt;0,Taostats_CSV!H635,Taostats_CSV!R635)))</f>
        <v>0.437539017</v>
      </c>
      <c r="G635" t="str">
        <f ca="1">IF(AND(Q635,N635=1),OFFSET(Taostats_CSV!$E$1,MATCH(K635&amp;H$1,Taostats_CSV!$X:$X,0)-1,0),"")</f>
        <v/>
      </c>
      <c r="H635" t="str">
        <f ca="1">IF(AND(Q635,N635=1),OFFSET(Taostats_CSV!$G$1,MATCH(K635&amp;H$1,Taostats_CSV!$X:$X,0)-1,0),"")</f>
        <v/>
      </c>
      <c r="I635" t="str">
        <f ca="1">IF(AND(LEN(K635)=0,LEN(F635)&gt;0),"Income",IF(AND(O635&gt;0,P635&gt;0,C635&lt;&gt;E635),"Trade",IF(AND(NOT(Q635),Taostats_CSV!F635="fee"),'READ ME'!$C$5,"")))</f>
        <v>Income</v>
      </c>
      <c r="J635" t="str">
        <f ca="1">SUBSTITUTE(IF(LEN(I635)=0,Taostats_CSV!F635&amp;" "&amp;Taostats_CSV!J635,IF(I635="Cost","Extrinsic fee","")),"_"," ")</f>
        <v/>
      </c>
      <c r="K635" t="str">
        <f>TRIM(IF(LEN(Taostats_CSV!I635)&gt;0,Taostats_CSV!I635,""))</f>
        <v/>
      </c>
      <c r="L635">
        <f ca="1">IF(Taostats_CSV!E635&lt;&gt;"TAO",IF(LEN(F635)&gt;0,F635,IF(LEN(D635)&gt;0,D635,0))*Taostats_CSV!P635,"")</f>
        <v>12.28299622934434</v>
      </c>
      <c r="M635" t="str">
        <f t="shared" ca="1" si="69"/>
        <v>USD</v>
      </c>
      <c r="N635">
        <f>COUNTIF(Taostats_CSV!$X:$X,Taostats_CSV!$I635&amp;N$1)</f>
        <v>0</v>
      </c>
      <c r="O635">
        <f>COUNTIF(Taostats_CSV!$X:$X,Taostats_CSV!$I635&amp;O$1)</f>
        <v>0</v>
      </c>
      <c r="P635">
        <f>COUNTIF(Taostats_CSV!$X:$X,Taostats_CSV!$I635&amp;P$1)</f>
        <v>0</v>
      </c>
      <c r="Q635" t="b">
        <f t="shared" si="70"/>
        <v>0</v>
      </c>
      <c r="R635" t="b">
        <f>IF(LEN(K635)&gt;0,COUNTIF($K$3:K635,K635),FALSE)</f>
        <v>0</v>
      </c>
      <c r="S635" t="b">
        <f>IF(Taostats_CSV!A635=Taostats_CSV!$A$2,TRUE,Taostats_CSV!G635+Taostats_CSV!H635+Taostats_CSV!R635=0)</f>
        <v>0</v>
      </c>
      <c r="T635" t="b">
        <f t="shared" si="71"/>
        <v>1</v>
      </c>
      <c r="U635" t="b" cm="1">
        <f t="array" aca="1" ref="U635" ca="1">AND(T635,OR(O635-N635&gt;1,P635&gt;1,ISERROR(A635:P635)))</f>
        <v>0</v>
      </c>
      <c r="W635" t="e">
        <f>MATCH(K635&amp;$W$2,Taostats_CSV!$X$3:$X$1167,0)</f>
        <v>#N/A</v>
      </c>
      <c r="X635" t="e">
        <f t="shared" ca="1" si="66"/>
        <v>#VALUE!</v>
      </c>
      <c r="Y635">
        <f t="shared" ca="1" si="67"/>
        <v>0.43753901699999997</v>
      </c>
      <c r="Z635" t="e">
        <f t="shared" ca="1" si="68"/>
        <v>#VALUE!</v>
      </c>
    </row>
    <row r="636" spans="1:26" x14ac:dyDescent="0.4">
      <c r="A636" t="str">
        <f>MID(Taostats_CSV!C636,6,2)&amp;"/"&amp;MID(Taostats_CSV!C636,9,2)&amp;"/"&amp;LEFT(Taostats_CSV!C636,4)&amp;" "&amp;MID(Taostats_CSV!C636,12,8)</f>
        <v>07/17/2025 23:59:48</v>
      </c>
      <c r="C636" t="str">
        <f ca="1">IF(Q636,OFFSET(Taostats_CSV!$E$1,MATCH(K636&amp;D$1,Taostats_CSV!$X:$X,0)-1,0),IF(Taostats_CSV!F636="fee",IF(VALUE(Taostats_CSV!G636)&gt;0,Taostats_CSV!E636,""),""))</f>
        <v/>
      </c>
      <c r="D636" t="str">
        <f ca="1">IF(Q636,OFFSET(Taostats_CSV!$G$1,MATCH(K636&amp;D$1,Taostats_CSV!$X:$X,0)-1,0),IF(Taostats_CSV!F636="fee",IF(VALUE(Taostats_CSV!G636)&gt;0,Taostats_CSV!G636,""),""))</f>
        <v/>
      </c>
      <c r="E636" t="str">
        <f ca="1">IF(AND(Q636,P636&gt;0),OFFSET(Taostats_CSV!$E$1,MATCH(K636&amp;F$1,Taostats_CSV!$X:$X,0)-1,0),IF(LEN(F636)&gt;0,Taostats_CSV!E636,""))</f>
        <v>SN56</v>
      </c>
      <c r="F636" t="str">
        <f ca="1">TRIM(IF(AND(Q636,P636&gt;0),OFFSET(Taostats_CSV!$H$1,MATCH(K636&amp;F$1,Taostats_CSV!$X:$X,0)-1,0),IF(LEN(Taostats_CSV!H636)&gt;0,Taostats_CSV!H636,Taostats_CSV!R636)))</f>
        <v>0.235770956</v>
      </c>
      <c r="G636" t="str">
        <f ca="1">IF(AND(Q636,N636=1),OFFSET(Taostats_CSV!$E$1,MATCH(K636&amp;H$1,Taostats_CSV!$X:$X,0)-1,0),"")</f>
        <v/>
      </c>
      <c r="H636" t="str">
        <f ca="1">IF(AND(Q636,N636=1),OFFSET(Taostats_CSV!$G$1,MATCH(K636&amp;H$1,Taostats_CSV!$X:$X,0)-1,0),"")</f>
        <v/>
      </c>
      <c r="I636" t="str">
        <f ca="1">IF(AND(LEN(K636)=0,LEN(F636)&gt;0),"Income",IF(AND(O636&gt;0,P636&gt;0,C636&lt;&gt;E636),"Trade",IF(AND(NOT(Q636),Taostats_CSV!F636="fee"),'READ ME'!$C$5,"")))</f>
        <v>Income</v>
      </c>
      <c r="J636" t="str">
        <f ca="1">SUBSTITUTE(IF(LEN(I636)=0,Taostats_CSV!F636&amp;" "&amp;Taostats_CSV!J636,IF(I636="Cost","Extrinsic fee","")),"_"," ")</f>
        <v/>
      </c>
      <c r="K636" t="str">
        <f>TRIM(IF(LEN(Taostats_CSV!I636)&gt;0,Taostats_CSV!I636,""))</f>
        <v/>
      </c>
      <c r="L636">
        <f ca="1">IF(Taostats_CSV!E636&lt;&gt;"TAO",IF(LEN(F636)&gt;0,F636,IF(LEN(D636)&gt;0,D636,0))*Taostats_CSV!P636,"")</f>
        <v>7.6211014624761049</v>
      </c>
      <c r="M636" t="str">
        <f t="shared" ca="1" si="69"/>
        <v>USD</v>
      </c>
      <c r="N636">
        <f>COUNTIF(Taostats_CSV!$X:$X,Taostats_CSV!$I636&amp;N$1)</f>
        <v>0</v>
      </c>
      <c r="O636">
        <f>COUNTIF(Taostats_CSV!$X:$X,Taostats_CSV!$I636&amp;O$1)</f>
        <v>0</v>
      </c>
      <c r="P636">
        <f>COUNTIF(Taostats_CSV!$X:$X,Taostats_CSV!$I636&amp;P$1)</f>
        <v>0</v>
      </c>
      <c r="Q636" t="b">
        <f t="shared" si="70"/>
        <v>0</v>
      </c>
      <c r="R636" t="b">
        <f>IF(LEN(K636)&gt;0,COUNTIF($K$3:K636,K636),FALSE)</f>
        <v>0</v>
      </c>
      <c r="S636" t="b">
        <f>IF(Taostats_CSV!A636=Taostats_CSV!$A$2,TRUE,Taostats_CSV!G636+Taostats_CSV!H636+Taostats_CSV!R636=0)</f>
        <v>0</v>
      </c>
      <c r="T636" t="b">
        <f t="shared" si="71"/>
        <v>1</v>
      </c>
      <c r="U636" t="b" cm="1">
        <f t="array" aca="1" ref="U636" ca="1">AND(T636,OR(O636-N636&gt;1,P636&gt;1,ISERROR(A636:P636)))</f>
        <v>0</v>
      </c>
      <c r="W636" t="e">
        <f>MATCH(K636&amp;$W$2,Taostats_CSV!$X$3:$X$1167,0)</f>
        <v>#N/A</v>
      </c>
      <c r="X636" t="e">
        <f t="shared" ca="1" si="66"/>
        <v>#VALUE!</v>
      </c>
      <c r="Y636">
        <f t="shared" ca="1" si="67"/>
        <v>0.235770956</v>
      </c>
      <c r="Z636" t="e">
        <f t="shared" ca="1" si="68"/>
        <v>#VALUE!</v>
      </c>
    </row>
    <row r="637" spans="1:26" x14ac:dyDescent="0.4">
      <c r="A637" t="str">
        <f>MID(Taostats_CSV!C637,6,2)&amp;"/"&amp;MID(Taostats_CSV!C637,9,2)&amp;"/"&amp;LEFT(Taostats_CSV!C637,4)&amp;" "&amp;MID(Taostats_CSV!C637,12,8)</f>
        <v>07/17/2025 23:59:48</v>
      </c>
      <c r="C637" t="str">
        <f ca="1">IF(Q637,OFFSET(Taostats_CSV!$E$1,MATCH(K637&amp;D$1,Taostats_CSV!$X:$X,0)-1,0),IF(Taostats_CSV!F637="fee",IF(VALUE(Taostats_CSV!G637)&gt;0,Taostats_CSV!E637,""),""))</f>
        <v/>
      </c>
      <c r="D637" t="str">
        <f ca="1">IF(Q637,OFFSET(Taostats_CSV!$G$1,MATCH(K637&amp;D$1,Taostats_CSV!$X:$X,0)-1,0),IF(Taostats_CSV!F637="fee",IF(VALUE(Taostats_CSV!G637)&gt;0,Taostats_CSV!G637,""),""))</f>
        <v/>
      </c>
      <c r="E637" t="str">
        <f ca="1">IF(AND(Q637,P637&gt;0),OFFSET(Taostats_CSV!$E$1,MATCH(K637&amp;F$1,Taostats_CSV!$X:$X,0)-1,0),IF(LEN(F637)&gt;0,Taostats_CSV!E637,""))</f>
        <v>SN64</v>
      </c>
      <c r="F637" t="str">
        <f ca="1">TRIM(IF(AND(Q637,P637&gt;0),OFFSET(Taostats_CSV!$H$1,MATCH(K637&amp;F$1,Taostats_CSV!$X:$X,0)-1,0),IF(LEN(Taostats_CSV!H637)&gt;0,Taostats_CSV!H637,Taostats_CSV!R637)))</f>
        <v>0.131651481</v>
      </c>
      <c r="G637" t="str">
        <f ca="1">IF(AND(Q637,N637=1),OFFSET(Taostats_CSV!$E$1,MATCH(K637&amp;H$1,Taostats_CSV!$X:$X,0)-1,0),"")</f>
        <v/>
      </c>
      <c r="H637" t="str">
        <f ca="1">IF(AND(Q637,N637=1),OFFSET(Taostats_CSV!$G$1,MATCH(K637&amp;H$1,Taostats_CSV!$X:$X,0)-1,0),"")</f>
        <v/>
      </c>
      <c r="I637" t="str">
        <f ca="1">IF(AND(LEN(K637)=0,LEN(F637)&gt;0),"Income",IF(AND(O637&gt;0,P637&gt;0,C637&lt;&gt;E637),"Trade",IF(AND(NOT(Q637),Taostats_CSV!F637="fee"),'READ ME'!$C$5,"")))</f>
        <v>Income</v>
      </c>
      <c r="J637" t="str">
        <f ca="1">SUBSTITUTE(IF(LEN(I637)=0,Taostats_CSV!F637&amp;" "&amp;Taostats_CSV!J637,IF(I637="Cost","Extrinsic fee","")),"_"," ")</f>
        <v/>
      </c>
      <c r="K637" t="str">
        <f>TRIM(IF(LEN(Taostats_CSV!I637)&gt;0,Taostats_CSV!I637,""))</f>
        <v/>
      </c>
      <c r="L637">
        <f ca="1">IF(Taostats_CSV!E637&lt;&gt;"TAO",IF(LEN(F637)&gt;0,F637,IF(LEN(D637)&gt;0,D637,0))*Taostats_CSV!P637,"")</f>
        <v>9.7555839890386924</v>
      </c>
      <c r="M637" t="str">
        <f t="shared" ca="1" si="69"/>
        <v>USD</v>
      </c>
      <c r="N637">
        <f>COUNTIF(Taostats_CSV!$X:$X,Taostats_CSV!$I637&amp;N$1)</f>
        <v>0</v>
      </c>
      <c r="O637">
        <f>COUNTIF(Taostats_CSV!$X:$X,Taostats_CSV!$I637&amp;O$1)</f>
        <v>0</v>
      </c>
      <c r="P637">
        <f>COUNTIF(Taostats_CSV!$X:$X,Taostats_CSV!$I637&amp;P$1)</f>
        <v>0</v>
      </c>
      <c r="Q637" t="b">
        <f t="shared" si="70"/>
        <v>0</v>
      </c>
      <c r="R637" t="b">
        <f>IF(LEN(K637)&gt;0,COUNTIF($K$3:K637,K637),FALSE)</f>
        <v>0</v>
      </c>
      <c r="S637" t="b">
        <f>IF(Taostats_CSV!A637=Taostats_CSV!$A$2,TRUE,Taostats_CSV!G637+Taostats_CSV!H637+Taostats_CSV!R637=0)</f>
        <v>0</v>
      </c>
      <c r="T637" t="b">
        <f t="shared" si="71"/>
        <v>1</v>
      </c>
      <c r="U637" t="b" cm="1">
        <f t="array" aca="1" ref="U637" ca="1">AND(T637,OR(O637-N637&gt;1,P637&gt;1,ISERROR(A637:P637)))</f>
        <v>0</v>
      </c>
      <c r="W637" t="e">
        <f>MATCH(K637&amp;$W$2,Taostats_CSV!$X$3:$X$1167,0)</f>
        <v>#N/A</v>
      </c>
      <c r="X637" t="e">
        <f t="shared" ca="1" si="66"/>
        <v>#VALUE!</v>
      </c>
      <c r="Y637">
        <f t="shared" ca="1" si="67"/>
        <v>0.13165148099999999</v>
      </c>
      <c r="Z637" t="e">
        <f t="shared" ca="1" si="68"/>
        <v>#VALUE!</v>
      </c>
    </row>
    <row r="638" spans="1:26" hidden="1" x14ac:dyDescent="0.4">
      <c r="A638" t="str">
        <f>MID(Taostats_CSV!C638,6,2)&amp;"/"&amp;MID(Taostats_CSV!C638,9,2)&amp;"/"&amp;LEFT(Taostats_CSV!C638,4)&amp;" "&amp;MID(Taostats_CSV!C638,12,8)</f>
        <v>07/17/2025 23:59:48</v>
      </c>
      <c r="C638" t="str">
        <f ca="1">IF(Q638,OFFSET(Taostats_CSV!$E$1,MATCH(K638&amp;D$1,Taostats_CSV!$X:$X,0)-1,0),IF(Taostats_CSV!F638="fee","",IF(VALUE(Taostats_CSV!G638)&gt;0,Taostats_CSV!E638,"")))</f>
        <v/>
      </c>
      <c r="D638" t="str">
        <f ca="1">IF(Q638,OFFSET(Taostats_CSV!$G$1,MATCH(K638&amp;D$1,Taostats_CSV!$X:$X,0)-1,0),IF(Taostats_CSV!F638="fee","",IF(VALUE(Taostats_CSV!G638)&gt;0,Taostats_CSV!G638,"")))</f>
        <v/>
      </c>
      <c r="E638" t="str">
        <f ca="1">IF(AND(Q638,P638&gt;0),OFFSET(Taostats_CSV!$E$1,MATCH(K638&amp;F$1,Taostats_CSV!$X:$X,0)-1,0),IF(LEN(F638)&gt;0,Taostats_CSV!E638,""))</f>
        <v>TAO</v>
      </c>
      <c r="F638" t="str">
        <f ca="1">TRIM(IF(AND(Q638,P638&gt;0),OFFSET(Taostats_CSV!$H$1,MATCH(K638&amp;F$1,Taostats_CSV!$X:$X,0)-1,0),IF(LEN(Taostats_CSV!H638)&gt;0,Taostats_CSV!H638,Taostats_CSV!R638)))</f>
        <v>0</v>
      </c>
      <c r="G638" t="str">
        <f ca="1">IF(AND(Q638,N638=1),OFFSET(Taostats_CSV!$E$1,MATCH(K638&amp;H$1,Taostats_CSV!$X:$X,0)-1,0),IF(Taostats_CSV!F638="fee",Taostats_CSV!E638,""))</f>
        <v/>
      </c>
      <c r="H638" t="str">
        <f ca="1">IF(AND(Q638,N638=1),OFFSET(Taostats_CSV!$G$1,MATCH(K638&amp;H$1,Taostats_CSV!$X:$X,0)-1,0),IF(Taostats_CSV!F638="fee",Taostats_CSV!G638,""))</f>
        <v/>
      </c>
      <c r="I638" t="str">
        <f ca="1">IF(AND(LEN(K638)=0,LEN(F638)&gt;0),"Income",IF(AND(O638&gt;0,P638&gt;0,C638&lt;&gt;E638),"Trade",IF(AND(NOT(Q638),Taostats_CSV!F638="fee"),'READ ME'!$C$5,"")))</f>
        <v>Income</v>
      </c>
      <c r="J638" t="str">
        <f ca="1">SUBSTITUTE(IF(LEN(I638)=0,Taostats_CSV!F638&amp;" "&amp;Taostats_CSV!J638,IF(I638="Cost","Extrinsic fee","")),"_"," ")</f>
        <v/>
      </c>
      <c r="K638" t="str">
        <f>TRIM(IF(LEN(Taostats_CSV!I638)&gt;0,Taostats_CSV!I638,""))</f>
        <v/>
      </c>
      <c r="L638" t="str">
        <f>IF(Taostats_CSV!E638&lt;&gt;"TAO",IF(LEN(F638)&gt;0,F638,IF(LEN(D638)&gt;0,D638,0))*Taostats_CSV!P638,"")</f>
        <v/>
      </c>
      <c r="M638" t="str">
        <f t="shared" si="69"/>
        <v/>
      </c>
      <c r="N638">
        <f>COUNTIF(Taostats_CSV!$X:$X,Taostats_CSV!$I638&amp;N$1)</f>
        <v>0</v>
      </c>
      <c r="O638">
        <f>COUNTIF(Taostats_CSV!$X:$X,Taostats_CSV!$I638&amp;O$1)</f>
        <v>0</v>
      </c>
      <c r="P638">
        <f>COUNTIF(Taostats_CSV!$X:$X,Taostats_CSV!$I638&amp;P$1)</f>
        <v>0</v>
      </c>
      <c r="Q638" t="b">
        <f t="shared" si="70"/>
        <v>0</v>
      </c>
      <c r="R638" t="b">
        <f>IF(LEN(K638)&gt;0,COUNTIF($K$3:K638,K638),FALSE)</f>
        <v>0</v>
      </c>
      <c r="S638" t="b">
        <f>IF(Taostats_CSV!A638=Taostats_CSV!$A$2,TRUE,Taostats_CSV!G638+Taostats_CSV!H638+Taostats_CSV!R638=0)</f>
        <v>1</v>
      </c>
      <c r="T638" t="b">
        <f t="shared" si="71"/>
        <v>0</v>
      </c>
      <c r="U638" t="b" cm="1">
        <f t="array" aca="1" ref="U638" ca="1">AND(T638,OR(O638-N638&gt;1,P638&gt;1,ISERROR(A638:P638)))</f>
        <v>0</v>
      </c>
      <c r="W638" t="e">
        <f>MATCH(K638&amp;$W$2,Taostats_CSV!$X$3:$X$1167,0)</f>
        <v>#N/A</v>
      </c>
      <c r="X638" t="e">
        <f t="shared" ca="1" si="66"/>
        <v>#VALUE!</v>
      </c>
      <c r="Y638">
        <f t="shared" ca="1" si="67"/>
        <v>0</v>
      </c>
      <c r="Z638" t="e">
        <f t="shared" ca="1" si="68"/>
        <v>#VALUE!</v>
      </c>
    </row>
    <row r="639" spans="1:26" x14ac:dyDescent="0.4">
      <c r="A639" t="str">
        <f>MID(Taostats_CSV!C639,6,2)&amp;"/"&amp;MID(Taostats_CSV!C639,9,2)&amp;"/"&amp;LEFT(Taostats_CSV!C639,4)&amp;" "&amp;MID(Taostats_CSV!C639,12,8)</f>
        <v>07/18/2025 23:59:48</v>
      </c>
      <c r="C639" t="str">
        <f ca="1">IF(Q639,OFFSET(Taostats_CSV!$E$1,MATCH(K639&amp;D$1,Taostats_CSV!$X:$X,0)-1,0),IF(Taostats_CSV!F639="fee",IF(VALUE(Taostats_CSV!G639)&gt;0,Taostats_CSV!E639,""),""))</f>
        <v/>
      </c>
      <c r="D639" t="str">
        <f ca="1">IF(Q639,OFFSET(Taostats_CSV!$G$1,MATCH(K639&amp;D$1,Taostats_CSV!$X:$X,0)-1,0),IF(Taostats_CSV!F639="fee",IF(VALUE(Taostats_CSV!G639)&gt;0,Taostats_CSV!G639,""),""))</f>
        <v/>
      </c>
      <c r="E639" t="str">
        <f ca="1">IF(AND(Q639,P639&gt;0),OFFSET(Taostats_CSV!$E$1,MATCH(K639&amp;F$1,Taostats_CSV!$X:$X,0)-1,0),IF(LEN(F639)&gt;0,Taostats_CSV!E639,""))</f>
        <v>SN3</v>
      </c>
      <c r="F639" t="str">
        <f ca="1">TRIM(IF(AND(Q639,P639&gt;0),OFFSET(Taostats_CSV!$H$1,MATCH(K639&amp;F$1,Taostats_CSV!$X:$X,0)-1,0),IF(LEN(Taostats_CSV!H639)&gt;0,Taostats_CSV!H639,Taostats_CSV!R639)))</f>
        <v>0.376090793</v>
      </c>
      <c r="G639" t="str">
        <f ca="1">IF(AND(Q639,N639=1),OFFSET(Taostats_CSV!$E$1,MATCH(K639&amp;H$1,Taostats_CSV!$X:$X,0)-1,0),"")</f>
        <v/>
      </c>
      <c r="H639" t="str">
        <f ca="1">IF(AND(Q639,N639=1),OFFSET(Taostats_CSV!$G$1,MATCH(K639&amp;H$1,Taostats_CSV!$X:$X,0)-1,0),"")</f>
        <v/>
      </c>
      <c r="I639" t="str">
        <f ca="1">IF(AND(LEN(K639)=0,LEN(F639)&gt;0),"Income",IF(AND(O639&gt;0,P639&gt;0,C639&lt;&gt;E639),"Trade",IF(AND(NOT(Q639),Taostats_CSV!F639="fee"),'READ ME'!$C$5,"")))</f>
        <v>Income</v>
      </c>
      <c r="J639" t="str">
        <f ca="1">SUBSTITUTE(IF(LEN(I639)=0,Taostats_CSV!F639&amp;" "&amp;Taostats_CSV!J639,IF(I639="Cost","Extrinsic fee","")),"_"," ")</f>
        <v/>
      </c>
      <c r="K639" t="str">
        <f>TRIM(IF(LEN(Taostats_CSV!I639)&gt;0,Taostats_CSV!I639,""))</f>
        <v/>
      </c>
      <c r="L639">
        <f ca="1">IF(Taostats_CSV!E639&lt;&gt;"TAO",IF(LEN(F639)&gt;0,F639,IF(LEN(D639)&gt;0,D639,0))*Taostats_CSV!P639,"")</f>
        <v>11.130828911454767</v>
      </c>
      <c r="M639" t="str">
        <f t="shared" ca="1" si="69"/>
        <v>USD</v>
      </c>
      <c r="N639">
        <f>COUNTIF(Taostats_CSV!$X:$X,Taostats_CSV!$I639&amp;N$1)</f>
        <v>0</v>
      </c>
      <c r="O639">
        <f>COUNTIF(Taostats_CSV!$X:$X,Taostats_CSV!$I639&amp;O$1)</f>
        <v>0</v>
      </c>
      <c r="P639">
        <f>COUNTIF(Taostats_CSV!$X:$X,Taostats_CSV!$I639&amp;P$1)</f>
        <v>0</v>
      </c>
      <c r="Q639" t="b">
        <f t="shared" si="70"/>
        <v>0</v>
      </c>
      <c r="R639" t="b">
        <f>IF(LEN(K639)&gt;0,COUNTIF($K$3:K639,K639),FALSE)</f>
        <v>0</v>
      </c>
      <c r="S639" t="b">
        <f>IF(Taostats_CSV!A639=Taostats_CSV!$A$2,TRUE,Taostats_CSV!G639+Taostats_CSV!H639+Taostats_CSV!R639=0)</f>
        <v>0</v>
      </c>
      <c r="T639" t="b">
        <f t="shared" si="71"/>
        <v>1</v>
      </c>
      <c r="U639" t="b" cm="1">
        <f t="array" aca="1" ref="U639" ca="1">AND(T639,OR(O639-N639&gt;1,P639&gt;1,ISERROR(A639:P639)))</f>
        <v>0</v>
      </c>
      <c r="W639" t="e">
        <f>MATCH(K639&amp;$W$2,Taostats_CSV!$X$3:$X$1167,0)</f>
        <v>#N/A</v>
      </c>
      <c r="X639" t="e">
        <f t="shared" ca="1" si="66"/>
        <v>#VALUE!</v>
      </c>
      <c r="Y639">
        <f t="shared" ca="1" si="67"/>
        <v>0.37609079299999998</v>
      </c>
      <c r="Z639" t="e">
        <f t="shared" ca="1" si="68"/>
        <v>#VALUE!</v>
      </c>
    </row>
    <row r="640" spans="1:26" x14ac:dyDescent="0.4">
      <c r="A640" t="str">
        <f>MID(Taostats_CSV!C640,6,2)&amp;"/"&amp;MID(Taostats_CSV!C640,9,2)&amp;"/"&amp;LEFT(Taostats_CSV!C640,4)&amp;" "&amp;MID(Taostats_CSV!C640,12,8)</f>
        <v>07/18/2025 23:59:48</v>
      </c>
      <c r="C640" t="str">
        <f ca="1">IF(Q640,OFFSET(Taostats_CSV!$E$1,MATCH(K640&amp;D$1,Taostats_CSV!$X:$X,0)-1,0),IF(Taostats_CSV!F640="fee",IF(VALUE(Taostats_CSV!G640)&gt;0,Taostats_CSV!E640,""),""))</f>
        <v/>
      </c>
      <c r="D640" t="str">
        <f ca="1">IF(Q640,OFFSET(Taostats_CSV!$G$1,MATCH(K640&amp;D$1,Taostats_CSV!$X:$X,0)-1,0),IF(Taostats_CSV!F640="fee",IF(VALUE(Taostats_CSV!G640)&gt;0,Taostats_CSV!G640,""),""))</f>
        <v/>
      </c>
      <c r="E640" t="str">
        <f ca="1">IF(AND(Q640,P640&gt;0),OFFSET(Taostats_CSV!$E$1,MATCH(K640&amp;F$1,Taostats_CSV!$X:$X,0)-1,0),IF(LEN(F640)&gt;0,Taostats_CSV!E640,""))</f>
        <v>SN4</v>
      </c>
      <c r="F640" t="str">
        <f ca="1">TRIM(IF(AND(Q640,P640&gt;0),OFFSET(Taostats_CSV!$H$1,MATCH(K640&amp;F$1,Taostats_CSV!$X:$X,0)-1,0),IF(LEN(Taostats_CSV!H640)&gt;0,Taostats_CSV!H640,Taostats_CSV!R640)))</f>
        <v>0.416615032</v>
      </c>
      <c r="G640" t="str">
        <f ca="1">IF(AND(Q640,N640=1),OFFSET(Taostats_CSV!$E$1,MATCH(K640&amp;H$1,Taostats_CSV!$X:$X,0)-1,0),"")</f>
        <v/>
      </c>
      <c r="H640" t="str">
        <f ca="1">IF(AND(Q640,N640=1),OFFSET(Taostats_CSV!$G$1,MATCH(K640&amp;H$1,Taostats_CSV!$X:$X,0)-1,0),"")</f>
        <v/>
      </c>
      <c r="I640" t="str">
        <f ca="1">IF(AND(LEN(K640)=0,LEN(F640)&gt;0),"Income",IF(AND(O640&gt;0,P640&gt;0,C640&lt;&gt;E640),"Trade",IF(AND(NOT(Q640),Taostats_CSV!F640="fee"),'READ ME'!$C$5,"")))</f>
        <v>Income</v>
      </c>
      <c r="J640" t="str">
        <f ca="1">SUBSTITUTE(IF(LEN(I640)=0,Taostats_CSV!F640&amp;" "&amp;Taostats_CSV!J640,IF(I640="Cost","Extrinsic fee","")),"_"," ")</f>
        <v/>
      </c>
      <c r="K640" t="str">
        <f>TRIM(IF(LEN(Taostats_CSV!I640)&gt;0,Taostats_CSV!I640,""))</f>
        <v/>
      </c>
      <c r="L640">
        <f ca="1">IF(Taostats_CSV!E640&lt;&gt;"TAO",IF(LEN(F640)&gt;0,F640,IF(LEN(D640)&gt;0,D640,0))*Taostats_CSV!P640,"")</f>
        <v>11.240428842041942</v>
      </c>
      <c r="M640" t="str">
        <f t="shared" ca="1" si="69"/>
        <v>USD</v>
      </c>
      <c r="N640">
        <f>COUNTIF(Taostats_CSV!$X:$X,Taostats_CSV!$I640&amp;N$1)</f>
        <v>0</v>
      </c>
      <c r="O640">
        <f>COUNTIF(Taostats_CSV!$X:$X,Taostats_CSV!$I640&amp;O$1)</f>
        <v>0</v>
      </c>
      <c r="P640">
        <f>COUNTIF(Taostats_CSV!$X:$X,Taostats_CSV!$I640&amp;P$1)</f>
        <v>0</v>
      </c>
      <c r="Q640" t="b">
        <f t="shared" si="70"/>
        <v>0</v>
      </c>
      <c r="R640" t="b">
        <f>IF(LEN(K640)&gt;0,COUNTIF($K$3:K640,K640),FALSE)</f>
        <v>0</v>
      </c>
      <c r="S640" t="b">
        <f>IF(Taostats_CSV!A640=Taostats_CSV!$A$2,TRUE,Taostats_CSV!G640+Taostats_CSV!H640+Taostats_CSV!R640=0)</f>
        <v>0</v>
      </c>
      <c r="T640" t="b">
        <f t="shared" si="71"/>
        <v>1</v>
      </c>
      <c r="U640" t="b" cm="1">
        <f t="array" aca="1" ref="U640" ca="1">AND(T640,OR(O640-N640&gt;1,P640&gt;1,ISERROR(A640:P640)))</f>
        <v>0</v>
      </c>
      <c r="W640" t="e">
        <f>MATCH(K640&amp;$W$2,Taostats_CSV!$X$3:$X$1167,0)</f>
        <v>#N/A</v>
      </c>
      <c r="X640" t="e">
        <f t="shared" ca="1" si="66"/>
        <v>#VALUE!</v>
      </c>
      <c r="Y640">
        <f t="shared" ca="1" si="67"/>
        <v>0.416615032</v>
      </c>
      <c r="Z640" t="e">
        <f t="shared" ca="1" si="68"/>
        <v>#VALUE!</v>
      </c>
    </row>
    <row r="641" spans="1:26" x14ac:dyDescent="0.4">
      <c r="A641" t="str">
        <f>MID(Taostats_CSV!C641,6,2)&amp;"/"&amp;MID(Taostats_CSV!C641,9,2)&amp;"/"&amp;LEFT(Taostats_CSV!C641,4)&amp;" "&amp;MID(Taostats_CSV!C641,12,8)</f>
        <v>07/18/2025 23:59:48</v>
      </c>
      <c r="C641" t="str">
        <f ca="1">IF(Q641,OFFSET(Taostats_CSV!$E$1,MATCH(K641&amp;D$1,Taostats_CSV!$X:$X,0)-1,0),IF(Taostats_CSV!F641="fee",IF(VALUE(Taostats_CSV!G641)&gt;0,Taostats_CSV!E641,""),""))</f>
        <v/>
      </c>
      <c r="D641" t="str">
        <f ca="1">IF(Q641,OFFSET(Taostats_CSV!$G$1,MATCH(K641&amp;D$1,Taostats_CSV!$X:$X,0)-1,0),IF(Taostats_CSV!F641="fee",IF(VALUE(Taostats_CSV!G641)&gt;0,Taostats_CSV!G641,""),""))</f>
        <v/>
      </c>
      <c r="E641" t="str">
        <f ca="1">IF(AND(Q641,P641&gt;0),OFFSET(Taostats_CSV!$E$1,MATCH(K641&amp;F$1,Taostats_CSV!$X:$X,0)-1,0),IF(LEN(F641)&gt;0,Taostats_CSV!E641,""))</f>
        <v>SN56</v>
      </c>
      <c r="F641" t="str">
        <f ca="1">TRIM(IF(AND(Q641,P641&gt;0),OFFSET(Taostats_CSV!$H$1,MATCH(K641&amp;F$1,Taostats_CSV!$X:$X,0)-1,0),IF(LEN(Taostats_CSV!H641)&gt;0,Taostats_CSV!H641,Taostats_CSV!R641)))</f>
        <v>0.234364048</v>
      </c>
      <c r="G641" t="str">
        <f ca="1">IF(AND(Q641,N641=1),OFFSET(Taostats_CSV!$E$1,MATCH(K641&amp;H$1,Taostats_CSV!$X:$X,0)-1,0),"")</f>
        <v/>
      </c>
      <c r="H641" t="str">
        <f ca="1">IF(AND(Q641,N641=1),OFFSET(Taostats_CSV!$G$1,MATCH(K641&amp;H$1,Taostats_CSV!$X:$X,0)-1,0),"")</f>
        <v/>
      </c>
      <c r="I641" t="str">
        <f ca="1">IF(AND(LEN(K641)=0,LEN(F641)&gt;0),"Income",IF(AND(O641&gt;0,P641&gt;0,C641&lt;&gt;E641),"Trade",IF(AND(NOT(Q641),Taostats_CSV!F641="fee"),'READ ME'!$C$5,"")))</f>
        <v>Income</v>
      </c>
      <c r="J641" t="str">
        <f ca="1">SUBSTITUTE(IF(LEN(I641)=0,Taostats_CSV!F641&amp;" "&amp;Taostats_CSV!J641,IF(I641="Cost","Extrinsic fee","")),"_"," ")</f>
        <v/>
      </c>
      <c r="K641" t="str">
        <f>TRIM(IF(LEN(Taostats_CSV!I641)&gt;0,Taostats_CSV!I641,""))</f>
        <v/>
      </c>
      <c r="L641">
        <f ca="1">IF(Taostats_CSV!E641&lt;&gt;"TAO",IF(LEN(F641)&gt;0,F641,IF(LEN(D641)&gt;0,D641,0))*Taostats_CSV!P641,"")</f>
        <v>7.3655543331990421</v>
      </c>
      <c r="M641" t="str">
        <f t="shared" ca="1" si="69"/>
        <v>USD</v>
      </c>
      <c r="N641">
        <f>COUNTIF(Taostats_CSV!$X:$X,Taostats_CSV!$I641&amp;N$1)</f>
        <v>0</v>
      </c>
      <c r="O641">
        <f>COUNTIF(Taostats_CSV!$X:$X,Taostats_CSV!$I641&amp;O$1)</f>
        <v>0</v>
      </c>
      <c r="P641">
        <f>COUNTIF(Taostats_CSV!$X:$X,Taostats_CSV!$I641&amp;P$1)</f>
        <v>0</v>
      </c>
      <c r="Q641" t="b">
        <f t="shared" si="70"/>
        <v>0</v>
      </c>
      <c r="R641" t="b">
        <f>IF(LEN(K641)&gt;0,COUNTIF($K$3:K641,K641),FALSE)</f>
        <v>0</v>
      </c>
      <c r="S641" t="b">
        <f>IF(Taostats_CSV!A641=Taostats_CSV!$A$2,TRUE,Taostats_CSV!G641+Taostats_CSV!H641+Taostats_CSV!R641=0)</f>
        <v>0</v>
      </c>
      <c r="T641" t="b">
        <f t="shared" si="71"/>
        <v>1</v>
      </c>
      <c r="U641" t="b" cm="1">
        <f t="array" aca="1" ref="U641" ca="1">AND(T641,OR(O641-N641&gt;1,P641&gt;1,ISERROR(A641:P641)))</f>
        <v>0</v>
      </c>
      <c r="W641" t="e">
        <f>MATCH(K641&amp;$W$2,Taostats_CSV!$X$3:$X$1167,0)</f>
        <v>#N/A</v>
      </c>
      <c r="X641" t="e">
        <f t="shared" ca="1" si="66"/>
        <v>#VALUE!</v>
      </c>
      <c r="Y641">
        <f t="shared" ca="1" si="67"/>
        <v>0.23436404799999999</v>
      </c>
      <c r="Z641" t="e">
        <f t="shared" ca="1" si="68"/>
        <v>#VALUE!</v>
      </c>
    </row>
    <row r="642" spans="1:26" x14ac:dyDescent="0.4">
      <c r="A642" t="str">
        <f>MID(Taostats_CSV!C642,6,2)&amp;"/"&amp;MID(Taostats_CSV!C642,9,2)&amp;"/"&amp;LEFT(Taostats_CSV!C642,4)&amp;" "&amp;MID(Taostats_CSV!C642,12,8)</f>
        <v>07/18/2025 23:59:48</v>
      </c>
      <c r="C642" t="str">
        <f ca="1">IF(Q642,OFFSET(Taostats_CSV!$E$1,MATCH(K642&amp;D$1,Taostats_CSV!$X:$X,0)-1,0),IF(Taostats_CSV!F642="fee",IF(VALUE(Taostats_CSV!G642)&gt;0,Taostats_CSV!E642,""),""))</f>
        <v/>
      </c>
      <c r="D642" t="str">
        <f ca="1">IF(Q642,OFFSET(Taostats_CSV!$G$1,MATCH(K642&amp;D$1,Taostats_CSV!$X:$X,0)-1,0),IF(Taostats_CSV!F642="fee",IF(VALUE(Taostats_CSV!G642)&gt;0,Taostats_CSV!G642,""),""))</f>
        <v/>
      </c>
      <c r="E642" t="str">
        <f ca="1">IF(AND(Q642,P642&gt;0),OFFSET(Taostats_CSV!$E$1,MATCH(K642&amp;F$1,Taostats_CSV!$X:$X,0)-1,0),IF(LEN(F642)&gt;0,Taostats_CSV!E642,""))</f>
        <v>SN64</v>
      </c>
      <c r="F642" t="str">
        <f ca="1">TRIM(IF(AND(Q642,P642&gt;0),OFFSET(Taostats_CSV!$H$1,MATCH(K642&amp;F$1,Taostats_CSV!$X:$X,0)-1,0),IF(LEN(Taostats_CSV!H642)&gt;0,Taostats_CSV!H642,Taostats_CSV!R642)))</f>
        <v>0.131779259</v>
      </c>
      <c r="G642" t="str">
        <f ca="1">IF(AND(Q642,N642=1),OFFSET(Taostats_CSV!$E$1,MATCH(K642&amp;H$1,Taostats_CSV!$X:$X,0)-1,0),"")</f>
        <v/>
      </c>
      <c r="H642" t="str">
        <f ca="1">IF(AND(Q642,N642=1),OFFSET(Taostats_CSV!$G$1,MATCH(K642&amp;H$1,Taostats_CSV!$X:$X,0)-1,0),"")</f>
        <v/>
      </c>
      <c r="I642" t="str">
        <f ca="1">IF(AND(LEN(K642)=0,LEN(F642)&gt;0),"Income",IF(AND(O642&gt;0,P642&gt;0,C642&lt;&gt;E642),"Trade",IF(AND(NOT(Q642),Taostats_CSV!F642="fee"),'READ ME'!$C$5,"")))</f>
        <v>Income</v>
      </c>
      <c r="J642" t="str">
        <f ca="1">SUBSTITUTE(IF(LEN(I642)=0,Taostats_CSV!F642&amp;" "&amp;Taostats_CSV!J642,IF(I642="Cost","Extrinsic fee","")),"_"," ")</f>
        <v/>
      </c>
      <c r="K642" t="str">
        <f>TRIM(IF(LEN(Taostats_CSV!I642)&gt;0,Taostats_CSV!I642,""))</f>
        <v/>
      </c>
      <c r="L642">
        <f ca="1">IF(Taostats_CSV!E642&lt;&gt;"TAO",IF(LEN(F642)&gt;0,F642,IF(LEN(D642)&gt;0,D642,0))*Taostats_CSV!P642,"")</f>
        <v>9.2454890136325876</v>
      </c>
      <c r="M642" t="str">
        <f t="shared" ca="1" si="69"/>
        <v>USD</v>
      </c>
      <c r="N642">
        <f>COUNTIF(Taostats_CSV!$X:$X,Taostats_CSV!$I642&amp;N$1)</f>
        <v>0</v>
      </c>
      <c r="O642">
        <f>COUNTIF(Taostats_CSV!$X:$X,Taostats_CSV!$I642&amp;O$1)</f>
        <v>0</v>
      </c>
      <c r="P642">
        <f>COUNTIF(Taostats_CSV!$X:$X,Taostats_CSV!$I642&amp;P$1)</f>
        <v>0</v>
      </c>
      <c r="Q642" t="b">
        <f t="shared" si="70"/>
        <v>0</v>
      </c>
      <c r="R642" t="b">
        <f>IF(LEN(K642)&gt;0,COUNTIF($K$3:K642,K642),FALSE)</f>
        <v>0</v>
      </c>
      <c r="S642" t="b">
        <f>IF(Taostats_CSV!A642=Taostats_CSV!$A$2,TRUE,Taostats_CSV!G642+Taostats_CSV!H642+Taostats_CSV!R642=0)</f>
        <v>0</v>
      </c>
      <c r="T642" t="b">
        <f t="shared" si="71"/>
        <v>1</v>
      </c>
      <c r="U642" t="b" cm="1">
        <f t="array" aca="1" ref="U642" ca="1">AND(T642,OR(O642-N642&gt;1,P642&gt;1,ISERROR(A642:P642)))</f>
        <v>0</v>
      </c>
      <c r="W642" t="e">
        <f>MATCH(K642&amp;$W$2,Taostats_CSV!$X$3:$X$1167,0)</f>
        <v>#N/A</v>
      </c>
      <c r="X642" t="e">
        <f t="shared" ca="1" si="66"/>
        <v>#VALUE!</v>
      </c>
      <c r="Y642">
        <f t="shared" ca="1" si="67"/>
        <v>0.13177925900000001</v>
      </c>
      <c r="Z642" t="e">
        <f t="shared" ca="1" si="68"/>
        <v>#VALUE!</v>
      </c>
    </row>
    <row r="643" spans="1:26" hidden="1" x14ac:dyDescent="0.4">
      <c r="A643" t="str">
        <f>MID(Taostats_CSV!C643,6,2)&amp;"/"&amp;MID(Taostats_CSV!C643,9,2)&amp;"/"&amp;LEFT(Taostats_CSV!C643,4)&amp;" "&amp;MID(Taostats_CSV!C643,12,8)</f>
        <v>07/18/2025 23:59:48</v>
      </c>
      <c r="C643" t="str">
        <f ca="1">IF(Q643,OFFSET(Taostats_CSV!$E$1,MATCH(K643&amp;D$1,Taostats_CSV!$X:$X,0)-1,0),IF(Taostats_CSV!F643="fee","",IF(VALUE(Taostats_CSV!G643)&gt;0,Taostats_CSV!E643,"")))</f>
        <v/>
      </c>
      <c r="D643" t="str">
        <f ca="1">IF(Q643,OFFSET(Taostats_CSV!$G$1,MATCH(K643&amp;D$1,Taostats_CSV!$X:$X,0)-1,0),IF(Taostats_CSV!F643="fee","",IF(VALUE(Taostats_CSV!G643)&gt;0,Taostats_CSV!G643,"")))</f>
        <v/>
      </c>
      <c r="E643" t="str">
        <f ca="1">IF(AND(Q643,P643&gt;0),OFFSET(Taostats_CSV!$E$1,MATCH(K643&amp;F$1,Taostats_CSV!$X:$X,0)-1,0),IF(LEN(F643)&gt;0,Taostats_CSV!E643,""))</f>
        <v>TAO</v>
      </c>
      <c r="F643" t="str">
        <f ca="1">TRIM(IF(AND(Q643,P643&gt;0),OFFSET(Taostats_CSV!$H$1,MATCH(K643&amp;F$1,Taostats_CSV!$X:$X,0)-1,0),IF(LEN(Taostats_CSV!H643)&gt;0,Taostats_CSV!H643,Taostats_CSV!R643)))</f>
        <v>0</v>
      </c>
      <c r="G643" t="str">
        <f ca="1">IF(AND(Q643,N643=1),OFFSET(Taostats_CSV!$E$1,MATCH(K643&amp;H$1,Taostats_CSV!$X:$X,0)-1,0),IF(Taostats_CSV!F643="fee",Taostats_CSV!E643,""))</f>
        <v/>
      </c>
      <c r="H643" t="str">
        <f ca="1">IF(AND(Q643,N643=1),OFFSET(Taostats_CSV!$G$1,MATCH(K643&amp;H$1,Taostats_CSV!$X:$X,0)-1,0),IF(Taostats_CSV!F643="fee",Taostats_CSV!G643,""))</f>
        <v/>
      </c>
      <c r="I643" t="str">
        <f ca="1">IF(AND(LEN(K643)=0,LEN(F643)&gt;0),"Income",IF(AND(O643&gt;0,P643&gt;0,C643&lt;&gt;E643),"Trade",IF(AND(NOT(Q643),Taostats_CSV!F643="fee"),'READ ME'!$C$5,"")))</f>
        <v>Income</v>
      </c>
      <c r="J643" t="str">
        <f ca="1">SUBSTITUTE(IF(LEN(I643)=0,Taostats_CSV!F643&amp;" "&amp;Taostats_CSV!J643,IF(I643="Cost","Extrinsic fee","")),"_"," ")</f>
        <v/>
      </c>
      <c r="K643" t="str">
        <f>TRIM(IF(LEN(Taostats_CSV!I643)&gt;0,Taostats_CSV!I643,""))</f>
        <v/>
      </c>
      <c r="L643" t="str">
        <f>IF(Taostats_CSV!E643&lt;&gt;"TAO",IF(LEN(F643)&gt;0,F643,IF(LEN(D643)&gt;0,D643,0))*Taostats_CSV!P643,"")</f>
        <v/>
      </c>
      <c r="M643" t="str">
        <f t="shared" si="69"/>
        <v/>
      </c>
      <c r="N643">
        <f>COUNTIF(Taostats_CSV!$X:$X,Taostats_CSV!$I643&amp;N$1)</f>
        <v>0</v>
      </c>
      <c r="O643">
        <f>COUNTIF(Taostats_CSV!$X:$X,Taostats_CSV!$I643&amp;O$1)</f>
        <v>0</v>
      </c>
      <c r="P643">
        <f>COUNTIF(Taostats_CSV!$X:$X,Taostats_CSV!$I643&amp;P$1)</f>
        <v>0</v>
      </c>
      <c r="Q643" t="b">
        <f t="shared" si="70"/>
        <v>0</v>
      </c>
      <c r="R643" t="b">
        <f>IF(LEN(K643)&gt;0,COUNTIF($K$3:K643,K643),FALSE)</f>
        <v>0</v>
      </c>
      <c r="S643" t="b">
        <f>IF(Taostats_CSV!A643=Taostats_CSV!$A$2,TRUE,Taostats_CSV!G643+Taostats_CSV!H643+Taostats_CSV!R643=0)</f>
        <v>1</v>
      </c>
      <c r="T643" t="b">
        <f t="shared" si="71"/>
        <v>0</v>
      </c>
      <c r="U643" t="b" cm="1">
        <f t="array" aca="1" ref="U643" ca="1">AND(T643,OR(O643-N643&gt;1,P643&gt;1,ISERROR(A643:P643)))</f>
        <v>0</v>
      </c>
      <c r="W643" t="e">
        <f>MATCH(K643&amp;$W$2,Taostats_CSV!$X$3:$X$1167,0)</f>
        <v>#N/A</v>
      </c>
      <c r="X643" t="e">
        <f t="shared" ref="X643:X706" ca="1" si="72">VALUE(D643)</f>
        <v>#VALUE!</v>
      </c>
      <c r="Y643">
        <f t="shared" ref="Y643:Y706" ca="1" si="73">VALUE(F643)</f>
        <v>0</v>
      </c>
      <c r="Z643" t="e">
        <f t="shared" ref="Z643:Z706" ca="1" si="74">VALUE(H643)</f>
        <v>#VALUE!</v>
      </c>
    </row>
    <row r="644" spans="1:26" x14ac:dyDescent="0.4">
      <c r="A644" t="str">
        <f>MID(Taostats_CSV!C644,6,2)&amp;"/"&amp;MID(Taostats_CSV!C644,9,2)&amp;"/"&amp;LEFT(Taostats_CSV!C644,4)&amp;" "&amp;MID(Taostats_CSV!C644,12,8)</f>
        <v>07/19/2025 23:59:48</v>
      </c>
      <c r="C644" t="str">
        <f ca="1">IF(Q644,OFFSET(Taostats_CSV!$E$1,MATCH(K644&amp;D$1,Taostats_CSV!$X:$X,0)-1,0),IF(Taostats_CSV!F644="fee",IF(VALUE(Taostats_CSV!G644)&gt;0,Taostats_CSV!E644,""),""))</f>
        <v/>
      </c>
      <c r="D644" t="str">
        <f ca="1">IF(Q644,OFFSET(Taostats_CSV!$G$1,MATCH(K644&amp;D$1,Taostats_CSV!$X:$X,0)-1,0),IF(Taostats_CSV!F644="fee",IF(VALUE(Taostats_CSV!G644)&gt;0,Taostats_CSV!G644,""),""))</f>
        <v/>
      </c>
      <c r="E644" t="str">
        <f ca="1">IF(AND(Q644,P644&gt;0),OFFSET(Taostats_CSV!$E$1,MATCH(K644&amp;F$1,Taostats_CSV!$X:$X,0)-1,0),IF(LEN(F644)&gt;0,Taostats_CSV!E644,""))</f>
        <v>SN3</v>
      </c>
      <c r="F644" t="str">
        <f ca="1">TRIM(IF(AND(Q644,P644&gt;0),OFFSET(Taostats_CSV!$H$1,MATCH(K644&amp;F$1,Taostats_CSV!$X:$X,0)-1,0),IF(LEN(Taostats_CSV!H644)&gt;0,Taostats_CSV!H644,Taostats_CSV!R644)))</f>
        <v>0.376898101</v>
      </c>
      <c r="G644" t="str">
        <f ca="1">IF(AND(Q644,N644=1),OFFSET(Taostats_CSV!$E$1,MATCH(K644&amp;H$1,Taostats_CSV!$X:$X,0)-1,0),"")</f>
        <v/>
      </c>
      <c r="H644" t="str">
        <f ca="1">IF(AND(Q644,N644=1),OFFSET(Taostats_CSV!$G$1,MATCH(K644&amp;H$1,Taostats_CSV!$X:$X,0)-1,0),"")</f>
        <v/>
      </c>
      <c r="I644" t="str">
        <f ca="1">IF(AND(LEN(K644)=0,LEN(F644)&gt;0),"Income",IF(AND(O644&gt;0,P644&gt;0,C644&lt;&gt;E644),"Trade",IF(AND(NOT(Q644),Taostats_CSV!F644="fee"),'READ ME'!$C$5,"")))</f>
        <v>Income</v>
      </c>
      <c r="J644" t="str">
        <f ca="1">SUBSTITUTE(IF(LEN(I644)=0,Taostats_CSV!F644&amp;" "&amp;Taostats_CSV!J644,IF(I644="Cost","Extrinsic fee","")),"_"," ")</f>
        <v/>
      </c>
      <c r="K644" t="str">
        <f>TRIM(IF(LEN(Taostats_CSV!I644)&gt;0,Taostats_CSV!I644,""))</f>
        <v/>
      </c>
      <c r="L644">
        <f ca="1">IF(Taostats_CSV!E644&lt;&gt;"TAO",IF(LEN(F644)&gt;0,F644,IF(LEN(D644)&gt;0,D644,0))*Taostats_CSV!P644,"")</f>
        <v>11.512803183968499</v>
      </c>
      <c r="M644" t="str">
        <f t="shared" ref="M644:M707" ca="1" si="75">IF(LEN(L644)&gt;0,"USD","")</f>
        <v>USD</v>
      </c>
      <c r="N644">
        <f>COUNTIF(Taostats_CSV!$X:$X,Taostats_CSV!$I644&amp;N$1)</f>
        <v>0</v>
      </c>
      <c r="O644">
        <f>COUNTIF(Taostats_CSV!$X:$X,Taostats_CSV!$I644&amp;O$1)</f>
        <v>0</v>
      </c>
      <c r="P644">
        <f>COUNTIF(Taostats_CSV!$X:$X,Taostats_CSV!$I644&amp;P$1)</f>
        <v>0</v>
      </c>
      <c r="Q644" t="b">
        <f t="shared" ref="Q644:Q707" si="76">AND(O644&lt;=1,N644&lt;=1,P644&lt;=1,O644+N644+P644&gt;=2)</f>
        <v>0</v>
      </c>
      <c r="R644" t="b">
        <f>IF(LEN(K644)&gt;0,COUNTIF($K$3:K644,K644),FALSE)</f>
        <v>0</v>
      </c>
      <c r="S644" t="b">
        <f>IF(Taostats_CSV!A644=Taostats_CSV!$A$2,TRUE,Taostats_CSV!G644+Taostats_CSV!H644+Taostats_CSV!R644=0)</f>
        <v>0</v>
      </c>
      <c r="T644" t="b">
        <f t="shared" ref="T644:T707" si="77">AND(NOT(S644),OR(NOT(Q644),R644=1))</f>
        <v>1</v>
      </c>
      <c r="U644" t="b" cm="1">
        <f t="array" aca="1" ref="U644" ca="1">AND(T644,OR(O644-N644&gt;1,P644&gt;1,ISERROR(A644:P644)))</f>
        <v>0</v>
      </c>
      <c r="W644" t="e">
        <f>MATCH(K644&amp;$W$2,Taostats_CSV!$X$3:$X$1167,0)</f>
        <v>#N/A</v>
      </c>
      <c r="X644" t="e">
        <f t="shared" ca="1" si="72"/>
        <v>#VALUE!</v>
      </c>
      <c r="Y644">
        <f t="shared" ca="1" si="73"/>
        <v>0.37689810099999999</v>
      </c>
      <c r="Z644" t="e">
        <f t="shared" ca="1" si="74"/>
        <v>#VALUE!</v>
      </c>
    </row>
    <row r="645" spans="1:26" x14ac:dyDescent="0.4">
      <c r="A645" t="str">
        <f>MID(Taostats_CSV!C645,6,2)&amp;"/"&amp;MID(Taostats_CSV!C645,9,2)&amp;"/"&amp;LEFT(Taostats_CSV!C645,4)&amp;" "&amp;MID(Taostats_CSV!C645,12,8)</f>
        <v>07/19/2025 23:59:48</v>
      </c>
      <c r="C645" t="str">
        <f ca="1">IF(Q645,OFFSET(Taostats_CSV!$E$1,MATCH(K645&amp;D$1,Taostats_CSV!$X:$X,0)-1,0),IF(Taostats_CSV!F645="fee",IF(VALUE(Taostats_CSV!G645)&gt;0,Taostats_CSV!E645,""),""))</f>
        <v/>
      </c>
      <c r="D645" t="str">
        <f ca="1">IF(Q645,OFFSET(Taostats_CSV!$G$1,MATCH(K645&amp;D$1,Taostats_CSV!$X:$X,0)-1,0),IF(Taostats_CSV!F645="fee",IF(VALUE(Taostats_CSV!G645)&gt;0,Taostats_CSV!G645,""),""))</f>
        <v/>
      </c>
      <c r="E645" t="str">
        <f ca="1">IF(AND(Q645,P645&gt;0),OFFSET(Taostats_CSV!$E$1,MATCH(K645&amp;F$1,Taostats_CSV!$X:$X,0)-1,0),IF(LEN(F645)&gt;0,Taostats_CSV!E645,""))</f>
        <v>SN4</v>
      </c>
      <c r="F645" t="str">
        <f ca="1">TRIM(IF(AND(Q645,P645&gt;0),OFFSET(Taostats_CSV!$H$1,MATCH(K645&amp;F$1,Taostats_CSV!$X:$X,0)-1,0),IF(LEN(Taostats_CSV!H645)&gt;0,Taostats_CSV!H645,Taostats_CSV!R645)))</f>
        <v>0.448663137</v>
      </c>
      <c r="G645" t="str">
        <f ca="1">IF(AND(Q645,N645=1),OFFSET(Taostats_CSV!$E$1,MATCH(K645&amp;H$1,Taostats_CSV!$X:$X,0)-1,0),"")</f>
        <v/>
      </c>
      <c r="H645" t="str">
        <f ca="1">IF(AND(Q645,N645=1),OFFSET(Taostats_CSV!$G$1,MATCH(K645&amp;H$1,Taostats_CSV!$X:$X,0)-1,0),"")</f>
        <v/>
      </c>
      <c r="I645" t="str">
        <f ca="1">IF(AND(LEN(K645)=0,LEN(F645)&gt;0),"Income",IF(AND(O645&gt;0,P645&gt;0,C645&lt;&gt;E645),"Trade",IF(AND(NOT(Q645),Taostats_CSV!F645="fee"),'READ ME'!$C$5,"")))</f>
        <v>Income</v>
      </c>
      <c r="J645" t="str">
        <f ca="1">SUBSTITUTE(IF(LEN(I645)=0,Taostats_CSV!F645&amp;" "&amp;Taostats_CSV!J645,IF(I645="Cost","Extrinsic fee","")),"_"," ")</f>
        <v/>
      </c>
      <c r="K645" t="str">
        <f>TRIM(IF(LEN(Taostats_CSV!I645)&gt;0,Taostats_CSV!I645,""))</f>
        <v/>
      </c>
      <c r="L645">
        <f ca="1">IF(Taostats_CSV!E645&lt;&gt;"TAO",IF(LEN(F645)&gt;0,F645,IF(LEN(D645)&gt;0,D645,0))*Taostats_CSV!P645,"")</f>
        <v>12.03220353587958</v>
      </c>
      <c r="M645" t="str">
        <f t="shared" ca="1" si="75"/>
        <v>USD</v>
      </c>
      <c r="N645">
        <f>COUNTIF(Taostats_CSV!$X:$X,Taostats_CSV!$I645&amp;N$1)</f>
        <v>0</v>
      </c>
      <c r="O645">
        <f>COUNTIF(Taostats_CSV!$X:$X,Taostats_CSV!$I645&amp;O$1)</f>
        <v>0</v>
      </c>
      <c r="P645">
        <f>COUNTIF(Taostats_CSV!$X:$X,Taostats_CSV!$I645&amp;P$1)</f>
        <v>0</v>
      </c>
      <c r="Q645" t="b">
        <f t="shared" si="76"/>
        <v>0</v>
      </c>
      <c r="R645" t="b">
        <f>IF(LEN(K645)&gt;0,COUNTIF($K$3:K645,K645),FALSE)</f>
        <v>0</v>
      </c>
      <c r="S645" t="b">
        <f>IF(Taostats_CSV!A645=Taostats_CSV!$A$2,TRUE,Taostats_CSV!G645+Taostats_CSV!H645+Taostats_CSV!R645=0)</f>
        <v>0</v>
      </c>
      <c r="T645" t="b">
        <f t="shared" si="77"/>
        <v>1</v>
      </c>
      <c r="U645" t="b" cm="1">
        <f t="array" aca="1" ref="U645" ca="1">AND(T645,OR(O645-N645&gt;1,P645&gt;1,ISERROR(A645:P645)))</f>
        <v>0</v>
      </c>
      <c r="W645" t="e">
        <f>MATCH(K645&amp;$W$2,Taostats_CSV!$X$3:$X$1167,0)</f>
        <v>#N/A</v>
      </c>
      <c r="X645" t="e">
        <f t="shared" ca="1" si="72"/>
        <v>#VALUE!</v>
      </c>
      <c r="Y645">
        <f t="shared" ca="1" si="73"/>
        <v>0.44866313699999999</v>
      </c>
      <c r="Z645" t="e">
        <f t="shared" ca="1" si="74"/>
        <v>#VALUE!</v>
      </c>
    </row>
    <row r="646" spans="1:26" x14ac:dyDescent="0.4">
      <c r="A646" t="str">
        <f>MID(Taostats_CSV!C646,6,2)&amp;"/"&amp;MID(Taostats_CSV!C646,9,2)&amp;"/"&amp;LEFT(Taostats_CSV!C646,4)&amp;" "&amp;MID(Taostats_CSV!C646,12,8)</f>
        <v>07/19/2025 23:59:48</v>
      </c>
      <c r="C646" t="str">
        <f ca="1">IF(Q646,OFFSET(Taostats_CSV!$E$1,MATCH(K646&amp;D$1,Taostats_CSV!$X:$X,0)-1,0),IF(Taostats_CSV!F646="fee",IF(VALUE(Taostats_CSV!G646)&gt;0,Taostats_CSV!E646,""),""))</f>
        <v/>
      </c>
      <c r="D646" t="str">
        <f ca="1">IF(Q646,OFFSET(Taostats_CSV!$G$1,MATCH(K646&amp;D$1,Taostats_CSV!$X:$X,0)-1,0),IF(Taostats_CSV!F646="fee",IF(VALUE(Taostats_CSV!G646)&gt;0,Taostats_CSV!G646,""),""))</f>
        <v/>
      </c>
      <c r="E646" t="str">
        <f ca="1">IF(AND(Q646,P646&gt;0),OFFSET(Taostats_CSV!$E$1,MATCH(K646&amp;F$1,Taostats_CSV!$X:$X,0)-1,0),IF(LEN(F646)&gt;0,Taostats_CSV!E646,""))</f>
        <v>SN56</v>
      </c>
      <c r="F646" t="str">
        <f ca="1">TRIM(IF(AND(Q646,P646&gt;0),OFFSET(Taostats_CSV!$H$1,MATCH(K646&amp;F$1,Taostats_CSV!$X:$X,0)-1,0),IF(LEN(Taostats_CSV!H646)&gt;0,Taostats_CSV!H646,Taostats_CSV!R646)))</f>
        <v>0.231587049</v>
      </c>
      <c r="G646" t="str">
        <f ca="1">IF(AND(Q646,N646=1),OFFSET(Taostats_CSV!$E$1,MATCH(K646&amp;H$1,Taostats_CSV!$X:$X,0)-1,0),"")</f>
        <v/>
      </c>
      <c r="H646" t="str">
        <f ca="1">IF(AND(Q646,N646=1),OFFSET(Taostats_CSV!$G$1,MATCH(K646&amp;H$1,Taostats_CSV!$X:$X,0)-1,0),"")</f>
        <v/>
      </c>
      <c r="I646" t="str">
        <f ca="1">IF(AND(LEN(K646)=0,LEN(F646)&gt;0),"Income",IF(AND(O646&gt;0,P646&gt;0,C646&lt;&gt;E646),"Trade",IF(AND(NOT(Q646),Taostats_CSV!F646="fee"),'READ ME'!$C$5,"")))</f>
        <v>Income</v>
      </c>
      <c r="J646" t="str">
        <f ca="1">SUBSTITUTE(IF(LEN(I646)=0,Taostats_CSV!F646&amp;" "&amp;Taostats_CSV!J646,IF(I646="Cost","Extrinsic fee","")),"_"," ")</f>
        <v/>
      </c>
      <c r="K646" t="str">
        <f>TRIM(IF(LEN(Taostats_CSV!I646)&gt;0,Taostats_CSV!I646,""))</f>
        <v/>
      </c>
      <c r="L646">
        <f ca="1">IF(Taostats_CSV!E646&lt;&gt;"TAO",IF(LEN(F646)&gt;0,F646,IF(LEN(D646)&gt;0,D646,0))*Taostats_CSV!P646,"")</f>
        <v>7.8384634518833884</v>
      </c>
      <c r="M646" t="str">
        <f t="shared" ca="1" si="75"/>
        <v>USD</v>
      </c>
      <c r="N646">
        <f>COUNTIF(Taostats_CSV!$X:$X,Taostats_CSV!$I646&amp;N$1)</f>
        <v>0</v>
      </c>
      <c r="O646">
        <f>COUNTIF(Taostats_CSV!$X:$X,Taostats_CSV!$I646&amp;O$1)</f>
        <v>0</v>
      </c>
      <c r="P646">
        <f>COUNTIF(Taostats_CSV!$X:$X,Taostats_CSV!$I646&amp;P$1)</f>
        <v>0</v>
      </c>
      <c r="Q646" t="b">
        <f t="shared" si="76"/>
        <v>0</v>
      </c>
      <c r="R646" t="b">
        <f>IF(LEN(K646)&gt;0,COUNTIF($K$3:K646,K646),FALSE)</f>
        <v>0</v>
      </c>
      <c r="S646" t="b">
        <f>IF(Taostats_CSV!A646=Taostats_CSV!$A$2,TRUE,Taostats_CSV!G646+Taostats_CSV!H646+Taostats_CSV!R646=0)</f>
        <v>0</v>
      </c>
      <c r="T646" t="b">
        <f t="shared" si="77"/>
        <v>1</v>
      </c>
      <c r="U646" t="b" cm="1">
        <f t="array" aca="1" ref="U646" ca="1">AND(T646,OR(O646-N646&gt;1,P646&gt;1,ISERROR(A646:P646)))</f>
        <v>0</v>
      </c>
      <c r="W646" t="e">
        <f>MATCH(K646&amp;$W$2,Taostats_CSV!$X$3:$X$1167,0)</f>
        <v>#N/A</v>
      </c>
      <c r="X646" t="e">
        <f t="shared" ca="1" si="72"/>
        <v>#VALUE!</v>
      </c>
      <c r="Y646">
        <f t="shared" ca="1" si="73"/>
        <v>0.23158704899999999</v>
      </c>
      <c r="Z646" t="e">
        <f t="shared" ca="1" si="74"/>
        <v>#VALUE!</v>
      </c>
    </row>
    <row r="647" spans="1:26" x14ac:dyDescent="0.4">
      <c r="A647" t="str">
        <f>MID(Taostats_CSV!C647,6,2)&amp;"/"&amp;MID(Taostats_CSV!C647,9,2)&amp;"/"&amp;LEFT(Taostats_CSV!C647,4)&amp;" "&amp;MID(Taostats_CSV!C647,12,8)</f>
        <v>07/19/2025 23:59:48</v>
      </c>
      <c r="C647" t="str">
        <f ca="1">IF(Q647,OFFSET(Taostats_CSV!$E$1,MATCH(K647&amp;D$1,Taostats_CSV!$X:$X,0)-1,0),IF(Taostats_CSV!F647="fee",IF(VALUE(Taostats_CSV!G647)&gt;0,Taostats_CSV!E647,""),""))</f>
        <v/>
      </c>
      <c r="D647" t="str">
        <f ca="1">IF(Q647,OFFSET(Taostats_CSV!$G$1,MATCH(K647&amp;D$1,Taostats_CSV!$X:$X,0)-1,0),IF(Taostats_CSV!F647="fee",IF(VALUE(Taostats_CSV!G647)&gt;0,Taostats_CSV!G647,""),""))</f>
        <v/>
      </c>
      <c r="E647" t="str">
        <f ca="1">IF(AND(Q647,P647&gt;0),OFFSET(Taostats_CSV!$E$1,MATCH(K647&amp;F$1,Taostats_CSV!$X:$X,0)-1,0),IF(LEN(F647)&gt;0,Taostats_CSV!E647,""))</f>
        <v>SN64</v>
      </c>
      <c r="F647" t="str">
        <f ca="1">TRIM(IF(AND(Q647,P647&gt;0),OFFSET(Taostats_CSV!$H$1,MATCH(K647&amp;F$1,Taostats_CSV!$X:$X,0)-1,0),IF(LEN(Taostats_CSV!H647)&gt;0,Taostats_CSV!H647,Taostats_CSV!R647)))</f>
        <v>0.131938674</v>
      </c>
      <c r="G647" t="str">
        <f ca="1">IF(AND(Q647,N647=1),OFFSET(Taostats_CSV!$E$1,MATCH(K647&amp;H$1,Taostats_CSV!$X:$X,0)-1,0),"")</f>
        <v/>
      </c>
      <c r="H647" t="str">
        <f ca="1">IF(AND(Q647,N647=1),OFFSET(Taostats_CSV!$G$1,MATCH(K647&amp;H$1,Taostats_CSV!$X:$X,0)-1,0),"")</f>
        <v/>
      </c>
      <c r="I647" t="str">
        <f ca="1">IF(AND(LEN(K647)=0,LEN(F647)&gt;0),"Income",IF(AND(O647&gt;0,P647&gt;0,C647&lt;&gt;E647),"Trade",IF(AND(NOT(Q647),Taostats_CSV!F647="fee"),'READ ME'!$C$5,"")))</f>
        <v>Income</v>
      </c>
      <c r="J647" t="str">
        <f ca="1">SUBSTITUTE(IF(LEN(I647)=0,Taostats_CSV!F647&amp;" "&amp;Taostats_CSV!J647,IF(I647="Cost","Extrinsic fee","")),"_"," ")</f>
        <v/>
      </c>
      <c r="K647" t="str">
        <f>TRIM(IF(LEN(Taostats_CSV!I647)&gt;0,Taostats_CSV!I647,""))</f>
        <v/>
      </c>
      <c r="L647">
        <f ca="1">IF(Taostats_CSV!E647&lt;&gt;"TAO",IF(LEN(F647)&gt;0,F647,IF(LEN(D647)&gt;0,D647,0))*Taostats_CSV!P647,"")</f>
        <v>9.1781280505094056</v>
      </c>
      <c r="M647" t="str">
        <f t="shared" ca="1" si="75"/>
        <v>USD</v>
      </c>
      <c r="N647">
        <f>COUNTIF(Taostats_CSV!$X:$X,Taostats_CSV!$I647&amp;N$1)</f>
        <v>0</v>
      </c>
      <c r="O647">
        <f>COUNTIF(Taostats_CSV!$X:$X,Taostats_CSV!$I647&amp;O$1)</f>
        <v>0</v>
      </c>
      <c r="P647">
        <f>COUNTIF(Taostats_CSV!$X:$X,Taostats_CSV!$I647&amp;P$1)</f>
        <v>0</v>
      </c>
      <c r="Q647" t="b">
        <f t="shared" si="76"/>
        <v>0</v>
      </c>
      <c r="R647" t="b">
        <f>IF(LEN(K647)&gt;0,COUNTIF($K$3:K647,K647),FALSE)</f>
        <v>0</v>
      </c>
      <c r="S647" t="b">
        <f>IF(Taostats_CSV!A647=Taostats_CSV!$A$2,TRUE,Taostats_CSV!G647+Taostats_CSV!H647+Taostats_CSV!R647=0)</f>
        <v>0</v>
      </c>
      <c r="T647" t="b">
        <f t="shared" si="77"/>
        <v>1</v>
      </c>
      <c r="U647" t="b" cm="1">
        <f t="array" aca="1" ref="U647" ca="1">AND(T647,OR(O647-N647&gt;1,P647&gt;1,ISERROR(A647:P647)))</f>
        <v>0</v>
      </c>
      <c r="W647" t="e">
        <f>MATCH(K647&amp;$W$2,Taostats_CSV!$X$3:$X$1167,0)</f>
        <v>#N/A</v>
      </c>
      <c r="X647" t="e">
        <f t="shared" ca="1" si="72"/>
        <v>#VALUE!</v>
      </c>
      <c r="Y647">
        <f t="shared" ca="1" si="73"/>
        <v>0.13193867400000001</v>
      </c>
      <c r="Z647" t="e">
        <f t="shared" ca="1" si="74"/>
        <v>#VALUE!</v>
      </c>
    </row>
    <row r="648" spans="1:26" hidden="1" x14ac:dyDescent="0.4">
      <c r="A648" t="str">
        <f>MID(Taostats_CSV!C648,6,2)&amp;"/"&amp;MID(Taostats_CSV!C648,9,2)&amp;"/"&amp;LEFT(Taostats_CSV!C648,4)&amp;" "&amp;MID(Taostats_CSV!C648,12,8)</f>
        <v>07/19/2025 23:59:48</v>
      </c>
      <c r="C648" t="str">
        <f ca="1">IF(Q648,OFFSET(Taostats_CSV!$E$1,MATCH(K648&amp;D$1,Taostats_CSV!$X:$X,0)-1,0),IF(Taostats_CSV!F648="fee","",IF(VALUE(Taostats_CSV!G648)&gt;0,Taostats_CSV!E648,"")))</f>
        <v/>
      </c>
      <c r="D648" t="str">
        <f ca="1">IF(Q648,OFFSET(Taostats_CSV!$G$1,MATCH(K648&amp;D$1,Taostats_CSV!$X:$X,0)-1,0),IF(Taostats_CSV!F648="fee","",IF(VALUE(Taostats_CSV!G648)&gt;0,Taostats_CSV!G648,"")))</f>
        <v/>
      </c>
      <c r="E648" t="str">
        <f ca="1">IF(AND(Q648,P648&gt;0),OFFSET(Taostats_CSV!$E$1,MATCH(K648&amp;F$1,Taostats_CSV!$X:$X,0)-1,0),IF(LEN(F648)&gt;0,Taostats_CSV!E648,""))</f>
        <v>TAO</v>
      </c>
      <c r="F648" t="str">
        <f ca="1">TRIM(IF(AND(Q648,P648&gt;0),OFFSET(Taostats_CSV!$H$1,MATCH(K648&amp;F$1,Taostats_CSV!$X:$X,0)-1,0),IF(LEN(Taostats_CSV!H648)&gt;0,Taostats_CSV!H648,Taostats_CSV!R648)))</f>
        <v>0</v>
      </c>
      <c r="G648" t="str">
        <f ca="1">IF(AND(Q648,N648=1),OFFSET(Taostats_CSV!$E$1,MATCH(K648&amp;H$1,Taostats_CSV!$X:$X,0)-1,0),IF(Taostats_CSV!F648="fee",Taostats_CSV!E648,""))</f>
        <v/>
      </c>
      <c r="H648" t="str">
        <f ca="1">IF(AND(Q648,N648=1),OFFSET(Taostats_CSV!$G$1,MATCH(K648&amp;H$1,Taostats_CSV!$X:$X,0)-1,0),IF(Taostats_CSV!F648="fee",Taostats_CSV!G648,""))</f>
        <v/>
      </c>
      <c r="I648" t="str">
        <f ca="1">IF(AND(LEN(K648)=0,LEN(F648)&gt;0),"Income",IF(AND(O648&gt;0,P648&gt;0,C648&lt;&gt;E648),"Trade",IF(AND(NOT(Q648),Taostats_CSV!F648="fee"),'READ ME'!$C$5,"")))</f>
        <v>Income</v>
      </c>
      <c r="J648" t="str">
        <f ca="1">SUBSTITUTE(IF(LEN(I648)=0,Taostats_CSV!F648&amp;" "&amp;Taostats_CSV!J648,IF(I648="Cost","Extrinsic fee","")),"_"," ")</f>
        <v/>
      </c>
      <c r="K648" t="str">
        <f>TRIM(IF(LEN(Taostats_CSV!I648)&gt;0,Taostats_CSV!I648,""))</f>
        <v/>
      </c>
      <c r="L648" t="str">
        <f>IF(Taostats_CSV!E648&lt;&gt;"TAO",IF(LEN(F648)&gt;0,F648,IF(LEN(D648)&gt;0,D648,0))*Taostats_CSV!P648,"")</f>
        <v/>
      </c>
      <c r="M648" t="str">
        <f t="shared" si="75"/>
        <v/>
      </c>
      <c r="N648">
        <f>COUNTIF(Taostats_CSV!$X:$X,Taostats_CSV!$I648&amp;N$1)</f>
        <v>0</v>
      </c>
      <c r="O648">
        <f>COUNTIF(Taostats_CSV!$X:$X,Taostats_CSV!$I648&amp;O$1)</f>
        <v>0</v>
      </c>
      <c r="P648">
        <f>COUNTIF(Taostats_CSV!$X:$X,Taostats_CSV!$I648&amp;P$1)</f>
        <v>0</v>
      </c>
      <c r="Q648" t="b">
        <f t="shared" si="76"/>
        <v>0</v>
      </c>
      <c r="R648" t="b">
        <f>IF(LEN(K648)&gt;0,COUNTIF($K$3:K648,K648),FALSE)</f>
        <v>0</v>
      </c>
      <c r="S648" t="b">
        <f>IF(Taostats_CSV!A648=Taostats_CSV!$A$2,TRUE,Taostats_CSV!G648+Taostats_CSV!H648+Taostats_CSV!R648=0)</f>
        <v>1</v>
      </c>
      <c r="T648" t="b">
        <f t="shared" si="77"/>
        <v>0</v>
      </c>
      <c r="U648" t="b" cm="1">
        <f t="array" aca="1" ref="U648" ca="1">AND(T648,OR(O648-N648&gt;1,P648&gt;1,ISERROR(A648:P648)))</f>
        <v>0</v>
      </c>
      <c r="W648" t="e">
        <f>MATCH(K648&amp;$W$2,Taostats_CSV!$X$3:$X$1167,0)</f>
        <v>#N/A</v>
      </c>
      <c r="X648" t="e">
        <f t="shared" ca="1" si="72"/>
        <v>#VALUE!</v>
      </c>
      <c r="Y648">
        <f t="shared" ca="1" si="73"/>
        <v>0</v>
      </c>
      <c r="Z648" t="e">
        <f t="shared" ca="1" si="74"/>
        <v>#VALUE!</v>
      </c>
    </row>
    <row r="649" spans="1:26" x14ac:dyDescent="0.4">
      <c r="A649" t="str">
        <f>MID(Taostats_CSV!C649,6,2)&amp;"/"&amp;MID(Taostats_CSV!C649,9,2)&amp;"/"&amp;LEFT(Taostats_CSV!C649,4)&amp;" "&amp;MID(Taostats_CSV!C649,12,8)</f>
        <v>07/20/2025 23:59:48</v>
      </c>
      <c r="C649" t="str">
        <f ca="1">IF(Q649,OFFSET(Taostats_CSV!$E$1,MATCH(K649&amp;D$1,Taostats_CSV!$X:$X,0)-1,0),IF(Taostats_CSV!F649="fee",IF(VALUE(Taostats_CSV!G649)&gt;0,Taostats_CSV!E649,""),""))</f>
        <v/>
      </c>
      <c r="D649" t="str">
        <f ca="1">IF(Q649,OFFSET(Taostats_CSV!$G$1,MATCH(K649&amp;D$1,Taostats_CSV!$X:$X,0)-1,0),IF(Taostats_CSV!F649="fee",IF(VALUE(Taostats_CSV!G649)&gt;0,Taostats_CSV!G649,""),""))</f>
        <v/>
      </c>
      <c r="E649" t="str">
        <f ca="1">IF(AND(Q649,P649&gt;0),OFFSET(Taostats_CSV!$E$1,MATCH(K649&amp;F$1,Taostats_CSV!$X:$X,0)-1,0),IF(LEN(F649)&gt;0,Taostats_CSV!E649,""))</f>
        <v>SN3</v>
      </c>
      <c r="F649" t="str">
        <f ca="1">TRIM(IF(AND(Q649,P649&gt;0),OFFSET(Taostats_CSV!$H$1,MATCH(K649&amp;F$1,Taostats_CSV!$X:$X,0)-1,0),IF(LEN(Taostats_CSV!H649)&gt;0,Taostats_CSV!H649,Taostats_CSV!R649)))</f>
        <v>0.370706379</v>
      </c>
      <c r="G649" t="str">
        <f ca="1">IF(AND(Q649,N649=1),OFFSET(Taostats_CSV!$E$1,MATCH(K649&amp;H$1,Taostats_CSV!$X:$X,0)-1,0),"")</f>
        <v/>
      </c>
      <c r="H649" t="str">
        <f ca="1">IF(AND(Q649,N649=1),OFFSET(Taostats_CSV!$G$1,MATCH(K649&amp;H$1,Taostats_CSV!$X:$X,0)-1,0),"")</f>
        <v/>
      </c>
      <c r="I649" t="str">
        <f ca="1">IF(AND(LEN(K649)=0,LEN(F649)&gt;0),"Income",IF(AND(O649&gt;0,P649&gt;0,C649&lt;&gt;E649),"Trade",IF(AND(NOT(Q649),Taostats_CSV!F649="fee"),'READ ME'!$C$5,"")))</f>
        <v>Income</v>
      </c>
      <c r="J649" t="str">
        <f ca="1">SUBSTITUTE(IF(LEN(I649)=0,Taostats_CSV!F649&amp;" "&amp;Taostats_CSV!J649,IF(I649="Cost","Extrinsic fee","")),"_"," ")</f>
        <v/>
      </c>
      <c r="K649" t="str">
        <f>TRIM(IF(LEN(Taostats_CSV!I649)&gt;0,Taostats_CSV!I649,""))</f>
        <v/>
      </c>
      <c r="L649">
        <f ca="1">IF(Taostats_CSV!E649&lt;&gt;"TAO",IF(LEN(F649)&gt;0,F649,IF(LEN(D649)&gt;0,D649,0))*Taostats_CSV!P649,"")</f>
        <v>11.48707158901076</v>
      </c>
      <c r="M649" t="str">
        <f t="shared" ca="1" si="75"/>
        <v>USD</v>
      </c>
      <c r="N649">
        <f>COUNTIF(Taostats_CSV!$X:$X,Taostats_CSV!$I649&amp;N$1)</f>
        <v>0</v>
      </c>
      <c r="O649">
        <f>COUNTIF(Taostats_CSV!$X:$X,Taostats_CSV!$I649&amp;O$1)</f>
        <v>0</v>
      </c>
      <c r="P649">
        <f>COUNTIF(Taostats_CSV!$X:$X,Taostats_CSV!$I649&amp;P$1)</f>
        <v>0</v>
      </c>
      <c r="Q649" t="b">
        <f t="shared" si="76"/>
        <v>0</v>
      </c>
      <c r="R649" t="b">
        <f>IF(LEN(K649)&gt;0,COUNTIF($K$3:K649,K649),FALSE)</f>
        <v>0</v>
      </c>
      <c r="S649" t="b">
        <f>IF(Taostats_CSV!A649=Taostats_CSV!$A$2,TRUE,Taostats_CSV!G649+Taostats_CSV!H649+Taostats_CSV!R649=0)</f>
        <v>0</v>
      </c>
      <c r="T649" t="b">
        <f t="shared" si="77"/>
        <v>1</v>
      </c>
      <c r="U649" t="b" cm="1">
        <f t="array" aca="1" ref="U649" ca="1">AND(T649,OR(O649-N649&gt;1,P649&gt;1,ISERROR(A649:P649)))</f>
        <v>0</v>
      </c>
      <c r="W649" t="e">
        <f>MATCH(K649&amp;$W$2,Taostats_CSV!$X$3:$X$1167,0)</f>
        <v>#N/A</v>
      </c>
      <c r="X649" t="e">
        <f t="shared" ca="1" si="72"/>
        <v>#VALUE!</v>
      </c>
      <c r="Y649">
        <f t="shared" ca="1" si="73"/>
        <v>0.37070637899999997</v>
      </c>
      <c r="Z649" t="e">
        <f t="shared" ca="1" si="74"/>
        <v>#VALUE!</v>
      </c>
    </row>
    <row r="650" spans="1:26" x14ac:dyDescent="0.4">
      <c r="A650" t="str">
        <f>MID(Taostats_CSV!C650,6,2)&amp;"/"&amp;MID(Taostats_CSV!C650,9,2)&amp;"/"&amp;LEFT(Taostats_CSV!C650,4)&amp;" "&amp;MID(Taostats_CSV!C650,12,8)</f>
        <v>07/20/2025 23:59:48</v>
      </c>
      <c r="C650" t="str">
        <f ca="1">IF(Q650,OFFSET(Taostats_CSV!$E$1,MATCH(K650&amp;D$1,Taostats_CSV!$X:$X,0)-1,0),IF(Taostats_CSV!F650="fee",IF(VALUE(Taostats_CSV!G650)&gt;0,Taostats_CSV!E650,""),""))</f>
        <v/>
      </c>
      <c r="D650" t="str">
        <f ca="1">IF(Q650,OFFSET(Taostats_CSV!$G$1,MATCH(K650&amp;D$1,Taostats_CSV!$X:$X,0)-1,0),IF(Taostats_CSV!F650="fee",IF(VALUE(Taostats_CSV!G650)&gt;0,Taostats_CSV!G650,""),""))</f>
        <v/>
      </c>
      <c r="E650" t="str">
        <f ca="1">IF(AND(Q650,P650&gt;0),OFFSET(Taostats_CSV!$E$1,MATCH(K650&amp;F$1,Taostats_CSV!$X:$X,0)-1,0),IF(LEN(F650)&gt;0,Taostats_CSV!E650,""))</f>
        <v>SN4</v>
      </c>
      <c r="F650" t="str">
        <f ca="1">TRIM(IF(AND(Q650,P650&gt;0),OFFSET(Taostats_CSV!$H$1,MATCH(K650&amp;F$1,Taostats_CSV!$X:$X,0)-1,0),IF(LEN(Taostats_CSV!H650)&gt;0,Taostats_CSV!H650,Taostats_CSV!R650)))</f>
        <v>0.44978946</v>
      </c>
      <c r="G650" t="str">
        <f ca="1">IF(AND(Q650,N650=1),OFFSET(Taostats_CSV!$E$1,MATCH(K650&amp;H$1,Taostats_CSV!$X:$X,0)-1,0),"")</f>
        <v/>
      </c>
      <c r="H650" t="str">
        <f ca="1">IF(AND(Q650,N650=1),OFFSET(Taostats_CSV!$G$1,MATCH(K650&amp;H$1,Taostats_CSV!$X:$X,0)-1,0),"")</f>
        <v/>
      </c>
      <c r="I650" t="str">
        <f ca="1">IF(AND(LEN(K650)=0,LEN(F650)&gt;0),"Income",IF(AND(O650&gt;0,P650&gt;0,C650&lt;&gt;E650),"Trade",IF(AND(NOT(Q650),Taostats_CSV!F650="fee"),'READ ME'!$C$5,"")))</f>
        <v>Income</v>
      </c>
      <c r="J650" t="str">
        <f ca="1">SUBSTITUTE(IF(LEN(I650)=0,Taostats_CSV!F650&amp;" "&amp;Taostats_CSV!J650,IF(I650="Cost","Extrinsic fee","")),"_"," ")</f>
        <v/>
      </c>
      <c r="K650" t="str">
        <f>TRIM(IF(LEN(Taostats_CSV!I650)&gt;0,Taostats_CSV!I650,""))</f>
        <v/>
      </c>
      <c r="L650">
        <f ca="1">IF(Taostats_CSV!E650&lt;&gt;"TAO",IF(LEN(F650)&gt;0,F650,IF(LEN(D650)&gt;0,D650,0))*Taostats_CSV!P650,"")</f>
        <v>11.954954709480427</v>
      </c>
      <c r="M650" t="str">
        <f t="shared" ca="1" si="75"/>
        <v>USD</v>
      </c>
      <c r="N650">
        <f>COUNTIF(Taostats_CSV!$X:$X,Taostats_CSV!$I650&amp;N$1)</f>
        <v>0</v>
      </c>
      <c r="O650">
        <f>COUNTIF(Taostats_CSV!$X:$X,Taostats_CSV!$I650&amp;O$1)</f>
        <v>0</v>
      </c>
      <c r="P650">
        <f>COUNTIF(Taostats_CSV!$X:$X,Taostats_CSV!$I650&amp;P$1)</f>
        <v>0</v>
      </c>
      <c r="Q650" t="b">
        <f t="shared" si="76"/>
        <v>0</v>
      </c>
      <c r="R650" t="b">
        <f>IF(LEN(K650)&gt;0,COUNTIF($K$3:K650,K650),FALSE)</f>
        <v>0</v>
      </c>
      <c r="S650" t="b">
        <f>IF(Taostats_CSV!A650=Taostats_CSV!$A$2,TRUE,Taostats_CSV!G650+Taostats_CSV!H650+Taostats_CSV!R650=0)</f>
        <v>0</v>
      </c>
      <c r="T650" t="b">
        <f t="shared" si="77"/>
        <v>1</v>
      </c>
      <c r="U650" t="b" cm="1">
        <f t="array" aca="1" ref="U650" ca="1">AND(T650,OR(O650-N650&gt;1,P650&gt;1,ISERROR(A650:P650)))</f>
        <v>0</v>
      </c>
      <c r="W650" t="e">
        <f>MATCH(K650&amp;$W$2,Taostats_CSV!$X$3:$X$1167,0)</f>
        <v>#N/A</v>
      </c>
      <c r="X650" t="e">
        <f t="shared" ca="1" si="72"/>
        <v>#VALUE!</v>
      </c>
      <c r="Y650">
        <f t="shared" ca="1" si="73"/>
        <v>0.44978945999999997</v>
      </c>
      <c r="Z650" t="e">
        <f t="shared" ca="1" si="74"/>
        <v>#VALUE!</v>
      </c>
    </row>
    <row r="651" spans="1:26" x14ac:dyDescent="0.4">
      <c r="A651" t="str">
        <f>MID(Taostats_CSV!C651,6,2)&amp;"/"&amp;MID(Taostats_CSV!C651,9,2)&amp;"/"&amp;LEFT(Taostats_CSV!C651,4)&amp;" "&amp;MID(Taostats_CSV!C651,12,8)</f>
        <v>07/20/2025 23:59:48</v>
      </c>
      <c r="C651" t="str">
        <f ca="1">IF(Q651,OFFSET(Taostats_CSV!$E$1,MATCH(K651&amp;D$1,Taostats_CSV!$X:$X,0)-1,0),IF(Taostats_CSV!F651="fee",IF(VALUE(Taostats_CSV!G651)&gt;0,Taostats_CSV!E651,""),""))</f>
        <v/>
      </c>
      <c r="D651" t="str">
        <f ca="1">IF(Q651,OFFSET(Taostats_CSV!$G$1,MATCH(K651&amp;D$1,Taostats_CSV!$X:$X,0)-1,0),IF(Taostats_CSV!F651="fee",IF(VALUE(Taostats_CSV!G651)&gt;0,Taostats_CSV!G651,""),""))</f>
        <v/>
      </c>
      <c r="E651" t="str">
        <f ca="1">IF(AND(Q651,P651&gt;0),OFFSET(Taostats_CSV!$E$1,MATCH(K651&amp;F$1,Taostats_CSV!$X:$X,0)-1,0),IF(LEN(F651)&gt;0,Taostats_CSV!E651,""))</f>
        <v>SN56</v>
      </c>
      <c r="F651" t="str">
        <f ca="1">TRIM(IF(AND(Q651,P651&gt;0),OFFSET(Taostats_CSV!$H$1,MATCH(K651&amp;F$1,Taostats_CSV!$X:$X,0)-1,0),IF(LEN(Taostats_CSV!H651)&gt;0,Taostats_CSV!H651,Taostats_CSV!R651)))</f>
        <v>0.229543166</v>
      </c>
      <c r="G651" t="str">
        <f ca="1">IF(AND(Q651,N651=1),OFFSET(Taostats_CSV!$E$1,MATCH(K651&amp;H$1,Taostats_CSV!$X:$X,0)-1,0),"")</f>
        <v/>
      </c>
      <c r="H651" t="str">
        <f ca="1">IF(AND(Q651,N651=1),OFFSET(Taostats_CSV!$G$1,MATCH(K651&amp;H$1,Taostats_CSV!$X:$X,0)-1,0),"")</f>
        <v/>
      </c>
      <c r="I651" t="str">
        <f ca="1">IF(AND(LEN(K651)=0,LEN(F651)&gt;0),"Income",IF(AND(O651&gt;0,P651&gt;0,C651&lt;&gt;E651),"Trade",IF(AND(NOT(Q651),Taostats_CSV!F651="fee"),'READ ME'!$C$5,"")))</f>
        <v>Income</v>
      </c>
      <c r="J651" t="str">
        <f ca="1">SUBSTITUTE(IF(LEN(I651)=0,Taostats_CSV!F651&amp;" "&amp;Taostats_CSV!J651,IF(I651="Cost","Extrinsic fee","")),"_"," ")</f>
        <v/>
      </c>
      <c r="K651" t="str">
        <f>TRIM(IF(LEN(Taostats_CSV!I651)&gt;0,Taostats_CSV!I651,""))</f>
        <v/>
      </c>
      <c r="L651">
        <f ca="1">IF(Taostats_CSV!E651&lt;&gt;"TAO",IF(LEN(F651)&gt;0,F651,IF(LEN(D651)&gt;0,D651,0))*Taostats_CSV!P651,"")</f>
        <v>7.6917178978146055</v>
      </c>
      <c r="M651" t="str">
        <f t="shared" ca="1" si="75"/>
        <v>USD</v>
      </c>
      <c r="N651">
        <f>COUNTIF(Taostats_CSV!$X:$X,Taostats_CSV!$I651&amp;N$1)</f>
        <v>0</v>
      </c>
      <c r="O651">
        <f>COUNTIF(Taostats_CSV!$X:$X,Taostats_CSV!$I651&amp;O$1)</f>
        <v>0</v>
      </c>
      <c r="P651">
        <f>COUNTIF(Taostats_CSV!$X:$X,Taostats_CSV!$I651&amp;P$1)</f>
        <v>0</v>
      </c>
      <c r="Q651" t="b">
        <f t="shared" si="76"/>
        <v>0</v>
      </c>
      <c r="R651" t="b">
        <f>IF(LEN(K651)&gt;0,COUNTIF($K$3:K651,K651),FALSE)</f>
        <v>0</v>
      </c>
      <c r="S651" t="b">
        <f>IF(Taostats_CSV!A651=Taostats_CSV!$A$2,TRUE,Taostats_CSV!G651+Taostats_CSV!H651+Taostats_CSV!R651=0)</f>
        <v>0</v>
      </c>
      <c r="T651" t="b">
        <f t="shared" si="77"/>
        <v>1</v>
      </c>
      <c r="U651" t="b" cm="1">
        <f t="array" aca="1" ref="U651" ca="1">AND(T651,OR(O651-N651&gt;1,P651&gt;1,ISERROR(A651:P651)))</f>
        <v>0</v>
      </c>
      <c r="W651" t="e">
        <f>MATCH(K651&amp;$W$2,Taostats_CSV!$X$3:$X$1167,0)</f>
        <v>#N/A</v>
      </c>
      <c r="X651" t="e">
        <f t="shared" ca="1" si="72"/>
        <v>#VALUE!</v>
      </c>
      <c r="Y651">
        <f t="shared" ca="1" si="73"/>
        <v>0.22954316599999999</v>
      </c>
      <c r="Z651" t="e">
        <f t="shared" ca="1" si="74"/>
        <v>#VALUE!</v>
      </c>
    </row>
    <row r="652" spans="1:26" x14ac:dyDescent="0.4">
      <c r="A652" t="str">
        <f>MID(Taostats_CSV!C652,6,2)&amp;"/"&amp;MID(Taostats_CSV!C652,9,2)&amp;"/"&amp;LEFT(Taostats_CSV!C652,4)&amp;" "&amp;MID(Taostats_CSV!C652,12,8)</f>
        <v>07/20/2025 23:59:48</v>
      </c>
      <c r="C652" t="str">
        <f ca="1">IF(Q652,OFFSET(Taostats_CSV!$E$1,MATCH(K652&amp;D$1,Taostats_CSV!$X:$X,0)-1,0),IF(Taostats_CSV!F652="fee",IF(VALUE(Taostats_CSV!G652)&gt;0,Taostats_CSV!E652,""),""))</f>
        <v/>
      </c>
      <c r="D652" t="str">
        <f ca="1">IF(Q652,OFFSET(Taostats_CSV!$G$1,MATCH(K652&amp;D$1,Taostats_CSV!$X:$X,0)-1,0),IF(Taostats_CSV!F652="fee",IF(VALUE(Taostats_CSV!G652)&gt;0,Taostats_CSV!G652,""),""))</f>
        <v/>
      </c>
      <c r="E652" t="str">
        <f ca="1">IF(AND(Q652,P652&gt;0),OFFSET(Taostats_CSV!$E$1,MATCH(K652&amp;F$1,Taostats_CSV!$X:$X,0)-1,0),IF(LEN(F652)&gt;0,Taostats_CSV!E652,""))</f>
        <v>SN64</v>
      </c>
      <c r="F652" t="str">
        <f ca="1">TRIM(IF(AND(Q652,P652&gt;0),OFFSET(Taostats_CSV!$H$1,MATCH(K652&amp;F$1,Taostats_CSV!$X:$X,0)-1,0),IF(LEN(Taostats_CSV!H652)&gt;0,Taostats_CSV!H652,Taostats_CSV!R652)))</f>
        <v>0.132487477</v>
      </c>
      <c r="G652" t="str">
        <f ca="1">IF(AND(Q652,N652=1),OFFSET(Taostats_CSV!$E$1,MATCH(K652&amp;H$1,Taostats_CSV!$X:$X,0)-1,0),"")</f>
        <v/>
      </c>
      <c r="H652" t="str">
        <f ca="1">IF(AND(Q652,N652=1),OFFSET(Taostats_CSV!$G$1,MATCH(K652&amp;H$1,Taostats_CSV!$X:$X,0)-1,0),"")</f>
        <v/>
      </c>
      <c r="I652" t="str">
        <f ca="1">IF(AND(LEN(K652)=0,LEN(F652)&gt;0),"Income",IF(AND(O652&gt;0,P652&gt;0,C652&lt;&gt;E652),"Trade",IF(AND(NOT(Q652),Taostats_CSV!F652="fee"),'READ ME'!$C$5,"")))</f>
        <v>Income</v>
      </c>
      <c r="J652" t="str">
        <f ca="1">SUBSTITUTE(IF(LEN(I652)=0,Taostats_CSV!F652&amp;" "&amp;Taostats_CSV!J652,IF(I652="Cost","Extrinsic fee","")),"_"," ")</f>
        <v/>
      </c>
      <c r="K652" t="str">
        <f>TRIM(IF(LEN(Taostats_CSV!I652)&gt;0,Taostats_CSV!I652,""))</f>
        <v/>
      </c>
      <c r="L652">
        <f ca="1">IF(Taostats_CSV!E652&lt;&gt;"TAO",IF(LEN(F652)&gt;0,F652,IF(LEN(D652)&gt;0,D652,0))*Taostats_CSV!P652,"")</f>
        <v>8.9702333292795426</v>
      </c>
      <c r="M652" t="str">
        <f t="shared" ca="1" si="75"/>
        <v>USD</v>
      </c>
      <c r="N652">
        <f>COUNTIF(Taostats_CSV!$X:$X,Taostats_CSV!$I652&amp;N$1)</f>
        <v>0</v>
      </c>
      <c r="O652">
        <f>COUNTIF(Taostats_CSV!$X:$X,Taostats_CSV!$I652&amp;O$1)</f>
        <v>0</v>
      </c>
      <c r="P652">
        <f>COUNTIF(Taostats_CSV!$X:$X,Taostats_CSV!$I652&amp;P$1)</f>
        <v>0</v>
      </c>
      <c r="Q652" t="b">
        <f t="shared" si="76"/>
        <v>0</v>
      </c>
      <c r="R652" t="b">
        <f>IF(LEN(K652)&gt;0,COUNTIF($K$3:K652,K652),FALSE)</f>
        <v>0</v>
      </c>
      <c r="S652" t="b">
        <f>IF(Taostats_CSV!A652=Taostats_CSV!$A$2,TRUE,Taostats_CSV!G652+Taostats_CSV!H652+Taostats_CSV!R652=0)</f>
        <v>0</v>
      </c>
      <c r="T652" t="b">
        <f t="shared" si="77"/>
        <v>1</v>
      </c>
      <c r="U652" t="b" cm="1">
        <f t="array" aca="1" ref="U652" ca="1">AND(T652,OR(O652-N652&gt;1,P652&gt;1,ISERROR(A652:P652)))</f>
        <v>0</v>
      </c>
      <c r="W652" t="e">
        <f>MATCH(K652&amp;$W$2,Taostats_CSV!$X$3:$X$1167,0)</f>
        <v>#N/A</v>
      </c>
      <c r="X652" t="e">
        <f t="shared" ca="1" si="72"/>
        <v>#VALUE!</v>
      </c>
      <c r="Y652">
        <f t="shared" ca="1" si="73"/>
        <v>0.13248747699999999</v>
      </c>
      <c r="Z652" t="e">
        <f t="shared" ca="1" si="74"/>
        <v>#VALUE!</v>
      </c>
    </row>
    <row r="653" spans="1:26" hidden="1" x14ac:dyDescent="0.4">
      <c r="A653" t="str">
        <f>MID(Taostats_CSV!C653,6,2)&amp;"/"&amp;MID(Taostats_CSV!C653,9,2)&amp;"/"&amp;LEFT(Taostats_CSV!C653,4)&amp;" "&amp;MID(Taostats_CSV!C653,12,8)</f>
        <v>07/20/2025 23:59:48</v>
      </c>
      <c r="C653" t="str">
        <f ca="1">IF(Q653,OFFSET(Taostats_CSV!$E$1,MATCH(K653&amp;D$1,Taostats_CSV!$X:$X,0)-1,0),IF(Taostats_CSV!F653="fee","",IF(VALUE(Taostats_CSV!G653)&gt;0,Taostats_CSV!E653,"")))</f>
        <v/>
      </c>
      <c r="D653" t="str">
        <f ca="1">IF(Q653,OFFSET(Taostats_CSV!$G$1,MATCH(K653&amp;D$1,Taostats_CSV!$X:$X,0)-1,0),IF(Taostats_CSV!F653="fee","",IF(VALUE(Taostats_CSV!G653)&gt;0,Taostats_CSV!G653,"")))</f>
        <v/>
      </c>
      <c r="E653" t="str">
        <f ca="1">IF(AND(Q653,P653&gt;0),OFFSET(Taostats_CSV!$E$1,MATCH(K653&amp;F$1,Taostats_CSV!$X:$X,0)-1,0),IF(LEN(F653)&gt;0,Taostats_CSV!E653,""))</f>
        <v>TAO</v>
      </c>
      <c r="F653" t="str">
        <f ca="1">TRIM(IF(AND(Q653,P653&gt;0),OFFSET(Taostats_CSV!$H$1,MATCH(K653&amp;F$1,Taostats_CSV!$X:$X,0)-1,0),IF(LEN(Taostats_CSV!H653)&gt;0,Taostats_CSV!H653,Taostats_CSV!R653)))</f>
        <v>0</v>
      </c>
      <c r="G653" t="str">
        <f ca="1">IF(AND(Q653,N653=1),OFFSET(Taostats_CSV!$E$1,MATCH(K653&amp;H$1,Taostats_CSV!$X:$X,0)-1,0),IF(Taostats_CSV!F653="fee",Taostats_CSV!E653,""))</f>
        <v/>
      </c>
      <c r="H653" t="str">
        <f ca="1">IF(AND(Q653,N653=1),OFFSET(Taostats_CSV!$G$1,MATCH(K653&amp;H$1,Taostats_CSV!$X:$X,0)-1,0),IF(Taostats_CSV!F653="fee",Taostats_CSV!G653,""))</f>
        <v/>
      </c>
      <c r="I653" t="str">
        <f ca="1">IF(AND(LEN(K653)=0,LEN(F653)&gt;0),"Income",IF(AND(O653&gt;0,P653&gt;0,C653&lt;&gt;E653),"Trade",IF(AND(NOT(Q653),Taostats_CSV!F653="fee"),'READ ME'!$C$5,"")))</f>
        <v>Income</v>
      </c>
      <c r="J653" t="str">
        <f ca="1">SUBSTITUTE(IF(LEN(I653)=0,Taostats_CSV!F653&amp;" "&amp;Taostats_CSV!J653,IF(I653="Cost","Extrinsic fee","")),"_"," ")</f>
        <v/>
      </c>
      <c r="K653" t="str">
        <f>TRIM(IF(LEN(Taostats_CSV!I653)&gt;0,Taostats_CSV!I653,""))</f>
        <v/>
      </c>
      <c r="L653" t="str">
        <f>IF(Taostats_CSV!E653&lt;&gt;"TAO",IF(LEN(F653)&gt;0,F653,IF(LEN(D653)&gt;0,D653,0))*Taostats_CSV!P653,"")</f>
        <v/>
      </c>
      <c r="M653" t="str">
        <f t="shared" si="75"/>
        <v/>
      </c>
      <c r="N653">
        <f>COUNTIF(Taostats_CSV!$X:$X,Taostats_CSV!$I653&amp;N$1)</f>
        <v>0</v>
      </c>
      <c r="O653">
        <f>COUNTIF(Taostats_CSV!$X:$X,Taostats_CSV!$I653&amp;O$1)</f>
        <v>0</v>
      </c>
      <c r="P653">
        <f>COUNTIF(Taostats_CSV!$X:$X,Taostats_CSV!$I653&amp;P$1)</f>
        <v>0</v>
      </c>
      <c r="Q653" t="b">
        <f t="shared" si="76"/>
        <v>0</v>
      </c>
      <c r="R653" t="b">
        <f>IF(LEN(K653)&gt;0,COUNTIF($K$3:K653,K653),FALSE)</f>
        <v>0</v>
      </c>
      <c r="S653" t="b">
        <f>IF(Taostats_CSV!A653=Taostats_CSV!$A$2,TRUE,Taostats_CSV!G653+Taostats_CSV!H653+Taostats_CSV!R653=0)</f>
        <v>1</v>
      </c>
      <c r="T653" t="b">
        <f t="shared" si="77"/>
        <v>0</v>
      </c>
      <c r="U653" t="b" cm="1">
        <f t="array" aca="1" ref="U653" ca="1">AND(T653,OR(O653-N653&gt;1,P653&gt;1,ISERROR(A653:P653)))</f>
        <v>0</v>
      </c>
      <c r="W653" t="e">
        <f>MATCH(K653&amp;$W$2,Taostats_CSV!$X$3:$X$1167,0)</f>
        <v>#N/A</v>
      </c>
      <c r="X653" t="e">
        <f t="shared" ca="1" si="72"/>
        <v>#VALUE!</v>
      </c>
      <c r="Y653">
        <f t="shared" ca="1" si="73"/>
        <v>0</v>
      </c>
      <c r="Z653" t="e">
        <f t="shared" ca="1" si="74"/>
        <v>#VALUE!</v>
      </c>
    </row>
    <row r="654" spans="1:26" x14ac:dyDescent="0.4">
      <c r="A654" t="str">
        <f>MID(Taostats_CSV!C654,6,2)&amp;"/"&amp;MID(Taostats_CSV!C654,9,2)&amp;"/"&amp;LEFT(Taostats_CSV!C654,4)&amp;" "&amp;MID(Taostats_CSV!C654,12,8)</f>
        <v>07/21/2025 23:59:48</v>
      </c>
      <c r="C654" t="str">
        <f ca="1">IF(Q654,OFFSET(Taostats_CSV!$E$1,MATCH(K654&amp;D$1,Taostats_CSV!$X:$X,0)-1,0),IF(Taostats_CSV!F654="fee",IF(VALUE(Taostats_CSV!G654)&gt;0,Taostats_CSV!E654,""),""))</f>
        <v/>
      </c>
      <c r="D654" t="str">
        <f ca="1">IF(Q654,OFFSET(Taostats_CSV!$G$1,MATCH(K654&amp;D$1,Taostats_CSV!$X:$X,0)-1,0),IF(Taostats_CSV!F654="fee",IF(VALUE(Taostats_CSV!G654)&gt;0,Taostats_CSV!G654,""),""))</f>
        <v/>
      </c>
      <c r="E654" t="str">
        <f ca="1">IF(AND(Q654,P654&gt;0),OFFSET(Taostats_CSV!$E$1,MATCH(K654&amp;F$1,Taostats_CSV!$X:$X,0)-1,0),IF(LEN(F654)&gt;0,Taostats_CSV!E654,""))</f>
        <v>SN3</v>
      </c>
      <c r="F654" t="str">
        <f ca="1">TRIM(IF(AND(Q654,P654&gt;0),OFFSET(Taostats_CSV!$H$1,MATCH(K654&amp;F$1,Taostats_CSV!$X:$X,0)-1,0),IF(LEN(Taostats_CSV!H654)&gt;0,Taostats_CSV!H654,Taostats_CSV!R654)))</f>
        <v>0.370138431</v>
      </c>
      <c r="G654" t="str">
        <f ca="1">IF(AND(Q654,N654=1),OFFSET(Taostats_CSV!$E$1,MATCH(K654&amp;H$1,Taostats_CSV!$X:$X,0)-1,0),"")</f>
        <v/>
      </c>
      <c r="H654" t="str">
        <f ca="1">IF(AND(Q654,N654=1),OFFSET(Taostats_CSV!$G$1,MATCH(K654&amp;H$1,Taostats_CSV!$X:$X,0)-1,0),"")</f>
        <v/>
      </c>
      <c r="I654" t="str">
        <f ca="1">IF(AND(LEN(K654)=0,LEN(F654)&gt;0),"Income",IF(AND(O654&gt;0,P654&gt;0,C654&lt;&gt;E654),"Trade",IF(AND(NOT(Q654),Taostats_CSV!F654="fee"),'READ ME'!$C$5,"")))</f>
        <v>Income</v>
      </c>
      <c r="J654" t="str">
        <f ca="1">SUBSTITUTE(IF(LEN(I654)=0,Taostats_CSV!F654&amp;" "&amp;Taostats_CSV!J654,IF(I654="Cost","Extrinsic fee","")),"_"," ")</f>
        <v/>
      </c>
      <c r="K654" t="str">
        <f>TRIM(IF(LEN(Taostats_CSV!I654)&gt;0,Taostats_CSV!I654,""))</f>
        <v/>
      </c>
      <c r="L654">
        <f ca="1">IF(Taostats_CSV!E654&lt;&gt;"TAO",IF(LEN(F654)&gt;0,F654,IF(LEN(D654)&gt;0,D654,0))*Taostats_CSV!P654,"")</f>
        <v>12.400713042952065</v>
      </c>
      <c r="M654" t="str">
        <f t="shared" ca="1" si="75"/>
        <v>USD</v>
      </c>
      <c r="N654">
        <f>COUNTIF(Taostats_CSV!$X:$X,Taostats_CSV!$I654&amp;N$1)</f>
        <v>0</v>
      </c>
      <c r="O654">
        <f>COUNTIF(Taostats_CSV!$X:$X,Taostats_CSV!$I654&amp;O$1)</f>
        <v>0</v>
      </c>
      <c r="P654">
        <f>COUNTIF(Taostats_CSV!$X:$X,Taostats_CSV!$I654&amp;P$1)</f>
        <v>0</v>
      </c>
      <c r="Q654" t="b">
        <f t="shared" si="76"/>
        <v>0</v>
      </c>
      <c r="R654" t="b">
        <f>IF(LEN(K654)&gt;0,COUNTIF($K$3:K654,K654),FALSE)</f>
        <v>0</v>
      </c>
      <c r="S654" t="b">
        <f>IF(Taostats_CSV!A654=Taostats_CSV!$A$2,TRUE,Taostats_CSV!G654+Taostats_CSV!H654+Taostats_CSV!R654=0)</f>
        <v>0</v>
      </c>
      <c r="T654" t="b">
        <f t="shared" si="77"/>
        <v>1</v>
      </c>
      <c r="U654" t="b" cm="1">
        <f t="array" aca="1" ref="U654" ca="1">AND(T654,OR(O654-N654&gt;1,P654&gt;1,ISERROR(A654:P654)))</f>
        <v>0</v>
      </c>
      <c r="W654" t="e">
        <f>MATCH(K654&amp;$W$2,Taostats_CSV!$X$3:$X$1167,0)</f>
        <v>#N/A</v>
      </c>
      <c r="X654" t="e">
        <f t="shared" ca="1" si="72"/>
        <v>#VALUE!</v>
      </c>
      <c r="Y654">
        <f t="shared" ca="1" si="73"/>
        <v>0.37013843099999999</v>
      </c>
      <c r="Z654" t="e">
        <f t="shared" ca="1" si="74"/>
        <v>#VALUE!</v>
      </c>
    </row>
    <row r="655" spans="1:26" x14ac:dyDescent="0.4">
      <c r="A655" t="str">
        <f>MID(Taostats_CSV!C655,6,2)&amp;"/"&amp;MID(Taostats_CSV!C655,9,2)&amp;"/"&amp;LEFT(Taostats_CSV!C655,4)&amp;" "&amp;MID(Taostats_CSV!C655,12,8)</f>
        <v>07/21/2025 23:59:48</v>
      </c>
      <c r="C655" t="str">
        <f ca="1">IF(Q655,OFFSET(Taostats_CSV!$E$1,MATCH(K655&amp;D$1,Taostats_CSV!$X:$X,0)-1,0),IF(Taostats_CSV!F655="fee",IF(VALUE(Taostats_CSV!G655)&gt;0,Taostats_CSV!E655,""),""))</f>
        <v/>
      </c>
      <c r="D655" t="str">
        <f ca="1">IF(Q655,OFFSET(Taostats_CSV!$G$1,MATCH(K655&amp;D$1,Taostats_CSV!$X:$X,0)-1,0),IF(Taostats_CSV!F655="fee",IF(VALUE(Taostats_CSV!G655)&gt;0,Taostats_CSV!G655,""),""))</f>
        <v/>
      </c>
      <c r="E655" t="str">
        <f ca="1">IF(AND(Q655,P655&gt;0),OFFSET(Taostats_CSV!$E$1,MATCH(K655&amp;F$1,Taostats_CSV!$X:$X,0)-1,0),IF(LEN(F655)&gt;0,Taostats_CSV!E655,""))</f>
        <v>SN4</v>
      </c>
      <c r="F655" t="str">
        <f ca="1">TRIM(IF(AND(Q655,P655&gt;0),OFFSET(Taostats_CSV!$H$1,MATCH(K655&amp;F$1,Taostats_CSV!$X:$X,0)-1,0),IF(LEN(Taostats_CSV!H655)&gt;0,Taostats_CSV!H655,Taostats_CSV!R655)))</f>
        <v>0.439401427</v>
      </c>
      <c r="G655" t="str">
        <f ca="1">IF(AND(Q655,N655=1),OFFSET(Taostats_CSV!$E$1,MATCH(K655&amp;H$1,Taostats_CSV!$X:$X,0)-1,0),"")</f>
        <v/>
      </c>
      <c r="H655" t="str">
        <f ca="1">IF(AND(Q655,N655=1),OFFSET(Taostats_CSV!$G$1,MATCH(K655&amp;H$1,Taostats_CSV!$X:$X,0)-1,0),"")</f>
        <v/>
      </c>
      <c r="I655" t="str">
        <f ca="1">IF(AND(LEN(K655)=0,LEN(F655)&gt;0),"Income",IF(AND(O655&gt;0,P655&gt;0,C655&lt;&gt;E655),"Trade",IF(AND(NOT(Q655),Taostats_CSV!F655="fee"),'READ ME'!$C$5,"")))</f>
        <v>Income</v>
      </c>
      <c r="J655" t="str">
        <f ca="1">SUBSTITUTE(IF(LEN(I655)=0,Taostats_CSV!F655&amp;" "&amp;Taostats_CSV!J655,IF(I655="Cost","Extrinsic fee","")),"_"," ")</f>
        <v/>
      </c>
      <c r="K655" t="str">
        <f>TRIM(IF(LEN(Taostats_CSV!I655)&gt;0,Taostats_CSV!I655,""))</f>
        <v/>
      </c>
      <c r="L655">
        <f ca="1">IF(Taostats_CSV!E655&lt;&gt;"TAO",IF(LEN(F655)&gt;0,F655,IF(LEN(D655)&gt;0,D655,0))*Taostats_CSV!P655,"")</f>
        <v>12.792135693779761</v>
      </c>
      <c r="M655" t="str">
        <f t="shared" ca="1" si="75"/>
        <v>USD</v>
      </c>
      <c r="N655">
        <f>COUNTIF(Taostats_CSV!$X:$X,Taostats_CSV!$I655&amp;N$1)</f>
        <v>0</v>
      </c>
      <c r="O655">
        <f>COUNTIF(Taostats_CSV!$X:$X,Taostats_CSV!$I655&amp;O$1)</f>
        <v>0</v>
      </c>
      <c r="P655">
        <f>COUNTIF(Taostats_CSV!$X:$X,Taostats_CSV!$I655&amp;P$1)</f>
        <v>0</v>
      </c>
      <c r="Q655" t="b">
        <f t="shared" si="76"/>
        <v>0</v>
      </c>
      <c r="R655" t="b">
        <f>IF(LEN(K655)&gt;0,COUNTIF($K$3:K655,K655),FALSE)</f>
        <v>0</v>
      </c>
      <c r="S655" t="b">
        <f>IF(Taostats_CSV!A655=Taostats_CSV!$A$2,TRUE,Taostats_CSV!G655+Taostats_CSV!H655+Taostats_CSV!R655=0)</f>
        <v>0</v>
      </c>
      <c r="T655" t="b">
        <f t="shared" si="77"/>
        <v>1</v>
      </c>
      <c r="U655" t="b" cm="1">
        <f t="array" aca="1" ref="U655" ca="1">AND(T655,OR(O655-N655&gt;1,P655&gt;1,ISERROR(A655:P655)))</f>
        <v>0</v>
      </c>
      <c r="W655" t="e">
        <f>MATCH(K655&amp;$W$2,Taostats_CSV!$X$3:$X$1167,0)</f>
        <v>#N/A</v>
      </c>
      <c r="X655" t="e">
        <f t="shared" ca="1" si="72"/>
        <v>#VALUE!</v>
      </c>
      <c r="Y655">
        <f t="shared" ca="1" si="73"/>
        <v>0.43940142700000001</v>
      </c>
      <c r="Z655" t="e">
        <f t="shared" ca="1" si="74"/>
        <v>#VALUE!</v>
      </c>
    </row>
    <row r="656" spans="1:26" x14ac:dyDescent="0.4">
      <c r="A656" t="str">
        <f>MID(Taostats_CSV!C656,6,2)&amp;"/"&amp;MID(Taostats_CSV!C656,9,2)&amp;"/"&amp;LEFT(Taostats_CSV!C656,4)&amp;" "&amp;MID(Taostats_CSV!C656,12,8)</f>
        <v>07/21/2025 23:59:48</v>
      </c>
      <c r="C656" t="str">
        <f ca="1">IF(Q656,OFFSET(Taostats_CSV!$E$1,MATCH(K656&amp;D$1,Taostats_CSV!$X:$X,0)-1,0),IF(Taostats_CSV!F656="fee",IF(VALUE(Taostats_CSV!G656)&gt;0,Taostats_CSV!E656,""),""))</f>
        <v/>
      </c>
      <c r="D656" t="str">
        <f ca="1">IF(Q656,OFFSET(Taostats_CSV!$G$1,MATCH(K656&amp;D$1,Taostats_CSV!$X:$X,0)-1,0),IF(Taostats_CSV!F656="fee",IF(VALUE(Taostats_CSV!G656)&gt;0,Taostats_CSV!G656,""),""))</f>
        <v/>
      </c>
      <c r="E656" t="str">
        <f ca="1">IF(AND(Q656,P656&gt;0),OFFSET(Taostats_CSV!$E$1,MATCH(K656&amp;F$1,Taostats_CSV!$X:$X,0)-1,0),IF(LEN(F656)&gt;0,Taostats_CSV!E656,""))</f>
        <v>SN56</v>
      </c>
      <c r="F656" t="str">
        <f ca="1">TRIM(IF(AND(Q656,P656&gt;0),OFFSET(Taostats_CSV!$H$1,MATCH(K656&amp;F$1,Taostats_CSV!$X:$X,0)-1,0),IF(LEN(Taostats_CSV!H656)&gt;0,Taostats_CSV!H656,Taostats_CSV!R656)))</f>
        <v>0.239613624</v>
      </c>
      <c r="G656" t="str">
        <f ca="1">IF(AND(Q656,N656=1),OFFSET(Taostats_CSV!$E$1,MATCH(K656&amp;H$1,Taostats_CSV!$X:$X,0)-1,0),"")</f>
        <v/>
      </c>
      <c r="H656" t="str">
        <f ca="1">IF(AND(Q656,N656=1),OFFSET(Taostats_CSV!$G$1,MATCH(K656&amp;H$1,Taostats_CSV!$X:$X,0)-1,0),"")</f>
        <v/>
      </c>
      <c r="I656" t="str">
        <f ca="1">IF(AND(LEN(K656)=0,LEN(F656)&gt;0),"Income",IF(AND(O656&gt;0,P656&gt;0,C656&lt;&gt;E656),"Trade",IF(AND(NOT(Q656),Taostats_CSV!F656="fee"),'READ ME'!$C$5,"")))</f>
        <v>Income</v>
      </c>
      <c r="J656" t="str">
        <f ca="1">SUBSTITUTE(IF(LEN(I656)=0,Taostats_CSV!F656&amp;" "&amp;Taostats_CSV!J656,IF(I656="Cost","Extrinsic fee","")),"_"," ")</f>
        <v/>
      </c>
      <c r="K656" t="str">
        <f>TRIM(IF(LEN(Taostats_CSV!I656)&gt;0,Taostats_CSV!I656,""))</f>
        <v/>
      </c>
      <c r="L656">
        <f ca="1">IF(Taostats_CSV!E656&lt;&gt;"TAO",IF(LEN(F656)&gt;0,F656,IF(LEN(D656)&gt;0,D656,0))*Taostats_CSV!P656,"")</f>
        <v>8.3391941404139942</v>
      </c>
      <c r="M656" t="str">
        <f t="shared" ca="1" si="75"/>
        <v>USD</v>
      </c>
      <c r="N656">
        <f>COUNTIF(Taostats_CSV!$X:$X,Taostats_CSV!$I656&amp;N$1)</f>
        <v>0</v>
      </c>
      <c r="O656">
        <f>COUNTIF(Taostats_CSV!$X:$X,Taostats_CSV!$I656&amp;O$1)</f>
        <v>0</v>
      </c>
      <c r="P656">
        <f>COUNTIF(Taostats_CSV!$X:$X,Taostats_CSV!$I656&amp;P$1)</f>
        <v>0</v>
      </c>
      <c r="Q656" t="b">
        <f t="shared" si="76"/>
        <v>0</v>
      </c>
      <c r="R656" t="b">
        <f>IF(LEN(K656)&gt;0,COUNTIF($K$3:K656,K656),FALSE)</f>
        <v>0</v>
      </c>
      <c r="S656" t="b">
        <f>IF(Taostats_CSV!A656=Taostats_CSV!$A$2,TRUE,Taostats_CSV!G656+Taostats_CSV!H656+Taostats_CSV!R656=0)</f>
        <v>0</v>
      </c>
      <c r="T656" t="b">
        <f t="shared" si="77"/>
        <v>1</v>
      </c>
      <c r="U656" t="b" cm="1">
        <f t="array" aca="1" ref="U656" ca="1">AND(T656,OR(O656-N656&gt;1,P656&gt;1,ISERROR(A656:P656)))</f>
        <v>0</v>
      </c>
      <c r="W656" t="e">
        <f>MATCH(K656&amp;$W$2,Taostats_CSV!$X$3:$X$1167,0)</f>
        <v>#N/A</v>
      </c>
      <c r="X656" t="e">
        <f t="shared" ca="1" si="72"/>
        <v>#VALUE!</v>
      </c>
      <c r="Y656">
        <f t="shared" ca="1" si="73"/>
        <v>0.239613624</v>
      </c>
      <c r="Z656" t="e">
        <f t="shared" ca="1" si="74"/>
        <v>#VALUE!</v>
      </c>
    </row>
    <row r="657" spans="1:26" x14ac:dyDescent="0.4">
      <c r="A657" t="str">
        <f>MID(Taostats_CSV!C657,6,2)&amp;"/"&amp;MID(Taostats_CSV!C657,9,2)&amp;"/"&amp;LEFT(Taostats_CSV!C657,4)&amp;" "&amp;MID(Taostats_CSV!C657,12,8)</f>
        <v>07/21/2025 23:59:48</v>
      </c>
      <c r="C657" t="str">
        <f ca="1">IF(Q657,OFFSET(Taostats_CSV!$E$1,MATCH(K657&amp;D$1,Taostats_CSV!$X:$X,0)-1,0),IF(Taostats_CSV!F657="fee",IF(VALUE(Taostats_CSV!G657)&gt;0,Taostats_CSV!E657,""),""))</f>
        <v/>
      </c>
      <c r="D657" t="str">
        <f ca="1">IF(Q657,OFFSET(Taostats_CSV!$G$1,MATCH(K657&amp;D$1,Taostats_CSV!$X:$X,0)-1,0),IF(Taostats_CSV!F657="fee",IF(VALUE(Taostats_CSV!G657)&gt;0,Taostats_CSV!G657,""),""))</f>
        <v/>
      </c>
      <c r="E657" t="str">
        <f ca="1">IF(AND(Q657,P657&gt;0),OFFSET(Taostats_CSV!$E$1,MATCH(K657&amp;F$1,Taostats_CSV!$X:$X,0)-1,0),IF(LEN(F657)&gt;0,Taostats_CSV!E657,""))</f>
        <v>SN64</v>
      </c>
      <c r="F657" t="str">
        <f ca="1">TRIM(IF(AND(Q657,P657&gt;0),OFFSET(Taostats_CSV!$H$1,MATCH(K657&amp;F$1,Taostats_CSV!$X:$X,0)-1,0),IF(LEN(Taostats_CSV!H657)&gt;0,Taostats_CSV!H657,Taostats_CSV!R657)))</f>
        <v>0.134410502</v>
      </c>
      <c r="G657" t="str">
        <f ca="1">IF(AND(Q657,N657=1),OFFSET(Taostats_CSV!$E$1,MATCH(K657&amp;H$1,Taostats_CSV!$X:$X,0)-1,0),"")</f>
        <v/>
      </c>
      <c r="H657" t="str">
        <f ca="1">IF(AND(Q657,N657=1),OFFSET(Taostats_CSV!$G$1,MATCH(K657&amp;H$1,Taostats_CSV!$X:$X,0)-1,0),"")</f>
        <v/>
      </c>
      <c r="I657" t="str">
        <f ca="1">IF(AND(LEN(K657)=0,LEN(F657)&gt;0),"Income",IF(AND(O657&gt;0,P657&gt;0,C657&lt;&gt;E657),"Trade",IF(AND(NOT(Q657),Taostats_CSV!F657="fee"),'READ ME'!$C$5,"")))</f>
        <v>Income</v>
      </c>
      <c r="J657" t="str">
        <f ca="1">SUBSTITUTE(IF(LEN(I657)=0,Taostats_CSV!F657&amp;" "&amp;Taostats_CSV!J657,IF(I657="Cost","Extrinsic fee","")),"_"," ")</f>
        <v/>
      </c>
      <c r="K657" t="str">
        <f>TRIM(IF(LEN(Taostats_CSV!I657)&gt;0,Taostats_CSV!I657,""))</f>
        <v/>
      </c>
      <c r="L657">
        <f ca="1">IF(Taostats_CSV!E657&lt;&gt;"TAO",IF(LEN(F657)&gt;0,F657,IF(LEN(D657)&gt;0,D657,0))*Taostats_CSV!P657,"")</f>
        <v>9.4752492930134977</v>
      </c>
      <c r="M657" t="str">
        <f t="shared" ca="1" si="75"/>
        <v>USD</v>
      </c>
      <c r="N657">
        <f>COUNTIF(Taostats_CSV!$X:$X,Taostats_CSV!$I657&amp;N$1)</f>
        <v>0</v>
      </c>
      <c r="O657">
        <f>COUNTIF(Taostats_CSV!$X:$X,Taostats_CSV!$I657&amp;O$1)</f>
        <v>0</v>
      </c>
      <c r="P657">
        <f>COUNTIF(Taostats_CSV!$X:$X,Taostats_CSV!$I657&amp;P$1)</f>
        <v>0</v>
      </c>
      <c r="Q657" t="b">
        <f t="shared" si="76"/>
        <v>0</v>
      </c>
      <c r="R657" t="b">
        <f>IF(LEN(K657)&gt;0,COUNTIF($K$3:K657,K657),FALSE)</f>
        <v>0</v>
      </c>
      <c r="S657" t="b">
        <f>IF(Taostats_CSV!A657=Taostats_CSV!$A$2,TRUE,Taostats_CSV!G657+Taostats_CSV!H657+Taostats_CSV!R657=0)</f>
        <v>0</v>
      </c>
      <c r="T657" t="b">
        <f t="shared" si="77"/>
        <v>1</v>
      </c>
      <c r="U657" t="b" cm="1">
        <f t="array" aca="1" ref="U657" ca="1">AND(T657,OR(O657-N657&gt;1,P657&gt;1,ISERROR(A657:P657)))</f>
        <v>0</v>
      </c>
      <c r="W657" t="e">
        <f>MATCH(K657&amp;$W$2,Taostats_CSV!$X$3:$X$1167,0)</f>
        <v>#N/A</v>
      </c>
      <c r="X657" t="e">
        <f t="shared" ca="1" si="72"/>
        <v>#VALUE!</v>
      </c>
      <c r="Y657">
        <f t="shared" ca="1" si="73"/>
        <v>0.13441050199999999</v>
      </c>
      <c r="Z657" t="e">
        <f t="shared" ca="1" si="74"/>
        <v>#VALUE!</v>
      </c>
    </row>
    <row r="658" spans="1:26" hidden="1" x14ac:dyDescent="0.4">
      <c r="A658" t="str">
        <f>MID(Taostats_CSV!C658,6,2)&amp;"/"&amp;MID(Taostats_CSV!C658,9,2)&amp;"/"&amp;LEFT(Taostats_CSV!C658,4)&amp;" "&amp;MID(Taostats_CSV!C658,12,8)</f>
        <v>07/21/2025 23:59:48</v>
      </c>
      <c r="C658" t="str">
        <f ca="1">IF(Q658,OFFSET(Taostats_CSV!$E$1,MATCH(K658&amp;D$1,Taostats_CSV!$X:$X,0)-1,0),IF(Taostats_CSV!F658="fee","",IF(VALUE(Taostats_CSV!G658)&gt;0,Taostats_CSV!E658,"")))</f>
        <v/>
      </c>
      <c r="D658" t="str">
        <f ca="1">IF(Q658,OFFSET(Taostats_CSV!$G$1,MATCH(K658&amp;D$1,Taostats_CSV!$X:$X,0)-1,0),IF(Taostats_CSV!F658="fee","",IF(VALUE(Taostats_CSV!G658)&gt;0,Taostats_CSV!G658,"")))</f>
        <v/>
      </c>
      <c r="E658" t="str">
        <f ca="1">IF(AND(Q658,P658&gt;0),OFFSET(Taostats_CSV!$E$1,MATCH(K658&amp;F$1,Taostats_CSV!$X:$X,0)-1,0),IF(LEN(F658)&gt;0,Taostats_CSV!E658,""))</f>
        <v>TAO</v>
      </c>
      <c r="F658" t="str">
        <f ca="1">TRIM(IF(AND(Q658,P658&gt;0),OFFSET(Taostats_CSV!$H$1,MATCH(K658&amp;F$1,Taostats_CSV!$X:$X,0)-1,0),IF(LEN(Taostats_CSV!H658)&gt;0,Taostats_CSV!H658,Taostats_CSV!R658)))</f>
        <v>0</v>
      </c>
      <c r="G658" t="str">
        <f ca="1">IF(AND(Q658,N658=1),OFFSET(Taostats_CSV!$E$1,MATCH(K658&amp;H$1,Taostats_CSV!$X:$X,0)-1,0),IF(Taostats_CSV!F658="fee",Taostats_CSV!E658,""))</f>
        <v/>
      </c>
      <c r="H658" t="str">
        <f ca="1">IF(AND(Q658,N658=1),OFFSET(Taostats_CSV!$G$1,MATCH(K658&amp;H$1,Taostats_CSV!$X:$X,0)-1,0),IF(Taostats_CSV!F658="fee",Taostats_CSV!G658,""))</f>
        <v/>
      </c>
      <c r="I658" t="str">
        <f ca="1">IF(AND(LEN(K658)=0,LEN(F658)&gt;0),"Income",IF(AND(O658&gt;0,P658&gt;0,C658&lt;&gt;E658),"Trade",IF(AND(NOT(Q658),Taostats_CSV!F658="fee"),'READ ME'!$C$5,"")))</f>
        <v>Income</v>
      </c>
      <c r="J658" t="str">
        <f ca="1">SUBSTITUTE(IF(LEN(I658)=0,Taostats_CSV!F658&amp;" "&amp;Taostats_CSV!J658,IF(I658="Cost","Extrinsic fee","")),"_"," ")</f>
        <v/>
      </c>
      <c r="K658" t="str">
        <f>TRIM(IF(LEN(Taostats_CSV!I658)&gt;0,Taostats_CSV!I658,""))</f>
        <v/>
      </c>
      <c r="L658" t="str">
        <f>IF(Taostats_CSV!E658&lt;&gt;"TAO",IF(LEN(F658)&gt;0,F658,IF(LEN(D658)&gt;0,D658,0))*Taostats_CSV!P658,"")</f>
        <v/>
      </c>
      <c r="M658" t="str">
        <f t="shared" si="75"/>
        <v/>
      </c>
      <c r="N658">
        <f>COUNTIF(Taostats_CSV!$X:$X,Taostats_CSV!$I658&amp;N$1)</f>
        <v>0</v>
      </c>
      <c r="O658">
        <f>COUNTIF(Taostats_CSV!$X:$X,Taostats_CSV!$I658&amp;O$1)</f>
        <v>0</v>
      </c>
      <c r="P658">
        <f>COUNTIF(Taostats_CSV!$X:$X,Taostats_CSV!$I658&amp;P$1)</f>
        <v>0</v>
      </c>
      <c r="Q658" t="b">
        <f t="shared" si="76"/>
        <v>0</v>
      </c>
      <c r="R658" t="b">
        <f>IF(LEN(K658)&gt;0,COUNTIF($K$3:K658,K658),FALSE)</f>
        <v>0</v>
      </c>
      <c r="S658" t="b">
        <f>IF(Taostats_CSV!A658=Taostats_CSV!$A$2,TRUE,Taostats_CSV!G658+Taostats_CSV!H658+Taostats_CSV!R658=0)</f>
        <v>1</v>
      </c>
      <c r="T658" t="b">
        <f t="shared" si="77"/>
        <v>0</v>
      </c>
      <c r="U658" t="b" cm="1">
        <f t="array" aca="1" ref="U658" ca="1">AND(T658,OR(O658-N658&gt;1,P658&gt;1,ISERROR(A658:P658)))</f>
        <v>0</v>
      </c>
      <c r="W658" t="e">
        <f>MATCH(K658&amp;$W$2,Taostats_CSV!$X$3:$X$1167,0)</f>
        <v>#N/A</v>
      </c>
      <c r="X658" t="e">
        <f t="shared" ca="1" si="72"/>
        <v>#VALUE!</v>
      </c>
      <c r="Y658">
        <f t="shared" ca="1" si="73"/>
        <v>0</v>
      </c>
      <c r="Z658" t="e">
        <f t="shared" ca="1" si="74"/>
        <v>#VALUE!</v>
      </c>
    </row>
    <row r="659" spans="1:26" x14ac:dyDescent="0.4">
      <c r="A659" t="str">
        <f>MID(Taostats_CSV!C659,6,2)&amp;"/"&amp;MID(Taostats_CSV!C659,9,2)&amp;"/"&amp;LEFT(Taostats_CSV!C659,4)&amp;" "&amp;MID(Taostats_CSV!C659,12,8)</f>
        <v>07/22/2025 23:59:48</v>
      </c>
      <c r="C659" t="str">
        <f ca="1">IF(Q659,OFFSET(Taostats_CSV!$E$1,MATCH(K659&amp;D$1,Taostats_CSV!$X:$X,0)-1,0),IF(Taostats_CSV!F659="fee",IF(VALUE(Taostats_CSV!G659)&gt;0,Taostats_CSV!E659,""),""))</f>
        <v/>
      </c>
      <c r="D659" t="str">
        <f ca="1">IF(Q659,OFFSET(Taostats_CSV!$G$1,MATCH(K659&amp;D$1,Taostats_CSV!$X:$X,0)-1,0),IF(Taostats_CSV!F659="fee",IF(VALUE(Taostats_CSV!G659)&gt;0,Taostats_CSV!G659,""),""))</f>
        <v/>
      </c>
      <c r="E659" t="str">
        <f ca="1">IF(AND(Q659,P659&gt;0),OFFSET(Taostats_CSV!$E$1,MATCH(K659&amp;F$1,Taostats_CSV!$X:$X,0)-1,0),IF(LEN(F659)&gt;0,Taostats_CSV!E659,""))</f>
        <v>SN3</v>
      </c>
      <c r="F659" t="str">
        <f ca="1">TRIM(IF(AND(Q659,P659&gt;0),OFFSET(Taostats_CSV!$H$1,MATCH(K659&amp;F$1,Taostats_CSV!$X:$X,0)-1,0),IF(LEN(Taostats_CSV!H659)&gt;0,Taostats_CSV!H659,Taostats_CSV!R659)))</f>
        <v>0.370936915</v>
      </c>
      <c r="G659" t="str">
        <f ca="1">IF(AND(Q659,N659=1),OFFSET(Taostats_CSV!$E$1,MATCH(K659&amp;H$1,Taostats_CSV!$X:$X,0)-1,0),"")</f>
        <v/>
      </c>
      <c r="H659" t="str">
        <f ca="1">IF(AND(Q659,N659=1),OFFSET(Taostats_CSV!$G$1,MATCH(K659&amp;H$1,Taostats_CSV!$X:$X,0)-1,0),"")</f>
        <v/>
      </c>
      <c r="I659" t="str">
        <f ca="1">IF(AND(LEN(K659)=0,LEN(F659)&gt;0),"Income",IF(AND(O659&gt;0,P659&gt;0,C659&lt;&gt;E659),"Trade",IF(AND(NOT(Q659),Taostats_CSV!F659="fee"),'READ ME'!$C$5,"")))</f>
        <v>Income</v>
      </c>
      <c r="J659" t="str">
        <f ca="1">SUBSTITUTE(IF(LEN(I659)=0,Taostats_CSV!F659&amp;" "&amp;Taostats_CSV!J659,IF(I659="Cost","Extrinsic fee","")),"_"," ")</f>
        <v/>
      </c>
      <c r="K659" t="str">
        <f>TRIM(IF(LEN(Taostats_CSV!I659)&gt;0,Taostats_CSV!I659,""))</f>
        <v/>
      </c>
      <c r="L659">
        <f ca="1">IF(Taostats_CSV!E659&lt;&gt;"TAO",IF(LEN(F659)&gt;0,F659,IF(LEN(D659)&gt;0,D659,0))*Taostats_CSV!P659,"")</f>
        <v>12.177426566780545</v>
      </c>
      <c r="M659" t="str">
        <f t="shared" ca="1" si="75"/>
        <v>USD</v>
      </c>
      <c r="N659">
        <f>COUNTIF(Taostats_CSV!$X:$X,Taostats_CSV!$I659&amp;N$1)</f>
        <v>0</v>
      </c>
      <c r="O659">
        <f>COUNTIF(Taostats_CSV!$X:$X,Taostats_CSV!$I659&amp;O$1)</f>
        <v>0</v>
      </c>
      <c r="P659">
        <f>COUNTIF(Taostats_CSV!$X:$X,Taostats_CSV!$I659&amp;P$1)</f>
        <v>0</v>
      </c>
      <c r="Q659" t="b">
        <f t="shared" si="76"/>
        <v>0</v>
      </c>
      <c r="R659" t="b">
        <f>IF(LEN(K659)&gt;0,COUNTIF($K$3:K659,K659),FALSE)</f>
        <v>0</v>
      </c>
      <c r="S659" t="b">
        <f>IF(Taostats_CSV!A659=Taostats_CSV!$A$2,TRUE,Taostats_CSV!G659+Taostats_CSV!H659+Taostats_CSV!R659=0)</f>
        <v>0</v>
      </c>
      <c r="T659" t="b">
        <f t="shared" si="77"/>
        <v>1</v>
      </c>
      <c r="U659" t="b" cm="1">
        <f t="array" aca="1" ref="U659" ca="1">AND(T659,OR(O659-N659&gt;1,P659&gt;1,ISERROR(A659:P659)))</f>
        <v>0</v>
      </c>
      <c r="W659" t="e">
        <f>MATCH(K659&amp;$W$2,Taostats_CSV!$X$3:$X$1167,0)</f>
        <v>#N/A</v>
      </c>
      <c r="X659" t="e">
        <f t="shared" ca="1" si="72"/>
        <v>#VALUE!</v>
      </c>
      <c r="Y659">
        <f t="shared" ca="1" si="73"/>
        <v>0.37093691499999998</v>
      </c>
      <c r="Z659" t="e">
        <f t="shared" ca="1" si="74"/>
        <v>#VALUE!</v>
      </c>
    </row>
    <row r="660" spans="1:26" x14ac:dyDescent="0.4">
      <c r="A660" t="str">
        <f>MID(Taostats_CSV!C660,6,2)&amp;"/"&amp;MID(Taostats_CSV!C660,9,2)&amp;"/"&amp;LEFT(Taostats_CSV!C660,4)&amp;" "&amp;MID(Taostats_CSV!C660,12,8)</f>
        <v>07/22/2025 23:59:48</v>
      </c>
      <c r="C660" t="str">
        <f ca="1">IF(Q660,OFFSET(Taostats_CSV!$E$1,MATCH(K660&amp;D$1,Taostats_CSV!$X:$X,0)-1,0),IF(Taostats_CSV!F660="fee",IF(VALUE(Taostats_CSV!G660)&gt;0,Taostats_CSV!E660,""),""))</f>
        <v/>
      </c>
      <c r="D660" t="str">
        <f ca="1">IF(Q660,OFFSET(Taostats_CSV!$G$1,MATCH(K660&amp;D$1,Taostats_CSV!$X:$X,0)-1,0),IF(Taostats_CSV!F660="fee",IF(VALUE(Taostats_CSV!G660)&gt;0,Taostats_CSV!G660,""),""))</f>
        <v/>
      </c>
      <c r="E660" t="str">
        <f ca="1">IF(AND(Q660,P660&gt;0),OFFSET(Taostats_CSV!$E$1,MATCH(K660&amp;F$1,Taostats_CSV!$X:$X,0)-1,0),IF(LEN(F660)&gt;0,Taostats_CSV!E660,""))</f>
        <v>SN4</v>
      </c>
      <c r="F660" t="str">
        <f ca="1">TRIM(IF(AND(Q660,P660&gt;0),OFFSET(Taostats_CSV!$H$1,MATCH(K660&amp;F$1,Taostats_CSV!$X:$X,0)-1,0),IF(LEN(Taostats_CSV!H660)&gt;0,Taostats_CSV!H660,Taostats_CSV!R660)))</f>
        <v>0.440967738</v>
      </c>
      <c r="G660" t="str">
        <f ca="1">IF(AND(Q660,N660=1),OFFSET(Taostats_CSV!$E$1,MATCH(K660&amp;H$1,Taostats_CSV!$X:$X,0)-1,0),"")</f>
        <v/>
      </c>
      <c r="H660" t="str">
        <f ca="1">IF(AND(Q660,N660=1),OFFSET(Taostats_CSV!$G$1,MATCH(K660&amp;H$1,Taostats_CSV!$X:$X,0)-1,0),"")</f>
        <v/>
      </c>
      <c r="I660" t="str">
        <f ca="1">IF(AND(LEN(K660)=0,LEN(F660)&gt;0),"Income",IF(AND(O660&gt;0,P660&gt;0,C660&lt;&gt;E660),"Trade",IF(AND(NOT(Q660),Taostats_CSV!F660="fee"),'READ ME'!$C$5,"")))</f>
        <v>Income</v>
      </c>
      <c r="J660" t="str">
        <f ca="1">SUBSTITUTE(IF(LEN(I660)=0,Taostats_CSV!F660&amp;" "&amp;Taostats_CSV!J660,IF(I660="Cost","Extrinsic fee","")),"_"," ")</f>
        <v/>
      </c>
      <c r="K660" t="str">
        <f>TRIM(IF(LEN(Taostats_CSV!I660)&gt;0,Taostats_CSV!I660,""))</f>
        <v/>
      </c>
      <c r="L660">
        <f ca="1">IF(Taostats_CSV!E660&lt;&gt;"TAO",IF(LEN(F660)&gt;0,F660,IF(LEN(D660)&gt;0,D660,0))*Taostats_CSV!P660,"")</f>
        <v>12.843603793699437</v>
      </c>
      <c r="M660" t="str">
        <f t="shared" ca="1" si="75"/>
        <v>USD</v>
      </c>
      <c r="N660">
        <f>COUNTIF(Taostats_CSV!$X:$X,Taostats_CSV!$I660&amp;N$1)</f>
        <v>0</v>
      </c>
      <c r="O660">
        <f>COUNTIF(Taostats_CSV!$X:$X,Taostats_CSV!$I660&amp;O$1)</f>
        <v>0</v>
      </c>
      <c r="P660">
        <f>COUNTIF(Taostats_CSV!$X:$X,Taostats_CSV!$I660&amp;P$1)</f>
        <v>0</v>
      </c>
      <c r="Q660" t="b">
        <f t="shared" si="76"/>
        <v>0</v>
      </c>
      <c r="R660" t="b">
        <f>IF(LEN(K660)&gt;0,COUNTIF($K$3:K660,K660),FALSE)</f>
        <v>0</v>
      </c>
      <c r="S660" t="b">
        <f>IF(Taostats_CSV!A660=Taostats_CSV!$A$2,TRUE,Taostats_CSV!G660+Taostats_CSV!H660+Taostats_CSV!R660=0)</f>
        <v>0</v>
      </c>
      <c r="T660" t="b">
        <f t="shared" si="77"/>
        <v>1</v>
      </c>
      <c r="U660" t="b" cm="1">
        <f t="array" aca="1" ref="U660" ca="1">AND(T660,OR(O660-N660&gt;1,P660&gt;1,ISERROR(A660:P660)))</f>
        <v>0</v>
      </c>
      <c r="W660" t="e">
        <f>MATCH(K660&amp;$W$2,Taostats_CSV!$X$3:$X$1167,0)</f>
        <v>#N/A</v>
      </c>
      <c r="X660" t="e">
        <f t="shared" ca="1" si="72"/>
        <v>#VALUE!</v>
      </c>
      <c r="Y660">
        <f t="shared" ca="1" si="73"/>
        <v>0.440967738</v>
      </c>
      <c r="Z660" t="e">
        <f t="shared" ca="1" si="74"/>
        <v>#VALUE!</v>
      </c>
    </row>
    <row r="661" spans="1:26" x14ac:dyDescent="0.4">
      <c r="A661" t="str">
        <f>MID(Taostats_CSV!C661,6,2)&amp;"/"&amp;MID(Taostats_CSV!C661,9,2)&amp;"/"&amp;LEFT(Taostats_CSV!C661,4)&amp;" "&amp;MID(Taostats_CSV!C661,12,8)</f>
        <v>07/22/2025 23:59:48</v>
      </c>
      <c r="C661" t="str">
        <f ca="1">IF(Q661,OFFSET(Taostats_CSV!$E$1,MATCH(K661&amp;D$1,Taostats_CSV!$X:$X,0)-1,0),IF(Taostats_CSV!F661="fee",IF(VALUE(Taostats_CSV!G661)&gt;0,Taostats_CSV!E661,""),""))</f>
        <v/>
      </c>
      <c r="D661" t="str">
        <f ca="1">IF(Q661,OFFSET(Taostats_CSV!$G$1,MATCH(K661&amp;D$1,Taostats_CSV!$X:$X,0)-1,0),IF(Taostats_CSV!F661="fee",IF(VALUE(Taostats_CSV!G661)&gt;0,Taostats_CSV!G661,""),""))</f>
        <v/>
      </c>
      <c r="E661" t="str">
        <f ca="1">IF(AND(Q661,P661&gt;0),OFFSET(Taostats_CSV!$E$1,MATCH(K661&amp;F$1,Taostats_CSV!$X:$X,0)-1,0),IF(LEN(F661)&gt;0,Taostats_CSV!E661,""))</f>
        <v>SN56</v>
      </c>
      <c r="F661" t="str">
        <f ca="1">TRIM(IF(AND(Q661,P661&gt;0),OFFSET(Taostats_CSV!$H$1,MATCH(K661&amp;F$1,Taostats_CSV!$X:$X,0)-1,0),IF(LEN(Taostats_CSV!H661)&gt;0,Taostats_CSV!H661,Taostats_CSV!R661)))</f>
        <v>0.231360979</v>
      </c>
      <c r="G661" t="str">
        <f ca="1">IF(AND(Q661,N661=1),OFFSET(Taostats_CSV!$E$1,MATCH(K661&amp;H$1,Taostats_CSV!$X:$X,0)-1,0),"")</f>
        <v/>
      </c>
      <c r="H661" t="str">
        <f ca="1">IF(AND(Q661,N661=1),OFFSET(Taostats_CSV!$G$1,MATCH(K661&amp;H$1,Taostats_CSV!$X:$X,0)-1,0),"")</f>
        <v/>
      </c>
      <c r="I661" t="str">
        <f ca="1">IF(AND(LEN(K661)=0,LEN(F661)&gt;0),"Income",IF(AND(O661&gt;0,P661&gt;0,C661&lt;&gt;E661),"Trade",IF(AND(NOT(Q661),Taostats_CSV!F661="fee"),'READ ME'!$C$5,"")))</f>
        <v>Income</v>
      </c>
      <c r="J661" t="str">
        <f ca="1">SUBSTITUTE(IF(LEN(I661)=0,Taostats_CSV!F661&amp;" "&amp;Taostats_CSV!J661,IF(I661="Cost","Extrinsic fee","")),"_"," ")</f>
        <v/>
      </c>
      <c r="K661" t="str">
        <f>TRIM(IF(LEN(Taostats_CSV!I661)&gt;0,Taostats_CSV!I661,""))</f>
        <v/>
      </c>
      <c r="L661">
        <f ca="1">IF(Taostats_CSV!E661&lt;&gt;"TAO",IF(LEN(F661)&gt;0,F661,IF(LEN(D661)&gt;0,D661,0))*Taostats_CSV!P661,"")</f>
        <v>7.5922823872901635</v>
      </c>
      <c r="M661" t="str">
        <f t="shared" ca="1" si="75"/>
        <v>USD</v>
      </c>
      <c r="N661">
        <f>COUNTIF(Taostats_CSV!$X:$X,Taostats_CSV!$I661&amp;N$1)</f>
        <v>0</v>
      </c>
      <c r="O661">
        <f>COUNTIF(Taostats_CSV!$X:$X,Taostats_CSV!$I661&amp;O$1)</f>
        <v>0</v>
      </c>
      <c r="P661">
        <f>COUNTIF(Taostats_CSV!$X:$X,Taostats_CSV!$I661&amp;P$1)</f>
        <v>0</v>
      </c>
      <c r="Q661" t="b">
        <f t="shared" si="76"/>
        <v>0</v>
      </c>
      <c r="R661" t="b">
        <f>IF(LEN(K661)&gt;0,COUNTIF($K$3:K661,K661),FALSE)</f>
        <v>0</v>
      </c>
      <c r="S661" t="b">
        <f>IF(Taostats_CSV!A661=Taostats_CSV!$A$2,TRUE,Taostats_CSV!G661+Taostats_CSV!H661+Taostats_CSV!R661=0)</f>
        <v>0</v>
      </c>
      <c r="T661" t="b">
        <f t="shared" si="77"/>
        <v>1</v>
      </c>
      <c r="U661" t="b" cm="1">
        <f t="array" aca="1" ref="U661" ca="1">AND(T661,OR(O661-N661&gt;1,P661&gt;1,ISERROR(A661:P661)))</f>
        <v>0</v>
      </c>
      <c r="W661" t="e">
        <f>MATCH(K661&amp;$W$2,Taostats_CSV!$X$3:$X$1167,0)</f>
        <v>#N/A</v>
      </c>
      <c r="X661" t="e">
        <f t="shared" ca="1" si="72"/>
        <v>#VALUE!</v>
      </c>
      <c r="Y661">
        <f t="shared" ca="1" si="73"/>
        <v>0.23136097899999999</v>
      </c>
      <c r="Z661" t="e">
        <f t="shared" ca="1" si="74"/>
        <v>#VALUE!</v>
      </c>
    </row>
    <row r="662" spans="1:26" x14ac:dyDescent="0.4">
      <c r="A662" t="str">
        <f>MID(Taostats_CSV!C662,6,2)&amp;"/"&amp;MID(Taostats_CSV!C662,9,2)&amp;"/"&amp;LEFT(Taostats_CSV!C662,4)&amp;" "&amp;MID(Taostats_CSV!C662,12,8)</f>
        <v>07/22/2025 23:59:48</v>
      </c>
      <c r="C662" t="str">
        <f ca="1">IF(Q662,OFFSET(Taostats_CSV!$E$1,MATCH(K662&amp;D$1,Taostats_CSV!$X:$X,0)-1,0),IF(Taostats_CSV!F662="fee",IF(VALUE(Taostats_CSV!G662)&gt;0,Taostats_CSV!E662,""),""))</f>
        <v/>
      </c>
      <c r="D662" t="str">
        <f ca="1">IF(Q662,OFFSET(Taostats_CSV!$G$1,MATCH(K662&amp;D$1,Taostats_CSV!$X:$X,0)-1,0),IF(Taostats_CSV!F662="fee",IF(VALUE(Taostats_CSV!G662)&gt;0,Taostats_CSV!G662,""),""))</f>
        <v/>
      </c>
      <c r="E662" t="str">
        <f ca="1">IF(AND(Q662,P662&gt;0),OFFSET(Taostats_CSV!$E$1,MATCH(K662&amp;F$1,Taostats_CSV!$X:$X,0)-1,0),IF(LEN(F662)&gt;0,Taostats_CSV!E662,""))</f>
        <v>SN64</v>
      </c>
      <c r="F662" t="str">
        <f ca="1">TRIM(IF(AND(Q662,P662&gt;0),OFFSET(Taostats_CSV!$H$1,MATCH(K662&amp;F$1,Taostats_CSV!$X:$X,0)-1,0),IF(LEN(Taostats_CSV!H662)&gt;0,Taostats_CSV!H662,Taostats_CSV!R662)))</f>
        <v>0.13599665</v>
      </c>
      <c r="G662" t="str">
        <f ca="1">IF(AND(Q662,N662=1),OFFSET(Taostats_CSV!$E$1,MATCH(K662&amp;H$1,Taostats_CSV!$X:$X,0)-1,0),"")</f>
        <v/>
      </c>
      <c r="H662" t="str">
        <f ca="1">IF(AND(Q662,N662=1),OFFSET(Taostats_CSV!$G$1,MATCH(K662&amp;H$1,Taostats_CSV!$X:$X,0)-1,0),"")</f>
        <v/>
      </c>
      <c r="I662" t="str">
        <f ca="1">IF(AND(LEN(K662)=0,LEN(F662)&gt;0),"Income",IF(AND(O662&gt;0,P662&gt;0,C662&lt;&gt;E662),"Trade",IF(AND(NOT(Q662),Taostats_CSV!F662="fee"),'READ ME'!$C$5,"")))</f>
        <v>Income</v>
      </c>
      <c r="J662" t="str">
        <f ca="1">SUBSTITUTE(IF(LEN(I662)=0,Taostats_CSV!F662&amp;" "&amp;Taostats_CSV!J662,IF(I662="Cost","Extrinsic fee","")),"_"," ")</f>
        <v/>
      </c>
      <c r="K662" t="str">
        <f>TRIM(IF(LEN(Taostats_CSV!I662)&gt;0,Taostats_CSV!I662,""))</f>
        <v/>
      </c>
      <c r="L662">
        <f ca="1">IF(Taostats_CSV!E662&lt;&gt;"TAO",IF(LEN(F662)&gt;0,F662,IF(LEN(D662)&gt;0,D662,0))*Taostats_CSV!P662,"")</f>
        <v>9.4288686258842311</v>
      </c>
      <c r="M662" t="str">
        <f t="shared" ca="1" si="75"/>
        <v>USD</v>
      </c>
      <c r="N662">
        <f>COUNTIF(Taostats_CSV!$X:$X,Taostats_CSV!$I662&amp;N$1)</f>
        <v>0</v>
      </c>
      <c r="O662">
        <f>COUNTIF(Taostats_CSV!$X:$X,Taostats_CSV!$I662&amp;O$1)</f>
        <v>0</v>
      </c>
      <c r="P662">
        <f>COUNTIF(Taostats_CSV!$X:$X,Taostats_CSV!$I662&amp;P$1)</f>
        <v>0</v>
      </c>
      <c r="Q662" t="b">
        <f t="shared" si="76"/>
        <v>0</v>
      </c>
      <c r="R662" t="b">
        <f>IF(LEN(K662)&gt;0,COUNTIF($K$3:K662,K662),FALSE)</f>
        <v>0</v>
      </c>
      <c r="S662" t="b">
        <f>IF(Taostats_CSV!A662=Taostats_CSV!$A$2,TRUE,Taostats_CSV!G662+Taostats_CSV!H662+Taostats_CSV!R662=0)</f>
        <v>0</v>
      </c>
      <c r="T662" t="b">
        <f t="shared" si="77"/>
        <v>1</v>
      </c>
      <c r="U662" t="b" cm="1">
        <f t="array" aca="1" ref="U662" ca="1">AND(T662,OR(O662-N662&gt;1,P662&gt;1,ISERROR(A662:P662)))</f>
        <v>0</v>
      </c>
      <c r="W662" t="e">
        <f>MATCH(K662&amp;$W$2,Taostats_CSV!$X$3:$X$1167,0)</f>
        <v>#N/A</v>
      </c>
      <c r="X662" t="e">
        <f t="shared" ca="1" si="72"/>
        <v>#VALUE!</v>
      </c>
      <c r="Y662">
        <f t="shared" ca="1" si="73"/>
        <v>0.13599665</v>
      </c>
      <c r="Z662" t="e">
        <f t="shared" ca="1" si="74"/>
        <v>#VALUE!</v>
      </c>
    </row>
    <row r="663" spans="1:26" hidden="1" x14ac:dyDescent="0.4">
      <c r="A663" t="str">
        <f>MID(Taostats_CSV!C663,6,2)&amp;"/"&amp;MID(Taostats_CSV!C663,9,2)&amp;"/"&amp;LEFT(Taostats_CSV!C663,4)&amp;" "&amp;MID(Taostats_CSV!C663,12,8)</f>
        <v>07/22/2025 23:59:48</v>
      </c>
      <c r="C663" t="str">
        <f ca="1">IF(Q663,OFFSET(Taostats_CSV!$E$1,MATCH(K663&amp;D$1,Taostats_CSV!$X:$X,0)-1,0),IF(Taostats_CSV!F663="fee","",IF(VALUE(Taostats_CSV!G663)&gt;0,Taostats_CSV!E663,"")))</f>
        <v/>
      </c>
      <c r="D663" t="str">
        <f ca="1">IF(Q663,OFFSET(Taostats_CSV!$G$1,MATCH(K663&amp;D$1,Taostats_CSV!$X:$X,0)-1,0),IF(Taostats_CSV!F663="fee","",IF(VALUE(Taostats_CSV!G663)&gt;0,Taostats_CSV!G663,"")))</f>
        <v/>
      </c>
      <c r="E663" t="str">
        <f ca="1">IF(AND(Q663,P663&gt;0),OFFSET(Taostats_CSV!$E$1,MATCH(K663&amp;F$1,Taostats_CSV!$X:$X,0)-1,0),IF(LEN(F663)&gt;0,Taostats_CSV!E663,""))</f>
        <v>TAO</v>
      </c>
      <c r="F663" t="str">
        <f ca="1">TRIM(IF(AND(Q663,P663&gt;0),OFFSET(Taostats_CSV!$H$1,MATCH(K663&amp;F$1,Taostats_CSV!$X:$X,0)-1,0),IF(LEN(Taostats_CSV!H663)&gt;0,Taostats_CSV!H663,Taostats_CSV!R663)))</f>
        <v>0</v>
      </c>
      <c r="G663" t="str">
        <f ca="1">IF(AND(Q663,N663=1),OFFSET(Taostats_CSV!$E$1,MATCH(K663&amp;H$1,Taostats_CSV!$X:$X,0)-1,0),IF(Taostats_CSV!F663="fee",Taostats_CSV!E663,""))</f>
        <v/>
      </c>
      <c r="H663" t="str">
        <f ca="1">IF(AND(Q663,N663=1),OFFSET(Taostats_CSV!$G$1,MATCH(K663&amp;H$1,Taostats_CSV!$X:$X,0)-1,0),IF(Taostats_CSV!F663="fee",Taostats_CSV!G663,""))</f>
        <v/>
      </c>
      <c r="I663" t="str">
        <f ca="1">IF(AND(LEN(K663)=0,LEN(F663)&gt;0),"Income",IF(AND(O663&gt;0,P663&gt;0,C663&lt;&gt;E663),"Trade",IF(AND(NOT(Q663),Taostats_CSV!F663="fee"),'READ ME'!$C$5,"")))</f>
        <v>Income</v>
      </c>
      <c r="J663" t="str">
        <f ca="1">SUBSTITUTE(IF(LEN(I663)=0,Taostats_CSV!F663&amp;" "&amp;Taostats_CSV!J663,IF(I663="Cost","Extrinsic fee","")),"_"," ")</f>
        <v/>
      </c>
      <c r="K663" t="str">
        <f>TRIM(IF(LEN(Taostats_CSV!I663)&gt;0,Taostats_CSV!I663,""))</f>
        <v/>
      </c>
      <c r="L663" t="str">
        <f>IF(Taostats_CSV!E663&lt;&gt;"TAO",IF(LEN(F663)&gt;0,F663,IF(LEN(D663)&gt;0,D663,0))*Taostats_CSV!P663,"")</f>
        <v/>
      </c>
      <c r="M663" t="str">
        <f t="shared" si="75"/>
        <v/>
      </c>
      <c r="N663">
        <f>COUNTIF(Taostats_CSV!$X:$X,Taostats_CSV!$I663&amp;N$1)</f>
        <v>0</v>
      </c>
      <c r="O663">
        <f>COUNTIF(Taostats_CSV!$X:$X,Taostats_CSV!$I663&amp;O$1)</f>
        <v>0</v>
      </c>
      <c r="P663">
        <f>COUNTIF(Taostats_CSV!$X:$X,Taostats_CSV!$I663&amp;P$1)</f>
        <v>0</v>
      </c>
      <c r="Q663" t="b">
        <f t="shared" si="76"/>
        <v>0</v>
      </c>
      <c r="R663" t="b">
        <f>IF(LEN(K663)&gt;0,COUNTIF($K$3:K663,K663),FALSE)</f>
        <v>0</v>
      </c>
      <c r="S663" t="b">
        <f>IF(Taostats_CSV!A663=Taostats_CSV!$A$2,TRUE,Taostats_CSV!G663+Taostats_CSV!H663+Taostats_CSV!R663=0)</f>
        <v>1</v>
      </c>
      <c r="T663" t="b">
        <f t="shared" si="77"/>
        <v>0</v>
      </c>
      <c r="U663" t="b" cm="1">
        <f t="array" aca="1" ref="U663" ca="1">AND(T663,OR(O663-N663&gt;1,P663&gt;1,ISERROR(A663:P663)))</f>
        <v>0</v>
      </c>
      <c r="W663" t="e">
        <f>MATCH(K663&amp;$W$2,Taostats_CSV!$X$3:$X$1167,0)</f>
        <v>#N/A</v>
      </c>
      <c r="X663" t="e">
        <f t="shared" ca="1" si="72"/>
        <v>#VALUE!</v>
      </c>
      <c r="Y663">
        <f t="shared" ca="1" si="73"/>
        <v>0</v>
      </c>
      <c r="Z663" t="e">
        <f t="shared" ca="1" si="74"/>
        <v>#VALUE!</v>
      </c>
    </row>
    <row r="664" spans="1:26" x14ac:dyDescent="0.4">
      <c r="A664" t="str">
        <f>MID(Taostats_CSV!C664,6,2)&amp;"/"&amp;MID(Taostats_CSV!C664,9,2)&amp;"/"&amp;LEFT(Taostats_CSV!C664,4)&amp;" "&amp;MID(Taostats_CSV!C664,12,8)</f>
        <v>07/23/2025 23:59:48</v>
      </c>
      <c r="C664" t="str">
        <f ca="1">IF(Q664,OFFSET(Taostats_CSV!$E$1,MATCH(K664&amp;D$1,Taostats_CSV!$X:$X,0)-1,0),IF(Taostats_CSV!F664="fee",IF(VALUE(Taostats_CSV!G664)&gt;0,Taostats_CSV!E664,""),""))</f>
        <v/>
      </c>
      <c r="D664" t="str">
        <f ca="1">IF(Q664,OFFSET(Taostats_CSV!$G$1,MATCH(K664&amp;D$1,Taostats_CSV!$X:$X,0)-1,0),IF(Taostats_CSV!F664="fee",IF(VALUE(Taostats_CSV!G664)&gt;0,Taostats_CSV!G664,""),""))</f>
        <v/>
      </c>
      <c r="E664" t="str">
        <f ca="1">IF(AND(Q664,P664&gt;0),OFFSET(Taostats_CSV!$E$1,MATCH(K664&amp;F$1,Taostats_CSV!$X:$X,0)-1,0),IF(LEN(F664)&gt;0,Taostats_CSV!E664,""))</f>
        <v>SN3</v>
      </c>
      <c r="F664" t="str">
        <f ca="1">TRIM(IF(AND(Q664,P664&gt;0),OFFSET(Taostats_CSV!$H$1,MATCH(K664&amp;F$1,Taostats_CSV!$X:$X,0)-1,0),IF(LEN(Taostats_CSV!H664)&gt;0,Taostats_CSV!H664,Taostats_CSV!R664)))</f>
        <v>0.374005607</v>
      </c>
      <c r="G664" t="str">
        <f ca="1">IF(AND(Q664,N664=1),OFFSET(Taostats_CSV!$E$1,MATCH(K664&amp;H$1,Taostats_CSV!$X:$X,0)-1,0),"")</f>
        <v/>
      </c>
      <c r="H664" t="str">
        <f ca="1">IF(AND(Q664,N664=1),OFFSET(Taostats_CSV!$G$1,MATCH(K664&amp;H$1,Taostats_CSV!$X:$X,0)-1,0),"")</f>
        <v/>
      </c>
      <c r="I664" t="str">
        <f ca="1">IF(AND(LEN(K664)=0,LEN(F664)&gt;0),"Income",IF(AND(O664&gt;0,P664&gt;0,C664&lt;&gt;E664),"Trade",IF(AND(NOT(Q664),Taostats_CSV!F664="fee"),'READ ME'!$C$5,"")))</f>
        <v>Income</v>
      </c>
      <c r="J664" t="str">
        <f ca="1">SUBSTITUTE(IF(LEN(I664)=0,Taostats_CSV!F664&amp;" "&amp;Taostats_CSV!J664,IF(I664="Cost","Extrinsic fee","")),"_"," ")</f>
        <v/>
      </c>
      <c r="K664" t="str">
        <f>TRIM(IF(LEN(Taostats_CSV!I664)&gt;0,Taostats_CSV!I664,""))</f>
        <v/>
      </c>
      <c r="L664">
        <f ca="1">IF(Taostats_CSV!E664&lt;&gt;"TAO",IF(LEN(F664)&gt;0,F664,IF(LEN(D664)&gt;0,D664,0))*Taostats_CSV!P664,"")</f>
        <v>11.199398913634083</v>
      </c>
      <c r="M664" t="str">
        <f t="shared" ca="1" si="75"/>
        <v>USD</v>
      </c>
      <c r="N664">
        <f>COUNTIF(Taostats_CSV!$X:$X,Taostats_CSV!$I664&amp;N$1)</f>
        <v>0</v>
      </c>
      <c r="O664">
        <f>COUNTIF(Taostats_CSV!$X:$X,Taostats_CSV!$I664&amp;O$1)</f>
        <v>0</v>
      </c>
      <c r="P664">
        <f>COUNTIF(Taostats_CSV!$X:$X,Taostats_CSV!$I664&amp;P$1)</f>
        <v>0</v>
      </c>
      <c r="Q664" t="b">
        <f t="shared" si="76"/>
        <v>0</v>
      </c>
      <c r="R664" t="b">
        <f>IF(LEN(K664)&gt;0,COUNTIF($K$3:K664,K664),FALSE)</f>
        <v>0</v>
      </c>
      <c r="S664" t="b">
        <f>IF(Taostats_CSV!A664=Taostats_CSV!$A$2,TRUE,Taostats_CSV!G664+Taostats_CSV!H664+Taostats_CSV!R664=0)</f>
        <v>0</v>
      </c>
      <c r="T664" t="b">
        <f t="shared" si="77"/>
        <v>1</v>
      </c>
      <c r="U664" t="b" cm="1">
        <f t="array" aca="1" ref="U664" ca="1">AND(T664,OR(O664-N664&gt;1,P664&gt;1,ISERROR(A664:P664)))</f>
        <v>0</v>
      </c>
      <c r="W664" t="e">
        <f>MATCH(K664&amp;$W$2,Taostats_CSV!$X$3:$X$1167,0)</f>
        <v>#N/A</v>
      </c>
      <c r="X664" t="e">
        <f t="shared" ca="1" si="72"/>
        <v>#VALUE!</v>
      </c>
      <c r="Y664">
        <f t="shared" ca="1" si="73"/>
        <v>0.37400560700000002</v>
      </c>
      <c r="Z664" t="e">
        <f t="shared" ca="1" si="74"/>
        <v>#VALUE!</v>
      </c>
    </row>
    <row r="665" spans="1:26" x14ac:dyDescent="0.4">
      <c r="A665" t="str">
        <f>MID(Taostats_CSV!C665,6,2)&amp;"/"&amp;MID(Taostats_CSV!C665,9,2)&amp;"/"&amp;LEFT(Taostats_CSV!C665,4)&amp;" "&amp;MID(Taostats_CSV!C665,12,8)</f>
        <v>07/23/2025 23:59:48</v>
      </c>
      <c r="C665" t="str">
        <f ca="1">IF(Q665,OFFSET(Taostats_CSV!$E$1,MATCH(K665&amp;D$1,Taostats_CSV!$X:$X,0)-1,0),IF(Taostats_CSV!F665="fee",IF(VALUE(Taostats_CSV!G665)&gt;0,Taostats_CSV!E665,""),""))</f>
        <v/>
      </c>
      <c r="D665" t="str">
        <f ca="1">IF(Q665,OFFSET(Taostats_CSV!$G$1,MATCH(K665&amp;D$1,Taostats_CSV!$X:$X,0)-1,0),IF(Taostats_CSV!F665="fee",IF(VALUE(Taostats_CSV!G665)&gt;0,Taostats_CSV!G665,""),""))</f>
        <v/>
      </c>
      <c r="E665" t="str">
        <f ca="1">IF(AND(Q665,P665&gt;0),OFFSET(Taostats_CSV!$E$1,MATCH(K665&amp;F$1,Taostats_CSV!$X:$X,0)-1,0),IF(LEN(F665)&gt;0,Taostats_CSV!E665,""))</f>
        <v>SN4</v>
      </c>
      <c r="F665" t="str">
        <f ca="1">TRIM(IF(AND(Q665,P665&gt;0),OFFSET(Taostats_CSV!$H$1,MATCH(K665&amp;F$1,Taostats_CSV!$X:$X,0)-1,0),IF(LEN(Taostats_CSV!H665)&gt;0,Taostats_CSV!H665,Taostats_CSV!R665)))</f>
        <v>0.402928095</v>
      </c>
      <c r="G665" t="str">
        <f ca="1">IF(AND(Q665,N665=1),OFFSET(Taostats_CSV!$E$1,MATCH(K665&amp;H$1,Taostats_CSV!$X:$X,0)-1,0),"")</f>
        <v/>
      </c>
      <c r="H665" t="str">
        <f ca="1">IF(AND(Q665,N665=1),OFFSET(Taostats_CSV!$G$1,MATCH(K665&amp;H$1,Taostats_CSV!$X:$X,0)-1,0),"")</f>
        <v/>
      </c>
      <c r="I665" t="str">
        <f ca="1">IF(AND(LEN(K665)=0,LEN(F665)&gt;0),"Income",IF(AND(O665&gt;0,P665&gt;0,C665&lt;&gt;E665),"Trade",IF(AND(NOT(Q665),Taostats_CSV!F665="fee"),'READ ME'!$C$5,"")))</f>
        <v>Income</v>
      </c>
      <c r="J665" t="str">
        <f ca="1">SUBSTITUTE(IF(LEN(I665)=0,Taostats_CSV!F665&amp;" "&amp;Taostats_CSV!J665,IF(I665="Cost","Extrinsic fee","")),"_"," ")</f>
        <v/>
      </c>
      <c r="K665" t="str">
        <f>TRIM(IF(LEN(Taostats_CSV!I665)&gt;0,Taostats_CSV!I665,""))</f>
        <v/>
      </c>
      <c r="L665">
        <f ca="1">IF(Taostats_CSV!E665&lt;&gt;"TAO",IF(LEN(F665)&gt;0,F665,IF(LEN(D665)&gt;0,D665,0))*Taostats_CSV!P665,"")</f>
        <v>11.08741019082918</v>
      </c>
      <c r="M665" t="str">
        <f t="shared" ca="1" si="75"/>
        <v>USD</v>
      </c>
      <c r="N665">
        <f>COUNTIF(Taostats_CSV!$X:$X,Taostats_CSV!$I665&amp;N$1)</f>
        <v>0</v>
      </c>
      <c r="O665">
        <f>COUNTIF(Taostats_CSV!$X:$X,Taostats_CSV!$I665&amp;O$1)</f>
        <v>0</v>
      </c>
      <c r="P665">
        <f>COUNTIF(Taostats_CSV!$X:$X,Taostats_CSV!$I665&amp;P$1)</f>
        <v>0</v>
      </c>
      <c r="Q665" t="b">
        <f t="shared" si="76"/>
        <v>0</v>
      </c>
      <c r="R665" t="b">
        <f>IF(LEN(K665)&gt;0,COUNTIF($K$3:K665,K665),FALSE)</f>
        <v>0</v>
      </c>
      <c r="S665" t="b">
        <f>IF(Taostats_CSV!A665=Taostats_CSV!$A$2,TRUE,Taostats_CSV!G665+Taostats_CSV!H665+Taostats_CSV!R665=0)</f>
        <v>0</v>
      </c>
      <c r="T665" t="b">
        <f t="shared" si="77"/>
        <v>1</v>
      </c>
      <c r="U665" t="b" cm="1">
        <f t="array" aca="1" ref="U665" ca="1">AND(T665,OR(O665-N665&gt;1,P665&gt;1,ISERROR(A665:P665)))</f>
        <v>0</v>
      </c>
      <c r="W665" t="e">
        <f>MATCH(K665&amp;$W$2,Taostats_CSV!$X$3:$X$1167,0)</f>
        <v>#N/A</v>
      </c>
      <c r="X665" t="e">
        <f t="shared" ca="1" si="72"/>
        <v>#VALUE!</v>
      </c>
      <c r="Y665">
        <f t="shared" ca="1" si="73"/>
        <v>0.40292809499999999</v>
      </c>
      <c r="Z665" t="e">
        <f t="shared" ca="1" si="74"/>
        <v>#VALUE!</v>
      </c>
    </row>
    <row r="666" spans="1:26" x14ac:dyDescent="0.4">
      <c r="A666" t="str">
        <f>MID(Taostats_CSV!C666,6,2)&amp;"/"&amp;MID(Taostats_CSV!C666,9,2)&amp;"/"&amp;LEFT(Taostats_CSV!C666,4)&amp;" "&amp;MID(Taostats_CSV!C666,12,8)</f>
        <v>07/23/2025 23:59:48</v>
      </c>
      <c r="C666" t="str">
        <f ca="1">IF(Q666,OFFSET(Taostats_CSV!$E$1,MATCH(K666&amp;D$1,Taostats_CSV!$X:$X,0)-1,0),IF(Taostats_CSV!F666="fee",IF(VALUE(Taostats_CSV!G666)&gt;0,Taostats_CSV!E666,""),""))</f>
        <v/>
      </c>
      <c r="D666" t="str">
        <f ca="1">IF(Q666,OFFSET(Taostats_CSV!$G$1,MATCH(K666&amp;D$1,Taostats_CSV!$X:$X,0)-1,0),IF(Taostats_CSV!F666="fee",IF(VALUE(Taostats_CSV!G666)&gt;0,Taostats_CSV!G666,""),""))</f>
        <v/>
      </c>
      <c r="E666" t="str">
        <f ca="1">IF(AND(Q666,P666&gt;0),OFFSET(Taostats_CSV!$E$1,MATCH(K666&amp;F$1,Taostats_CSV!$X:$X,0)-1,0),IF(LEN(F666)&gt;0,Taostats_CSV!E666,""))</f>
        <v>SN56</v>
      </c>
      <c r="F666" t="str">
        <f ca="1">TRIM(IF(AND(Q666,P666&gt;0),OFFSET(Taostats_CSV!$H$1,MATCH(K666&amp;F$1,Taostats_CSV!$X:$X,0)-1,0),IF(LEN(Taostats_CSV!H666)&gt;0,Taostats_CSV!H666,Taostats_CSV!R666)))</f>
        <v>0.232751293</v>
      </c>
      <c r="G666" t="str">
        <f ca="1">IF(AND(Q666,N666=1),OFFSET(Taostats_CSV!$E$1,MATCH(K666&amp;H$1,Taostats_CSV!$X:$X,0)-1,0),"")</f>
        <v/>
      </c>
      <c r="H666" t="str">
        <f ca="1">IF(AND(Q666,N666=1),OFFSET(Taostats_CSV!$G$1,MATCH(K666&amp;H$1,Taostats_CSV!$X:$X,0)-1,0),"")</f>
        <v/>
      </c>
      <c r="I666" t="str">
        <f ca="1">IF(AND(LEN(K666)=0,LEN(F666)&gt;0),"Income",IF(AND(O666&gt;0,P666&gt;0,C666&lt;&gt;E666),"Trade",IF(AND(NOT(Q666),Taostats_CSV!F666="fee"),'READ ME'!$C$5,"")))</f>
        <v>Income</v>
      </c>
      <c r="J666" t="str">
        <f ca="1">SUBSTITUTE(IF(LEN(I666)=0,Taostats_CSV!F666&amp;" "&amp;Taostats_CSV!J666,IF(I666="Cost","Extrinsic fee","")),"_"," ")</f>
        <v/>
      </c>
      <c r="K666" t="str">
        <f>TRIM(IF(LEN(Taostats_CSV!I666)&gt;0,Taostats_CSV!I666,""))</f>
        <v/>
      </c>
      <c r="L666">
        <f ca="1">IF(Taostats_CSV!E666&lt;&gt;"TAO",IF(LEN(F666)&gt;0,F666,IF(LEN(D666)&gt;0,D666,0))*Taostats_CSV!P666,"")</f>
        <v>7.2922734464762566</v>
      </c>
      <c r="M666" t="str">
        <f t="shared" ca="1" si="75"/>
        <v>USD</v>
      </c>
      <c r="N666">
        <f>COUNTIF(Taostats_CSV!$X:$X,Taostats_CSV!$I666&amp;N$1)</f>
        <v>0</v>
      </c>
      <c r="O666">
        <f>COUNTIF(Taostats_CSV!$X:$X,Taostats_CSV!$I666&amp;O$1)</f>
        <v>0</v>
      </c>
      <c r="P666">
        <f>COUNTIF(Taostats_CSV!$X:$X,Taostats_CSV!$I666&amp;P$1)</f>
        <v>0</v>
      </c>
      <c r="Q666" t="b">
        <f t="shared" si="76"/>
        <v>0</v>
      </c>
      <c r="R666" t="b">
        <f>IF(LEN(K666)&gt;0,COUNTIF($K$3:K666,K666),FALSE)</f>
        <v>0</v>
      </c>
      <c r="S666" t="b">
        <f>IF(Taostats_CSV!A666=Taostats_CSV!$A$2,TRUE,Taostats_CSV!G666+Taostats_CSV!H666+Taostats_CSV!R666=0)</f>
        <v>0</v>
      </c>
      <c r="T666" t="b">
        <f t="shared" si="77"/>
        <v>1</v>
      </c>
      <c r="U666" t="b" cm="1">
        <f t="array" aca="1" ref="U666" ca="1">AND(T666,OR(O666-N666&gt;1,P666&gt;1,ISERROR(A666:P666)))</f>
        <v>0</v>
      </c>
      <c r="W666" t="e">
        <f>MATCH(K666&amp;$W$2,Taostats_CSV!$X$3:$X$1167,0)</f>
        <v>#N/A</v>
      </c>
      <c r="X666" t="e">
        <f t="shared" ca="1" si="72"/>
        <v>#VALUE!</v>
      </c>
      <c r="Y666">
        <f t="shared" ca="1" si="73"/>
        <v>0.232751293</v>
      </c>
      <c r="Z666" t="e">
        <f t="shared" ca="1" si="74"/>
        <v>#VALUE!</v>
      </c>
    </row>
    <row r="667" spans="1:26" x14ac:dyDescent="0.4">
      <c r="A667" t="str">
        <f>MID(Taostats_CSV!C667,6,2)&amp;"/"&amp;MID(Taostats_CSV!C667,9,2)&amp;"/"&amp;LEFT(Taostats_CSV!C667,4)&amp;" "&amp;MID(Taostats_CSV!C667,12,8)</f>
        <v>07/23/2025 23:59:48</v>
      </c>
      <c r="C667" t="str">
        <f ca="1">IF(Q667,OFFSET(Taostats_CSV!$E$1,MATCH(K667&amp;D$1,Taostats_CSV!$X:$X,0)-1,0),IF(Taostats_CSV!F667="fee",IF(VALUE(Taostats_CSV!G667)&gt;0,Taostats_CSV!E667,""),""))</f>
        <v/>
      </c>
      <c r="D667" t="str">
        <f ca="1">IF(Q667,OFFSET(Taostats_CSV!$G$1,MATCH(K667&amp;D$1,Taostats_CSV!$X:$X,0)-1,0),IF(Taostats_CSV!F667="fee",IF(VALUE(Taostats_CSV!G667)&gt;0,Taostats_CSV!G667,""),""))</f>
        <v/>
      </c>
      <c r="E667" t="str">
        <f ca="1">IF(AND(Q667,P667&gt;0),OFFSET(Taostats_CSV!$E$1,MATCH(K667&amp;F$1,Taostats_CSV!$X:$X,0)-1,0),IF(LEN(F667)&gt;0,Taostats_CSV!E667,""))</f>
        <v>SN64</v>
      </c>
      <c r="F667" t="str">
        <f ca="1">TRIM(IF(AND(Q667,P667&gt;0),OFFSET(Taostats_CSV!$H$1,MATCH(K667&amp;F$1,Taostats_CSV!$X:$X,0)-1,0),IF(LEN(Taostats_CSV!H667)&gt;0,Taostats_CSV!H667,Taostats_CSV!R667)))</f>
        <v>0.13701846</v>
      </c>
      <c r="G667" t="str">
        <f ca="1">IF(AND(Q667,N667=1),OFFSET(Taostats_CSV!$E$1,MATCH(K667&amp;H$1,Taostats_CSV!$X:$X,0)-1,0),"")</f>
        <v/>
      </c>
      <c r="H667" t="str">
        <f ca="1">IF(AND(Q667,N667=1),OFFSET(Taostats_CSV!$G$1,MATCH(K667&amp;H$1,Taostats_CSV!$X:$X,0)-1,0),"")</f>
        <v/>
      </c>
      <c r="I667" t="str">
        <f ca="1">IF(AND(LEN(K667)=0,LEN(F667)&gt;0),"Income",IF(AND(O667&gt;0,P667&gt;0,C667&lt;&gt;E667),"Trade",IF(AND(NOT(Q667),Taostats_CSV!F667="fee"),'READ ME'!$C$5,"")))</f>
        <v>Income</v>
      </c>
      <c r="J667" t="str">
        <f ca="1">SUBSTITUTE(IF(LEN(I667)=0,Taostats_CSV!F667&amp;" "&amp;Taostats_CSV!J667,IF(I667="Cost","Extrinsic fee","")),"_"," ")</f>
        <v/>
      </c>
      <c r="K667" t="str">
        <f>TRIM(IF(LEN(Taostats_CSV!I667)&gt;0,Taostats_CSV!I667,""))</f>
        <v/>
      </c>
      <c r="L667">
        <f ca="1">IF(Taostats_CSV!E667&lt;&gt;"TAO",IF(LEN(F667)&gt;0,F667,IF(LEN(D667)&gt;0,D667,0))*Taostats_CSV!P667,"")</f>
        <v>8.7804198620694898</v>
      </c>
      <c r="M667" t="str">
        <f t="shared" ca="1" si="75"/>
        <v>USD</v>
      </c>
      <c r="N667">
        <f>COUNTIF(Taostats_CSV!$X:$X,Taostats_CSV!$I667&amp;N$1)</f>
        <v>0</v>
      </c>
      <c r="O667">
        <f>COUNTIF(Taostats_CSV!$X:$X,Taostats_CSV!$I667&amp;O$1)</f>
        <v>0</v>
      </c>
      <c r="P667">
        <f>COUNTIF(Taostats_CSV!$X:$X,Taostats_CSV!$I667&amp;P$1)</f>
        <v>0</v>
      </c>
      <c r="Q667" t="b">
        <f t="shared" si="76"/>
        <v>0</v>
      </c>
      <c r="R667" t="b">
        <f>IF(LEN(K667)&gt;0,COUNTIF($K$3:K667,K667),FALSE)</f>
        <v>0</v>
      </c>
      <c r="S667" t="b">
        <f>IF(Taostats_CSV!A667=Taostats_CSV!$A$2,TRUE,Taostats_CSV!G667+Taostats_CSV!H667+Taostats_CSV!R667=0)</f>
        <v>0</v>
      </c>
      <c r="T667" t="b">
        <f t="shared" si="77"/>
        <v>1</v>
      </c>
      <c r="U667" t="b" cm="1">
        <f t="array" aca="1" ref="U667" ca="1">AND(T667,OR(O667-N667&gt;1,P667&gt;1,ISERROR(A667:P667)))</f>
        <v>0</v>
      </c>
      <c r="W667" t="e">
        <f>MATCH(K667&amp;$W$2,Taostats_CSV!$X$3:$X$1167,0)</f>
        <v>#N/A</v>
      </c>
      <c r="X667" t="e">
        <f t="shared" ca="1" si="72"/>
        <v>#VALUE!</v>
      </c>
      <c r="Y667">
        <f t="shared" ca="1" si="73"/>
        <v>0.13701846000000001</v>
      </c>
      <c r="Z667" t="e">
        <f t="shared" ca="1" si="74"/>
        <v>#VALUE!</v>
      </c>
    </row>
    <row r="668" spans="1:26" hidden="1" x14ac:dyDescent="0.4">
      <c r="A668" t="str">
        <f>MID(Taostats_CSV!C668,6,2)&amp;"/"&amp;MID(Taostats_CSV!C668,9,2)&amp;"/"&amp;LEFT(Taostats_CSV!C668,4)&amp;" "&amp;MID(Taostats_CSV!C668,12,8)</f>
        <v>07/23/2025 23:59:48</v>
      </c>
      <c r="C668" t="str">
        <f ca="1">IF(Q668,OFFSET(Taostats_CSV!$E$1,MATCH(K668&amp;D$1,Taostats_CSV!$X:$X,0)-1,0),IF(Taostats_CSV!F668="fee","",IF(VALUE(Taostats_CSV!G668)&gt;0,Taostats_CSV!E668,"")))</f>
        <v/>
      </c>
      <c r="D668" t="str">
        <f ca="1">IF(Q668,OFFSET(Taostats_CSV!$G$1,MATCH(K668&amp;D$1,Taostats_CSV!$X:$X,0)-1,0),IF(Taostats_CSV!F668="fee","",IF(VALUE(Taostats_CSV!G668)&gt;0,Taostats_CSV!G668,"")))</f>
        <v/>
      </c>
      <c r="E668" t="str">
        <f ca="1">IF(AND(Q668,P668&gt;0),OFFSET(Taostats_CSV!$E$1,MATCH(K668&amp;F$1,Taostats_CSV!$X:$X,0)-1,0),IF(LEN(F668)&gt;0,Taostats_CSV!E668,""))</f>
        <v>TAO</v>
      </c>
      <c r="F668" t="str">
        <f ca="1">TRIM(IF(AND(Q668,P668&gt;0),OFFSET(Taostats_CSV!$H$1,MATCH(K668&amp;F$1,Taostats_CSV!$X:$X,0)-1,0),IF(LEN(Taostats_CSV!H668)&gt;0,Taostats_CSV!H668,Taostats_CSV!R668)))</f>
        <v>0</v>
      </c>
      <c r="G668" t="str">
        <f ca="1">IF(AND(Q668,N668=1),OFFSET(Taostats_CSV!$E$1,MATCH(K668&amp;H$1,Taostats_CSV!$X:$X,0)-1,0),IF(Taostats_CSV!F668="fee",Taostats_CSV!E668,""))</f>
        <v/>
      </c>
      <c r="H668" t="str">
        <f ca="1">IF(AND(Q668,N668=1),OFFSET(Taostats_CSV!$G$1,MATCH(K668&amp;H$1,Taostats_CSV!$X:$X,0)-1,0),IF(Taostats_CSV!F668="fee",Taostats_CSV!G668,""))</f>
        <v/>
      </c>
      <c r="I668" t="str">
        <f ca="1">IF(AND(LEN(K668)=0,LEN(F668)&gt;0),"Income",IF(AND(O668&gt;0,P668&gt;0,C668&lt;&gt;E668),"Trade",IF(AND(NOT(Q668),Taostats_CSV!F668="fee"),'READ ME'!$C$5,"")))</f>
        <v>Income</v>
      </c>
      <c r="J668" t="str">
        <f ca="1">SUBSTITUTE(IF(LEN(I668)=0,Taostats_CSV!F668&amp;" "&amp;Taostats_CSV!J668,IF(I668="Cost","Extrinsic fee","")),"_"," ")</f>
        <v/>
      </c>
      <c r="K668" t="str">
        <f>TRIM(IF(LEN(Taostats_CSV!I668)&gt;0,Taostats_CSV!I668,""))</f>
        <v/>
      </c>
      <c r="L668" t="str">
        <f>IF(Taostats_CSV!E668&lt;&gt;"TAO",IF(LEN(F668)&gt;0,F668,IF(LEN(D668)&gt;0,D668,0))*Taostats_CSV!P668,"")</f>
        <v/>
      </c>
      <c r="M668" t="str">
        <f t="shared" si="75"/>
        <v/>
      </c>
      <c r="N668">
        <f>COUNTIF(Taostats_CSV!$X:$X,Taostats_CSV!$I668&amp;N$1)</f>
        <v>0</v>
      </c>
      <c r="O668">
        <f>COUNTIF(Taostats_CSV!$X:$X,Taostats_CSV!$I668&amp;O$1)</f>
        <v>0</v>
      </c>
      <c r="P668">
        <f>COUNTIF(Taostats_CSV!$X:$X,Taostats_CSV!$I668&amp;P$1)</f>
        <v>0</v>
      </c>
      <c r="Q668" t="b">
        <f t="shared" si="76"/>
        <v>0</v>
      </c>
      <c r="R668" t="b">
        <f>IF(LEN(K668)&gt;0,COUNTIF($K$3:K668,K668),FALSE)</f>
        <v>0</v>
      </c>
      <c r="S668" t="b">
        <f>IF(Taostats_CSV!A668=Taostats_CSV!$A$2,TRUE,Taostats_CSV!G668+Taostats_CSV!H668+Taostats_CSV!R668=0)</f>
        <v>1</v>
      </c>
      <c r="T668" t="b">
        <f t="shared" si="77"/>
        <v>0</v>
      </c>
      <c r="U668" t="b" cm="1">
        <f t="array" aca="1" ref="U668" ca="1">AND(T668,OR(O668-N668&gt;1,P668&gt;1,ISERROR(A668:P668)))</f>
        <v>0</v>
      </c>
      <c r="W668" t="e">
        <f>MATCH(K668&amp;$W$2,Taostats_CSV!$X$3:$X$1167,0)</f>
        <v>#N/A</v>
      </c>
      <c r="X668" t="e">
        <f t="shared" ca="1" si="72"/>
        <v>#VALUE!</v>
      </c>
      <c r="Y668">
        <f t="shared" ca="1" si="73"/>
        <v>0</v>
      </c>
      <c r="Z668" t="e">
        <f t="shared" ca="1" si="74"/>
        <v>#VALUE!</v>
      </c>
    </row>
    <row r="669" spans="1:26" x14ac:dyDescent="0.4">
      <c r="A669" t="str">
        <f>MID(Taostats_CSV!C669,6,2)&amp;"/"&amp;MID(Taostats_CSV!C669,9,2)&amp;"/"&amp;LEFT(Taostats_CSV!C669,4)&amp;" "&amp;MID(Taostats_CSV!C669,12,8)</f>
        <v>07/24/2025 23:59:48</v>
      </c>
      <c r="C669" t="str">
        <f ca="1">IF(Q669,OFFSET(Taostats_CSV!$E$1,MATCH(K669&amp;D$1,Taostats_CSV!$X:$X,0)-1,0),IF(Taostats_CSV!F669="fee",IF(VALUE(Taostats_CSV!G669)&gt;0,Taostats_CSV!E669,""),""))</f>
        <v/>
      </c>
      <c r="D669" t="str">
        <f ca="1">IF(Q669,OFFSET(Taostats_CSV!$G$1,MATCH(K669&amp;D$1,Taostats_CSV!$X:$X,0)-1,0),IF(Taostats_CSV!F669="fee",IF(VALUE(Taostats_CSV!G669)&gt;0,Taostats_CSV!G669,""),""))</f>
        <v/>
      </c>
      <c r="E669" t="str">
        <f ca="1">IF(AND(Q669,P669&gt;0),OFFSET(Taostats_CSV!$E$1,MATCH(K669&amp;F$1,Taostats_CSV!$X:$X,0)-1,0),IF(LEN(F669)&gt;0,Taostats_CSV!E669,""))</f>
        <v>SN3</v>
      </c>
      <c r="F669" t="str">
        <f ca="1">TRIM(IF(AND(Q669,P669&gt;0),OFFSET(Taostats_CSV!$H$1,MATCH(K669&amp;F$1,Taostats_CSV!$X:$X,0)-1,0),IF(LEN(Taostats_CSV!H669)&gt;0,Taostats_CSV!H669,Taostats_CSV!R669)))</f>
        <v>0.376799416</v>
      </c>
      <c r="G669" t="str">
        <f ca="1">IF(AND(Q669,N669=1),OFFSET(Taostats_CSV!$E$1,MATCH(K669&amp;H$1,Taostats_CSV!$X:$X,0)-1,0),"")</f>
        <v/>
      </c>
      <c r="H669" t="str">
        <f ca="1">IF(AND(Q669,N669=1),OFFSET(Taostats_CSV!$G$1,MATCH(K669&amp;H$1,Taostats_CSV!$X:$X,0)-1,0),"")</f>
        <v/>
      </c>
      <c r="I669" t="str">
        <f ca="1">IF(AND(LEN(K669)=0,LEN(F669)&gt;0),"Income",IF(AND(O669&gt;0,P669&gt;0,C669&lt;&gt;E669),"Trade",IF(AND(NOT(Q669),Taostats_CSV!F669="fee"),'READ ME'!$C$5,"")))</f>
        <v>Income</v>
      </c>
      <c r="J669" t="str">
        <f ca="1">SUBSTITUTE(IF(LEN(I669)=0,Taostats_CSV!F669&amp;" "&amp;Taostats_CSV!J669,IF(I669="Cost","Extrinsic fee","")),"_"," ")</f>
        <v/>
      </c>
      <c r="K669" t="str">
        <f>TRIM(IF(LEN(Taostats_CSV!I669)&gt;0,Taostats_CSV!I669,""))</f>
        <v/>
      </c>
      <c r="L669">
        <f ca="1">IF(Taostats_CSV!E669&lt;&gt;"TAO",IF(LEN(F669)&gt;0,F669,IF(LEN(D669)&gt;0,D669,0))*Taostats_CSV!P669,"")</f>
        <v>10.923665206703978</v>
      </c>
      <c r="M669" t="str">
        <f t="shared" ca="1" si="75"/>
        <v>USD</v>
      </c>
      <c r="N669">
        <f>COUNTIF(Taostats_CSV!$X:$X,Taostats_CSV!$I669&amp;N$1)</f>
        <v>0</v>
      </c>
      <c r="O669">
        <f>COUNTIF(Taostats_CSV!$X:$X,Taostats_CSV!$I669&amp;O$1)</f>
        <v>0</v>
      </c>
      <c r="P669">
        <f>COUNTIF(Taostats_CSV!$X:$X,Taostats_CSV!$I669&amp;P$1)</f>
        <v>0</v>
      </c>
      <c r="Q669" t="b">
        <f t="shared" si="76"/>
        <v>0</v>
      </c>
      <c r="R669" t="b">
        <f>IF(LEN(K669)&gt;0,COUNTIF($K$3:K669,K669),FALSE)</f>
        <v>0</v>
      </c>
      <c r="S669" t="b">
        <f>IF(Taostats_CSV!A669=Taostats_CSV!$A$2,TRUE,Taostats_CSV!G669+Taostats_CSV!H669+Taostats_CSV!R669=0)</f>
        <v>0</v>
      </c>
      <c r="T669" t="b">
        <f t="shared" si="77"/>
        <v>1</v>
      </c>
      <c r="U669" t="b" cm="1">
        <f t="array" aca="1" ref="U669" ca="1">AND(T669,OR(O669-N669&gt;1,P669&gt;1,ISERROR(A669:P669)))</f>
        <v>0</v>
      </c>
      <c r="W669" t="e">
        <f>MATCH(K669&amp;$W$2,Taostats_CSV!$X$3:$X$1167,0)</f>
        <v>#N/A</v>
      </c>
      <c r="X669" t="e">
        <f t="shared" ca="1" si="72"/>
        <v>#VALUE!</v>
      </c>
      <c r="Y669">
        <f t="shared" ca="1" si="73"/>
        <v>0.376799416</v>
      </c>
      <c r="Z669" t="e">
        <f t="shared" ca="1" si="74"/>
        <v>#VALUE!</v>
      </c>
    </row>
    <row r="670" spans="1:26" x14ac:dyDescent="0.4">
      <c r="A670" t="str">
        <f>MID(Taostats_CSV!C670,6,2)&amp;"/"&amp;MID(Taostats_CSV!C670,9,2)&amp;"/"&amp;LEFT(Taostats_CSV!C670,4)&amp;" "&amp;MID(Taostats_CSV!C670,12,8)</f>
        <v>07/24/2025 23:59:48</v>
      </c>
      <c r="C670" t="str">
        <f ca="1">IF(Q670,OFFSET(Taostats_CSV!$E$1,MATCH(K670&amp;D$1,Taostats_CSV!$X:$X,0)-1,0),IF(Taostats_CSV!F670="fee",IF(VALUE(Taostats_CSV!G670)&gt;0,Taostats_CSV!E670,""),""))</f>
        <v/>
      </c>
      <c r="D670" t="str">
        <f ca="1">IF(Q670,OFFSET(Taostats_CSV!$G$1,MATCH(K670&amp;D$1,Taostats_CSV!$X:$X,0)-1,0),IF(Taostats_CSV!F670="fee",IF(VALUE(Taostats_CSV!G670)&gt;0,Taostats_CSV!G670,""),""))</f>
        <v/>
      </c>
      <c r="E670" t="str">
        <f ca="1">IF(AND(Q670,P670&gt;0),OFFSET(Taostats_CSV!$E$1,MATCH(K670&amp;F$1,Taostats_CSV!$X:$X,0)-1,0),IF(LEN(F670)&gt;0,Taostats_CSV!E670,""))</f>
        <v>SN4</v>
      </c>
      <c r="F670" t="str">
        <f ca="1">TRIM(IF(AND(Q670,P670&gt;0),OFFSET(Taostats_CSV!$H$1,MATCH(K670&amp;F$1,Taostats_CSV!$X:$X,0)-1,0),IF(LEN(Taostats_CSV!H670)&gt;0,Taostats_CSV!H670,Taostats_CSV!R670)))</f>
        <v>0.403603652</v>
      </c>
      <c r="G670" t="str">
        <f ca="1">IF(AND(Q670,N670=1),OFFSET(Taostats_CSV!$E$1,MATCH(K670&amp;H$1,Taostats_CSV!$X:$X,0)-1,0),"")</f>
        <v/>
      </c>
      <c r="H670" t="str">
        <f ca="1">IF(AND(Q670,N670=1),OFFSET(Taostats_CSV!$G$1,MATCH(K670&amp;H$1,Taostats_CSV!$X:$X,0)-1,0),"")</f>
        <v/>
      </c>
      <c r="I670" t="str">
        <f ca="1">IF(AND(LEN(K670)=0,LEN(F670)&gt;0),"Income",IF(AND(O670&gt;0,P670&gt;0,C670&lt;&gt;E670),"Trade",IF(AND(NOT(Q670),Taostats_CSV!F670="fee"),'READ ME'!$C$5,"")))</f>
        <v>Income</v>
      </c>
      <c r="J670" t="str">
        <f ca="1">SUBSTITUTE(IF(LEN(I670)=0,Taostats_CSV!F670&amp;" "&amp;Taostats_CSV!J670,IF(I670="Cost","Extrinsic fee","")),"_"," ")</f>
        <v/>
      </c>
      <c r="K670" t="str">
        <f>TRIM(IF(LEN(Taostats_CSV!I670)&gt;0,Taostats_CSV!I670,""))</f>
        <v/>
      </c>
      <c r="L670">
        <f ca="1">IF(Taostats_CSV!E670&lt;&gt;"TAO",IF(LEN(F670)&gt;0,F670,IF(LEN(D670)&gt;0,D670,0))*Taostats_CSV!P670,"")</f>
        <v>10.822523141948487</v>
      </c>
      <c r="M670" t="str">
        <f t="shared" ca="1" si="75"/>
        <v>USD</v>
      </c>
      <c r="N670">
        <f>COUNTIF(Taostats_CSV!$X:$X,Taostats_CSV!$I670&amp;N$1)</f>
        <v>0</v>
      </c>
      <c r="O670">
        <f>COUNTIF(Taostats_CSV!$X:$X,Taostats_CSV!$I670&amp;O$1)</f>
        <v>0</v>
      </c>
      <c r="P670">
        <f>COUNTIF(Taostats_CSV!$X:$X,Taostats_CSV!$I670&amp;P$1)</f>
        <v>0</v>
      </c>
      <c r="Q670" t="b">
        <f t="shared" si="76"/>
        <v>0</v>
      </c>
      <c r="R670" t="b">
        <f>IF(LEN(K670)&gt;0,COUNTIF($K$3:K670,K670),FALSE)</f>
        <v>0</v>
      </c>
      <c r="S670" t="b">
        <f>IF(Taostats_CSV!A670=Taostats_CSV!$A$2,TRUE,Taostats_CSV!G670+Taostats_CSV!H670+Taostats_CSV!R670=0)</f>
        <v>0</v>
      </c>
      <c r="T670" t="b">
        <f t="shared" si="77"/>
        <v>1</v>
      </c>
      <c r="U670" t="b" cm="1">
        <f t="array" aca="1" ref="U670" ca="1">AND(T670,OR(O670-N670&gt;1,P670&gt;1,ISERROR(A670:P670)))</f>
        <v>0</v>
      </c>
      <c r="W670" t="e">
        <f>MATCH(K670&amp;$W$2,Taostats_CSV!$X$3:$X$1167,0)</f>
        <v>#N/A</v>
      </c>
      <c r="X670" t="e">
        <f t="shared" ca="1" si="72"/>
        <v>#VALUE!</v>
      </c>
      <c r="Y670">
        <f t="shared" ca="1" si="73"/>
        <v>0.40360365199999998</v>
      </c>
      <c r="Z670" t="e">
        <f t="shared" ca="1" si="74"/>
        <v>#VALUE!</v>
      </c>
    </row>
    <row r="671" spans="1:26" x14ac:dyDescent="0.4">
      <c r="A671" t="str">
        <f>MID(Taostats_CSV!C671,6,2)&amp;"/"&amp;MID(Taostats_CSV!C671,9,2)&amp;"/"&amp;LEFT(Taostats_CSV!C671,4)&amp;" "&amp;MID(Taostats_CSV!C671,12,8)</f>
        <v>07/24/2025 23:59:48</v>
      </c>
      <c r="C671" t="str">
        <f ca="1">IF(Q671,OFFSET(Taostats_CSV!$E$1,MATCH(K671&amp;D$1,Taostats_CSV!$X:$X,0)-1,0),IF(Taostats_CSV!F671="fee",IF(VALUE(Taostats_CSV!G671)&gt;0,Taostats_CSV!E671,""),""))</f>
        <v/>
      </c>
      <c r="D671" t="str">
        <f ca="1">IF(Q671,OFFSET(Taostats_CSV!$G$1,MATCH(K671&amp;D$1,Taostats_CSV!$X:$X,0)-1,0),IF(Taostats_CSV!F671="fee",IF(VALUE(Taostats_CSV!G671)&gt;0,Taostats_CSV!G671,""),""))</f>
        <v/>
      </c>
      <c r="E671" t="str">
        <f ca="1">IF(AND(Q671,P671&gt;0),OFFSET(Taostats_CSV!$E$1,MATCH(K671&amp;F$1,Taostats_CSV!$X:$X,0)-1,0),IF(LEN(F671)&gt;0,Taostats_CSV!E671,""))</f>
        <v>SN56</v>
      </c>
      <c r="F671" t="str">
        <f ca="1">TRIM(IF(AND(Q671,P671&gt;0),OFFSET(Taostats_CSV!$H$1,MATCH(K671&amp;F$1,Taostats_CSV!$X:$X,0)-1,0),IF(LEN(Taostats_CSV!H671)&gt;0,Taostats_CSV!H671,Taostats_CSV!R671)))</f>
        <v>0.226792614</v>
      </c>
      <c r="G671" t="str">
        <f ca="1">IF(AND(Q671,N671=1),OFFSET(Taostats_CSV!$E$1,MATCH(K671&amp;H$1,Taostats_CSV!$X:$X,0)-1,0),"")</f>
        <v/>
      </c>
      <c r="H671" t="str">
        <f ca="1">IF(AND(Q671,N671=1),OFFSET(Taostats_CSV!$G$1,MATCH(K671&amp;H$1,Taostats_CSV!$X:$X,0)-1,0),"")</f>
        <v/>
      </c>
      <c r="I671" t="str">
        <f ca="1">IF(AND(LEN(K671)=0,LEN(F671)&gt;0),"Income",IF(AND(O671&gt;0,P671&gt;0,C671&lt;&gt;E671),"Trade",IF(AND(NOT(Q671),Taostats_CSV!F671="fee"),'READ ME'!$C$5,"")))</f>
        <v>Income</v>
      </c>
      <c r="J671" t="str">
        <f ca="1">SUBSTITUTE(IF(LEN(I671)=0,Taostats_CSV!F671&amp;" "&amp;Taostats_CSV!J671,IF(I671="Cost","Extrinsic fee","")),"_"," ")</f>
        <v/>
      </c>
      <c r="K671" t="str">
        <f>TRIM(IF(LEN(Taostats_CSV!I671)&gt;0,Taostats_CSV!I671,""))</f>
        <v/>
      </c>
      <c r="L671">
        <f ca="1">IF(Taostats_CSV!E671&lt;&gt;"TAO",IF(LEN(F671)&gt;0,F671,IF(LEN(D671)&gt;0,D671,0))*Taostats_CSV!P671,"")</f>
        <v>6.8235019834210329</v>
      </c>
      <c r="M671" t="str">
        <f t="shared" ca="1" si="75"/>
        <v>USD</v>
      </c>
      <c r="N671">
        <f>COUNTIF(Taostats_CSV!$X:$X,Taostats_CSV!$I671&amp;N$1)</f>
        <v>0</v>
      </c>
      <c r="O671">
        <f>COUNTIF(Taostats_CSV!$X:$X,Taostats_CSV!$I671&amp;O$1)</f>
        <v>0</v>
      </c>
      <c r="P671">
        <f>COUNTIF(Taostats_CSV!$X:$X,Taostats_CSV!$I671&amp;P$1)</f>
        <v>0</v>
      </c>
      <c r="Q671" t="b">
        <f t="shared" si="76"/>
        <v>0</v>
      </c>
      <c r="R671" t="b">
        <f>IF(LEN(K671)&gt;0,COUNTIF($K$3:K671,K671),FALSE)</f>
        <v>0</v>
      </c>
      <c r="S671" t="b">
        <f>IF(Taostats_CSV!A671=Taostats_CSV!$A$2,TRUE,Taostats_CSV!G671+Taostats_CSV!H671+Taostats_CSV!R671=0)</f>
        <v>0</v>
      </c>
      <c r="T671" t="b">
        <f t="shared" si="77"/>
        <v>1</v>
      </c>
      <c r="U671" t="b" cm="1">
        <f t="array" aca="1" ref="U671" ca="1">AND(T671,OR(O671-N671&gt;1,P671&gt;1,ISERROR(A671:P671)))</f>
        <v>0</v>
      </c>
      <c r="W671" t="e">
        <f>MATCH(K671&amp;$W$2,Taostats_CSV!$X$3:$X$1167,0)</f>
        <v>#N/A</v>
      </c>
      <c r="X671" t="e">
        <f t="shared" ca="1" si="72"/>
        <v>#VALUE!</v>
      </c>
      <c r="Y671">
        <f t="shared" ca="1" si="73"/>
        <v>0.226792614</v>
      </c>
      <c r="Z671" t="e">
        <f t="shared" ca="1" si="74"/>
        <v>#VALUE!</v>
      </c>
    </row>
    <row r="672" spans="1:26" x14ac:dyDescent="0.4">
      <c r="A672" t="str">
        <f>MID(Taostats_CSV!C672,6,2)&amp;"/"&amp;MID(Taostats_CSV!C672,9,2)&amp;"/"&amp;LEFT(Taostats_CSV!C672,4)&amp;" "&amp;MID(Taostats_CSV!C672,12,8)</f>
        <v>07/24/2025 23:59:48</v>
      </c>
      <c r="C672" t="str">
        <f ca="1">IF(Q672,OFFSET(Taostats_CSV!$E$1,MATCH(K672&amp;D$1,Taostats_CSV!$X:$X,0)-1,0),IF(Taostats_CSV!F672="fee",IF(VALUE(Taostats_CSV!G672)&gt;0,Taostats_CSV!E672,""),""))</f>
        <v/>
      </c>
      <c r="D672" t="str">
        <f ca="1">IF(Q672,OFFSET(Taostats_CSV!$G$1,MATCH(K672&amp;D$1,Taostats_CSV!$X:$X,0)-1,0),IF(Taostats_CSV!F672="fee",IF(VALUE(Taostats_CSV!G672)&gt;0,Taostats_CSV!G672,""),""))</f>
        <v/>
      </c>
      <c r="E672" t="str">
        <f ca="1">IF(AND(Q672,P672&gt;0),OFFSET(Taostats_CSV!$E$1,MATCH(K672&amp;F$1,Taostats_CSV!$X:$X,0)-1,0),IF(LEN(F672)&gt;0,Taostats_CSV!E672,""))</f>
        <v>SN64</v>
      </c>
      <c r="F672" t="str">
        <f ca="1">TRIM(IF(AND(Q672,P672&gt;0),OFFSET(Taostats_CSV!$H$1,MATCH(K672&amp;F$1,Taostats_CSV!$X:$X,0)-1,0),IF(LEN(Taostats_CSV!H672)&gt;0,Taostats_CSV!H672,Taostats_CSV!R672)))</f>
        <v>0.139602172</v>
      </c>
      <c r="G672" t="str">
        <f ca="1">IF(AND(Q672,N672=1),OFFSET(Taostats_CSV!$E$1,MATCH(K672&amp;H$1,Taostats_CSV!$X:$X,0)-1,0),"")</f>
        <v/>
      </c>
      <c r="H672" t="str">
        <f ca="1">IF(AND(Q672,N672=1),OFFSET(Taostats_CSV!$G$1,MATCH(K672&amp;H$1,Taostats_CSV!$X:$X,0)-1,0),"")</f>
        <v/>
      </c>
      <c r="I672" t="str">
        <f ca="1">IF(AND(LEN(K672)=0,LEN(F672)&gt;0),"Income",IF(AND(O672&gt;0,P672&gt;0,C672&lt;&gt;E672),"Trade",IF(AND(NOT(Q672),Taostats_CSV!F672="fee"),'READ ME'!$C$5,"")))</f>
        <v>Income</v>
      </c>
      <c r="J672" t="str">
        <f ca="1">SUBSTITUTE(IF(LEN(I672)=0,Taostats_CSV!F672&amp;" "&amp;Taostats_CSV!J672,IF(I672="Cost","Extrinsic fee","")),"_"," ")</f>
        <v/>
      </c>
      <c r="K672" t="str">
        <f>TRIM(IF(LEN(Taostats_CSV!I672)&gt;0,Taostats_CSV!I672,""))</f>
        <v/>
      </c>
      <c r="L672">
        <f ca="1">IF(Taostats_CSV!E672&lt;&gt;"TAO",IF(LEN(F672)&gt;0,F672,IF(LEN(D672)&gt;0,D672,0))*Taostats_CSV!P672,"")</f>
        <v>8.4363883958752464</v>
      </c>
      <c r="M672" t="str">
        <f t="shared" ca="1" si="75"/>
        <v>USD</v>
      </c>
      <c r="N672">
        <f>COUNTIF(Taostats_CSV!$X:$X,Taostats_CSV!$I672&amp;N$1)</f>
        <v>0</v>
      </c>
      <c r="O672">
        <f>COUNTIF(Taostats_CSV!$X:$X,Taostats_CSV!$I672&amp;O$1)</f>
        <v>0</v>
      </c>
      <c r="P672">
        <f>COUNTIF(Taostats_CSV!$X:$X,Taostats_CSV!$I672&amp;P$1)</f>
        <v>0</v>
      </c>
      <c r="Q672" t="b">
        <f t="shared" si="76"/>
        <v>0</v>
      </c>
      <c r="R672" t="b">
        <f>IF(LEN(K672)&gt;0,COUNTIF($K$3:K672,K672),FALSE)</f>
        <v>0</v>
      </c>
      <c r="S672" t="b">
        <f>IF(Taostats_CSV!A672=Taostats_CSV!$A$2,TRUE,Taostats_CSV!G672+Taostats_CSV!H672+Taostats_CSV!R672=0)</f>
        <v>0</v>
      </c>
      <c r="T672" t="b">
        <f t="shared" si="77"/>
        <v>1</v>
      </c>
      <c r="U672" t="b" cm="1">
        <f t="array" aca="1" ref="U672" ca="1">AND(T672,OR(O672-N672&gt;1,P672&gt;1,ISERROR(A672:P672)))</f>
        <v>0</v>
      </c>
      <c r="W672" t="e">
        <f>MATCH(K672&amp;$W$2,Taostats_CSV!$X$3:$X$1167,0)</f>
        <v>#N/A</v>
      </c>
      <c r="X672" t="e">
        <f t="shared" ca="1" si="72"/>
        <v>#VALUE!</v>
      </c>
      <c r="Y672">
        <f t="shared" ca="1" si="73"/>
        <v>0.139602172</v>
      </c>
      <c r="Z672" t="e">
        <f t="shared" ca="1" si="74"/>
        <v>#VALUE!</v>
      </c>
    </row>
    <row r="673" spans="1:26" hidden="1" x14ac:dyDescent="0.4">
      <c r="A673" t="str">
        <f>MID(Taostats_CSV!C673,6,2)&amp;"/"&amp;MID(Taostats_CSV!C673,9,2)&amp;"/"&amp;LEFT(Taostats_CSV!C673,4)&amp;" "&amp;MID(Taostats_CSV!C673,12,8)</f>
        <v>07/24/2025 23:59:48</v>
      </c>
      <c r="C673" t="str">
        <f ca="1">IF(Q673,OFFSET(Taostats_CSV!$E$1,MATCH(K673&amp;D$1,Taostats_CSV!$X:$X,0)-1,0),IF(Taostats_CSV!F673="fee","",IF(VALUE(Taostats_CSV!G673)&gt;0,Taostats_CSV!E673,"")))</f>
        <v/>
      </c>
      <c r="D673" t="str">
        <f ca="1">IF(Q673,OFFSET(Taostats_CSV!$G$1,MATCH(K673&amp;D$1,Taostats_CSV!$X:$X,0)-1,0),IF(Taostats_CSV!F673="fee","",IF(VALUE(Taostats_CSV!G673)&gt;0,Taostats_CSV!G673,"")))</f>
        <v/>
      </c>
      <c r="E673" t="str">
        <f ca="1">IF(AND(Q673,P673&gt;0),OFFSET(Taostats_CSV!$E$1,MATCH(K673&amp;F$1,Taostats_CSV!$X:$X,0)-1,0),IF(LEN(F673)&gt;0,Taostats_CSV!E673,""))</f>
        <v>TAO</v>
      </c>
      <c r="F673" t="str">
        <f ca="1">TRIM(IF(AND(Q673,P673&gt;0),OFFSET(Taostats_CSV!$H$1,MATCH(K673&amp;F$1,Taostats_CSV!$X:$X,0)-1,0),IF(LEN(Taostats_CSV!H673)&gt;0,Taostats_CSV!H673,Taostats_CSV!R673)))</f>
        <v>0</v>
      </c>
      <c r="G673" t="str">
        <f ca="1">IF(AND(Q673,N673=1),OFFSET(Taostats_CSV!$E$1,MATCH(K673&amp;H$1,Taostats_CSV!$X:$X,0)-1,0),IF(Taostats_CSV!F673="fee",Taostats_CSV!E673,""))</f>
        <v/>
      </c>
      <c r="H673" t="str">
        <f ca="1">IF(AND(Q673,N673=1),OFFSET(Taostats_CSV!$G$1,MATCH(K673&amp;H$1,Taostats_CSV!$X:$X,0)-1,0),IF(Taostats_CSV!F673="fee",Taostats_CSV!G673,""))</f>
        <v/>
      </c>
      <c r="I673" t="str">
        <f ca="1">IF(AND(LEN(K673)=0,LEN(F673)&gt;0),"Income",IF(AND(O673&gt;0,P673&gt;0,C673&lt;&gt;E673),"Trade",IF(AND(NOT(Q673),Taostats_CSV!F673="fee"),'READ ME'!$C$5,"")))</f>
        <v>Income</v>
      </c>
      <c r="J673" t="str">
        <f ca="1">SUBSTITUTE(IF(LEN(I673)=0,Taostats_CSV!F673&amp;" "&amp;Taostats_CSV!J673,IF(I673="Cost","Extrinsic fee","")),"_"," ")</f>
        <v/>
      </c>
      <c r="K673" t="str">
        <f>TRIM(IF(LEN(Taostats_CSV!I673)&gt;0,Taostats_CSV!I673,""))</f>
        <v/>
      </c>
      <c r="L673" t="str">
        <f>IF(Taostats_CSV!E673&lt;&gt;"TAO",IF(LEN(F673)&gt;0,F673,IF(LEN(D673)&gt;0,D673,0))*Taostats_CSV!P673,"")</f>
        <v/>
      </c>
      <c r="M673" t="str">
        <f t="shared" si="75"/>
        <v/>
      </c>
      <c r="N673">
        <f>COUNTIF(Taostats_CSV!$X:$X,Taostats_CSV!$I673&amp;N$1)</f>
        <v>0</v>
      </c>
      <c r="O673">
        <f>COUNTIF(Taostats_CSV!$X:$X,Taostats_CSV!$I673&amp;O$1)</f>
        <v>0</v>
      </c>
      <c r="P673">
        <f>COUNTIF(Taostats_CSV!$X:$X,Taostats_CSV!$I673&amp;P$1)</f>
        <v>0</v>
      </c>
      <c r="Q673" t="b">
        <f t="shared" si="76"/>
        <v>0</v>
      </c>
      <c r="R673" t="b">
        <f>IF(LEN(K673)&gt;0,COUNTIF($K$3:K673,K673),FALSE)</f>
        <v>0</v>
      </c>
      <c r="S673" t="b">
        <f>IF(Taostats_CSV!A673=Taostats_CSV!$A$2,TRUE,Taostats_CSV!G673+Taostats_CSV!H673+Taostats_CSV!R673=0)</f>
        <v>1</v>
      </c>
      <c r="T673" t="b">
        <f t="shared" si="77"/>
        <v>0</v>
      </c>
      <c r="U673" t="b" cm="1">
        <f t="array" aca="1" ref="U673" ca="1">AND(T673,OR(O673-N673&gt;1,P673&gt;1,ISERROR(A673:P673)))</f>
        <v>0</v>
      </c>
      <c r="W673" t="e">
        <f>MATCH(K673&amp;$W$2,Taostats_CSV!$X$3:$X$1167,0)</f>
        <v>#N/A</v>
      </c>
      <c r="X673" t="e">
        <f t="shared" ca="1" si="72"/>
        <v>#VALUE!</v>
      </c>
      <c r="Y673">
        <f t="shared" ca="1" si="73"/>
        <v>0</v>
      </c>
      <c r="Z673" t="e">
        <f t="shared" ca="1" si="74"/>
        <v>#VALUE!</v>
      </c>
    </row>
    <row r="674" spans="1:26" x14ac:dyDescent="0.4">
      <c r="A674" t="str">
        <f>MID(Taostats_CSV!C674,6,2)&amp;"/"&amp;MID(Taostats_CSV!C674,9,2)&amp;"/"&amp;LEFT(Taostats_CSV!C674,4)&amp;" "&amp;MID(Taostats_CSV!C674,12,8)</f>
        <v>07/25/2025 23:59:48</v>
      </c>
      <c r="C674" t="str">
        <f ca="1">IF(Q674,OFFSET(Taostats_CSV!$E$1,MATCH(K674&amp;D$1,Taostats_CSV!$X:$X,0)-1,0),IF(Taostats_CSV!F674="fee",IF(VALUE(Taostats_CSV!G674)&gt;0,Taostats_CSV!E674,""),""))</f>
        <v/>
      </c>
      <c r="D674" t="str">
        <f ca="1">IF(Q674,OFFSET(Taostats_CSV!$G$1,MATCH(K674&amp;D$1,Taostats_CSV!$X:$X,0)-1,0),IF(Taostats_CSV!F674="fee",IF(VALUE(Taostats_CSV!G674)&gt;0,Taostats_CSV!G674,""),""))</f>
        <v/>
      </c>
      <c r="E674" t="str">
        <f ca="1">IF(AND(Q674,P674&gt;0),OFFSET(Taostats_CSV!$E$1,MATCH(K674&amp;F$1,Taostats_CSV!$X:$X,0)-1,0),IF(LEN(F674)&gt;0,Taostats_CSV!E674,""))</f>
        <v>SN3</v>
      </c>
      <c r="F674" t="str">
        <f ca="1">TRIM(IF(AND(Q674,P674&gt;0),OFFSET(Taostats_CSV!$H$1,MATCH(K674&amp;F$1,Taostats_CSV!$X:$X,0)-1,0),IF(LEN(Taostats_CSV!H674)&gt;0,Taostats_CSV!H674,Taostats_CSV!R674)))</f>
        <v>0.377680533</v>
      </c>
      <c r="G674" t="str">
        <f ca="1">IF(AND(Q674,N674=1),OFFSET(Taostats_CSV!$E$1,MATCH(K674&amp;H$1,Taostats_CSV!$X:$X,0)-1,0),"")</f>
        <v/>
      </c>
      <c r="H674" t="str">
        <f ca="1">IF(AND(Q674,N674=1),OFFSET(Taostats_CSV!$G$1,MATCH(K674&amp;H$1,Taostats_CSV!$X:$X,0)-1,0),"")</f>
        <v/>
      </c>
      <c r="I674" t="str">
        <f ca="1">IF(AND(LEN(K674)=0,LEN(F674)&gt;0),"Income",IF(AND(O674&gt;0,P674&gt;0,C674&lt;&gt;E674),"Trade",IF(AND(NOT(Q674),Taostats_CSV!F674="fee"),'READ ME'!$C$5,"")))</f>
        <v>Income</v>
      </c>
      <c r="J674" t="str">
        <f ca="1">SUBSTITUTE(IF(LEN(I674)=0,Taostats_CSV!F674&amp;" "&amp;Taostats_CSV!J674,IF(I674="Cost","Extrinsic fee","")),"_"," ")</f>
        <v/>
      </c>
      <c r="K674" t="str">
        <f>TRIM(IF(LEN(Taostats_CSV!I674)&gt;0,Taostats_CSV!I674,""))</f>
        <v/>
      </c>
      <c r="L674">
        <f ca="1">IF(Taostats_CSV!E674&lt;&gt;"TAO",IF(LEN(F674)&gt;0,F674,IF(LEN(D674)&gt;0,D674,0))*Taostats_CSV!P674,"")</f>
        <v>11.095576351029338</v>
      </c>
      <c r="M674" t="str">
        <f t="shared" ca="1" si="75"/>
        <v>USD</v>
      </c>
      <c r="N674">
        <f>COUNTIF(Taostats_CSV!$X:$X,Taostats_CSV!$I674&amp;N$1)</f>
        <v>0</v>
      </c>
      <c r="O674">
        <f>COUNTIF(Taostats_CSV!$X:$X,Taostats_CSV!$I674&amp;O$1)</f>
        <v>0</v>
      </c>
      <c r="P674">
        <f>COUNTIF(Taostats_CSV!$X:$X,Taostats_CSV!$I674&amp;P$1)</f>
        <v>0</v>
      </c>
      <c r="Q674" t="b">
        <f t="shared" si="76"/>
        <v>0</v>
      </c>
      <c r="R674" t="b">
        <f>IF(LEN(K674)&gt;0,COUNTIF($K$3:K674,K674),FALSE)</f>
        <v>0</v>
      </c>
      <c r="S674" t="b">
        <f>IF(Taostats_CSV!A674=Taostats_CSV!$A$2,TRUE,Taostats_CSV!G674+Taostats_CSV!H674+Taostats_CSV!R674=0)</f>
        <v>0</v>
      </c>
      <c r="T674" t="b">
        <f t="shared" si="77"/>
        <v>1</v>
      </c>
      <c r="U674" t="b" cm="1">
        <f t="array" aca="1" ref="U674" ca="1">AND(T674,OR(O674-N674&gt;1,P674&gt;1,ISERROR(A674:P674)))</f>
        <v>0</v>
      </c>
      <c r="W674" t="e">
        <f>MATCH(K674&amp;$W$2,Taostats_CSV!$X$3:$X$1167,0)</f>
        <v>#N/A</v>
      </c>
      <c r="X674" t="e">
        <f t="shared" ca="1" si="72"/>
        <v>#VALUE!</v>
      </c>
      <c r="Y674">
        <f t="shared" ca="1" si="73"/>
        <v>0.37768053299999998</v>
      </c>
      <c r="Z674" t="e">
        <f t="shared" ca="1" si="74"/>
        <v>#VALUE!</v>
      </c>
    </row>
    <row r="675" spans="1:26" x14ac:dyDescent="0.4">
      <c r="A675" t="str">
        <f>MID(Taostats_CSV!C675,6,2)&amp;"/"&amp;MID(Taostats_CSV!C675,9,2)&amp;"/"&amp;LEFT(Taostats_CSV!C675,4)&amp;" "&amp;MID(Taostats_CSV!C675,12,8)</f>
        <v>07/25/2025 23:59:48</v>
      </c>
      <c r="C675" t="str">
        <f ca="1">IF(Q675,OFFSET(Taostats_CSV!$E$1,MATCH(K675&amp;D$1,Taostats_CSV!$X:$X,0)-1,0),IF(Taostats_CSV!F675="fee",IF(VALUE(Taostats_CSV!G675)&gt;0,Taostats_CSV!E675,""),""))</f>
        <v/>
      </c>
      <c r="D675" t="str">
        <f ca="1">IF(Q675,OFFSET(Taostats_CSV!$G$1,MATCH(K675&amp;D$1,Taostats_CSV!$X:$X,0)-1,0),IF(Taostats_CSV!F675="fee",IF(VALUE(Taostats_CSV!G675)&gt;0,Taostats_CSV!G675,""),""))</f>
        <v/>
      </c>
      <c r="E675" t="str">
        <f ca="1">IF(AND(Q675,P675&gt;0),OFFSET(Taostats_CSV!$E$1,MATCH(K675&amp;F$1,Taostats_CSV!$X:$X,0)-1,0),IF(LEN(F675)&gt;0,Taostats_CSV!E675,""))</f>
        <v>SN4</v>
      </c>
      <c r="F675" t="str">
        <f ca="1">TRIM(IF(AND(Q675,P675&gt;0),OFFSET(Taostats_CSV!$H$1,MATCH(K675&amp;F$1,Taostats_CSV!$X:$X,0)-1,0),IF(LEN(Taostats_CSV!H675)&gt;0,Taostats_CSV!H675,Taostats_CSV!R675)))</f>
        <v>0.403945513</v>
      </c>
      <c r="G675" t="str">
        <f ca="1">IF(AND(Q675,N675=1),OFFSET(Taostats_CSV!$E$1,MATCH(K675&amp;H$1,Taostats_CSV!$X:$X,0)-1,0),"")</f>
        <v/>
      </c>
      <c r="H675" t="str">
        <f ca="1">IF(AND(Q675,N675=1),OFFSET(Taostats_CSV!$G$1,MATCH(K675&amp;H$1,Taostats_CSV!$X:$X,0)-1,0),"")</f>
        <v/>
      </c>
      <c r="I675" t="str">
        <f ca="1">IF(AND(LEN(K675)=0,LEN(F675)&gt;0),"Income",IF(AND(O675&gt;0,P675&gt;0,C675&lt;&gt;E675),"Trade",IF(AND(NOT(Q675),Taostats_CSV!F675="fee"),'READ ME'!$C$5,"")))</f>
        <v>Income</v>
      </c>
      <c r="J675" t="str">
        <f ca="1">SUBSTITUTE(IF(LEN(I675)=0,Taostats_CSV!F675&amp;" "&amp;Taostats_CSV!J675,IF(I675="Cost","Extrinsic fee","")),"_"," ")</f>
        <v/>
      </c>
      <c r="K675" t="str">
        <f>TRIM(IF(LEN(Taostats_CSV!I675)&gt;0,Taostats_CSV!I675,""))</f>
        <v/>
      </c>
      <c r="L675">
        <f ca="1">IF(Taostats_CSV!E675&lt;&gt;"TAO",IF(LEN(F675)&gt;0,F675,IF(LEN(D675)&gt;0,D675,0))*Taostats_CSV!P675,"")</f>
        <v>10.950476242110055</v>
      </c>
      <c r="M675" t="str">
        <f t="shared" ca="1" si="75"/>
        <v>USD</v>
      </c>
      <c r="N675">
        <f>COUNTIF(Taostats_CSV!$X:$X,Taostats_CSV!$I675&amp;N$1)</f>
        <v>0</v>
      </c>
      <c r="O675">
        <f>COUNTIF(Taostats_CSV!$X:$X,Taostats_CSV!$I675&amp;O$1)</f>
        <v>0</v>
      </c>
      <c r="P675">
        <f>COUNTIF(Taostats_CSV!$X:$X,Taostats_CSV!$I675&amp;P$1)</f>
        <v>0</v>
      </c>
      <c r="Q675" t="b">
        <f t="shared" si="76"/>
        <v>0</v>
      </c>
      <c r="R675" t="b">
        <f>IF(LEN(K675)&gt;0,COUNTIF($K$3:K675,K675),FALSE)</f>
        <v>0</v>
      </c>
      <c r="S675" t="b">
        <f>IF(Taostats_CSV!A675=Taostats_CSV!$A$2,TRUE,Taostats_CSV!G675+Taostats_CSV!H675+Taostats_CSV!R675=0)</f>
        <v>0</v>
      </c>
      <c r="T675" t="b">
        <f t="shared" si="77"/>
        <v>1</v>
      </c>
      <c r="U675" t="b" cm="1">
        <f t="array" aca="1" ref="U675" ca="1">AND(T675,OR(O675-N675&gt;1,P675&gt;1,ISERROR(A675:P675)))</f>
        <v>0</v>
      </c>
      <c r="W675" t="e">
        <f>MATCH(K675&amp;$W$2,Taostats_CSV!$X$3:$X$1167,0)</f>
        <v>#N/A</v>
      </c>
      <c r="X675" t="e">
        <f t="shared" ca="1" si="72"/>
        <v>#VALUE!</v>
      </c>
      <c r="Y675">
        <f t="shared" ca="1" si="73"/>
        <v>0.40394551299999998</v>
      </c>
      <c r="Z675" t="e">
        <f t="shared" ca="1" si="74"/>
        <v>#VALUE!</v>
      </c>
    </row>
    <row r="676" spans="1:26" x14ac:dyDescent="0.4">
      <c r="A676" t="str">
        <f>MID(Taostats_CSV!C676,6,2)&amp;"/"&amp;MID(Taostats_CSV!C676,9,2)&amp;"/"&amp;LEFT(Taostats_CSV!C676,4)&amp;" "&amp;MID(Taostats_CSV!C676,12,8)</f>
        <v>07/25/2025 23:59:48</v>
      </c>
      <c r="C676" t="str">
        <f ca="1">IF(Q676,OFFSET(Taostats_CSV!$E$1,MATCH(K676&amp;D$1,Taostats_CSV!$X:$X,0)-1,0),IF(Taostats_CSV!F676="fee",IF(VALUE(Taostats_CSV!G676)&gt;0,Taostats_CSV!E676,""),""))</f>
        <v/>
      </c>
      <c r="D676" t="str">
        <f ca="1">IF(Q676,OFFSET(Taostats_CSV!$G$1,MATCH(K676&amp;D$1,Taostats_CSV!$X:$X,0)-1,0),IF(Taostats_CSV!F676="fee",IF(VALUE(Taostats_CSV!G676)&gt;0,Taostats_CSV!G676,""),""))</f>
        <v/>
      </c>
      <c r="E676" t="str">
        <f ca="1">IF(AND(Q676,P676&gt;0),OFFSET(Taostats_CSV!$E$1,MATCH(K676&amp;F$1,Taostats_CSV!$X:$X,0)-1,0),IF(LEN(F676)&gt;0,Taostats_CSV!E676,""))</f>
        <v>SN56</v>
      </c>
      <c r="F676" t="str">
        <f ca="1">TRIM(IF(AND(Q676,P676&gt;0),OFFSET(Taostats_CSV!$H$1,MATCH(K676&amp;F$1,Taostats_CSV!$X:$X,0)-1,0),IF(LEN(Taostats_CSV!H676)&gt;0,Taostats_CSV!H676,Taostats_CSV!R676)))</f>
        <v>0.230242941</v>
      </c>
      <c r="G676" t="str">
        <f ca="1">IF(AND(Q676,N676=1),OFFSET(Taostats_CSV!$E$1,MATCH(K676&amp;H$1,Taostats_CSV!$X:$X,0)-1,0),"")</f>
        <v/>
      </c>
      <c r="H676" t="str">
        <f ca="1">IF(AND(Q676,N676=1),OFFSET(Taostats_CSV!$G$1,MATCH(K676&amp;H$1,Taostats_CSV!$X:$X,0)-1,0),"")</f>
        <v/>
      </c>
      <c r="I676" t="str">
        <f ca="1">IF(AND(LEN(K676)=0,LEN(F676)&gt;0),"Income",IF(AND(O676&gt;0,P676&gt;0,C676&lt;&gt;E676),"Trade",IF(AND(NOT(Q676),Taostats_CSV!F676="fee"),'READ ME'!$C$5,"")))</f>
        <v>Income</v>
      </c>
      <c r="J676" t="str">
        <f ca="1">SUBSTITUTE(IF(LEN(I676)=0,Taostats_CSV!F676&amp;" "&amp;Taostats_CSV!J676,IF(I676="Cost","Extrinsic fee","")),"_"," ")</f>
        <v/>
      </c>
      <c r="K676" t="str">
        <f>TRIM(IF(LEN(Taostats_CSV!I676)&gt;0,Taostats_CSV!I676,""))</f>
        <v/>
      </c>
      <c r="L676">
        <f ca="1">IF(Taostats_CSV!E676&lt;&gt;"TAO",IF(LEN(F676)&gt;0,F676,IF(LEN(D676)&gt;0,D676,0))*Taostats_CSV!P676,"")</f>
        <v>6.3689953253493856</v>
      </c>
      <c r="M676" t="str">
        <f t="shared" ca="1" si="75"/>
        <v>USD</v>
      </c>
      <c r="N676">
        <f>COUNTIF(Taostats_CSV!$X:$X,Taostats_CSV!$I676&amp;N$1)</f>
        <v>0</v>
      </c>
      <c r="O676">
        <f>COUNTIF(Taostats_CSV!$X:$X,Taostats_CSV!$I676&amp;O$1)</f>
        <v>0</v>
      </c>
      <c r="P676">
        <f>COUNTIF(Taostats_CSV!$X:$X,Taostats_CSV!$I676&amp;P$1)</f>
        <v>0</v>
      </c>
      <c r="Q676" t="b">
        <f t="shared" si="76"/>
        <v>0</v>
      </c>
      <c r="R676" t="b">
        <f>IF(LEN(K676)&gt;0,COUNTIF($K$3:K676,K676),FALSE)</f>
        <v>0</v>
      </c>
      <c r="S676" t="b">
        <f>IF(Taostats_CSV!A676=Taostats_CSV!$A$2,TRUE,Taostats_CSV!G676+Taostats_CSV!H676+Taostats_CSV!R676=0)</f>
        <v>0</v>
      </c>
      <c r="T676" t="b">
        <f t="shared" si="77"/>
        <v>1</v>
      </c>
      <c r="U676" t="b" cm="1">
        <f t="array" aca="1" ref="U676" ca="1">AND(T676,OR(O676-N676&gt;1,P676&gt;1,ISERROR(A676:P676)))</f>
        <v>0</v>
      </c>
      <c r="W676" t="e">
        <f>MATCH(K676&amp;$W$2,Taostats_CSV!$X$3:$X$1167,0)</f>
        <v>#N/A</v>
      </c>
      <c r="X676" t="e">
        <f t="shared" ca="1" si="72"/>
        <v>#VALUE!</v>
      </c>
      <c r="Y676">
        <f t="shared" ca="1" si="73"/>
        <v>0.23024294100000001</v>
      </c>
      <c r="Z676" t="e">
        <f t="shared" ca="1" si="74"/>
        <v>#VALUE!</v>
      </c>
    </row>
    <row r="677" spans="1:26" x14ac:dyDescent="0.4">
      <c r="A677" t="str">
        <f>MID(Taostats_CSV!C677,6,2)&amp;"/"&amp;MID(Taostats_CSV!C677,9,2)&amp;"/"&amp;LEFT(Taostats_CSV!C677,4)&amp;" "&amp;MID(Taostats_CSV!C677,12,8)</f>
        <v>07/25/2025 23:59:48</v>
      </c>
      <c r="C677" t="str">
        <f ca="1">IF(Q677,OFFSET(Taostats_CSV!$E$1,MATCH(K677&amp;D$1,Taostats_CSV!$X:$X,0)-1,0),IF(Taostats_CSV!F677="fee",IF(VALUE(Taostats_CSV!G677)&gt;0,Taostats_CSV!E677,""),""))</f>
        <v/>
      </c>
      <c r="D677" t="str">
        <f ca="1">IF(Q677,OFFSET(Taostats_CSV!$G$1,MATCH(K677&amp;D$1,Taostats_CSV!$X:$X,0)-1,0),IF(Taostats_CSV!F677="fee",IF(VALUE(Taostats_CSV!G677)&gt;0,Taostats_CSV!G677,""),""))</f>
        <v/>
      </c>
      <c r="E677" t="str">
        <f ca="1">IF(AND(Q677,P677&gt;0),OFFSET(Taostats_CSV!$E$1,MATCH(K677&amp;F$1,Taostats_CSV!$X:$X,0)-1,0),IF(LEN(F677)&gt;0,Taostats_CSV!E677,""))</f>
        <v>SN64</v>
      </c>
      <c r="F677" t="str">
        <f ca="1">TRIM(IF(AND(Q677,P677&gt;0),OFFSET(Taostats_CSV!$H$1,MATCH(K677&amp;F$1,Taostats_CSV!$X:$X,0)-1,0),IF(LEN(Taostats_CSV!H677)&gt;0,Taostats_CSV!H677,Taostats_CSV!R677)))</f>
        <v>0.139639897</v>
      </c>
      <c r="G677" t="str">
        <f ca="1">IF(AND(Q677,N677=1),OFFSET(Taostats_CSV!$E$1,MATCH(K677&amp;H$1,Taostats_CSV!$X:$X,0)-1,0),"")</f>
        <v/>
      </c>
      <c r="H677" t="str">
        <f ca="1">IF(AND(Q677,N677=1),OFFSET(Taostats_CSV!$G$1,MATCH(K677&amp;H$1,Taostats_CSV!$X:$X,0)-1,0),"")</f>
        <v/>
      </c>
      <c r="I677" t="str">
        <f ca="1">IF(AND(LEN(K677)=0,LEN(F677)&gt;0),"Income",IF(AND(O677&gt;0,P677&gt;0,C677&lt;&gt;E677),"Trade",IF(AND(NOT(Q677),Taostats_CSV!F677="fee"),'READ ME'!$C$5,"")))</f>
        <v>Income</v>
      </c>
      <c r="J677" t="str">
        <f ca="1">SUBSTITUTE(IF(LEN(I677)=0,Taostats_CSV!F677&amp;" "&amp;Taostats_CSV!J677,IF(I677="Cost","Extrinsic fee","")),"_"," ")</f>
        <v/>
      </c>
      <c r="K677" t="str">
        <f>TRIM(IF(LEN(Taostats_CSV!I677)&gt;0,Taostats_CSV!I677,""))</f>
        <v/>
      </c>
      <c r="L677">
        <f ca="1">IF(Taostats_CSV!E677&lt;&gt;"TAO",IF(LEN(F677)&gt;0,F677,IF(LEN(D677)&gt;0,D677,0))*Taostats_CSV!P677,"")</f>
        <v>8.5544072405733065</v>
      </c>
      <c r="M677" t="str">
        <f t="shared" ca="1" si="75"/>
        <v>USD</v>
      </c>
      <c r="N677">
        <f>COUNTIF(Taostats_CSV!$X:$X,Taostats_CSV!$I677&amp;N$1)</f>
        <v>0</v>
      </c>
      <c r="O677">
        <f>COUNTIF(Taostats_CSV!$X:$X,Taostats_CSV!$I677&amp;O$1)</f>
        <v>0</v>
      </c>
      <c r="P677">
        <f>COUNTIF(Taostats_CSV!$X:$X,Taostats_CSV!$I677&amp;P$1)</f>
        <v>0</v>
      </c>
      <c r="Q677" t="b">
        <f t="shared" si="76"/>
        <v>0</v>
      </c>
      <c r="R677" t="b">
        <f>IF(LEN(K677)&gt;0,COUNTIF($K$3:K677,K677),FALSE)</f>
        <v>0</v>
      </c>
      <c r="S677" t="b">
        <f>IF(Taostats_CSV!A677=Taostats_CSV!$A$2,TRUE,Taostats_CSV!G677+Taostats_CSV!H677+Taostats_CSV!R677=0)</f>
        <v>0</v>
      </c>
      <c r="T677" t="b">
        <f t="shared" si="77"/>
        <v>1</v>
      </c>
      <c r="U677" t="b" cm="1">
        <f t="array" aca="1" ref="U677" ca="1">AND(T677,OR(O677-N677&gt;1,P677&gt;1,ISERROR(A677:P677)))</f>
        <v>0</v>
      </c>
      <c r="W677" t="e">
        <f>MATCH(K677&amp;$W$2,Taostats_CSV!$X$3:$X$1167,0)</f>
        <v>#N/A</v>
      </c>
      <c r="X677" t="e">
        <f t="shared" ca="1" si="72"/>
        <v>#VALUE!</v>
      </c>
      <c r="Y677">
        <f t="shared" ca="1" si="73"/>
        <v>0.13963989700000001</v>
      </c>
      <c r="Z677" t="e">
        <f t="shared" ca="1" si="74"/>
        <v>#VALUE!</v>
      </c>
    </row>
    <row r="678" spans="1:26" hidden="1" x14ac:dyDescent="0.4">
      <c r="A678" t="str">
        <f>MID(Taostats_CSV!C678,6,2)&amp;"/"&amp;MID(Taostats_CSV!C678,9,2)&amp;"/"&amp;LEFT(Taostats_CSV!C678,4)&amp;" "&amp;MID(Taostats_CSV!C678,12,8)</f>
        <v>07/25/2025 23:59:48</v>
      </c>
      <c r="C678" t="str">
        <f ca="1">IF(Q678,OFFSET(Taostats_CSV!$E$1,MATCH(K678&amp;D$1,Taostats_CSV!$X:$X,0)-1,0),IF(Taostats_CSV!F678="fee","",IF(VALUE(Taostats_CSV!G678)&gt;0,Taostats_CSV!E678,"")))</f>
        <v/>
      </c>
      <c r="D678" t="str">
        <f ca="1">IF(Q678,OFFSET(Taostats_CSV!$G$1,MATCH(K678&amp;D$1,Taostats_CSV!$X:$X,0)-1,0),IF(Taostats_CSV!F678="fee","",IF(VALUE(Taostats_CSV!G678)&gt;0,Taostats_CSV!G678,"")))</f>
        <v/>
      </c>
      <c r="E678" t="str">
        <f ca="1">IF(AND(Q678,P678&gt;0),OFFSET(Taostats_CSV!$E$1,MATCH(K678&amp;F$1,Taostats_CSV!$X:$X,0)-1,0),IF(LEN(F678)&gt;0,Taostats_CSV!E678,""))</f>
        <v>TAO</v>
      </c>
      <c r="F678" t="str">
        <f ca="1">TRIM(IF(AND(Q678,P678&gt;0),OFFSET(Taostats_CSV!$H$1,MATCH(K678&amp;F$1,Taostats_CSV!$X:$X,0)-1,0),IF(LEN(Taostats_CSV!H678)&gt;0,Taostats_CSV!H678,Taostats_CSV!R678)))</f>
        <v>0</v>
      </c>
      <c r="G678" t="str">
        <f ca="1">IF(AND(Q678,N678=1),OFFSET(Taostats_CSV!$E$1,MATCH(K678&amp;H$1,Taostats_CSV!$X:$X,0)-1,0),IF(Taostats_CSV!F678="fee",Taostats_CSV!E678,""))</f>
        <v/>
      </c>
      <c r="H678" t="str">
        <f ca="1">IF(AND(Q678,N678=1),OFFSET(Taostats_CSV!$G$1,MATCH(K678&amp;H$1,Taostats_CSV!$X:$X,0)-1,0),IF(Taostats_CSV!F678="fee",Taostats_CSV!G678,""))</f>
        <v/>
      </c>
      <c r="I678" t="str">
        <f ca="1">IF(AND(LEN(K678)=0,LEN(F678)&gt;0),"Income",IF(AND(O678&gt;0,P678&gt;0,C678&lt;&gt;E678),"Trade",IF(AND(NOT(Q678),Taostats_CSV!F678="fee"),'READ ME'!$C$5,"")))</f>
        <v>Income</v>
      </c>
      <c r="J678" t="str">
        <f ca="1">SUBSTITUTE(IF(LEN(I678)=0,Taostats_CSV!F678&amp;" "&amp;Taostats_CSV!J678,IF(I678="Cost","Extrinsic fee","")),"_"," ")</f>
        <v/>
      </c>
      <c r="K678" t="str">
        <f>TRIM(IF(LEN(Taostats_CSV!I678)&gt;0,Taostats_CSV!I678,""))</f>
        <v/>
      </c>
      <c r="L678" t="str">
        <f>IF(Taostats_CSV!E678&lt;&gt;"TAO",IF(LEN(F678)&gt;0,F678,IF(LEN(D678)&gt;0,D678,0))*Taostats_CSV!P678,"")</f>
        <v/>
      </c>
      <c r="M678" t="str">
        <f t="shared" si="75"/>
        <v/>
      </c>
      <c r="N678">
        <f>COUNTIF(Taostats_CSV!$X:$X,Taostats_CSV!$I678&amp;N$1)</f>
        <v>0</v>
      </c>
      <c r="O678">
        <f>COUNTIF(Taostats_CSV!$X:$X,Taostats_CSV!$I678&amp;O$1)</f>
        <v>0</v>
      </c>
      <c r="P678">
        <f>COUNTIF(Taostats_CSV!$X:$X,Taostats_CSV!$I678&amp;P$1)</f>
        <v>0</v>
      </c>
      <c r="Q678" t="b">
        <f t="shared" si="76"/>
        <v>0</v>
      </c>
      <c r="R678" t="b">
        <f>IF(LEN(K678)&gt;0,COUNTIF($K$3:K678,K678),FALSE)</f>
        <v>0</v>
      </c>
      <c r="S678" t="b">
        <f>IF(Taostats_CSV!A678=Taostats_CSV!$A$2,TRUE,Taostats_CSV!G678+Taostats_CSV!H678+Taostats_CSV!R678=0)</f>
        <v>1</v>
      </c>
      <c r="T678" t="b">
        <f t="shared" si="77"/>
        <v>0</v>
      </c>
      <c r="U678" t="b" cm="1">
        <f t="array" aca="1" ref="U678" ca="1">AND(T678,OR(O678-N678&gt;1,P678&gt;1,ISERROR(A678:P678)))</f>
        <v>0</v>
      </c>
      <c r="W678" t="e">
        <f>MATCH(K678&amp;$W$2,Taostats_CSV!$X$3:$X$1167,0)</f>
        <v>#N/A</v>
      </c>
      <c r="X678" t="e">
        <f t="shared" ca="1" si="72"/>
        <v>#VALUE!</v>
      </c>
      <c r="Y678">
        <f t="shared" ca="1" si="73"/>
        <v>0</v>
      </c>
      <c r="Z678" t="e">
        <f t="shared" ca="1" si="74"/>
        <v>#VALUE!</v>
      </c>
    </row>
    <row r="679" spans="1:26" x14ac:dyDescent="0.4">
      <c r="A679" t="str">
        <f>MID(Taostats_CSV!C679,6,2)&amp;"/"&amp;MID(Taostats_CSV!C679,9,2)&amp;"/"&amp;LEFT(Taostats_CSV!C679,4)&amp;" "&amp;MID(Taostats_CSV!C679,12,8)</f>
        <v>07/26/2025 23:59:48</v>
      </c>
      <c r="C679" t="str">
        <f ca="1">IF(Q679,OFFSET(Taostats_CSV!$E$1,MATCH(K679&amp;D$1,Taostats_CSV!$X:$X,0)-1,0),IF(Taostats_CSV!F679="fee",IF(VALUE(Taostats_CSV!G679)&gt;0,Taostats_CSV!E679,""),""))</f>
        <v/>
      </c>
      <c r="D679" t="str">
        <f ca="1">IF(Q679,OFFSET(Taostats_CSV!$G$1,MATCH(K679&amp;D$1,Taostats_CSV!$X:$X,0)-1,0),IF(Taostats_CSV!F679="fee",IF(VALUE(Taostats_CSV!G679)&gt;0,Taostats_CSV!G679,""),""))</f>
        <v/>
      </c>
      <c r="E679" t="str">
        <f ca="1">IF(AND(Q679,P679&gt;0),OFFSET(Taostats_CSV!$E$1,MATCH(K679&amp;F$1,Taostats_CSV!$X:$X,0)-1,0),IF(LEN(F679)&gt;0,Taostats_CSV!E679,""))</f>
        <v>SN3</v>
      </c>
      <c r="F679" t="str">
        <f ca="1">TRIM(IF(AND(Q679,P679&gt;0),OFFSET(Taostats_CSV!$H$1,MATCH(K679&amp;F$1,Taostats_CSV!$X:$X,0)-1,0),IF(LEN(Taostats_CSV!H679)&gt;0,Taostats_CSV!H679,Taostats_CSV!R679)))</f>
        <v>0.359801118</v>
      </c>
      <c r="G679" t="str">
        <f ca="1">IF(AND(Q679,N679=1),OFFSET(Taostats_CSV!$E$1,MATCH(K679&amp;H$1,Taostats_CSV!$X:$X,0)-1,0),"")</f>
        <v/>
      </c>
      <c r="H679" t="str">
        <f ca="1">IF(AND(Q679,N679=1),OFFSET(Taostats_CSV!$G$1,MATCH(K679&amp;H$1,Taostats_CSV!$X:$X,0)-1,0),"")</f>
        <v/>
      </c>
      <c r="I679" t="str">
        <f ca="1">IF(AND(LEN(K679)=0,LEN(F679)&gt;0),"Income",IF(AND(O679&gt;0,P679&gt;0,C679&lt;&gt;E679),"Trade",IF(AND(NOT(Q679),Taostats_CSV!F679="fee"),'READ ME'!$C$5,"")))</f>
        <v>Income</v>
      </c>
      <c r="J679" t="str">
        <f ca="1">SUBSTITUTE(IF(LEN(I679)=0,Taostats_CSV!F679&amp;" "&amp;Taostats_CSV!J679,IF(I679="Cost","Extrinsic fee","")),"_"," ")</f>
        <v/>
      </c>
      <c r="K679" t="str">
        <f>TRIM(IF(LEN(Taostats_CSV!I679)&gt;0,Taostats_CSV!I679,""))</f>
        <v/>
      </c>
      <c r="L679">
        <f ca="1">IF(Taostats_CSV!E679&lt;&gt;"TAO",IF(LEN(F679)&gt;0,F679,IF(LEN(D679)&gt;0,D679,0))*Taostats_CSV!P679,"")</f>
        <v>10.505963149540918</v>
      </c>
      <c r="M679" t="str">
        <f t="shared" ca="1" si="75"/>
        <v>USD</v>
      </c>
      <c r="N679">
        <f>COUNTIF(Taostats_CSV!$X:$X,Taostats_CSV!$I679&amp;N$1)</f>
        <v>0</v>
      </c>
      <c r="O679">
        <f>COUNTIF(Taostats_CSV!$X:$X,Taostats_CSV!$I679&amp;O$1)</f>
        <v>0</v>
      </c>
      <c r="P679">
        <f>COUNTIF(Taostats_CSV!$X:$X,Taostats_CSV!$I679&amp;P$1)</f>
        <v>0</v>
      </c>
      <c r="Q679" t="b">
        <f t="shared" si="76"/>
        <v>0</v>
      </c>
      <c r="R679" t="b">
        <f>IF(LEN(K679)&gt;0,COUNTIF($K$3:K679,K679),FALSE)</f>
        <v>0</v>
      </c>
      <c r="S679" t="b">
        <f>IF(Taostats_CSV!A679=Taostats_CSV!$A$2,TRUE,Taostats_CSV!G679+Taostats_CSV!H679+Taostats_CSV!R679=0)</f>
        <v>0</v>
      </c>
      <c r="T679" t="b">
        <f t="shared" si="77"/>
        <v>1</v>
      </c>
      <c r="U679" t="b" cm="1">
        <f t="array" aca="1" ref="U679" ca="1">AND(T679,OR(O679-N679&gt;1,P679&gt;1,ISERROR(A679:P679)))</f>
        <v>0</v>
      </c>
      <c r="W679" t="e">
        <f>MATCH(K679&amp;$W$2,Taostats_CSV!$X$3:$X$1167,0)</f>
        <v>#N/A</v>
      </c>
      <c r="X679" t="e">
        <f t="shared" ca="1" si="72"/>
        <v>#VALUE!</v>
      </c>
      <c r="Y679">
        <f t="shared" ca="1" si="73"/>
        <v>0.35980111799999998</v>
      </c>
      <c r="Z679" t="e">
        <f t="shared" ca="1" si="74"/>
        <v>#VALUE!</v>
      </c>
    </row>
    <row r="680" spans="1:26" x14ac:dyDescent="0.4">
      <c r="A680" t="str">
        <f>MID(Taostats_CSV!C680,6,2)&amp;"/"&amp;MID(Taostats_CSV!C680,9,2)&amp;"/"&amp;LEFT(Taostats_CSV!C680,4)&amp;" "&amp;MID(Taostats_CSV!C680,12,8)</f>
        <v>07/26/2025 23:59:48</v>
      </c>
      <c r="C680" t="str">
        <f ca="1">IF(Q680,OFFSET(Taostats_CSV!$E$1,MATCH(K680&amp;D$1,Taostats_CSV!$X:$X,0)-1,0),IF(Taostats_CSV!F680="fee",IF(VALUE(Taostats_CSV!G680)&gt;0,Taostats_CSV!E680,""),""))</f>
        <v/>
      </c>
      <c r="D680" t="str">
        <f ca="1">IF(Q680,OFFSET(Taostats_CSV!$G$1,MATCH(K680&amp;D$1,Taostats_CSV!$X:$X,0)-1,0),IF(Taostats_CSV!F680="fee",IF(VALUE(Taostats_CSV!G680)&gt;0,Taostats_CSV!G680,""),""))</f>
        <v/>
      </c>
      <c r="E680" t="str">
        <f ca="1">IF(AND(Q680,P680&gt;0),OFFSET(Taostats_CSV!$E$1,MATCH(K680&amp;F$1,Taostats_CSV!$X:$X,0)-1,0),IF(LEN(F680)&gt;0,Taostats_CSV!E680,""))</f>
        <v>SN4</v>
      </c>
      <c r="F680" t="str">
        <f ca="1">TRIM(IF(AND(Q680,P680&gt;0),OFFSET(Taostats_CSV!$H$1,MATCH(K680&amp;F$1,Taostats_CSV!$X:$X,0)-1,0),IF(LEN(Taostats_CSV!H680)&gt;0,Taostats_CSV!H680,Taostats_CSV!R680)))</f>
        <v>0.38171241</v>
      </c>
      <c r="G680" t="str">
        <f ca="1">IF(AND(Q680,N680=1),OFFSET(Taostats_CSV!$E$1,MATCH(K680&amp;H$1,Taostats_CSV!$X:$X,0)-1,0),"")</f>
        <v/>
      </c>
      <c r="H680" t="str">
        <f ca="1">IF(AND(Q680,N680=1),OFFSET(Taostats_CSV!$G$1,MATCH(K680&amp;H$1,Taostats_CSV!$X:$X,0)-1,0),"")</f>
        <v/>
      </c>
      <c r="I680" t="str">
        <f ca="1">IF(AND(LEN(K680)=0,LEN(F680)&gt;0),"Income",IF(AND(O680&gt;0,P680&gt;0,C680&lt;&gt;E680),"Trade",IF(AND(NOT(Q680),Taostats_CSV!F680="fee"),'READ ME'!$C$5,"")))</f>
        <v>Income</v>
      </c>
      <c r="J680" t="str">
        <f ca="1">SUBSTITUTE(IF(LEN(I680)=0,Taostats_CSV!F680&amp;" "&amp;Taostats_CSV!J680,IF(I680="Cost","Extrinsic fee","")),"_"," ")</f>
        <v/>
      </c>
      <c r="K680" t="str">
        <f>TRIM(IF(LEN(Taostats_CSV!I680)&gt;0,Taostats_CSV!I680,""))</f>
        <v/>
      </c>
      <c r="L680">
        <f ca="1">IF(Taostats_CSV!E680&lt;&gt;"TAO",IF(LEN(F680)&gt;0,F680,IF(LEN(D680)&gt;0,D680,0))*Taostats_CSV!P680,"")</f>
        <v>10.306245171850595</v>
      </c>
      <c r="M680" t="str">
        <f t="shared" ca="1" si="75"/>
        <v>USD</v>
      </c>
      <c r="N680">
        <f>COUNTIF(Taostats_CSV!$X:$X,Taostats_CSV!$I680&amp;N$1)</f>
        <v>0</v>
      </c>
      <c r="O680">
        <f>COUNTIF(Taostats_CSV!$X:$X,Taostats_CSV!$I680&amp;O$1)</f>
        <v>0</v>
      </c>
      <c r="P680">
        <f>COUNTIF(Taostats_CSV!$X:$X,Taostats_CSV!$I680&amp;P$1)</f>
        <v>0</v>
      </c>
      <c r="Q680" t="b">
        <f t="shared" si="76"/>
        <v>0</v>
      </c>
      <c r="R680" t="b">
        <f>IF(LEN(K680)&gt;0,COUNTIF($K$3:K680,K680),FALSE)</f>
        <v>0</v>
      </c>
      <c r="S680" t="b">
        <f>IF(Taostats_CSV!A680=Taostats_CSV!$A$2,TRUE,Taostats_CSV!G680+Taostats_CSV!H680+Taostats_CSV!R680=0)</f>
        <v>0</v>
      </c>
      <c r="T680" t="b">
        <f t="shared" si="77"/>
        <v>1</v>
      </c>
      <c r="U680" t="b" cm="1">
        <f t="array" aca="1" ref="U680" ca="1">AND(T680,OR(O680-N680&gt;1,P680&gt;1,ISERROR(A680:P680)))</f>
        <v>0</v>
      </c>
      <c r="W680" t="e">
        <f>MATCH(K680&amp;$W$2,Taostats_CSV!$X$3:$X$1167,0)</f>
        <v>#N/A</v>
      </c>
      <c r="X680" t="e">
        <f t="shared" ca="1" si="72"/>
        <v>#VALUE!</v>
      </c>
      <c r="Y680">
        <f t="shared" ca="1" si="73"/>
        <v>0.38171241</v>
      </c>
      <c r="Z680" t="e">
        <f t="shared" ca="1" si="74"/>
        <v>#VALUE!</v>
      </c>
    </row>
    <row r="681" spans="1:26" x14ac:dyDescent="0.4">
      <c r="A681" t="str">
        <f>MID(Taostats_CSV!C681,6,2)&amp;"/"&amp;MID(Taostats_CSV!C681,9,2)&amp;"/"&amp;LEFT(Taostats_CSV!C681,4)&amp;" "&amp;MID(Taostats_CSV!C681,12,8)</f>
        <v>07/26/2025 23:59:48</v>
      </c>
      <c r="C681" t="str">
        <f ca="1">IF(Q681,OFFSET(Taostats_CSV!$E$1,MATCH(K681&amp;D$1,Taostats_CSV!$X:$X,0)-1,0),IF(Taostats_CSV!F681="fee",IF(VALUE(Taostats_CSV!G681)&gt;0,Taostats_CSV!E681,""),""))</f>
        <v/>
      </c>
      <c r="D681" t="str">
        <f ca="1">IF(Q681,OFFSET(Taostats_CSV!$G$1,MATCH(K681&amp;D$1,Taostats_CSV!$X:$X,0)-1,0),IF(Taostats_CSV!F681="fee",IF(VALUE(Taostats_CSV!G681)&gt;0,Taostats_CSV!G681,""),""))</f>
        <v/>
      </c>
      <c r="E681" t="str">
        <f ca="1">IF(AND(Q681,P681&gt;0),OFFSET(Taostats_CSV!$E$1,MATCH(K681&amp;F$1,Taostats_CSV!$X:$X,0)-1,0),IF(LEN(F681)&gt;0,Taostats_CSV!E681,""))</f>
        <v>SN56</v>
      </c>
      <c r="F681" t="str">
        <f ca="1">TRIM(IF(AND(Q681,P681&gt;0),OFFSET(Taostats_CSV!$H$1,MATCH(K681&amp;F$1,Taostats_CSV!$X:$X,0)-1,0),IF(LEN(Taostats_CSV!H681)&gt;0,Taostats_CSV!H681,Taostats_CSV!R681)))</f>
        <v>0.236942002</v>
      </c>
      <c r="G681" t="str">
        <f ca="1">IF(AND(Q681,N681=1),OFFSET(Taostats_CSV!$E$1,MATCH(K681&amp;H$1,Taostats_CSV!$X:$X,0)-1,0),"")</f>
        <v/>
      </c>
      <c r="H681" t="str">
        <f ca="1">IF(AND(Q681,N681=1),OFFSET(Taostats_CSV!$G$1,MATCH(K681&amp;H$1,Taostats_CSV!$X:$X,0)-1,0),"")</f>
        <v/>
      </c>
      <c r="I681" t="str">
        <f ca="1">IF(AND(LEN(K681)=0,LEN(F681)&gt;0),"Income",IF(AND(O681&gt;0,P681&gt;0,C681&lt;&gt;E681),"Trade",IF(AND(NOT(Q681),Taostats_CSV!F681="fee"),'READ ME'!$C$5,"")))</f>
        <v>Income</v>
      </c>
      <c r="J681" t="str">
        <f ca="1">SUBSTITUTE(IF(LEN(I681)=0,Taostats_CSV!F681&amp;" "&amp;Taostats_CSV!J681,IF(I681="Cost","Extrinsic fee","")),"_"," ")</f>
        <v/>
      </c>
      <c r="K681" t="str">
        <f>TRIM(IF(LEN(Taostats_CSV!I681)&gt;0,Taostats_CSV!I681,""))</f>
        <v/>
      </c>
      <c r="L681">
        <f ca="1">IF(Taostats_CSV!E681&lt;&gt;"TAO",IF(LEN(F681)&gt;0,F681,IF(LEN(D681)&gt;0,D681,0))*Taostats_CSV!P681,"")</f>
        <v>6.4930820559731517</v>
      </c>
      <c r="M681" t="str">
        <f t="shared" ca="1" si="75"/>
        <v>USD</v>
      </c>
      <c r="N681">
        <f>COUNTIF(Taostats_CSV!$X:$X,Taostats_CSV!$I681&amp;N$1)</f>
        <v>0</v>
      </c>
      <c r="O681">
        <f>COUNTIF(Taostats_CSV!$X:$X,Taostats_CSV!$I681&amp;O$1)</f>
        <v>0</v>
      </c>
      <c r="P681">
        <f>COUNTIF(Taostats_CSV!$X:$X,Taostats_CSV!$I681&amp;P$1)</f>
        <v>0</v>
      </c>
      <c r="Q681" t="b">
        <f t="shared" si="76"/>
        <v>0</v>
      </c>
      <c r="R681" t="b">
        <f>IF(LEN(K681)&gt;0,COUNTIF($K$3:K681,K681),FALSE)</f>
        <v>0</v>
      </c>
      <c r="S681" t="b">
        <f>IF(Taostats_CSV!A681=Taostats_CSV!$A$2,TRUE,Taostats_CSV!G681+Taostats_CSV!H681+Taostats_CSV!R681=0)</f>
        <v>0</v>
      </c>
      <c r="T681" t="b">
        <f t="shared" si="77"/>
        <v>1</v>
      </c>
      <c r="U681" t="b" cm="1">
        <f t="array" aca="1" ref="U681" ca="1">AND(T681,OR(O681-N681&gt;1,P681&gt;1,ISERROR(A681:P681)))</f>
        <v>0</v>
      </c>
      <c r="W681" t="e">
        <f>MATCH(K681&amp;$W$2,Taostats_CSV!$X$3:$X$1167,0)</f>
        <v>#N/A</v>
      </c>
      <c r="X681" t="e">
        <f t="shared" ca="1" si="72"/>
        <v>#VALUE!</v>
      </c>
      <c r="Y681">
        <f t="shared" ca="1" si="73"/>
        <v>0.23694200200000001</v>
      </c>
      <c r="Z681" t="e">
        <f t="shared" ca="1" si="74"/>
        <v>#VALUE!</v>
      </c>
    </row>
    <row r="682" spans="1:26" x14ac:dyDescent="0.4">
      <c r="A682" t="str">
        <f>MID(Taostats_CSV!C682,6,2)&amp;"/"&amp;MID(Taostats_CSV!C682,9,2)&amp;"/"&amp;LEFT(Taostats_CSV!C682,4)&amp;" "&amp;MID(Taostats_CSV!C682,12,8)</f>
        <v>07/26/2025 23:59:48</v>
      </c>
      <c r="C682" t="str">
        <f ca="1">IF(Q682,OFFSET(Taostats_CSV!$E$1,MATCH(K682&amp;D$1,Taostats_CSV!$X:$X,0)-1,0),IF(Taostats_CSV!F682="fee",IF(VALUE(Taostats_CSV!G682)&gt;0,Taostats_CSV!E682,""),""))</f>
        <v/>
      </c>
      <c r="D682" t="str">
        <f ca="1">IF(Q682,OFFSET(Taostats_CSV!$G$1,MATCH(K682&amp;D$1,Taostats_CSV!$X:$X,0)-1,0),IF(Taostats_CSV!F682="fee",IF(VALUE(Taostats_CSV!G682)&gt;0,Taostats_CSV!G682,""),""))</f>
        <v/>
      </c>
      <c r="E682" t="str">
        <f ca="1">IF(AND(Q682,P682&gt;0),OFFSET(Taostats_CSV!$E$1,MATCH(K682&amp;F$1,Taostats_CSV!$X:$X,0)-1,0),IF(LEN(F682)&gt;0,Taostats_CSV!E682,""))</f>
        <v>SN64</v>
      </c>
      <c r="F682" t="str">
        <f ca="1">TRIM(IF(AND(Q682,P682&gt;0),OFFSET(Taostats_CSV!$H$1,MATCH(K682&amp;F$1,Taostats_CSV!$X:$X,0)-1,0),IF(LEN(Taostats_CSV!H682)&gt;0,Taostats_CSV!H682,Taostats_CSV!R682)))</f>
        <v>0.144797671</v>
      </c>
      <c r="G682" t="str">
        <f ca="1">IF(AND(Q682,N682=1),OFFSET(Taostats_CSV!$E$1,MATCH(K682&amp;H$1,Taostats_CSV!$X:$X,0)-1,0),"")</f>
        <v/>
      </c>
      <c r="H682" t="str">
        <f ca="1">IF(AND(Q682,N682=1),OFFSET(Taostats_CSV!$G$1,MATCH(K682&amp;H$1,Taostats_CSV!$X:$X,0)-1,0),"")</f>
        <v/>
      </c>
      <c r="I682" t="str">
        <f ca="1">IF(AND(LEN(K682)=0,LEN(F682)&gt;0),"Income",IF(AND(O682&gt;0,P682&gt;0,C682&lt;&gt;E682),"Trade",IF(AND(NOT(Q682),Taostats_CSV!F682="fee"),'READ ME'!$C$5,"")))</f>
        <v>Income</v>
      </c>
      <c r="J682" t="str">
        <f ca="1">SUBSTITUTE(IF(LEN(I682)=0,Taostats_CSV!F682&amp;" "&amp;Taostats_CSV!J682,IF(I682="Cost","Extrinsic fee","")),"_"," ")</f>
        <v/>
      </c>
      <c r="K682" t="str">
        <f>TRIM(IF(LEN(Taostats_CSV!I682)&gt;0,Taostats_CSV!I682,""))</f>
        <v/>
      </c>
      <c r="L682">
        <f ca="1">IF(Taostats_CSV!E682&lt;&gt;"TAO",IF(LEN(F682)&gt;0,F682,IF(LEN(D682)&gt;0,D682,0))*Taostats_CSV!P682,"")</f>
        <v>8.7377294468146083</v>
      </c>
      <c r="M682" t="str">
        <f t="shared" ca="1" si="75"/>
        <v>USD</v>
      </c>
      <c r="N682">
        <f>COUNTIF(Taostats_CSV!$X:$X,Taostats_CSV!$I682&amp;N$1)</f>
        <v>0</v>
      </c>
      <c r="O682">
        <f>COUNTIF(Taostats_CSV!$X:$X,Taostats_CSV!$I682&amp;O$1)</f>
        <v>0</v>
      </c>
      <c r="P682">
        <f>COUNTIF(Taostats_CSV!$X:$X,Taostats_CSV!$I682&amp;P$1)</f>
        <v>0</v>
      </c>
      <c r="Q682" t="b">
        <f t="shared" si="76"/>
        <v>0</v>
      </c>
      <c r="R682" t="b">
        <f>IF(LEN(K682)&gt;0,COUNTIF($K$3:K682,K682),FALSE)</f>
        <v>0</v>
      </c>
      <c r="S682" t="b">
        <f>IF(Taostats_CSV!A682=Taostats_CSV!$A$2,TRUE,Taostats_CSV!G682+Taostats_CSV!H682+Taostats_CSV!R682=0)</f>
        <v>0</v>
      </c>
      <c r="T682" t="b">
        <f t="shared" si="77"/>
        <v>1</v>
      </c>
      <c r="U682" t="b" cm="1">
        <f t="array" aca="1" ref="U682" ca="1">AND(T682,OR(O682-N682&gt;1,P682&gt;1,ISERROR(A682:P682)))</f>
        <v>0</v>
      </c>
      <c r="W682" t="e">
        <f>MATCH(K682&amp;$W$2,Taostats_CSV!$X$3:$X$1167,0)</f>
        <v>#N/A</v>
      </c>
      <c r="X682" t="e">
        <f t="shared" ca="1" si="72"/>
        <v>#VALUE!</v>
      </c>
      <c r="Y682">
        <f t="shared" ca="1" si="73"/>
        <v>0.14479767099999999</v>
      </c>
      <c r="Z682" t="e">
        <f t="shared" ca="1" si="74"/>
        <v>#VALUE!</v>
      </c>
    </row>
    <row r="683" spans="1:26" hidden="1" x14ac:dyDescent="0.4">
      <c r="A683" t="str">
        <f>MID(Taostats_CSV!C683,6,2)&amp;"/"&amp;MID(Taostats_CSV!C683,9,2)&amp;"/"&amp;LEFT(Taostats_CSV!C683,4)&amp;" "&amp;MID(Taostats_CSV!C683,12,8)</f>
        <v>07/26/2025 23:59:48</v>
      </c>
      <c r="C683" t="str">
        <f ca="1">IF(Q683,OFFSET(Taostats_CSV!$E$1,MATCH(K683&amp;D$1,Taostats_CSV!$X:$X,0)-1,0),IF(Taostats_CSV!F683="fee","",IF(VALUE(Taostats_CSV!G683)&gt;0,Taostats_CSV!E683,"")))</f>
        <v/>
      </c>
      <c r="D683" t="str">
        <f ca="1">IF(Q683,OFFSET(Taostats_CSV!$G$1,MATCH(K683&amp;D$1,Taostats_CSV!$X:$X,0)-1,0),IF(Taostats_CSV!F683="fee","",IF(VALUE(Taostats_CSV!G683)&gt;0,Taostats_CSV!G683,"")))</f>
        <v/>
      </c>
      <c r="E683" t="str">
        <f ca="1">IF(AND(Q683,P683&gt;0),OFFSET(Taostats_CSV!$E$1,MATCH(K683&amp;F$1,Taostats_CSV!$X:$X,0)-1,0),IF(LEN(F683)&gt;0,Taostats_CSV!E683,""))</f>
        <v>TAO</v>
      </c>
      <c r="F683" t="str">
        <f ca="1">TRIM(IF(AND(Q683,P683&gt;0),OFFSET(Taostats_CSV!$H$1,MATCH(K683&amp;F$1,Taostats_CSV!$X:$X,0)-1,0),IF(LEN(Taostats_CSV!H683)&gt;0,Taostats_CSV!H683,Taostats_CSV!R683)))</f>
        <v>0</v>
      </c>
      <c r="G683" t="str">
        <f ca="1">IF(AND(Q683,N683=1),OFFSET(Taostats_CSV!$E$1,MATCH(K683&amp;H$1,Taostats_CSV!$X:$X,0)-1,0),IF(Taostats_CSV!F683="fee",Taostats_CSV!E683,""))</f>
        <v/>
      </c>
      <c r="H683" t="str">
        <f ca="1">IF(AND(Q683,N683=1),OFFSET(Taostats_CSV!$G$1,MATCH(K683&amp;H$1,Taostats_CSV!$X:$X,0)-1,0),IF(Taostats_CSV!F683="fee",Taostats_CSV!G683,""))</f>
        <v/>
      </c>
      <c r="I683" t="str">
        <f ca="1">IF(AND(LEN(K683)=0,LEN(F683)&gt;0),"Income",IF(AND(O683&gt;0,P683&gt;0,C683&lt;&gt;E683),"Trade",IF(AND(NOT(Q683),Taostats_CSV!F683="fee"),'READ ME'!$C$5,"")))</f>
        <v>Income</v>
      </c>
      <c r="J683" t="str">
        <f ca="1">SUBSTITUTE(IF(LEN(I683)=0,Taostats_CSV!F683&amp;" "&amp;Taostats_CSV!J683,IF(I683="Cost","Extrinsic fee","")),"_"," ")</f>
        <v/>
      </c>
      <c r="K683" t="str">
        <f>TRIM(IF(LEN(Taostats_CSV!I683)&gt;0,Taostats_CSV!I683,""))</f>
        <v/>
      </c>
      <c r="L683" t="str">
        <f>IF(Taostats_CSV!E683&lt;&gt;"TAO",IF(LEN(F683)&gt;0,F683,IF(LEN(D683)&gt;0,D683,0))*Taostats_CSV!P683,"")</f>
        <v/>
      </c>
      <c r="M683" t="str">
        <f t="shared" si="75"/>
        <v/>
      </c>
      <c r="N683">
        <f>COUNTIF(Taostats_CSV!$X:$X,Taostats_CSV!$I683&amp;N$1)</f>
        <v>0</v>
      </c>
      <c r="O683">
        <f>COUNTIF(Taostats_CSV!$X:$X,Taostats_CSV!$I683&amp;O$1)</f>
        <v>0</v>
      </c>
      <c r="P683">
        <f>COUNTIF(Taostats_CSV!$X:$X,Taostats_CSV!$I683&amp;P$1)</f>
        <v>0</v>
      </c>
      <c r="Q683" t="b">
        <f t="shared" si="76"/>
        <v>0</v>
      </c>
      <c r="R683" t="b">
        <f>IF(LEN(K683)&gt;0,COUNTIF($K$3:K683,K683),FALSE)</f>
        <v>0</v>
      </c>
      <c r="S683" t="b">
        <f>IF(Taostats_CSV!A683=Taostats_CSV!$A$2,TRUE,Taostats_CSV!G683+Taostats_CSV!H683+Taostats_CSV!R683=0)</f>
        <v>1</v>
      </c>
      <c r="T683" t="b">
        <f t="shared" si="77"/>
        <v>0</v>
      </c>
      <c r="U683" t="b" cm="1">
        <f t="array" aca="1" ref="U683" ca="1">AND(T683,OR(O683-N683&gt;1,P683&gt;1,ISERROR(A683:P683)))</f>
        <v>0</v>
      </c>
      <c r="W683" t="e">
        <f>MATCH(K683&amp;$W$2,Taostats_CSV!$X$3:$X$1167,0)</f>
        <v>#N/A</v>
      </c>
      <c r="X683" t="e">
        <f t="shared" ca="1" si="72"/>
        <v>#VALUE!</v>
      </c>
      <c r="Y683">
        <f t="shared" ca="1" si="73"/>
        <v>0</v>
      </c>
      <c r="Z683" t="e">
        <f t="shared" ca="1" si="74"/>
        <v>#VALUE!</v>
      </c>
    </row>
    <row r="684" spans="1:26" x14ac:dyDescent="0.4">
      <c r="A684" t="str">
        <f>MID(Taostats_CSV!C684,6,2)&amp;"/"&amp;MID(Taostats_CSV!C684,9,2)&amp;"/"&amp;LEFT(Taostats_CSV!C684,4)&amp;" "&amp;MID(Taostats_CSV!C684,12,8)</f>
        <v>07/27/2025 23:59:48</v>
      </c>
      <c r="C684" t="str">
        <f ca="1">IF(Q684,OFFSET(Taostats_CSV!$E$1,MATCH(K684&amp;D$1,Taostats_CSV!$X:$X,0)-1,0),IF(Taostats_CSV!F684="fee",IF(VALUE(Taostats_CSV!G684)&gt;0,Taostats_CSV!E684,""),""))</f>
        <v/>
      </c>
      <c r="D684" t="str">
        <f ca="1">IF(Q684,OFFSET(Taostats_CSV!$G$1,MATCH(K684&amp;D$1,Taostats_CSV!$X:$X,0)-1,0),IF(Taostats_CSV!F684="fee",IF(VALUE(Taostats_CSV!G684)&gt;0,Taostats_CSV!G684,""),""))</f>
        <v/>
      </c>
      <c r="E684" t="str">
        <f ca="1">IF(AND(Q684,P684&gt;0),OFFSET(Taostats_CSV!$E$1,MATCH(K684&amp;F$1,Taostats_CSV!$X:$X,0)-1,0),IF(LEN(F684)&gt;0,Taostats_CSV!E684,""))</f>
        <v>SN3</v>
      </c>
      <c r="F684" t="str">
        <f ca="1">TRIM(IF(AND(Q684,P684&gt;0),OFFSET(Taostats_CSV!$H$1,MATCH(K684&amp;F$1,Taostats_CSV!$X:$X,0)-1,0),IF(LEN(Taostats_CSV!H684)&gt;0,Taostats_CSV!H684,Taostats_CSV!R684)))</f>
        <v>0.383361425</v>
      </c>
      <c r="G684" t="str">
        <f ca="1">IF(AND(Q684,N684=1),OFFSET(Taostats_CSV!$E$1,MATCH(K684&amp;H$1,Taostats_CSV!$X:$X,0)-1,0),"")</f>
        <v/>
      </c>
      <c r="H684" t="str">
        <f ca="1">IF(AND(Q684,N684=1),OFFSET(Taostats_CSV!$G$1,MATCH(K684&amp;H$1,Taostats_CSV!$X:$X,0)-1,0),"")</f>
        <v/>
      </c>
      <c r="I684" t="str">
        <f ca="1">IF(AND(LEN(K684)=0,LEN(F684)&gt;0),"Income",IF(AND(O684&gt;0,P684&gt;0,C684&lt;&gt;E684),"Trade",IF(AND(NOT(Q684),Taostats_CSV!F684="fee"),'READ ME'!$C$5,"")))</f>
        <v>Income</v>
      </c>
      <c r="J684" t="str">
        <f ca="1">SUBSTITUTE(IF(LEN(I684)=0,Taostats_CSV!F684&amp;" "&amp;Taostats_CSV!J684,IF(I684="Cost","Extrinsic fee","")),"_"," ")</f>
        <v/>
      </c>
      <c r="K684" t="str">
        <f>TRIM(IF(LEN(Taostats_CSV!I684)&gt;0,Taostats_CSV!I684,""))</f>
        <v/>
      </c>
      <c r="L684">
        <f ca="1">IF(Taostats_CSV!E684&lt;&gt;"TAO",IF(LEN(F684)&gt;0,F684,IF(LEN(D684)&gt;0,D684,0))*Taostats_CSV!P684,"")</f>
        <v>9.8501143604464048</v>
      </c>
      <c r="M684" t="str">
        <f t="shared" ca="1" si="75"/>
        <v>USD</v>
      </c>
      <c r="N684">
        <f>COUNTIF(Taostats_CSV!$X:$X,Taostats_CSV!$I684&amp;N$1)</f>
        <v>0</v>
      </c>
      <c r="O684">
        <f>COUNTIF(Taostats_CSV!$X:$X,Taostats_CSV!$I684&amp;O$1)</f>
        <v>0</v>
      </c>
      <c r="P684">
        <f>COUNTIF(Taostats_CSV!$X:$X,Taostats_CSV!$I684&amp;P$1)</f>
        <v>0</v>
      </c>
      <c r="Q684" t="b">
        <f t="shared" si="76"/>
        <v>0</v>
      </c>
      <c r="R684" t="b">
        <f>IF(LEN(K684)&gt;0,COUNTIF($K$3:K684,K684),FALSE)</f>
        <v>0</v>
      </c>
      <c r="S684" t="b">
        <f>IF(Taostats_CSV!A684=Taostats_CSV!$A$2,TRUE,Taostats_CSV!G684+Taostats_CSV!H684+Taostats_CSV!R684=0)</f>
        <v>0</v>
      </c>
      <c r="T684" t="b">
        <f t="shared" si="77"/>
        <v>1</v>
      </c>
      <c r="U684" t="b" cm="1">
        <f t="array" aca="1" ref="U684" ca="1">AND(T684,OR(O684-N684&gt;1,P684&gt;1,ISERROR(A684:P684)))</f>
        <v>0</v>
      </c>
      <c r="W684" t="e">
        <f>MATCH(K684&amp;$W$2,Taostats_CSV!$X$3:$X$1167,0)</f>
        <v>#N/A</v>
      </c>
      <c r="X684" t="e">
        <f t="shared" ca="1" si="72"/>
        <v>#VALUE!</v>
      </c>
      <c r="Y684">
        <f t="shared" ca="1" si="73"/>
        <v>0.38336142499999998</v>
      </c>
      <c r="Z684" t="e">
        <f t="shared" ca="1" si="74"/>
        <v>#VALUE!</v>
      </c>
    </row>
    <row r="685" spans="1:26" x14ac:dyDescent="0.4">
      <c r="A685" t="str">
        <f>MID(Taostats_CSV!C685,6,2)&amp;"/"&amp;MID(Taostats_CSV!C685,9,2)&amp;"/"&amp;LEFT(Taostats_CSV!C685,4)&amp;" "&amp;MID(Taostats_CSV!C685,12,8)</f>
        <v>07/27/2025 23:59:48</v>
      </c>
      <c r="C685" t="str">
        <f ca="1">IF(Q685,OFFSET(Taostats_CSV!$E$1,MATCH(K685&amp;D$1,Taostats_CSV!$X:$X,0)-1,0),IF(Taostats_CSV!F685="fee",IF(VALUE(Taostats_CSV!G685)&gt;0,Taostats_CSV!E685,""),""))</f>
        <v/>
      </c>
      <c r="D685" t="str">
        <f ca="1">IF(Q685,OFFSET(Taostats_CSV!$G$1,MATCH(K685&amp;D$1,Taostats_CSV!$X:$X,0)-1,0),IF(Taostats_CSV!F685="fee",IF(VALUE(Taostats_CSV!G685)&gt;0,Taostats_CSV!G685,""),""))</f>
        <v/>
      </c>
      <c r="E685" t="str">
        <f ca="1">IF(AND(Q685,P685&gt;0),OFFSET(Taostats_CSV!$E$1,MATCH(K685&amp;F$1,Taostats_CSV!$X:$X,0)-1,0),IF(LEN(F685)&gt;0,Taostats_CSV!E685,""))</f>
        <v>SN4</v>
      </c>
      <c r="F685" t="str">
        <f ca="1">TRIM(IF(AND(Q685,P685&gt;0),OFFSET(Taostats_CSV!$H$1,MATCH(K685&amp;F$1,Taostats_CSV!$X:$X,0)-1,0),IF(LEN(Taostats_CSV!H685)&gt;0,Taostats_CSV!H685,Taostats_CSV!R685)))</f>
        <v>0.421879271</v>
      </c>
      <c r="G685" t="str">
        <f ca="1">IF(AND(Q685,N685=1),OFFSET(Taostats_CSV!$E$1,MATCH(K685&amp;H$1,Taostats_CSV!$X:$X,0)-1,0),"")</f>
        <v/>
      </c>
      <c r="H685" t="str">
        <f ca="1">IF(AND(Q685,N685=1),OFFSET(Taostats_CSV!$G$1,MATCH(K685&amp;H$1,Taostats_CSV!$X:$X,0)-1,0),"")</f>
        <v/>
      </c>
      <c r="I685" t="str">
        <f ca="1">IF(AND(LEN(K685)=0,LEN(F685)&gt;0),"Income",IF(AND(O685&gt;0,P685&gt;0,C685&lt;&gt;E685),"Trade",IF(AND(NOT(Q685),Taostats_CSV!F685="fee"),'READ ME'!$C$5,"")))</f>
        <v>Income</v>
      </c>
      <c r="J685" t="str">
        <f ca="1">SUBSTITUTE(IF(LEN(I685)=0,Taostats_CSV!F685&amp;" "&amp;Taostats_CSV!J685,IF(I685="Cost","Extrinsic fee","")),"_"," ")</f>
        <v/>
      </c>
      <c r="K685" t="str">
        <f>TRIM(IF(LEN(Taostats_CSV!I685)&gt;0,Taostats_CSV!I685,""))</f>
        <v/>
      </c>
      <c r="L685">
        <f ca="1">IF(Taostats_CSV!E685&lt;&gt;"TAO",IF(LEN(F685)&gt;0,F685,IF(LEN(D685)&gt;0,D685,0))*Taostats_CSV!P685,"")</f>
        <v>11.335064484390427</v>
      </c>
      <c r="M685" t="str">
        <f t="shared" ca="1" si="75"/>
        <v>USD</v>
      </c>
      <c r="N685">
        <f>COUNTIF(Taostats_CSV!$X:$X,Taostats_CSV!$I685&amp;N$1)</f>
        <v>0</v>
      </c>
      <c r="O685">
        <f>COUNTIF(Taostats_CSV!$X:$X,Taostats_CSV!$I685&amp;O$1)</f>
        <v>0</v>
      </c>
      <c r="P685">
        <f>COUNTIF(Taostats_CSV!$X:$X,Taostats_CSV!$I685&amp;P$1)</f>
        <v>0</v>
      </c>
      <c r="Q685" t="b">
        <f t="shared" si="76"/>
        <v>0</v>
      </c>
      <c r="R685" t="b">
        <f>IF(LEN(K685)&gt;0,COUNTIF($K$3:K685,K685),FALSE)</f>
        <v>0</v>
      </c>
      <c r="S685" t="b">
        <f>IF(Taostats_CSV!A685=Taostats_CSV!$A$2,TRUE,Taostats_CSV!G685+Taostats_CSV!H685+Taostats_CSV!R685=0)</f>
        <v>0</v>
      </c>
      <c r="T685" t="b">
        <f t="shared" si="77"/>
        <v>1</v>
      </c>
      <c r="U685" t="b" cm="1">
        <f t="array" aca="1" ref="U685" ca="1">AND(T685,OR(O685-N685&gt;1,P685&gt;1,ISERROR(A685:P685)))</f>
        <v>0</v>
      </c>
      <c r="W685" t="e">
        <f>MATCH(K685&amp;$W$2,Taostats_CSV!$X$3:$X$1167,0)</f>
        <v>#N/A</v>
      </c>
      <c r="X685" t="e">
        <f t="shared" ca="1" si="72"/>
        <v>#VALUE!</v>
      </c>
      <c r="Y685">
        <f t="shared" ca="1" si="73"/>
        <v>0.421879271</v>
      </c>
      <c r="Z685" t="e">
        <f t="shared" ca="1" si="74"/>
        <v>#VALUE!</v>
      </c>
    </row>
    <row r="686" spans="1:26" x14ac:dyDescent="0.4">
      <c r="A686" t="str">
        <f>MID(Taostats_CSV!C686,6,2)&amp;"/"&amp;MID(Taostats_CSV!C686,9,2)&amp;"/"&amp;LEFT(Taostats_CSV!C686,4)&amp;" "&amp;MID(Taostats_CSV!C686,12,8)</f>
        <v>07/27/2025 23:59:48</v>
      </c>
      <c r="C686" t="str">
        <f ca="1">IF(Q686,OFFSET(Taostats_CSV!$E$1,MATCH(K686&amp;D$1,Taostats_CSV!$X:$X,0)-1,0),IF(Taostats_CSV!F686="fee",IF(VALUE(Taostats_CSV!G686)&gt;0,Taostats_CSV!E686,""),""))</f>
        <v/>
      </c>
      <c r="D686" t="str">
        <f ca="1">IF(Q686,OFFSET(Taostats_CSV!$G$1,MATCH(K686&amp;D$1,Taostats_CSV!$X:$X,0)-1,0),IF(Taostats_CSV!F686="fee",IF(VALUE(Taostats_CSV!G686)&gt;0,Taostats_CSV!G686,""),""))</f>
        <v/>
      </c>
      <c r="E686" t="str">
        <f ca="1">IF(AND(Q686,P686&gt;0),OFFSET(Taostats_CSV!$E$1,MATCH(K686&amp;F$1,Taostats_CSV!$X:$X,0)-1,0),IF(LEN(F686)&gt;0,Taostats_CSV!E686,""))</f>
        <v>SN56</v>
      </c>
      <c r="F686" t="str">
        <f ca="1">TRIM(IF(AND(Q686,P686&gt;0),OFFSET(Taostats_CSV!$H$1,MATCH(K686&amp;F$1,Taostats_CSV!$X:$X,0)-1,0),IF(LEN(Taostats_CSV!H686)&gt;0,Taostats_CSV!H686,Taostats_CSV!R686)))</f>
        <v>0.236475197</v>
      </c>
      <c r="G686" t="str">
        <f ca="1">IF(AND(Q686,N686=1),OFFSET(Taostats_CSV!$E$1,MATCH(K686&amp;H$1,Taostats_CSV!$X:$X,0)-1,0),"")</f>
        <v/>
      </c>
      <c r="H686" t="str">
        <f ca="1">IF(AND(Q686,N686=1),OFFSET(Taostats_CSV!$G$1,MATCH(K686&amp;H$1,Taostats_CSV!$X:$X,0)-1,0),"")</f>
        <v/>
      </c>
      <c r="I686" t="str">
        <f ca="1">IF(AND(LEN(K686)=0,LEN(F686)&gt;0),"Income",IF(AND(O686&gt;0,P686&gt;0,C686&lt;&gt;E686),"Trade",IF(AND(NOT(Q686),Taostats_CSV!F686="fee"),'READ ME'!$C$5,"")))</f>
        <v>Income</v>
      </c>
      <c r="J686" t="str">
        <f ca="1">SUBSTITUTE(IF(LEN(I686)=0,Taostats_CSV!F686&amp;" "&amp;Taostats_CSV!J686,IF(I686="Cost","Extrinsic fee","")),"_"," ")</f>
        <v/>
      </c>
      <c r="K686" t="str">
        <f>TRIM(IF(LEN(Taostats_CSV!I686)&gt;0,Taostats_CSV!I686,""))</f>
        <v/>
      </c>
      <c r="L686">
        <f ca="1">IF(Taostats_CSV!E686&lt;&gt;"TAO",IF(LEN(F686)&gt;0,F686,IF(LEN(D686)&gt;0,D686,0))*Taostats_CSV!P686,"")</f>
        <v>6.4140288795216698</v>
      </c>
      <c r="M686" t="str">
        <f t="shared" ca="1" si="75"/>
        <v>USD</v>
      </c>
      <c r="N686">
        <f>COUNTIF(Taostats_CSV!$X:$X,Taostats_CSV!$I686&amp;N$1)</f>
        <v>0</v>
      </c>
      <c r="O686">
        <f>COUNTIF(Taostats_CSV!$X:$X,Taostats_CSV!$I686&amp;O$1)</f>
        <v>0</v>
      </c>
      <c r="P686">
        <f>COUNTIF(Taostats_CSV!$X:$X,Taostats_CSV!$I686&amp;P$1)</f>
        <v>0</v>
      </c>
      <c r="Q686" t="b">
        <f t="shared" si="76"/>
        <v>0</v>
      </c>
      <c r="R686" t="b">
        <f>IF(LEN(K686)&gt;0,COUNTIF($K$3:K686,K686),FALSE)</f>
        <v>0</v>
      </c>
      <c r="S686" t="b">
        <f>IF(Taostats_CSV!A686=Taostats_CSV!$A$2,TRUE,Taostats_CSV!G686+Taostats_CSV!H686+Taostats_CSV!R686=0)</f>
        <v>0</v>
      </c>
      <c r="T686" t="b">
        <f t="shared" si="77"/>
        <v>1</v>
      </c>
      <c r="U686" t="b" cm="1">
        <f t="array" aca="1" ref="U686" ca="1">AND(T686,OR(O686-N686&gt;1,P686&gt;1,ISERROR(A686:P686)))</f>
        <v>0</v>
      </c>
      <c r="W686" t="e">
        <f>MATCH(K686&amp;$W$2,Taostats_CSV!$X$3:$X$1167,0)</f>
        <v>#N/A</v>
      </c>
      <c r="X686" t="e">
        <f t="shared" ca="1" si="72"/>
        <v>#VALUE!</v>
      </c>
      <c r="Y686">
        <f t="shared" ca="1" si="73"/>
        <v>0.236475197</v>
      </c>
      <c r="Z686" t="e">
        <f t="shared" ca="1" si="74"/>
        <v>#VALUE!</v>
      </c>
    </row>
    <row r="687" spans="1:26" x14ac:dyDescent="0.4">
      <c r="A687" t="str">
        <f>MID(Taostats_CSV!C687,6,2)&amp;"/"&amp;MID(Taostats_CSV!C687,9,2)&amp;"/"&amp;LEFT(Taostats_CSV!C687,4)&amp;" "&amp;MID(Taostats_CSV!C687,12,8)</f>
        <v>07/27/2025 23:59:48</v>
      </c>
      <c r="C687" t="str">
        <f ca="1">IF(Q687,OFFSET(Taostats_CSV!$E$1,MATCH(K687&amp;D$1,Taostats_CSV!$X:$X,0)-1,0),IF(Taostats_CSV!F687="fee",IF(VALUE(Taostats_CSV!G687)&gt;0,Taostats_CSV!E687,""),""))</f>
        <v/>
      </c>
      <c r="D687" t="str">
        <f ca="1">IF(Q687,OFFSET(Taostats_CSV!$G$1,MATCH(K687&amp;D$1,Taostats_CSV!$X:$X,0)-1,0),IF(Taostats_CSV!F687="fee",IF(VALUE(Taostats_CSV!G687)&gt;0,Taostats_CSV!G687,""),""))</f>
        <v/>
      </c>
      <c r="E687" t="str">
        <f ca="1">IF(AND(Q687,P687&gt;0),OFFSET(Taostats_CSV!$E$1,MATCH(K687&amp;F$1,Taostats_CSV!$X:$X,0)-1,0),IF(LEN(F687)&gt;0,Taostats_CSV!E687,""))</f>
        <v>SN64</v>
      </c>
      <c r="F687" t="str">
        <f ca="1">TRIM(IF(AND(Q687,P687&gt;0),OFFSET(Taostats_CSV!$H$1,MATCH(K687&amp;F$1,Taostats_CSV!$X:$X,0)-1,0),IF(LEN(Taostats_CSV!H687)&gt;0,Taostats_CSV!H687,Taostats_CSV!R687)))</f>
        <v>0.148733225</v>
      </c>
      <c r="G687" t="str">
        <f ca="1">IF(AND(Q687,N687=1),OFFSET(Taostats_CSV!$E$1,MATCH(K687&amp;H$1,Taostats_CSV!$X:$X,0)-1,0),"")</f>
        <v/>
      </c>
      <c r="H687" t="str">
        <f ca="1">IF(AND(Q687,N687=1),OFFSET(Taostats_CSV!$G$1,MATCH(K687&amp;H$1,Taostats_CSV!$X:$X,0)-1,0),"")</f>
        <v/>
      </c>
      <c r="I687" t="str">
        <f ca="1">IF(AND(LEN(K687)=0,LEN(F687)&gt;0),"Income",IF(AND(O687&gt;0,P687&gt;0,C687&lt;&gt;E687),"Trade",IF(AND(NOT(Q687),Taostats_CSV!F687="fee"),'READ ME'!$C$5,"")))</f>
        <v>Income</v>
      </c>
      <c r="J687" t="str">
        <f ca="1">SUBSTITUTE(IF(LEN(I687)=0,Taostats_CSV!F687&amp;" "&amp;Taostats_CSV!J687,IF(I687="Cost","Extrinsic fee","")),"_"," ")</f>
        <v/>
      </c>
      <c r="K687" t="str">
        <f>TRIM(IF(LEN(Taostats_CSV!I687)&gt;0,Taostats_CSV!I687,""))</f>
        <v/>
      </c>
      <c r="L687">
        <f ca="1">IF(Taostats_CSV!E687&lt;&gt;"TAO",IF(LEN(F687)&gt;0,F687,IF(LEN(D687)&gt;0,D687,0))*Taostats_CSV!P687,"")</f>
        <v>8.6344110756605961</v>
      </c>
      <c r="M687" t="str">
        <f t="shared" ca="1" si="75"/>
        <v>USD</v>
      </c>
      <c r="N687">
        <f>COUNTIF(Taostats_CSV!$X:$X,Taostats_CSV!$I687&amp;N$1)</f>
        <v>0</v>
      </c>
      <c r="O687">
        <f>COUNTIF(Taostats_CSV!$X:$X,Taostats_CSV!$I687&amp;O$1)</f>
        <v>0</v>
      </c>
      <c r="P687">
        <f>COUNTIF(Taostats_CSV!$X:$X,Taostats_CSV!$I687&amp;P$1)</f>
        <v>0</v>
      </c>
      <c r="Q687" t="b">
        <f t="shared" si="76"/>
        <v>0</v>
      </c>
      <c r="R687" t="b">
        <f>IF(LEN(K687)&gt;0,COUNTIF($K$3:K687,K687),FALSE)</f>
        <v>0</v>
      </c>
      <c r="S687" t="b">
        <f>IF(Taostats_CSV!A687=Taostats_CSV!$A$2,TRUE,Taostats_CSV!G687+Taostats_CSV!H687+Taostats_CSV!R687=0)</f>
        <v>0</v>
      </c>
      <c r="T687" t="b">
        <f t="shared" si="77"/>
        <v>1</v>
      </c>
      <c r="U687" t="b" cm="1">
        <f t="array" aca="1" ref="U687" ca="1">AND(T687,OR(O687-N687&gt;1,P687&gt;1,ISERROR(A687:P687)))</f>
        <v>0</v>
      </c>
      <c r="W687" t="e">
        <f>MATCH(K687&amp;$W$2,Taostats_CSV!$X$3:$X$1167,0)</f>
        <v>#N/A</v>
      </c>
      <c r="X687" t="e">
        <f t="shared" ca="1" si="72"/>
        <v>#VALUE!</v>
      </c>
      <c r="Y687">
        <f t="shared" ca="1" si="73"/>
        <v>0.148733225</v>
      </c>
      <c r="Z687" t="e">
        <f t="shared" ca="1" si="74"/>
        <v>#VALUE!</v>
      </c>
    </row>
    <row r="688" spans="1:26" hidden="1" x14ac:dyDescent="0.4">
      <c r="A688" t="str">
        <f>MID(Taostats_CSV!C688,6,2)&amp;"/"&amp;MID(Taostats_CSV!C688,9,2)&amp;"/"&amp;LEFT(Taostats_CSV!C688,4)&amp;" "&amp;MID(Taostats_CSV!C688,12,8)</f>
        <v>07/27/2025 23:59:48</v>
      </c>
      <c r="C688" t="str">
        <f ca="1">IF(Q688,OFFSET(Taostats_CSV!$E$1,MATCH(K688&amp;D$1,Taostats_CSV!$X:$X,0)-1,0),IF(Taostats_CSV!F688="fee","",IF(VALUE(Taostats_CSV!G688)&gt;0,Taostats_CSV!E688,"")))</f>
        <v/>
      </c>
      <c r="D688" t="str">
        <f ca="1">IF(Q688,OFFSET(Taostats_CSV!$G$1,MATCH(K688&amp;D$1,Taostats_CSV!$X:$X,0)-1,0),IF(Taostats_CSV!F688="fee","",IF(VALUE(Taostats_CSV!G688)&gt;0,Taostats_CSV!G688,"")))</f>
        <v/>
      </c>
      <c r="E688" t="str">
        <f ca="1">IF(AND(Q688,P688&gt;0),OFFSET(Taostats_CSV!$E$1,MATCH(K688&amp;F$1,Taostats_CSV!$X:$X,0)-1,0),IF(LEN(F688)&gt;0,Taostats_CSV!E688,""))</f>
        <v>TAO</v>
      </c>
      <c r="F688" t="str">
        <f ca="1">TRIM(IF(AND(Q688,P688&gt;0),OFFSET(Taostats_CSV!$H$1,MATCH(K688&amp;F$1,Taostats_CSV!$X:$X,0)-1,0),IF(LEN(Taostats_CSV!H688)&gt;0,Taostats_CSV!H688,Taostats_CSV!R688)))</f>
        <v>0</v>
      </c>
      <c r="G688" t="str">
        <f ca="1">IF(AND(Q688,N688=1),OFFSET(Taostats_CSV!$E$1,MATCH(K688&amp;H$1,Taostats_CSV!$X:$X,0)-1,0),IF(Taostats_CSV!F688="fee",Taostats_CSV!E688,""))</f>
        <v/>
      </c>
      <c r="H688" t="str">
        <f ca="1">IF(AND(Q688,N688=1),OFFSET(Taostats_CSV!$G$1,MATCH(K688&amp;H$1,Taostats_CSV!$X:$X,0)-1,0),IF(Taostats_CSV!F688="fee",Taostats_CSV!G688,""))</f>
        <v/>
      </c>
      <c r="I688" t="str">
        <f ca="1">IF(AND(LEN(K688)=0,LEN(F688)&gt;0),"Income",IF(AND(O688&gt;0,P688&gt;0,C688&lt;&gt;E688),"Trade",IF(AND(NOT(Q688),Taostats_CSV!F688="fee"),'READ ME'!$C$5,"")))</f>
        <v>Income</v>
      </c>
      <c r="J688" t="str">
        <f ca="1">SUBSTITUTE(IF(LEN(I688)=0,Taostats_CSV!F688&amp;" "&amp;Taostats_CSV!J688,IF(I688="Cost","Extrinsic fee","")),"_"," ")</f>
        <v/>
      </c>
      <c r="K688" t="str">
        <f>TRIM(IF(LEN(Taostats_CSV!I688)&gt;0,Taostats_CSV!I688,""))</f>
        <v/>
      </c>
      <c r="L688" t="str">
        <f>IF(Taostats_CSV!E688&lt;&gt;"TAO",IF(LEN(F688)&gt;0,F688,IF(LEN(D688)&gt;0,D688,0))*Taostats_CSV!P688,"")</f>
        <v/>
      </c>
      <c r="M688" t="str">
        <f t="shared" si="75"/>
        <v/>
      </c>
      <c r="N688">
        <f>COUNTIF(Taostats_CSV!$X:$X,Taostats_CSV!$I688&amp;N$1)</f>
        <v>0</v>
      </c>
      <c r="O688">
        <f>COUNTIF(Taostats_CSV!$X:$X,Taostats_CSV!$I688&amp;O$1)</f>
        <v>0</v>
      </c>
      <c r="P688">
        <f>COUNTIF(Taostats_CSV!$X:$X,Taostats_CSV!$I688&amp;P$1)</f>
        <v>0</v>
      </c>
      <c r="Q688" t="b">
        <f t="shared" si="76"/>
        <v>0</v>
      </c>
      <c r="R688" t="b">
        <f>IF(LEN(K688)&gt;0,COUNTIF($K$3:K688,K688),FALSE)</f>
        <v>0</v>
      </c>
      <c r="S688" t="b">
        <f>IF(Taostats_CSV!A688=Taostats_CSV!$A$2,TRUE,Taostats_CSV!G688+Taostats_CSV!H688+Taostats_CSV!R688=0)</f>
        <v>1</v>
      </c>
      <c r="T688" t="b">
        <f t="shared" si="77"/>
        <v>0</v>
      </c>
      <c r="U688" t="b" cm="1">
        <f t="array" aca="1" ref="U688" ca="1">AND(T688,OR(O688-N688&gt;1,P688&gt;1,ISERROR(A688:P688)))</f>
        <v>0</v>
      </c>
      <c r="W688" t="e">
        <f>MATCH(K688&amp;$W$2,Taostats_CSV!$X$3:$X$1167,0)</f>
        <v>#N/A</v>
      </c>
      <c r="X688" t="e">
        <f t="shared" ca="1" si="72"/>
        <v>#VALUE!</v>
      </c>
      <c r="Y688">
        <f t="shared" ca="1" si="73"/>
        <v>0</v>
      </c>
      <c r="Z688" t="e">
        <f t="shared" ca="1" si="74"/>
        <v>#VALUE!</v>
      </c>
    </row>
    <row r="689" spans="1:26" x14ac:dyDescent="0.4">
      <c r="A689" t="str">
        <f>MID(Taostats_CSV!C689,6,2)&amp;"/"&amp;MID(Taostats_CSV!C689,9,2)&amp;"/"&amp;LEFT(Taostats_CSV!C689,4)&amp;" "&amp;MID(Taostats_CSV!C689,12,8)</f>
        <v>07/28/2025 23:59:48</v>
      </c>
      <c r="C689" t="str">
        <f ca="1">IF(Q689,OFFSET(Taostats_CSV!$E$1,MATCH(K689&amp;D$1,Taostats_CSV!$X:$X,0)-1,0),IF(Taostats_CSV!F689="fee",IF(VALUE(Taostats_CSV!G689)&gt;0,Taostats_CSV!E689,""),""))</f>
        <v/>
      </c>
      <c r="D689" t="str">
        <f ca="1">IF(Q689,OFFSET(Taostats_CSV!$G$1,MATCH(K689&amp;D$1,Taostats_CSV!$X:$X,0)-1,0),IF(Taostats_CSV!F689="fee",IF(VALUE(Taostats_CSV!G689)&gt;0,Taostats_CSV!G689,""),""))</f>
        <v/>
      </c>
      <c r="E689" t="str">
        <f ca="1">IF(AND(Q689,P689&gt;0),OFFSET(Taostats_CSV!$E$1,MATCH(K689&amp;F$1,Taostats_CSV!$X:$X,0)-1,0),IF(LEN(F689)&gt;0,Taostats_CSV!E689,""))</f>
        <v>SN3</v>
      </c>
      <c r="F689" t="str">
        <f ca="1">TRIM(IF(AND(Q689,P689&gt;0),OFFSET(Taostats_CSV!$H$1,MATCH(K689&amp;F$1,Taostats_CSV!$X:$X,0)-1,0),IF(LEN(Taostats_CSV!H689)&gt;0,Taostats_CSV!H689,Taostats_CSV!R689)))</f>
        <v>0.398629674</v>
      </c>
      <c r="G689" t="str">
        <f ca="1">IF(AND(Q689,N689=1),OFFSET(Taostats_CSV!$E$1,MATCH(K689&amp;H$1,Taostats_CSV!$X:$X,0)-1,0),"")</f>
        <v/>
      </c>
      <c r="H689" t="str">
        <f ca="1">IF(AND(Q689,N689=1),OFFSET(Taostats_CSV!$G$1,MATCH(K689&amp;H$1,Taostats_CSV!$X:$X,0)-1,0),"")</f>
        <v/>
      </c>
      <c r="I689" t="str">
        <f ca="1">IF(AND(LEN(K689)=0,LEN(F689)&gt;0),"Income",IF(AND(O689&gt;0,P689&gt;0,C689&lt;&gt;E689),"Trade",IF(AND(NOT(Q689),Taostats_CSV!F689="fee"),'READ ME'!$C$5,"")))</f>
        <v>Income</v>
      </c>
      <c r="J689" t="str">
        <f ca="1">SUBSTITUTE(IF(LEN(I689)=0,Taostats_CSV!F689&amp;" "&amp;Taostats_CSV!J689,IF(I689="Cost","Extrinsic fee","")),"_"," ")</f>
        <v/>
      </c>
      <c r="K689" t="str">
        <f>TRIM(IF(LEN(Taostats_CSV!I689)&gt;0,Taostats_CSV!I689,""))</f>
        <v/>
      </c>
      <c r="L689">
        <f ca="1">IF(Taostats_CSV!E689&lt;&gt;"TAO",IF(LEN(F689)&gt;0,F689,IF(LEN(D689)&gt;0,D689,0))*Taostats_CSV!P689,"")</f>
        <v>9.4754016199644404</v>
      </c>
      <c r="M689" t="str">
        <f t="shared" ca="1" si="75"/>
        <v>USD</v>
      </c>
      <c r="N689">
        <f>COUNTIF(Taostats_CSV!$X:$X,Taostats_CSV!$I689&amp;N$1)</f>
        <v>0</v>
      </c>
      <c r="O689">
        <f>COUNTIF(Taostats_CSV!$X:$X,Taostats_CSV!$I689&amp;O$1)</f>
        <v>0</v>
      </c>
      <c r="P689">
        <f>COUNTIF(Taostats_CSV!$X:$X,Taostats_CSV!$I689&amp;P$1)</f>
        <v>0</v>
      </c>
      <c r="Q689" t="b">
        <f t="shared" si="76"/>
        <v>0</v>
      </c>
      <c r="R689" t="b">
        <f>IF(LEN(K689)&gt;0,COUNTIF($K$3:K689,K689),FALSE)</f>
        <v>0</v>
      </c>
      <c r="S689" t="b">
        <f>IF(Taostats_CSV!A689=Taostats_CSV!$A$2,TRUE,Taostats_CSV!G689+Taostats_CSV!H689+Taostats_CSV!R689=0)</f>
        <v>0</v>
      </c>
      <c r="T689" t="b">
        <f t="shared" si="77"/>
        <v>1</v>
      </c>
      <c r="U689" t="b" cm="1">
        <f t="array" aca="1" ref="U689" ca="1">AND(T689,OR(O689-N689&gt;1,P689&gt;1,ISERROR(A689:P689)))</f>
        <v>0</v>
      </c>
      <c r="W689" t="e">
        <f>MATCH(K689&amp;$W$2,Taostats_CSV!$X$3:$X$1167,0)</f>
        <v>#N/A</v>
      </c>
      <c r="X689" t="e">
        <f t="shared" ca="1" si="72"/>
        <v>#VALUE!</v>
      </c>
      <c r="Y689">
        <f t="shared" ca="1" si="73"/>
        <v>0.39862967399999999</v>
      </c>
      <c r="Z689" t="e">
        <f t="shared" ca="1" si="74"/>
        <v>#VALUE!</v>
      </c>
    </row>
    <row r="690" spans="1:26" x14ac:dyDescent="0.4">
      <c r="A690" t="str">
        <f>MID(Taostats_CSV!C690,6,2)&amp;"/"&amp;MID(Taostats_CSV!C690,9,2)&amp;"/"&amp;LEFT(Taostats_CSV!C690,4)&amp;" "&amp;MID(Taostats_CSV!C690,12,8)</f>
        <v>07/28/2025 23:59:48</v>
      </c>
      <c r="C690" t="str">
        <f ca="1">IF(Q690,OFFSET(Taostats_CSV!$E$1,MATCH(K690&amp;D$1,Taostats_CSV!$X:$X,0)-1,0),IF(Taostats_CSV!F690="fee",IF(VALUE(Taostats_CSV!G690)&gt;0,Taostats_CSV!E690,""),""))</f>
        <v/>
      </c>
      <c r="D690" t="str">
        <f ca="1">IF(Q690,OFFSET(Taostats_CSV!$G$1,MATCH(K690&amp;D$1,Taostats_CSV!$X:$X,0)-1,0),IF(Taostats_CSV!F690="fee",IF(VALUE(Taostats_CSV!G690)&gt;0,Taostats_CSV!G690,""),""))</f>
        <v/>
      </c>
      <c r="E690" t="str">
        <f ca="1">IF(AND(Q690,P690&gt;0),OFFSET(Taostats_CSV!$E$1,MATCH(K690&amp;F$1,Taostats_CSV!$X:$X,0)-1,0),IF(LEN(F690)&gt;0,Taostats_CSV!E690,""))</f>
        <v>SN4</v>
      </c>
      <c r="F690" t="str">
        <f ca="1">TRIM(IF(AND(Q690,P690&gt;0),OFFSET(Taostats_CSV!$H$1,MATCH(K690&amp;F$1,Taostats_CSV!$X:$X,0)-1,0),IF(LEN(Taostats_CSV!H690)&gt;0,Taostats_CSV!H690,Taostats_CSV!R690)))</f>
        <v>0.402933609</v>
      </c>
      <c r="G690" t="str">
        <f ca="1">IF(AND(Q690,N690=1),OFFSET(Taostats_CSV!$E$1,MATCH(K690&amp;H$1,Taostats_CSV!$X:$X,0)-1,0),"")</f>
        <v/>
      </c>
      <c r="H690" t="str">
        <f ca="1">IF(AND(Q690,N690=1),OFFSET(Taostats_CSV!$G$1,MATCH(K690&amp;H$1,Taostats_CSV!$X:$X,0)-1,0),"")</f>
        <v/>
      </c>
      <c r="I690" t="str">
        <f ca="1">IF(AND(LEN(K690)=0,LEN(F690)&gt;0),"Income",IF(AND(O690&gt;0,P690&gt;0,C690&lt;&gt;E690),"Trade",IF(AND(NOT(Q690),Taostats_CSV!F690="fee"),'READ ME'!$C$5,"")))</f>
        <v>Income</v>
      </c>
      <c r="J690" t="str">
        <f ca="1">SUBSTITUTE(IF(LEN(I690)=0,Taostats_CSV!F690&amp;" "&amp;Taostats_CSV!J690,IF(I690="Cost","Extrinsic fee","")),"_"," ")</f>
        <v/>
      </c>
      <c r="K690" t="str">
        <f>TRIM(IF(LEN(Taostats_CSV!I690)&gt;0,Taostats_CSV!I690,""))</f>
        <v/>
      </c>
      <c r="L690">
        <f ca="1">IF(Taostats_CSV!E690&lt;&gt;"TAO",IF(LEN(F690)&gt;0,F690,IF(LEN(D690)&gt;0,D690,0))*Taostats_CSV!P690,"")</f>
        <v>10.939550811861102</v>
      </c>
      <c r="M690" t="str">
        <f t="shared" ca="1" si="75"/>
        <v>USD</v>
      </c>
      <c r="N690">
        <f>COUNTIF(Taostats_CSV!$X:$X,Taostats_CSV!$I690&amp;N$1)</f>
        <v>0</v>
      </c>
      <c r="O690">
        <f>COUNTIF(Taostats_CSV!$X:$X,Taostats_CSV!$I690&amp;O$1)</f>
        <v>0</v>
      </c>
      <c r="P690">
        <f>COUNTIF(Taostats_CSV!$X:$X,Taostats_CSV!$I690&amp;P$1)</f>
        <v>0</v>
      </c>
      <c r="Q690" t="b">
        <f t="shared" si="76"/>
        <v>0</v>
      </c>
      <c r="R690" t="b">
        <f>IF(LEN(K690)&gt;0,COUNTIF($K$3:K690,K690),FALSE)</f>
        <v>0</v>
      </c>
      <c r="S690" t="b">
        <f>IF(Taostats_CSV!A690=Taostats_CSV!$A$2,TRUE,Taostats_CSV!G690+Taostats_CSV!H690+Taostats_CSV!R690=0)</f>
        <v>0</v>
      </c>
      <c r="T690" t="b">
        <f t="shared" si="77"/>
        <v>1</v>
      </c>
      <c r="U690" t="b" cm="1">
        <f t="array" aca="1" ref="U690" ca="1">AND(T690,OR(O690-N690&gt;1,P690&gt;1,ISERROR(A690:P690)))</f>
        <v>0</v>
      </c>
      <c r="W690" t="e">
        <f>MATCH(K690&amp;$W$2,Taostats_CSV!$X$3:$X$1167,0)</f>
        <v>#N/A</v>
      </c>
      <c r="X690" t="e">
        <f t="shared" ca="1" si="72"/>
        <v>#VALUE!</v>
      </c>
      <c r="Y690">
        <f t="shared" ca="1" si="73"/>
        <v>0.40293360900000003</v>
      </c>
      <c r="Z690" t="e">
        <f t="shared" ca="1" si="74"/>
        <v>#VALUE!</v>
      </c>
    </row>
    <row r="691" spans="1:26" x14ac:dyDescent="0.4">
      <c r="A691" t="str">
        <f>MID(Taostats_CSV!C691,6,2)&amp;"/"&amp;MID(Taostats_CSV!C691,9,2)&amp;"/"&amp;LEFT(Taostats_CSV!C691,4)&amp;" "&amp;MID(Taostats_CSV!C691,12,8)</f>
        <v>07/28/2025 23:59:48</v>
      </c>
      <c r="C691" t="str">
        <f ca="1">IF(Q691,OFFSET(Taostats_CSV!$E$1,MATCH(K691&amp;D$1,Taostats_CSV!$X:$X,0)-1,0),IF(Taostats_CSV!F691="fee",IF(VALUE(Taostats_CSV!G691)&gt;0,Taostats_CSV!E691,""),""))</f>
        <v/>
      </c>
      <c r="D691" t="str">
        <f ca="1">IF(Q691,OFFSET(Taostats_CSV!$G$1,MATCH(K691&amp;D$1,Taostats_CSV!$X:$X,0)-1,0),IF(Taostats_CSV!F691="fee",IF(VALUE(Taostats_CSV!G691)&gt;0,Taostats_CSV!G691,""),""))</f>
        <v/>
      </c>
      <c r="E691" t="str">
        <f ca="1">IF(AND(Q691,P691&gt;0),OFFSET(Taostats_CSV!$E$1,MATCH(K691&amp;F$1,Taostats_CSV!$X:$X,0)-1,0),IF(LEN(F691)&gt;0,Taostats_CSV!E691,""))</f>
        <v>SN56</v>
      </c>
      <c r="F691" t="str">
        <f ca="1">TRIM(IF(AND(Q691,P691&gt;0),OFFSET(Taostats_CSV!$H$1,MATCH(K691&amp;F$1,Taostats_CSV!$X:$X,0)-1,0),IF(LEN(Taostats_CSV!H691)&gt;0,Taostats_CSV!H691,Taostats_CSV!R691)))</f>
        <v>0.225995058</v>
      </c>
      <c r="G691" t="str">
        <f ca="1">IF(AND(Q691,N691=1),OFFSET(Taostats_CSV!$E$1,MATCH(K691&amp;H$1,Taostats_CSV!$X:$X,0)-1,0),"")</f>
        <v/>
      </c>
      <c r="H691" t="str">
        <f ca="1">IF(AND(Q691,N691=1),OFFSET(Taostats_CSV!$G$1,MATCH(K691&amp;H$1,Taostats_CSV!$X:$X,0)-1,0),"")</f>
        <v/>
      </c>
      <c r="I691" t="str">
        <f ca="1">IF(AND(LEN(K691)=0,LEN(F691)&gt;0),"Income",IF(AND(O691&gt;0,P691&gt;0,C691&lt;&gt;E691),"Trade",IF(AND(NOT(Q691),Taostats_CSV!F691="fee"),'READ ME'!$C$5,"")))</f>
        <v>Income</v>
      </c>
      <c r="J691" t="str">
        <f ca="1">SUBSTITUTE(IF(LEN(I691)=0,Taostats_CSV!F691&amp;" "&amp;Taostats_CSV!J691,IF(I691="Cost","Extrinsic fee","")),"_"," ")</f>
        <v/>
      </c>
      <c r="K691" t="str">
        <f>TRIM(IF(LEN(Taostats_CSV!I691)&gt;0,Taostats_CSV!I691,""))</f>
        <v/>
      </c>
      <c r="L691">
        <f ca="1">IF(Taostats_CSV!E691&lt;&gt;"TAO",IF(LEN(F691)&gt;0,F691,IF(LEN(D691)&gt;0,D691,0))*Taostats_CSV!P691,"")</f>
        <v>5.6332758382940415</v>
      </c>
      <c r="M691" t="str">
        <f t="shared" ca="1" si="75"/>
        <v>USD</v>
      </c>
      <c r="N691">
        <f>COUNTIF(Taostats_CSV!$X:$X,Taostats_CSV!$I691&amp;N$1)</f>
        <v>0</v>
      </c>
      <c r="O691">
        <f>COUNTIF(Taostats_CSV!$X:$X,Taostats_CSV!$I691&amp;O$1)</f>
        <v>0</v>
      </c>
      <c r="P691">
        <f>COUNTIF(Taostats_CSV!$X:$X,Taostats_CSV!$I691&amp;P$1)</f>
        <v>0</v>
      </c>
      <c r="Q691" t="b">
        <f t="shared" si="76"/>
        <v>0</v>
      </c>
      <c r="R691" t="b">
        <f>IF(LEN(K691)&gt;0,COUNTIF($K$3:K691,K691),FALSE)</f>
        <v>0</v>
      </c>
      <c r="S691" t="b">
        <f>IF(Taostats_CSV!A691=Taostats_CSV!$A$2,TRUE,Taostats_CSV!G691+Taostats_CSV!H691+Taostats_CSV!R691=0)</f>
        <v>0</v>
      </c>
      <c r="T691" t="b">
        <f t="shared" si="77"/>
        <v>1</v>
      </c>
      <c r="U691" t="b" cm="1">
        <f t="array" aca="1" ref="U691" ca="1">AND(T691,OR(O691-N691&gt;1,P691&gt;1,ISERROR(A691:P691)))</f>
        <v>0</v>
      </c>
      <c r="W691" t="e">
        <f>MATCH(K691&amp;$W$2,Taostats_CSV!$X$3:$X$1167,0)</f>
        <v>#N/A</v>
      </c>
      <c r="X691" t="e">
        <f t="shared" ca="1" si="72"/>
        <v>#VALUE!</v>
      </c>
      <c r="Y691">
        <f t="shared" ca="1" si="73"/>
        <v>0.225995058</v>
      </c>
      <c r="Z691" t="e">
        <f t="shared" ca="1" si="74"/>
        <v>#VALUE!</v>
      </c>
    </row>
    <row r="692" spans="1:26" x14ac:dyDescent="0.4">
      <c r="A692" t="str">
        <f>MID(Taostats_CSV!C692,6,2)&amp;"/"&amp;MID(Taostats_CSV!C692,9,2)&amp;"/"&amp;LEFT(Taostats_CSV!C692,4)&amp;" "&amp;MID(Taostats_CSV!C692,12,8)</f>
        <v>07/28/2025 23:59:48</v>
      </c>
      <c r="C692" t="str">
        <f ca="1">IF(Q692,OFFSET(Taostats_CSV!$E$1,MATCH(K692&amp;D$1,Taostats_CSV!$X:$X,0)-1,0),IF(Taostats_CSV!F692="fee",IF(VALUE(Taostats_CSV!G692)&gt;0,Taostats_CSV!E692,""),""))</f>
        <v/>
      </c>
      <c r="D692" t="str">
        <f ca="1">IF(Q692,OFFSET(Taostats_CSV!$G$1,MATCH(K692&amp;D$1,Taostats_CSV!$X:$X,0)-1,0),IF(Taostats_CSV!F692="fee",IF(VALUE(Taostats_CSV!G692)&gt;0,Taostats_CSV!G692,""),""))</f>
        <v/>
      </c>
      <c r="E692" t="str">
        <f ca="1">IF(AND(Q692,P692&gt;0),OFFSET(Taostats_CSV!$E$1,MATCH(K692&amp;F$1,Taostats_CSV!$X:$X,0)-1,0),IF(LEN(F692)&gt;0,Taostats_CSV!E692,""))</f>
        <v>SN64</v>
      </c>
      <c r="F692" t="str">
        <f ca="1">TRIM(IF(AND(Q692,P692&gt;0),OFFSET(Taostats_CSV!$H$1,MATCH(K692&amp;F$1,Taostats_CSV!$X:$X,0)-1,0),IF(LEN(Taostats_CSV!H692)&gt;0,Taostats_CSV!H692,Taostats_CSV!R692)))</f>
        <v>0.14444991</v>
      </c>
      <c r="G692" t="str">
        <f ca="1">IF(AND(Q692,N692=1),OFFSET(Taostats_CSV!$E$1,MATCH(K692&amp;H$1,Taostats_CSV!$X:$X,0)-1,0),"")</f>
        <v/>
      </c>
      <c r="H692" t="str">
        <f ca="1">IF(AND(Q692,N692=1),OFFSET(Taostats_CSV!$G$1,MATCH(K692&amp;H$1,Taostats_CSV!$X:$X,0)-1,0),"")</f>
        <v/>
      </c>
      <c r="I692" t="str">
        <f ca="1">IF(AND(LEN(K692)=0,LEN(F692)&gt;0),"Income",IF(AND(O692&gt;0,P692&gt;0,C692&lt;&gt;E692),"Trade",IF(AND(NOT(Q692),Taostats_CSV!F692="fee"),'READ ME'!$C$5,"")))</f>
        <v>Income</v>
      </c>
      <c r="J692" t="str">
        <f ca="1">SUBSTITUTE(IF(LEN(I692)=0,Taostats_CSV!F692&amp;" "&amp;Taostats_CSV!J692,IF(I692="Cost","Extrinsic fee","")),"_"," ")</f>
        <v/>
      </c>
      <c r="K692" t="str">
        <f>TRIM(IF(LEN(Taostats_CSV!I692)&gt;0,Taostats_CSV!I692,""))</f>
        <v/>
      </c>
      <c r="L692">
        <f ca="1">IF(Taostats_CSV!E692&lt;&gt;"TAO",IF(LEN(F692)&gt;0,F692,IF(LEN(D692)&gt;0,D692,0))*Taostats_CSV!P692,"")</f>
        <v>7.6612001644379175</v>
      </c>
      <c r="M692" t="str">
        <f t="shared" ca="1" si="75"/>
        <v>USD</v>
      </c>
      <c r="N692">
        <f>COUNTIF(Taostats_CSV!$X:$X,Taostats_CSV!$I692&amp;N$1)</f>
        <v>0</v>
      </c>
      <c r="O692">
        <f>COUNTIF(Taostats_CSV!$X:$X,Taostats_CSV!$I692&amp;O$1)</f>
        <v>0</v>
      </c>
      <c r="P692">
        <f>COUNTIF(Taostats_CSV!$X:$X,Taostats_CSV!$I692&amp;P$1)</f>
        <v>0</v>
      </c>
      <c r="Q692" t="b">
        <f t="shared" si="76"/>
        <v>0</v>
      </c>
      <c r="R692" t="b">
        <f>IF(LEN(K692)&gt;0,COUNTIF($K$3:K692,K692),FALSE)</f>
        <v>0</v>
      </c>
      <c r="S692" t="b">
        <f>IF(Taostats_CSV!A692=Taostats_CSV!$A$2,TRUE,Taostats_CSV!G692+Taostats_CSV!H692+Taostats_CSV!R692=0)</f>
        <v>0</v>
      </c>
      <c r="T692" t="b">
        <f t="shared" si="77"/>
        <v>1</v>
      </c>
      <c r="U692" t="b" cm="1">
        <f t="array" aca="1" ref="U692" ca="1">AND(T692,OR(O692-N692&gt;1,P692&gt;1,ISERROR(A692:P692)))</f>
        <v>0</v>
      </c>
      <c r="W692" t="e">
        <f>MATCH(K692&amp;$W$2,Taostats_CSV!$X$3:$X$1167,0)</f>
        <v>#N/A</v>
      </c>
      <c r="X692" t="e">
        <f t="shared" ca="1" si="72"/>
        <v>#VALUE!</v>
      </c>
      <c r="Y692">
        <f t="shared" ca="1" si="73"/>
        <v>0.14444990999999999</v>
      </c>
      <c r="Z692" t="e">
        <f t="shared" ca="1" si="74"/>
        <v>#VALUE!</v>
      </c>
    </row>
    <row r="693" spans="1:26" hidden="1" x14ac:dyDescent="0.4">
      <c r="A693" t="str">
        <f>MID(Taostats_CSV!C693,6,2)&amp;"/"&amp;MID(Taostats_CSV!C693,9,2)&amp;"/"&amp;LEFT(Taostats_CSV!C693,4)&amp;" "&amp;MID(Taostats_CSV!C693,12,8)</f>
        <v>07/28/2025 23:59:48</v>
      </c>
      <c r="C693" t="str">
        <f ca="1">IF(Q693,OFFSET(Taostats_CSV!$E$1,MATCH(K693&amp;D$1,Taostats_CSV!$X:$X,0)-1,0),IF(Taostats_CSV!F693="fee","",IF(VALUE(Taostats_CSV!G693)&gt;0,Taostats_CSV!E693,"")))</f>
        <v/>
      </c>
      <c r="D693" t="str">
        <f ca="1">IF(Q693,OFFSET(Taostats_CSV!$G$1,MATCH(K693&amp;D$1,Taostats_CSV!$X:$X,0)-1,0),IF(Taostats_CSV!F693="fee","",IF(VALUE(Taostats_CSV!G693)&gt;0,Taostats_CSV!G693,"")))</f>
        <v/>
      </c>
      <c r="E693" t="str">
        <f ca="1">IF(AND(Q693,P693&gt;0),OFFSET(Taostats_CSV!$E$1,MATCH(K693&amp;F$1,Taostats_CSV!$X:$X,0)-1,0),IF(LEN(F693)&gt;0,Taostats_CSV!E693,""))</f>
        <v>TAO</v>
      </c>
      <c r="F693" t="str">
        <f ca="1">TRIM(IF(AND(Q693,P693&gt;0),OFFSET(Taostats_CSV!$H$1,MATCH(K693&amp;F$1,Taostats_CSV!$X:$X,0)-1,0),IF(LEN(Taostats_CSV!H693)&gt;0,Taostats_CSV!H693,Taostats_CSV!R693)))</f>
        <v>0</v>
      </c>
      <c r="G693" t="str">
        <f ca="1">IF(AND(Q693,N693=1),OFFSET(Taostats_CSV!$E$1,MATCH(K693&amp;H$1,Taostats_CSV!$X:$X,0)-1,0),IF(Taostats_CSV!F693="fee",Taostats_CSV!E693,""))</f>
        <v/>
      </c>
      <c r="H693" t="str">
        <f ca="1">IF(AND(Q693,N693=1),OFFSET(Taostats_CSV!$G$1,MATCH(K693&amp;H$1,Taostats_CSV!$X:$X,0)-1,0),IF(Taostats_CSV!F693="fee",Taostats_CSV!G693,""))</f>
        <v/>
      </c>
      <c r="I693" t="str">
        <f ca="1">IF(AND(LEN(K693)=0,LEN(F693)&gt;0),"Income",IF(AND(O693&gt;0,P693&gt;0,C693&lt;&gt;E693),"Trade",IF(AND(NOT(Q693),Taostats_CSV!F693="fee"),'READ ME'!$C$5,"")))</f>
        <v>Income</v>
      </c>
      <c r="J693" t="str">
        <f ca="1">SUBSTITUTE(IF(LEN(I693)=0,Taostats_CSV!F693&amp;" "&amp;Taostats_CSV!J693,IF(I693="Cost","Extrinsic fee","")),"_"," ")</f>
        <v/>
      </c>
      <c r="K693" t="str">
        <f>TRIM(IF(LEN(Taostats_CSV!I693)&gt;0,Taostats_CSV!I693,""))</f>
        <v/>
      </c>
      <c r="L693" t="str">
        <f>IF(Taostats_CSV!E693&lt;&gt;"TAO",IF(LEN(F693)&gt;0,F693,IF(LEN(D693)&gt;0,D693,0))*Taostats_CSV!P693,"")</f>
        <v/>
      </c>
      <c r="M693" t="str">
        <f t="shared" si="75"/>
        <v/>
      </c>
      <c r="N693">
        <f>COUNTIF(Taostats_CSV!$X:$X,Taostats_CSV!$I693&amp;N$1)</f>
        <v>0</v>
      </c>
      <c r="O693">
        <f>COUNTIF(Taostats_CSV!$X:$X,Taostats_CSV!$I693&amp;O$1)</f>
        <v>0</v>
      </c>
      <c r="P693">
        <f>COUNTIF(Taostats_CSV!$X:$X,Taostats_CSV!$I693&amp;P$1)</f>
        <v>0</v>
      </c>
      <c r="Q693" t="b">
        <f t="shared" si="76"/>
        <v>0</v>
      </c>
      <c r="R693" t="b">
        <f>IF(LEN(K693)&gt;0,COUNTIF($K$3:K693,K693),FALSE)</f>
        <v>0</v>
      </c>
      <c r="S693" t="b">
        <f>IF(Taostats_CSV!A693=Taostats_CSV!$A$2,TRUE,Taostats_CSV!G693+Taostats_CSV!H693+Taostats_CSV!R693=0)</f>
        <v>1</v>
      </c>
      <c r="T693" t="b">
        <f t="shared" si="77"/>
        <v>0</v>
      </c>
      <c r="U693" t="b" cm="1">
        <f t="array" aca="1" ref="U693" ca="1">AND(T693,OR(O693-N693&gt;1,P693&gt;1,ISERROR(A693:P693)))</f>
        <v>0</v>
      </c>
      <c r="W693" t="e">
        <f>MATCH(K693&amp;$W$2,Taostats_CSV!$X$3:$X$1167,0)</f>
        <v>#N/A</v>
      </c>
      <c r="X693" t="e">
        <f t="shared" ca="1" si="72"/>
        <v>#VALUE!</v>
      </c>
      <c r="Y693">
        <f t="shared" ca="1" si="73"/>
        <v>0</v>
      </c>
      <c r="Z693" t="e">
        <f t="shared" ca="1" si="74"/>
        <v>#VALUE!</v>
      </c>
    </row>
    <row r="694" spans="1:26" x14ac:dyDescent="0.4">
      <c r="A694" t="str">
        <f>MID(Taostats_CSV!C694,6,2)&amp;"/"&amp;MID(Taostats_CSV!C694,9,2)&amp;"/"&amp;LEFT(Taostats_CSV!C694,4)&amp;" "&amp;MID(Taostats_CSV!C694,12,8)</f>
        <v>07/29/2025 23:59:48</v>
      </c>
      <c r="C694" t="str">
        <f ca="1">IF(Q694,OFFSET(Taostats_CSV!$E$1,MATCH(K694&amp;D$1,Taostats_CSV!$X:$X,0)-1,0),IF(Taostats_CSV!F694="fee",IF(VALUE(Taostats_CSV!G694)&gt;0,Taostats_CSV!E694,""),""))</f>
        <v/>
      </c>
      <c r="D694" t="str">
        <f ca="1">IF(Q694,OFFSET(Taostats_CSV!$G$1,MATCH(K694&amp;D$1,Taostats_CSV!$X:$X,0)-1,0),IF(Taostats_CSV!F694="fee",IF(VALUE(Taostats_CSV!G694)&gt;0,Taostats_CSV!G694,""),""))</f>
        <v/>
      </c>
      <c r="E694" t="str">
        <f ca="1">IF(AND(Q694,P694&gt;0),OFFSET(Taostats_CSV!$E$1,MATCH(K694&amp;F$1,Taostats_CSV!$X:$X,0)-1,0),IF(LEN(F694)&gt;0,Taostats_CSV!E694,""))</f>
        <v>SN3</v>
      </c>
      <c r="F694" t="str">
        <f ca="1">TRIM(IF(AND(Q694,P694&gt;0),OFFSET(Taostats_CSV!$H$1,MATCH(K694&amp;F$1,Taostats_CSV!$X:$X,0)-1,0),IF(LEN(Taostats_CSV!H694)&gt;0,Taostats_CSV!H694,Taostats_CSV!R694)))</f>
        <v>0.400918487</v>
      </c>
      <c r="G694" t="str">
        <f ca="1">IF(AND(Q694,N694=1),OFFSET(Taostats_CSV!$E$1,MATCH(K694&amp;H$1,Taostats_CSV!$X:$X,0)-1,0),"")</f>
        <v/>
      </c>
      <c r="H694" t="str">
        <f ca="1">IF(AND(Q694,N694=1),OFFSET(Taostats_CSV!$G$1,MATCH(K694&amp;H$1,Taostats_CSV!$X:$X,0)-1,0),"")</f>
        <v/>
      </c>
      <c r="I694" t="str">
        <f ca="1">IF(AND(LEN(K694)=0,LEN(F694)&gt;0),"Income",IF(AND(O694&gt;0,P694&gt;0,C694&lt;&gt;E694),"Trade",IF(AND(NOT(Q694),Taostats_CSV!F694="fee"),'READ ME'!$C$5,"")))</f>
        <v>Income</v>
      </c>
      <c r="J694" t="str">
        <f ca="1">SUBSTITUTE(IF(LEN(I694)=0,Taostats_CSV!F694&amp;" "&amp;Taostats_CSV!J694,IF(I694="Cost","Extrinsic fee","")),"_"," ")</f>
        <v/>
      </c>
      <c r="K694" t="str">
        <f>TRIM(IF(LEN(Taostats_CSV!I694)&gt;0,Taostats_CSV!I694,""))</f>
        <v/>
      </c>
      <c r="L694">
        <f ca="1">IF(Taostats_CSV!E694&lt;&gt;"TAO",IF(LEN(F694)&gt;0,F694,IF(LEN(D694)&gt;0,D694,0))*Taostats_CSV!P694,"")</f>
        <v>8.9479342098292509</v>
      </c>
      <c r="M694" t="str">
        <f t="shared" ca="1" si="75"/>
        <v>USD</v>
      </c>
      <c r="N694">
        <f>COUNTIF(Taostats_CSV!$X:$X,Taostats_CSV!$I694&amp;N$1)</f>
        <v>0</v>
      </c>
      <c r="O694">
        <f>COUNTIF(Taostats_CSV!$X:$X,Taostats_CSV!$I694&amp;O$1)</f>
        <v>0</v>
      </c>
      <c r="P694">
        <f>COUNTIF(Taostats_CSV!$X:$X,Taostats_CSV!$I694&amp;P$1)</f>
        <v>0</v>
      </c>
      <c r="Q694" t="b">
        <f t="shared" si="76"/>
        <v>0</v>
      </c>
      <c r="R694" t="b">
        <f>IF(LEN(K694)&gt;0,COUNTIF($K$3:K694,K694),FALSE)</f>
        <v>0</v>
      </c>
      <c r="S694" t="b">
        <f>IF(Taostats_CSV!A694=Taostats_CSV!$A$2,TRUE,Taostats_CSV!G694+Taostats_CSV!H694+Taostats_CSV!R694=0)</f>
        <v>0</v>
      </c>
      <c r="T694" t="b">
        <f t="shared" si="77"/>
        <v>1</v>
      </c>
      <c r="U694" t="b" cm="1">
        <f t="array" aca="1" ref="U694" ca="1">AND(T694,OR(O694-N694&gt;1,P694&gt;1,ISERROR(A694:P694)))</f>
        <v>0</v>
      </c>
      <c r="W694" t="e">
        <f>MATCH(K694&amp;$W$2,Taostats_CSV!$X$3:$X$1167,0)</f>
        <v>#N/A</v>
      </c>
      <c r="X694" t="e">
        <f t="shared" ca="1" si="72"/>
        <v>#VALUE!</v>
      </c>
      <c r="Y694">
        <f t="shared" ca="1" si="73"/>
        <v>0.40091848699999999</v>
      </c>
      <c r="Z694" t="e">
        <f t="shared" ca="1" si="74"/>
        <v>#VALUE!</v>
      </c>
    </row>
    <row r="695" spans="1:26" x14ac:dyDescent="0.4">
      <c r="A695" t="str">
        <f>MID(Taostats_CSV!C695,6,2)&amp;"/"&amp;MID(Taostats_CSV!C695,9,2)&amp;"/"&amp;LEFT(Taostats_CSV!C695,4)&amp;" "&amp;MID(Taostats_CSV!C695,12,8)</f>
        <v>07/29/2025 23:59:48</v>
      </c>
      <c r="C695" t="str">
        <f ca="1">IF(Q695,OFFSET(Taostats_CSV!$E$1,MATCH(K695&amp;D$1,Taostats_CSV!$X:$X,0)-1,0),IF(Taostats_CSV!F695="fee",IF(VALUE(Taostats_CSV!G695)&gt;0,Taostats_CSV!E695,""),""))</f>
        <v/>
      </c>
      <c r="D695" t="str">
        <f ca="1">IF(Q695,OFFSET(Taostats_CSV!$G$1,MATCH(K695&amp;D$1,Taostats_CSV!$X:$X,0)-1,0),IF(Taostats_CSV!F695="fee",IF(VALUE(Taostats_CSV!G695)&gt;0,Taostats_CSV!G695,""),""))</f>
        <v/>
      </c>
      <c r="E695" t="str">
        <f ca="1">IF(AND(Q695,P695&gt;0),OFFSET(Taostats_CSV!$E$1,MATCH(K695&amp;F$1,Taostats_CSV!$X:$X,0)-1,0),IF(LEN(F695)&gt;0,Taostats_CSV!E695,""))</f>
        <v>SN4</v>
      </c>
      <c r="F695" t="str">
        <f ca="1">TRIM(IF(AND(Q695,P695&gt;0),OFFSET(Taostats_CSV!$H$1,MATCH(K695&amp;F$1,Taostats_CSV!$X:$X,0)-1,0),IF(LEN(Taostats_CSV!H695)&gt;0,Taostats_CSV!H695,Taostats_CSV!R695)))</f>
        <v>0.39791017</v>
      </c>
      <c r="G695" t="str">
        <f ca="1">IF(AND(Q695,N695=1),OFFSET(Taostats_CSV!$E$1,MATCH(K695&amp;H$1,Taostats_CSV!$X:$X,0)-1,0),"")</f>
        <v/>
      </c>
      <c r="H695" t="str">
        <f ca="1">IF(AND(Q695,N695=1),OFFSET(Taostats_CSV!$G$1,MATCH(K695&amp;H$1,Taostats_CSV!$X:$X,0)-1,0),"")</f>
        <v/>
      </c>
      <c r="I695" t="str">
        <f ca="1">IF(AND(LEN(K695)=0,LEN(F695)&gt;0),"Income",IF(AND(O695&gt;0,P695&gt;0,C695&lt;&gt;E695),"Trade",IF(AND(NOT(Q695),Taostats_CSV!F695="fee"),'READ ME'!$C$5,"")))</f>
        <v>Income</v>
      </c>
      <c r="J695" t="str">
        <f ca="1">SUBSTITUTE(IF(LEN(I695)=0,Taostats_CSV!F695&amp;" "&amp;Taostats_CSV!J695,IF(I695="Cost","Extrinsic fee","")),"_"," ")</f>
        <v/>
      </c>
      <c r="K695" t="str">
        <f>TRIM(IF(LEN(Taostats_CSV!I695)&gt;0,Taostats_CSV!I695,""))</f>
        <v/>
      </c>
      <c r="L695">
        <f ca="1">IF(Taostats_CSV!E695&lt;&gt;"TAO",IF(LEN(F695)&gt;0,F695,IF(LEN(D695)&gt;0,D695,0))*Taostats_CSV!P695,"")</f>
        <v>9.656320945065449</v>
      </c>
      <c r="M695" t="str">
        <f t="shared" ca="1" si="75"/>
        <v>USD</v>
      </c>
      <c r="N695">
        <f>COUNTIF(Taostats_CSV!$X:$X,Taostats_CSV!$I695&amp;N$1)</f>
        <v>0</v>
      </c>
      <c r="O695">
        <f>COUNTIF(Taostats_CSV!$X:$X,Taostats_CSV!$I695&amp;O$1)</f>
        <v>0</v>
      </c>
      <c r="P695">
        <f>COUNTIF(Taostats_CSV!$X:$X,Taostats_CSV!$I695&amp;P$1)</f>
        <v>0</v>
      </c>
      <c r="Q695" t="b">
        <f t="shared" si="76"/>
        <v>0</v>
      </c>
      <c r="R695" t="b">
        <f>IF(LEN(K695)&gt;0,COUNTIF($K$3:K695,K695),FALSE)</f>
        <v>0</v>
      </c>
      <c r="S695" t="b">
        <f>IF(Taostats_CSV!A695=Taostats_CSV!$A$2,TRUE,Taostats_CSV!G695+Taostats_CSV!H695+Taostats_CSV!R695=0)</f>
        <v>0</v>
      </c>
      <c r="T695" t="b">
        <f t="shared" si="77"/>
        <v>1</v>
      </c>
      <c r="U695" t="b" cm="1">
        <f t="array" aca="1" ref="U695" ca="1">AND(T695,OR(O695-N695&gt;1,P695&gt;1,ISERROR(A695:P695)))</f>
        <v>0</v>
      </c>
      <c r="W695" t="e">
        <f>MATCH(K695&amp;$W$2,Taostats_CSV!$X$3:$X$1167,0)</f>
        <v>#N/A</v>
      </c>
      <c r="X695" t="e">
        <f t="shared" ca="1" si="72"/>
        <v>#VALUE!</v>
      </c>
      <c r="Y695">
        <f t="shared" ca="1" si="73"/>
        <v>0.39791017000000001</v>
      </c>
      <c r="Z695" t="e">
        <f t="shared" ca="1" si="74"/>
        <v>#VALUE!</v>
      </c>
    </row>
    <row r="696" spans="1:26" x14ac:dyDescent="0.4">
      <c r="A696" t="str">
        <f>MID(Taostats_CSV!C696,6,2)&amp;"/"&amp;MID(Taostats_CSV!C696,9,2)&amp;"/"&amp;LEFT(Taostats_CSV!C696,4)&amp;" "&amp;MID(Taostats_CSV!C696,12,8)</f>
        <v>07/29/2025 23:59:48</v>
      </c>
      <c r="C696" t="str">
        <f ca="1">IF(Q696,OFFSET(Taostats_CSV!$E$1,MATCH(K696&amp;D$1,Taostats_CSV!$X:$X,0)-1,0),IF(Taostats_CSV!F696="fee",IF(VALUE(Taostats_CSV!G696)&gt;0,Taostats_CSV!E696,""),""))</f>
        <v/>
      </c>
      <c r="D696" t="str">
        <f ca="1">IF(Q696,OFFSET(Taostats_CSV!$G$1,MATCH(K696&amp;D$1,Taostats_CSV!$X:$X,0)-1,0),IF(Taostats_CSV!F696="fee",IF(VALUE(Taostats_CSV!G696)&gt;0,Taostats_CSV!G696,""),""))</f>
        <v/>
      </c>
      <c r="E696" t="str">
        <f ca="1">IF(AND(Q696,P696&gt;0),OFFSET(Taostats_CSV!$E$1,MATCH(K696&amp;F$1,Taostats_CSV!$X:$X,0)-1,0),IF(LEN(F696)&gt;0,Taostats_CSV!E696,""))</f>
        <v>SN56</v>
      </c>
      <c r="F696" t="str">
        <f ca="1">TRIM(IF(AND(Q696,P696&gt;0),OFFSET(Taostats_CSV!$H$1,MATCH(K696&amp;F$1,Taostats_CSV!$X:$X,0)-1,0),IF(LEN(Taostats_CSV!H696)&gt;0,Taostats_CSV!H696,Taostats_CSV!R696)))</f>
        <v>0.24079152</v>
      </c>
      <c r="G696" t="str">
        <f ca="1">IF(AND(Q696,N696=1),OFFSET(Taostats_CSV!$E$1,MATCH(K696&amp;H$1,Taostats_CSV!$X:$X,0)-1,0),"")</f>
        <v/>
      </c>
      <c r="H696" t="str">
        <f ca="1">IF(AND(Q696,N696=1),OFFSET(Taostats_CSV!$G$1,MATCH(K696&amp;H$1,Taostats_CSV!$X:$X,0)-1,0),"")</f>
        <v/>
      </c>
      <c r="I696" t="str">
        <f ca="1">IF(AND(LEN(K696)=0,LEN(F696)&gt;0),"Income",IF(AND(O696&gt;0,P696&gt;0,C696&lt;&gt;E696),"Trade",IF(AND(NOT(Q696),Taostats_CSV!F696="fee"),'READ ME'!$C$5,"")))</f>
        <v>Income</v>
      </c>
      <c r="J696" t="str">
        <f ca="1">SUBSTITUTE(IF(LEN(I696)=0,Taostats_CSV!F696&amp;" "&amp;Taostats_CSV!J696,IF(I696="Cost","Extrinsic fee","")),"_"," ")</f>
        <v/>
      </c>
      <c r="K696" t="str">
        <f>TRIM(IF(LEN(Taostats_CSV!I696)&gt;0,Taostats_CSV!I696,""))</f>
        <v/>
      </c>
      <c r="L696">
        <f ca="1">IF(Taostats_CSV!E696&lt;&gt;"TAO",IF(LEN(F696)&gt;0,F696,IF(LEN(D696)&gt;0,D696,0))*Taostats_CSV!P696,"")</f>
        <v>5.339881230839616</v>
      </c>
      <c r="M696" t="str">
        <f t="shared" ca="1" si="75"/>
        <v>USD</v>
      </c>
      <c r="N696">
        <f>COUNTIF(Taostats_CSV!$X:$X,Taostats_CSV!$I696&amp;N$1)</f>
        <v>0</v>
      </c>
      <c r="O696">
        <f>COUNTIF(Taostats_CSV!$X:$X,Taostats_CSV!$I696&amp;O$1)</f>
        <v>0</v>
      </c>
      <c r="P696">
        <f>COUNTIF(Taostats_CSV!$X:$X,Taostats_CSV!$I696&amp;P$1)</f>
        <v>0</v>
      </c>
      <c r="Q696" t="b">
        <f t="shared" si="76"/>
        <v>0</v>
      </c>
      <c r="R696" t="b">
        <f>IF(LEN(K696)&gt;0,COUNTIF($K$3:K696,K696),FALSE)</f>
        <v>0</v>
      </c>
      <c r="S696" t="b">
        <f>IF(Taostats_CSV!A696=Taostats_CSV!$A$2,TRUE,Taostats_CSV!G696+Taostats_CSV!H696+Taostats_CSV!R696=0)</f>
        <v>0</v>
      </c>
      <c r="T696" t="b">
        <f t="shared" si="77"/>
        <v>1</v>
      </c>
      <c r="U696" t="b" cm="1">
        <f t="array" aca="1" ref="U696" ca="1">AND(T696,OR(O696-N696&gt;1,P696&gt;1,ISERROR(A696:P696)))</f>
        <v>0</v>
      </c>
      <c r="W696" t="e">
        <f>MATCH(K696&amp;$W$2,Taostats_CSV!$X$3:$X$1167,0)</f>
        <v>#N/A</v>
      </c>
      <c r="X696" t="e">
        <f t="shared" ca="1" si="72"/>
        <v>#VALUE!</v>
      </c>
      <c r="Y696">
        <f t="shared" ca="1" si="73"/>
        <v>0.24079152000000001</v>
      </c>
      <c r="Z696" t="e">
        <f t="shared" ca="1" si="74"/>
        <v>#VALUE!</v>
      </c>
    </row>
    <row r="697" spans="1:26" x14ac:dyDescent="0.4">
      <c r="A697" t="str">
        <f>MID(Taostats_CSV!C697,6,2)&amp;"/"&amp;MID(Taostats_CSV!C697,9,2)&amp;"/"&amp;LEFT(Taostats_CSV!C697,4)&amp;" "&amp;MID(Taostats_CSV!C697,12,8)</f>
        <v>07/29/2025 23:59:48</v>
      </c>
      <c r="C697" t="str">
        <f ca="1">IF(Q697,OFFSET(Taostats_CSV!$E$1,MATCH(K697&amp;D$1,Taostats_CSV!$X:$X,0)-1,0),IF(Taostats_CSV!F697="fee",IF(VALUE(Taostats_CSV!G697)&gt;0,Taostats_CSV!E697,""),""))</f>
        <v/>
      </c>
      <c r="D697" t="str">
        <f ca="1">IF(Q697,OFFSET(Taostats_CSV!$G$1,MATCH(K697&amp;D$1,Taostats_CSV!$X:$X,0)-1,0),IF(Taostats_CSV!F697="fee",IF(VALUE(Taostats_CSV!G697)&gt;0,Taostats_CSV!G697,""),""))</f>
        <v/>
      </c>
      <c r="E697" t="str">
        <f ca="1">IF(AND(Q697,P697&gt;0),OFFSET(Taostats_CSV!$E$1,MATCH(K697&amp;F$1,Taostats_CSV!$X:$X,0)-1,0),IF(LEN(F697)&gt;0,Taostats_CSV!E697,""))</f>
        <v>SN64</v>
      </c>
      <c r="F697" t="str">
        <f ca="1">TRIM(IF(AND(Q697,P697&gt;0),OFFSET(Taostats_CSV!$H$1,MATCH(K697&amp;F$1,Taostats_CSV!$X:$X,0)-1,0),IF(LEN(Taostats_CSV!H697)&gt;0,Taostats_CSV!H697,Taostats_CSV!R697)))</f>
        <v>0.136461018</v>
      </c>
      <c r="G697" t="str">
        <f ca="1">IF(AND(Q697,N697=1),OFFSET(Taostats_CSV!$E$1,MATCH(K697&amp;H$1,Taostats_CSV!$X:$X,0)-1,0),"")</f>
        <v/>
      </c>
      <c r="H697" t="str">
        <f ca="1">IF(AND(Q697,N697=1),OFFSET(Taostats_CSV!$G$1,MATCH(K697&amp;H$1,Taostats_CSV!$X:$X,0)-1,0),"")</f>
        <v/>
      </c>
      <c r="I697" t="str">
        <f ca="1">IF(AND(LEN(K697)=0,LEN(F697)&gt;0),"Income",IF(AND(O697&gt;0,P697&gt;0,C697&lt;&gt;E697),"Trade",IF(AND(NOT(Q697),Taostats_CSV!F697="fee"),'READ ME'!$C$5,"")))</f>
        <v>Income</v>
      </c>
      <c r="J697" t="str">
        <f ca="1">SUBSTITUTE(IF(LEN(I697)=0,Taostats_CSV!F697&amp;" "&amp;Taostats_CSV!J697,IF(I697="Cost","Extrinsic fee","")),"_"," ")</f>
        <v/>
      </c>
      <c r="K697" t="str">
        <f>TRIM(IF(LEN(Taostats_CSV!I697)&gt;0,Taostats_CSV!I697,""))</f>
        <v/>
      </c>
      <c r="L697">
        <f ca="1">IF(Taostats_CSV!E697&lt;&gt;"TAO",IF(LEN(F697)&gt;0,F697,IF(LEN(D697)&gt;0,D697,0))*Taostats_CSV!P697,"")</f>
        <v>6.8067002406864496</v>
      </c>
      <c r="M697" t="str">
        <f t="shared" ca="1" si="75"/>
        <v>USD</v>
      </c>
      <c r="N697">
        <f>COUNTIF(Taostats_CSV!$X:$X,Taostats_CSV!$I697&amp;N$1)</f>
        <v>0</v>
      </c>
      <c r="O697">
        <f>COUNTIF(Taostats_CSV!$X:$X,Taostats_CSV!$I697&amp;O$1)</f>
        <v>0</v>
      </c>
      <c r="P697">
        <f>COUNTIF(Taostats_CSV!$X:$X,Taostats_CSV!$I697&amp;P$1)</f>
        <v>0</v>
      </c>
      <c r="Q697" t="b">
        <f t="shared" si="76"/>
        <v>0</v>
      </c>
      <c r="R697" t="b">
        <f>IF(LEN(K697)&gt;0,COUNTIF($K$3:K697,K697),FALSE)</f>
        <v>0</v>
      </c>
      <c r="S697" t="b">
        <f>IF(Taostats_CSV!A697=Taostats_CSV!$A$2,TRUE,Taostats_CSV!G697+Taostats_CSV!H697+Taostats_CSV!R697=0)</f>
        <v>0</v>
      </c>
      <c r="T697" t="b">
        <f t="shared" si="77"/>
        <v>1</v>
      </c>
      <c r="U697" t="b" cm="1">
        <f t="array" aca="1" ref="U697" ca="1">AND(T697,OR(O697-N697&gt;1,P697&gt;1,ISERROR(A697:P697)))</f>
        <v>0</v>
      </c>
      <c r="W697" t="e">
        <f>MATCH(K697&amp;$W$2,Taostats_CSV!$X$3:$X$1167,0)</f>
        <v>#N/A</v>
      </c>
      <c r="X697" t="e">
        <f t="shared" ca="1" si="72"/>
        <v>#VALUE!</v>
      </c>
      <c r="Y697">
        <f t="shared" ca="1" si="73"/>
        <v>0.13646101799999999</v>
      </c>
      <c r="Z697" t="e">
        <f t="shared" ca="1" si="74"/>
        <v>#VALUE!</v>
      </c>
    </row>
    <row r="698" spans="1:26" hidden="1" x14ac:dyDescent="0.4">
      <c r="A698" t="str">
        <f>MID(Taostats_CSV!C698,6,2)&amp;"/"&amp;MID(Taostats_CSV!C698,9,2)&amp;"/"&amp;LEFT(Taostats_CSV!C698,4)&amp;" "&amp;MID(Taostats_CSV!C698,12,8)</f>
        <v>07/29/2025 23:59:48</v>
      </c>
      <c r="C698" t="str">
        <f ca="1">IF(Q698,OFFSET(Taostats_CSV!$E$1,MATCH(K698&amp;D$1,Taostats_CSV!$X:$X,0)-1,0),IF(Taostats_CSV!F698="fee","",IF(VALUE(Taostats_CSV!G698)&gt;0,Taostats_CSV!E698,"")))</f>
        <v/>
      </c>
      <c r="D698" t="str">
        <f ca="1">IF(Q698,OFFSET(Taostats_CSV!$G$1,MATCH(K698&amp;D$1,Taostats_CSV!$X:$X,0)-1,0),IF(Taostats_CSV!F698="fee","",IF(VALUE(Taostats_CSV!G698)&gt;0,Taostats_CSV!G698,"")))</f>
        <v/>
      </c>
      <c r="E698" t="str">
        <f ca="1">IF(AND(Q698,P698&gt;0),OFFSET(Taostats_CSV!$E$1,MATCH(K698&amp;F$1,Taostats_CSV!$X:$X,0)-1,0),IF(LEN(F698)&gt;0,Taostats_CSV!E698,""))</f>
        <v>TAO</v>
      </c>
      <c r="F698" t="str">
        <f ca="1">TRIM(IF(AND(Q698,P698&gt;0),OFFSET(Taostats_CSV!$H$1,MATCH(K698&amp;F$1,Taostats_CSV!$X:$X,0)-1,0),IF(LEN(Taostats_CSV!H698)&gt;0,Taostats_CSV!H698,Taostats_CSV!R698)))</f>
        <v>0</v>
      </c>
      <c r="G698" t="str">
        <f ca="1">IF(AND(Q698,N698=1),OFFSET(Taostats_CSV!$E$1,MATCH(K698&amp;H$1,Taostats_CSV!$X:$X,0)-1,0),IF(Taostats_CSV!F698="fee",Taostats_CSV!E698,""))</f>
        <v/>
      </c>
      <c r="H698" t="str">
        <f ca="1">IF(AND(Q698,N698=1),OFFSET(Taostats_CSV!$G$1,MATCH(K698&amp;H$1,Taostats_CSV!$X:$X,0)-1,0),IF(Taostats_CSV!F698="fee",Taostats_CSV!G698,""))</f>
        <v/>
      </c>
      <c r="I698" t="str">
        <f ca="1">IF(AND(LEN(K698)=0,LEN(F698)&gt;0),"Income",IF(AND(O698&gt;0,P698&gt;0,C698&lt;&gt;E698),"Trade",IF(AND(NOT(Q698),Taostats_CSV!F698="fee"),'READ ME'!$C$5,"")))</f>
        <v>Income</v>
      </c>
      <c r="J698" t="str">
        <f ca="1">SUBSTITUTE(IF(LEN(I698)=0,Taostats_CSV!F698&amp;" "&amp;Taostats_CSV!J698,IF(I698="Cost","Extrinsic fee","")),"_"," ")</f>
        <v/>
      </c>
      <c r="K698" t="str">
        <f>TRIM(IF(LEN(Taostats_CSV!I698)&gt;0,Taostats_CSV!I698,""))</f>
        <v/>
      </c>
      <c r="L698" t="str">
        <f>IF(Taostats_CSV!E698&lt;&gt;"TAO",IF(LEN(F698)&gt;0,F698,IF(LEN(D698)&gt;0,D698,0))*Taostats_CSV!P698,"")</f>
        <v/>
      </c>
      <c r="M698" t="str">
        <f t="shared" si="75"/>
        <v/>
      </c>
      <c r="N698">
        <f>COUNTIF(Taostats_CSV!$X:$X,Taostats_CSV!$I698&amp;N$1)</f>
        <v>0</v>
      </c>
      <c r="O698">
        <f>COUNTIF(Taostats_CSV!$X:$X,Taostats_CSV!$I698&amp;O$1)</f>
        <v>0</v>
      </c>
      <c r="P698">
        <f>COUNTIF(Taostats_CSV!$X:$X,Taostats_CSV!$I698&amp;P$1)</f>
        <v>0</v>
      </c>
      <c r="Q698" t="b">
        <f t="shared" si="76"/>
        <v>0</v>
      </c>
      <c r="R698" t="b">
        <f>IF(LEN(K698)&gt;0,COUNTIF($K$3:K698,K698),FALSE)</f>
        <v>0</v>
      </c>
      <c r="S698" t="b">
        <f>IF(Taostats_CSV!A698=Taostats_CSV!$A$2,TRUE,Taostats_CSV!G698+Taostats_CSV!H698+Taostats_CSV!R698=0)</f>
        <v>1</v>
      </c>
      <c r="T698" t="b">
        <f t="shared" si="77"/>
        <v>0</v>
      </c>
      <c r="U698" t="b" cm="1">
        <f t="array" aca="1" ref="U698" ca="1">AND(T698,OR(O698-N698&gt;1,P698&gt;1,ISERROR(A698:P698)))</f>
        <v>0</v>
      </c>
      <c r="W698" t="e">
        <f>MATCH(K698&amp;$W$2,Taostats_CSV!$X$3:$X$1167,0)</f>
        <v>#N/A</v>
      </c>
      <c r="X698" t="e">
        <f t="shared" ca="1" si="72"/>
        <v>#VALUE!</v>
      </c>
      <c r="Y698">
        <f t="shared" ca="1" si="73"/>
        <v>0</v>
      </c>
      <c r="Z698" t="e">
        <f t="shared" ca="1" si="74"/>
        <v>#VALUE!</v>
      </c>
    </row>
    <row r="699" spans="1:26" x14ac:dyDescent="0.4">
      <c r="A699" t="str">
        <f>MID(Taostats_CSV!C699,6,2)&amp;"/"&amp;MID(Taostats_CSV!C699,9,2)&amp;"/"&amp;LEFT(Taostats_CSV!C699,4)&amp;" "&amp;MID(Taostats_CSV!C699,12,8)</f>
        <v>07/30/2025 23:59:48</v>
      </c>
      <c r="C699" t="str">
        <f ca="1">IF(Q699,OFFSET(Taostats_CSV!$E$1,MATCH(K699&amp;D$1,Taostats_CSV!$X:$X,0)-1,0),IF(Taostats_CSV!F699="fee",IF(VALUE(Taostats_CSV!G699)&gt;0,Taostats_CSV!E699,""),""))</f>
        <v/>
      </c>
      <c r="D699" t="str">
        <f ca="1">IF(Q699,OFFSET(Taostats_CSV!$G$1,MATCH(K699&amp;D$1,Taostats_CSV!$X:$X,0)-1,0),IF(Taostats_CSV!F699="fee",IF(VALUE(Taostats_CSV!G699)&gt;0,Taostats_CSV!G699,""),""))</f>
        <v/>
      </c>
      <c r="E699" t="str">
        <f ca="1">IF(AND(Q699,P699&gt;0),OFFSET(Taostats_CSV!$E$1,MATCH(K699&amp;F$1,Taostats_CSV!$X:$X,0)-1,0),IF(LEN(F699)&gt;0,Taostats_CSV!E699,""))</f>
        <v>SN3</v>
      </c>
      <c r="F699" t="str">
        <f ca="1">TRIM(IF(AND(Q699,P699&gt;0),OFFSET(Taostats_CSV!$H$1,MATCH(K699&amp;F$1,Taostats_CSV!$X:$X,0)-1,0),IF(LEN(Taostats_CSV!H699)&gt;0,Taostats_CSV!H699,Taostats_CSV!R699)))</f>
        <v>0.3999966</v>
      </c>
      <c r="G699" t="str">
        <f ca="1">IF(AND(Q699,N699=1),OFFSET(Taostats_CSV!$E$1,MATCH(K699&amp;H$1,Taostats_CSV!$X:$X,0)-1,0),"")</f>
        <v/>
      </c>
      <c r="H699" t="str">
        <f ca="1">IF(AND(Q699,N699=1),OFFSET(Taostats_CSV!$G$1,MATCH(K699&amp;H$1,Taostats_CSV!$X:$X,0)-1,0),"")</f>
        <v/>
      </c>
      <c r="I699" t="str">
        <f ca="1">IF(AND(LEN(K699)=0,LEN(F699)&gt;0),"Income",IF(AND(O699&gt;0,P699&gt;0,C699&lt;&gt;E699),"Trade",IF(AND(NOT(Q699),Taostats_CSV!F699="fee"),'READ ME'!$C$5,"")))</f>
        <v>Income</v>
      </c>
      <c r="J699" t="str">
        <f ca="1">SUBSTITUTE(IF(LEN(I699)=0,Taostats_CSV!F699&amp;" "&amp;Taostats_CSV!J699,IF(I699="Cost","Extrinsic fee","")),"_"," ")</f>
        <v/>
      </c>
      <c r="K699" t="str">
        <f>TRIM(IF(LEN(Taostats_CSV!I699)&gt;0,Taostats_CSV!I699,""))</f>
        <v/>
      </c>
      <c r="L699">
        <f ca="1">IF(Taostats_CSV!E699&lt;&gt;"TAO",IF(LEN(F699)&gt;0,F699,IF(LEN(D699)&gt;0,D699,0))*Taostats_CSV!P699,"")</f>
        <v>8.5826159660189099</v>
      </c>
      <c r="M699" t="str">
        <f t="shared" ca="1" si="75"/>
        <v>USD</v>
      </c>
      <c r="N699">
        <f>COUNTIF(Taostats_CSV!$X:$X,Taostats_CSV!$I699&amp;N$1)</f>
        <v>0</v>
      </c>
      <c r="O699">
        <f>COUNTIF(Taostats_CSV!$X:$X,Taostats_CSV!$I699&amp;O$1)</f>
        <v>0</v>
      </c>
      <c r="P699">
        <f>COUNTIF(Taostats_CSV!$X:$X,Taostats_CSV!$I699&amp;P$1)</f>
        <v>0</v>
      </c>
      <c r="Q699" t="b">
        <f t="shared" si="76"/>
        <v>0</v>
      </c>
      <c r="R699" t="b">
        <f>IF(LEN(K699)&gt;0,COUNTIF($K$3:K699,K699),FALSE)</f>
        <v>0</v>
      </c>
      <c r="S699" t="b">
        <f>IF(Taostats_CSV!A699=Taostats_CSV!$A$2,TRUE,Taostats_CSV!G699+Taostats_CSV!H699+Taostats_CSV!R699=0)</f>
        <v>0</v>
      </c>
      <c r="T699" t="b">
        <f t="shared" si="77"/>
        <v>1</v>
      </c>
      <c r="U699" t="b" cm="1">
        <f t="array" aca="1" ref="U699" ca="1">AND(T699,OR(O699-N699&gt;1,P699&gt;1,ISERROR(A699:P699)))</f>
        <v>0</v>
      </c>
      <c r="W699" t="e">
        <f>MATCH(K699&amp;$W$2,Taostats_CSV!$X$3:$X$1167,0)</f>
        <v>#N/A</v>
      </c>
      <c r="X699" t="e">
        <f t="shared" ca="1" si="72"/>
        <v>#VALUE!</v>
      </c>
      <c r="Y699">
        <f t="shared" ca="1" si="73"/>
        <v>0.39999659999999998</v>
      </c>
      <c r="Z699" t="e">
        <f t="shared" ca="1" si="74"/>
        <v>#VALUE!</v>
      </c>
    </row>
    <row r="700" spans="1:26" x14ac:dyDescent="0.4">
      <c r="A700" t="str">
        <f>MID(Taostats_CSV!C700,6,2)&amp;"/"&amp;MID(Taostats_CSV!C700,9,2)&amp;"/"&amp;LEFT(Taostats_CSV!C700,4)&amp;" "&amp;MID(Taostats_CSV!C700,12,8)</f>
        <v>07/30/2025 23:59:48</v>
      </c>
      <c r="C700" t="str">
        <f ca="1">IF(Q700,OFFSET(Taostats_CSV!$E$1,MATCH(K700&amp;D$1,Taostats_CSV!$X:$X,0)-1,0),IF(Taostats_CSV!F700="fee",IF(VALUE(Taostats_CSV!G700)&gt;0,Taostats_CSV!E700,""),""))</f>
        <v/>
      </c>
      <c r="D700" t="str">
        <f ca="1">IF(Q700,OFFSET(Taostats_CSV!$G$1,MATCH(K700&amp;D$1,Taostats_CSV!$X:$X,0)-1,0),IF(Taostats_CSV!F700="fee",IF(VALUE(Taostats_CSV!G700)&gt;0,Taostats_CSV!G700,""),""))</f>
        <v/>
      </c>
      <c r="E700" t="str">
        <f ca="1">IF(AND(Q700,P700&gt;0),OFFSET(Taostats_CSV!$E$1,MATCH(K700&amp;F$1,Taostats_CSV!$X:$X,0)-1,0),IF(LEN(F700)&gt;0,Taostats_CSV!E700,""))</f>
        <v>SN4</v>
      </c>
      <c r="F700" t="str">
        <f ca="1">TRIM(IF(AND(Q700,P700&gt;0),OFFSET(Taostats_CSV!$H$1,MATCH(K700&amp;F$1,Taostats_CSV!$X:$X,0)-1,0),IF(LEN(Taostats_CSV!H700)&gt;0,Taostats_CSV!H700,Taostats_CSV!R700)))</f>
        <v>0.41184301</v>
      </c>
      <c r="G700" t="str">
        <f ca="1">IF(AND(Q700,N700=1),OFFSET(Taostats_CSV!$E$1,MATCH(K700&amp;H$1,Taostats_CSV!$X:$X,0)-1,0),"")</f>
        <v/>
      </c>
      <c r="H700" t="str">
        <f ca="1">IF(AND(Q700,N700=1),OFFSET(Taostats_CSV!$G$1,MATCH(K700&amp;H$1,Taostats_CSV!$X:$X,0)-1,0),"")</f>
        <v/>
      </c>
      <c r="I700" t="str">
        <f ca="1">IF(AND(LEN(K700)=0,LEN(F700)&gt;0),"Income",IF(AND(O700&gt;0,P700&gt;0,C700&lt;&gt;E700),"Trade",IF(AND(NOT(Q700),Taostats_CSV!F700="fee"),'READ ME'!$C$5,"")))</f>
        <v>Income</v>
      </c>
      <c r="J700" t="str">
        <f ca="1">SUBSTITUTE(IF(LEN(I700)=0,Taostats_CSV!F700&amp;" "&amp;Taostats_CSV!J700,IF(I700="Cost","Extrinsic fee","")),"_"," ")</f>
        <v/>
      </c>
      <c r="K700" t="str">
        <f>TRIM(IF(LEN(Taostats_CSV!I700)&gt;0,Taostats_CSV!I700,""))</f>
        <v/>
      </c>
      <c r="L700">
        <f ca="1">IF(Taostats_CSV!E700&lt;&gt;"TAO",IF(LEN(F700)&gt;0,F700,IF(LEN(D700)&gt;0,D700,0))*Taostats_CSV!P700,"")</f>
        <v>9.446999416726781</v>
      </c>
      <c r="M700" t="str">
        <f t="shared" ca="1" si="75"/>
        <v>USD</v>
      </c>
      <c r="N700">
        <f>COUNTIF(Taostats_CSV!$X:$X,Taostats_CSV!$I700&amp;N$1)</f>
        <v>0</v>
      </c>
      <c r="O700">
        <f>COUNTIF(Taostats_CSV!$X:$X,Taostats_CSV!$I700&amp;O$1)</f>
        <v>0</v>
      </c>
      <c r="P700">
        <f>COUNTIF(Taostats_CSV!$X:$X,Taostats_CSV!$I700&amp;P$1)</f>
        <v>0</v>
      </c>
      <c r="Q700" t="b">
        <f t="shared" si="76"/>
        <v>0</v>
      </c>
      <c r="R700" t="b">
        <f>IF(LEN(K700)&gt;0,COUNTIF($K$3:K700,K700),FALSE)</f>
        <v>0</v>
      </c>
      <c r="S700" t="b">
        <f>IF(Taostats_CSV!A700=Taostats_CSV!$A$2,TRUE,Taostats_CSV!G700+Taostats_CSV!H700+Taostats_CSV!R700=0)</f>
        <v>0</v>
      </c>
      <c r="T700" t="b">
        <f t="shared" si="77"/>
        <v>1</v>
      </c>
      <c r="U700" t="b" cm="1">
        <f t="array" aca="1" ref="U700" ca="1">AND(T700,OR(O700-N700&gt;1,P700&gt;1,ISERROR(A700:P700)))</f>
        <v>0</v>
      </c>
      <c r="W700" t="e">
        <f>MATCH(K700&amp;$W$2,Taostats_CSV!$X$3:$X$1167,0)</f>
        <v>#N/A</v>
      </c>
      <c r="X700" t="e">
        <f t="shared" ca="1" si="72"/>
        <v>#VALUE!</v>
      </c>
      <c r="Y700">
        <f t="shared" ca="1" si="73"/>
        <v>0.41184301000000001</v>
      </c>
      <c r="Z700" t="e">
        <f t="shared" ca="1" si="74"/>
        <v>#VALUE!</v>
      </c>
    </row>
    <row r="701" spans="1:26" x14ac:dyDescent="0.4">
      <c r="A701" t="str">
        <f>MID(Taostats_CSV!C701,6,2)&amp;"/"&amp;MID(Taostats_CSV!C701,9,2)&amp;"/"&amp;LEFT(Taostats_CSV!C701,4)&amp;" "&amp;MID(Taostats_CSV!C701,12,8)</f>
        <v>07/30/2025 23:59:48</v>
      </c>
      <c r="C701" t="str">
        <f ca="1">IF(Q701,OFFSET(Taostats_CSV!$E$1,MATCH(K701&amp;D$1,Taostats_CSV!$X:$X,0)-1,0),IF(Taostats_CSV!F701="fee",IF(VALUE(Taostats_CSV!G701)&gt;0,Taostats_CSV!E701,""),""))</f>
        <v/>
      </c>
      <c r="D701" t="str">
        <f ca="1">IF(Q701,OFFSET(Taostats_CSV!$G$1,MATCH(K701&amp;D$1,Taostats_CSV!$X:$X,0)-1,0),IF(Taostats_CSV!F701="fee",IF(VALUE(Taostats_CSV!G701)&gt;0,Taostats_CSV!G701,""),""))</f>
        <v/>
      </c>
      <c r="E701" t="str">
        <f ca="1">IF(AND(Q701,P701&gt;0),OFFSET(Taostats_CSV!$E$1,MATCH(K701&amp;F$1,Taostats_CSV!$X:$X,0)-1,0),IF(LEN(F701)&gt;0,Taostats_CSV!E701,""))</f>
        <v>SN56</v>
      </c>
      <c r="F701" t="str">
        <f ca="1">TRIM(IF(AND(Q701,P701&gt;0),OFFSET(Taostats_CSV!$H$1,MATCH(K701&amp;F$1,Taostats_CSV!$X:$X,0)-1,0),IF(LEN(Taostats_CSV!H701)&gt;0,Taostats_CSV!H701,Taostats_CSV!R701)))</f>
        <v>0.247174994</v>
      </c>
      <c r="G701" t="str">
        <f ca="1">IF(AND(Q701,N701=1),OFFSET(Taostats_CSV!$E$1,MATCH(K701&amp;H$1,Taostats_CSV!$X:$X,0)-1,0),"")</f>
        <v/>
      </c>
      <c r="H701" t="str">
        <f ca="1">IF(AND(Q701,N701=1),OFFSET(Taostats_CSV!$G$1,MATCH(K701&amp;H$1,Taostats_CSV!$X:$X,0)-1,0),"")</f>
        <v/>
      </c>
      <c r="I701" t="str">
        <f ca="1">IF(AND(LEN(K701)=0,LEN(F701)&gt;0),"Income",IF(AND(O701&gt;0,P701&gt;0,C701&lt;&gt;E701),"Trade",IF(AND(NOT(Q701),Taostats_CSV!F701="fee"),'READ ME'!$C$5,"")))</f>
        <v>Income</v>
      </c>
      <c r="J701" t="str">
        <f ca="1">SUBSTITUTE(IF(LEN(I701)=0,Taostats_CSV!F701&amp;" "&amp;Taostats_CSV!J701,IF(I701="Cost","Extrinsic fee","")),"_"," ")</f>
        <v/>
      </c>
      <c r="K701" t="str">
        <f>TRIM(IF(LEN(Taostats_CSV!I701)&gt;0,Taostats_CSV!I701,""))</f>
        <v/>
      </c>
      <c r="L701">
        <f ca="1">IF(Taostats_CSV!E701&lt;&gt;"TAO",IF(LEN(F701)&gt;0,F701,IF(LEN(D701)&gt;0,D701,0))*Taostats_CSV!P701,"")</f>
        <v>4.7864951447464881</v>
      </c>
      <c r="M701" t="str">
        <f t="shared" ca="1" si="75"/>
        <v>USD</v>
      </c>
      <c r="N701">
        <f>COUNTIF(Taostats_CSV!$X:$X,Taostats_CSV!$I701&amp;N$1)</f>
        <v>0</v>
      </c>
      <c r="O701">
        <f>COUNTIF(Taostats_CSV!$X:$X,Taostats_CSV!$I701&amp;O$1)</f>
        <v>0</v>
      </c>
      <c r="P701">
        <f>COUNTIF(Taostats_CSV!$X:$X,Taostats_CSV!$I701&amp;P$1)</f>
        <v>0</v>
      </c>
      <c r="Q701" t="b">
        <f t="shared" si="76"/>
        <v>0</v>
      </c>
      <c r="R701" t="b">
        <f>IF(LEN(K701)&gt;0,COUNTIF($K$3:K701,K701),FALSE)</f>
        <v>0</v>
      </c>
      <c r="S701" t="b">
        <f>IF(Taostats_CSV!A701=Taostats_CSV!$A$2,TRUE,Taostats_CSV!G701+Taostats_CSV!H701+Taostats_CSV!R701=0)</f>
        <v>0</v>
      </c>
      <c r="T701" t="b">
        <f t="shared" si="77"/>
        <v>1</v>
      </c>
      <c r="U701" t="b" cm="1">
        <f t="array" aca="1" ref="U701" ca="1">AND(T701,OR(O701-N701&gt;1,P701&gt;1,ISERROR(A701:P701)))</f>
        <v>0</v>
      </c>
      <c r="W701" t="e">
        <f>MATCH(K701&amp;$W$2,Taostats_CSV!$X$3:$X$1167,0)</f>
        <v>#N/A</v>
      </c>
      <c r="X701" t="e">
        <f t="shared" ca="1" si="72"/>
        <v>#VALUE!</v>
      </c>
      <c r="Y701">
        <f t="shared" ca="1" si="73"/>
        <v>0.24717499400000001</v>
      </c>
      <c r="Z701" t="e">
        <f t="shared" ca="1" si="74"/>
        <v>#VALUE!</v>
      </c>
    </row>
    <row r="702" spans="1:26" x14ac:dyDescent="0.4">
      <c r="A702" t="str">
        <f>MID(Taostats_CSV!C702,6,2)&amp;"/"&amp;MID(Taostats_CSV!C702,9,2)&amp;"/"&amp;LEFT(Taostats_CSV!C702,4)&amp;" "&amp;MID(Taostats_CSV!C702,12,8)</f>
        <v>07/30/2025 23:59:48</v>
      </c>
      <c r="C702" t="str">
        <f ca="1">IF(Q702,OFFSET(Taostats_CSV!$E$1,MATCH(K702&amp;D$1,Taostats_CSV!$X:$X,0)-1,0),IF(Taostats_CSV!F702="fee",IF(VALUE(Taostats_CSV!G702)&gt;0,Taostats_CSV!E702,""),""))</f>
        <v/>
      </c>
      <c r="D702" t="str">
        <f ca="1">IF(Q702,OFFSET(Taostats_CSV!$G$1,MATCH(K702&amp;D$1,Taostats_CSV!$X:$X,0)-1,0),IF(Taostats_CSV!F702="fee",IF(VALUE(Taostats_CSV!G702)&gt;0,Taostats_CSV!G702,""),""))</f>
        <v/>
      </c>
      <c r="E702" t="str">
        <f ca="1">IF(AND(Q702,P702&gt;0),OFFSET(Taostats_CSV!$E$1,MATCH(K702&amp;F$1,Taostats_CSV!$X:$X,0)-1,0),IF(LEN(F702)&gt;0,Taostats_CSV!E702,""))</f>
        <v>SN64</v>
      </c>
      <c r="F702" t="str">
        <f ca="1">TRIM(IF(AND(Q702,P702&gt;0),OFFSET(Taostats_CSV!$H$1,MATCH(K702&amp;F$1,Taostats_CSV!$X:$X,0)-1,0),IF(LEN(Taostats_CSV!H702)&gt;0,Taostats_CSV!H702,Taostats_CSV!R702)))</f>
        <v>0.143808089</v>
      </c>
      <c r="G702" t="str">
        <f ca="1">IF(AND(Q702,N702=1),OFFSET(Taostats_CSV!$E$1,MATCH(K702&amp;H$1,Taostats_CSV!$X:$X,0)-1,0),"")</f>
        <v/>
      </c>
      <c r="H702" t="str">
        <f ca="1">IF(AND(Q702,N702=1),OFFSET(Taostats_CSV!$G$1,MATCH(K702&amp;H$1,Taostats_CSV!$X:$X,0)-1,0),"")</f>
        <v/>
      </c>
      <c r="I702" t="str">
        <f ca="1">IF(AND(LEN(K702)=0,LEN(F702)&gt;0),"Income",IF(AND(O702&gt;0,P702&gt;0,C702&lt;&gt;E702),"Trade",IF(AND(NOT(Q702),Taostats_CSV!F702="fee"),'READ ME'!$C$5,"")))</f>
        <v>Income</v>
      </c>
      <c r="J702" t="str">
        <f ca="1">SUBSTITUTE(IF(LEN(I702)=0,Taostats_CSV!F702&amp;" "&amp;Taostats_CSV!J702,IF(I702="Cost","Extrinsic fee","")),"_"," ")</f>
        <v/>
      </c>
      <c r="K702" t="str">
        <f>TRIM(IF(LEN(Taostats_CSV!I702)&gt;0,Taostats_CSV!I702,""))</f>
        <v/>
      </c>
      <c r="L702">
        <f ca="1">IF(Taostats_CSV!E702&lt;&gt;"TAO",IF(LEN(F702)&gt;0,F702,IF(LEN(D702)&gt;0,D702,0))*Taostats_CSV!P702,"")</f>
        <v>7.0848888713960898</v>
      </c>
      <c r="M702" t="str">
        <f t="shared" ca="1" si="75"/>
        <v>USD</v>
      </c>
      <c r="N702">
        <f>COUNTIF(Taostats_CSV!$X:$X,Taostats_CSV!$I702&amp;N$1)</f>
        <v>0</v>
      </c>
      <c r="O702">
        <f>COUNTIF(Taostats_CSV!$X:$X,Taostats_CSV!$I702&amp;O$1)</f>
        <v>0</v>
      </c>
      <c r="P702">
        <f>COUNTIF(Taostats_CSV!$X:$X,Taostats_CSV!$I702&amp;P$1)</f>
        <v>0</v>
      </c>
      <c r="Q702" t="b">
        <f t="shared" si="76"/>
        <v>0</v>
      </c>
      <c r="R702" t="b">
        <f>IF(LEN(K702)&gt;0,COUNTIF($K$3:K702,K702),FALSE)</f>
        <v>0</v>
      </c>
      <c r="S702" t="b">
        <f>IF(Taostats_CSV!A702=Taostats_CSV!$A$2,TRUE,Taostats_CSV!G702+Taostats_CSV!H702+Taostats_CSV!R702=0)</f>
        <v>0</v>
      </c>
      <c r="T702" t="b">
        <f t="shared" si="77"/>
        <v>1</v>
      </c>
      <c r="U702" t="b" cm="1">
        <f t="array" aca="1" ref="U702" ca="1">AND(T702,OR(O702-N702&gt;1,P702&gt;1,ISERROR(A702:P702)))</f>
        <v>0</v>
      </c>
      <c r="W702" t="e">
        <f>MATCH(K702&amp;$W$2,Taostats_CSV!$X$3:$X$1167,0)</f>
        <v>#N/A</v>
      </c>
      <c r="X702" t="e">
        <f t="shared" ca="1" si="72"/>
        <v>#VALUE!</v>
      </c>
      <c r="Y702">
        <f t="shared" ca="1" si="73"/>
        <v>0.143808089</v>
      </c>
      <c r="Z702" t="e">
        <f t="shared" ca="1" si="74"/>
        <v>#VALUE!</v>
      </c>
    </row>
    <row r="703" spans="1:26" hidden="1" x14ac:dyDescent="0.4">
      <c r="A703" t="str">
        <f>MID(Taostats_CSV!C703,6,2)&amp;"/"&amp;MID(Taostats_CSV!C703,9,2)&amp;"/"&amp;LEFT(Taostats_CSV!C703,4)&amp;" "&amp;MID(Taostats_CSV!C703,12,8)</f>
        <v>07/30/2025 23:59:48</v>
      </c>
      <c r="C703" t="str">
        <f ca="1">IF(Q703,OFFSET(Taostats_CSV!$E$1,MATCH(K703&amp;D$1,Taostats_CSV!$X:$X,0)-1,0),IF(Taostats_CSV!F703="fee","",IF(VALUE(Taostats_CSV!G703)&gt;0,Taostats_CSV!E703,"")))</f>
        <v/>
      </c>
      <c r="D703" t="str">
        <f ca="1">IF(Q703,OFFSET(Taostats_CSV!$G$1,MATCH(K703&amp;D$1,Taostats_CSV!$X:$X,0)-1,0),IF(Taostats_CSV!F703="fee","",IF(VALUE(Taostats_CSV!G703)&gt;0,Taostats_CSV!G703,"")))</f>
        <v/>
      </c>
      <c r="E703" t="str">
        <f ca="1">IF(AND(Q703,P703&gt;0),OFFSET(Taostats_CSV!$E$1,MATCH(K703&amp;F$1,Taostats_CSV!$X:$X,0)-1,0),IF(LEN(F703)&gt;0,Taostats_CSV!E703,""))</f>
        <v>TAO</v>
      </c>
      <c r="F703" t="str">
        <f ca="1">TRIM(IF(AND(Q703,P703&gt;0),OFFSET(Taostats_CSV!$H$1,MATCH(K703&amp;F$1,Taostats_CSV!$X:$X,0)-1,0),IF(LEN(Taostats_CSV!H703)&gt;0,Taostats_CSV!H703,Taostats_CSV!R703)))</f>
        <v>0</v>
      </c>
      <c r="G703" t="str">
        <f ca="1">IF(AND(Q703,N703=1),OFFSET(Taostats_CSV!$E$1,MATCH(K703&amp;H$1,Taostats_CSV!$X:$X,0)-1,0),IF(Taostats_CSV!F703="fee",Taostats_CSV!E703,""))</f>
        <v/>
      </c>
      <c r="H703" t="str">
        <f ca="1">IF(AND(Q703,N703=1),OFFSET(Taostats_CSV!$G$1,MATCH(K703&amp;H$1,Taostats_CSV!$X:$X,0)-1,0),IF(Taostats_CSV!F703="fee",Taostats_CSV!G703,""))</f>
        <v/>
      </c>
      <c r="I703" t="str">
        <f ca="1">IF(AND(LEN(K703)=0,LEN(F703)&gt;0),"Income",IF(AND(O703&gt;0,P703&gt;0,C703&lt;&gt;E703),"Trade",IF(AND(NOT(Q703),Taostats_CSV!F703="fee"),'READ ME'!$C$5,"")))</f>
        <v>Income</v>
      </c>
      <c r="J703" t="str">
        <f ca="1">SUBSTITUTE(IF(LEN(I703)=0,Taostats_CSV!F703&amp;" "&amp;Taostats_CSV!J703,IF(I703="Cost","Extrinsic fee","")),"_"," ")</f>
        <v/>
      </c>
      <c r="K703" t="str">
        <f>TRIM(IF(LEN(Taostats_CSV!I703)&gt;0,Taostats_CSV!I703,""))</f>
        <v/>
      </c>
      <c r="L703" t="str">
        <f>IF(Taostats_CSV!E703&lt;&gt;"TAO",IF(LEN(F703)&gt;0,F703,IF(LEN(D703)&gt;0,D703,0))*Taostats_CSV!P703,"")</f>
        <v/>
      </c>
      <c r="M703" t="str">
        <f t="shared" si="75"/>
        <v/>
      </c>
      <c r="N703">
        <f>COUNTIF(Taostats_CSV!$X:$X,Taostats_CSV!$I703&amp;N$1)</f>
        <v>0</v>
      </c>
      <c r="O703">
        <f>COUNTIF(Taostats_CSV!$X:$X,Taostats_CSV!$I703&amp;O$1)</f>
        <v>0</v>
      </c>
      <c r="P703">
        <f>COUNTIF(Taostats_CSV!$X:$X,Taostats_CSV!$I703&amp;P$1)</f>
        <v>0</v>
      </c>
      <c r="Q703" t="b">
        <f t="shared" si="76"/>
        <v>0</v>
      </c>
      <c r="R703" t="b">
        <f>IF(LEN(K703)&gt;0,COUNTIF($K$3:K703,K703),FALSE)</f>
        <v>0</v>
      </c>
      <c r="S703" t="b">
        <f>IF(Taostats_CSV!A703=Taostats_CSV!$A$2,TRUE,Taostats_CSV!G703+Taostats_CSV!H703+Taostats_CSV!R703=0)</f>
        <v>1</v>
      </c>
      <c r="T703" t="b">
        <f t="shared" si="77"/>
        <v>0</v>
      </c>
      <c r="U703" t="b" cm="1">
        <f t="array" aca="1" ref="U703" ca="1">AND(T703,OR(O703-N703&gt;1,P703&gt;1,ISERROR(A703:P703)))</f>
        <v>0</v>
      </c>
      <c r="W703" t="e">
        <f>MATCH(K703&amp;$W$2,Taostats_CSV!$X$3:$X$1167,0)</f>
        <v>#N/A</v>
      </c>
      <c r="X703" t="e">
        <f t="shared" ca="1" si="72"/>
        <v>#VALUE!</v>
      </c>
      <c r="Y703">
        <f t="shared" ca="1" si="73"/>
        <v>0</v>
      </c>
      <c r="Z703" t="e">
        <f t="shared" ca="1" si="74"/>
        <v>#VALUE!</v>
      </c>
    </row>
    <row r="704" spans="1:26" x14ac:dyDescent="0.4">
      <c r="A704" t="str">
        <f>MID(Taostats_CSV!C704,6,2)&amp;"/"&amp;MID(Taostats_CSV!C704,9,2)&amp;"/"&amp;LEFT(Taostats_CSV!C704,4)&amp;" "&amp;MID(Taostats_CSV!C704,12,8)</f>
        <v>07/31/2025 20:50:36</v>
      </c>
      <c r="C704" t="str">
        <f ca="1">IF(Q704,OFFSET(Taostats_CSV!$E$1,MATCH(K704&amp;D$1,Taostats_CSV!$X:$X,0)-1,0),IF(Taostats_CSV!F704="fee",IF(VALUE(Taostats_CSV!G704)&gt;0,Taostats_CSV!E704,""),""))</f>
        <v>TAO</v>
      </c>
      <c r="D704">
        <f ca="1">IF(Q704,OFFSET(Taostats_CSV!$G$1,MATCH(K704&amp;D$1,Taostats_CSV!$X:$X,0)-1,0),IF(Taostats_CSV!F704="fee",IF(VALUE(Taostats_CSV!G704)&gt;0,Taostats_CSV!G704,""),""))</f>
        <v>1</v>
      </c>
      <c r="E704" t="str">
        <f ca="1">IF(AND(Q704,P704&gt;0),OFFSET(Taostats_CSV!$E$1,MATCH(K704&amp;F$1,Taostats_CSV!$X:$X,0)-1,0),IF(LEN(F704)&gt;0,Taostats_CSV!E704,""))</f>
        <v/>
      </c>
      <c r="F704" t="str">
        <f ca="1">TRIM(IF(AND(Q704,P704&gt;0),OFFSET(Taostats_CSV!$H$1,MATCH(K704&amp;F$1,Taostats_CSV!$X:$X,0)-1,0),IF(LEN(Taostats_CSV!H704)&gt;0,Taostats_CSV!H704,Taostats_CSV!R704)))</f>
        <v/>
      </c>
      <c r="G704" t="str">
        <f ca="1">IF(AND(Q704,N704=1),OFFSET(Taostats_CSV!$E$1,MATCH(K704&amp;H$1,Taostats_CSV!$X:$X,0)-1,0),"")</f>
        <v>TAO</v>
      </c>
      <c r="H704">
        <f ca="1">IF(AND(Q704,N704=1),OFFSET(Taostats_CSV!$G$1,MATCH(K704&amp;H$1,Taostats_CSV!$X:$X,0)-1,0),"")</f>
        <v>1.42275E-4</v>
      </c>
      <c r="I704" t="str">
        <f ca="1">IF(AND(LEN(K704)=0,LEN(F704)&gt;0),"Income",IF(AND(O704&gt;0,P704&gt;0,C704&lt;&gt;E704),"Trade",IF(AND(NOT(Q704),Taostats_CSV!F704="fee"),'READ ME'!$C$5,"")))</f>
        <v/>
      </c>
      <c r="J704" t="str">
        <f ca="1">SUBSTITUTE(IF(LEN(I704)=0,Taostats_CSV!F704&amp;" "&amp;Taostats_CSV!J704,IF(I704="Cost","Extrinsic fee","")),"_"," ")</f>
        <v>fee Balances.transfer allow death</v>
      </c>
      <c r="K704" t="str">
        <f>TRIM(IF(LEN(Taostats_CSV!I704)&gt;0,Taostats_CSV!I704,""))</f>
        <v>6120049-0002</v>
      </c>
      <c r="L704" t="str">
        <f>IF(Taostats_CSV!E704&lt;&gt;"TAO",IF(LEN(F704)&gt;0,F704,IF(LEN(D704)&gt;0,D704,0))*Taostats_CSV!P704,"")</f>
        <v/>
      </c>
      <c r="M704" t="str">
        <f t="shared" si="75"/>
        <v/>
      </c>
      <c r="N704">
        <f>COUNTIF(Taostats_CSV!$X:$X,Taostats_CSV!$I704&amp;N$1)</f>
        <v>1</v>
      </c>
      <c r="O704">
        <f>COUNTIF(Taostats_CSV!$X:$X,Taostats_CSV!$I704&amp;O$1)</f>
        <v>1</v>
      </c>
      <c r="P704">
        <f>COUNTIF(Taostats_CSV!$X:$X,Taostats_CSV!$I704&amp;P$1)</f>
        <v>0</v>
      </c>
      <c r="Q704" t="b">
        <f t="shared" si="76"/>
        <v>1</v>
      </c>
      <c r="R704">
        <f>IF(LEN(K704)&gt;0,COUNTIF($K$3:K704,K704),FALSE)</f>
        <v>1</v>
      </c>
      <c r="S704" t="b">
        <f>IF(Taostats_CSV!A704=Taostats_CSV!$A$2,TRUE,Taostats_CSV!G704+Taostats_CSV!H704+Taostats_CSV!R704=0)</f>
        <v>0</v>
      </c>
      <c r="T704" t="b">
        <f t="shared" si="77"/>
        <v>1</v>
      </c>
      <c r="U704" t="b" cm="1">
        <f t="array" aca="1" ref="U704" ca="1">AND(T704,OR(O704-N704&gt;1,P704&gt;1,ISERROR(A704:P704)))</f>
        <v>0</v>
      </c>
      <c r="W704">
        <f>MATCH(K704&amp;$W$2,Taostats_CSV!$X$3:$X$1167,0)</f>
        <v>702</v>
      </c>
      <c r="X704">
        <f t="shared" ca="1" si="72"/>
        <v>1</v>
      </c>
      <c r="Y704" t="e">
        <f t="shared" ca="1" si="73"/>
        <v>#VALUE!</v>
      </c>
      <c r="Z704">
        <f t="shared" ca="1" si="74"/>
        <v>1.42275E-4</v>
      </c>
    </row>
    <row r="705" spans="1:26" hidden="1" x14ac:dyDescent="0.4">
      <c r="A705" t="str">
        <f>MID(Taostats_CSV!C705,6,2)&amp;"/"&amp;MID(Taostats_CSV!C705,9,2)&amp;"/"&amp;LEFT(Taostats_CSV!C705,4)&amp;" "&amp;MID(Taostats_CSV!C705,12,8)</f>
        <v>07/31/2025 20:50:36</v>
      </c>
      <c r="C705" t="str">
        <f ca="1">IF(Q705,OFFSET(Taostats_CSV!$E$1,MATCH(K705&amp;D$1,Taostats_CSV!$X:$X,0)-1,0),IF(Taostats_CSV!F705="fee","",IF(VALUE(Taostats_CSV!G705)&gt;0,Taostats_CSV!E705,"")))</f>
        <v>TAO</v>
      </c>
      <c r="D705">
        <f ca="1">IF(Q705,OFFSET(Taostats_CSV!$G$1,MATCH(K705&amp;D$1,Taostats_CSV!$X:$X,0)-1,0),IF(Taostats_CSV!F705="fee","",IF(VALUE(Taostats_CSV!G705)&gt;0,Taostats_CSV!G705,"")))</f>
        <v>1</v>
      </c>
      <c r="E705" t="str">
        <f ca="1">IF(AND(Q705,P705&gt;0),OFFSET(Taostats_CSV!$E$1,MATCH(K705&amp;F$1,Taostats_CSV!$X:$X,0)-1,0),IF(LEN(F705)&gt;0,Taostats_CSV!E705,""))</f>
        <v/>
      </c>
      <c r="F705" t="str">
        <f ca="1">TRIM(IF(AND(Q705,P705&gt;0),OFFSET(Taostats_CSV!$H$1,MATCH(K705&amp;F$1,Taostats_CSV!$X:$X,0)-1,0),IF(LEN(Taostats_CSV!H705)&gt;0,Taostats_CSV!H705,Taostats_CSV!R705)))</f>
        <v/>
      </c>
      <c r="G705" t="str">
        <f ca="1">IF(AND(Q705,N705=1),OFFSET(Taostats_CSV!$E$1,MATCH(K705&amp;H$1,Taostats_CSV!$X:$X,0)-1,0),IF(Taostats_CSV!F705="fee",Taostats_CSV!E705,""))</f>
        <v>TAO</v>
      </c>
      <c r="H705">
        <f ca="1">IF(AND(Q705,N705=1),OFFSET(Taostats_CSV!$G$1,MATCH(K705&amp;H$1,Taostats_CSV!$X:$X,0)-1,0),IF(Taostats_CSV!F705="fee",Taostats_CSV!G705,""))</f>
        <v>1.42275E-4</v>
      </c>
      <c r="I705" t="str">
        <f ca="1">IF(AND(LEN(K705)=0,LEN(F705)&gt;0),"Income",IF(AND(O705&gt;0,P705&gt;0,C705&lt;&gt;E705),"Trade",IF(AND(NOT(Q705),Taostats_CSV!F705="fee"),'READ ME'!$C$5,"")))</f>
        <v/>
      </c>
      <c r="J705" t="str">
        <f ca="1">SUBSTITUTE(IF(LEN(I705)=0,Taostats_CSV!F705&amp;" "&amp;Taostats_CSV!J705,IF(I705="Cost","Extrinsic fee","")),"_"," ")</f>
        <v>transfer out 5HbnKZMzGk3GT3mpWZgKuQHq3CC8LeW2tbNq1FkBLQhzUX6L</v>
      </c>
      <c r="K705" t="str">
        <f>TRIM(IF(LEN(Taostats_CSV!I705)&gt;0,Taostats_CSV!I705,""))</f>
        <v>6120049-0002</v>
      </c>
      <c r="L705" t="str">
        <f>IF(Taostats_CSV!E705&lt;&gt;"TAO",IF(LEN(F705)&gt;0,F705,IF(LEN(D705)&gt;0,D705,0))*Taostats_CSV!P705,"")</f>
        <v/>
      </c>
      <c r="M705" t="str">
        <f t="shared" si="75"/>
        <v/>
      </c>
      <c r="N705">
        <f>COUNTIF(Taostats_CSV!$X:$X,Taostats_CSV!$I705&amp;N$1)</f>
        <v>1</v>
      </c>
      <c r="O705">
        <f>COUNTIF(Taostats_CSV!$X:$X,Taostats_CSV!$I705&amp;O$1)</f>
        <v>1</v>
      </c>
      <c r="P705">
        <f>COUNTIF(Taostats_CSV!$X:$X,Taostats_CSV!$I705&amp;P$1)</f>
        <v>0</v>
      </c>
      <c r="Q705" t="b">
        <f t="shared" si="76"/>
        <v>1</v>
      </c>
      <c r="R705">
        <f>IF(LEN(K705)&gt;0,COUNTIF($K$3:K705,K705),FALSE)</f>
        <v>2</v>
      </c>
      <c r="S705" t="b">
        <f>IF(Taostats_CSV!A705=Taostats_CSV!$A$2,TRUE,Taostats_CSV!G705+Taostats_CSV!H705+Taostats_CSV!R705=0)</f>
        <v>0</v>
      </c>
      <c r="T705" t="b">
        <f t="shared" si="77"/>
        <v>0</v>
      </c>
      <c r="U705" t="b" cm="1">
        <f t="array" aca="1" ref="U705" ca="1">AND(T705,OR(O705-N705&gt;1,P705&gt;1,ISERROR(A705:P705)))</f>
        <v>0</v>
      </c>
      <c r="W705">
        <f>MATCH(K705&amp;$W$2,Taostats_CSV!$X$3:$X$1167,0)</f>
        <v>702</v>
      </c>
      <c r="X705">
        <f t="shared" ca="1" si="72"/>
        <v>1</v>
      </c>
      <c r="Y705" t="e">
        <f t="shared" ca="1" si="73"/>
        <v>#VALUE!</v>
      </c>
      <c r="Z705">
        <f t="shared" ca="1" si="74"/>
        <v>1.42275E-4</v>
      </c>
    </row>
    <row r="706" spans="1:26" x14ac:dyDescent="0.4">
      <c r="A706" t="str">
        <f>MID(Taostats_CSV!C706,6,2)&amp;"/"&amp;MID(Taostats_CSV!C706,9,2)&amp;"/"&amp;LEFT(Taostats_CSV!C706,4)&amp;" "&amp;MID(Taostats_CSV!C706,12,8)</f>
        <v>07/31/2025 20:51:24</v>
      </c>
      <c r="C706" t="str">
        <f ca="1">IF(Q706,OFFSET(Taostats_CSV!$E$1,MATCH(K706&amp;D$1,Taostats_CSV!$X:$X,0)-1,0),IF(Taostats_CSV!F706="fee",IF(VALUE(Taostats_CSV!G706)&gt;0,Taostats_CSV!E706,""),""))</f>
        <v/>
      </c>
      <c r="D706" t="str">
        <f ca="1">IF(Q706,OFFSET(Taostats_CSV!$G$1,MATCH(K706&amp;D$1,Taostats_CSV!$X:$X,0)-1,0),IF(Taostats_CSV!F706="fee",IF(VALUE(Taostats_CSV!G706)&gt;0,Taostats_CSV!G706,""),""))</f>
        <v/>
      </c>
      <c r="E706" t="str">
        <f ca="1">IF(AND(Q706,P706&gt;0),OFFSET(Taostats_CSV!$E$1,MATCH(K706&amp;F$1,Taostats_CSV!$X:$X,0)-1,0),IF(LEN(F706)&gt;0,Taostats_CSV!E706,""))</f>
        <v>TAO</v>
      </c>
      <c r="F706" t="str">
        <f ca="1">TRIM(IF(AND(Q706,P706&gt;0),OFFSET(Taostats_CSV!$H$1,MATCH(K706&amp;F$1,Taostats_CSV!$X:$X,0)-1,0),IF(LEN(Taostats_CSV!H706)&gt;0,Taostats_CSV!H706,Taostats_CSV!R706)))</f>
        <v>0.000000001</v>
      </c>
      <c r="G706" t="str">
        <f ca="1">IF(AND(Q706,N706=1),OFFSET(Taostats_CSV!$E$1,MATCH(K706&amp;H$1,Taostats_CSV!$X:$X,0)-1,0),"")</f>
        <v/>
      </c>
      <c r="H706" t="str">
        <f ca="1">IF(AND(Q706,N706=1),OFFSET(Taostats_CSV!$G$1,MATCH(K706&amp;H$1,Taostats_CSV!$X:$X,0)-1,0),"")</f>
        <v/>
      </c>
      <c r="I706" t="str">
        <f ca="1">IF(AND(LEN(K706)=0,LEN(F706)&gt;0),"Income",IF(AND(O706&gt;0,P706&gt;0,C706&lt;&gt;E706),"Trade",IF(AND(NOT(Q706),Taostats_CSV!F706="fee"),'READ ME'!$C$5,"")))</f>
        <v/>
      </c>
      <c r="J706" t="str">
        <f ca="1">SUBSTITUTE(IF(LEN(I706)=0,Taostats_CSV!F706&amp;" "&amp;Taostats_CSV!J706,IF(I706="Cost","Extrinsic fee","")),"_"," ")</f>
        <v>transfer in 5H6ZiwHmjGZeVRocnDTwf33wA5HVGHAX3DvpTFUS4kQpUX6L</v>
      </c>
      <c r="K706" t="str">
        <f>TRIM(IF(LEN(Taostats_CSV!I706)&gt;0,Taostats_CSV!I706,""))</f>
        <v>6120053-0006</v>
      </c>
      <c r="L706" t="str">
        <f>IF(Taostats_CSV!E706&lt;&gt;"TAO",IF(LEN(F706)&gt;0,F706,IF(LEN(D706)&gt;0,D706,0))*Taostats_CSV!P706,"")</f>
        <v/>
      </c>
      <c r="M706" t="str">
        <f t="shared" si="75"/>
        <v/>
      </c>
      <c r="N706">
        <f>COUNTIF(Taostats_CSV!$X:$X,Taostats_CSV!$I706&amp;N$1)</f>
        <v>0</v>
      </c>
      <c r="O706">
        <f>COUNTIF(Taostats_CSV!$X:$X,Taostats_CSV!$I706&amp;O$1)</f>
        <v>0</v>
      </c>
      <c r="P706">
        <f>COUNTIF(Taostats_CSV!$X:$X,Taostats_CSV!$I706&amp;P$1)</f>
        <v>1</v>
      </c>
      <c r="Q706" t="b">
        <f t="shared" si="76"/>
        <v>0</v>
      </c>
      <c r="R706">
        <f>IF(LEN(K706)&gt;0,COUNTIF($K$3:K706,K706),FALSE)</f>
        <v>1</v>
      </c>
      <c r="S706" t="b">
        <f>IF(Taostats_CSV!A706=Taostats_CSV!$A$2,TRUE,Taostats_CSV!G706+Taostats_CSV!H706+Taostats_CSV!R706=0)</f>
        <v>0</v>
      </c>
      <c r="T706" t="b">
        <f t="shared" si="77"/>
        <v>1</v>
      </c>
      <c r="U706" t="b" cm="1">
        <f t="array" aca="1" ref="U706" ca="1">AND(T706,OR(O706-N706&gt;1,P706&gt;1,ISERROR(A706:P706)))</f>
        <v>0</v>
      </c>
      <c r="W706" t="e">
        <f>MATCH(K706&amp;$W$2,Taostats_CSV!$X$3:$X$1167,0)</f>
        <v>#N/A</v>
      </c>
      <c r="X706" t="e">
        <f t="shared" ca="1" si="72"/>
        <v>#VALUE!</v>
      </c>
      <c r="Y706">
        <f t="shared" ca="1" si="73"/>
        <v>1.0000000000000001E-9</v>
      </c>
      <c r="Z706" t="e">
        <f t="shared" ca="1" si="74"/>
        <v>#VALUE!</v>
      </c>
    </row>
    <row r="707" spans="1:26" x14ac:dyDescent="0.4">
      <c r="A707" t="str">
        <f>MID(Taostats_CSV!C707,6,2)&amp;"/"&amp;MID(Taostats_CSV!C707,9,2)&amp;"/"&amp;LEFT(Taostats_CSV!C707,4)&amp;" "&amp;MID(Taostats_CSV!C707,12,8)</f>
        <v>07/31/2025 21:28:48</v>
      </c>
      <c r="C707" t="str">
        <f ca="1">IF(Q707,OFFSET(Taostats_CSV!$E$1,MATCH(K707&amp;D$1,Taostats_CSV!$X:$X,0)-1,0),IF(Taostats_CSV!F707="fee",IF(VALUE(Taostats_CSV!G707)&gt;0,Taostats_CSV!E707,""),""))</f>
        <v>TAO</v>
      </c>
      <c r="D707">
        <f ca="1">IF(Q707,OFFSET(Taostats_CSV!$G$1,MATCH(K707&amp;D$1,Taostats_CSV!$X:$X,0)-1,0),IF(Taostats_CSV!F707="fee",IF(VALUE(Taostats_CSV!G707)&gt;0,Taostats_CSV!G707,""),""))</f>
        <v>99</v>
      </c>
      <c r="E707" t="str">
        <f ca="1">IF(AND(Q707,P707&gt;0),OFFSET(Taostats_CSV!$E$1,MATCH(K707&amp;F$1,Taostats_CSV!$X:$X,0)-1,0),IF(LEN(F707)&gt;0,Taostats_CSV!E707,""))</f>
        <v/>
      </c>
      <c r="F707" t="str">
        <f ca="1">TRIM(IF(AND(Q707,P707&gt;0),OFFSET(Taostats_CSV!$H$1,MATCH(K707&amp;F$1,Taostats_CSV!$X:$X,0)-1,0),IF(LEN(Taostats_CSV!H707)&gt;0,Taostats_CSV!H707,Taostats_CSV!R707)))</f>
        <v/>
      </c>
      <c r="G707" t="str">
        <f ca="1">IF(AND(Q707,N707=1),OFFSET(Taostats_CSV!$E$1,MATCH(K707&amp;H$1,Taostats_CSV!$X:$X,0)-1,0),"")</f>
        <v>TAO</v>
      </c>
      <c r="H707">
        <f ca="1">IF(AND(Q707,N707=1),OFFSET(Taostats_CSV!$G$1,MATCH(K707&amp;H$1,Taostats_CSV!$X:$X,0)-1,0),"")</f>
        <v>1.4227700000000001E-4</v>
      </c>
      <c r="I707" t="str">
        <f ca="1">IF(AND(LEN(K707)=0,LEN(F707)&gt;0),"Income",IF(AND(O707&gt;0,P707&gt;0,C707&lt;&gt;E707),"Trade",IF(AND(NOT(Q707),Taostats_CSV!F707="fee"),'READ ME'!$C$5,"")))</f>
        <v/>
      </c>
      <c r="J707" t="str">
        <f ca="1">SUBSTITUTE(IF(LEN(I707)=0,Taostats_CSV!F707&amp;" "&amp;Taostats_CSV!J707,IF(I707="Cost","Extrinsic fee","")),"_"," ")</f>
        <v>fee Balances.transfer allow death</v>
      </c>
      <c r="K707" t="str">
        <f>TRIM(IF(LEN(Taostats_CSV!I707)&gt;0,Taostats_CSV!I707,""))</f>
        <v>6120240-0002</v>
      </c>
      <c r="L707" t="str">
        <f>IF(Taostats_CSV!E707&lt;&gt;"TAO",IF(LEN(F707)&gt;0,F707,IF(LEN(D707)&gt;0,D707,0))*Taostats_CSV!P707,"")</f>
        <v/>
      </c>
      <c r="M707" t="str">
        <f t="shared" si="75"/>
        <v/>
      </c>
      <c r="N707">
        <f>COUNTIF(Taostats_CSV!$X:$X,Taostats_CSV!$I707&amp;N$1)</f>
        <v>1</v>
      </c>
      <c r="O707">
        <f>COUNTIF(Taostats_CSV!$X:$X,Taostats_CSV!$I707&amp;O$1)</f>
        <v>1</v>
      </c>
      <c r="P707">
        <f>COUNTIF(Taostats_CSV!$X:$X,Taostats_CSV!$I707&amp;P$1)</f>
        <v>0</v>
      </c>
      <c r="Q707" t="b">
        <f t="shared" si="76"/>
        <v>1</v>
      </c>
      <c r="R707">
        <f>IF(LEN(K707)&gt;0,COUNTIF($K$3:K707,K707),FALSE)</f>
        <v>1</v>
      </c>
      <c r="S707" t="b">
        <f>IF(Taostats_CSV!A707=Taostats_CSV!$A$2,TRUE,Taostats_CSV!G707+Taostats_CSV!H707+Taostats_CSV!R707=0)</f>
        <v>0</v>
      </c>
      <c r="T707" t="b">
        <f t="shared" si="77"/>
        <v>1</v>
      </c>
      <c r="U707" t="b" cm="1">
        <f t="array" aca="1" ref="U707" ca="1">AND(T707,OR(O707-N707&gt;1,P707&gt;1,ISERROR(A707:P707)))</f>
        <v>0</v>
      </c>
      <c r="W707">
        <f>MATCH(K707&amp;$W$2,Taostats_CSV!$X$3:$X$1167,0)</f>
        <v>705</v>
      </c>
      <c r="X707">
        <f t="shared" ref="X707:X770" ca="1" si="78">VALUE(D707)</f>
        <v>99</v>
      </c>
      <c r="Y707" t="e">
        <f t="shared" ref="Y707:Y770" ca="1" si="79">VALUE(F707)</f>
        <v>#VALUE!</v>
      </c>
      <c r="Z707">
        <f t="shared" ref="Z707:Z770" ca="1" si="80">VALUE(H707)</f>
        <v>1.4227700000000001E-4</v>
      </c>
    </row>
    <row r="708" spans="1:26" hidden="1" x14ac:dyDescent="0.4">
      <c r="A708" t="str">
        <f>MID(Taostats_CSV!C708,6,2)&amp;"/"&amp;MID(Taostats_CSV!C708,9,2)&amp;"/"&amp;LEFT(Taostats_CSV!C708,4)&amp;" "&amp;MID(Taostats_CSV!C708,12,8)</f>
        <v>07/31/2025 21:28:48</v>
      </c>
      <c r="C708" t="str">
        <f ca="1">IF(Q708,OFFSET(Taostats_CSV!$E$1,MATCH(K708&amp;D$1,Taostats_CSV!$X:$X,0)-1,0),IF(Taostats_CSV!F708="fee","",IF(VALUE(Taostats_CSV!G708)&gt;0,Taostats_CSV!E708,"")))</f>
        <v>TAO</v>
      </c>
      <c r="D708">
        <f ca="1">IF(Q708,OFFSET(Taostats_CSV!$G$1,MATCH(K708&amp;D$1,Taostats_CSV!$X:$X,0)-1,0),IF(Taostats_CSV!F708="fee","",IF(VALUE(Taostats_CSV!G708)&gt;0,Taostats_CSV!G708,"")))</f>
        <v>99</v>
      </c>
      <c r="E708" t="str">
        <f ca="1">IF(AND(Q708,P708&gt;0),OFFSET(Taostats_CSV!$E$1,MATCH(K708&amp;F$1,Taostats_CSV!$X:$X,0)-1,0),IF(LEN(F708)&gt;0,Taostats_CSV!E708,""))</f>
        <v/>
      </c>
      <c r="F708" t="str">
        <f ca="1">TRIM(IF(AND(Q708,P708&gt;0),OFFSET(Taostats_CSV!$H$1,MATCH(K708&amp;F$1,Taostats_CSV!$X:$X,0)-1,0),IF(LEN(Taostats_CSV!H708)&gt;0,Taostats_CSV!H708,Taostats_CSV!R708)))</f>
        <v/>
      </c>
      <c r="G708" t="str">
        <f ca="1">IF(AND(Q708,N708=1),OFFSET(Taostats_CSV!$E$1,MATCH(K708&amp;H$1,Taostats_CSV!$X:$X,0)-1,0),IF(Taostats_CSV!F708="fee",Taostats_CSV!E708,""))</f>
        <v>TAO</v>
      </c>
      <c r="H708">
        <f ca="1">IF(AND(Q708,N708=1),OFFSET(Taostats_CSV!$G$1,MATCH(K708&amp;H$1,Taostats_CSV!$X:$X,0)-1,0),IF(Taostats_CSV!F708="fee",Taostats_CSV!G708,""))</f>
        <v>1.4227700000000001E-4</v>
      </c>
      <c r="I708" t="str">
        <f ca="1">IF(AND(LEN(K708)=0,LEN(F708)&gt;0),"Income",IF(AND(O708&gt;0,P708&gt;0,C708&lt;&gt;E708),"Trade",IF(AND(NOT(Q708),Taostats_CSV!F708="fee"),'READ ME'!$C$5,"")))</f>
        <v/>
      </c>
      <c r="J708" t="str">
        <f ca="1">SUBSTITUTE(IF(LEN(I708)=0,Taostats_CSV!F708&amp;" "&amp;Taostats_CSV!J708,IF(I708="Cost","Extrinsic fee","")),"_"," ")</f>
        <v>transfer out 5HbnKZMzGk3GT3mpWZgKuQHq3CC8LeW2tbNq1FkBLQhzUX6L</v>
      </c>
      <c r="K708" t="str">
        <f>TRIM(IF(LEN(Taostats_CSV!I708)&gt;0,Taostats_CSV!I708,""))</f>
        <v>6120240-0002</v>
      </c>
      <c r="L708" t="str">
        <f>IF(Taostats_CSV!E708&lt;&gt;"TAO",IF(LEN(F708)&gt;0,F708,IF(LEN(D708)&gt;0,D708,0))*Taostats_CSV!P708,"")</f>
        <v/>
      </c>
      <c r="M708" t="str">
        <f t="shared" ref="M708:M771" si="81">IF(LEN(L708)&gt;0,"USD","")</f>
        <v/>
      </c>
      <c r="N708">
        <f>COUNTIF(Taostats_CSV!$X:$X,Taostats_CSV!$I708&amp;N$1)</f>
        <v>1</v>
      </c>
      <c r="O708">
        <f>COUNTIF(Taostats_CSV!$X:$X,Taostats_CSV!$I708&amp;O$1)</f>
        <v>1</v>
      </c>
      <c r="P708">
        <f>COUNTIF(Taostats_CSV!$X:$X,Taostats_CSV!$I708&amp;P$1)</f>
        <v>0</v>
      </c>
      <c r="Q708" t="b">
        <f t="shared" ref="Q708:Q771" si="82">AND(O708&lt;=1,N708&lt;=1,P708&lt;=1,O708+N708+P708&gt;=2)</f>
        <v>1</v>
      </c>
      <c r="R708">
        <f>IF(LEN(K708)&gt;0,COUNTIF($K$3:K708,K708),FALSE)</f>
        <v>2</v>
      </c>
      <c r="S708" t="b">
        <f>IF(Taostats_CSV!A708=Taostats_CSV!$A$2,TRUE,Taostats_CSV!G708+Taostats_CSV!H708+Taostats_CSV!R708=0)</f>
        <v>0</v>
      </c>
      <c r="T708" t="b">
        <f t="shared" ref="T708:T771" si="83">AND(NOT(S708),OR(NOT(Q708),R708=1))</f>
        <v>0</v>
      </c>
      <c r="U708" t="b" cm="1">
        <f t="array" aca="1" ref="U708" ca="1">AND(T708,OR(O708-N708&gt;1,P708&gt;1,ISERROR(A708:P708)))</f>
        <v>0</v>
      </c>
      <c r="W708">
        <f>MATCH(K708&amp;$W$2,Taostats_CSV!$X$3:$X$1167,0)</f>
        <v>705</v>
      </c>
      <c r="X708">
        <f t="shared" ca="1" si="78"/>
        <v>99</v>
      </c>
      <c r="Y708" t="e">
        <f t="shared" ca="1" si="79"/>
        <v>#VALUE!</v>
      </c>
      <c r="Z708">
        <f t="shared" ca="1" si="80"/>
        <v>1.4227700000000001E-4</v>
      </c>
    </row>
    <row r="709" spans="1:26" x14ac:dyDescent="0.4">
      <c r="A709" t="str">
        <f>MID(Taostats_CSV!C709,6,2)&amp;"/"&amp;MID(Taostats_CSV!C709,9,2)&amp;"/"&amp;LEFT(Taostats_CSV!C709,4)&amp;" "&amp;MID(Taostats_CSV!C709,12,8)</f>
        <v>07/31/2025 21:29:48</v>
      </c>
      <c r="C709" t="str">
        <f ca="1">IF(Q709,OFFSET(Taostats_CSV!$E$1,MATCH(K709&amp;D$1,Taostats_CSV!$X:$X,0)-1,0),IF(Taostats_CSV!F709="fee",IF(VALUE(Taostats_CSV!G709)&gt;0,Taostats_CSV!E709,""),""))</f>
        <v/>
      </c>
      <c r="D709" t="str">
        <f ca="1">IF(Q709,OFFSET(Taostats_CSV!$G$1,MATCH(K709&amp;D$1,Taostats_CSV!$X:$X,0)-1,0),IF(Taostats_CSV!F709="fee",IF(VALUE(Taostats_CSV!G709)&gt;0,Taostats_CSV!G709,""),""))</f>
        <v/>
      </c>
      <c r="E709" t="str">
        <f ca="1">IF(AND(Q709,P709&gt;0),OFFSET(Taostats_CSV!$E$1,MATCH(K709&amp;F$1,Taostats_CSV!$X:$X,0)-1,0),IF(LEN(F709)&gt;0,Taostats_CSV!E709,""))</f>
        <v>TAO</v>
      </c>
      <c r="F709" t="str">
        <f ca="1">TRIM(IF(AND(Q709,P709&gt;0),OFFSET(Taostats_CSV!$H$1,MATCH(K709&amp;F$1,Taostats_CSV!$X:$X,0)-1,0),IF(LEN(Taostats_CSV!H709)&gt;0,Taostats_CSV!H709,Taostats_CSV!R709)))</f>
        <v>0.000000001</v>
      </c>
      <c r="G709" t="str">
        <f ca="1">IF(AND(Q709,N709=1),OFFSET(Taostats_CSV!$E$1,MATCH(K709&amp;H$1,Taostats_CSV!$X:$X,0)-1,0),"")</f>
        <v/>
      </c>
      <c r="H709" t="str">
        <f ca="1">IF(AND(Q709,N709=1),OFFSET(Taostats_CSV!$G$1,MATCH(K709&amp;H$1,Taostats_CSV!$X:$X,0)-1,0),"")</f>
        <v/>
      </c>
      <c r="I709" t="str">
        <f ca="1">IF(AND(LEN(K709)=0,LEN(F709)&gt;0),"Income",IF(AND(O709&gt;0,P709&gt;0,C709&lt;&gt;E709),"Trade",IF(AND(NOT(Q709),Taostats_CSV!F709="fee"),'READ ME'!$C$5,"")))</f>
        <v/>
      </c>
      <c r="J709" t="str">
        <f ca="1">SUBSTITUTE(IF(LEN(I709)=0,Taostats_CSV!F709&amp;" "&amp;Taostats_CSV!J709,IF(I709="Cost","Extrinsic fee","")),"_"," ")</f>
        <v>transfer in 5H6ZiwHmjGZeVRocnDTwf33wA5HVGHAX3DvpTFUS4kQpUX6L</v>
      </c>
      <c r="K709" t="str">
        <f>TRIM(IF(LEN(Taostats_CSV!I709)&gt;0,Taostats_CSV!I709,""))</f>
        <v>6120245-0003</v>
      </c>
      <c r="L709" t="str">
        <f>IF(Taostats_CSV!E709&lt;&gt;"TAO",IF(LEN(F709)&gt;0,F709,IF(LEN(D709)&gt;0,D709,0))*Taostats_CSV!P709,"")</f>
        <v/>
      </c>
      <c r="M709" t="str">
        <f t="shared" si="81"/>
        <v/>
      </c>
      <c r="N709">
        <f>COUNTIF(Taostats_CSV!$X:$X,Taostats_CSV!$I709&amp;N$1)</f>
        <v>0</v>
      </c>
      <c r="O709">
        <f>COUNTIF(Taostats_CSV!$X:$X,Taostats_CSV!$I709&amp;O$1)</f>
        <v>0</v>
      </c>
      <c r="P709">
        <f>COUNTIF(Taostats_CSV!$X:$X,Taostats_CSV!$I709&amp;P$1)</f>
        <v>1</v>
      </c>
      <c r="Q709" t="b">
        <f t="shared" si="82"/>
        <v>0</v>
      </c>
      <c r="R709">
        <f>IF(LEN(K709)&gt;0,COUNTIF($K$3:K709,K709),FALSE)</f>
        <v>1</v>
      </c>
      <c r="S709" t="b">
        <f>IF(Taostats_CSV!A709=Taostats_CSV!$A$2,TRUE,Taostats_CSV!G709+Taostats_CSV!H709+Taostats_CSV!R709=0)</f>
        <v>0</v>
      </c>
      <c r="T709" t="b">
        <f t="shared" si="83"/>
        <v>1</v>
      </c>
      <c r="U709" t="b" cm="1">
        <f t="array" aca="1" ref="U709" ca="1">AND(T709,OR(O709-N709&gt;1,P709&gt;1,ISERROR(A709:P709)))</f>
        <v>0</v>
      </c>
      <c r="W709" t="e">
        <f>MATCH(K709&amp;$W$2,Taostats_CSV!$X$3:$X$1167,0)</f>
        <v>#N/A</v>
      </c>
      <c r="X709" t="e">
        <f t="shared" ca="1" si="78"/>
        <v>#VALUE!</v>
      </c>
      <c r="Y709">
        <f t="shared" ca="1" si="79"/>
        <v>1.0000000000000001E-9</v>
      </c>
      <c r="Z709" t="e">
        <f t="shared" ca="1" si="80"/>
        <v>#VALUE!</v>
      </c>
    </row>
    <row r="710" spans="1:26" x14ac:dyDescent="0.4">
      <c r="A710" t="str">
        <f>MID(Taostats_CSV!C710,6,2)&amp;"/"&amp;MID(Taostats_CSV!C710,9,2)&amp;"/"&amp;LEFT(Taostats_CSV!C710,4)&amp;" "&amp;MID(Taostats_CSV!C710,12,8)</f>
        <v>07/31/2025 23:59:48</v>
      </c>
      <c r="C710" t="str">
        <f ca="1">IF(Q710,OFFSET(Taostats_CSV!$E$1,MATCH(K710&amp;D$1,Taostats_CSV!$X:$X,0)-1,0),IF(Taostats_CSV!F710="fee",IF(VALUE(Taostats_CSV!G710)&gt;0,Taostats_CSV!E710,""),""))</f>
        <v/>
      </c>
      <c r="D710" t="str">
        <f ca="1">IF(Q710,OFFSET(Taostats_CSV!$G$1,MATCH(K710&amp;D$1,Taostats_CSV!$X:$X,0)-1,0),IF(Taostats_CSV!F710="fee",IF(VALUE(Taostats_CSV!G710)&gt;0,Taostats_CSV!G710,""),""))</f>
        <v/>
      </c>
      <c r="E710" t="str">
        <f ca="1">IF(AND(Q710,P710&gt;0),OFFSET(Taostats_CSV!$E$1,MATCH(K710&amp;F$1,Taostats_CSV!$X:$X,0)-1,0),IF(LEN(F710)&gt;0,Taostats_CSV!E710,""))</f>
        <v>SN3</v>
      </c>
      <c r="F710" t="str">
        <f ca="1">TRIM(IF(AND(Q710,P710&gt;0),OFFSET(Taostats_CSV!$H$1,MATCH(K710&amp;F$1,Taostats_CSV!$X:$X,0)-1,0),IF(LEN(Taostats_CSV!H710)&gt;0,Taostats_CSV!H710,Taostats_CSV!R710)))</f>
        <v>0.40304015</v>
      </c>
      <c r="G710" t="str">
        <f ca="1">IF(AND(Q710,N710=1),OFFSET(Taostats_CSV!$E$1,MATCH(K710&amp;H$1,Taostats_CSV!$X:$X,0)-1,0),"")</f>
        <v/>
      </c>
      <c r="H710" t="str">
        <f ca="1">IF(AND(Q710,N710=1),OFFSET(Taostats_CSV!$G$1,MATCH(K710&amp;H$1,Taostats_CSV!$X:$X,0)-1,0),"")</f>
        <v/>
      </c>
      <c r="I710" t="str">
        <f ca="1">IF(AND(LEN(K710)=0,LEN(F710)&gt;0),"Income",IF(AND(O710&gt;0,P710&gt;0,C710&lt;&gt;E710),"Trade",IF(AND(NOT(Q710),Taostats_CSV!F710="fee"),'READ ME'!$C$5,"")))</f>
        <v>Income</v>
      </c>
      <c r="J710" t="str">
        <f ca="1">SUBSTITUTE(IF(LEN(I710)=0,Taostats_CSV!F710&amp;" "&amp;Taostats_CSV!J710,IF(I710="Cost","Extrinsic fee","")),"_"," ")</f>
        <v/>
      </c>
      <c r="K710" t="str">
        <f>TRIM(IF(LEN(Taostats_CSV!I710)&gt;0,Taostats_CSV!I710,""))</f>
        <v/>
      </c>
      <c r="L710">
        <f ca="1">IF(Taostats_CSV!E710&lt;&gt;"TAO",IF(LEN(F710)&gt;0,F710,IF(LEN(D710)&gt;0,D710,0))*Taostats_CSV!P710,"")</f>
        <v>8.0236130572541153</v>
      </c>
      <c r="M710" t="str">
        <f t="shared" ca="1" si="81"/>
        <v>USD</v>
      </c>
      <c r="N710">
        <f>COUNTIF(Taostats_CSV!$X:$X,Taostats_CSV!$I710&amp;N$1)</f>
        <v>0</v>
      </c>
      <c r="O710">
        <f>COUNTIF(Taostats_CSV!$X:$X,Taostats_CSV!$I710&amp;O$1)</f>
        <v>0</v>
      </c>
      <c r="P710">
        <f>COUNTIF(Taostats_CSV!$X:$X,Taostats_CSV!$I710&amp;P$1)</f>
        <v>0</v>
      </c>
      <c r="Q710" t="b">
        <f t="shared" si="82"/>
        <v>0</v>
      </c>
      <c r="R710" t="b">
        <f>IF(LEN(K710)&gt;0,COUNTIF($K$3:K710,K710),FALSE)</f>
        <v>0</v>
      </c>
      <c r="S710" t="b">
        <f>IF(Taostats_CSV!A710=Taostats_CSV!$A$2,TRUE,Taostats_CSV!G710+Taostats_CSV!H710+Taostats_CSV!R710=0)</f>
        <v>0</v>
      </c>
      <c r="T710" t="b">
        <f t="shared" si="83"/>
        <v>1</v>
      </c>
      <c r="U710" t="b" cm="1">
        <f t="array" aca="1" ref="U710" ca="1">AND(T710,OR(O710-N710&gt;1,P710&gt;1,ISERROR(A710:P710)))</f>
        <v>0</v>
      </c>
      <c r="W710" t="e">
        <f>MATCH(K710&amp;$W$2,Taostats_CSV!$X$3:$X$1167,0)</f>
        <v>#N/A</v>
      </c>
      <c r="X710" t="e">
        <f t="shared" ca="1" si="78"/>
        <v>#VALUE!</v>
      </c>
      <c r="Y710">
        <f t="shared" ca="1" si="79"/>
        <v>0.40304014999999999</v>
      </c>
      <c r="Z710" t="e">
        <f t="shared" ca="1" si="80"/>
        <v>#VALUE!</v>
      </c>
    </row>
    <row r="711" spans="1:26" x14ac:dyDescent="0.4">
      <c r="A711" t="str">
        <f>MID(Taostats_CSV!C711,6,2)&amp;"/"&amp;MID(Taostats_CSV!C711,9,2)&amp;"/"&amp;LEFT(Taostats_CSV!C711,4)&amp;" "&amp;MID(Taostats_CSV!C711,12,8)</f>
        <v>07/31/2025 23:59:48</v>
      </c>
      <c r="C711" t="str">
        <f ca="1">IF(Q711,OFFSET(Taostats_CSV!$E$1,MATCH(K711&amp;D$1,Taostats_CSV!$X:$X,0)-1,0),IF(Taostats_CSV!F711="fee",IF(VALUE(Taostats_CSV!G711)&gt;0,Taostats_CSV!E711,""),""))</f>
        <v/>
      </c>
      <c r="D711" t="str">
        <f ca="1">IF(Q711,OFFSET(Taostats_CSV!$G$1,MATCH(K711&amp;D$1,Taostats_CSV!$X:$X,0)-1,0),IF(Taostats_CSV!F711="fee",IF(VALUE(Taostats_CSV!G711)&gt;0,Taostats_CSV!G711,""),""))</f>
        <v/>
      </c>
      <c r="E711" t="str">
        <f ca="1">IF(AND(Q711,P711&gt;0),OFFSET(Taostats_CSV!$E$1,MATCH(K711&amp;F$1,Taostats_CSV!$X:$X,0)-1,0),IF(LEN(F711)&gt;0,Taostats_CSV!E711,""))</f>
        <v>SN4</v>
      </c>
      <c r="F711" t="str">
        <f ca="1">TRIM(IF(AND(Q711,P711&gt;0),OFFSET(Taostats_CSV!$H$1,MATCH(K711&amp;F$1,Taostats_CSV!$X:$X,0)-1,0),IF(LEN(Taostats_CSV!H711)&gt;0,Taostats_CSV!H711,Taostats_CSV!R711)))</f>
        <v>0.416927069</v>
      </c>
      <c r="G711" t="str">
        <f ca="1">IF(AND(Q711,N711=1),OFFSET(Taostats_CSV!$E$1,MATCH(K711&amp;H$1,Taostats_CSV!$X:$X,0)-1,0),"")</f>
        <v/>
      </c>
      <c r="H711" t="str">
        <f ca="1">IF(AND(Q711,N711=1),OFFSET(Taostats_CSV!$G$1,MATCH(K711&amp;H$1,Taostats_CSV!$X:$X,0)-1,0),"")</f>
        <v/>
      </c>
      <c r="I711" t="str">
        <f ca="1">IF(AND(LEN(K711)=0,LEN(F711)&gt;0),"Income",IF(AND(O711&gt;0,P711&gt;0,C711&lt;&gt;E711),"Trade",IF(AND(NOT(Q711),Taostats_CSV!F711="fee"),'READ ME'!$C$5,"")))</f>
        <v>Income</v>
      </c>
      <c r="J711" t="str">
        <f ca="1">SUBSTITUTE(IF(LEN(I711)=0,Taostats_CSV!F711&amp;" "&amp;Taostats_CSV!J711,IF(I711="Cost","Extrinsic fee","")),"_"," ")</f>
        <v/>
      </c>
      <c r="K711" t="str">
        <f>TRIM(IF(LEN(Taostats_CSV!I711)&gt;0,Taostats_CSV!I711,""))</f>
        <v/>
      </c>
      <c r="L711">
        <f ca="1">IF(Taostats_CSV!E711&lt;&gt;"TAO",IF(LEN(F711)&gt;0,F711,IF(LEN(D711)&gt;0,D711,0))*Taostats_CSV!P711,"")</f>
        <v>8.8422726219460976</v>
      </c>
      <c r="M711" t="str">
        <f t="shared" ca="1" si="81"/>
        <v>USD</v>
      </c>
      <c r="N711">
        <f>COUNTIF(Taostats_CSV!$X:$X,Taostats_CSV!$I711&amp;N$1)</f>
        <v>0</v>
      </c>
      <c r="O711">
        <f>COUNTIF(Taostats_CSV!$X:$X,Taostats_CSV!$I711&amp;O$1)</f>
        <v>0</v>
      </c>
      <c r="P711">
        <f>COUNTIF(Taostats_CSV!$X:$X,Taostats_CSV!$I711&amp;P$1)</f>
        <v>0</v>
      </c>
      <c r="Q711" t="b">
        <f t="shared" si="82"/>
        <v>0</v>
      </c>
      <c r="R711" t="b">
        <f>IF(LEN(K711)&gt;0,COUNTIF($K$3:K711,K711),FALSE)</f>
        <v>0</v>
      </c>
      <c r="S711" t="b">
        <f>IF(Taostats_CSV!A711=Taostats_CSV!$A$2,TRUE,Taostats_CSV!G711+Taostats_CSV!H711+Taostats_CSV!R711=0)</f>
        <v>0</v>
      </c>
      <c r="T711" t="b">
        <f t="shared" si="83"/>
        <v>1</v>
      </c>
      <c r="U711" t="b" cm="1">
        <f t="array" aca="1" ref="U711" ca="1">AND(T711,OR(O711-N711&gt;1,P711&gt;1,ISERROR(A711:P711)))</f>
        <v>0</v>
      </c>
      <c r="W711" t="e">
        <f>MATCH(K711&amp;$W$2,Taostats_CSV!$X$3:$X$1167,0)</f>
        <v>#N/A</v>
      </c>
      <c r="X711" t="e">
        <f t="shared" ca="1" si="78"/>
        <v>#VALUE!</v>
      </c>
      <c r="Y711">
        <f t="shared" ca="1" si="79"/>
        <v>0.41692706899999998</v>
      </c>
      <c r="Z711" t="e">
        <f t="shared" ca="1" si="80"/>
        <v>#VALUE!</v>
      </c>
    </row>
    <row r="712" spans="1:26" x14ac:dyDescent="0.4">
      <c r="A712" t="str">
        <f>MID(Taostats_CSV!C712,6,2)&amp;"/"&amp;MID(Taostats_CSV!C712,9,2)&amp;"/"&amp;LEFT(Taostats_CSV!C712,4)&amp;" "&amp;MID(Taostats_CSV!C712,12,8)</f>
        <v>07/31/2025 23:59:48</v>
      </c>
      <c r="C712" t="str">
        <f ca="1">IF(Q712,OFFSET(Taostats_CSV!$E$1,MATCH(K712&amp;D$1,Taostats_CSV!$X:$X,0)-1,0),IF(Taostats_CSV!F712="fee",IF(VALUE(Taostats_CSV!G712)&gt;0,Taostats_CSV!E712,""),""))</f>
        <v/>
      </c>
      <c r="D712" t="str">
        <f ca="1">IF(Q712,OFFSET(Taostats_CSV!$G$1,MATCH(K712&amp;D$1,Taostats_CSV!$X:$X,0)-1,0),IF(Taostats_CSV!F712="fee",IF(VALUE(Taostats_CSV!G712)&gt;0,Taostats_CSV!G712,""),""))</f>
        <v/>
      </c>
      <c r="E712" t="str">
        <f ca="1">IF(AND(Q712,P712&gt;0),OFFSET(Taostats_CSV!$E$1,MATCH(K712&amp;F$1,Taostats_CSV!$X:$X,0)-1,0),IF(LEN(F712)&gt;0,Taostats_CSV!E712,""))</f>
        <v>SN56</v>
      </c>
      <c r="F712" t="str">
        <f ca="1">TRIM(IF(AND(Q712,P712&gt;0),OFFSET(Taostats_CSV!$H$1,MATCH(K712&amp;F$1,Taostats_CSV!$X:$X,0)-1,0),IF(LEN(Taostats_CSV!H712)&gt;0,Taostats_CSV!H712,Taostats_CSV!R712)))</f>
        <v>0.255873864</v>
      </c>
      <c r="G712" t="str">
        <f ca="1">IF(AND(Q712,N712=1),OFFSET(Taostats_CSV!$E$1,MATCH(K712&amp;H$1,Taostats_CSV!$X:$X,0)-1,0),"")</f>
        <v/>
      </c>
      <c r="H712" t="str">
        <f ca="1">IF(AND(Q712,N712=1),OFFSET(Taostats_CSV!$G$1,MATCH(K712&amp;H$1,Taostats_CSV!$X:$X,0)-1,0),"")</f>
        <v/>
      </c>
      <c r="I712" t="str">
        <f ca="1">IF(AND(LEN(K712)=0,LEN(F712)&gt;0),"Income",IF(AND(O712&gt;0,P712&gt;0,C712&lt;&gt;E712),"Trade",IF(AND(NOT(Q712),Taostats_CSV!F712="fee"),'READ ME'!$C$5,"")))</f>
        <v>Income</v>
      </c>
      <c r="J712" t="str">
        <f ca="1">SUBSTITUTE(IF(LEN(I712)=0,Taostats_CSV!F712&amp;" "&amp;Taostats_CSV!J712,IF(I712="Cost","Extrinsic fee","")),"_"," ")</f>
        <v/>
      </c>
      <c r="K712" t="str">
        <f>TRIM(IF(LEN(Taostats_CSV!I712)&gt;0,Taostats_CSV!I712,""))</f>
        <v/>
      </c>
      <c r="L712">
        <f ca="1">IF(Taostats_CSV!E712&lt;&gt;"TAO",IF(LEN(F712)&gt;0,F712,IF(LEN(D712)&gt;0,D712,0))*Taostats_CSV!P712,"")</f>
        <v>4.5469962779490647</v>
      </c>
      <c r="M712" t="str">
        <f t="shared" ca="1" si="81"/>
        <v>USD</v>
      </c>
      <c r="N712">
        <f>COUNTIF(Taostats_CSV!$X:$X,Taostats_CSV!$I712&amp;N$1)</f>
        <v>0</v>
      </c>
      <c r="O712">
        <f>COUNTIF(Taostats_CSV!$X:$X,Taostats_CSV!$I712&amp;O$1)</f>
        <v>0</v>
      </c>
      <c r="P712">
        <f>COUNTIF(Taostats_CSV!$X:$X,Taostats_CSV!$I712&amp;P$1)</f>
        <v>0</v>
      </c>
      <c r="Q712" t="b">
        <f t="shared" si="82"/>
        <v>0</v>
      </c>
      <c r="R712" t="b">
        <f>IF(LEN(K712)&gt;0,COUNTIF($K$3:K712,K712),FALSE)</f>
        <v>0</v>
      </c>
      <c r="S712" t="b">
        <f>IF(Taostats_CSV!A712=Taostats_CSV!$A$2,TRUE,Taostats_CSV!G712+Taostats_CSV!H712+Taostats_CSV!R712=0)</f>
        <v>0</v>
      </c>
      <c r="T712" t="b">
        <f t="shared" si="83"/>
        <v>1</v>
      </c>
      <c r="U712" t="b" cm="1">
        <f t="array" aca="1" ref="U712" ca="1">AND(T712,OR(O712-N712&gt;1,P712&gt;1,ISERROR(A712:P712)))</f>
        <v>0</v>
      </c>
      <c r="W712" t="e">
        <f>MATCH(K712&amp;$W$2,Taostats_CSV!$X$3:$X$1167,0)</f>
        <v>#N/A</v>
      </c>
      <c r="X712" t="e">
        <f t="shared" ca="1" si="78"/>
        <v>#VALUE!</v>
      </c>
      <c r="Y712">
        <f t="shared" ca="1" si="79"/>
        <v>0.25587386400000001</v>
      </c>
      <c r="Z712" t="e">
        <f t="shared" ca="1" si="80"/>
        <v>#VALUE!</v>
      </c>
    </row>
    <row r="713" spans="1:26" x14ac:dyDescent="0.4">
      <c r="A713" t="str">
        <f>MID(Taostats_CSV!C713,6,2)&amp;"/"&amp;MID(Taostats_CSV!C713,9,2)&amp;"/"&amp;LEFT(Taostats_CSV!C713,4)&amp;" "&amp;MID(Taostats_CSV!C713,12,8)</f>
        <v>07/31/2025 23:59:48</v>
      </c>
      <c r="C713" t="str">
        <f ca="1">IF(Q713,OFFSET(Taostats_CSV!$E$1,MATCH(K713&amp;D$1,Taostats_CSV!$X:$X,0)-1,0),IF(Taostats_CSV!F713="fee",IF(VALUE(Taostats_CSV!G713)&gt;0,Taostats_CSV!E713,""),""))</f>
        <v/>
      </c>
      <c r="D713" t="str">
        <f ca="1">IF(Q713,OFFSET(Taostats_CSV!$G$1,MATCH(K713&amp;D$1,Taostats_CSV!$X:$X,0)-1,0),IF(Taostats_CSV!F713="fee",IF(VALUE(Taostats_CSV!G713)&gt;0,Taostats_CSV!G713,""),""))</f>
        <v/>
      </c>
      <c r="E713" t="str">
        <f ca="1">IF(AND(Q713,P713&gt;0),OFFSET(Taostats_CSV!$E$1,MATCH(K713&amp;F$1,Taostats_CSV!$X:$X,0)-1,0),IF(LEN(F713)&gt;0,Taostats_CSV!E713,""))</f>
        <v>SN64</v>
      </c>
      <c r="F713" t="str">
        <f ca="1">TRIM(IF(AND(Q713,P713&gt;0),OFFSET(Taostats_CSV!$H$1,MATCH(K713&amp;F$1,Taostats_CSV!$X:$X,0)-1,0),IF(LEN(Taostats_CSV!H713)&gt;0,Taostats_CSV!H713,Taostats_CSV!R713)))</f>
        <v>0.144061136</v>
      </c>
      <c r="G713" t="str">
        <f ca="1">IF(AND(Q713,N713=1),OFFSET(Taostats_CSV!$E$1,MATCH(K713&amp;H$1,Taostats_CSV!$X:$X,0)-1,0),"")</f>
        <v/>
      </c>
      <c r="H713" t="str">
        <f ca="1">IF(AND(Q713,N713=1),OFFSET(Taostats_CSV!$G$1,MATCH(K713&amp;H$1,Taostats_CSV!$X:$X,0)-1,0),"")</f>
        <v/>
      </c>
      <c r="I713" t="str">
        <f ca="1">IF(AND(LEN(K713)=0,LEN(F713)&gt;0),"Income",IF(AND(O713&gt;0,P713&gt;0,C713&lt;&gt;E713),"Trade",IF(AND(NOT(Q713),Taostats_CSV!F713="fee"),'READ ME'!$C$5,"")))</f>
        <v>Income</v>
      </c>
      <c r="J713" t="str">
        <f ca="1">SUBSTITUTE(IF(LEN(I713)=0,Taostats_CSV!F713&amp;" "&amp;Taostats_CSV!J713,IF(I713="Cost","Extrinsic fee","")),"_"," ")</f>
        <v/>
      </c>
      <c r="K713" t="str">
        <f>TRIM(IF(LEN(Taostats_CSV!I713)&gt;0,Taostats_CSV!I713,""))</f>
        <v/>
      </c>
      <c r="L713">
        <f ca="1">IF(Taostats_CSV!E713&lt;&gt;"TAO",IF(LEN(F713)&gt;0,F713,IF(LEN(D713)&gt;0,D713,0))*Taostats_CSV!P713,"")</f>
        <v>6.5167828973247026</v>
      </c>
      <c r="M713" t="str">
        <f t="shared" ca="1" si="81"/>
        <v>USD</v>
      </c>
      <c r="N713">
        <f>COUNTIF(Taostats_CSV!$X:$X,Taostats_CSV!$I713&amp;N$1)</f>
        <v>0</v>
      </c>
      <c r="O713">
        <f>COUNTIF(Taostats_CSV!$X:$X,Taostats_CSV!$I713&amp;O$1)</f>
        <v>0</v>
      </c>
      <c r="P713">
        <f>COUNTIF(Taostats_CSV!$X:$X,Taostats_CSV!$I713&amp;P$1)</f>
        <v>0</v>
      </c>
      <c r="Q713" t="b">
        <f t="shared" si="82"/>
        <v>0</v>
      </c>
      <c r="R713" t="b">
        <f>IF(LEN(K713)&gt;0,COUNTIF($K$3:K713,K713),FALSE)</f>
        <v>0</v>
      </c>
      <c r="S713" t="b">
        <f>IF(Taostats_CSV!A713=Taostats_CSV!$A$2,TRUE,Taostats_CSV!G713+Taostats_CSV!H713+Taostats_CSV!R713=0)</f>
        <v>0</v>
      </c>
      <c r="T713" t="b">
        <f t="shared" si="83"/>
        <v>1</v>
      </c>
      <c r="U713" t="b" cm="1">
        <f t="array" aca="1" ref="U713" ca="1">AND(T713,OR(O713-N713&gt;1,P713&gt;1,ISERROR(A713:P713)))</f>
        <v>0</v>
      </c>
      <c r="W713" t="e">
        <f>MATCH(K713&amp;$W$2,Taostats_CSV!$X$3:$X$1167,0)</f>
        <v>#N/A</v>
      </c>
      <c r="X713" t="e">
        <f t="shared" ca="1" si="78"/>
        <v>#VALUE!</v>
      </c>
      <c r="Y713">
        <f t="shared" ca="1" si="79"/>
        <v>0.14406113600000001</v>
      </c>
      <c r="Z713" t="e">
        <f t="shared" ca="1" si="80"/>
        <v>#VALUE!</v>
      </c>
    </row>
    <row r="714" spans="1:26" hidden="1" x14ac:dyDescent="0.4">
      <c r="A714" t="str">
        <f>MID(Taostats_CSV!C714,6,2)&amp;"/"&amp;MID(Taostats_CSV!C714,9,2)&amp;"/"&amp;LEFT(Taostats_CSV!C714,4)&amp;" "&amp;MID(Taostats_CSV!C714,12,8)</f>
        <v>07/31/2025 23:59:48</v>
      </c>
      <c r="C714" t="str">
        <f ca="1">IF(Q714,OFFSET(Taostats_CSV!$E$1,MATCH(K714&amp;D$1,Taostats_CSV!$X:$X,0)-1,0),IF(Taostats_CSV!F714="fee","",IF(VALUE(Taostats_CSV!G714)&gt;0,Taostats_CSV!E714,"")))</f>
        <v/>
      </c>
      <c r="D714" t="str">
        <f ca="1">IF(Q714,OFFSET(Taostats_CSV!$G$1,MATCH(K714&amp;D$1,Taostats_CSV!$X:$X,0)-1,0),IF(Taostats_CSV!F714="fee","",IF(VALUE(Taostats_CSV!G714)&gt;0,Taostats_CSV!G714,"")))</f>
        <v/>
      </c>
      <c r="E714" t="str">
        <f ca="1">IF(AND(Q714,P714&gt;0),OFFSET(Taostats_CSV!$E$1,MATCH(K714&amp;F$1,Taostats_CSV!$X:$X,0)-1,0),IF(LEN(F714)&gt;0,Taostats_CSV!E714,""))</f>
        <v>TAO</v>
      </c>
      <c r="F714" t="str">
        <f ca="1">TRIM(IF(AND(Q714,P714&gt;0),OFFSET(Taostats_CSV!$H$1,MATCH(K714&amp;F$1,Taostats_CSV!$X:$X,0)-1,0),IF(LEN(Taostats_CSV!H714)&gt;0,Taostats_CSV!H714,Taostats_CSV!R714)))</f>
        <v>0</v>
      </c>
      <c r="G714" t="str">
        <f ca="1">IF(AND(Q714,N714=1),OFFSET(Taostats_CSV!$E$1,MATCH(K714&amp;H$1,Taostats_CSV!$X:$X,0)-1,0),IF(Taostats_CSV!F714="fee",Taostats_CSV!E714,""))</f>
        <v/>
      </c>
      <c r="H714" t="str">
        <f ca="1">IF(AND(Q714,N714=1),OFFSET(Taostats_CSV!$G$1,MATCH(K714&amp;H$1,Taostats_CSV!$X:$X,0)-1,0),IF(Taostats_CSV!F714="fee",Taostats_CSV!G714,""))</f>
        <v/>
      </c>
      <c r="I714" t="str">
        <f ca="1">IF(AND(LEN(K714)=0,LEN(F714)&gt;0),"Income",IF(AND(O714&gt;0,P714&gt;0,C714&lt;&gt;E714),"Trade",IF(AND(NOT(Q714),Taostats_CSV!F714="fee"),'READ ME'!$C$5,"")))</f>
        <v>Income</v>
      </c>
      <c r="J714" t="str">
        <f ca="1">SUBSTITUTE(IF(LEN(I714)=0,Taostats_CSV!F714&amp;" "&amp;Taostats_CSV!J714,IF(I714="Cost","Extrinsic fee","")),"_"," ")</f>
        <v/>
      </c>
      <c r="K714" t="str">
        <f>TRIM(IF(LEN(Taostats_CSV!I714)&gt;0,Taostats_CSV!I714,""))</f>
        <v/>
      </c>
      <c r="L714" t="str">
        <f>IF(Taostats_CSV!E714&lt;&gt;"TAO",IF(LEN(F714)&gt;0,F714,IF(LEN(D714)&gt;0,D714,0))*Taostats_CSV!P714,"")</f>
        <v/>
      </c>
      <c r="M714" t="str">
        <f t="shared" si="81"/>
        <v/>
      </c>
      <c r="N714">
        <f>COUNTIF(Taostats_CSV!$X:$X,Taostats_CSV!$I714&amp;N$1)</f>
        <v>0</v>
      </c>
      <c r="O714">
        <f>COUNTIF(Taostats_CSV!$X:$X,Taostats_CSV!$I714&amp;O$1)</f>
        <v>0</v>
      </c>
      <c r="P714">
        <f>COUNTIF(Taostats_CSV!$X:$X,Taostats_CSV!$I714&amp;P$1)</f>
        <v>0</v>
      </c>
      <c r="Q714" t="b">
        <f t="shared" si="82"/>
        <v>0</v>
      </c>
      <c r="R714" t="b">
        <f>IF(LEN(K714)&gt;0,COUNTIF($K$3:K714,K714),FALSE)</f>
        <v>0</v>
      </c>
      <c r="S714" t="b">
        <f>IF(Taostats_CSV!A714=Taostats_CSV!$A$2,TRUE,Taostats_CSV!G714+Taostats_CSV!H714+Taostats_CSV!R714=0)</f>
        <v>1</v>
      </c>
      <c r="T714" t="b">
        <f t="shared" si="83"/>
        <v>0</v>
      </c>
      <c r="U714" t="b" cm="1">
        <f t="array" aca="1" ref="U714" ca="1">AND(T714,OR(O714-N714&gt;1,P714&gt;1,ISERROR(A714:P714)))</f>
        <v>0</v>
      </c>
      <c r="W714" t="e">
        <f>MATCH(K714&amp;$W$2,Taostats_CSV!$X$3:$X$1167,0)</f>
        <v>#N/A</v>
      </c>
      <c r="X714" t="e">
        <f t="shared" ca="1" si="78"/>
        <v>#VALUE!</v>
      </c>
      <c r="Y714">
        <f t="shared" ca="1" si="79"/>
        <v>0</v>
      </c>
      <c r="Z714" t="e">
        <f t="shared" ca="1" si="80"/>
        <v>#VALUE!</v>
      </c>
    </row>
    <row r="715" spans="1:26" x14ac:dyDescent="0.4">
      <c r="A715" t="str">
        <f>MID(Taostats_CSV!C715,6,2)&amp;"/"&amp;MID(Taostats_CSV!C715,9,2)&amp;"/"&amp;LEFT(Taostats_CSV!C715,4)&amp;" "&amp;MID(Taostats_CSV!C715,12,8)</f>
        <v>08/01/2025 23:59:48</v>
      </c>
      <c r="C715" t="str">
        <f ca="1">IF(Q715,OFFSET(Taostats_CSV!$E$1,MATCH(K715&amp;D$1,Taostats_CSV!$X:$X,0)-1,0),IF(Taostats_CSV!F715="fee",IF(VALUE(Taostats_CSV!G715)&gt;0,Taostats_CSV!E715,""),""))</f>
        <v/>
      </c>
      <c r="D715" t="str">
        <f ca="1">IF(Q715,OFFSET(Taostats_CSV!$G$1,MATCH(K715&amp;D$1,Taostats_CSV!$X:$X,0)-1,0),IF(Taostats_CSV!F715="fee",IF(VALUE(Taostats_CSV!G715)&gt;0,Taostats_CSV!G715,""),""))</f>
        <v/>
      </c>
      <c r="E715" t="str">
        <f ca="1">IF(AND(Q715,P715&gt;0),OFFSET(Taostats_CSV!$E$1,MATCH(K715&amp;F$1,Taostats_CSV!$X:$X,0)-1,0),IF(LEN(F715)&gt;0,Taostats_CSV!E715,""))</f>
        <v>SN3</v>
      </c>
      <c r="F715" t="str">
        <f ca="1">TRIM(IF(AND(Q715,P715&gt;0),OFFSET(Taostats_CSV!$H$1,MATCH(K715&amp;F$1,Taostats_CSV!$X:$X,0)-1,0),IF(LEN(Taostats_CSV!H715)&gt;0,Taostats_CSV!H715,Taostats_CSV!R715)))</f>
        <v>0.405436288</v>
      </c>
      <c r="G715" t="str">
        <f ca="1">IF(AND(Q715,N715=1),OFFSET(Taostats_CSV!$E$1,MATCH(K715&amp;H$1,Taostats_CSV!$X:$X,0)-1,0),"")</f>
        <v/>
      </c>
      <c r="H715" t="str">
        <f ca="1">IF(AND(Q715,N715=1),OFFSET(Taostats_CSV!$G$1,MATCH(K715&amp;H$1,Taostats_CSV!$X:$X,0)-1,0),"")</f>
        <v/>
      </c>
      <c r="I715" t="str">
        <f ca="1">IF(AND(LEN(K715)=0,LEN(F715)&gt;0),"Income",IF(AND(O715&gt;0,P715&gt;0,C715&lt;&gt;E715),"Trade",IF(AND(NOT(Q715),Taostats_CSV!F715="fee"),'READ ME'!$C$5,"")))</f>
        <v>Income</v>
      </c>
      <c r="J715" t="str">
        <f ca="1">SUBSTITUTE(IF(LEN(I715)=0,Taostats_CSV!F715&amp;" "&amp;Taostats_CSV!J715,IF(I715="Cost","Extrinsic fee","")),"_"," ")</f>
        <v/>
      </c>
      <c r="K715" t="str">
        <f>TRIM(IF(LEN(Taostats_CSV!I715)&gt;0,Taostats_CSV!I715,""))</f>
        <v/>
      </c>
      <c r="L715">
        <f ca="1">IF(Taostats_CSV!E715&lt;&gt;"TAO",IF(LEN(F715)&gt;0,F715,IF(LEN(D715)&gt;0,D715,0))*Taostats_CSV!P715,"")</f>
        <v>7.8127510038415</v>
      </c>
      <c r="M715" t="str">
        <f t="shared" ca="1" si="81"/>
        <v>USD</v>
      </c>
      <c r="N715">
        <f>COUNTIF(Taostats_CSV!$X:$X,Taostats_CSV!$I715&amp;N$1)</f>
        <v>0</v>
      </c>
      <c r="O715">
        <f>COUNTIF(Taostats_CSV!$X:$X,Taostats_CSV!$I715&amp;O$1)</f>
        <v>0</v>
      </c>
      <c r="P715">
        <f>COUNTIF(Taostats_CSV!$X:$X,Taostats_CSV!$I715&amp;P$1)</f>
        <v>0</v>
      </c>
      <c r="Q715" t="b">
        <f t="shared" si="82"/>
        <v>0</v>
      </c>
      <c r="R715" t="b">
        <f>IF(LEN(K715)&gt;0,COUNTIF($K$3:K715,K715),FALSE)</f>
        <v>0</v>
      </c>
      <c r="S715" t="b">
        <f>IF(Taostats_CSV!A715=Taostats_CSV!$A$2,TRUE,Taostats_CSV!G715+Taostats_CSV!H715+Taostats_CSV!R715=0)</f>
        <v>0</v>
      </c>
      <c r="T715" t="b">
        <f t="shared" si="83"/>
        <v>1</v>
      </c>
      <c r="U715" t="b" cm="1">
        <f t="array" aca="1" ref="U715" ca="1">AND(T715,OR(O715-N715&gt;1,P715&gt;1,ISERROR(A715:P715)))</f>
        <v>0</v>
      </c>
      <c r="W715" t="e">
        <f>MATCH(K715&amp;$W$2,Taostats_CSV!$X$3:$X$1167,0)</f>
        <v>#N/A</v>
      </c>
      <c r="X715" t="e">
        <f t="shared" ca="1" si="78"/>
        <v>#VALUE!</v>
      </c>
      <c r="Y715">
        <f t="shared" ca="1" si="79"/>
        <v>0.40543628799999998</v>
      </c>
      <c r="Z715" t="e">
        <f t="shared" ca="1" si="80"/>
        <v>#VALUE!</v>
      </c>
    </row>
    <row r="716" spans="1:26" x14ac:dyDescent="0.4">
      <c r="A716" t="str">
        <f>MID(Taostats_CSV!C716,6,2)&amp;"/"&amp;MID(Taostats_CSV!C716,9,2)&amp;"/"&amp;LEFT(Taostats_CSV!C716,4)&amp;" "&amp;MID(Taostats_CSV!C716,12,8)</f>
        <v>08/01/2025 23:59:48</v>
      </c>
      <c r="C716" t="str">
        <f ca="1">IF(Q716,OFFSET(Taostats_CSV!$E$1,MATCH(K716&amp;D$1,Taostats_CSV!$X:$X,0)-1,0),IF(Taostats_CSV!F716="fee",IF(VALUE(Taostats_CSV!G716)&gt;0,Taostats_CSV!E716,""),""))</f>
        <v/>
      </c>
      <c r="D716" t="str">
        <f ca="1">IF(Q716,OFFSET(Taostats_CSV!$G$1,MATCH(K716&amp;D$1,Taostats_CSV!$X:$X,0)-1,0),IF(Taostats_CSV!F716="fee",IF(VALUE(Taostats_CSV!G716)&gt;0,Taostats_CSV!G716,""),""))</f>
        <v/>
      </c>
      <c r="E716" t="str">
        <f ca="1">IF(AND(Q716,P716&gt;0),OFFSET(Taostats_CSV!$E$1,MATCH(K716&amp;F$1,Taostats_CSV!$X:$X,0)-1,0),IF(LEN(F716)&gt;0,Taostats_CSV!E716,""))</f>
        <v>SN4</v>
      </c>
      <c r="F716" t="str">
        <f ca="1">TRIM(IF(AND(Q716,P716&gt;0),OFFSET(Taostats_CSV!$H$1,MATCH(K716&amp;F$1,Taostats_CSV!$X:$X,0)-1,0),IF(LEN(Taostats_CSV!H716)&gt;0,Taostats_CSV!H716,Taostats_CSV!R716)))</f>
        <v>0.422010954</v>
      </c>
      <c r="G716" t="str">
        <f ca="1">IF(AND(Q716,N716=1),OFFSET(Taostats_CSV!$E$1,MATCH(K716&amp;H$1,Taostats_CSV!$X:$X,0)-1,0),"")</f>
        <v/>
      </c>
      <c r="H716" t="str">
        <f ca="1">IF(AND(Q716,N716=1),OFFSET(Taostats_CSV!$G$1,MATCH(K716&amp;H$1,Taostats_CSV!$X:$X,0)-1,0),"")</f>
        <v/>
      </c>
      <c r="I716" t="str">
        <f ca="1">IF(AND(LEN(K716)=0,LEN(F716)&gt;0),"Income",IF(AND(O716&gt;0,P716&gt;0,C716&lt;&gt;E716),"Trade",IF(AND(NOT(Q716),Taostats_CSV!F716="fee"),'READ ME'!$C$5,"")))</f>
        <v>Income</v>
      </c>
      <c r="J716" t="str">
        <f ca="1">SUBSTITUTE(IF(LEN(I716)=0,Taostats_CSV!F716&amp;" "&amp;Taostats_CSV!J716,IF(I716="Cost","Extrinsic fee","")),"_"," ")</f>
        <v/>
      </c>
      <c r="K716" t="str">
        <f>TRIM(IF(LEN(Taostats_CSV!I716)&gt;0,Taostats_CSV!I716,""))</f>
        <v/>
      </c>
      <c r="L716">
        <f ca="1">IF(Taostats_CSV!E716&lt;&gt;"TAO",IF(LEN(F716)&gt;0,F716,IF(LEN(D716)&gt;0,D716,0))*Taostats_CSV!P716,"")</f>
        <v>8.6540282431053264</v>
      </c>
      <c r="M716" t="str">
        <f t="shared" ca="1" si="81"/>
        <v>USD</v>
      </c>
      <c r="N716">
        <f>COUNTIF(Taostats_CSV!$X:$X,Taostats_CSV!$I716&amp;N$1)</f>
        <v>0</v>
      </c>
      <c r="O716">
        <f>COUNTIF(Taostats_CSV!$X:$X,Taostats_CSV!$I716&amp;O$1)</f>
        <v>0</v>
      </c>
      <c r="P716">
        <f>COUNTIF(Taostats_CSV!$X:$X,Taostats_CSV!$I716&amp;P$1)</f>
        <v>0</v>
      </c>
      <c r="Q716" t="b">
        <f t="shared" si="82"/>
        <v>0</v>
      </c>
      <c r="R716" t="b">
        <f>IF(LEN(K716)&gt;0,COUNTIF($K$3:K716,K716),FALSE)</f>
        <v>0</v>
      </c>
      <c r="S716" t="b">
        <f>IF(Taostats_CSV!A716=Taostats_CSV!$A$2,TRUE,Taostats_CSV!G716+Taostats_CSV!H716+Taostats_CSV!R716=0)</f>
        <v>0</v>
      </c>
      <c r="T716" t="b">
        <f t="shared" si="83"/>
        <v>1</v>
      </c>
      <c r="U716" t="b" cm="1">
        <f t="array" aca="1" ref="U716" ca="1">AND(T716,OR(O716-N716&gt;1,P716&gt;1,ISERROR(A716:P716)))</f>
        <v>0</v>
      </c>
      <c r="W716" t="e">
        <f>MATCH(K716&amp;$W$2,Taostats_CSV!$X$3:$X$1167,0)</f>
        <v>#N/A</v>
      </c>
      <c r="X716" t="e">
        <f t="shared" ca="1" si="78"/>
        <v>#VALUE!</v>
      </c>
      <c r="Y716">
        <f t="shared" ca="1" si="79"/>
        <v>0.42201095399999999</v>
      </c>
      <c r="Z716" t="e">
        <f t="shared" ca="1" si="80"/>
        <v>#VALUE!</v>
      </c>
    </row>
    <row r="717" spans="1:26" x14ac:dyDescent="0.4">
      <c r="A717" t="str">
        <f>MID(Taostats_CSV!C717,6,2)&amp;"/"&amp;MID(Taostats_CSV!C717,9,2)&amp;"/"&amp;LEFT(Taostats_CSV!C717,4)&amp;" "&amp;MID(Taostats_CSV!C717,12,8)</f>
        <v>08/01/2025 23:59:48</v>
      </c>
      <c r="C717" t="str">
        <f ca="1">IF(Q717,OFFSET(Taostats_CSV!$E$1,MATCH(K717&amp;D$1,Taostats_CSV!$X:$X,0)-1,0),IF(Taostats_CSV!F717="fee",IF(VALUE(Taostats_CSV!G717)&gt;0,Taostats_CSV!E717,""),""))</f>
        <v/>
      </c>
      <c r="D717" t="str">
        <f ca="1">IF(Q717,OFFSET(Taostats_CSV!$G$1,MATCH(K717&amp;D$1,Taostats_CSV!$X:$X,0)-1,0),IF(Taostats_CSV!F717="fee",IF(VALUE(Taostats_CSV!G717)&gt;0,Taostats_CSV!G717,""),""))</f>
        <v/>
      </c>
      <c r="E717" t="str">
        <f ca="1">IF(AND(Q717,P717&gt;0),OFFSET(Taostats_CSV!$E$1,MATCH(K717&amp;F$1,Taostats_CSV!$X:$X,0)-1,0),IF(LEN(F717)&gt;0,Taostats_CSV!E717,""))</f>
        <v>SN56</v>
      </c>
      <c r="F717" t="str">
        <f ca="1">TRIM(IF(AND(Q717,P717&gt;0),OFFSET(Taostats_CSV!$H$1,MATCH(K717&amp;F$1,Taostats_CSV!$X:$X,0)-1,0),IF(LEN(Taostats_CSV!H717)&gt;0,Taostats_CSV!H717,Taostats_CSV!R717)))</f>
        <v>0.256903267</v>
      </c>
      <c r="G717" t="str">
        <f ca="1">IF(AND(Q717,N717=1),OFFSET(Taostats_CSV!$E$1,MATCH(K717&amp;H$1,Taostats_CSV!$X:$X,0)-1,0),"")</f>
        <v/>
      </c>
      <c r="H717" t="str">
        <f ca="1">IF(AND(Q717,N717=1),OFFSET(Taostats_CSV!$G$1,MATCH(K717&amp;H$1,Taostats_CSV!$X:$X,0)-1,0),"")</f>
        <v/>
      </c>
      <c r="I717" t="str">
        <f ca="1">IF(AND(LEN(K717)=0,LEN(F717)&gt;0),"Income",IF(AND(O717&gt;0,P717&gt;0,C717&lt;&gt;E717),"Trade",IF(AND(NOT(Q717),Taostats_CSV!F717="fee"),'READ ME'!$C$5,"")))</f>
        <v>Income</v>
      </c>
      <c r="J717" t="str">
        <f ca="1">SUBSTITUTE(IF(LEN(I717)=0,Taostats_CSV!F717&amp;" "&amp;Taostats_CSV!J717,IF(I717="Cost","Extrinsic fee","")),"_"," ")</f>
        <v/>
      </c>
      <c r="K717" t="str">
        <f>TRIM(IF(LEN(Taostats_CSV!I717)&gt;0,Taostats_CSV!I717,""))</f>
        <v/>
      </c>
      <c r="L717">
        <f ca="1">IF(Taostats_CSV!E717&lt;&gt;"TAO",IF(LEN(F717)&gt;0,F717,IF(LEN(D717)&gt;0,D717,0))*Taostats_CSV!P717,"")</f>
        <v>4.3072130165359397</v>
      </c>
      <c r="M717" t="str">
        <f t="shared" ca="1" si="81"/>
        <v>USD</v>
      </c>
      <c r="N717">
        <f>COUNTIF(Taostats_CSV!$X:$X,Taostats_CSV!$I717&amp;N$1)</f>
        <v>0</v>
      </c>
      <c r="O717">
        <f>COUNTIF(Taostats_CSV!$X:$X,Taostats_CSV!$I717&amp;O$1)</f>
        <v>0</v>
      </c>
      <c r="P717">
        <f>COUNTIF(Taostats_CSV!$X:$X,Taostats_CSV!$I717&amp;P$1)</f>
        <v>0</v>
      </c>
      <c r="Q717" t="b">
        <f t="shared" si="82"/>
        <v>0</v>
      </c>
      <c r="R717" t="b">
        <f>IF(LEN(K717)&gt;0,COUNTIF($K$3:K717,K717),FALSE)</f>
        <v>0</v>
      </c>
      <c r="S717" t="b">
        <f>IF(Taostats_CSV!A717=Taostats_CSV!$A$2,TRUE,Taostats_CSV!G717+Taostats_CSV!H717+Taostats_CSV!R717=0)</f>
        <v>0</v>
      </c>
      <c r="T717" t="b">
        <f t="shared" si="83"/>
        <v>1</v>
      </c>
      <c r="U717" t="b" cm="1">
        <f t="array" aca="1" ref="U717" ca="1">AND(T717,OR(O717-N717&gt;1,P717&gt;1,ISERROR(A717:P717)))</f>
        <v>0</v>
      </c>
      <c r="W717" t="e">
        <f>MATCH(K717&amp;$W$2,Taostats_CSV!$X$3:$X$1167,0)</f>
        <v>#N/A</v>
      </c>
      <c r="X717" t="e">
        <f t="shared" ca="1" si="78"/>
        <v>#VALUE!</v>
      </c>
      <c r="Y717">
        <f t="shared" ca="1" si="79"/>
        <v>0.25690326699999999</v>
      </c>
      <c r="Z717" t="e">
        <f t="shared" ca="1" si="80"/>
        <v>#VALUE!</v>
      </c>
    </row>
    <row r="718" spans="1:26" x14ac:dyDescent="0.4">
      <c r="A718" t="str">
        <f>MID(Taostats_CSV!C718,6,2)&amp;"/"&amp;MID(Taostats_CSV!C718,9,2)&amp;"/"&amp;LEFT(Taostats_CSV!C718,4)&amp;" "&amp;MID(Taostats_CSV!C718,12,8)</f>
        <v>08/01/2025 23:59:48</v>
      </c>
      <c r="C718" t="str">
        <f ca="1">IF(Q718,OFFSET(Taostats_CSV!$E$1,MATCH(K718&amp;D$1,Taostats_CSV!$X:$X,0)-1,0),IF(Taostats_CSV!F718="fee",IF(VALUE(Taostats_CSV!G718)&gt;0,Taostats_CSV!E718,""),""))</f>
        <v/>
      </c>
      <c r="D718" t="str">
        <f ca="1">IF(Q718,OFFSET(Taostats_CSV!$G$1,MATCH(K718&amp;D$1,Taostats_CSV!$X:$X,0)-1,0),IF(Taostats_CSV!F718="fee",IF(VALUE(Taostats_CSV!G718)&gt;0,Taostats_CSV!G718,""),""))</f>
        <v/>
      </c>
      <c r="E718" t="str">
        <f ca="1">IF(AND(Q718,P718&gt;0),OFFSET(Taostats_CSV!$E$1,MATCH(K718&amp;F$1,Taostats_CSV!$X:$X,0)-1,0),IF(LEN(F718)&gt;0,Taostats_CSV!E718,""))</f>
        <v>SN64</v>
      </c>
      <c r="F718" t="str">
        <f ca="1">TRIM(IF(AND(Q718,P718&gt;0),OFFSET(Taostats_CSV!$H$1,MATCH(K718&amp;F$1,Taostats_CSV!$X:$X,0)-1,0),IF(LEN(Taostats_CSV!H718)&gt;0,Taostats_CSV!H718,Taostats_CSV!R718)))</f>
        <v>0.144548617</v>
      </c>
      <c r="G718" t="str">
        <f ca="1">IF(AND(Q718,N718=1),OFFSET(Taostats_CSV!$E$1,MATCH(K718&amp;H$1,Taostats_CSV!$X:$X,0)-1,0),"")</f>
        <v/>
      </c>
      <c r="H718" t="str">
        <f ca="1">IF(AND(Q718,N718=1),OFFSET(Taostats_CSV!$G$1,MATCH(K718&amp;H$1,Taostats_CSV!$X:$X,0)-1,0),"")</f>
        <v/>
      </c>
      <c r="I718" t="str">
        <f ca="1">IF(AND(LEN(K718)=0,LEN(F718)&gt;0),"Income",IF(AND(O718&gt;0,P718&gt;0,C718&lt;&gt;E718),"Trade",IF(AND(NOT(Q718),Taostats_CSV!F718="fee"),'READ ME'!$C$5,"")))</f>
        <v>Income</v>
      </c>
      <c r="J718" t="str">
        <f ca="1">SUBSTITUTE(IF(LEN(I718)=0,Taostats_CSV!F718&amp;" "&amp;Taostats_CSV!J718,IF(I718="Cost","Extrinsic fee","")),"_"," ")</f>
        <v/>
      </c>
      <c r="K718" t="str">
        <f>TRIM(IF(LEN(Taostats_CSV!I718)&gt;0,Taostats_CSV!I718,""))</f>
        <v/>
      </c>
      <c r="L718">
        <f ca="1">IF(Taostats_CSV!E718&lt;&gt;"TAO",IF(LEN(F718)&gt;0,F718,IF(LEN(D718)&gt;0,D718,0))*Taostats_CSV!P718,"")</f>
        <v>6.2978189608326893</v>
      </c>
      <c r="M718" t="str">
        <f t="shared" ca="1" si="81"/>
        <v>USD</v>
      </c>
      <c r="N718">
        <f>COUNTIF(Taostats_CSV!$X:$X,Taostats_CSV!$I718&amp;N$1)</f>
        <v>0</v>
      </c>
      <c r="O718">
        <f>COUNTIF(Taostats_CSV!$X:$X,Taostats_CSV!$I718&amp;O$1)</f>
        <v>0</v>
      </c>
      <c r="P718">
        <f>COUNTIF(Taostats_CSV!$X:$X,Taostats_CSV!$I718&amp;P$1)</f>
        <v>0</v>
      </c>
      <c r="Q718" t="b">
        <f t="shared" si="82"/>
        <v>0</v>
      </c>
      <c r="R718" t="b">
        <f>IF(LEN(K718)&gt;0,COUNTIF($K$3:K718,K718),FALSE)</f>
        <v>0</v>
      </c>
      <c r="S718" t="b">
        <f>IF(Taostats_CSV!A718=Taostats_CSV!$A$2,TRUE,Taostats_CSV!G718+Taostats_CSV!H718+Taostats_CSV!R718=0)</f>
        <v>0</v>
      </c>
      <c r="T718" t="b">
        <f t="shared" si="83"/>
        <v>1</v>
      </c>
      <c r="U718" t="b" cm="1">
        <f t="array" aca="1" ref="U718" ca="1">AND(T718,OR(O718-N718&gt;1,P718&gt;1,ISERROR(A718:P718)))</f>
        <v>0</v>
      </c>
      <c r="W718" t="e">
        <f>MATCH(K718&amp;$W$2,Taostats_CSV!$X$3:$X$1167,0)</f>
        <v>#N/A</v>
      </c>
      <c r="X718" t="e">
        <f t="shared" ca="1" si="78"/>
        <v>#VALUE!</v>
      </c>
      <c r="Y718">
        <f t="shared" ca="1" si="79"/>
        <v>0.14454861699999999</v>
      </c>
      <c r="Z718" t="e">
        <f t="shared" ca="1" si="80"/>
        <v>#VALUE!</v>
      </c>
    </row>
    <row r="719" spans="1:26" hidden="1" x14ac:dyDescent="0.4">
      <c r="A719" t="str">
        <f>MID(Taostats_CSV!C719,6,2)&amp;"/"&amp;MID(Taostats_CSV!C719,9,2)&amp;"/"&amp;LEFT(Taostats_CSV!C719,4)&amp;" "&amp;MID(Taostats_CSV!C719,12,8)</f>
        <v>08/01/2025 23:59:48</v>
      </c>
      <c r="C719" t="str">
        <f ca="1">IF(Q719,OFFSET(Taostats_CSV!$E$1,MATCH(K719&amp;D$1,Taostats_CSV!$X:$X,0)-1,0),IF(Taostats_CSV!F719="fee","",IF(VALUE(Taostats_CSV!G719)&gt;0,Taostats_CSV!E719,"")))</f>
        <v/>
      </c>
      <c r="D719" t="str">
        <f ca="1">IF(Q719,OFFSET(Taostats_CSV!$G$1,MATCH(K719&amp;D$1,Taostats_CSV!$X:$X,0)-1,0),IF(Taostats_CSV!F719="fee","",IF(VALUE(Taostats_CSV!G719)&gt;0,Taostats_CSV!G719,"")))</f>
        <v/>
      </c>
      <c r="E719" t="str">
        <f ca="1">IF(AND(Q719,P719&gt;0),OFFSET(Taostats_CSV!$E$1,MATCH(K719&amp;F$1,Taostats_CSV!$X:$X,0)-1,0),IF(LEN(F719)&gt;0,Taostats_CSV!E719,""))</f>
        <v>TAO</v>
      </c>
      <c r="F719" t="str">
        <f ca="1">TRIM(IF(AND(Q719,P719&gt;0),OFFSET(Taostats_CSV!$H$1,MATCH(K719&amp;F$1,Taostats_CSV!$X:$X,0)-1,0),IF(LEN(Taostats_CSV!H719)&gt;0,Taostats_CSV!H719,Taostats_CSV!R719)))</f>
        <v>0</v>
      </c>
      <c r="G719" t="str">
        <f ca="1">IF(AND(Q719,N719=1),OFFSET(Taostats_CSV!$E$1,MATCH(K719&amp;H$1,Taostats_CSV!$X:$X,0)-1,0),IF(Taostats_CSV!F719="fee",Taostats_CSV!E719,""))</f>
        <v/>
      </c>
      <c r="H719" t="str">
        <f ca="1">IF(AND(Q719,N719=1),OFFSET(Taostats_CSV!$G$1,MATCH(K719&amp;H$1,Taostats_CSV!$X:$X,0)-1,0),IF(Taostats_CSV!F719="fee",Taostats_CSV!G719,""))</f>
        <v/>
      </c>
      <c r="I719" t="str">
        <f ca="1">IF(AND(LEN(K719)=0,LEN(F719)&gt;0),"Income",IF(AND(O719&gt;0,P719&gt;0,C719&lt;&gt;E719),"Trade",IF(AND(NOT(Q719),Taostats_CSV!F719="fee"),'READ ME'!$C$5,"")))</f>
        <v>Income</v>
      </c>
      <c r="J719" t="str">
        <f ca="1">SUBSTITUTE(IF(LEN(I719)=0,Taostats_CSV!F719&amp;" "&amp;Taostats_CSV!J719,IF(I719="Cost","Extrinsic fee","")),"_"," ")</f>
        <v/>
      </c>
      <c r="K719" t="str">
        <f>TRIM(IF(LEN(Taostats_CSV!I719)&gt;0,Taostats_CSV!I719,""))</f>
        <v/>
      </c>
      <c r="L719" t="str">
        <f>IF(Taostats_CSV!E719&lt;&gt;"TAO",IF(LEN(F719)&gt;0,F719,IF(LEN(D719)&gt;0,D719,0))*Taostats_CSV!P719,"")</f>
        <v/>
      </c>
      <c r="M719" t="str">
        <f t="shared" si="81"/>
        <v/>
      </c>
      <c r="N719">
        <f>COUNTIF(Taostats_CSV!$X:$X,Taostats_CSV!$I719&amp;N$1)</f>
        <v>0</v>
      </c>
      <c r="O719">
        <f>COUNTIF(Taostats_CSV!$X:$X,Taostats_CSV!$I719&amp;O$1)</f>
        <v>0</v>
      </c>
      <c r="P719">
        <f>COUNTIF(Taostats_CSV!$X:$X,Taostats_CSV!$I719&amp;P$1)</f>
        <v>0</v>
      </c>
      <c r="Q719" t="b">
        <f t="shared" si="82"/>
        <v>0</v>
      </c>
      <c r="R719" t="b">
        <f>IF(LEN(K719)&gt;0,COUNTIF($K$3:K719,K719),FALSE)</f>
        <v>0</v>
      </c>
      <c r="S719" t="b">
        <f>IF(Taostats_CSV!A719=Taostats_CSV!$A$2,TRUE,Taostats_CSV!G719+Taostats_CSV!H719+Taostats_CSV!R719=0)</f>
        <v>1</v>
      </c>
      <c r="T719" t="b">
        <f t="shared" si="83"/>
        <v>0</v>
      </c>
      <c r="U719" t="b" cm="1">
        <f t="array" aca="1" ref="U719" ca="1">AND(T719,OR(O719-N719&gt;1,P719&gt;1,ISERROR(A719:P719)))</f>
        <v>0</v>
      </c>
      <c r="W719" t="e">
        <f>MATCH(K719&amp;$W$2,Taostats_CSV!$X$3:$X$1167,0)</f>
        <v>#N/A</v>
      </c>
      <c r="X719" t="e">
        <f t="shared" ca="1" si="78"/>
        <v>#VALUE!</v>
      </c>
      <c r="Y719">
        <f t="shared" ca="1" si="79"/>
        <v>0</v>
      </c>
      <c r="Z719" t="e">
        <f t="shared" ca="1" si="80"/>
        <v>#VALUE!</v>
      </c>
    </row>
    <row r="720" spans="1:26" x14ac:dyDescent="0.4">
      <c r="A720" t="str">
        <f>MID(Taostats_CSV!C720,6,2)&amp;"/"&amp;MID(Taostats_CSV!C720,9,2)&amp;"/"&amp;LEFT(Taostats_CSV!C720,4)&amp;" "&amp;MID(Taostats_CSV!C720,12,8)</f>
        <v>08/02/2025 23:59:48</v>
      </c>
      <c r="C720" t="str">
        <f ca="1">IF(Q720,OFFSET(Taostats_CSV!$E$1,MATCH(K720&amp;D$1,Taostats_CSV!$X:$X,0)-1,0),IF(Taostats_CSV!F720="fee",IF(VALUE(Taostats_CSV!G720)&gt;0,Taostats_CSV!E720,""),""))</f>
        <v/>
      </c>
      <c r="D720" t="str">
        <f ca="1">IF(Q720,OFFSET(Taostats_CSV!$G$1,MATCH(K720&amp;D$1,Taostats_CSV!$X:$X,0)-1,0),IF(Taostats_CSV!F720="fee",IF(VALUE(Taostats_CSV!G720)&gt;0,Taostats_CSV!G720,""),""))</f>
        <v/>
      </c>
      <c r="E720" t="str">
        <f ca="1">IF(AND(Q720,P720&gt;0),OFFSET(Taostats_CSV!$E$1,MATCH(K720&amp;F$1,Taostats_CSV!$X:$X,0)-1,0),IF(LEN(F720)&gt;0,Taostats_CSV!E720,""))</f>
        <v>SN3</v>
      </c>
      <c r="F720" t="str">
        <f ca="1">TRIM(IF(AND(Q720,P720&gt;0),OFFSET(Taostats_CSV!$H$1,MATCH(K720&amp;F$1,Taostats_CSV!$X:$X,0)-1,0),IF(LEN(Taostats_CSV!H720)&gt;0,Taostats_CSV!H720,Taostats_CSV!R720)))</f>
        <v>0.406229768</v>
      </c>
      <c r="G720" t="str">
        <f ca="1">IF(AND(Q720,N720=1),OFFSET(Taostats_CSV!$E$1,MATCH(K720&amp;H$1,Taostats_CSV!$X:$X,0)-1,0),"")</f>
        <v/>
      </c>
      <c r="H720" t="str">
        <f ca="1">IF(AND(Q720,N720=1),OFFSET(Taostats_CSV!$G$1,MATCH(K720&amp;H$1,Taostats_CSV!$X:$X,0)-1,0),"")</f>
        <v/>
      </c>
      <c r="I720" t="str">
        <f ca="1">IF(AND(LEN(K720)=0,LEN(F720)&gt;0),"Income",IF(AND(O720&gt;0,P720&gt;0,C720&lt;&gt;E720),"Trade",IF(AND(NOT(Q720),Taostats_CSV!F720="fee"),'READ ME'!$C$5,"")))</f>
        <v>Income</v>
      </c>
      <c r="J720" t="str">
        <f ca="1">SUBSTITUTE(IF(LEN(I720)=0,Taostats_CSV!F720&amp;" "&amp;Taostats_CSV!J720,IF(I720="Cost","Extrinsic fee","")),"_"," ")</f>
        <v/>
      </c>
      <c r="K720" t="str">
        <f>TRIM(IF(LEN(Taostats_CSV!I720)&gt;0,Taostats_CSV!I720,""))</f>
        <v/>
      </c>
      <c r="L720">
        <f ca="1">IF(Taostats_CSV!E720&lt;&gt;"TAO",IF(LEN(F720)&gt;0,F720,IF(LEN(D720)&gt;0,D720,0))*Taostats_CSV!P720,"")</f>
        <v>7.5205794920248126</v>
      </c>
      <c r="M720" t="str">
        <f t="shared" ca="1" si="81"/>
        <v>USD</v>
      </c>
      <c r="N720">
        <f>COUNTIF(Taostats_CSV!$X:$X,Taostats_CSV!$I720&amp;N$1)</f>
        <v>0</v>
      </c>
      <c r="O720">
        <f>COUNTIF(Taostats_CSV!$X:$X,Taostats_CSV!$I720&amp;O$1)</f>
        <v>0</v>
      </c>
      <c r="P720">
        <f>COUNTIF(Taostats_CSV!$X:$X,Taostats_CSV!$I720&amp;P$1)</f>
        <v>0</v>
      </c>
      <c r="Q720" t="b">
        <f t="shared" si="82"/>
        <v>0</v>
      </c>
      <c r="R720" t="b">
        <f>IF(LEN(K720)&gt;0,COUNTIF($K$3:K720,K720),FALSE)</f>
        <v>0</v>
      </c>
      <c r="S720" t="b">
        <f>IF(Taostats_CSV!A720=Taostats_CSV!$A$2,TRUE,Taostats_CSV!G720+Taostats_CSV!H720+Taostats_CSV!R720=0)</f>
        <v>0</v>
      </c>
      <c r="T720" t="b">
        <f t="shared" si="83"/>
        <v>1</v>
      </c>
      <c r="U720" t="b" cm="1">
        <f t="array" aca="1" ref="U720" ca="1">AND(T720,OR(O720-N720&gt;1,P720&gt;1,ISERROR(A720:P720)))</f>
        <v>0</v>
      </c>
      <c r="W720" t="e">
        <f>MATCH(K720&amp;$W$2,Taostats_CSV!$X$3:$X$1167,0)</f>
        <v>#N/A</v>
      </c>
      <c r="X720" t="e">
        <f t="shared" ca="1" si="78"/>
        <v>#VALUE!</v>
      </c>
      <c r="Y720">
        <f t="shared" ca="1" si="79"/>
        <v>0.40622976799999999</v>
      </c>
      <c r="Z720" t="e">
        <f t="shared" ca="1" si="80"/>
        <v>#VALUE!</v>
      </c>
    </row>
    <row r="721" spans="1:26" x14ac:dyDescent="0.4">
      <c r="A721" t="str">
        <f>MID(Taostats_CSV!C721,6,2)&amp;"/"&amp;MID(Taostats_CSV!C721,9,2)&amp;"/"&amp;LEFT(Taostats_CSV!C721,4)&amp;" "&amp;MID(Taostats_CSV!C721,12,8)</f>
        <v>08/02/2025 23:59:48</v>
      </c>
      <c r="C721" t="str">
        <f ca="1">IF(Q721,OFFSET(Taostats_CSV!$E$1,MATCH(K721&amp;D$1,Taostats_CSV!$X:$X,0)-1,0),IF(Taostats_CSV!F721="fee",IF(VALUE(Taostats_CSV!G721)&gt;0,Taostats_CSV!E721,""),""))</f>
        <v/>
      </c>
      <c r="D721" t="str">
        <f ca="1">IF(Q721,OFFSET(Taostats_CSV!$G$1,MATCH(K721&amp;D$1,Taostats_CSV!$X:$X,0)-1,0),IF(Taostats_CSV!F721="fee",IF(VALUE(Taostats_CSV!G721)&gt;0,Taostats_CSV!G721,""),""))</f>
        <v/>
      </c>
      <c r="E721" t="str">
        <f ca="1">IF(AND(Q721,P721&gt;0),OFFSET(Taostats_CSV!$E$1,MATCH(K721&amp;F$1,Taostats_CSV!$X:$X,0)-1,0),IF(LEN(F721)&gt;0,Taostats_CSV!E721,""))</f>
        <v>SN4</v>
      </c>
      <c r="F721" t="str">
        <f ca="1">TRIM(IF(AND(Q721,P721&gt;0),OFFSET(Taostats_CSV!$H$1,MATCH(K721&amp;F$1,Taostats_CSV!$X:$X,0)-1,0),IF(LEN(Taostats_CSV!H721)&gt;0,Taostats_CSV!H721,Taostats_CSV!R721)))</f>
        <v>0.440128555</v>
      </c>
      <c r="G721" t="str">
        <f ca="1">IF(AND(Q721,N721=1),OFFSET(Taostats_CSV!$E$1,MATCH(K721&amp;H$1,Taostats_CSV!$X:$X,0)-1,0),"")</f>
        <v/>
      </c>
      <c r="H721" t="str">
        <f ca="1">IF(AND(Q721,N721=1),OFFSET(Taostats_CSV!$G$1,MATCH(K721&amp;H$1,Taostats_CSV!$X:$X,0)-1,0),"")</f>
        <v/>
      </c>
      <c r="I721" t="str">
        <f ca="1">IF(AND(LEN(K721)=0,LEN(F721)&gt;0),"Income",IF(AND(O721&gt;0,P721&gt;0,C721&lt;&gt;E721),"Trade",IF(AND(NOT(Q721),Taostats_CSV!F721="fee"),'READ ME'!$C$5,"")))</f>
        <v>Income</v>
      </c>
      <c r="J721" t="str">
        <f ca="1">SUBSTITUTE(IF(LEN(I721)=0,Taostats_CSV!F721&amp;" "&amp;Taostats_CSV!J721,IF(I721="Cost","Extrinsic fee","")),"_"," ")</f>
        <v/>
      </c>
      <c r="K721" t="str">
        <f>TRIM(IF(LEN(Taostats_CSV!I721)&gt;0,Taostats_CSV!I721,""))</f>
        <v/>
      </c>
      <c r="L721">
        <f ca="1">IF(Taostats_CSV!E721&lt;&gt;"TAO",IF(LEN(F721)&gt;0,F721,IF(LEN(D721)&gt;0,D721,0))*Taostats_CSV!P721,"")</f>
        <v>8.7216622669067316</v>
      </c>
      <c r="M721" t="str">
        <f t="shared" ca="1" si="81"/>
        <v>USD</v>
      </c>
      <c r="N721">
        <f>COUNTIF(Taostats_CSV!$X:$X,Taostats_CSV!$I721&amp;N$1)</f>
        <v>0</v>
      </c>
      <c r="O721">
        <f>COUNTIF(Taostats_CSV!$X:$X,Taostats_CSV!$I721&amp;O$1)</f>
        <v>0</v>
      </c>
      <c r="P721">
        <f>COUNTIF(Taostats_CSV!$X:$X,Taostats_CSV!$I721&amp;P$1)</f>
        <v>0</v>
      </c>
      <c r="Q721" t="b">
        <f t="shared" si="82"/>
        <v>0</v>
      </c>
      <c r="R721" t="b">
        <f>IF(LEN(K721)&gt;0,COUNTIF($K$3:K721,K721),FALSE)</f>
        <v>0</v>
      </c>
      <c r="S721" t="b">
        <f>IF(Taostats_CSV!A721=Taostats_CSV!$A$2,TRUE,Taostats_CSV!G721+Taostats_CSV!H721+Taostats_CSV!R721=0)</f>
        <v>0</v>
      </c>
      <c r="T721" t="b">
        <f t="shared" si="83"/>
        <v>1</v>
      </c>
      <c r="U721" t="b" cm="1">
        <f t="array" aca="1" ref="U721" ca="1">AND(T721,OR(O721-N721&gt;1,P721&gt;1,ISERROR(A721:P721)))</f>
        <v>0</v>
      </c>
      <c r="W721" t="e">
        <f>MATCH(K721&amp;$W$2,Taostats_CSV!$X$3:$X$1167,0)</f>
        <v>#N/A</v>
      </c>
      <c r="X721" t="e">
        <f t="shared" ca="1" si="78"/>
        <v>#VALUE!</v>
      </c>
      <c r="Y721">
        <f t="shared" ca="1" si="79"/>
        <v>0.44012855499999998</v>
      </c>
      <c r="Z721" t="e">
        <f t="shared" ca="1" si="80"/>
        <v>#VALUE!</v>
      </c>
    </row>
    <row r="722" spans="1:26" x14ac:dyDescent="0.4">
      <c r="A722" t="str">
        <f>MID(Taostats_CSV!C722,6,2)&amp;"/"&amp;MID(Taostats_CSV!C722,9,2)&amp;"/"&amp;LEFT(Taostats_CSV!C722,4)&amp;" "&amp;MID(Taostats_CSV!C722,12,8)</f>
        <v>08/02/2025 23:59:48</v>
      </c>
      <c r="C722" t="str">
        <f ca="1">IF(Q722,OFFSET(Taostats_CSV!$E$1,MATCH(K722&amp;D$1,Taostats_CSV!$X:$X,0)-1,0),IF(Taostats_CSV!F722="fee",IF(VALUE(Taostats_CSV!G722)&gt;0,Taostats_CSV!E722,""),""))</f>
        <v/>
      </c>
      <c r="D722" t="str">
        <f ca="1">IF(Q722,OFFSET(Taostats_CSV!$G$1,MATCH(K722&amp;D$1,Taostats_CSV!$X:$X,0)-1,0),IF(Taostats_CSV!F722="fee",IF(VALUE(Taostats_CSV!G722)&gt;0,Taostats_CSV!G722,""),""))</f>
        <v/>
      </c>
      <c r="E722" t="str">
        <f ca="1">IF(AND(Q722,P722&gt;0),OFFSET(Taostats_CSV!$E$1,MATCH(K722&amp;F$1,Taostats_CSV!$X:$X,0)-1,0),IF(LEN(F722)&gt;0,Taostats_CSV!E722,""))</f>
        <v>SN56</v>
      </c>
      <c r="F722" t="str">
        <f ca="1">TRIM(IF(AND(Q722,P722&gt;0),OFFSET(Taostats_CSV!$H$1,MATCH(K722&amp;F$1,Taostats_CSV!$X:$X,0)-1,0),IF(LEN(Taostats_CSV!H722)&gt;0,Taostats_CSV!H722,Taostats_CSV!R722)))</f>
        <v>0.261396445</v>
      </c>
      <c r="G722" t="str">
        <f ca="1">IF(AND(Q722,N722=1),OFFSET(Taostats_CSV!$E$1,MATCH(K722&amp;H$1,Taostats_CSV!$X:$X,0)-1,0),"")</f>
        <v/>
      </c>
      <c r="H722" t="str">
        <f ca="1">IF(AND(Q722,N722=1),OFFSET(Taostats_CSV!$G$1,MATCH(K722&amp;H$1,Taostats_CSV!$X:$X,0)-1,0),"")</f>
        <v/>
      </c>
      <c r="I722" t="str">
        <f ca="1">IF(AND(LEN(K722)=0,LEN(F722)&gt;0),"Income",IF(AND(O722&gt;0,P722&gt;0,C722&lt;&gt;E722),"Trade",IF(AND(NOT(Q722),Taostats_CSV!F722="fee"),'READ ME'!$C$5,"")))</f>
        <v>Income</v>
      </c>
      <c r="J722" t="str">
        <f ca="1">SUBSTITUTE(IF(LEN(I722)=0,Taostats_CSV!F722&amp;" "&amp;Taostats_CSV!J722,IF(I722="Cost","Extrinsic fee","")),"_"," ")</f>
        <v/>
      </c>
      <c r="K722" t="str">
        <f>TRIM(IF(LEN(Taostats_CSV!I722)&gt;0,Taostats_CSV!I722,""))</f>
        <v/>
      </c>
      <c r="L722">
        <f ca="1">IF(Taostats_CSV!E722&lt;&gt;"TAO",IF(LEN(F722)&gt;0,F722,IF(LEN(D722)&gt;0,D722,0))*Taostats_CSV!P722,"")</f>
        <v>4.3165419549160209</v>
      </c>
      <c r="M722" t="str">
        <f t="shared" ca="1" si="81"/>
        <v>USD</v>
      </c>
      <c r="N722">
        <f>COUNTIF(Taostats_CSV!$X:$X,Taostats_CSV!$I722&amp;N$1)</f>
        <v>0</v>
      </c>
      <c r="O722">
        <f>COUNTIF(Taostats_CSV!$X:$X,Taostats_CSV!$I722&amp;O$1)</f>
        <v>0</v>
      </c>
      <c r="P722">
        <f>COUNTIF(Taostats_CSV!$X:$X,Taostats_CSV!$I722&amp;P$1)</f>
        <v>0</v>
      </c>
      <c r="Q722" t="b">
        <f t="shared" si="82"/>
        <v>0</v>
      </c>
      <c r="R722" t="b">
        <f>IF(LEN(K722)&gt;0,COUNTIF($K$3:K722,K722),FALSE)</f>
        <v>0</v>
      </c>
      <c r="S722" t="b">
        <f>IF(Taostats_CSV!A722=Taostats_CSV!$A$2,TRUE,Taostats_CSV!G722+Taostats_CSV!H722+Taostats_CSV!R722=0)</f>
        <v>0</v>
      </c>
      <c r="T722" t="b">
        <f t="shared" si="83"/>
        <v>1</v>
      </c>
      <c r="U722" t="b" cm="1">
        <f t="array" aca="1" ref="U722" ca="1">AND(T722,OR(O722-N722&gt;1,P722&gt;1,ISERROR(A722:P722)))</f>
        <v>0</v>
      </c>
      <c r="W722" t="e">
        <f>MATCH(K722&amp;$W$2,Taostats_CSV!$X$3:$X$1167,0)</f>
        <v>#N/A</v>
      </c>
      <c r="X722" t="e">
        <f t="shared" ca="1" si="78"/>
        <v>#VALUE!</v>
      </c>
      <c r="Y722">
        <f t="shared" ca="1" si="79"/>
        <v>0.26139644499999998</v>
      </c>
      <c r="Z722" t="e">
        <f t="shared" ca="1" si="80"/>
        <v>#VALUE!</v>
      </c>
    </row>
    <row r="723" spans="1:26" x14ac:dyDescent="0.4">
      <c r="A723" t="str">
        <f>MID(Taostats_CSV!C723,6,2)&amp;"/"&amp;MID(Taostats_CSV!C723,9,2)&amp;"/"&amp;LEFT(Taostats_CSV!C723,4)&amp;" "&amp;MID(Taostats_CSV!C723,12,8)</f>
        <v>08/02/2025 23:59:48</v>
      </c>
      <c r="C723" t="str">
        <f ca="1">IF(Q723,OFFSET(Taostats_CSV!$E$1,MATCH(K723&amp;D$1,Taostats_CSV!$X:$X,0)-1,0),IF(Taostats_CSV!F723="fee",IF(VALUE(Taostats_CSV!G723)&gt;0,Taostats_CSV!E723,""),""))</f>
        <v/>
      </c>
      <c r="D723" t="str">
        <f ca="1">IF(Q723,OFFSET(Taostats_CSV!$G$1,MATCH(K723&amp;D$1,Taostats_CSV!$X:$X,0)-1,0),IF(Taostats_CSV!F723="fee",IF(VALUE(Taostats_CSV!G723)&gt;0,Taostats_CSV!G723,""),""))</f>
        <v/>
      </c>
      <c r="E723" t="str">
        <f ca="1">IF(AND(Q723,P723&gt;0),OFFSET(Taostats_CSV!$E$1,MATCH(K723&amp;F$1,Taostats_CSV!$X:$X,0)-1,0),IF(LEN(F723)&gt;0,Taostats_CSV!E723,""))</f>
        <v>SN64</v>
      </c>
      <c r="F723" t="str">
        <f ca="1">TRIM(IF(AND(Q723,P723&gt;0),OFFSET(Taostats_CSV!$H$1,MATCH(K723&amp;F$1,Taostats_CSV!$X:$X,0)-1,0),IF(LEN(Taostats_CSV!H723)&gt;0,Taostats_CSV!H723,Taostats_CSV!R723)))</f>
        <v>0.144907333</v>
      </c>
      <c r="G723" t="str">
        <f ca="1">IF(AND(Q723,N723=1),OFFSET(Taostats_CSV!$E$1,MATCH(K723&amp;H$1,Taostats_CSV!$X:$X,0)-1,0),"")</f>
        <v/>
      </c>
      <c r="H723" t="str">
        <f ca="1">IF(AND(Q723,N723=1),OFFSET(Taostats_CSV!$G$1,MATCH(K723&amp;H$1,Taostats_CSV!$X:$X,0)-1,0),"")</f>
        <v/>
      </c>
      <c r="I723" t="str">
        <f ca="1">IF(AND(LEN(K723)=0,LEN(F723)&gt;0),"Income",IF(AND(O723&gt;0,P723&gt;0,C723&lt;&gt;E723),"Trade",IF(AND(NOT(Q723),Taostats_CSV!F723="fee"),'READ ME'!$C$5,"")))</f>
        <v>Income</v>
      </c>
      <c r="J723" t="str">
        <f ca="1">SUBSTITUTE(IF(LEN(I723)=0,Taostats_CSV!F723&amp;" "&amp;Taostats_CSV!J723,IF(I723="Cost","Extrinsic fee","")),"_"," ")</f>
        <v/>
      </c>
      <c r="K723" t="str">
        <f>TRIM(IF(LEN(Taostats_CSV!I723)&gt;0,Taostats_CSV!I723,""))</f>
        <v/>
      </c>
      <c r="L723">
        <f ca="1">IF(Taostats_CSV!E723&lt;&gt;"TAO",IF(LEN(F723)&gt;0,F723,IF(LEN(D723)&gt;0,D723,0))*Taostats_CSV!P723,"")</f>
        <v>6.126354035230106</v>
      </c>
      <c r="M723" t="str">
        <f t="shared" ca="1" si="81"/>
        <v>USD</v>
      </c>
      <c r="N723">
        <f>COUNTIF(Taostats_CSV!$X:$X,Taostats_CSV!$I723&amp;N$1)</f>
        <v>0</v>
      </c>
      <c r="O723">
        <f>COUNTIF(Taostats_CSV!$X:$X,Taostats_CSV!$I723&amp;O$1)</f>
        <v>0</v>
      </c>
      <c r="P723">
        <f>COUNTIF(Taostats_CSV!$X:$X,Taostats_CSV!$I723&amp;P$1)</f>
        <v>0</v>
      </c>
      <c r="Q723" t="b">
        <f t="shared" si="82"/>
        <v>0</v>
      </c>
      <c r="R723" t="b">
        <f>IF(LEN(K723)&gt;0,COUNTIF($K$3:K723,K723),FALSE)</f>
        <v>0</v>
      </c>
      <c r="S723" t="b">
        <f>IF(Taostats_CSV!A723=Taostats_CSV!$A$2,TRUE,Taostats_CSV!G723+Taostats_CSV!H723+Taostats_CSV!R723=0)</f>
        <v>0</v>
      </c>
      <c r="T723" t="b">
        <f t="shared" si="83"/>
        <v>1</v>
      </c>
      <c r="U723" t="b" cm="1">
        <f t="array" aca="1" ref="U723" ca="1">AND(T723,OR(O723-N723&gt;1,P723&gt;1,ISERROR(A723:P723)))</f>
        <v>0</v>
      </c>
      <c r="W723" t="e">
        <f>MATCH(K723&amp;$W$2,Taostats_CSV!$X$3:$X$1167,0)</f>
        <v>#N/A</v>
      </c>
      <c r="X723" t="e">
        <f t="shared" ca="1" si="78"/>
        <v>#VALUE!</v>
      </c>
      <c r="Y723">
        <f t="shared" ca="1" si="79"/>
        <v>0.144907333</v>
      </c>
      <c r="Z723" t="e">
        <f t="shared" ca="1" si="80"/>
        <v>#VALUE!</v>
      </c>
    </row>
    <row r="724" spans="1:26" hidden="1" x14ac:dyDescent="0.4">
      <c r="A724" t="str">
        <f>MID(Taostats_CSV!C724,6,2)&amp;"/"&amp;MID(Taostats_CSV!C724,9,2)&amp;"/"&amp;LEFT(Taostats_CSV!C724,4)&amp;" "&amp;MID(Taostats_CSV!C724,12,8)</f>
        <v>08/02/2025 23:59:48</v>
      </c>
      <c r="C724" t="str">
        <f ca="1">IF(Q724,OFFSET(Taostats_CSV!$E$1,MATCH(K724&amp;D$1,Taostats_CSV!$X:$X,0)-1,0),IF(Taostats_CSV!F724="fee","",IF(VALUE(Taostats_CSV!G724)&gt;0,Taostats_CSV!E724,"")))</f>
        <v/>
      </c>
      <c r="D724" t="str">
        <f ca="1">IF(Q724,OFFSET(Taostats_CSV!$G$1,MATCH(K724&amp;D$1,Taostats_CSV!$X:$X,0)-1,0),IF(Taostats_CSV!F724="fee","",IF(VALUE(Taostats_CSV!G724)&gt;0,Taostats_CSV!G724,"")))</f>
        <v/>
      </c>
      <c r="E724" t="str">
        <f ca="1">IF(AND(Q724,P724&gt;0),OFFSET(Taostats_CSV!$E$1,MATCH(K724&amp;F$1,Taostats_CSV!$X:$X,0)-1,0),IF(LEN(F724)&gt;0,Taostats_CSV!E724,""))</f>
        <v>TAO</v>
      </c>
      <c r="F724" t="str">
        <f ca="1">TRIM(IF(AND(Q724,P724&gt;0),OFFSET(Taostats_CSV!$H$1,MATCH(K724&amp;F$1,Taostats_CSV!$X:$X,0)-1,0),IF(LEN(Taostats_CSV!H724)&gt;0,Taostats_CSV!H724,Taostats_CSV!R724)))</f>
        <v>0</v>
      </c>
      <c r="G724" t="str">
        <f ca="1">IF(AND(Q724,N724=1),OFFSET(Taostats_CSV!$E$1,MATCH(K724&amp;H$1,Taostats_CSV!$X:$X,0)-1,0),IF(Taostats_CSV!F724="fee",Taostats_CSV!E724,""))</f>
        <v/>
      </c>
      <c r="H724" t="str">
        <f ca="1">IF(AND(Q724,N724=1),OFFSET(Taostats_CSV!$G$1,MATCH(K724&amp;H$1,Taostats_CSV!$X:$X,0)-1,0),IF(Taostats_CSV!F724="fee",Taostats_CSV!G724,""))</f>
        <v/>
      </c>
      <c r="I724" t="str">
        <f ca="1">IF(AND(LEN(K724)=0,LEN(F724)&gt;0),"Income",IF(AND(O724&gt;0,P724&gt;0,C724&lt;&gt;E724),"Trade",IF(AND(NOT(Q724),Taostats_CSV!F724="fee"),'READ ME'!$C$5,"")))</f>
        <v>Income</v>
      </c>
      <c r="J724" t="str">
        <f ca="1">SUBSTITUTE(IF(LEN(I724)=0,Taostats_CSV!F724&amp;" "&amp;Taostats_CSV!J724,IF(I724="Cost","Extrinsic fee","")),"_"," ")</f>
        <v/>
      </c>
      <c r="K724" t="str">
        <f>TRIM(IF(LEN(Taostats_CSV!I724)&gt;0,Taostats_CSV!I724,""))</f>
        <v/>
      </c>
      <c r="L724" t="str">
        <f>IF(Taostats_CSV!E724&lt;&gt;"TAO",IF(LEN(F724)&gt;0,F724,IF(LEN(D724)&gt;0,D724,0))*Taostats_CSV!P724,"")</f>
        <v/>
      </c>
      <c r="M724" t="str">
        <f t="shared" si="81"/>
        <v/>
      </c>
      <c r="N724">
        <f>COUNTIF(Taostats_CSV!$X:$X,Taostats_CSV!$I724&amp;N$1)</f>
        <v>0</v>
      </c>
      <c r="O724">
        <f>COUNTIF(Taostats_CSV!$X:$X,Taostats_CSV!$I724&amp;O$1)</f>
        <v>0</v>
      </c>
      <c r="P724">
        <f>COUNTIF(Taostats_CSV!$X:$X,Taostats_CSV!$I724&amp;P$1)</f>
        <v>0</v>
      </c>
      <c r="Q724" t="b">
        <f t="shared" si="82"/>
        <v>0</v>
      </c>
      <c r="R724" t="b">
        <f>IF(LEN(K724)&gt;0,COUNTIF($K$3:K724,K724),FALSE)</f>
        <v>0</v>
      </c>
      <c r="S724" t="b">
        <f>IF(Taostats_CSV!A724=Taostats_CSV!$A$2,TRUE,Taostats_CSV!G724+Taostats_CSV!H724+Taostats_CSV!R724=0)</f>
        <v>1</v>
      </c>
      <c r="T724" t="b">
        <f t="shared" si="83"/>
        <v>0</v>
      </c>
      <c r="U724" t="b" cm="1">
        <f t="array" aca="1" ref="U724" ca="1">AND(T724,OR(O724-N724&gt;1,P724&gt;1,ISERROR(A724:P724)))</f>
        <v>0</v>
      </c>
      <c r="W724" t="e">
        <f>MATCH(K724&amp;$W$2,Taostats_CSV!$X$3:$X$1167,0)</f>
        <v>#N/A</v>
      </c>
      <c r="X724" t="e">
        <f t="shared" ca="1" si="78"/>
        <v>#VALUE!</v>
      </c>
      <c r="Y724">
        <f t="shared" ca="1" si="79"/>
        <v>0</v>
      </c>
      <c r="Z724" t="e">
        <f t="shared" ca="1" si="80"/>
        <v>#VALUE!</v>
      </c>
    </row>
    <row r="725" spans="1:26" x14ac:dyDescent="0.4">
      <c r="A725" t="str">
        <f>MID(Taostats_CSV!C725,6,2)&amp;"/"&amp;MID(Taostats_CSV!C725,9,2)&amp;"/"&amp;LEFT(Taostats_CSV!C725,4)&amp;" "&amp;MID(Taostats_CSV!C725,12,8)</f>
        <v>08/03/2025 23:59:48</v>
      </c>
      <c r="C725" t="str">
        <f ca="1">IF(Q725,OFFSET(Taostats_CSV!$E$1,MATCH(K725&amp;D$1,Taostats_CSV!$X:$X,0)-1,0),IF(Taostats_CSV!F725="fee",IF(VALUE(Taostats_CSV!G725)&gt;0,Taostats_CSV!E725,""),""))</f>
        <v/>
      </c>
      <c r="D725" t="str">
        <f ca="1">IF(Q725,OFFSET(Taostats_CSV!$G$1,MATCH(K725&amp;D$1,Taostats_CSV!$X:$X,0)-1,0),IF(Taostats_CSV!F725="fee",IF(VALUE(Taostats_CSV!G725)&gt;0,Taostats_CSV!G725,""),""))</f>
        <v/>
      </c>
      <c r="E725" t="str">
        <f ca="1">IF(AND(Q725,P725&gt;0),OFFSET(Taostats_CSV!$E$1,MATCH(K725&amp;F$1,Taostats_CSV!$X:$X,0)-1,0),IF(LEN(F725)&gt;0,Taostats_CSV!E725,""))</f>
        <v>SN3</v>
      </c>
      <c r="F725" t="str">
        <f ca="1">TRIM(IF(AND(Q725,P725&gt;0),OFFSET(Taostats_CSV!$H$1,MATCH(K725&amp;F$1,Taostats_CSV!$X:$X,0)-1,0),IF(LEN(Taostats_CSV!H725)&gt;0,Taostats_CSV!H725,Taostats_CSV!R725)))</f>
        <v>0.409595018</v>
      </c>
      <c r="G725" t="str">
        <f ca="1">IF(AND(Q725,N725=1),OFFSET(Taostats_CSV!$E$1,MATCH(K725&amp;H$1,Taostats_CSV!$X:$X,0)-1,0),"")</f>
        <v/>
      </c>
      <c r="H725" t="str">
        <f ca="1">IF(AND(Q725,N725=1),OFFSET(Taostats_CSV!$G$1,MATCH(K725&amp;H$1,Taostats_CSV!$X:$X,0)-1,0),"")</f>
        <v/>
      </c>
      <c r="I725" t="str">
        <f ca="1">IF(AND(LEN(K725)=0,LEN(F725)&gt;0),"Income",IF(AND(O725&gt;0,P725&gt;0,C725&lt;&gt;E725),"Trade",IF(AND(NOT(Q725),Taostats_CSV!F725="fee"),'READ ME'!$C$5,"")))</f>
        <v>Income</v>
      </c>
      <c r="J725" t="str">
        <f ca="1">SUBSTITUTE(IF(LEN(I725)=0,Taostats_CSV!F725&amp;" "&amp;Taostats_CSV!J725,IF(I725="Cost","Extrinsic fee","")),"_"," ")</f>
        <v/>
      </c>
      <c r="K725" t="str">
        <f>TRIM(IF(LEN(Taostats_CSV!I725)&gt;0,Taostats_CSV!I725,""))</f>
        <v/>
      </c>
      <c r="L725">
        <f ca="1">IF(Taostats_CSV!E725&lt;&gt;"TAO",IF(LEN(F725)&gt;0,F725,IF(LEN(D725)&gt;0,D725,0))*Taostats_CSV!P725,"")</f>
        <v>7.8953325577563112</v>
      </c>
      <c r="M725" t="str">
        <f t="shared" ca="1" si="81"/>
        <v>USD</v>
      </c>
      <c r="N725">
        <f>COUNTIF(Taostats_CSV!$X:$X,Taostats_CSV!$I725&amp;N$1)</f>
        <v>0</v>
      </c>
      <c r="O725">
        <f>COUNTIF(Taostats_CSV!$X:$X,Taostats_CSV!$I725&amp;O$1)</f>
        <v>0</v>
      </c>
      <c r="P725">
        <f>COUNTIF(Taostats_CSV!$X:$X,Taostats_CSV!$I725&amp;P$1)</f>
        <v>0</v>
      </c>
      <c r="Q725" t="b">
        <f t="shared" si="82"/>
        <v>0</v>
      </c>
      <c r="R725" t="b">
        <f>IF(LEN(K725)&gt;0,COUNTIF($K$3:K725,K725),FALSE)</f>
        <v>0</v>
      </c>
      <c r="S725" t="b">
        <f>IF(Taostats_CSV!A725=Taostats_CSV!$A$2,TRUE,Taostats_CSV!G725+Taostats_CSV!H725+Taostats_CSV!R725=0)</f>
        <v>0</v>
      </c>
      <c r="T725" t="b">
        <f t="shared" si="83"/>
        <v>1</v>
      </c>
      <c r="U725" t="b" cm="1">
        <f t="array" aca="1" ref="U725" ca="1">AND(T725,OR(O725-N725&gt;1,P725&gt;1,ISERROR(A725:P725)))</f>
        <v>0</v>
      </c>
      <c r="W725" t="e">
        <f>MATCH(K725&amp;$W$2,Taostats_CSV!$X$3:$X$1167,0)</f>
        <v>#N/A</v>
      </c>
      <c r="X725" t="e">
        <f t="shared" ca="1" si="78"/>
        <v>#VALUE!</v>
      </c>
      <c r="Y725">
        <f t="shared" ca="1" si="79"/>
        <v>0.40959501799999998</v>
      </c>
      <c r="Z725" t="e">
        <f t="shared" ca="1" si="80"/>
        <v>#VALUE!</v>
      </c>
    </row>
    <row r="726" spans="1:26" x14ac:dyDescent="0.4">
      <c r="A726" t="str">
        <f>MID(Taostats_CSV!C726,6,2)&amp;"/"&amp;MID(Taostats_CSV!C726,9,2)&amp;"/"&amp;LEFT(Taostats_CSV!C726,4)&amp;" "&amp;MID(Taostats_CSV!C726,12,8)</f>
        <v>08/03/2025 23:59:48</v>
      </c>
      <c r="C726" t="str">
        <f ca="1">IF(Q726,OFFSET(Taostats_CSV!$E$1,MATCH(K726&amp;D$1,Taostats_CSV!$X:$X,0)-1,0),IF(Taostats_CSV!F726="fee",IF(VALUE(Taostats_CSV!G726)&gt;0,Taostats_CSV!E726,""),""))</f>
        <v/>
      </c>
      <c r="D726" t="str">
        <f ca="1">IF(Q726,OFFSET(Taostats_CSV!$G$1,MATCH(K726&amp;D$1,Taostats_CSV!$X:$X,0)-1,0),IF(Taostats_CSV!F726="fee",IF(VALUE(Taostats_CSV!G726)&gt;0,Taostats_CSV!G726,""),""))</f>
        <v/>
      </c>
      <c r="E726" t="str">
        <f ca="1">IF(AND(Q726,P726&gt;0),OFFSET(Taostats_CSV!$E$1,MATCH(K726&amp;F$1,Taostats_CSV!$X:$X,0)-1,0),IF(LEN(F726)&gt;0,Taostats_CSV!E726,""))</f>
        <v>SN4</v>
      </c>
      <c r="F726" t="str">
        <f ca="1">TRIM(IF(AND(Q726,P726&gt;0),OFFSET(Taostats_CSV!$H$1,MATCH(K726&amp;F$1,Taostats_CSV!$X:$X,0)-1,0),IF(LEN(Taostats_CSV!H726)&gt;0,Taostats_CSV!H726,Taostats_CSV!R726)))</f>
        <v>0.516204449</v>
      </c>
      <c r="G726" t="str">
        <f ca="1">IF(AND(Q726,N726=1),OFFSET(Taostats_CSV!$E$1,MATCH(K726&amp;H$1,Taostats_CSV!$X:$X,0)-1,0),"")</f>
        <v/>
      </c>
      <c r="H726" t="str">
        <f ca="1">IF(AND(Q726,N726=1),OFFSET(Taostats_CSV!$G$1,MATCH(K726&amp;H$1,Taostats_CSV!$X:$X,0)-1,0),"")</f>
        <v/>
      </c>
      <c r="I726" t="str">
        <f ca="1">IF(AND(LEN(K726)=0,LEN(F726)&gt;0),"Income",IF(AND(O726&gt;0,P726&gt;0,C726&lt;&gt;E726),"Trade",IF(AND(NOT(Q726),Taostats_CSV!F726="fee"),'READ ME'!$C$5,"")))</f>
        <v>Income</v>
      </c>
      <c r="J726" t="str">
        <f ca="1">SUBSTITUTE(IF(LEN(I726)=0,Taostats_CSV!F726&amp;" "&amp;Taostats_CSV!J726,IF(I726="Cost","Extrinsic fee","")),"_"," ")</f>
        <v/>
      </c>
      <c r="K726" t="str">
        <f>TRIM(IF(LEN(Taostats_CSV!I726)&gt;0,Taostats_CSV!I726,""))</f>
        <v/>
      </c>
      <c r="L726">
        <f ca="1">IF(Taostats_CSV!E726&lt;&gt;"TAO",IF(LEN(F726)&gt;0,F726,IF(LEN(D726)&gt;0,D726,0))*Taostats_CSV!P726,"")</f>
        <v>10.64916586958563</v>
      </c>
      <c r="M726" t="str">
        <f t="shared" ca="1" si="81"/>
        <v>USD</v>
      </c>
      <c r="N726">
        <f>COUNTIF(Taostats_CSV!$X:$X,Taostats_CSV!$I726&amp;N$1)</f>
        <v>0</v>
      </c>
      <c r="O726">
        <f>COUNTIF(Taostats_CSV!$X:$X,Taostats_CSV!$I726&amp;O$1)</f>
        <v>0</v>
      </c>
      <c r="P726">
        <f>COUNTIF(Taostats_CSV!$X:$X,Taostats_CSV!$I726&amp;P$1)</f>
        <v>0</v>
      </c>
      <c r="Q726" t="b">
        <f t="shared" si="82"/>
        <v>0</v>
      </c>
      <c r="R726" t="b">
        <f>IF(LEN(K726)&gt;0,COUNTIF($K$3:K726,K726),FALSE)</f>
        <v>0</v>
      </c>
      <c r="S726" t="b">
        <f>IF(Taostats_CSV!A726=Taostats_CSV!$A$2,TRUE,Taostats_CSV!G726+Taostats_CSV!H726+Taostats_CSV!R726=0)</f>
        <v>0</v>
      </c>
      <c r="T726" t="b">
        <f t="shared" si="83"/>
        <v>1</v>
      </c>
      <c r="U726" t="b" cm="1">
        <f t="array" aca="1" ref="U726" ca="1">AND(T726,OR(O726-N726&gt;1,P726&gt;1,ISERROR(A726:P726)))</f>
        <v>0</v>
      </c>
      <c r="W726" t="e">
        <f>MATCH(K726&amp;$W$2,Taostats_CSV!$X$3:$X$1167,0)</f>
        <v>#N/A</v>
      </c>
      <c r="X726" t="e">
        <f t="shared" ca="1" si="78"/>
        <v>#VALUE!</v>
      </c>
      <c r="Y726">
        <f t="shared" ca="1" si="79"/>
        <v>0.51620444899999995</v>
      </c>
      <c r="Z726" t="e">
        <f t="shared" ca="1" si="80"/>
        <v>#VALUE!</v>
      </c>
    </row>
    <row r="727" spans="1:26" x14ac:dyDescent="0.4">
      <c r="A727" t="str">
        <f>MID(Taostats_CSV!C727,6,2)&amp;"/"&amp;MID(Taostats_CSV!C727,9,2)&amp;"/"&amp;LEFT(Taostats_CSV!C727,4)&amp;" "&amp;MID(Taostats_CSV!C727,12,8)</f>
        <v>08/03/2025 23:59:48</v>
      </c>
      <c r="C727" t="str">
        <f ca="1">IF(Q727,OFFSET(Taostats_CSV!$E$1,MATCH(K727&amp;D$1,Taostats_CSV!$X:$X,0)-1,0),IF(Taostats_CSV!F727="fee",IF(VALUE(Taostats_CSV!G727)&gt;0,Taostats_CSV!E727,""),""))</f>
        <v/>
      </c>
      <c r="D727" t="str">
        <f ca="1">IF(Q727,OFFSET(Taostats_CSV!$G$1,MATCH(K727&amp;D$1,Taostats_CSV!$X:$X,0)-1,0),IF(Taostats_CSV!F727="fee",IF(VALUE(Taostats_CSV!G727)&gt;0,Taostats_CSV!G727,""),""))</f>
        <v/>
      </c>
      <c r="E727" t="str">
        <f ca="1">IF(AND(Q727,P727&gt;0),OFFSET(Taostats_CSV!$E$1,MATCH(K727&amp;F$1,Taostats_CSV!$X:$X,0)-1,0),IF(LEN(F727)&gt;0,Taostats_CSV!E727,""))</f>
        <v>SN56</v>
      </c>
      <c r="F727" t="str">
        <f ca="1">TRIM(IF(AND(Q727,P727&gt;0),OFFSET(Taostats_CSV!$H$1,MATCH(K727&amp;F$1,Taostats_CSV!$X:$X,0)-1,0),IF(LEN(Taostats_CSV!H727)&gt;0,Taostats_CSV!H727,Taostats_CSV!R727)))</f>
        <v>0.259868742</v>
      </c>
      <c r="G727" t="str">
        <f ca="1">IF(AND(Q727,N727=1),OFFSET(Taostats_CSV!$E$1,MATCH(K727&amp;H$1,Taostats_CSV!$X:$X,0)-1,0),"")</f>
        <v/>
      </c>
      <c r="H727" t="str">
        <f ca="1">IF(AND(Q727,N727=1),OFFSET(Taostats_CSV!$G$1,MATCH(K727&amp;H$1,Taostats_CSV!$X:$X,0)-1,0),"")</f>
        <v/>
      </c>
      <c r="I727" t="str">
        <f ca="1">IF(AND(LEN(K727)=0,LEN(F727)&gt;0),"Income",IF(AND(O727&gt;0,P727&gt;0,C727&lt;&gt;E727),"Trade",IF(AND(NOT(Q727),Taostats_CSV!F727="fee"),'READ ME'!$C$5,"")))</f>
        <v>Income</v>
      </c>
      <c r="J727" t="str">
        <f ca="1">SUBSTITUTE(IF(LEN(I727)=0,Taostats_CSV!F727&amp;" "&amp;Taostats_CSV!J727,IF(I727="Cost","Extrinsic fee","")),"_"," ")</f>
        <v/>
      </c>
      <c r="K727" t="str">
        <f>TRIM(IF(LEN(Taostats_CSV!I727)&gt;0,Taostats_CSV!I727,""))</f>
        <v/>
      </c>
      <c r="L727">
        <f ca="1">IF(Taostats_CSV!E727&lt;&gt;"TAO",IF(LEN(F727)&gt;0,F727,IF(LEN(D727)&gt;0,D727,0))*Taostats_CSV!P727,"")</f>
        <v>4.5047643907591626</v>
      </c>
      <c r="M727" t="str">
        <f t="shared" ca="1" si="81"/>
        <v>USD</v>
      </c>
      <c r="N727">
        <f>COUNTIF(Taostats_CSV!$X:$X,Taostats_CSV!$I727&amp;N$1)</f>
        <v>0</v>
      </c>
      <c r="O727">
        <f>COUNTIF(Taostats_CSV!$X:$X,Taostats_CSV!$I727&amp;O$1)</f>
        <v>0</v>
      </c>
      <c r="P727">
        <f>COUNTIF(Taostats_CSV!$X:$X,Taostats_CSV!$I727&amp;P$1)</f>
        <v>0</v>
      </c>
      <c r="Q727" t="b">
        <f t="shared" si="82"/>
        <v>0</v>
      </c>
      <c r="R727" t="b">
        <f>IF(LEN(K727)&gt;0,COUNTIF($K$3:K727,K727),FALSE)</f>
        <v>0</v>
      </c>
      <c r="S727" t="b">
        <f>IF(Taostats_CSV!A727=Taostats_CSV!$A$2,TRUE,Taostats_CSV!G727+Taostats_CSV!H727+Taostats_CSV!R727=0)</f>
        <v>0</v>
      </c>
      <c r="T727" t="b">
        <f t="shared" si="83"/>
        <v>1</v>
      </c>
      <c r="U727" t="b" cm="1">
        <f t="array" aca="1" ref="U727" ca="1">AND(T727,OR(O727-N727&gt;1,P727&gt;1,ISERROR(A727:P727)))</f>
        <v>0</v>
      </c>
      <c r="W727" t="e">
        <f>MATCH(K727&amp;$W$2,Taostats_CSV!$X$3:$X$1167,0)</f>
        <v>#N/A</v>
      </c>
      <c r="X727" t="e">
        <f t="shared" ca="1" si="78"/>
        <v>#VALUE!</v>
      </c>
      <c r="Y727">
        <f t="shared" ca="1" si="79"/>
        <v>0.25986874199999999</v>
      </c>
      <c r="Z727" t="e">
        <f t="shared" ca="1" si="80"/>
        <v>#VALUE!</v>
      </c>
    </row>
    <row r="728" spans="1:26" x14ac:dyDescent="0.4">
      <c r="A728" t="str">
        <f>MID(Taostats_CSV!C728,6,2)&amp;"/"&amp;MID(Taostats_CSV!C728,9,2)&amp;"/"&amp;LEFT(Taostats_CSV!C728,4)&amp;" "&amp;MID(Taostats_CSV!C728,12,8)</f>
        <v>08/03/2025 23:59:48</v>
      </c>
      <c r="C728" t="str">
        <f ca="1">IF(Q728,OFFSET(Taostats_CSV!$E$1,MATCH(K728&amp;D$1,Taostats_CSV!$X:$X,0)-1,0),IF(Taostats_CSV!F728="fee",IF(VALUE(Taostats_CSV!G728)&gt;0,Taostats_CSV!E728,""),""))</f>
        <v/>
      </c>
      <c r="D728" t="str">
        <f ca="1">IF(Q728,OFFSET(Taostats_CSV!$G$1,MATCH(K728&amp;D$1,Taostats_CSV!$X:$X,0)-1,0),IF(Taostats_CSV!F728="fee",IF(VALUE(Taostats_CSV!G728)&gt;0,Taostats_CSV!G728,""),""))</f>
        <v/>
      </c>
      <c r="E728" t="str">
        <f ca="1">IF(AND(Q728,P728&gt;0),OFFSET(Taostats_CSV!$E$1,MATCH(K728&amp;F$1,Taostats_CSV!$X:$X,0)-1,0),IF(LEN(F728)&gt;0,Taostats_CSV!E728,""))</f>
        <v>SN64</v>
      </c>
      <c r="F728" t="str">
        <f ca="1">TRIM(IF(AND(Q728,P728&gt;0),OFFSET(Taostats_CSV!$H$1,MATCH(K728&amp;F$1,Taostats_CSV!$X:$X,0)-1,0),IF(LEN(Taostats_CSV!H728)&gt;0,Taostats_CSV!H728,Taostats_CSV!R728)))</f>
        <v>0.143578461</v>
      </c>
      <c r="G728" t="str">
        <f ca="1">IF(AND(Q728,N728=1),OFFSET(Taostats_CSV!$E$1,MATCH(K728&amp;H$1,Taostats_CSV!$X:$X,0)-1,0),"")</f>
        <v/>
      </c>
      <c r="H728" t="str">
        <f ca="1">IF(AND(Q728,N728=1),OFFSET(Taostats_CSV!$G$1,MATCH(K728&amp;H$1,Taostats_CSV!$X:$X,0)-1,0),"")</f>
        <v/>
      </c>
      <c r="I728" t="str">
        <f ca="1">IF(AND(LEN(K728)=0,LEN(F728)&gt;0),"Income",IF(AND(O728&gt;0,P728&gt;0,C728&lt;&gt;E728),"Trade",IF(AND(NOT(Q728),Taostats_CSV!F728="fee"),'READ ME'!$C$5,"")))</f>
        <v>Income</v>
      </c>
      <c r="J728" t="str">
        <f ca="1">SUBSTITUTE(IF(LEN(I728)=0,Taostats_CSV!F728&amp;" "&amp;Taostats_CSV!J728,IF(I728="Cost","Extrinsic fee","")),"_"," ")</f>
        <v/>
      </c>
      <c r="K728" t="str">
        <f>TRIM(IF(LEN(Taostats_CSV!I728)&gt;0,Taostats_CSV!I728,""))</f>
        <v/>
      </c>
      <c r="L728">
        <f ca="1">IF(Taostats_CSV!E728&lt;&gt;"TAO",IF(LEN(F728)&gt;0,F728,IF(LEN(D728)&gt;0,D728,0))*Taostats_CSV!P728,"")</f>
        <v>6.4425205899038129</v>
      </c>
      <c r="M728" t="str">
        <f t="shared" ca="1" si="81"/>
        <v>USD</v>
      </c>
      <c r="N728">
        <f>COUNTIF(Taostats_CSV!$X:$X,Taostats_CSV!$I728&amp;N$1)</f>
        <v>0</v>
      </c>
      <c r="O728">
        <f>COUNTIF(Taostats_CSV!$X:$X,Taostats_CSV!$I728&amp;O$1)</f>
        <v>0</v>
      </c>
      <c r="P728">
        <f>COUNTIF(Taostats_CSV!$X:$X,Taostats_CSV!$I728&amp;P$1)</f>
        <v>0</v>
      </c>
      <c r="Q728" t="b">
        <f t="shared" si="82"/>
        <v>0</v>
      </c>
      <c r="R728" t="b">
        <f>IF(LEN(K728)&gt;0,COUNTIF($K$3:K728,K728),FALSE)</f>
        <v>0</v>
      </c>
      <c r="S728" t="b">
        <f>IF(Taostats_CSV!A728=Taostats_CSV!$A$2,TRUE,Taostats_CSV!G728+Taostats_CSV!H728+Taostats_CSV!R728=0)</f>
        <v>0</v>
      </c>
      <c r="T728" t="b">
        <f t="shared" si="83"/>
        <v>1</v>
      </c>
      <c r="U728" t="b" cm="1">
        <f t="array" aca="1" ref="U728" ca="1">AND(T728,OR(O728-N728&gt;1,P728&gt;1,ISERROR(A728:P728)))</f>
        <v>0</v>
      </c>
      <c r="W728" t="e">
        <f>MATCH(K728&amp;$W$2,Taostats_CSV!$X$3:$X$1167,0)</f>
        <v>#N/A</v>
      </c>
      <c r="X728" t="e">
        <f t="shared" ca="1" si="78"/>
        <v>#VALUE!</v>
      </c>
      <c r="Y728">
        <f t="shared" ca="1" si="79"/>
        <v>0.14357846099999999</v>
      </c>
      <c r="Z728" t="e">
        <f t="shared" ca="1" si="80"/>
        <v>#VALUE!</v>
      </c>
    </row>
    <row r="729" spans="1:26" hidden="1" x14ac:dyDescent="0.4">
      <c r="A729" t="str">
        <f>MID(Taostats_CSV!C729,6,2)&amp;"/"&amp;MID(Taostats_CSV!C729,9,2)&amp;"/"&amp;LEFT(Taostats_CSV!C729,4)&amp;" "&amp;MID(Taostats_CSV!C729,12,8)</f>
        <v>08/03/2025 23:59:48</v>
      </c>
      <c r="C729" t="str">
        <f ca="1">IF(Q729,OFFSET(Taostats_CSV!$E$1,MATCH(K729&amp;D$1,Taostats_CSV!$X:$X,0)-1,0),IF(Taostats_CSV!F729="fee","",IF(VALUE(Taostats_CSV!G729)&gt;0,Taostats_CSV!E729,"")))</f>
        <v/>
      </c>
      <c r="D729" t="str">
        <f ca="1">IF(Q729,OFFSET(Taostats_CSV!$G$1,MATCH(K729&amp;D$1,Taostats_CSV!$X:$X,0)-1,0),IF(Taostats_CSV!F729="fee","",IF(VALUE(Taostats_CSV!G729)&gt;0,Taostats_CSV!G729,"")))</f>
        <v/>
      </c>
      <c r="E729" t="str">
        <f ca="1">IF(AND(Q729,P729&gt;0),OFFSET(Taostats_CSV!$E$1,MATCH(K729&amp;F$1,Taostats_CSV!$X:$X,0)-1,0),IF(LEN(F729)&gt;0,Taostats_CSV!E729,""))</f>
        <v>TAO</v>
      </c>
      <c r="F729" t="str">
        <f ca="1">TRIM(IF(AND(Q729,P729&gt;0),OFFSET(Taostats_CSV!$H$1,MATCH(K729&amp;F$1,Taostats_CSV!$X:$X,0)-1,0),IF(LEN(Taostats_CSV!H729)&gt;0,Taostats_CSV!H729,Taostats_CSV!R729)))</f>
        <v>0</v>
      </c>
      <c r="G729" t="str">
        <f ca="1">IF(AND(Q729,N729=1),OFFSET(Taostats_CSV!$E$1,MATCH(K729&amp;H$1,Taostats_CSV!$X:$X,0)-1,0),IF(Taostats_CSV!F729="fee",Taostats_CSV!E729,""))</f>
        <v/>
      </c>
      <c r="H729" t="str">
        <f ca="1">IF(AND(Q729,N729=1),OFFSET(Taostats_CSV!$G$1,MATCH(K729&amp;H$1,Taostats_CSV!$X:$X,0)-1,0),IF(Taostats_CSV!F729="fee",Taostats_CSV!G729,""))</f>
        <v/>
      </c>
      <c r="I729" t="str">
        <f ca="1">IF(AND(LEN(K729)=0,LEN(F729)&gt;0),"Income",IF(AND(O729&gt;0,P729&gt;0,C729&lt;&gt;E729),"Trade",IF(AND(NOT(Q729),Taostats_CSV!F729="fee"),'READ ME'!$C$5,"")))</f>
        <v>Income</v>
      </c>
      <c r="J729" t="str">
        <f ca="1">SUBSTITUTE(IF(LEN(I729)=0,Taostats_CSV!F729&amp;" "&amp;Taostats_CSV!J729,IF(I729="Cost","Extrinsic fee","")),"_"," ")</f>
        <v/>
      </c>
      <c r="K729" t="str">
        <f>TRIM(IF(LEN(Taostats_CSV!I729)&gt;0,Taostats_CSV!I729,""))</f>
        <v/>
      </c>
      <c r="L729" t="str">
        <f>IF(Taostats_CSV!E729&lt;&gt;"TAO",IF(LEN(F729)&gt;0,F729,IF(LEN(D729)&gt;0,D729,0))*Taostats_CSV!P729,"")</f>
        <v/>
      </c>
      <c r="M729" t="str">
        <f t="shared" si="81"/>
        <v/>
      </c>
      <c r="N729">
        <f>COUNTIF(Taostats_CSV!$X:$X,Taostats_CSV!$I729&amp;N$1)</f>
        <v>0</v>
      </c>
      <c r="O729">
        <f>COUNTIF(Taostats_CSV!$X:$X,Taostats_CSV!$I729&amp;O$1)</f>
        <v>0</v>
      </c>
      <c r="P729">
        <f>COUNTIF(Taostats_CSV!$X:$X,Taostats_CSV!$I729&amp;P$1)</f>
        <v>0</v>
      </c>
      <c r="Q729" t="b">
        <f t="shared" si="82"/>
        <v>0</v>
      </c>
      <c r="R729" t="b">
        <f>IF(LEN(K729)&gt;0,COUNTIF($K$3:K729,K729),FALSE)</f>
        <v>0</v>
      </c>
      <c r="S729" t="b">
        <f>IF(Taostats_CSV!A729=Taostats_CSV!$A$2,TRUE,Taostats_CSV!G729+Taostats_CSV!H729+Taostats_CSV!R729=0)</f>
        <v>1</v>
      </c>
      <c r="T729" t="b">
        <f t="shared" si="83"/>
        <v>0</v>
      </c>
      <c r="U729" t="b" cm="1">
        <f t="array" aca="1" ref="U729" ca="1">AND(T729,OR(O729-N729&gt;1,P729&gt;1,ISERROR(A729:P729)))</f>
        <v>0</v>
      </c>
      <c r="W729" t="e">
        <f>MATCH(K729&amp;$W$2,Taostats_CSV!$X$3:$X$1167,0)</f>
        <v>#N/A</v>
      </c>
      <c r="X729" t="e">
        <f t="shared" ca="1" si="78"/>
        <v>#VALUE!</v>
      </c>
      <c r="Y729">
        <f t="shared" ca="1" si="79"/>
        <v>0</v>
      </c>
      <c r="Z729" t="e">
        <f t="shared" ca="1" si="80"/>
        <v>#VALUE!</v>
      </c>
    </row>
    <row r="730" spans="1:26" x14ac:dyDescent="0.4">
      <c r="A730" t="str">
        <f>MID(Taostats_CSV!C730,6,2)&amp;"/"&amp;MID(Taostats_CSV!C730,9,2)&amp;"/"&amp;LEFT(Taostats_CSV!C730,4)&amp;" "&amp;MID(Taostats_CSV!C730,12,8)</f>
        <v>08/04/2025 23:59:48</v>
      </c>
      <c r="C730" t="str">
        <f ca="1">IF(Q730,OFFSET(Taostats_CSV!$E$1,MATCH(K730&amp;D$1,Taostats_CSV!$X:$X,0)-1,0),IF(Taostats_CSV!F730="fee",IF(VALUE(Taostats_CSV!G730)&gt;0,Taostats_CSV!E730,""),""))</f>
        <v/>
      </c>
      <c r="D730" t="str">
        <f ca="1">IF(Q730,OFFSET(Taostats_CSV!$G$1,MATCH(K730&amp;D$1,Taostats_CSV!$X:$X,0)-1,0),IF(Taostats_CSV!F730="fee",IF(VALUE(Taostats_CSV!G730)&gt;0,Taostats_CSV!G730,""),""))</f>
        <v/>
      </c>
      <c r="E730" t="str">
        <f ca="1">IF(AND(Q730,P730&gt;0),OFFSET(Taostats_CSV!$E$1,MATCH(K730&amp;F$1,Taostats_CSV!$X:$X,0)-1,0),IF(LEN(F730)&gt;0,Taostats_CSV!E730,""))</f>
        <v>SN3</v>
      </c>
      <c r="F730" t="str">
        <f ca="1">TRIM(IF(AND(Q730,P730&gt;0),OFFSET(Taostats_CSV!$H$1,MATCH(K730&amp;F$1,Taostats_CSV!$X:$X,0)-1,0),IF(LEN(Taostats_CSV!H730)&gt;0,Taostats_CSV!H730,Taostats_CSV!R730)))</f>
        <v>0.417965826</v>
      </c>
      <c r="G730" t="str">
        <f ca="1">IF(AND(Q730,N730=1),OFFSET(Taostats_CSV!$E$1,MATCH(K730&amp;H$1,Taostats_CSV!$X:$X,0)-1,0),"")</f>
        <v/>
      </c>
      <c r="H730" t="str">
        <f ca="1">IF(AND(Q730,N730=1),OFFSET(Taostats_CSV!$G$1,MATCH(K730&amp;H$1,Taostats_CSV!$X:$X,0)-1,0),"")</f>
        <v/>
      </c>
      <c r="I730" t="str">
        <f ca="1">IF(AND(LEN(K730)=0,LEN(F730)&gt;0),"Income",IF(AND(O730&gt;0,P730&gt;0,C730&lt;&gt;E730),"Trade",IF(AND(NOT(Q730),Taostats_CSV!F730="fee"),'READ ME'!$C$5,"")))</f>
        <v>Income</v>
      </c>
      <c r="J730" t="str">
        <f ca="1">SUBSTITUTE(IF(LEN(I730)=0,Taostats_CSV!F730&amp;" "&amp;Taostats_CSV!J730,IF(I730="Cost","Extrinsic fee","")),"_"," ")</f>
        <v/>
      </c>
      <c r="K730" t="str">
        <f>TRIM(IF(LEN(Taostats_CSV!I730)&gt;0,Taostats_CSV!I730,""))</f>
        <v/>
      </c>
      <c r="L730">
        <f ca="1">IF(Taostats_CSV!E730&lt;&gt;"TAO",IF(LEN(F730)&gt;0,F730,IF(LEN(D730)&gt;0,D730,0))*Taostats_CSV!P730,"")</f>
        <v>8.1934187005583041</v>
      </c>
      <c r="M730" t="str">
        <f t="shared" ca="1" si="81"/>
        <v>USD</v>
      </c>
      <c r="N730">
        <f>COUNTIF(Taostats_CSV!$X:$X,Taostats_CSV!$I730&amp;N$1)</f>
        <v>0</v>
      </c>
      <c r="O730">
        <f>COUNTIF(Taostats_CSV!$X:$X,Taostats_CSV!$I730&amp;O$1)</f>
        <v>0</v>
      </c>
      <c r="P730">
        <f>COUNTIF(Taostats_CSV!$X:$X,Taostats_CSV!$I730&amp;P$1)</f>
        <v>0</v>
      </c>
      <c r="Q730" t="b">
        <f t="shared" si="82"/>
        <v>0</v>
      </c>
      <c r="R730" t="b">
        <f>IF(LEN(K730)&gt;0,COUNTIF($K$3:K730,K730),FALSE)</f>
        <v>0</v>
      </c>
      <c r="S730" t="b">
        <f>IF(Taostats_CSV!A730=Taostats_CSV!$A$2,TRUE,Taostats_CSV!G730+Taostats_CSV!H730+Taostats_CSV!R730=0)</f>
        <v>0</v>
      </c>
      <c r="T730" t="b">
        <f t="shared" si="83"/>
        <v>1</v>
      </c>
      <c r="U730" t="b" cm="1">
        <f t="array" aca="1" ref="U730" ca="1">AND(T730,OR(O730-N730&gt;1,P730&gt;1,ISERROR(A730:P730)))</f>
        <v>0</v>
      </c>
      <c r="W730" t="e">
        <f>MATCH(K730&amp;$W$2,Taostats_CSV!$X$3:$X$1167,0)</f>
        <v>#N/A</v>
      </c>
      <c r="X730" t="e">
        <f t="shared" ca="1" si="78"/>
        <v>#VALUE!</v>
      </c>
      <c r="Y730">
        <f t="shared" ca="1" si="79"/>
        <v>0.41796582599999998</v>
      </c>
      <c r="Z730" t="e">
        <f t="shared" ca="1" si="80"/>
        <v>#VALUE!</v>
      </c>
    </row>
    <row r="731" spans="1:26" x14ac:dyDescent="0.4">
      <c r="A731" t="str">
        <f>MID(Taostats_CSV!C731,6,2)&amp;"/"&amp;MID(Taostats_CSV!C731,9,2)&amp;"/"&amp;LEFT(Taostats_CSV!C731,4)&amp;" "&amp;MID(Taostats_CSV!C731,12,8)</f>
        <v>08/04/2025 23:59:48</v>
      </c>
      <c r="C731" t="str">
        <f ca="1">IF(Q731,OFFSET(Taostats_CSV!$E$1,MATCH(K731&amp;D$1,Taostats_CSV!$X:$X,0)-1,0),IF(Taostats_CSV!F731="fee",IF(VALUE(Taostats_CSV!G731)&gt;0,Taostats_CSV!E731,""),""))</f>
        <v/>
      </c>
      <c r="D731" t="str">
        <f ca="1">IF(Q731,OFFSET(Taostats_CSV!$G$1,MATCH(K731&amp;D$1,Taostats_CSV!$X:$X,0)-1,0),IF(Taostats_CSV!F731="fee",IF(VALUE(Taostats_CSV!G731)&gt;0,Taostats_CSV!G731,""),""))</f>
        <v/>
      </c>
      <c r="E731" t="str">
        <f ca="1">IF(AND(Q731,P731&gt;0),OFFSET(Taostats_CSV!$E$1,MATCH(K731&amp;F$1,Taostats_CSV!$X:$X,0)-1,0),IF(LEN(F731)&gt;0,Taostats_CSV!E731,""))</f>
        <v>SN4</v>
      </c>
      <c r="F731" t="str">
        <f ca="1">TRIM(IF(AND(Q731,P731&gt;0),OFFSET(Taostats_CSV!$H$1,MATCH(K731&amp;F$1,Taostats_CSV!$X:$X,0)-1,0),IF(LEN(Taostats_CSV!H731)&gt;0,Taostats_CSV!H731,Taostats_CSV!R731)))</f>
        <v>0.516659426</v>
      </c>
      <c r="G731" t="str">
        <f ca="1">IF(AND(Q731,N731=1),OFFSET(Taostats_CSV!$E$1,MATCH(K731&amp;H$1,Taostats_CSV!$X:$X,0)-1,0),"")</f>
        <v/>
      </c>
      <c r="H731" t="str">
        <f ca="1">IF(AND(Q731,N731=1),OFFSET(Taostats_CSV!$G$1,MATCH(K731&amp;H$1,Taostats_CSV!$X:$X,0)-1,0),"")</f>
        <v/>
      </c>
      <c r="I731" t="str">
        <f ca="1">IF(AND(LEN(K731)=0,LEN(F731)&gt;0),"Income",IF(AND(O731&gt;0,P731&gt;0,C731&lt;&gt;E731),"Trade",IF(AND(NOT(Q731),Taostats_CSV!F731="fee"),'READ ME'!$C$5,"")))</f>
        <v>Income</v>
      </c>
      <c r="J731" t="str">
        <f ca="1">SUBSTITUTE(IF(LEN(I731)=0,Taostats_CSV!F731&amp;" "&amp;Taostats_CSV!J731,IF(I731="Cost","Extrinsic fee","")),"_"," ")</f>
        <v/>
      </c>
      <c r="K731" t="str">
        <f>TRIM(IF(LEN(Taostats_CSV!I731)&gt;0,Taostats_CSV!I731,""))</f>
        <v/>
      </c>
      <c r="L731">
        <f ca="1">IF(Taostats_CSV!E731&lt;&gt;"TAO",IF(LEN(F731)&gt;0,F731,IF(LEN(D731)&gt;0,D731,0))*Taostats_CSV!P731,"")</f>
        <v>10.76036767075734</v>
      </c>
      <c r="M731" t="str">
        <f t="shared" ca="1" si="81"/>
        <v>USD</v>
      </c>
      <c r="N731">
        <f>COUNTIF(Taostats_CSV!$X:$X,Taostats_CSV!$I731&amp;N$1)</f>
        <v>0</v>
      </c>
      <c r="O731">
        <f>COUNTIF(Taostats_CSV!$X:$X,Taostats_CSV!$I731&amp;O$1)</f>
        <v>0</v>
      </c>
      <c r="P731">
        <f>COUNTIF(Taostats_CSV!$X:$X,Taostats_CSV!$I731&amp;P$1)</f>
        <v>0</v>
      </c>
      <c r="Q731" t="b">
        <f t="shared" si="82"/>
        <v>0</v>
      </c>
      <c r="R731" t="b">
        <f>IF(LEN(K731)&gt;0,COUNTIF($K$3:K731,K731),FALSE)</f>
        <v>0</v>
      </c>
      <c r="S731" t="b">
        <f>IF(Taostats_CSV!A731=Taostats_CSV!$A$2,TRUE,Taostats_CSV!G731+Taostats_CSV!H731+Taostats_CSV!R731=0)</f>
        <v>0</v>
      </c>
      <c r="T731" t="b">
        <f t="shared" si="83"/>
        <v>1</v>
      </c>
      <c r="U731" t="b" cm="1">
        <f t="array" aca="1" ref="U731" ca="1">AND(T731,OR(O731-N731&gt;1,P731&gt;1,ISERROR(A731:P731)))</f>
        <v>0</v>
      </c>
      <c r="W731" t="e">
        <f>MATCH(K731&amp;$W$2,Taostats_CSV!$X$3:$X$1167,0)</f>
        <v>#N/A</v>
      </c>
      <c r="X731" t="e">
        <f t="shared" ca="1" si="78"/>
        <v>#VALUE!</v>
      </c>
      <c r="Y731">
        <f t="shared" ca="1" si="79"/>
        <v>0.51665942600000003</v>
      </c>
      <c r="Z731" t="e">
        <f t="shared" ca="1" si="80"/>
        <v>#VALUE!</v>
      </c>
    </row>
    <row r="732" spans="1:26" x14ac:dyDescent="0.4">
      <c r="A732" t="str">
        <f>MID(Taostats_CSV!C732,6,2)&amp;"/"&amp;MID(Taostats_CSV!C732,9,2)&amp;"/"&amp;LEFT(Taostats_CSV!C732,4)&amp;" "&amp;MID(Taostats_CSV!C732,12,8)</f>
        <v>08/04/2025 23:59:48</v>
      </c>
      <c r="C732" t="str">
        <f ca="1">IF(Q732,OFFSET(Taostats_CSV!$E$1,MATCH(K732&amp;D$1,Taostats_CSV!$X:$X,0)-1,0),IF(Taostats_CSV!F732="fee",IF(VALUE(Taostats_CSV!G732)&gt;0,Taostats_CSV!E732,""),""))</f>
        <v/>
      </c>
      <c r="D732" t="str">
        <f ca="1">IF(Q732,OFFSET(Taostats_CSV!$G$1,MATCH(K732&amp;D$1,Taostats_CSV!$X:$X,0)-1,0),IF(Taostats_CSV!F732="fee",IF(VALUE(Taostats_CSV!G732)&gt;0,Taostats_CSV!G732,""),""))</f>
        <v/>
      </c>
      <c r="E732" t="str">
        <f ca="1">IF(AND(Q732,P732&gt;0),OFFSET(Taostats_CSV!$E$1,MATCH(K732&amp;F$1,Taostats_CSV!$X:$X,0)-1,0),IF(LEN(F732)&gt;0,Taostats_CSV!E732,""))</f>
        <v>SN56</v>
      </c>
      <c r="F732" t="str">
        <f ca="1">TRIM(IF(AND(Q732,P732&gt;0),OFFSET(Taostats_CSV!$H$1,MATCH(K732&amp;F$1,Taostats_CSV!$X:$X,0)-1,0),IF(LEN(Taostats_CSV!H732)&gt;0,Taostats_CSV!H732,Taostats_CSV!R732)))</f>
        <v>0.266827915</v>
      </c>
      <c r="G732" t="str">
        <f ca="1">IF(AND(Q732,N732=1),OFFSET(Taostats_CSV!$E$1,MATCH(K732&amp;H$1,Taostats_CSV!$X:$X,0)-1,0),"")</f>
        <v/>
      </c>
      <c r="H732" t="str">
        <f ca="1">IF(AND(Q732,N732=1),OFFSET(Taostats_CSV!$G$1,MATCH(K732&amp;H$1,Taostats_CSV!$X:$X,0)-1,0),"")</f>
        <v/>
      </c>
      <c r="I732" t="str">
        <f ca="1">IF(AND(LEN(K732)=0,LEN(F732)&gt;0),"Income",IF(AND(O732&gt;0,P732&gt;0,C732&lt;&gt;E732),"Trade",IF(AND(NOT(Q732),Taostats_CSV!F732="fee"),'READ ME'!$C$5,"")))</f>
        <v>Income</v>
      </c>
      <c r="J732" t="str">
        <f ca="1">SUBSTITUTE(IF(LEN(I732)=0,Taostats_CSV!F732&amp;" "&amp;Taostats_CSV!J732,IF(I732="Cost","Extrinsic fee","")),"_"," ")</f>
        <v/>
      </c>
      <c r="K732" t="str">
        <f>TRIM(IF(LEN(Taostats_CSV!I732)&gt;0,Taostats_CSV!I732,""))</f>
        <v/>
      </c>
      <c r="L732">
        <f ca="1">IF(Taostats_CSV!E732&lt;&gt;"TAO",IF(LEN(F732)&gt;0,F732,IF(LEN(D732)&gt;0,D732,0))*Taostats_CSV!P732,"")</f>
        <v>4.8763273321218898</v>
      </c>
      <c r="M732" t="str">
        <f t="shared" ca="1" si="81"/>
        <v>USD</v>
      </c>
      <c r="N732">
        <f>COUNTIF(Taostats_CSV!$X:$X,Taostats_CSV!$I732&amp;N$1)</f>
        <v>0</v>
      </c>
      <c r="O732">
        <f>COUNTIF(Taostats_CSV!$X:$X,Taostats_CSV!$I732&amp;O$1)</f>
        <v>0</v>
      </c>
      <c r="P732">
        <f>COUNTIF(Taostats_CSV!$X:$X,Taostats_CSV!$I732&amp;P$1)</f>
        <v>0</v>
      </c>
      <c r="Q732" t="b">
        <f t="shared" si="82"/>
        <v>0</v>
      </c>
      <c r="R732" t="b">
        <f>IF(LEN(K732)&gt;0,COUNTIF($K$3:K732,K732),FALSE)</f>
        <v>0</v>
      </c>
      <c r="S732" t="b">
        <f>IF(Taostats_CSV!A732=Taostats_CSV!$A$2,TRUE,Taostats_CSV!G732+Taostats_CSV!H732+Taostats_CSV!R732=0)</f>
        <v>0</v>
      </c>
      <c r="T732" t="b">
        <f t="shared" si="83"/>
        <v>1</v>
      </c>
      <c r="U732" t="b" cm="1">
        <f t="array" aca="1" ref="U732" ca="1">AND(T732,OR(O732-N732&gt;1,P732&gt;1,ISERROR(A732:P732)))</f>
        <v>0</v>
      </c>
      <c r="W732" t="e">
        <f>MATCH(K732&amp;$W$2,Taostats_CSV!$X$3:$X$1167,0)</f>
        <v>#N/A</v>
      </c>
      <c r="X732" t="e">
        <f t="shared" ca="1" si="78"/>
        <v>#VALUE!</v>
      </c>
      <c r="Y732">
        <f t="shared" ca="1" si="79"/>
        <v>0.26682791500000003</v>
      </c>
      <c r="Z732" t="e">
        <f t="shared" ca="1" si="80"/>
        <v>#VALUE!</v>
      </c>
    </row>
    <row r="733" spans="1:26" x14ac:dyDescent="0.4">
      <c r="A733" t="str">
        <f>MID(Taostats_CSV!C733,6,2)&amp;"/"&amp;MID(Taostats_CSV!C733,9,2)&amp;"/"&amp;LEFT(Taostats_CSV!C733,4)&amp;" "&amp;MID(Taostats_CSV!C733,12,8)</f>
        <v>08/04/2025 23:59:48</v>
      </c>
      <c r="C733" t="str">
        <f ca="1">IF(Q733,OFFSET(Taostats_CSV!$E$1,MATCH(K733&amp;D$1,Taostats_CSV!$X:$X,0)-1,0),IF(Taostats_CSV!F733="fee",IF(VALUE(Taostats_CSV!G733)&gt;0,Taostats_CSV!E733,""),""))</f>
        <v/>
      </c>
      <c r="D733" t="str">
        <f ca="1">IF(Q733,OFFSET(Taostats_CSV!$G$1,MATCH(K733&amp;D$1,Taostats_CSV!$X:$X,0)-1,0),IF(Taostats_CSV!F733="fee",IF(VALUE(Taostats_CSV!G733)&gt;0,Taostats_CSV!G733,""),""))</f>
        <v/>
      </c>
      <c r="E733" t="str">
        <f ca="1">IF(AND(Q733,P733&gt;0),OFFSET(Taostats_CSV!$E$1,MATCH(K733&amp;F$1,Taostats_CSV!$X:$X,0)-1,0),IF(LEN(F733)&gt;0,Taostats_CSV!E733,""))</f>
        <v>SN64</v>
      </c>
      <c r="F733" t="str">
        <f ca="1">TRIM(IF(AND(Q733,P733&gt;0),OFFSET(Taostats_CSV!$H$1,MATCH(K733&amp;F$1,Taostats_CSV!$X:$X,0)-1,0),IF(LEN(Taostats_CSV!H733)&gt;0,Taostats_CSV!H733,Taostats_CSV!R733)))</f>
        <v>0.143423948</v>
      </c>
      <c r="G733" t="str">
        <f ca="1">IF(AND(Q733,N733=1),OFFSET(Taostats_CSV!$E$1,MATCH(K733&amp;H$1,Taostats_CSV!$X:$X,0)-1,0),"")</f>
        <v/>
      </c>
      <c r="H733" t="str">
        <f ca="1">IF(AND(Q733,N733=1),OFFSET(Taostats_CSV!$G$1,MATCH(K733&amp;H$1,Taostats_CSV!$X:$X,0)-1,0),"")</f>
        <v/>
      </c>
      <c r="I733" t="str">
        <f ca="1">IF(AND(LEN(K733)=0,LEN(F733)&gt;0),"Income",IF(AND(O733&gt;0,P733&gt;0,C733&lt;&gt;E733),"Trade",IF(AND(NOT(Q733),Taostats_CSV!F733="fee"),'READ ME'!$C$5,"")))</f>
        <v>Income</v>
      </c>
      <c r="J733" t="str">
        <f ca="1">SUBSTITUTE(IF(LEN(I733)=0,Taostats_CSV!F733&amp;" "&amp;Taostats_CSV!J733,IF(I733="Cost","Extrinsic fee","")),"_"," ")</f>
        <v/>
      </c>
      <c r="K733" t="str">
        <f>TRIM(IF(LEN(Taostats_CSV!I733)&gt;0,Taostats_CSV!I733,""))</f>
        <v/>
      </c>
      <c r="L733">
        <f ca="1">IF(Taostats_CSV!E733&lt;&gt;"TAO",IF(LEN(F733)&gt;0,F733,IF(LEN(D733)&gt;0,D733,0))*Taostats_CSV!P733,"")</f>
        <v>6.5760428923108174</v>
      </c>
      <c r="M733" t="str">
        <f t="shared" ca="1" si="81"/>
        <v>USD</v>
      </c>
      <c r="N733">
        <f>COUNTIF(Taostats_CSV!$X:$X,Taostats_CSV!$I733&amp;N$1)</f>
        <v>0</v>
      </c>
      <c r="O733">
        <f>COUNTIF(Taostats_CSV!$X:$X,Taostats_CSV!$I733&amp;O$1)</f>
        <v>0</v>
      </c>
      <c r="P733">
        <f>COUNTIF(Taostats_CSV!$X:$X,Taostats_CSV!$I733&amp;P$1)</f>
        <v>0</v>
      </c>
      <c r="Q733" t="b">
        <f t="shared" si="82"/>
        <v>0</v>
      </c>
      <c r="R733" t="b">
        <f>IF(LEN(K733)&gt;0,COUNTIF($K$3:K733,K733),FALSE)</f>
        <v>0</v>
      </c>
      <c r="S733" t="b">
        <f>IF(Taostats_CSV!A733=Taostats_CSV!$A$2,TRUE,Taostats_CSV!G733+Taostats_CSV!H733+Taostats_CSV!R733=0)</f>
        <v>0</v>
      </c>
      <c r="T733" t="b">
        <f t="shared" si="83"/>
        <v>1</v>
      </c>
      <c r="U733" t="b" cm="1">
        <f t="array" aca="1" ref="U733" ca="1">AND(T733,OR(O733-N733&gt;1,P733&gt;1,ISERROR(A733:P733)))</f>
        <v>0</v>
      </c>
      <c r="W733" t="e">
        <f>MATCH(K733&amp;$W$2,Taostats_CSV!$X$3:$X$1167,0)</f>
        <v>#N/A</v>
      </c>
      <c r="X733" t="e">
        <f t="shared" ca="1" si="78"/>
        <v>#VALUE!</v>
      </c>
      <c r="Y733">
        <f t="shared" ca="1" si="79"/>
        <v>0.143423948</v>
      </c>
      <c r="Z733" t="e">
        <f t="shared" ca="1" si="80"/>
        <v>#VALUE!</v>
      </c>
    </row>
    <row r="734" spans="1:26" hidden="1" x14ac:dyDescent="0.4">
      <c r="A734" t="str">
        <f>MID(Taostats_CSV!C734,6,2)&amp;"/"&amp;MID(Taostats_CSV!C734,9,2)&amp;"/"&amp;LEFT(Taostats_CSV!C734,4)&amp;" "&amp;MID(Taostats_CSV!C734,12,8)</f>
        <v>08/04/2025 23:59:48</v>
      </c>
      <c r="C734" t="str">
        <f ca="1">IF(Q734,OFFSET(Taostats_CSV!$E$1,MATCH(K734&amp;D$1,Taostats_CSV!$X:$X,0)-1,0),IF(Taostats_CSV!F734="fee","",IF(VALUE(Taostats_CSV!G734)&gt;0,Taostats_CSV!E734,"")))</f>
        <v/>
      </c>
      <c r="D734" t="str">
        <f ca="1">IF(Q734,OFFSET(Taostats_CSV!$G$1,MATCH(K734&amp;D$1,Taostats_CSV!$X:$X,0)-1,0),IF(Taostats_CSV!F734="fee","",IF(VALUE(Taostats_CSV!G734)&gt;0,Taostats_CSV!G734,"")))</f>
        <v/>
      </c>
      <c r="E734" t="str">
        <f ca="1">IF(AND(Q734,P734&gt;0),OFFSET(Taostats_CSV!$E$1,MATCH(K734&amp;F$1,Taostats_CSV!$X:$X,0)-1,0),IF(LEN(F734)&gt;0,Taostats_CSV!E734,""))</f>
        <v>TAO</v>
      </c>
      <c r="F734" t="str">
        <f ca="1">TRIM(IF(AND(Q734,P734&gt;0),OFFSET(Taostats_CSV!$H$1,MATCH(K734&amp;F$1,Taostats_CSV!$X:$X,0)-1,0),IF(LEN(Taostats_CSV!H734)&gt;0,Taostats_CSV!H734,Taostats_CSV!R734)))</f>
        <v>0</v>
      </c>
      <c r="G734" t="str">
        <f ca="1">IF(AND(Q734,N734=1),OFFSET(Taostats_CSV!$E$1,MATCH(K734&amp;H$1,Taostats_CSV!$X:$X,0)-1,0),IF(Taostats_CSV!F734="fee",Taostats_CSV!E734,""))</f>
        <v/>
      </c>
      <c r="H734" t="str">
        <f ca="1">IF(AND(Q734,N734=1),OFFSET(Taostats_CSV!$G$1,MATCH(K734&amp;H$1,Taostats_CSV!$X:$X,0)-1,0),IF(Taostats_CSV!F734="fee",Taostats_CSV!G734,""))</f>
        <v/>
      </c>
      <c r="I734" t="str">
        <f ca="1">IF(AND(LEN(K734)=0,LEN(F734)&gt;0),"Income",IF(AND(O734&gt;0,P734&gt;0,C734&lt;&gt;E734),"Trade",IF(AND(NOT(Q734),Taostats_CSV!F734="fee"),'READ ME'!$C$5,"")))</f>
        <v>Income</v>
      </c>
      <c r="J734" t="str">
        <f ca="1">SUBSTITUTE(IF(LEN(I734)=0,Taostats_CSV!F734&amp;" "&amp;Taostats_CSV!J734,IF(I734="Cost","Extrinsic fee","")),"_"," ")</f>
        <v/>
      </c>
      <c r="K734" t="str">
        <f>TRIM(IF(LEN(Taostats_CSV!I734)&gt;0,Taostats_CSV!I734,""))</f>
        <v/>
      </c>
      <c r="L734" t="str">
        <f>IF(Taostats_CSV!E734&lt;&gt;"TAO",IF(LEN(F734)&gt;0,F734,IF(LEN(D734)&gt;0,D734,0))*Taostats_CSV!P734,"")</f>
        <v/>
      </c>
      <c r="M734" t="str">
        <f t="shared" si="81"/>
        <v/>
      </c>
      <c r="N734">
        <f>COUNTIF(Taostats_CSV!$X:$X,Taostats_CSV!$I734&amp;N$1)</f>
        <v>0</v>
      </c>
      <c r="O734">
        <f>COUNTIF(Taostats_CSV!$X:$X,Taostats_CSV!$I734&amp;O$1)</f>
        <v>0</v>
      </c>
      <c r="P734">
        <f>COUNTIF(Taostats_CSV!$X:$X,Taostats_CSV!$I734&amp;P$1)</f>
        <v>0</v>
      </c>
      <c r="Q734" t="b">
        <f t="shared" si="82"/>
        <v>0</v>
      </c>
      <c r="R734" t="b">
        <f>IF(LEN(K734)&gt;0,COUNTIF($K$3:K734,K734),FALSE)</f>
        <v>0</v>
      </c>
      <c r="S734" t="b">
        <f>IF(Taostats_CSV!A734=Taostats_CSV!$A$2,TRUE,Taostats_CSV!G734+Taostats_CSV!H734+Taostats_CSV!R734=0)</f>
        <v>1</v>
      </c>
      <c r="T734" t="b">
        <f t="shared" si="83"/>
        <v>0</v>
      </c>
      <c r="U734" t="b" cm="1">
        <f t="array" aca="1" ref="U734" ca="1">AND(T734,OR(O734-N734&gt;1,P734&gt;1,ISERROR(A734:P734)))</f>
        <v>0</v>
      </c>
      <c r="W734" t="e">
        <f>MATCH(K734&amp;$W$2,Taostats_CSV!$X$3:$X$1167,0)</f>
        <v>#N/A</v>
      </c>
      <c r="X734" t="e">
        <f t="shared" ca="1" si="78"/>
        <v>#VALUE!</v>
      </c>
      <c r="Y734">
        <f t="shared" ca="1" si="79"/>
        <v>0</v>
      </c>
      <c r="Z734" t="e">
        <f t="shared" ca="1" si="80"/>
        <v>#VALUE!</v>
      </c>
    </row>
    <row r="735" spans="1:26" x14ac:dyDescent="0.4">
      <c r="A735" t="str">
        <f>MID(Taostats_CSV!C735,6,2)&amp;"/"&amp;MID(Taostats_CSV!C735,9,2)&amp;"/"&amp;LEFT(Taostats_CSV!C735,4)&amp;" "&amp;MID(Taostats_CSV!C735,12,8)</f>
        <v>08/05/2025 23:59:48</v>
      </c>
      <c r="C735" t="str">
        <f ca="1">IF(Q735,OFFSET(Taostats_CSV!$E$1,MATCH(K735&amp;D$1,Taostats_CSV!$X:$X,0)-1,0),IF(Taostats_CSV!F735="fee",IF(VALUE(Taostats_CSV!G735)&gt;0,Taostats_CSV!E735,""),""))</f>
        <v/>
      </c>
      <c r="D735" t="str">
        <f ca="1">IF(Q735,OFFSET(Taostats_CSV!$G$1,MATCH(K735&amp;D$1,Taostats_CSV!$X:$X,0)-1,0),IF(Taostats_CSV!F735="fee",IF(VALUE(Taostats_CSV!G735)&gt;0,Taostats_CSV!G735,""),""))</f>
        <v/>
      </c>
      <c r="E735" t="str">
        <f ca="1">IF(AND(Q735,P735&gt;0),OFFSET(Taostats_CSV!$E$1,MATCH(K735&amp;F$1,Taostats_CSV!$X:$X,0)-1,0),IF(LEN(F735)&gt;0,Taostats_CSV!E735,""))</f>
        <v>SN3</v>
      </c>
      <c r="F735" t="str">
        <f ca="1">TRIM(IF(AND(Q735,P735&gt;0),OFFSET(Taostats_CSV!$H$1,MATCH(K735&amp;F$1,Taostats_CSV!$X:$X,0)-1,0),IF(LEN(Taostats_CSV!H735)&gt;0,Taostats_CSV!H735,Taostats_CSV!R735)))</f>
        <v>0.415396231</v>
      </c>
      <c r="G735" t="str">
        <f ca="1">IF(AND(Q735,N735=1),OFFSET(Taostats_CSV!$E$1,MATCH(K735&amp;H$1,Taostats_CSV!$X:$X,0)-1,0),"")</f>
        <v/>
      </c>
      <c r="H735" t="str">
        <f ca="1">IF(AND(Q735,N735=1),OFFSET(Taostats_CSV!$G$1,MATCH(K735&amp;H$1,Taostats_CSV!$X:$X,0)-1,0),"")</f>
        <v/>
      </c>
      <c r="I735" t="str">
        <f ca="1">IF(AND(LEN(K735)=0,LEN(F735)&gt;0),"Income",IF(AND(O735&gt;0,P735&gt;0,C735&lt;&gt;E735),"Trade",IF(AND(NOT(Q735),Taostats_CSV!F735="fee"),'READ ME'!$C$5,"")))</f>
        <v>Income</v>
      </c>
      <c r="J735" t="str">
        <f ca="1">SUBSTITUTE(IF(LEN(I735)=0,Taostats_CSV!F735&amp;" "&amp;Taostats_CSV!J735,IF(I735="Cost","Extrinsic fee","")),"_"," ")</f>
        <v/>
      </c>
      <c r="K735" t="str">
        <f>TRIM(IF(LEN(Taostats_CSV!I735)&gt;0,Taostats_CSV!I735,""))</f>
        <v/>
      </c>
      <c r="L735">
        <f ca="1">IF(Taostats_CSV!E735&lt;&gt;"TAO",IF(LEN(F735)&gt;0,F735,IF(LEN(D735)&gt;0,D735,0))*Taostats_CSV!P735,"")</f>
        <v>7.7291426028076682</v>
      </c>
      <c r="M735" t="str">
        <f t="shared" ca="1" si="81"/>
        <v>USD</v>
      </c>
      <c r="N735">
        <f>COUNTIF(Taostats_CSV!$X:$X,Taostats_CSV!$I735&amp;N$1)</f>
        <v>0</v>
      </c>
      <c r="O735">
        <f>COUNTIF(Taostats_CSV!$X:$X,Taostats_CSV!$I735&amp;O$1)</f>
        <v>0</v>
      </c>
      <c r="P735">
        <f>COUNTIF(Taostats_CSV!$X:$X,Taostats_CSV!$I735&amp;P$1)</f>
        <v>0</v>
      </c>
      <c r="Q735" t="b">
        <f t="shared" si="82"/>
        <v>0</v>
      </c>
      <c r="R735" t="b">
        <f>IF(LEN(K735)&gt;0,COUNTIF($K$3:K735,K735),FALSE)</f>
        <v>0</v>
      </c>
      <c r="S735" t="b">
        <f>IF(Taostats_CSV!A735=Taostats_CSV!$A$2,TRUE,Taostats_CSV!G735+Taostats_CSV!H735+Taostats_CSV!R735=0)</f>
        <v>0</v>
      </c>
      <c r="T735" t="b">
        <f t="shared" si="83"/>
        <v>1</v>
      </c>
      <c r="U735" t="b" cm="1">
        <f t="array" aca="1" ref="U735" ca="1">AND(T735,OR(O735-N735&gt;1,P735&gt;1,ISERROR(A735:P735)))</f>
        <v>0</v>
      </c>
      <c r="W735" t="e">
        <f>MATCH(K735&amp;$W$2,Taostats_CSV!$X$3:$X$1167,0)</f>
        <v>#N/A</v>
      </c>
      <c r="X735" t="e">
        <f t="shared" ca="1" si="78"/>
        <v>#VALUE!</v>
      </c>
      <c r="Y735">
        <f t="shared" ca="1" si="79"/>
        <v>0.415396231</v>
      </c>
      <c r="Z735" t="e">
        <f t="shared" ca="1" si="80"/>
        <v>#VALUE!</v>
      </c>
    </row>
    <row r="736" spans="1:26" x14ac:dyDescent="0.4">
      <c r="A736" t="str">
        <f>MID(Taostats_CSV!C736,6,2)&amp;"/"&amp;MID(Taostats_CSV!C736,9,2)&amp;"/"&amp;LEFT(Taostats_CSV!C736,4)&amp;" "&amp;MID(Taostats_CSV!C736,12,8)</f>
        <v>08/05/2025 23:59:48</v>
      </c>
      <c r="C736" t="str">
        <f ca="1">IF(Q736,OFFSET(Taostats_CSV!$E$1,MATCH(K736&amp;D$1,Taostats_CSV!$X:$X,0)-1,0),IF(Taostats_CSV!F736="fee",IF(VALUE(Taostats_CSV!G736)&gt;0,Taostats_CSV!E736,""),""))</f>
        <v/>
      </c>
      <c r="D736" t="str">
        <f ca="1">IF(Q736,OFFSET(Taostats_CSV!$G$1,MATCH(K736&amp;D$1,Taostats_CSV!$X:$X,0)-1,0),IF(Taostats_CSV!F736="fee",IF(VALUE(Taostats_CSV!G736)&gt;0,Taostats_CSV!G736,""),""))</f>
        <v/>
      </c>
      <c r="E736" t="str">
        <f ca="1">IF(AND(Q736,P736&gt;0),OFFSET(Taostats_CSV!$E$1,MATCH(K736&amp;F$1,Taostats_CSV!$X:$X,0)-1,0),IF(LEN(F736)&gt;0,Taostats_CSV!E736,""))</f>
        <v>SN4</v>
      </c>
      <c r="F736" t="str">
        <f ca="1">TRIM(IF(AND(Q736,P736&gt;0),OFFSET(Taostats_CSV!$H$1,MATCH(K736&amp;F$1,Taostats_CSV!$X:$X,0)-1,0),IF(LEN(Taostats_CSV!H736)&gt;0,Taostats_CSV!H736,Taostats_CSV!R736)))</f>
        <v>0.516877839</v>
      </c>
      <c r="G736" t="str">
        <f ca="1">IF(AND(Q736,N736=1),OFFSET(Taostats_CSV!$E$1,MATCH(K736&amp;H$1,Taostats_CSV!$X:$X,0)-1,0),"")</f>
        <v/>
      </c>
      <c r="H736" t="str">
        <f ca="1">IF(AND(Q736,N736=1),OFFSET(Taostats_CSV!$G$1,MATCH(K736&amp;H$1,Taostats_CSV!$X:$X,0)-1,0),"")</f>
        <v/>
      </c>
      <c r="I736" t="str">
        <f ca="1">IF(AND(LEN(K736)=0,LEN(F736)&gt;0),"Income",IF(AND(O736&gt;0,P736&gt;0,C736&lt;&gt;E736),"Trade",IF(AND(NOT(Q736),Taostats_CSV!F736="fee"),'READ ME'!$C$5,"")))</f>
        <v>Income</v>
      </c>
      <c r="J736" t="str">
        <f ca="1">SUBSTITUTE(IF(LEN(I736)=0,Taostats_CSV!F736&amp;" "&amp;Taostats_CSV!J736,IF(I736="Cost","Extrinsic fee","")),"_"," ")</f>
        <v/>
      </c>
      <c r="K736" t="str">
        <f>TRIM(IF(LEN(Taostats_CSV!I736)&gt;0,Taostats_CSV!I736,""))</f>
        <v/>
      </c>
      <c r="L736">
        <f ca="1">IF(Taostats_CSV!E736&lt;&gt;"TAO",IF(LEN(F736)&gt;0,F736,IF(LEN(D736)&gt;0,D736,0))*Taostats_CSV!P736,"")</f>
        <v>10.205275078360888</v>
      </c>
      <c r="M736" t="str">
        <f t="shared" ca="1" si="81"/>
        <v>USD</v>
      </c>
      <c r="N736">
        <f>COUNTIF(Taostats_CSV!$X:$X,Taostats_CSV!$I736&amp;N$1)</f>
        <v>0</v>
      </c>
      <c r="O736">
        <f>COUNTIF(Taostats_CSV!$X:$X,Taostats_CSV!$I736&amp;O$1)</f>
        <v>0</v>
      </c>
      <c r="P736">
        <f>COUNTIF(Taostats_CSV!$X:$X,Taostats_CSV!$I736&amp;P$1)</f>
        <v>0</v>
      </c>
      <c r="Q736" t="b">
        <f t="shared" si="82"/>
        <v>0</v>
      </c>
      <c r="R736" t="b">
        <f>IF(LEN(K736)&gt;0,COUNTIF($K$3:K736,K736),FALSE)</f>
        <v>0</v>
      </c>
      <c r="S736" t="b">
        <f>IF(Taostats_CSV!A736=Taostats_CSV!$A$2,TRUE,Taostats_CSV!G736+Taostats_CSV!H736+Taostats_CSV!R736=0)</f>
        <v>0</v>
      </c>
      <c r="T736" t="b">
        <f t="shared" si="83"/>
        <v>1</v>
      </c>
      <c r="U736" t="b" cm="1">
        <f t="array" aca="1" ref="U736" ca="1">AND(T736,OR(O736-N736&gt;1,P736&gt;1,ISERROR(A736:P736)))</f>
        <v>0</v>
      </c>
      <c r="W736" t="e">
        <f>MATCH(K736&amp;$W$2,Taostats_CSV!$X$3:$X$1167,0)</f>
        <v>#N/A</v>
      </c>
      <c r="X736" t="e">
        <f t="shared" ca="1" si="78"/>
        <v>#VALUE!</v>
      </c>
      <c r="Y736">
        <f t="shared" ca="1" si="79"/>
        <v>0.51687783899999995</v>
      </c>
      <c r="Z736" t="e">
        <f t="shared" ca="1" si="80"/>
        <v>#VALUE!</v>
      </c>
    </row>
    <row r="737" spans="1:26" x14ac:dyDescent="0.4">
      <c r="A737" t="str">
        <f>MID(Taostats_CSV!C737,6,2)&amp;"/"&amp;MID(Taostats_CSV!C737,9,2)&amp;"/"&amp;LEFT(Taostats_CSV!C737,4)&amp;" "&amp;MID(Taostats_CSV!C737,12,8)</f>
        <v>08/05/2025 23:59:48</v>
      </c>
      <c r="C737" t="str">
        <f ca="1">IF(Q737,OFFSET(Taostats_CSV!$E$1,MATCH(K737&amp;D$1,Taostats_CSV!$X:$X,0)-1,0),IF(Taostats_CSV!F737="fee",IF(VALUE(Taostats_CSV!G737)&gt;0,Taostats_CSV!E737,""),""))</f>
        <v/>
      </c>
      <c r="D737" t="str">
        <f ca="1">IF(Q737,OFFSET(Taostats_CSV!$G$1,MATCH(K737&amp;D$1,Taostats_CSV!$X:$X,0)-1,0),IF(Taostats_CSV!F737="fee",IF(VALUE(Taostats_CSV!G737)&gt;0,Taostats_CSV!G737,""),""))</f>
        <v/>
      </c>
      <c r="E737" t="str">
        <f ca="1">IF(AND(Q737,P737&gt;0),OFFSET(Taostats_CSV!$E$1,MATCH(K737&amp;F$1,Taostats_CSV!$X:$X,0)-1,0),IF(LEN(F737)&gt;0,Taostats_CSV!E737,""))</f>
        <v>SN56</v>
      </c>
      <c r="F737" t="str">
        <f ca="1">TRIM(IF(AND(Q737,P737&gt;0),OFFSET(Taostats_CSV!$H$1,MATCH(K737&amp;F$1,Taostats_CSV!$X:$X,0)-1,0),IF(LEN(Taostats_CSV!H737)&gt;0,Taostats_CSV!H737,Taostats_CSV!R737)))</f>
        <v>0.257045406</v>
      </c>
      <c r="G737" t="str">
        <f ca="1">IF(AND(Q737,N737=1),OFFSET(Taostats_CSV!$E$1,MATCH(K737&amp;H$1,Taostats_CSV!$X:$X,0)-1,0),"")</f>
        <v/>
      </c>
      <c r="H737" t="str">
        <f ca="1">IF(AND(Q737,N737=1),OFFSET(Taostats_CSV!$G$1,MATCH(K737&amp;H$1,Taostats_CSV!$X:$X,0)-1,0),"")</f>
        <v/>
      </c>
      <c r="I737" t="str">
        <f ca="1">IF(AND(LEN(K737)=0,LEN(F737)&gt;0),"Income",IF(AND(O737&gt;0,P737&gt;0,C737&lt;&gt;E737),"Trade",IF(AND(NOT(Q737),Taostats_CSV!F737="fee"),'READ ME'!$C$5,"")))</f>
        <v>Income</v>
      </c>
      <c r="J737" t="str">
        <f ca="1">SUBSTITUTE(IF(LEN(I737)=0,Taostats_CSV!F737&amp;" "&amp;Taostats_CSV!J737,IF(I737="Cost","Extrinsic fee","")),"_"," ")</f>
        <v/>
      </c>
      <c r="K737" t="str">
        <f>TRIM(IF(LEN(Taostats_CSV!I737)&gt;0,Taostats_CSV!I737,""))</f>
        <v/>
      </c>
      <c r="L737">
        <f ca="1">IF(Taostats_CSV!E737&lt;&gt;"TAO",IF(LEN(F737)&gt;0,F737,IF(LEN(D737)&gt;0,D737,0))*Taostats_CSV!P737,"")</f>
        <v>4.5660451475444113</v>
      </c>
      <c r="M737" t="str">
        <f t="shared" ca="1" si="81"/>
        <v>USD</v>
      </c>
      <c r="N737">
        <f>COUNTIF(Taostats_CSV!$X:$X,Taostats_CSV!$I737&amp;N$1)</f>
        <v>0</v>
      </c>
      <c r="O737">
        <f>COUNTIF(Taostats_CSV!$X:$X,Taostats_CSV!$I737&amp;O$1)</f>
        <v>0</v>
      </c>
      <c r="P737">
        <f>COUNTIF(Taostats_CSV!$X:$X,Taostats_CSV!$I737&amp;P$1)</f>
        <v>0</v>
      </c>
      <c r="Q737" t="b">
        <f t="shared" si="82"/>
        <v>0</v>
      </c>
      <c r="R737" t="b">
        <f>IF(LEN(K737)&gt;0,COUNTIF($K$3:K737,K737),FALSE)</f>
        <v>0</v>
      </c>
      <c r="S737" t="b">
        <f>IF(Taostats_CSV!A737=Taostats_CSV!$A$2,TRUE,Taostats_CSV!G737+Taostats_CSV!H737+Taostats_CSV!R737=0)</f>
        <v>0</v>
      </c>
      <c r="T737" t="b">
        <f t="shared" si="83"/>
        <v>1</v>
      </c>
      <c r="U737" t="b" cm="1">
        <f t="array" aca="1" ref="U737" ca="1">AND(T737,OR(O737-N737&gt;1,P737&gt;1,ISERROR(A737:P737)))</f>
        <v>0</v>
      </c>
      <c r="W737" t="e">
        <f>MATCH(K737&amp;$W$2,Taostats_CSV!$X$3:$X$1167,0)</f>
        <v>#N/A</v>
      </c>
      <c r="X737" t="e">
        <f t="shared" ca="1" si="78"/>
        <v>#VALUE!</v>
      </c>
      <c r="Y737">
        <f t="shared" ca="1" si="79"/>
        <v>0.25704540599999998</v>
      </c>
      <c r="Z737" t="e">
        <f t="shared" ca="1" si="80"/>
        <v>#VALUE!</v>
      </c>
    </row>
    <row r="738" spans="1:26" x14ac:dyDescent="0.4">
      <c r="A738" t="str">
        <f>MID(Taostats_CSV!C738,6,2)&amp;"/"&amp;MID(Taostats_CSV!C738,9,2)&amp;"/"&amp;LEFT(Taostats_CSV!C738,4)&amp;" "&amp;MID(Taostats_CSV!C738,12,8)</f>
        <v>08/05/2025 23:59:48</v>
      </c>
      <c r="C738" t="str">
        <f ca="1">IF(Q738,OFFSET(Taostats_CSV!$E$1,MATCH(K738&amp;D$1,Taostats_CSV!$X:$X,0)-1,0),IF(Taostats_CSV!F738="fee",IF(VALUE(Taostats_CSV!G738)&gt;0,Taostats_CSV!E738,""),""))</f>
        <v/>
      </c>
      <c r="D738" t="str">
        <f ca="1">IF(Q738,OFFSET(Taostats_CSV!$G$1,MATCH(K738&amp;D$1,Taostats_CSV!$X:$X,0)-1,0),IF(Taostats_CSV!F738="fee",IF(VALUE(Taostats_CSV!G738)&gt;0,Taostats_CSV!G738,""),""))</f>
        <v/>
      </c>
      <c r="E738" t="str">
        <f ca="1">IF(AND(Q738,P738&gt;0),OFFSET(Taostats_CSV!$E$1,MATCH(K738&amp;F$1,Taostats_CSV!$X:$X,0)-1,0),IF(LEN(F738)&gt;0,Taostats_CSV!E738,""))</f>
        <v>SN64</v>
      </c>
      <c r="F738" t="str">
        <f ca="1">TRIM(IF(AND(Q738,P738&gt;0),OFFSET(Taostats_CSV!$H$1,MATCH(K738&amp;F$1,Taostats_CSV!$X:$X,0)-1,0),IF(LEN(Taostats_CSV!H738)&gt;0,Taostats_CSV!H738,Taostats_CSV!R738)))</f>
        <v>0.142792758</v>
      </c>
      <c r="G738" t="str">
        <f ca="1">IF(AND(Q738,N738=1),OFFSET(Taostats_CSV!$E$1,MATCH(K738&amp;H$1,Taostats_CSV!$X:$X,0)-1,0),"")</f>
        <v/>
      </c>
      <c r="H738" t="str">
        <f ca="1">IF(AND(Q738,N738=1),OFFSET(Taostats_CSV!$G$1,MATCH(K738&amp;H$1,Taostats_CSV!$X:$X,0)-1,0),"")</f>
        <v/>
      </c>
      <c r="I738" t="str">
        <f ca="1">IF(AND(LEN(K738)=0,LEN(F738)&gt;0),"Income",IF(AND(O738&gt;0,P738&gt;0,C738&lt;&gt;E738),"Trade",IF(AND(NOT(Q738),Taostats_CSV!F738="fee"),'READ ME'!$C$5,"")))</f>
        <v>Income</v>
      </c>
      <c r="J738" t="str">
        <f ca="1">SUBSTITUTE(IF(LEN(I738)=0,Taostats_CSV!F738&amp;" "&amp;Taostats_CSV!J738,IF(I738="Cost","Extrinsic fee","")),"_"," ")</f>
        <v/>
      </c>
      <c r="K738" t="str">
        <f>TRIM(IF(LEN(Taostats_CSV!I738)&gt;0,Taostats_CSV!I738,""))</f>
        <v/>
      </c>
      <c r="L738">
        <f ca="1">IF(Taostats_CSV!E738&lt;&gt;"TAO",IF(LEN(F738)&gt;0,F738,IF(LEN(D738)&gt;0,D738,0))*Taostats_CSV!P738,"")</f>
        <v>6.2907602697496019</v>
      </c>
      <c r="M738" t="str">
        <f t="shared" ca="1" si="81"/>
        <v>USD</v>
      </c>
      <c r="N738">
        <f>COUNTIF(Taostats_CSV!$X:$X,Taostats_CSV!$I738&amp;N$1)</f>
        <v>0</v>
      </c>
      <c r="O738">
        <f>COUNTIF(Taostats_CSV!$X:$X,Taostats_CSV!$I738&amp;O$1)</f>
        <v>0</v>
      </c>
      <c r="P738">
        <f>COUNTIF(Taostats_CSV!$X:$X,Taostats_CSV!$I738&amp;P$1)</f>
        <v>0</v>
      </c>
      <c r="Q738" t="b">
        <f t="shared" si="82"/>
        <v>0</v>
      </c>
      <c r="R738" t="b">
        <f>IF(LEN(K738)&gt;0,COUNTIF($K$3:K738,K738),FALSE)</f>
        <v>0</v>
      </c>
      <c r="S738" t="b">
        <f>IF(Taostats_CSV!A738=Taostats_CSV!$A$2,TRUE,Taostats_CSV!G738+Taostats_CSV!H738+Taostats_CSV!R738=0)</f>
        <v>0</v>
      </c>
      <c r="T738" t="b">
        <f t="shared" si="83"/>
        <v>1</v>
      </c>
      <c r="U738" t="b" cm="1">
        <f t="array" aca="1" ref="U738" ca="1">AND(T738,OR(O738-N738&gt;1,P738&gt;1,ISERROR(A738:P738)))</f>
        <v>0</v>
      </c>
      <c r="W738" t="e">
        <f>MATCH(K738&amp;$W$2,Taostats_CSV!$X$3:$X$1167,0)</f>
        <v>#N/A</v>
      </c>
      <c r="X738" t="e">
        <f t="shared" ca="1" si="78"/>
        <v>#VALUE!</v>
      </c>
      <c r="Y738">
        <f t="shared" ca="1" si="79"/>
        <v>0.14279275799999999</v>
      </c>
      <c r="Z738" t="e">
        <f t="shared" ca="1" si="80"/>
        <v>#VALUE!</v>
      </c>
    </row>
    <row r="739" spans="1:26" hidden="1" x14ac:dyDescent="0.4">
      <c r="A739" t="str">
        <f>MID(Taostats_CSV!C739,6,2)&amp;"/"&amp;MID(Taostats_CSV!C739,9,2)&amp;"/"&amp;LEFT(Taostats_CSV!C739,4)&amp;" "&amp;MID(Taostats_CSV!C739,12,8)</f>
        <v>08/05/2025 23:59:48</v>
      </c>
      <c r="C739" t="str">
        <f ca="1">IF(Q739,OFFSET(Taostats_CSV!$E$1,MATCH(K739&amp;D$1,Taostats_CSV!$X:$X,0)-1,0),IF(Taostats_CSV!F739="fee","",IF(VALUE(Taostats_CSV!G739)&gt;0,Taostats_CSV!E739,"")))</f>
        <v/>
      </c>
      <c r="D739" t="str">
        <f ca="1">IF(Q739,OFFSET(Taostats_CSV!$G$1,MATCH(K739&amp;D$1,Taostats_CSV!$X:$X,0)-1,0),IF(Taostats_CSV!F739="fee","",IF(VALUE(Taostats_CSV!G739)&gt;0,Taostats_CSV!G739,"")))</f>
        <v/>
      </c>
      <c r="E739" t="str">
        <f ca="1">IF(AND(Q739,P739&gt;0),OFFSET(Taostats_CSV!$E$1,MATCH(K739&amp;F$1,Taostats_CSV!$X:$X,0)-1,0),IF(LEN(F739)&gt;0,Taostats_CSV!E739,""))</f>
        <v>TAO</v>
      </c>
      <c r="F739" t="str">
        <f ca="1">TRIM(IF(AND(Q739,P739&gt;0),OFFSET(Taostats_CSV!$H$1,MATCH(K739&amp;F$1,Taostats_CSV!$X:$X,0)-1,0),IF(LEN(Taostats_CSV!H739)&gt;0,Taostats_CSV!H739,Taostats_CSV!R739)))</f>
        <v>0</v>
      </c>
      <c r="G739" t="str">
        <f ca="1">IF(AND(Q739,N739=1),OFFSET(Taostats_CSV!$E$1,MATCH(K739&amp;H$1,Taostats_CSV!$X:$X,0)-1,0),IF(Taostats_CSV!F739="fee",Taostats_CSV!E739,""))</f>
        <v/>
      </c>
      <c r="H739" t="str">
        <f ca="1">IF(AND(Q739,N739=1),OFFSET(Taostats_CSV!$G$1,MATCH(K739&amp;H$1,Taostats_CSV!$X:$X,0)-1,0),IF(Taostats_CSV!F739="fee",Taostats_CSV!G739,""))</f>
        <v/>
      </c>
      <c r="I739" t="str">
        <f ca="1">IF(AND(LEN(K739)=0,LEN(F739)&gt;0),"Income",IF(AND(O739&gt;0,P739&gt;0,C739&lt;&gt;E739),"Trade",IF(AND(NOT(Q739),Taostats_CSV!F739="fee"),'READ ME'!$C$5,"")))</f>
        <v>Income</v>
      </c>
      <c r="J739" t="str">
        <f ca="1">SUBSTITUTE(IF(LEN(I739)=0,Taostats_CSV!F739&amp;" "&amp;Taostats_CSV!J739,IF(I739="Cost","Extrinsic fee","")),"_"," ")</f>
        <v/>
      </c>
      <c r="K739" t="str">
        <f>TRIM(IF(LEN(Taostats_CSV!I739)&gt;0,Taostats_CSV!I739,""))</f>
        <v/>
      </c>
      <c r="L739" t="str">
        <f>IF(Taostats_CSV!E739&lt;&gt;"TAO",IF(LEN(F739)&gt;0,F739,IF(LEN(D739)&gt;0,D739,0))*Taostats_CSV!P739,"")</f>
        <v/>
      </c>
      <c r="M739" t="str">
        <f t="shared" si="81"/>
        <v/>
      </c>
      <c r="N739">
        <f>COUNTIF(Taostats_CSV!$X:$X,Taostats_CSV!$I739&amp;N$1)</f>
        <v>0</v>
      </c>
      <c r="O739">
        <f>COUNTIF(Taostats_CSV!$X:$X,Taostats_CSV!$I739&amp;O$1)</f>
        <v>0</v>
      </c>
      <c r="P739">
        <f>COUNTIF(Taostats_CSV!$X:$X,Taostats_CSV!$I739&amp;P$1)</f>
        <v>0</v>
      </c>
      <c r="Q739" t="b">
        <f t="shared" si="82"/>
        <v>0</v>
      </c>
      <c r="R739" t="b">
        <f>IF(LEN(K739)&gt;0,COUNTIF($K$3:K739,K739),FALSE)</f>
        <v>0</v>
      </c>
      <c r="S739" t="b">
        <f>IF(Taostats_CSV!A739=Taostats_CSV!$A$2,TRUE,Taostats_CSV!G739+Taostats_CSV!H739+Taostats_CSV!R739=0)</f>
        <v>1</v>
      </c>
      <c r="T739" t="b">
        <f t="shared" si="83"/>
        <v>0</v>
      </c>
      <c r="U739" t="b" cm="1">
        <f t="array" aca="1" ref="U739" ca="1">AND(T739,OR(O739-N739&gt;1,P739&gt;1,ISERROR(A739:P739)))</f>
        <v>0</v>
      </c>
      <c r="W739" t="e">
        <f>MATCH(K739&amp;$W$2,Taostats_CSV!$X$3:$X$1167,0)</f>
        <v>#N/A</v>
      </c>
      <c r="X739" t="e">
        <f t="shared" ca="1" si="78"/>
        <v>#VALUE!</v>
      </c>
      <c r="Y739">
        <f t="shared" ca="1" si="79"/>
        <v>0</v>
      </c>
      <c r="Z739" t="e">
        <f t="shared" ca="1" si="80"/>
        <v>#VALUE!</v>
      </c>
    </row>
    <row r="740" spans="1:26" x14ac:dyDescent="0.4">
      <c r="A740" t="str">
        <f>MID(Taostats_CSV!C740,6,2)&amp;"/"&amp;MID(Taostats_CSV!C740,9,2)&amp;"/"&amp;LEFT(Taostats_CSV!C740,4)&amp;" "&amp;MID(Taostats_CSV!C740,12,8)</f>
        <v>08/06/2025 23:59:48</v>
      </c>
      <c r="C740" t="str">
        <f ca="1">IF(Q740,OFFSET(Taostats_CSV!$E$1,MATCH(K740&amp;D$1,Taostats_CSV!$X:$X,0)-1,0),IF(Taostats_CSV!F740="fee",IF(VALUE(Taostats_CSV!G740)&gt;0,Taostats_CSV!E740,""),""))</f>
        <v/>
      </c>
      <c r="D740" t="str">
        <f ca="1">IF(Q740,OFFSET(Taostats_CSV!$G$1,MATCH(K740&amp;D$1,Taostats_CSV!$X:$X,0)-1,0),IF(Taostats_CSV!F740="fee",IF(VALUE(Taostats_CSV!G740)&gt;0,Taostats_CSV!G740,""),""))</f>
        <v/>
      </c>
      <c r="E740" t="str">
        <f ca="1">IF(AND(Q740,P740&gt;0),OFFSET(Taostats_CSV!$E$1,MATCH(K740&amp;F$1,Taostats_CSV!$X:$X,0)-1,0),IF(LEN(F740)&gt;0,Taostats_CSV!E740,""))</f>
        <v>SN3</v>
      </c>
      <c r="F740" t="str">
        <f ca="1">TRIM(IF(AND(Q740,P740&gt;0),OFFSET(Taostats_CSV!$H$1,MATCH(K740&amp;F$1,Taostats_CSV!$X:$X,0)-1,0),IF(LEN(Taostats_CSV!H740)&gt;0,Taostats_CSV!H740,Taostats_CSV!R740)))</f>
        <v>0.40808941</v>
      </c>
      <c r="G740" t="str">
        <f ca="1">IF(AND(Q740,N740=1),OFFSET(Taostats_CSV!$E$1,MATCH(K740&amp;H$1,Taostats_CSV!$X:$X,0)-1,0),"")</f>
        <v/>
      </c>
      <c r="H740" t="str">
        <f ca="1">IF(AND(Q740,N740=1),OFFSET(Taostats_CSV!$G$1,MATCH(K740&amp;H$1,Taostats_CSV!$X:$X,0)-1,0),"")</f>
        <v/>
      </c>
      <c r="I740" t="str">
        <f ca="1">IF(AND(LEN(K740)=0,LEN(F740)&gt;0),"Income",IF(AND(O740&gt;0,P740&gt;0,C740&lt;&gt;E740),"Trade",IF(AND(NOT(Q740),Taostats_CSV!F740="fee"),'READ ME'!$C$5,"")))</f>
        <v>Income</v>
      </c>
      <c r="J740" t="str">
        <f ca="1">SUBSTITUTE(IF(LEN(I740)=0,Taostats_CSV!F740&amp;" "&amp;Taostats_CSV!J740,IF(I740="Cost","Extrinsic fee","")),"_"," ")</f>
        <v/>
      </c>
      <c r="K740" t="str">
        <f>TRIM(IF(LEN(Taostats_CSV!I740)&gt;0,Taostats_CSV!I740,""))</f>
        <v/>
      </c>
      <c r="L740">
        <f ca="1">IF(Taostats_CSV!E740&lt;&gt;"TAO",IF(LEN(F740)&gt;0,F740,IF(LEN(D740)&gt;0,D740,0))*Taostats_CSV!P740,"")</f>
        <v>7.6566350414185536</v>
      </c>
      <c r="M740" t="str">
        <f t="shared" ca="1" si="81"/>
        <v>USD</v>
      </c>
      <c r="N740">
        <f>COUNTIF(Taostats_CSV!$X:$X,Taostats_CSV!$I740&amp;N$1)</f>
        <v>0</v>
      </c>
      <c r="O740">
        <f>COUNTIF(Taostats_CSV!$X:$X,Taostats_CSV!$I740&amp;O$1)</f>
        <v>0</v>
      </c>
      <c r="P740">
        <f>COUNTIF(Taostats_CSV!$X:$X,Taostats_CSV!$I740&amp;P$1)</f>
        <v>0</v>
      </c>
      <c r="Q740" t="b">
        <f t="shared" si="82"/>
        <v>0</v>
      </c>
      <c r="R740" t="b">
        <f>IF(LEN(K740)&gt;0,COUNTIF($K$3:K740,K740),FALSE)</f>
        <v>0</v>
      </c>
      <c r="S740" t="b">
        <f>IF(Taostats_CSV!A740=Taostats_CSV!$A$2,TRUE,Taostats_CSV!G740+Taostats_CSV!H740+Taostats_CSV!R740=0)</f>
        <v>0</v>
      </c>
      <c r="T740" t="b">
        <f t="shared" si="83"/>
        <v>1</v>
      </c>
      <c r="U740" t="b" cm="1">
        <f t="array" aca="1" ref="U740" ca="1">AND(T740,OR(O740-N740&gt;1,P740&gt;1,ISERROR(A740:P740)))</f>
        <v>0</v>
      </c>
      <c r="W740" t="e">
        <f>MATCH(K740&amp;$W$2,Taostats_CSV!$X$3:$X$1167,0)</f>
        <v>#N/A</v>
      </c>
      <c r="X740" t="e">
        <f t="shared" ca="1" si="78"/>
        <v>#VALUE!</v>
      </c>
      <c r="Y740">
        <f t="shared" ca="1" si="79"/>
        <v>0.40808940999999999</v>
      </c>
      <c r="Z740" t="e">
        <f t="shared" ca="1" si="80"/>
        <v>#VALUE!</v>
      </c>
    </row>
    <row r="741" spans="1:26" x14ac:dyDescent="0.4">
      <c r="A741" t="str">
        <f>MID(Taostats_CSV!C741,6,2)&amp;"/"&amp;MID(Taostats_CSV!C741,9,2)&amp;"/"&amp;LEFT(Taostats_CSV!C741,4)&amp;" "&amp;MID(Taostats_CSV!C741,12,8)</f>
        <v>08/06/2025 23:59:48</v>
      </c>
      <c r="C741" t="str">
        <f ca="1">IF(Q741,OFFSET(Taostats_CSV!$E$1,MATCH(K741&amp;D$1,Taostats_CSV!$X:$X,0)-1,0),IF(Taostats_CSV!F741="fee",IF(VALUE(Taostats_CSV!G741)&gt;0,Taostats_CSV!E741,""),""))</f>
        <v/>
      </c>
      <c r="D741" t="str">
        <f ca="1">IF(Q741,OFFSET(Taostats_CSV!$G$1,MATCH(K741&amp;D$1,Taostats_CSV!$X:$X,0)-1,0),IF(Taostats_CSV!F741="fee",IF(VALUE(Taostats_CSV!G741)&gt;0,Taostats_CSV!G741,""),""))</f>
        <v/>
      </c>
      <c r="E741" t="str">
        <f ca="1">IF(AND(Q741,P741&gt;0),OFFSET(Taostats_CSV!$E$1,MATCH(K741&amp;F$1,Taostats_CSV!$X:$X,0)-1,0),IF(LEN(F741)&gt;0,Taostats_CSV!E741,""))</f>
        <v>SN4</v>
      </c>
      <c r="F741" t="str">
        <f ca="1">TRIM(IF(AND(Q741,P741&gt;0),OFFSET(Taostats_CSV!$H$1,MATCH(K741&amp;F$1,Taostats_CSV!$X:$X,0)-1,0),IF(LEN(Taostats_CSV!H741)&gt;0,Taostats_CSV!H741,Taostats_CSV!R741)))</f>
        <v>0.437396666</v>
      </c>
      <c r="G741" t="str">
        <f ca="1">IF(AND(Q741,N741=1),OFFSET(Taostats_CSV!$E$1,MATCH(K741&amp;H$1,Taostats_CSV!$X:$X,0)-1,0),"")</f>
        <v/>
      </c>
      <c r="H741" t="str">
        <f ca="1">IF(AND(Q741,N741=1),OFFSET(Taostats_CSV!$G$1,MATCH(K741&amp;H$1,Taostats_CSV!$X:$X,0)-1,0),"")</f>
        <v/>
      </c>
      <c r="I741" t="str">
        <f ca="1">IF(AND(LEN(K741)=0,LEN(F741)&gt;0),"Income",IF(AND(O741&gt;0,P741&gt;0,C741&lt;&gt;E741),"Trade",IF(AND(NOT(Q741),Taostats_CSV!F741="fee"),'READ ME'!$C$5,"")))</f>
        <v>Income</v>
      </c>
      <c r="J741" t="str">
        <f ca="1">SUBSTITUTE(IF(LEN(I741)=0,Taostats_CSV!F741&amp;" "&amp;Taostats_CSV!J741,IF(I741="Cost","Extrinsic fee","")),"_"," ")</f>
        <v/>
      </c>
      <c r="K741" t="str">
        <f>TRIM(IF(LEN(Taostats_CSV!I741)&gt;0,Taostats_CSV!I741,""))</f>
        <v/>
      </c>
      <c r="L741">
        <f ca="1">IF(Taostats_CSV!E741&lt;&gt;"TAO",IF(LEN(F741)&gt;0,F741,IF(LEN(D741)&gt;0,D741,0))*Taostats_CSV!P741,"")</f>
        <v>8.6700094911769465</v>
      </c>
      <c r="M741" t="str">
        <f t="shared" ca="1" si="81"/>
        <v>USD</v>
      </c>
      <c r="N741">
        <f>COUNTIF(Taostats_CSV!$X:$X,Taostats_CSV!$I741&amp;N$1)</f>
        <v>0</v>
      </c>
      <c r="O741">
        <f>COUNTIF(Taostats_CSV!$X:$X,Taostats_CSV!$I741&amp;O$1)</f>
        <v>0</v>
      </c>
      <c r="P741">
        <f>COUNTIF(Taostats_CSV!$X:$X,Taostats_CSV!$I741&amp;P$1)</f>
        <v>0</v>
      </c>
      <c r="Q741" t="b">
        <f t="shared" si="82"/>
        <v>0</v>
      </c>
      <c r="R741" t="b">
        <f>IF(LEN(K741)&gt;0,COUNTIF($K$3:K741,K741),FALSE)</f>
        <v>0</v>
      </c>
      <c r="S741" t="b">
        <f>IF(Taostats_CSV!A741=Taostats_CSV!$A$2,TRUE,Taostats_CSV!G741+Taostats_CSV!H741+Taostats_CSV!R741=0)</f>
        <v>0</v>
      </c>
      <c r="T741" t="b">
        <f t="shared" si="83"/>
        <v>1</v>
      </c>
      <c r="U741" t="b" cm="1">
        <f t="array" aca="1" ref="U741" ca="1">AND(T741,OR(O741-N741&gt;1,P741&gt;1,ISERROR(A741:P741)))</f>
        <v>0</v>
      </c>
      <c r="W741" t="e">
        <f>MATCH(K741&amp;$W$2,Taostats_CSV!$X$3:$X$1167,0)</f>
        <v>#N/A</v>
      </c>
      <c r="X741" t="e">
        <f t="shared" ca="1" si="78"/>
        <v>#VALUE!</v>
      </c>
      <c r="Y741">
        <f t="shared" ca="1" si="79"/>
        <v>0.43739666599999999</v>
      </c>
      <c r="Z741" t="e">
        <f t="shared" ca="1" si="80"/>
        <v>#VALUE!</v>
      </c>
    </row>
    <row r="742" spans="1:26" x14ac:dyDescent="0.4">
      <c r="A742" t="str">
        <f>MID(Taostats_CSV!C742,6,2)&amp;"/"&amp;MID(Taostats_CSV!C742,9,2)&amp;"/"&amp;LEFT(Taostats_CSV!C742,4)&amp;" "&amp;MID(Taostats_CSV!C742,12,8)</f>
        <v>08/06/2025 23:59:48</v>
      </c>
      <c r="C742" t="str">
        <f ca="1">IF(Q742,OFFSET(Taostats_CSV!$E$1,MATCH(K742&amp;D$1,Taostats_CSV!$X:$X,0)-1,0),IF(Taostats_CSV!F742="fee",IF(VALUE(Taostats_CSV!G742)&gt;0,Taostats_CSV!E742,""),""))</f>
        <v/>
      </c>
      <c r="D742" t="str">
        <f ca="1">IF(Q742,OFFSET(Taostats_CSV!$G$1,MATCH(K742&amp;D$1,Taostats_CSV!$X:$X,0)-1,0),IF(Taostats_CSV!F742="fee",IF(VALUE(Taostats_CSV!G742)&gt;0,Taostats_CSV!G742,""),""))</f>
        <v/>
      </c>
      <c r="E742" t="str">
        <f ca="1">IF(AND(Q742,P742&gt;0),OFFSET(Taostats_CSV!$E$1,MATCH(K742&amp;F$1,Taostats_CSV!$X:$X,0)-1,0),IF(LEN(F742)&gt;0,Taostats_CSV!E742,""))</f>
        <v>SN56</v>
      </c>
      <c r="F742" t="str">
        <f ca="1">TRIM(IF(AND(Q742,P742&gt;0),OFFSET(Taostats_CSV!$H$1,MATCH(K742&amp;F$1,Taostats_CSV!$X:$X,0)-1,0),IF(LEN(Taostats_CSV!H742)&gt;0,Taostats_CSV!H742,Taostats_CSV!R742)))</f>
        <v>0.24991608</v>
      </c>
      <c r="G742" t="str">
        <f ca="1">IF(AND(Q742,N742=1),OFFSET(Taostats_CSV!$E$1,MATCH(K742&amp;H$1,Taostats_CSV!$X:$X,0)-1,0),"")</f>
        <v/>
      </c>
      <c r="H742" t="str">
        <f ca="1">IF(AND(Q742,N742=1),OFFSET(Taostats_CSV!$G$1,MATCH(K742&amp;H$1,Taostats_CSV!$X:$X,0)-1,0),"")</f>
        <v/>
      </c>
      <c r="I742" t="str">
        <f ca="1">IF(AND(LEN(K742)=0,LEN(F742)&gt;0),"Income",IF(AND(O742&gt;0,P742&gt;0,C742&lt;&gt;E742),"Trade",IF(AND(NOT(Q742),Taostats_CSV!F742="fee"),'READ ME'!$C$5,"")))</f>
        <v>Income</v>
      </c>
      <c r="J742" t="str">
        <f ca="1">SUBSTITUTE(IF(LEN(I742)=0,Taostats_CSV!F742&amp;" "&amp;Taostats_CSV!J742,IF(I742="Cost","Extrinsic fee","")),"_"," ")</f>
        <v/>
      </c>
      <c r="K742" t="str">
        <f>TRIM(IF(LEN(Taostats_CSV!I742)&gt;0,Taostats_CSV!I742,""))</f>
        <v/>
      </c>
      <c r="L742">
        <f ca="1">IF(Taostats_CSV!E742&lt;&gt;"TAO",IF(LEN(F742)&gt;0,F742,IF(LEN(D742)&gt;0,D742,0))*Taostats_CSV!P742,"")</f>
        <v>4.8037938339584603</v>
      </c>
      <c r="M742" t="str">
        <f t="shared" ca="1" si="81"/>
        <v>USD</v>
      </c>
      <c r="N742">
        <f>COUNTIF(Taostats_CSV!$X:$X,Taostats_CSV!$I742&amp;N$1)</f>
        <v>0</v>
      </c>
      <c r="O742">
        <f>COUNTIF(Taostats_CSV!$X:$X,Taostats_CSV!$I742&amp;O$1)</f>
        <v>0</v>
      </c>
      <c r="P742">
        <f>COUNTIF(Taostats_CSV!$X:$X,Taostats_CSV!$I742&amp;P$1)</f>
        <v>0</v>
      </c>
      <c r="Q742" t="b">
        <f t="shared" si="82"/>
        <v>0</v>
      </c>
      <c r="R742" t="b">
        <f>IF(LEN(K742)&gt;0,COUNTIF($K$3:K742,K742),FALSE)</f>
        <v>0</v>
      </c>
      <c r="S742" t="b">
        <f>IF(Taostats_CSV!A742=Taostats_CSV!$A$2,TRUE,Taostats_CSV!G742+Taostats_CSV!H742+Taostats_CSV!R742=0)</f>
        <v>0</v>
      </c>
      <c r="T742" t="b">
        <f t="shared" si="83"/>
        <v>1</v>
      </c>
      <c r="U742" t="b" cm="1">
        <f t="array" aca="1" ref="U742" ca="1">AND(T742,OR(O742-N742&gt;1,P742&gt;1,ISERROR(A742:P742)))</f>
        <v>0</v>
      </c>
      <c r="W742" t="e">
        <f>MATCH(K742&amp;$W$2,Taostats_CSV!$X$3:$X$1167,0)</f>
        <v>#N/A</v>
      </c>
      <c r="X742" t="e">
        <f t="shared" ca="1" si="78"/>
        <v>#VALUE!</v>
      </c>
      <c r="Y742">
        <f t="shared" ca="1" si="79"/>
        <v>0.24991608000000001</v>
      </c>
      <c r="Z742" t="e">
        <f t="shared" ca="1" si="80"/>
        <v>#VALUE!</v>
      </c>
    </row>
    <row r="743" spans="1:26" x14ac:dyDescent="0.4">
      <c r="A743" t="str">
        <f>MID(Taostats_CSV!C743,6,2)&amp;"/"&amp;MID(Taostats_CSV!C743,9,2)&amp;"/"&amp;LEFT(Taostats_CSV!C743,4)&amp;" "&amp;MID(Taostats_CSV!C743,12,8)</f>
        <v>08/06/2025 23:59:48</v>
      </c>
      <c r="C743" t="str">
        <f ca="1">IF(Q743,OFFSET(Taostats_CSV!$E$1,MATCH(K743&amp;D$1,Taostats_CSV!$X:$X,0)-1,0),IF(Taostats_CSV!F743="fee",IF(VALUE(Taostats_CSV!G743)&gt;0,Taostats_CSV!E743,""),""))</f>
        <v/>
      </c>
      <c r="D743" t="str">
        <f ca="1">IF(Q743,OFFSET(Taostats_CSV!$G$1,MATCH(K743&amp;D$1,Taostats_CSV!$X:$X,0)-1,0),IF(Taostats_CSV!F743="fee",IF(VALUE(Taostats_CSV!G743)&gt;0,Taostats_CSV!G743,""),""))</f>
        <v/>
      </c>
      <c r="E743" t="str">
        <f ca="1">IF(AND(Q743,P743&gt;0),OFFSET(Taostats_CSV!$E$1,MATCH(K743&amp;F$1,Taostats_CSV!$X:$X,0)-1,0),IF(LEN(F743)&gt;0,Taostats_CSV!E743,""))</f>
        <v>SN64</v>
      </c>
      <c r="F743" t="str">
        <f ca="1">TRIM(IF(AND(Q743,P743&gt;0),OFFSET(Taostats_CSV!$H$1,MATCH(K743&amp;F$1,Taostats_CSV!$X:$X,0)-1,0),IF(LEN(Taostats_CSV!H743)&gt;0,Taostats_CSV!H743,Taostats_CSV!R743)))</f>
        <v>0.141402749</v>
      </c>
      <c r="G743" t="str">
        <f ca="1">IF(AND(Q743,N743=1),OFFSET(Taostats_CSV!$E$1,MATCH(K743&amp;H$1,Taostats_CSV!$X:$X,0)-1,0),"")</f>
        <v/>
      </c>
      <c r="H743" t="str">
        <f ca="1">IF(AND(Q743,N743=1),OFFSET(Taostats_CSV!$G$1,MATCH(K743&amp;H$1,Taostats_CSV!$X:$X,0)-1,0),"")</f>
        <v/>
      </c>
      <c r="I743" t="str">
        <f ca="1">IF(AND(LEN(K743)=0,LEN(F743)&gt;0),"Income",IF(AND(O743&gt;0,P743&gt;0,C743&lt;&gt;E743),"Trade",IF(AND(NOT(Q743),Taostats_CSV!F743="fee"),'READ ME'!$C$5,"")))</f>
        <v>Income</v>
      </c>
      <c r="J743" t="str">
        <f ca="1">SUBSTITUTE(IF(LEN(I743)=0,Taostats_CSV!F743&amp;" "&amp;Taostats_CSV!J743,IF(I743="Cost","Extrinsic fee","")),"_"," ")</f>
        <v/>
      </c>
      <c r="K743" t="str">
        <f>TRIM(IF(LEN(Taostats_CSV!I743)&gt;0,Taostats_CSV!I743,""))</f>
        <v/>
      </c>
      <c r="L743">
        <f ca="1">IF(Taostats_CSV!E743&lt;&gt;"TAO",IF(LEN(F743)&gt;0,F743,IF(LEN(D743)&gt;0,D743,0))*Taostats_CSV!P743,"")</f>
        <v>6.3271446128875839</v>
      </c>
      <c r="M743" t="str">
        <f t="shared" ca="1" si="81"/>
        <v>USD</v>
      </c>
      <c r="N743">
        <f>COUNTIF(Taostats_CSV!$X:$X,Taostats_CSV!$I743&amp;N$1)</f>
        <v>0</v>
      </c>
      <c r="O743">
        <f>COUNTIF(Taostats_CSV!$X:$X,Taostats_CSV!$I743&amp;O$1)</f>
        <v>0</v>
      </c>
      <c r="P743">
        <f>COUNTIF(Taostats_CSV!$X:$X,Taostats_CSV!$I743&amp;P$1)</f>
        <v>0</v>
      </c>
      <c r="Q743" t="b">
        <f t="shared" si="82"/>
        <v>0</v>
      </c>
      <c r="R743" t="b">
        <f>IF(LEN(K743)&gt;0,COUNTIF($K$3:K743,K743),FALSE)</f>
        <v>0</v>
      </c>
      <c r="S743" t="b">
        <f>IF(Taostats_CSV!A743=Taostats_CSV!$A$2,TRUE,Taostats_CSV!G743+Taostats_CSV!H743+Taostats_CSV!R743=0)</f>
        <v>0</v>
      </c>
      <c r="T743" t="b">
        <f t="shared" si="83"/>
        <v>1</v>
      </c>
      <c r="U743" t="b" cm="1">
        <f t="array" aca="1" ref="U743" ca="1">AND(T743,OR(O743-N743&gt;1,P743&gt;1,ISERROR(A743:P743)))</f>
        <v>0</v>
      </c>
      <c r="W743" t="e">
        <f>MATCH(K743&amp;$W$2,Taostats_CSV!$X$3:$X$1167,0)</f>
        <v>#N/A</v>
      </c>
      <c r="X743" t="e">
        <f t="shared" ca="1" si="78"/>
        <v>#VALUE!</v>
      </c>
      <c r="Y743">
        <f t="shared" ca="1" si="79"/>
        <v>0.14140274899999999</v>
      </c>
      <c r="Z743" t="e">
        <f t="shared" ca="1" si="80"/>
        <v>#VALUE!</v>
      </c>
    </row>
    <row r="744" spans="1:26" hidden="1" x14ac:dyDescent="0.4">
      <c r="A744" t="str">
        <f>MID(Taostats_CSV!C744,6,2)&amp;"/"&amp;MID(Taostats_CSV!C744,9,2)&amp;"/"&amp;LEFT(Taostats_CSV!C744,4)&amp;" "&amp;MID(Taostats_CSV!C744,12,8)</f>
        <v>08/06/2025 23:59:48</v>
      </c>
      <c r="C744" t="str">
        <f ca="1">IF(Q744,OFFSET(Taostats_CSV!$E$1,MATCH(K744&amp;D$1,Taostats_CSV!$X:$X,0)-1,0),IF(Taostats_CSV!F744="fee","",IF(VALUE(Taostats_CSV!G744)&gt;0,Taostats_CSV!E744,"")))</f>
        <v/>
      </c>
      <c r="D744" t="str">
        <f ca="1">IF(Q744,OFFSET(Taostats_CSV!$G$1,MATCH(K744&amp;D$1,Taostats_CSV!$X:$X,0)-1,0),IF(Taostats_CSV!F744="fee","",IF(VALUE(Taostats_CSV!G744)&gt;0,Taostats_CSV!G744,"")))</f>
        <v/>
      </c>
      <c r="E744" t="str">
        <f ca="1">IF(AND(Q744,P744&gt;0),OFFSET(Taostats_CSV!$E$1,MATCH(K744&amp;F$1,Taostats_CSV!$X:$X,0)-1,0),IF(LEN(F744)&gt;0,Taostats_CSV!E744,""))</f>
        <v>TAO</v>
      </c>
      <c r="F744" t="str">
        <f ca="1">TRIM(IF(AND(Q744,P744&gt;0),OFFSET(Taostats_CSV!$H$1,MATCH(K744&amp;F$1,Taostats_CSV!$X:$X,0)-1,0),IF(LEN(Taostats_CSV!H744)&gt;0,Taostats_CSV!H744,Taostats_CSV!R744)))</f>
        <v>0</v>
      </c>
      <c r="G744" t="str">
        <f ca="1">IF(AND(Q744,N744=1),OFFSET(Taostats_CSV!$E$1,MATCH(K744&amp;H$1,Taostats_CSV!$X:$X,0)-1,0),IF(Taostats_CSV!F744="fee",Taostats_CSV!E744,""))</f>
        <v/>
      </c>
      <c r="H744" t="str">
        <f ca="1">IF(AND(Q744,N744=1),OFFSET(Taostats_CSV!$G$1,MATCH(K744&amp;H$1,Taostats_CSV!$X:$X,0)-1,0),IF(Taostats_CSV!F744="fee",Taostats_CSV!G744,""))</f>
        <v/>
      </c>
      <c r="I744" t="str">
        <f ca="1">IF(AND(LEN(K744)=0,LEN(F744)&gt;0),"Income",IF(AND(O744&gt;0,P744&gt;0,C744&lt;&gt;E744),"Trade",IF(AND(NOT(Q744),Taostats_CSV!F744="fee"),'READ ME'!$C$5,"")))</f>
        <v>Income</v>
      </c>
      <c r="J744" t="str">
        <f ca="1">SUBSTITUTE(IF(LEN(I744)=0,Taostats_CSV!F744&amp;" "&amp;Taostats_CSV!J744,IF(I744="Cost","Extrinsic fee","")),"_"," ")</f>
        <v/>
      </c>
      <c r="K744" t="str">
        <f>TRIM(IF(LEN(Taostats_CSV!I744)&gt;0,Taostats_CSV!I744,""))</f>
        <v/>
      </c>
      <c r="L744" t="str">
        <f>IF(Taostats_CSV!E744&lt;&gt;"TAO",IF(LEN(F744)&gt;0,F744,IF(LEN(D744)&gt;0,D744,0))*Taostats_CSV!P744,"")</f>
        <v/>
      </c>
      <c r="M744" t="str">
        <f t="shared" si="81"/>
        <v/>
      </c>
      <c r="N744">
        <f>COUNTIF(Taostats_CSV!$X:$X,Taostats_CSV!$I744&amp;N$1)</f>
        <v>0</v>
      </c>
      <c r="O744">
        <f>COUNTIF(Taostats_CSV!$X:$X,Taostats_CSV!$I744&amp;O$1)</f>
        <v>0</v>
      </c>
      <c r="P744">
        <f>COUNTIF(Taostats_CSV!$X:$X,Taostats_CSV!$I744&amp;P$1)</f>
        <v>0</v>
      </c>
      <c r="Q744" t="b">
        <f t="shared" si="82"/>
        <v>0</v>
      </c>
      <c r="R744" t="b">
        <f>IF(LEN(K744)&gt;0,COUNTIF($K$3:K744,K744),FALSE)</f>
        <v>0</v>
      </c>
      <c r="S744" t="b">
        <f>IF(Taostats_CSV!A744=Taostats_CSV!$A$2,TRUE,Taostats_CSV!G744+Taostats_CSV!H744+Taostats_CSV!R744=0)</f>
        <v>1</v>
      </c>
      <c r="T744" t="b">
        <f t="shared" si="83"/>
        <v>0</v>
      </c>
      <c r="U744" t="b" cm="1">
        <f t="array" aca="1" ref="U744" ca="1">AND(T744,OR(O744-N744&gt;1,P744&gt;1,ISERROR(A744:P744)))</f>
        <v>0</v>
      </c>
      <c r="W744" t="e">
        <f>MATCH(K744&amp;$W$2,Taostats_CSV!$X$3:$X$1167,0)</f>
        <v>#N/A</v>
      </c>
      <c r="X744" t="e">
        <f t="shared" ca="1" si="78"/>
        <v>#VALUE!</v>
      </c>
      <c r="Y744">
        <f t="shared" ca="1" si="79"/>
        <v>0</v>
      </c>
      <c r="Z744" t="e">
        <f t="shared" ca="1" si="80"/>
        <v>#VALUE!</v>
      </c>
    </row>
    <row r="745" spans="1:26" x14ac:dyDescent="0.4">
      <c r="A745" t="str">
        <f>MID(Taostats_CSV!C745,6,2)&amp;"/"&amp;MID(Taostats_CSV!C745,9,2)&amp;"/"&amp;LEFT(Taostats_CSV!C745,4)&amp;" "&amp;MID(Taostats_CSV!C745,12,8)</f>
        <v>08/07/2025 23:59:48</v>
      </c>
      <c r="C745" t="str">
        <f ca="1">IF(Q745,OFFSET(Taostats_CSV!$E$1,MATCH(K745&amp;D$1,Taostats_CSV!$X:$X,0)-1,0),IF(Taostats_CSV!F745="fee",IF(VALUE(Taostats_CSV!G745)&gt;0,Taostats_CSV!E745,""),""))</f>
        <v/>
      </c>
      <c r="D745" t="str">
        <f ca="1">IF(Q745,OFFSET(Taostats_CSV!$G$1,MATCH(K745&amp;D$1,Taostats_CSV!$X:$X,0)-1,0),IF(Taostats_CSV!F745="fee",IF(VALUE(Taostats_CSV!G745)&gt;0,Taostats_CSV!G745,""),""))</f>
        <v/>
      </c>
      <c r="E745" t="str">
        <f ca="1">IF(AND(Q745,P745&gt;0),OFFSET(Taostats_CSV!$E$1,MATCH(K745&amp;F$1,Taostats_CSV!$X:$X,0)-1,0),IF(LEN(F745)&gt;0,Taostats_CSV!E745,""))</f>
        <v>SN3</v>
      </c>
      <c r="F745" t="str">
        <f ca="1">TRIM(IF(AND(Q745,P745&gt;0),OFFSET(Taostats_CSV!$H$1,MATCH(K745&amp;F$1,Taostats_CSV!$X:$X,0)-1,0),IF(LEN(Taostats_CSV!H745)&gt;0,Taostats_CSV!H745,Taostats_CSV!R745)))</f>
        <v>0.407233166</v>
      </c>
      <c r="G745" t="str">
        <f ca="1">IF(AND(Q745,N745=1),OFFSET(Taostats_CSV!$E$1,MATCH(K745&amp;H$1,Taostats_CSV!$X:$X,0)-1,0),"")</f>
        <v/>
      </c>
      <c r="H745" t="str">
        <f ca="1">IF(AND(Q745,N745=1),OFFSET(Taostats_CSV!$G$1,MATCH(K745&amp;H$1,Taostats_CSV!$X:$X,0)-1,0),"")</f>
        <v/>
      </c>
      <c r="I745" t="str">
        <f ca="1">IF(AND(LEN(K745)=0,LEN(F745)&gt;0),"Income",IF(AND(O745&gt;0,P745&gt;0,C745&lt;&gt;E745),"Trade",IF(AND(NOT(Q745),Taostats_CSV!F745="fee"),'READ ME'!$C$5,"")))</f>
        <v>Income</v>
      </c>
      <c r="J745" t="str">
        <f ca="1">SUBSTITUTE(IF(LEN(I745)=0,Taostats_CSV!F745&amp;" "&amp;Taostats_CSV!J745,IF(I745="Cost","Extrinsic fee","")),"_"," ")</f>
        <v/>
      </c>
      <c r="K745" t="str">
        <f>TRIM(IF(LEN(Taostats_CSV!I745)&gt;0,Taostats_CSV!I745,""))</f>
        <v/>
      </c>
      <c r="L745">
        <f ca="1">IF(Taostats_CSV!E745&lt;&gt;"TAO",IF(LEN(F745)&gt;0,F745,IF(LEN(D745)&gt;0,D745,0))*Taostats_CSV!P745,"")</f>
        <v>8.1257190163625879</v>
      </c>
      <c r="M745" t="str">
        <f t="shared" ca="1" si="81"/>
        <v>USD</v>
      </c>
      <c r="N745">
        <f>COUNTIF(Taostats_CSV!$X:$X,Taostats_CSV!$I745&amp;N$1)</f>
        <v>0</v>
      </c>
      <c r="O745">
        <f>COUNTIF(Taostats_CSV!$X:$X,Taostats_CSV!$I745&amp;O$1)</f>
        <v>0</v>
      </c>
      <c r="P745">
        <f>COUNTIF(Taostats_CSV!$X:$X,Taostats_CSV!$I745&amp;P$1)</f>
        <v>0</v>
      </c>
      <c r="Q745" t="b">
        <f t="shared" si="82"/>
        <v>0</v>
      </c>
      <c r="R745" t="b">
        <f>IF(LEN(K745)&gt;0,COUNTIF($K$3:K745,K745),FALSE)</f>
        <v>0</v>
      </c>
      <c r="S745" t="b">
        <f>IF(Taostats_CSV!A745=Taostats_CSV!$A$2,TRUE,Taostats_CSV!G745+Taostats_CSV!H745+Taostats_CSV!R745=0)</f>
        <v>0</v>
      </c>
      <c r="T745" t="b">
        <f t="shared" si="83"/>
        <v>1</v>
      </c>
      <c r="U745" t="b" cm="1">
        <f t="array" aca="1" ref="U745" ca="1">AND(T745,OR(O745-N745&gt;1,P745&gt;1,ISERROR(A745:P745)))</f>
        <v>0</v>
      </c>
      <c r="W745" t="e">
        <f>MATCH(K745&amp;$W$2,Taostats_CSV!$X$3:$X$1167,0)</f>
        <v>#N/A</v>
      </c>
      <c r="X745" t="e">
        <f t="shared" ca="1" si="78"/>
        <v>#VALUE!</v>
      </c>
      <c r="Y745">
        <f t="shared" ca="1" si="79"/>
        <v>0.40723316599999998</v>
      </c>
      <c r="Z745" t="e">
        <f t="shared" ca="1" si="80"/>
        <v>#VALUE!</v>
      </c>
    </row>
    <row r="746" spans="1:26" x14ac:dyDescent="0.4">
      <c r="A746" t="str">
        <f>MID(Taostats_CSV!C746,6,2)&amp;"/"&amp;MID(Taostats_CSV!C746,9,2)&amp;"/"&amp;LEFT(Taostats_CSV!C746,4)&amp;" "&amp;MID(Taostats_CSV!C746,12,8)</f>
        <v>08/07/2025 23:59:48</v>
      </c>
      <c r="C746" t="str">
        <f ca="1">IF(Q746,OFFSET(Taostats_CSV!$E$1,MATCH(K746&amp;D$1,Taostats_CSV!$X:$X,0)-1,0),IF(Taostats_CSV!F746="fee",IF(VALUE(Taostats_CSV!G746)&gt;0,Taostats_CSV!E746,""),""))</f>
        <v/>
      </c>
      <c r="D746" t="str">
        <f ca="1">IF(Q746,OFFSET(Taostats_CSV!$G$1,MATCH(K746&amp;D$1,Taostats_CSV!$X:$X,0)-1,0),IF(Taostats_CSV!F746="fee",IF(VALUE(Taostats_CSV!G746)&gt;0,Taostats_CSV!G746,""),""))</f>
        <v/>
      </c>
      <c r="E746" t="str">
        <f ca="1">IF(AND(Q746,P746&gt;0),OFFSET(Taostats_CSV!$E$1,MATCH(K746&amp;F$1,Taostats_CSV!$X:$X,0)-1,0),IF(LEN(F746)&gt;0,Taostats_CSV!E746,""))</f>
        <v>SN4</v>
      </c>
      <c r="F746" t="str">
        <f ca="1">TRIM(IF(AND(Q746,P746&gt;0),OFFSET(Taostats_CSV!$H$1,MATCH(K746&amp;F$1,Taostats_CSV!$X:$X,0)-1,0),IF(LEN(Taostats_CSV!H746)&gt;0,Taostats_CSV!H746,Taostats_CSV!R746)))</f>
        <v>0.455570054</v>
      </c>
      <c r="G746" t="str">
        <f ca="1">IF(AND(Q746,N746=1),OFFSET(Taostats_CSV!$E$1,MATCH(K746&amp;H$1,Taostats_CSV!$X:$X,0)-1,0),"")</f>
        <v/>
      </c>
      <c r="H746" t="str">
        <f ca="1">IF(AND(Q746,N746=1),OFFSET(Taostats_CSV!$G$1,MATCH(K746&amp;H$1,Taostats_CSV!$X:$X,0)-1,0),"")</f>
        <v/>
      </c>
      <c r="I746" t="str">
        <f ca="1">IF(AND(LEN(K746)=0,LEN(F746)&gt;0),"Income",IF(AND(O746&gt;0,P746&gt;0,C746&lt;&gt;E746),"Trade",IF(AND(NOT(Q746),Taostats_CSV!F746="fee"),'READ ME'!$C$5,"")))</f>
        <v>Income</v>
      </c>
      <c r="J746" t="str">
        <f ca="1">SUBSTITUTE(IF(LEN(I746)=0,Taostats_CSV!F746&amp;" "&amp;Taostats_CSV!J746,IF(I746="Cost","Extrinsic fee","")),"_"," ")</f>
        <v/>
      </c>
      <c r="K746" t="str">
        <f>TRIM(IF(LEN(Taostats_CSV!I746)&gt;0,Taostats_CSV!I746,""))</f>
        <v/>
      </c>
      <c r="L746">
        <f ca="1">IF(Taostats_CSV!E746&lt;&gt;"TAO",IF(LEN(F746)&gt;0,F746,IF(LEN(D746)&gt;0,D746,0))*Taostats_CSV!P746,"")</f>
        <v>9.7181987164256842</v>
      </c>
      <c r="M746" t="str">
        <f t="shared" ca="1" si="81"/>
        <v>USD</v>
      </c>
      <c r="N746">
        <f>COUNTIF(Taostats_CSV!$X:$X,Taostats_CSV!$I746&amp;N$1)</f>
        <v>0</v>
      </c>
      <c r="O746">
        <f>COUNTIF(Taostats_CSV!$X:$X,Taostats_CSV!$I746&amp;O$1)</f>
        <v>0</v>
      </c>
      <c r="P746">
        <f>COUNTIF(Taostats_CSV!$X:$X,Taostats_CSV!$I746&amp;P$1)</f>
        <v>0</v>
      </c>
      <c r="Q746" t="b">
        <f t="shared" si="82"/>
        <v>0</v>
      </c>
      <c r="R746" t="b">
        <f>IF(LEN(K746)&gt;0,COUNTIF($K$3:K746,K746),FALSE)</f>
        <v>0</v>
      </c>
      <c r="S746" t="b">
        <f>IF(Taostats_CSV!A746=Taostats_CSV!$A$2,TRUE,Taostats_CSV!G746+Taostats_CSV!H746+Taostats_CSV!R746=0)</f>
        <v>0</v>
      </c>
      <c r="T746" t="b">
        <f t="shared" si="83"/>
        <v>1</v>
      </c>
      <c r="U746" t="b" cm="1">
        <f t="array" aca="1" ref="U746" ca="1">AND(T746,OR(O746-N746&gt;1,P746&gt;1,ISERROR(A746:P746)))</f>
        <v>0</v>
      </c>
      <c r="W746" t="e">
        <f>MATCH(K746&amp;$W$2,Taostats_CSV!$X$3:$X$1167,0)</f>
        <v>#N/A</v>
      </c>
      <c r="X746" t="e">
        <f t="shared" ca="1" si="78"/>
        <v>#VALUE!</v>
      </c>
      <c r="Y746">
        <f t="shared" ca="1" si="79"/>
        <v>0.455570054</v>
      </c>
      <c r="Z746" t="e">
        <f t="shared" ca="1" si="80"/>
        <v>#VALUE!</v>
      </c>
    </row>
    <row r="747" spans="1:26" x14ac:dyDescent="0.4">
      <c r="A747" t="str">
        <f>MID(Taostats_CSV!C747,6,2)&amp;"/"&amp;MID(Taostats_CSV!C747,9,2)&amp;"/"&amp;LEFT(Taostats_CSV!C747,4)&amp;" "&amp;MID(Taostats_CSV!C747,12,8)</f>
        <v>08/07/2025 23:59:48</v>
      </c>
      <c r="C747" t="str">
        <f ca="1">IF(Q747,OFFSET(Taostats_CSV!$E$1,MATCH(K747&amp;D$1,Taostats_CSV!$X:$X,0)-1,0),IF(Taostats_CSV!F747="fee",IF(VALUE(Taostats_CSV!G747)&gt;0,Taostats_CSV!E747,""),""))</f>
        <v/>
      </c>
      <c r="D747" t="str">
        <f ca="1">IF(Q747,OFFSET(Taostats_CSV!$G$1,MATCH(K747&amp;D$1,Taostats_CSV!$X:$X,0)-1,0),IF(Taostats_CSV!F747="fee",IF(VALUE(Taostats_CSV!G747)&gt;0,Taostats_CSV!G747,""),""))</f>
        <v/>
      </c>
      <c r="E747" t="str">
        <f ca="1">IF(AND(Q747,P747&gt;0),OFFSET(Taostats_CSV!$E$1,MATCH(K747&amp;F$1,Taostats_CSV!$X:$X,0)-1,0),IF(LEN(F747)&gt;0,Taostats_CSV!E747,""))</f>
        <v>SN56</v>
      </c>
      <c r="F747" t="str">
        <f ca="1">TRIM(IF(AND(Q747,P747&gt;0),OFFSET(Taostats_CSV!$H$1,MATCH(K747&amp;F$1,Taostats_CSV!$X:$X,0)-1,0),IF(LEN(Taostats_CSV!H747)&gt;0,Taostats_CSV!H747,Taostats_CSV!R747)))</f>
        <v>0.24351737</v>
      </c>
      <c r="G747" t="str">
        <f ca="1">IF(AND(Q747,N747=1),OFFSET(Taostats_CSV!$E$1,MATCH(K747&amp;H$1,Taostats_CSV!$X:$X,0)-1,0),"")</f>
        <v/>
      </c>
      <c r="H747" t="str">
        <f ca="1">IF(AND(Q747,N747=1),OFFSET(Taostats_CSV!$G$1,MATCH(K747&amp;H$1,Taostats_CSV!$X:$X,0)-1,0),"")</f>
        <v/>
      </c>
      <c r="I747" t="str">
        <f ca="1">IF(AND(LEN(K747)=0,LEN(F747)&gt;0),"Income",IF(AND(O747&gt;0,P747&gt;0,C747&lt;&gt;E747),"Trade",IF(AND(NOT(Q747),Taostats_CSV!F747="fee"),'READ ME'!$C$5,"")))</f>
        <v>Income</v>
      </c>
      <c r="J747" t="str">
        <f ca="1">SUBSTITUTE(IF(LEN(I747)=0,Taostats_CSV!F747&amp;" "&amp;Taostats_CSV!J747,IF(I747="Cost","Extrinsic fee","")),"_"," ")</f>
        <v/>
      </c>
      <c r="K747" t="str">
        <f>TRIM(IF(LEN(Taostats_CSV!I747)&gt;0,Taostats_CSV!I747,""))</f>
        <v/>
      </c>
      <c r="L747">
        <f ca="1">IF(Taostats_CSV!E747&lt;&gt;"TAO",IF(LEN(F747)&gt;0,F747,IF(LEN(D747)&gt;0,D747,0))*Taostats_CSV!P747,"")</f>
        <v>4.9069686248850983</v>
      </c>
      <c r="M747" t="str">
        <f t="shared" ca="1" si="81"/>
        <v>USD</v>
      </c>
      <c r="N747">
        <f>COUNTIF(Taostats_CSV!$X:$X,Taostats_CSV!$I747&amp;N$1)</f>
        <v>0</v>
      </c>
      <c r="O747">
        <f>COUNTIF(Taostats_CSV!$X:$X,Taostats_CSV!$I747&amp;O$1)</f>
        <v>0</v>
      </c>
      <c r="P747">
        <f>COUNTIF(Taostats_CSV!$X:$X,Taostats_CSV!$I747&amp;P$1)</f>
        <v>0</v>
      </c>
      <c r="Q747" t="b">
        <f t="shared" si="82"/>
        <v>0</v>
      </c>
      <c r="R747" t="b">
        <f>IF(LEN(K747)&gt;0,COUNTIF($K$3:K747,K747),FALSE)</f>
        <v>0</v>
      </c>
      <c r="S747" t="b">
        <f>IF(Taostats_CSV!A747=Taostats_CSV!$A$2,TRUE,Taostats_CSV!G747+Taostats_CSV!H747+Taostats_CSV!R747=0)</f>
        <v>0</v>
      </c>
      <c r="T747" t="b">
        <f t="shared" si="83"/>
        <v>1</v>
      </c>
      <c r="U747" t="b" cm="1">
        <f t="array" aca="1" ref="U747" ca="1">AND(T747,OR(O747-N747&gt;1,P747&gt;1,ISERROR(A747:P747)))</f>
        <v>0</v>
      </c>
      <c r="W747" t="e">
        <f>MATCH(K747&amp;$W$2,Taostats_CSV!$X$3:$X$1167,0)</f>
        <v>#N/A</v>
      </c>
      <c r="X747" t="e">
        <f t="shared" ca="1" si="78"/>
        <v>#VALUE!</v>
      </c>
      <c r="Y747">
        <f t="shared" ca="1" si="79"/>
        <v>0.24351737000000001</v>
      </c>
      <c r="Z747" t="e">
        <f t="shared" ca="1" si="80"/>
        <v>#VALUE!</v>
      </c>
    </row>
    <row r="748" spans="1:26" x14ac:dyDescent="0.4">
      <c r="A748" t="str">
        <f>MID(Taostats_CSV!C748,6,2)&amp;"/"&amp;MID(Taostats_CSV!C748,9,2)&amp;"/"&amp;LEFT(Taostats_CSV!C748,4)&amp;" "&amp;MID(Taostats_CSV!C748,12,8)</f>
        <v>08/07/2025 23:59:48</v>
      </c>
      <c r="C748" t="str">
        <f ca="1">IF(Q748,OFFSET(Taostats_CSV!$E$1,MATCH(K748&amp;D$1,Taostats_CSV!$X:$X,0)-1,0),IF(Taostats_CSV!F748="fee",IF(VALUE(Taostats_CSV!G748)&gt;0,Taostats_CSV!E748,""),""))</f>
        <v/>
      </c>
      <c r="D748" t="str">
        <f ca="1">IF(Q748,OFFSET(Taostats_CSV!$G$1,MATCH(K748&amp;D$1,Taostats_CSV!$X:$X,0)-1,0),IF(Taostats_CSV!F748="fee",IF(VALUE(Taostats_CSV!G748)&gt;0,Taostats_CSV!G748,""),""))</f>
        <v/>
      </c>
      <c r="E748" t="str">
        <f ca="1">IF(AND(Q748,P748&gt;0),OFFSET(Taostats_CSV!$E$1,MATCH(K748&amp;F$1,Taostats_CSV!$X:$X,0)-1,0),IF(LEN(F748)&gt;0,Taostats_CSV!E748,""))</f>
        <v>SN64</v>
      </c>
      <c r="F748" t="str">
        <f ca="1">TRIM(IF(AND(Q748,P748&gt;0),OFFSET(Taostats_CSV!$H$1,MATCH(K748&amp;F$1,Taostats_CSV!$X:$X,0)-1,0),IF(LEN(Taostats_CSV!H748)&gt;0,Taostats_CSV!H748,Taostats_CSV!R748)))</f>
        <v>0.139566967</v>
      </c>
      <c r="G748" t="str">
        <f ca="1">IF(AND(Q748,N748=1),OFFSET(Taostats_CSV!$E$1,MATCH(K748&amp;H$1,Taostats_CSV!$X:$X,0)-1,0),"")</f>
        <v/>
      </c>
      <c r="H748" t="str">
        <f ca="1">IF(AND(Q748,N748=1),OFFSET(Taostats_CSV!$G$1,MATCH(K748&amp;H$1,Taostats_CSV!$X:$X,0)-1,0),"")</f>
        <v/>
      </c>
      <c r="I748" t="str">
        <f ca="1">IF(AND(LEN(K748)=0,LEN(F748)&gt;0),"Income",IF(AND(O748&gt;0,P748&gt;0,C748&lt;&gt;E748),"Trade",IF(AND(NOT(Q748),Taostats_CSV!F748="fee"),'READ ME'!$C$5,"")))</f>
        <v>Income</v>
      </c>
      <c r="J748" t="str">
        <f ca="1">SUBSTITUTE(IF(LEN(I748)=0,Taostats_CSV!F748&amp;" "&amp;Taostats_CSV!J748,IF(I748="Cost","Extrinsic fee","")),"_"," ")</f>
        <v/>
      </c>
      <c r="K748" t="str">
        <f>TRIM(IF(LEN(Taostats_CSV!I748)&gt;0,Taostats_CSV!I748,""))</f>
        <v/>
      </c>
      <c r="L748">
        <f ca="1">IF(Taostats_CSV!E748&lt;&gt;"TAO",IF(LEN(F748)&gt;0,F748,IF(LEN(D748)&gt;0,D748,0))*Taostats_CSV!P748,"")</f>
        <v>6.8735591631517297</v>
      </c>
      <c r="M748" t="str">
        <f t="shared" ca="1" si="81"/>
        <v>USD</v>
      </c>
      <c r="N748">
        <f>COUNTIF(Taostats_CSV!$X:$X,Taostats_CSV!$I748&amp;N$1)</f>
        <v>0</v>
      </c>
      <c r="O748">
        <f>COUNTIF(Taostats_CSV!$X:$X,Taostats_CSV!$I748&amp;O$1)</f>
        <v>0</v>
      </c>
      <c r="P748">
        <f>COUNTIF(Taostats_CSV!$X:$X,Taostats_CSV!$I748&amp;P$1)</f>
        <v>0</v>
      </c>
      <c r="Q748" t="b">
        <f t="shared" si="82"/>
        <v>0</v>
      </c>
      <c r="R748" t="b">
        <f>IF(LEN(K748)&gt;0,COUNTIF($K$3:K748,K748),FALSE)</f>
        <v>0</v>
      </c>
      <c r="S748" t="b">
        <f>IF(Taostats_CSV!A748=Taostats_CSV!$A$2,TRUE,Taostats_CSV!G748+Taostats_CSV!H748+Taostats_CSV!R748=0)</f>
        <v>0</v>
      </c>
      <c r="T748" t="b">
        <f t="shared" si="83"/>
        <v>1</v>
      </c>
      <c r="U748" t="b" cm="1">
        <f t="array" aca="1" ref="U748" ca="1">AND(T748,OR(O748-N748&gt;1,P748&gt;1,ISERROR(A748:P748)))</f>
        <v>0</v>
      </c>
      <c r="W748" t="e">
        <f>MATCH(K748&amp;$W$2,Taostats_CSV!$X$3:$X$1167,0)</f>
        <v>#N/A</v>
      </c>
      <c r="X748" t="e">
        <f t="shared" ca="1" si="78"/>
        <v>#VALUE!</v>
      </c>
      <c r="Y748">
        <f t="shared" ca="1" si="79"/>
        <v>0.13956696699999999</v>
      </c>
      <c r="Z748" t="e">
        <f t="shared" ca="1" si="80"/>
        <v>#VALUE!</v>
      </c>
    </row>
    <row r="749" spans="1:26" hidden="1" x14ac:dyDescent="0.4">
      <c r="A749" t="str">
        <f>MID(Taostats_CSV!C749,6,2)&amp;"/"&amp;MID(Taostats_CSV!C749,9,2)&amp;"/"&amp;LEFT(Taostats_CSV!C749,4)&amp;" "&amp;MID(Taostats_CSV!C749,12,8)</f>
        <v>08/07/2025 23:59:48</v>
      </c>
      <c r="C749" t="str">
        <f ca="1">IF(Q749,OFFSET(Taostats_CSV!$E$1,MATCH(K749&amp;D$1,Taostats_CSV!$X:$X,0)-1,0),IF(Taostats_CSV!F749="fee","",IF(VALUE(Taostats_CSV!G749)&gt;0,Taostats_CSV!E749,"")))</f>
        <v/>
      </c>
      <c r="D749" t="str">
        <f ca="1">IF(Q749,OFFSET(Taostats_CSV!$G$1,MATCH(K749&amp;D$1,Taostats_CSV!$X:$X,0)-1,0),IF(Taostats_CSV!F749="fee","",IF(VALUE(Taostats_CSV!G749)&gt;0,Taostats_CSV!G749,"")))</f>
        <v/>
      </c>
      <c r="E749" t="str">
        <f ca="1">IF(AND(Q749,P749&gt;0),OFFSET(Taostats_CSV!$E$1,MATCH(K749&amp;F$1,Taostats_CSV!$X:$X,0)-1,0),IF(LEN(F749)&gt;0,Taostats_CSV!E749,""))</f>
        <v>TAO</v>
      </c>
      <c r="F749" t="str">
        <f ca="1">TRIM(IF(AND(Q749,P749&gt;0),OFFSET(Taostats_CSV!$H$1,MATCH(K749&amp;F$1,Taostats_CSV!$X:$X,0)-1,0),IF(LEN(Taostats_CSV!H749)&gt;0,Taostats_CSV!H749,Taostats_CSV!R749)))</f>
        <v>0</v>
      </c>
      <c r="G749" t="str">
        <f ca="1">IF(AND(Q749,N749=1),OFFSET(Taostats_CSV!$E$1,MATCH(K749&amp;H$1,Taostats_CSV!$X:$X,0)-1,0),IF(Taostats_CSV!F749="fee",Taostats_CSV!E749,""))</f>
        <v/>
      </c>
      <c r="H749" t="str">
        <f ca="1">IF(AND(Q749,N749=1),OFFSET(Taostats_CSV!$G$1,MATCH(K749&amp;H$1,Taostats_CSV!$X:$X,0)-1,0),IF(Taostats_CSV!F749="fee",Taostats_CSV!G749,""))</f>
        <v/>
      </c>
      <c r="I749" t="str">
        <f ca="1">IF(AND(LEN(K749)=0,LEN(F749)&gt;0),"Income",IF(AND(O749&gt;0,P749&gt;0,C749&lt;&gt;E749),"Trade",IF(AND(NOT(Q749),Taostats_CSV!F749="fee"),'READ ME'!$C$5,"")))</f>
        <v>Income</v>
      </c>
      <c r="J749" t="str">
        <f ca="1">SUBSTITUTE(IF(LEN(I749)=0,Taostats_CSV!F749&amp;" "&amp;Taostats_CSV!J749,IF(I749="Cost","Extrinsic fee","")),"_"," ")</f>
        <v/>
      </c>
      <c r="K749" t="str">
        <f>TRIM(IF(LEN(Taostats_CSV!I749)&gt;0,Taostats_CSV!I749,""))</f>
        <v/>
      </c>
      <c r="L749" t="str">
        <f>IF(Taostats_CSV!E749&lt;&gt;"TAO",IF(LEN(F749)&gt;0,F749,IF(LEN(D749)&gt;0,D749,0))*Taostats_CSV!P749,"")</f>
        <v/>
      </c>
      <c r="M749" t="str">
        <f t="shared" si="81"/>
        <v/>
      </c>
      <c r="N749">
        <f>COUNTIF(Taostats_CSV!$X:$X,Taostats_CSV!$I749&amp;N$1)</f>
        <v>0</v>
      </c>
      <c r="O749">
        <f>COUNTIF(Taostats_CSV!$X:$X,Taostats_CSV!$I749&amp;O$1)</f>
        <v>0</v>
      </c>
      <c r="P749">
        <f>COUNTIF(Taostats_CSV!$X:$X,Taostats_CSV!$I749&amp;P$1)</f>
        <v>0</v>
      </c>
      <c r="Q749" t="b">
        <f t="shared" si="82"/>
        <v>0</v>
      </c>
      <c r="R749" t="b">
        <f>IF(LEN(K749)&gt;0,COUNTIF($K$3:K749,K749),FALSE)</f>
        <v>0</v>
      </c>
      <c r="S749" t="b">
        <f>IF(Taostats_CSV!A749=Taostats_CSV!$A$2,TRUE,Taostats_CSV!G749+Taostats_CSV!H749+Taostats_CSV!R749=0)</f>
        <v>1</v>
      </c>
      <c r="T749" t="b">
        <f t="shared" si="83"/>
        <v>0</v>
      </c>
      <c r="U749" t="b" cm="1">
        <f t="array" aca="1" ref="U749" ca="1">AND(T749,OR(O749-N749&gt;1,P749&gt;1,ISERROR(A749:P749)))</f>
        <v>0</v>
      </c>
      <c r="W749" t="e">
        <f>MATCH(K749&amp;$W$2,Taostats_CSV!$X$3:$X$1167,0)</f>
        <v>#N/A</v>
      </c>
      <c r="X749" t="e">
        <f t="shared" ca="1" si="78"/>
        <v>#VALUE!</v>
      </c>
      <c r="Y749">
        <f t="shared" ca="1" si="79"/>
        <v>0</v>
      </c>
      <c r="Z749" t="e">
        <f t="shared" ca="1" si="80"/>
        <v>#VALUE!</v>
      </c>
    </row>
    <row r="750" spans="1:26" x14ac:dyDescent="0.4">
      <c r="A750" t="str">
        <f>MID(Taostats_CSV!C750,6,2)&amp;"/"&amp;MID(Taostats_CSV!C750,9,2)&amp;"/"&amp;LEFT(Taostats_CSV!C750,4)&amp;" "&amp;MID(Taostats_CSV!C750,12,8)</f>
        <v>08/08/2025 23:59:48</v>
      </c>
      <c r="C750" t="str">
        <f ca="1">IF(Q750,OFFSET(Taostats_CSV!$E$1,MATCH(K750&amp;D$1,Taostats_CSV!$X:$X,0)-1,0),IF(Taostats_CSV!F750="fee",IF(VALUE(Taostats_CSV!G750)&gt;0,Taostats_CSV!E750,""),""))</f>
        <v/>
      </c>
      <c r="D750" t="str">
        <f ca="1">IF(Q750,OFFSET(Taostats_CSV!$G$1,MATCH(K750&amp;D$1,Taostats_CSV!$X:$X,0)-1,0),IF(Taostats_CSV!F750="fee",IF(VALUE(Taostats_CSV!G750)&gt;0,Taostats_CSV!G750,""),""))</f>
        <v/>
      </c>
      <c r="E750" t="str">
        <f ca="1">IF(AND(Q750,P750&gt;0),OFFSET(Taostats_CSV!$E$1,MATCH(K750&amp;F$1,Taostats_CSV!$X:$X,0)-1,0),IF(LEN(F750)&gt;0,Taostats_CSV!E750,""))</f>
        <v>SN3</v>
      </c>
      <c r="F750" t="str">
        <f ca="1">TRIM(IF(AND(Q750,P750&gt;0),OFFSET(Taostats_CSV!$H$1,MATCH(K750&amp;F$1,Taostats_CSV!$X:$X,0)-1,0),IF(LEN(Taostats_CSV!H750)&gt;0,Taostats_CSV!H750,Taostats_CSV!R750)))</f>
        <v>0.411472905</v>
      </c>
      <c r="G750" t="str">
        <f ca="1">IF(AND(Q750,N750=1),OFFSET(Taostats_CSV!$E$1,MATCH(K750&amp;H$1,Taostats_CSV!$X:$X,0)-1,0),"")</f>
        <v/>
      </c>
      <c r="H750" t="str">
        <f ca="1">IF(AND(Q750,N750=1),OFFSET(Taostats_CSV!$G$1,MATCH(K750&amp;H$1,Taostats_CSV!$X:$X,0)-1,0),"")</f>
        <v/>
      </c>
      <c r="I750" t="str">
        <f ca="1">IF(AND(LEN(K750)=0,LEN(F750)&gt;0),"Income",IF(AND(O750&gt;0,P750&gt;0,C750&lt;&gt;E750),"Trade",IF(AND(NOT(Q750),Taostats_CSV!F750="fee"),'READ ME'!$C$5,"")))</f>
        <v>Income</v>
      </c>
      <c r="J750" t="str">
        <f ca="1">SUBSTITUTE(IF(LEN(I750)=0,Taostats_CSV!F750&amp;" "&amp;Taostats_CSV!J750,IF(I750="Cost","Extrinsic fee","")),"_"," ")</f>
        <v/>
      </c>
      <c r="K750" t="str">
        <f>TRIM(IF(LEN(Taostats_CSV!I750)&gt;0,Taostats_CSV!I750,""))</f>
        <v/>
      </c>
      <c r="L750">
        <f ca="1">IF(Taostats_CSV!E750&lt;&gt;"TAO",IF(LEN(F750)&gt;0,F750,IF(LEN(D750)&gt;0,D750,0))*Taostats_CSV!P750,"")</f>
        <v>8.1341663306825804</v>
      </c>
      <c r="M750" t="str">
        <f t="shared" ca="1" si="81"/>
        <v>USD</v>
      </c>
      <c r="N750">
        <f>COUNTIF(Taostats_CSV!$X:$X,Taostats_CSV!$I750&amp;N$1)</f>
        <v>0</v>
      </c>
      <c r="O750">
        <f>COUNTIF(Taostats_CSV!$X:$X,Taostats_CSV!$I750&amp;O$1)</f>
        <v>0</v>
      </c>
      <c r="P750">
        <f>COUNTIF(Taostats_CSV!$X:$X,Taostats_CSV!$I750&amp;P$1)</f>
        <v>0</v>
      </c>
      <c r="Q750" t="b">
        <f t="shared" si="82"/>
        <v>0</v>
      </c>
      <c r="R750" t="b">
        <f>IF(LEN(K750)&gt;0,COUNTIF($K$3:K750,K750),FALSE)</f>
        <v>0</v>
      </c>
      <c r="S750" t="b">
        <f>IF(Taostats_CSV!A750=Taostats_CSV!$A$2,TRUE,Taostats_CSV!G750+Taostats_CSV!H750+Taostats_CSV!R750=0)</f>
        <v>0</v>
      </c>
      <c r="T750" t="b">
        <f t="shared" si="83"/>
        <v>1</v>
      </c>
      <c r="U750" t="b" cm="1">
        <f t="array" aca="1" ref="U750" ca="1">AND(T750,OR(O750-N750&gt;1,P750&gt;1,ISERROR(A750:P750)))</f>
        <v>0</v>
      </c>
      <c r="W750" t="e">
        <f>MATCH(K750&amp;$W$2,Taostats_CSV!$X$3:$X$1167,0)</f>
        <v>#N/A</v>
      </c>
      <c r="X750" t="e">
        <f t="shared" ca="1" si="78"/>
        <v>#VALUE!</v>
      </c>
      <c r="Y750">
        <f t="shared" ca="1" si="79"/>
        <v>0.411472905</v>
      </c>
      <c r="Z750" t="e">
        <f t="shared" ca="1" si="80"/>
        <v>#VALUE!</v>
      </c>
    </row>
    <row r="751" spans="1:26" x14ac:dyDescent="0.4">
      <c r="A751" t="str">
        <f>MID(Taostats_CSV!C751,6,2)&amp;"/"&amp;MID(Taostats_CSV!C751,9,2)&amp;"/"&amp;LEFT(Taostats_CSV!C751,4)&amp;" "&amp;MID(Taostats_CSV!C751,12,8)</f>
        <v>08/08/2025 23:59:48</v>
      </c>
      <c r="C751" t="str">
        <f ca="1">IF(Q751,OFFSET(Taostats_CSV!$E$1,MATCH(K751&amp;D$1,Taostats_CSV!$X:$X,0)-1,0),IF(Taostats_CSV!F751="fee",IF(VALUE(Taostats_CSV!G751)&gt;0,Taostats_CSV!E751,""),""))</f>
        <v/>
      </c>
      <c r="D751" t="str">
        <f ca="1">IF(Q751,OFFSET(Taostats_CSV!$G$1,MATCH(K751&amp;D$1,Taostats_CSV!$X:$X,0)-1,0),IF(Taostats_CSV!F751="fee",IF(VALUE(Taostats_CSV!G751)&gt;0,Taostats_CSV!G751,""),""))</f>
        <v/>
      </c>
      <c r="E751" t="str">
        <f ca="1">IF(AND(Q751,P751&gt;0),OFFSET(Taostats_CSV!$E$1,MATCH(K751&amp;F$1,Taostats_CSV!$X:$X,0)-1,0),IF(LEN(F751)&gt;0,Taostats_CSV!E751,""))</f>
        <v>SN4</v>
      </c>
      <c r="F751" t="str">
        <f ca="1">TRIM(IF(AND(Q751,P751&gt;0),OFFSET(Taostats_CSV!$H$1,MATCH(K751&amp;F$1,Taostats_CSV!$X:$X,0)-1,0),IF(LEN(Taostats_CSV!H751)&gt;0,Taostats_CSV!H751,Taostats_CSV!R751)))</f>
        <v>0.443111324</v>
      </c>
      <c r="G751" t="str">
        <f ca="1">IF(AND(Q751,N751=1),OFFSET(Taostats_CSV!$E$1,MATCH(K751&amp;H$1,Taostats_CSV!$X:$X,0)-1,0),"")</f>
        <v/>
      </c>
      <c r="H751" t="str">
        <f ca="1">IF(AND(Q751,N751=1),OFFSET(Taostats_CSV!$G$1,MATCH(K751&amp;H$1,Taostats_CSV!$X:$X,0)-1,0),"")</f>
        <v/>
      </c>
      <c r="I751" t="str">
        <f ca="1">IF(AND(LEN(K751)=0,LEN(F751)&gt;0),"Income",IF(AND(O751&gt;0,P751&gt;0,C751&lt;&gt;E751),"Trade",IF(AND(NOT(Q751),Taostats_CSV!F751="fee"),'READ ME'!$C$5,"")))</f>
        <v>Income</v>
      </c>
      <c r="J751" t="str">
        <f ca="1">SUBSTITUTE(IF(LEN(I751)=0,Taostats_CSV!F751&amp;" "&amp;Taostats_CSV!J751,IF(I751="Cost","Extrinsic fee","")),"_"," ")</f>
        <v/>
      </c>
      <c r="K751" t="str">
        <f>TRIM(IF(LEN(Taostats_CSV!I751)&gt;0,Taostats_CSV!I751,""))</f>
        <v/>
      </c>
      <c r="L751">
        <f ca="1">IF(Taostats_CSV!E751&lt;&gt;"TAO",IF(LEN(F751)&gt;0,F751,IF(LEN(D751)&gt;0,D751,0))*Taostats_CSV!P751,"")</f>
        <v>9.3678915975121981</v>
      </c>
      <c r="M751" t="str">
        <f t="shared" ca="1" si="81"/>
        <v>USD</v>
      </c>
      <c r="N751">
        <f>COUNTIF(Taostats_CSV!$X:$X,Taostats_CSV!$I751&amp;N$1)</f>
        <v>0</v>
      </c>
      <c r="O751">
        <f>COUNTIF(Taostats_CSV!$X:$X,Taostats_CSV!$I751&amp;O$1)</f>
        <v>0</v>
      </c>
      <c r="P751">
        <f>COUNTIF(Taostats_CSV!$X:$X,Taostats_CSV!$I751&amp;P$1)</f>
        <v>0</v>
      </c>
      <c r="Q751" t="b">
        <f t="shared" si="82"/>
        <v>0</v>
      </c>
      <c r="R751" t="b">
        <f>IF(LEN(K751)&gt;0,COUNTIF($K$3:K751,K751),FALSE)</f>
        <v>0</v>
      </c>
      <c r="S751" t="b">
        <f>IF(Taostats_CSV!A751=Taostats_CSV!$A$2,TRUE,Taostats_CSV!G751+Taostats_CSV!H751+Taostats_CSV!R751=0)</f>
        <v>0</v>
      </c>
      <c r="T751" t="b">
        <f t="shared" si="83"/>
        <v>1</v>
      </c>
      <c r="U751" t="b" cm="1">
        <f t="array" aca="1" ref="U751" ca="1">AND(T751,OR(O751-N751&gt;1,P751&gt;1,ISERROR(A751:P751)))</f>
        <v>0</v>
      </c>
      <c r="W751" t="e">
        <f>MATCH(K751&amp;$W$2,Taostats_CSV!$X$3:$X$1167,0)</f>
        <v>#N/A</v>
      </c>
      <c r="X751" t="e">
        <f t="shared" ca="1" si="78"/>
        <v>#VALUE!</v>
      </c>
      <c r="Y751">
        <f t="shared" ca="1" si="79"/>
        <v>0.44311132399999997</v>
      </c>
      <c r="Z751" t="e">
        <f t="shared" ca="1" si="80"/>
        <v>#VALUE!</v>
      </c>
    </row>
    <row r="752" spans="1:26" x14ac:dyDescent="0.4">
      <c r="A752" t="str">
        <f>MID(Taostats_CSV!C752,6,2)&amp;"/"&amp;MID(Taostats_CSV!C752,9,2)&amp;"/"&amp;LEFT(Taostats_CSV!C752,4)&amp;" "&amp;MID(Taostats_CSV!C752,12,8)</f>
        <v>08/08/2025 23:59:48</v>
      </c>
      <c r="C752" t="str">
        <f ca="1">IF(Q752,OFFSET(Taostats_CSV!$E$1,MATCH(K752&amp;D$1,Taostats_CSV!$X:$X,0)-1,0),IF(Taostats_CSV!F752="fee",IF(VALUE(Taostats_CSV!G752)&gt;0,Taostats_CSV!E752,""),""))</f>
        <v/>
      </c>
      <c r="D752" t="str">
        <f ca="1">IF(Q752,OFFSET(Taostats_CSV!$G$1,MATCH(K752&amp;D$1,Taostats_CSV!$X:$X,0)-1,0),IF(Taostats_CSV!F752="fee",IF(VALUE(Taostats_CSV!G752)&gt;0,Taostats_CSV!G752,""),""))</f>
        <v/>
      </c>
      <c r="E752" t="str">
        <f ca="1">IF(AND(Q752,P752&gt;0),OFFSET(Taostats_CSV!$E$1,MATCH(K752&amp;F$1,Taostats_CSV!$X:$X,0)-1,0),IF(LEN(F752)&gt;0,Taostats_CSV!E752,""))</f>
        <v>SN56</v>
      </c>
      <c r="F752" t="str">
        <f ca="1">TRIM(IF(AND(Q752,P752&gt;0),OFFSET(Taostats_CSV!$H$1,MATCH(K752&amp;F$1,Taostats_CSV!$X:$X,0)-1,0),IF(LEN(Taostats_CSV!H752)&gt;0,Taostats_CSV!H752,Taostats_CSV!R752)))</f>
        <v>0.253536664</v>
      </c>
      <c r="G752" t="str">
        <f ca="1">IF(AND(Q752,N752=1),OFFSET(Taostats_CSV!$E$1,MATCH(K752&amp;H$1,Taostats_CSV!$X:$X,0)-1,0),"")</f>
        <v/>
      </c>
      <c r="H752" t="str">
        <f ca="1">IF(AND(Q752,N752=1),OFFSET(Taostats_CSV!$G$1,MATCH(K752&amp;H$1,Taostats_CSV!$X:$X,0)-1,0),"")</f>
        <v/>
      </c>
      <c r="I752" t="str">
        <f ca="1">IF(AND(LEN(K752)=0,LEN(F752)&gt;0),"Income",IF(AND(O752&gt;0,P752&gt;0,C752&lt;&gt;E752),"Trade",IF(AND(NOT(Q752),Taostats_CSV!F752="fee"),'READ ME'!$C$5,"")))</f>
        <v>Income</v>
      </c>
      <c r="J752" t="str">
        <f ca="1">SUBSTITUTE(IF(LEN(I752)=0,Taostats_CSV!F752&amp;" "&amp;Taostats_CSV!J752,IF(I752="Cost","Extrinsic fee","")),"_"," ")</f>
        <v/>
      </c>
      <c r="K752" t="str">
        <f>TRIM(IF(LEN(Taostats_CSV!I752)&gt;0,Taostats_CSV!I752,""))</f>
        <v/>
      </c>
      <c r="L752">
        <f ca="1">IF(Taostats_CSV!E752&lt;&gt;"TAO",IF(LEN(F752)&gt;0,F752,IF(LEN(D752)&gt;0,D752,0))*Taostats_CSV!P752,"")</f>
        <v>4.8487553443185556</v>
      </c>
      <c r="M752" t="str">
        <f t="shared" ca="1" si="81"/>
        <v>USD</v>
      </c>
      <c r="N752">
        <f>COUNTIF(Taostats_CSV!$X:$X,Taostats_CSV!$I752&amp;N$1)</f>
        <v>0</v>
      </c>
      <c r="O752">
        <f>COUNTIF(Taostats_CSV!$X:$X,Taostats_CSV!$I752&amp;O$1)</f>
        <v>0</v>
      </c>
      <c r="P752">
        <f>COUNTIF(Taostats_CSV!$X:$X,Taostats_CSV!$I752&amp;P$1)</f>
        <v>0</v>
      </c>
      <c r="Q752" t="b">
        <f t="shared" si="82"/>
        <v>0</v>
      </c>
      <c r="R752" t="b">
        <f>IF(LEN(K752)&gt;0,COUNTIF($K$3:K752,K752),FALSE)</f>
        <v>0</v>
      </c>
      <c r="S752" t="b">
        <f>IF(Taostats_CSV!A752=Taostats_CSV!$A$2,TRUE,Taostats_CSV!G752+Taostats_CSV!H752+Taostats_CSV!R752=0)</f>
        <v>0</v>
      </c>
      <c r="T752" t="b">
        <f t="shared" si="83"/>
        <v>1</v>
      </c>
      <c r="U752" t="b" cm="1">
        <f t="array" aca="1" ref="U752" ca="1">AND(T752,OR(O752-N752&gt;1,P752&gt;1,ISERROR(A752:P752)))</f>
        <v>0</v>
      </c>
      <c r="W752" t="e">
        <f>MATCH(K752&amp;$W$2,Taostats_CSV!$X$3:$X$1167,0)</f>
        <v>#N/A</v>
      </c>
      <c r="X752" t="e">
        <f t="shared" ca="1" si="78"/>
        <v>#VALUE!</v>
      </c>
      <c r="Y752">
        <f t="shared" ca="1" si="79"/>
        <v>0.25353666400000002</v>
      </c>
      <c r="Z752" t="e">
        <f t="shared" ca="1" si="80"/>
        <v>#VALUE!</v>
      </c>
    </row>
    <row r="753" spans="1:26" x14ac:dyDescent="0.4">
      <c r="A753" t="str">
        <f>MID(Taostats_CSV!C753,6,2)&amp;"/"&amp;MID(Taostats_CSV!C753,9,2)&amp;"/"&amp;LEFT(Taostats_CSV!C753,4)&amp;" "&amp;MID(Taostats_CSV!C753,12,8)</f>
        <v>08/08/2025 23:59:48</v>
      </c>
      <c r="C753" t="str">
        <f ca="1">IF(Q753,OFFSET(Taostats_CSV!$E$1,MATCH(K753&amp;D$1,Taostats_CSV!$X:$X,0)-1,0),IF(Taostats_CSV!F753="fee",IF(VALUE(Taostats_CSV!G753)&gt;0,Taostats_CSV!E753,""),""))</f>
        <v/>
      </c>
      <c r="D753" t="str">
        <f ca="1">IF(Q753,OFFSET(Taostats_CSV!$G$1,MATCH(K753&amp;D$1,Taostats_CSV!$X:$X,0)-1,0),IF(Taostats_CSV!F753="fee",IF(VALUE(Taostats_CSV!G753)&gt;0,Taostats_CSV!G753,""),""))</f>
        <v/>
      </c>
      <c r="E753" t="str">
        <f ca="1">IF(AND(Q753,P753&gt;0),OFFSET(Taostats_CSV!$E$1,MATCH(K753&amp;F$1,Taostats_CSV!$X:$X,0)-1,0),IF(LEN(F753)&gt;0,Taostats_CSV!E753,""))</f>
        <v>SN64</v>
      </c>
      <c r="F753" t="str">
        <f ca="1">TRIM(IF(AND(Q753,P753&gt;0),OFFSET(Taostats_CSV!$H$1,MATCH(K753&amp;F$1,Taostats_CSV!$X:$X,0)-1,0),IF(LEN(Taostats_CSV!H753)&gt;0,Taostats_CSV!H753,Taostats_CSV!R753)))</f>
        <v>0.138475482</v>
      </c>
      <c r="G753" t="str">
        <f ca="1">IF(AND(Q753,N753=1),OFFSET(Taostats_CSV!$E$1,MATCH(K753&amp;H$1,Taostats_CSV!$X:$X,0)-1,0),"")</f>
        <v/>
      </c>
      <c r="H753" t="str">
        <f ca="1">IF(AND(Q753,N753=1),OFFSET(Taostats_CSV!$G$1,MATCH(K753&amp;H$1,Taostats_CSV!$X:$X,0)-1,0),"")</f>
        <v/>
      </c>
      <c r="I753" t="str">
        <f ca="1">IF(AND(LEN(K753)=0,LEN(F753)&gt;0),"Income",IF(AND(O753&gt;0,P753&gt;0,C753&lt;&gt;E753),"Trade",IF(AND(NOT(Q753),Taostats_CSV!F753="fee"),'READ ME'!$C$5,"")))</f>
        <v>Income</v>
      </c>
      <c r="J753" t="str">
        <f ca="1">SUBSTITUTE(IF(LEN(I753)=0,Taostats_CSV!F753&amp;" "&amp;Taostats_CSV!J753,IF(I753="Cost","Extrinsic fee","")),"_"," ")</f>
        <v/>
      </c>
      <c r="K753" t="str">
        <f>TRIM(IF(LEN(Taostats_CSV!I753)&gt;0,Taostats_CSV!I753,""))</f>
        <v/>
      </c>
      <c r="L753">
        <f ca="1">IF(Taostats_CSV!E753&lt;&gt;"TAO",IF(LEN(F753)&gt;0,F753,IF(LEN(D753)&gt;0,D753,0))*Taostats_CSV!P753,"")</f>
        <v>6.89506859454821</v>
      </c>
      <c r="M753" t="str">
        <f t="shared" ca="1" si="81"/>
        <v>USD</v>
      </c>
      <c r="N753">
        <f>COUNTIF(Taostats_CSV!$X:$X,Taostats_CSV!$I753&amp;N$1)</f>
        <v>0</v>
      </c>
      <c r="O753">
        <f>COUNTIF(Taostats_CSV!$X:$X,Taostats_CSV!$I753&amp;O$1)</f>
        <v>0</v>
      </c>
      <c r="P753">
        <f>COUNTIF(Taostats_CSV!$X:$X,Taostats_CSV!$I753&amp;P$1)</f>
        <v>0</v>
      </c>
      <c r="Q753" t="b">
        <f t="shared" si="82"/>
        <v>0</v>
      </c>
      <c r="R753" t="b">
        <f>IF(LEN(K753)&gt;0,COUNTIF($K$3:K753,K753),FALSE)</f>
        <v>0</v>
      </c>
      <c r="S753" t="b">
        <f>IF(Taostats_CSV!A753=Taostats_CSV!$A$2,TRUE,Taostats_CSV!G753+Taostats_CSV!H753+Taostats_CSV!R753=0)</f>
        <v>0</v>
      </c>
      <c r="T753" t="b">
        <f t="shared" si="83"/>
        <v>1</v>
      </c>
      <c r="U753" t="b" cm="1">
        <f t="array" aca="1" ref="U753" ca="1">AND(T753,OR(O753-N753&gt;1,P753&gt;1,ISERROR(A753:P753)))</f>
        <v>0</v>
      </c>
      <c r="W753" t="e">
        <f>MATCH(K753&amp;$W$2,Taostats_CSV!$X$3:$X$1167,0)</f>
        <v>#N/A</v>
      </c>
      <c r="X753" t="e">
        <f t="shared" ca="1" si="78"/>
        <v>#VALUE!</v>
      </c>
      <c r="Y753">
        <f t="shared" ca="1" si="79"/>
        <v>0.13847548200000001</v>
      </c>
      <c r="Z753" t="e">
        <f t="shared" ca="1" si="80"/>
        <v>#VALUE!</v>
      </c>
    </row>
    <row r="754" spans="1:26" hidden="1" x14ac:dyDescent="0.4">
      <c r="A754" t="str">
        <f>MID(Taostats_CSV!C754,6,2)&amp;"/"&amp;MID(Taostats_CSV!C754,9,2)&amp;"/"&amp;LEFT(Taostats_CSV!C754,4)&amp;" "&amp;MID(Taostats_CSV!C754,12,8)</f>
        <v>08/08/2025 23:59:48</v>
      </c>
      <c r="C754" t="str">
        <f ca="1">IF(Q754,OFFSET(Taostats_CSV!$E$1,MATCH(K754&amp;D$1,Taostats_CSV!$X:$X,0)-1,0),IF(Taostats_CSV!F754="fee","",IF(VALUE(Taostats_CSV!G754)&gt;0,Taostats_CSV!E754,"")))</f>
        <v/>
      </c>
      <c r="D754" t="str">
        <f ca="1">IF(Q754,OFFSET(Taostats_CSV!$G$1,MATCH(K754&amp;D$1,Taostats_CSV!$X:$X,0)-1,0),IF(Taostats_CSV!F754="fee","",IF(VALUE(Taostats_CSV!G754)&gt;0,Taostats_CSV!G754,"")))</f>
        <v/>
      </c>
      <c r="E754" t="str">
        <f ca="1">IF(AND(Q754,P754&gt;0),OFFSET(Taostats_CSV!$E$1,MATCH(K754&amp;F$1,Taostats_CSV!$X:$X,0)-1,0),IF(LEN(F754)&gt;0,Taostats_CSV!E754,""))</f>
        <v>TAO</v>
      </c>
      <c r="F754" t="str">
        <f ca="1">TRIM(IF(AND(Q754,P754&gt;0),OFFSET(Taostats_CSV!$H$1,MATCH(K754&amp;F$1,Taostats_CSV!$X:$X,0)-1,0),IF(LEN(Taostats_CSV!H754)&gt;0,Taostats_CSV!H754,Taostats_CSV!R754)))</f>
        <v>0</v>
      </c>
      <c r="G754" t="str">
        <f ca="1">IF(AND(Q754,N754=1),OFFSET(Taostats_CSV!$E$1,MATCH(K754&amp;H$1,Taostats_CSV!$X:$X,0)-1,0),IF(Taostats_CSV!F754="fee",Taostats_CSV!E754,""))</f>
        <v/>
      </c>
      <c r="H754" t="str">
        <f ca="1">IF(AND(Q754,N754=1),OFFSET(Taostats_CSV!$G$1,MATCH(K754&amp;H$1,Taostats_CSV!$X:$X,0)-1,0),IF(Taostats_CSV!F754="fee",Taostats_CSV!G754,""))</f>
        <v/>
      </c>
      <c r="I754" t="str">
        <f ca="1">IF(AND(LEN(K754)=0,LEN(F754)&gt;0),"Income",IF(AND(O754&gt;0,P754&gt;0,C754&lt;&gt;E754),"Trade",IF(AND(NOT(Q754),Taostats_CSV!F754="fee"),'READ ME'!$C$5,"")))</f>
        <v>Income</v>
      </c>
      <c r="J754" t="str">
        <f ca="1">SUBSTITUTE(IF(LEN(I754)=0,Taostats_CSV!F754&amp;" "&amp;Taostats_CSV!J754,IF(I754="Cost","Extrinsic fee","")),"_"," ")</f>
        <v/>
      </c>
      <c r="K754" t="str">
        <f>TRIM(IF(LEN(Taostats_CSV!I754)&gt;0,Taostats_CSV!I754,""))</f>
        <v/>
      </c>
      <c r="L754" t="str">
        <f>IF(Taostats_CSV!E754&lt;&gt;"TAO",IF(LEN(F754)&gt;0,F754,IF(LEN(D754)&gt;0,D754,0))*Taostats_CSV!P754,"")</f>
        <v/>
      </c>
      <c r="M754" t="str">
        <f t="shared" si="81"/>
        <v/>
      </c>
      <c r="N754">
        <f>COUNTIF(Taostats_CSV!$X:$X,Taostats_CSV!$I754&amp;N$1)</f>
        <v>0</v>
      </c>
      <c r="O754">
        <f>COUNTIF(Taostats_CSV!$X:$X,Taostats_CSV!$I754&amp;O$1)</f>
        <v>0</v>
      </c>
      <c r="P754">
        <f>COUNTIF(Taostats_CSV!$X:$X,Taostats_CSV!$I754&amp;P$1)</f>
        <v>0</v>
      </c>
      <c r="Q754" t="b">
        <f t="shared" si="82"/>
        <v>0</v>
      </c>
      <c r="R754" t="b">
        <f>IF(LEN(K754)&gt;0,COUNTIF($K$3:K754,K754),FALSE)</f>
        <v>0</v>
      </c>
      <c r="S754" t="b">
        <f>IF(Taostats_CSV!A754=Taostats_CSV!$A$2,TRUE,Taostats_CSV!G754+Taostats_CSV!H754+Taostats_CSV!R754=0)</f>
        <v>1</v>
      </c>
      <c r="T754" t="b">
        <f t="shared" si="83"/>
        <v>0</v>
      </c>
      <c r="U754" t="b" cm="1">
        <f t="array" aca="1" ref="U754" ca="1">AND(T754,OR(O754-N754&gt;1,P754&gt;1,ISERROR(A754:P754)))</f>
        <v>0</v>
      </c>
      <c r="W754" t="e">
        <f>MATCH(K754&amp;$W$2,Taostats_CSV!$X$3:$X$1167,0)</f>
        <v>#N/A</v>
      </c>
      <c r="X754" t="e">
        <f t="shared" ca="1" si="78"/>
        <v>#VALUE!</v>
      </c>
      <c r="Y754">
        <f t="shared" ca="1" si="79"/>
        <v>0</v>
      </c>
      <c r="Z754" t="e">
        <f t="shared" ca="1" si="80"/>
        <v>#VALUE!</v>
      </c>
    </row>
    <row r="755" spans="1:26" x14ac:dyDescent="0.4">
      <c r="A755" t="str">
        <f>MID(Taostats_CSV!C755,6,2)&amp;"/"&amp;MID(Taostats_CSV!C755,9,2)&amp;"/"&amp;LEFT(Taostats_CSV!C755,4)&amp;" "&amp;MID(Taostats_CSV!C755,12,8)</f>
        <v>08/09/2025 23:59:48</v>
      </c>
      <c r="C755" t="str">
        <f ca="1">IF(Q755,OFFSET(Taostats_CSV!$E$1,MATCH(K755&amp;D$1,Taostats_CSV!$X:$X,0)-1,0),IF(Taostats_CSV!F755="fee",IF(VALUE(Taostats_CSV!G755)&gt;0,Taostats_CSV!E755,""),""))</f>
        <v/>
      </c>
      <c r="D755" t="str">
        <f ca="1">IF(Q755,OFFSET(Taostats_CSV!$G$1,MATCH(K755&amp;D$1,Taostats_CSV!$X:$X,0)-1,0),IF(Taostats_CSV!F755="fee",IF(VALUE(Taostats_CSV!G755)&gt;0,Taostats_CSV!G755,""),""))</f>
        <v/>
      </c>
      <c r="E755" t="str">
        <f ca="1">IF(AND(Q755,P755&gt;0),OFFSET(Taostats_CSV!$E$1,MATCH(K755&amp;F$1,Taostats_CSV!$X:$X,0)-1,0),IF(LEN(F755)&gt;0,Taostats_CSV!E755,""))</f>
        <v>SN3</v>
      </c>
      <c r="F755" t="str">
        <f ca="1">TRIM(IF(AND(Q755,P755&gt;0),OFFSET(Taostats_CSV!$H$1,MATCH(K755&amp;F$1,Taostats_CSV!$X:$X,0)-1,0),IF(LEN(Taostats_CSV!H755)&gt;0,Taostats_CSV!H755,Taostats_CSV!R755)))</f>
        <v>0.413023623</v>
      </c>
      <c r="G755" t="str">
        <f ca="1">IF(AND(Q755,N755=1),OFFSET(Taostats_CSV!$E$1,MATCH(K755&amp;H$1,Taostats_CSV!$X:$X,0)-1,0),"")</f>
        <v/>
      </c>
      <c r="H755" t="str">
        <f ca="1">IF(AND(Q755,N755=1),OFFSET(Taostats_CSV!$G$1,MATCH(K755&amp;H$1,Taostats_CSV!$X:$X,0)-1,0),"")</f>
        <v/>
      </c>
      <c r="I755" t="str">
        <f ca="1">IF(AND(LEN(K755)=0,LEN(F755)&gt;0),"Income",IF(AND(O755&gt;0,P755&gt;0,C755&lt;&gt;E755),"Trade",IF(AND(NOT(Q755),Taostats_CSV!F755="fee"),'READ ME'!$C$5,"")))</f>
        <v>Income</v>
      </c>
      <c r="J755" t="str">
        <f ca="1">SUBSTITUTE(IF(LEN(I755)=0,Taostats_CSV!F755&amp;" "&amp;Taostats_CSV!J755,IF(I755="Cost","Extrinsic fee","")),"_"," ")</f>
        <v/>
      </c>
      <c r="K755" t="str">
        <f>TRIM(IF(LEN(Taostats_CSV!I755)&gt;0,Taostats_CSV!I755,""))</f>
        <v/>
      </c>
      <c r="L755">
        <f ca="1">IF(Taostats_CSV!E755&lt;&gt;"TAO",IF(LEN(F755)&gt;0,F755,IF(LEN(D755)&gt;0,D755,0))*Taostats_CSV!P755,"")</f>
        <v>8.4529712141815647</v>
      </c>
      <c r="M755" t="str">
        <f t="shared" ca="1" si="81"/>
        <v>USD</v>
      </c>
      <c r="N755">
        <f>COUNTIF(Taostats_CSV!$X:$X,Taostats_CSV!$I755&amp;N$1)</f>
        <v>0</v>
      </c>
      <c r="O755">
        <f>COUNTIF(Taostats_CSV!$X:$X,Taostats_CSV!$I755&amp;O$1)</f>
        <v>0</v>
      </c>
      <c r="P755">
        <f>COUNTIF(Taostats_CSV!$X:$X,Taostats_CSV!$I755&amp;P$1)</f>
        <v>0</v>
      </c>
      <c r="Q755" t="b">
        <f t="shared" si="82"/>
        <v>0</v>
      </c>
      <c r="R755" t="b">
        <f>IF(LEN(K755)&gt;0,COUNTIF($K$3:K755,K755),FALSE)</f>
        <v>0</v>
      </c>
      <c r="S755" t="b">
        <f>IF(Taostats_CSV!A755=Taostats_CSV!$A$2,TRUE,Taostats_CSV!G755+Taostats_CSV!H755+Taostats_CSV!R755=0)</f>
        <v>0</v>
      </c>
      <c r="T755" t="b">
        <f t="shared" si="83"/>
        <v>1</v>
      </c>
      <c r="U755" t="b" cm="1">
        <f t="array" aca="1" ref="U755" ca="1">AND(T755,OR(O755-N755&gt;1,P755&gt;1,ISERROR(A755:P755)))</f>
        <v>0</v>
      </c>
      <c r="W755" t="e">
        <f>MATCH(K755&amp;$W$2,Taostats_CSV!$X$3:$X$1167,0)</f>
        <v>#N/A</v>
      </c>
      <c r="X755" t="e">
        <f t="shared" ca="1" si="78"/>
        <v>#VALUE!</v>
      </c>
      <c r="Y755">
        <f t="shared" ca="1" si="79"/>
        <v>0.41302362300000001</v>
      </c>
      <c r="Z755" t="e">
        <f t="shared" ca="1" si="80"/>
        <v>#VALUE!</v>
      </c>
    </row>
    <row r="756" spans="1:26" x14ac:dyDescent="0.4">
      <c r="A756" t="str">
        <f>MID(Taostats_CSV!C756,6,2)&amp;"/"&amp;MID(Taostats_CSV!C756,9,2)&amp;"/"&amp;LEFT(Taostats_CSV!C756,4)&amp;" "&amp;MID(Taostats_CSV!C756,12,8)</f>
        <v>08/09/2025 23:59:48</v>
      </c>
      <c r="C756" t="str">
        <f ca="1">IF(Q756,OFFSET(Taostats_CSV!$E$1,MATCH(K756&amp;D$1,Taostats_CSV!$X:$X,0)-1,0),IF(Taostats_CSV!F756="fee",IF(VALUE(Taostats_CSV!G756)&gt;0,Taostats_CSV!E756,""),""))</f>
        <v/>
      </c>
      <c r="D756" t="str">
        <f ca="1">IF(Q756,OFFSET(Taostats_CSV!$G$1,MATCH(K756&amp;D$1,Taostats_CSV!$X:$X,0)-1,0),IF(Taostats_CSV!F756="fee",IF(VALUE(Taostats_CSV!G756)&gt;0,Taostats_CSV!G756,""),""))</f>
        <v/>
      </c>
      <c r="E756" t="str">
        <f ca="1">IF(AND(Q756,P756&gt;0),OFFSET(Taostats_CSV!$E$1,MATCH(K756&amp;F$1,Taostats_CSV!$X:$X,0)-1,0),IF(LEN(F756)&gt;0,Taostats_CSV!E756,""))</f>
        <v>SN4</v>
      </c>
      <c r="F756" t="str">
        <f ca="1">TRIM(IF(AND(Q756,P756&gt;0),OFFSET(Taostats_CSV!$H$1,MATCH(K756&amp;F$1,Taostats_CSV!$X:$X,0)-1,0),IF(LEN(Taostats_CSV!H756)&gt;0,Taostats_CSV!H756,Taostats_CSV!R756)))</f>
        <v>0.419317439</v>
      </c>
      <c r="G756" t="str">
        <f ca="1">IF(AND(Q756,N756=1),OFFSET(Taostats_CSV!$E$1,MATCH(K756&amp;H$1,Taostats_CSV!$X:$X,0)-1,0),"")</f>
        <v/>
      </c>
      <c r="H756" t="str">
        <f ca="1">IF(AND(Q756,N756=1),OFFSET(Taostats_CSV!$G$1,MATCH(K756&amp;H$1,Taostats_CSV!$X:$X,0)-1,0),"")</f>
        <v/>
      </c>
      <c r="I756" t="str">
        <f ca="1">IF(AND(LEN(K756)=0,LEN(F756)&gt;0),"Income",IF(AND(O756&gt;0,P756&gt;0,C756&lt;&gt;E756),"Trade",IF(AND(NOT(Q756),Taostats_CSV!F756="fee"),'READ ME'!$C$5,"")))</f>
        <v>Income</v>
      </c>
      <c r="J756" t="str">
        <f ca="1">SUBSTITUTE(IF(LEN(I756)=0,Taostats_CSV!F756&amp;" "&amp;Taostats_CSV!J756,IF(I756="Cost","Extrinsic fee","")),"_"," ")</f>
        <v/>
      </c>
      <c r="K756" t="str">
        <f>TRIM(IF(LEN(Taostats_CSV!I756)&gt;0,Taostats_CSV!I756,""))</f>
        <v/>
      </c>
      <c r="L756">
        <f ca="1">IF(Taostats_CSV!E756&lt;&gt;"TAO",IF(LEN(F756)&gt;0,F756,IF(LEN(D756)&gt;0,D756,0))*Taostats_CSV!P756,"")</f>
        <v>9.2531798744822371</v>
      </c>
      <c r="M756" t="str">
        <f t="shared" ca="1" si="81"/>
        <v>USD</v>
      </c>
      <c r="N756">
        <f>COUNTIF(Taostats_CSV!$X:$X,Taostats_CSV!$I756&amp;N$1)</f>
        <v>0</v>
      </c>
      <c r="O756">
        <f>COUNTIF(Taostats_CSV!$X:$X,Taostats_CSV!$I756&amp;O$1)</f>
        <v>0</v>
      </c>
      <c r="P756">
        <f>COUNTIF(Taostats_CSV!$X:$X,Taostats_CSV!$I756&amp;P$1)</f>
        <v>0</v>
      </c>
      <c r="Q756" t="b">
        <f t="shared" si="82"/>
        <v>0</v>
      </c>
      <c r="R756" t="b">
        <f>IF(LEN(K756)&gt;0,COUNTIF($K$3:K756,K756),FALSE)</f>
        <v>0</v>
      </c>
      <c r="S756" t="b">
        <f>IF(Taostats_CSV!A756=Taostats_CSV!$A$2,TRUE,Taostats_CSV!G756+Taostats_CSV!H756+Taostats_CSV!R756=0)</f>
        <v>0</v>
      </c>
      <c r="T756" t="b">
        <f t="shared" si="83"/>
        <v>1</v>
      </c>
      <c r="U756" t="b" cm="1">
        <f t="array" aca="1" ref="U756" ca="1">AND(T756,OR(O756-N756&gt;1,P756&gt;1,ISERROR(A756:P756)))</f>
        <v>0</v>
      </c>
      <c r="W756" t="e">
        <f>MATCH(K756&amp;$W$2,Taostats_CSV!$X$3:$X$1167,0)</f>
        <v>#N/A</v>
      </c>
      <c r="X756" t="e">
        <f t="shared" ca="1" si="78"/>
        <v>#VALUE!</v>
      </c>
      <c r="Y756">
        <f t="shared" ca="1" si="79"/>
        <v>0.41931743900000001</v>
      </c>
      <c r="Z756" t="e">
        <f t="shared" ca="1" si="80"/>
        <v>#VALUE!</v>
      </c>
    </row>
    <row r="757" spans="1:26" x14ac:dyDescent="0.4">
      <c r="A757" t="str">
        <f>MID(Taostats_CSV!C757,6,2)&amp;"/"&amp;MID(Taostats_CSV!C757,9,2)&amp;"/"&amp;LEFT(Taostats_CSV!C757,4)&amp;" "&amp;MID(Taostats_CSV!C757,12,8)</f>
        <v>08/09/2025 23:59:48</v>
      </c>
      <c r="C757" t="str">
        <f ca="1">IF(Q757,OFFSET(Taostats_CSV!$E$1,MATCH(K757&amp;D$1,Taostats_CSV!$X:$X,0)-1,0),IF(Taostats_CSV!F757="fee",IF(VALUE(Taostats_CSV!G757)&gt;0,Taostats_CSV!E757,""),""))</f>
        <v/>
      </c>
      <c r="D757" t="str">
        <f ca="1">IF(Q757,OFFSET(Taostats_CSV!$G$1,MATCH(K757&amp;D$1,Taostats_CSV!$X:$X,0)-1,0),IF(Taostats_CSV!F757="fee",IF(VALUE(Taostats_CSV!G757)&gt;0,Taostats_CSV!G757,""),""))</f>
        <v/>
      </c>
      <c r="E757" t="str">
        <f ca="1">IF(AND(Q757,P757&gt;0),OFFSET(Taostats_CSV!$E$1,MATCH(K757&amp;F$1,Taostats_CSV!$X:$X,0)-1,0),IF(LEN(F757)&gt;0,Taostats_CSV!E757,""))</f>
        <v>SN56</v>
      </c>
      <c r="F757" t="str">
        <f ca="1">TRIM(IF(AND(Q757,P757&gt;0),OFFSET(Taostats_CSV!$H$1,MATCH(K757&amp;F$1,Taostats_CSV!$X:$X,0)-1,0),IF(LEN(Taostats_CSV!H757)&gt;0,Taostats_CSV!H757,Taostats_CSV!R757)))</f>
        <v>0.25506102</v>
      </c>
      <c r="G757" t="str">
        <f ca="1">IF(AND(Q757,N757=1),OFFSET(Taostats_CSV!$E$1,MATCH(K757&amp;H$1,Taostats_CSV!$X:$X,0)-1,0),"")</f>
        <v/>
      </c>
      <c r="H757" t="str">
        <f ca="1">IF(AND(Q757,N757=1),OFFSET(Taostats_CSV!$G$1,MATCH(K757&amp;H$1,Taostats_CSV!$X:$X,0)-1,0),"")</f>
        <v/>
      </c>
      <c r="I757" t="str">
        <f ca="1">IF(AND(LEN(K757)=0,LEN(F757)&gt;0),"Income",IF(AND(O757&gt;0,P757&gt;0,C757&lt;&gt;E757),"Trade",IF(AND(NOT(Q757),Taostats_CSV!F757="fee"),'READ ME'!$C$5,"")))</f>
        <v>Income</v>
      </c>
      <c r="J757" t="str">
        <f ca="1">SUBSTITUTE(IF(LEN(I757)=0,Taostats_CSV!F757&amp;" "&amp;Taostats_CSV!J757,IF(I757="Cost","Extrinsic fee","")),"_"," ")</f>
        <v/>
      </c>
      <c r="K757" t="str">
        <f>TRIM(IF(LEN(Taostats_CSV!I757)&gt;0,Taostats_CSV!I757,""))</f>
        <v/>
      </c>
      <c r="L757">
        <f ca="1">IF(Taostats_CSV!E757&lt;&gt;"TAO",IF(LEN(F757)&gt;0,F757,IF(LEN(D757)&gt;0,D757,0))*Taostats_CSV!P757,"")</f>
        <v>5.1127419957033862</v>
      </c>
      <c r="M757" t="str">
        <f t="shared" ca="1" si="81"/>
        <v>USD</v>
      </c>
      <c r="N757">
        <f>COUNTIF(Taostats_CSV!$X:$X,Taostats_CSV!$I757&amp;N$1)</f>
        <v>0</v>
      </c>
      <c r="O757">
        <f>COUNTIF(Taostats_CSV!$X:$X,Taostats_CSV!$I757&amp;O$1)</f>
        <v>0</v>
      </c>
      <c r="P757">
        <f>COUNTIF(Taostats_CSV!$X:$X,Taostats_CSV!$I757&amp;P$1)</f>
        <v>0</v>
      </c>
      <c r="Q757" t="b">
        <f t="shared" si="82"/>
        <v>0</v>
      </c>
      <c r="R757" t="b">
        <f>IF(LEN(K757)&gt;0,COUNTIF($K$3:K757,K757),FALSE)</f>
        <v>0</v>
      </c>
      <c r="S757" t="b">
        <f>IF(Taostats_CSV!A757=Taostats_CSV!$A$2,TRUE,Taostats_CSV!G757+Taostats_CSV!H757+Taostats_CSV!R757=0)</f>
        <v>0</v>
      </c>
      <c r="T757" t="b">
        <f t="shared" si="83"/>
        <v>1</v>
      </c>
      <c r="U757" t="b" cm="1">
        <f t="array" aca="1" ref="U757" ca="1">AND(T757,OR(O757-N757&gt;1,P757&gt;1,ISERROR(A757:P757)))</f>
        <v>0</v>
      </c>
      <c r="W757" t="e">
        <f>MATCH(K757&amp;$W$2,Taostats_CSV!$X$3:$X$1167,0)</f>
        <v>#N/A</v>
      </c>
      <c r="X757" t="e">
        <f t="shared" ca="1" si="78"/>
        <v>#VALUE!</v>
      </c>
      <c r="Y757">
        <f t="shared" ca="1" si="79"/>
        <v>0.25506102000000003</v>
      </c>
      <c r="Z757" t="e">
        <f t="shared" ca="1" si="80"/>
        <v>#VALUE!</v>
      </c>
    </row>
    <row r="758" spans="1:26" x14ac:dyDescent="0.4">
      <c r="A758" t="str">
        <f>MID(Taostats_CSV!C758,6,2)&amp;"/"&amp;MID(Taostats_CSV!C758,9,2)&amp;"/"&amp;LEFT(Taostats_CSV!C758,4)&amp;" "&amp;MID(Taostats_CSV!C758,12,8)</f>
        <v>08/09/2025 23:59:48</v>
      </c>
      <c r="C758" t="str">
        <f ca="1">IF(Q758,OFFSET(Taostats_CSV!$E$1,MATCH(K758&amp;D$1,Taostats_CSV!$X:$X,0)-1,0),IF(Taostats_CSV!F758="fee",IF(VALUE(Taostats_CSV!G758)&gt;0,Taostats_CSV!E758,""),""))</f>
        <v/>
      </c>
      <c r="D758" t="str">
        <f ca="1">IF(Q758,OFFSET(Taostats_CSV!$G$1,MATCH(K758&amp;D$1,Taostats_CSV!$X:$X,0)-1,0),IF(Taostats_CSV!F758="fee",IF(VALUE(Taostats_CSV!G758)&gt;0,Taostats_CSV!G758,""),""))</f>
        <v/>
      </c>
      <c r="E758" t="str">
        <f ca="1">IF(AND(Q758,P758&gt;0),OFFSET(Taostats_CSV!$E$1,MATCH(K758&amp;F$1,Taostats_CSV!$X:$X,0)-1,0),IF(LEN(F758)&gt;0,Taostats_CSV!E758,""))</f>
        <v>SN64</v>
      </c>
      <c r="F758" t="str">
        <f ca="1">TRIM(IF(AND(Q758,P758&gt;0),OFFSET(Taostats_CSV!$H$1,MATCH(K758&amp;F$1,Taostats_CSV!$X:$X,0)-1,0),IF(LEN(Taostats_CSV!H758)&gt;0,Taostats_CSV!H758,Taostats_CSV!R758)))</f>
        <v>0.137727031</v>
      </c>
      <c r="G758" t="str">
        <f ca="1">IF(AND(Q758,N758=1),OFFSET(Taostats_CSV!$E$1,MATCH(K758&amp;H$1,Taostats_CSV!$X:$X,0)-1,0),"")</f>
        <v/>
      </c>
      <c r="H758" t="str">
        <f ca="1">IF(AND(Q758,N758=1),OFFSET(Taostats_CSV!$G$1,MATCH(K758&amp;H$1,Taostats_CSV!$X:$X,0)-1,0),"")</f>
        <v/>
      </c>
      <c r="I758" t="str">
        <f ca="1">IF(AND(LEN(K758)=0,LEN(F758)&gt;0),"Income",IF(AND(O758&gt;0,P758&gt;0,C758&lt;&gt;E758),"Trade",IF(AND(NOT(Q758),Taostats_CSV!F758="fee"),'READ ME'!$C$5,"")))</f>
        <v>Income</v>
      </c>
      <c r="J758" t="str">
        <f ca="1">SUBSTITUTE(IF(LEN(I758)=0,Taostats_CSV!F758&amp;" "&amp;Taostats_CSV!J758,IF(I758="Cost","Extrinsic fee","")),"_"," ")</f>
        <v/>
      </c>
      <c r="K758" t="str">
        <f>TRIM(IF(LEN(Taostats_CSV!I758)&gt;0,Taostats_CSV!I758,""))</f>
        <v/>
      </c>
      <c r="L758">
        <f ca="1">IF(Taostats_CSV!E758&lt;&gt;"TAO",IF(LEN(F758)&gt;0,F758,IF(LEN(D758)&gt;0,D758,0))*Taostats_CSV!P758,"")</f>
        <v>7.2068809262545042</v>
      </c>
      <c r="M758" t="str">
        <f t="shared" ca="1" si="81"/>
        <v>USD</v>
      </c>
      <c r="N758">
        <f>COUNTIF(Taostats_CSV!$X:$X,Taostats_CSV!$I758&amp;N$1)</f>
        <v>0</v>
      </c>
      <c r="O758">
        <f>COUNTIF(Taostats_CSV!$X:$X,Taostats_CSV!$I758&amp;O$1)</f>
        <v>0</v>
      </c>
      <c r="P758">
        <f>COUNTIF(Taostats_CSV!$X:$X,Taostats_CSV!$I758&amp;P$1)</f>
        <v>0</v>
      </c>
      <c r="Q758" t="b">
        <f t="shared" si="82"/>
        <v>0</v>
      </c>
      <c r="R758" t="b">
        <f>IF(LEN(K758)&gt;0,COUNTIF($K$3:K758,K758),FALSE)</f>
        <v>0</v>
      </c>
      <c r="S758" t="b">
        <f>IF(Taostats_CSV!A758=Taostats_CSV!$A$2,TRUE,Taostats_CSV!G758+Taostats_CSV!H758+Taostats_CSV!R758=0)</f>
        <v>0</v>
      </c>
      <c r="T758" t="b">
        <f t="shared" si="83"/>
        <v>1</v>
      </c>
      <c r="U758" t="b" cm="1">
        <f t="array" aca="1" ref="U758" ca="1">AND(T758,OR(O758-N758&gt;1,P758&gt;1,ISERROR(A758:P758)))</f>
        <v>0</v>
      </c>
      <c r="W758" t="e">
        <f>MATCH(K758&amp;$W$2,Taostats_CSV!$X$3:$X$1167,0)</f>
        <v>#N/A</v>
      </c>
      <c r="X758" t="e">
        <f t="shared" ca="1" si="78"/>
        <v>#VALUE!</v>
      </c>
      <c r="Y758">
        <f t="shared" ca="1" si="79"/>
        <v>0.137727031</v>
      </c>
      <c r="Z758" t="e">
        <f t="shared" ca="1" si="80"/>
        <v>#VALUE!</v>
      </c>
    </row>
    <row r="759" spans="1:26" hidden="1" x14ac:dyDescent="0.4">
      <c r="A759" t="str">
        <f>MID(Taostats_CSV!C759,6,2)&amp;"/"&amp;MID(Taostats_CSV!C759,9,2)&amp;"/"&amp;LEFT(Taostats_CSV!C759,4)&amp;" "&amp;MID(Taostats_CSV!C759,12,8)</f>
        <v>08/09/2025 23:59:48</v>
      </c>
      <c r="C759" t="str">
        <f ca="1">IF(Q759,OFFSET(Taostats_CSV!$E$1,MATCH(K759&amp;D$1,Taostats_CSV!$X:$X,0)-1,0),IF(Taostats_CSV!F759="fee","",IF(VALUE(Taostats_CSV!G759)&gt;0,Taostats_CSV!E759,"")))</f>
        <v/>
      </c>
      <c r="D759" t="str">
        <f ca="1">IF(Q759,OFFSET(Taostats_CSV!$G$1,MATCH(K759&amp;D$1,Taostats_CSV!$X:$X,0)-1,0),IF(Taostats_CSV!F759="fee","",IF(VALUE(Taostats_CSV!G759)&gt;0,Taostats_CSV!G759,"")))</f>
        <v/>
      </c>
      <c r="E759" t="str">
        <f ca="1">IF(AND(Q759,P759&gt;0),OFFSET(Taostats_CSV!$E$1,MATCH(K759&amp;F$1,Taostats_CSV!$X:$X,0)-1,0),IF(LEN(F759)&gt;0,Taostats_CSV!E759,""))</f>
        <v>TAO</v>
      </c>
      <c r="F759" t="str">
        <f ca="1">TRIM(IF(AND(Q759,P759&gt;0),OFFSET(Taostats_CSV!$H$1,MATCH(K759&amp;F$1,Taostats_CSV!$X:$X,0)-1,0),IF(LEN(Taostats_CSV!H759)&gt;0,Taostats_CSV!H759,Taostats_CSV!R759)))</f>
        <v>0</v>
      </c>
      <c r="G759" t="str">
        <f ca="1">IF(AND(Q759,N759=1),OFFSET(Taostats_CSV!$E$1,MATCH(K759&amp;H$1,Taostats_CSV!$X:$X,0)-1,0),IF(Taostats_CSV!F759="fee",Taostats_CSV!E759,""))</f>
        <v/>
      </c>
      <c r="H759" t="str">
        <f ca="1">IF(AND(Q759,N759=1),OFFSET(Taostats_CSV!$G$1,MATCH(K759&amp;H$1,Taostats_CSV!$X:$X,0)-1,0),IF(Taostats_CSV!F759="fee",Taostats_CSV!G759,""))</f>
        <v/>
      </c>
      <c r="I759" t="str">
        <f ca="1">IF(AND(LEN(K759)=0,LEN(F759)&gt;0),"Income",IF(AND(O759&gt;0,P759&gt;0,C759&lt;&gt;E759),"Trade",IF(AND(NOT(Q759),Taostats_CSV!F759="fee"),'READ ME'!$C$5,"")))</f>
        <v>Income</v>
      </c>
      <c r="J759" t="str">
        <f ca="1">SUBSTITUTE(IF(LEN(I759)=0,Taostats_CSV!F759&amp;" "&amp;Taostats_CSV!J759,IF(I759="Cost","Extrinsic fee","")),"_"," ")</f>
        <v/>
      </c>
      <c r="K759" t="str">
        <f>TRIM(IF(LEN(Taostats_CSV!I759)&gt;0,Taostats_CSV!I759,""))</f>
        <v/>
      </c>
      <c r="L759" t="str">
        <f>IF(Taostats_CSV!E759&lt;&gt;"TAO",IF(LEN(F759)&gt;0,F759,IF(LEN(D759)&gt;0,D759,0))*Taostats_CSV!P759,"")</f>
        <v/>
      </c>
      <c r="M759" t="str">
        <f t="shared" si="81"/>
        <v/>
      </c>
      <c r="N759">
        <f>COUNTIF(Taostats_CSV!$X:$X,Taostats_CSV!$I759&amp;N$1)</f>
        <v>0</v>
      </c>
      <c r="O759">
        <f>COUNTIF(Taostats_CSV!$X:$X,Taostats_CSV!$I759&amp;O$1)</f>
        <v>0</v>
      </c>
      <c r="P759">
        <f>COUNTIF(Taostats_CSV!$X:$X,Taostats_CSV!$I759&amp;P$1)</f>
        <v>0</v>
      </c>
      <c r="Q759" t="b">
        <f t="shared" si="82"/>
        <v>0</v>
      </c>
      <c r="R759" t="b">
        <f>IF(LEN(K759)&gt;0,COUNTIF($K$3:K759,K759),FALSE)</f>
        <v>0</v>
      </c>
      <c r="S759" t="b">
        <f>IF(Taostats_CSV!A759=Taostats_CSV!$A$2,TRUE,Taostats_CSV!G759+Taostats_CSV!H759+Taostats_CSV!R759=0)</f>
        <v>1</v>
      </c>
      <c r="T759" t="b">
        <f t="shared" si="83"/>
        <v>0</v>
      </c>
      <c r="U759" t="b" cm="1">
        <f t="array" aca="1" ref="U759" ca="1">AND(T759,OR(O759-N759&gt;1,P759&gt;1,ISERROR(A759:P759)))</f>
        <v>0</v>
      </c>
      <c r="W759" t="e">
        <f>MATCH(K759&amp;$W$2,Taostats_CSV!$X$3:$X$1167,0)</f>
        <v>#N/A</v>
      </c>
      <c r="X759" t="e">
        <f t="shared" ca="1" si="78"/>
        <v>#VALUE!</v>
      </c>
      <c r="Y759">
        <f t="shared" ca="1" si="79"/>
        <v>0</v>
      </c>
      <c r="Z759" t="e">
        <f t="shared" ca="1" si="80"/>
        <v>#VALUE!</v>
      </c>
    </row>
    <row r="760" spans="1:26" x14ac:dyDescent="0.4">
      <c r="A760" t="str">
        <f>MID(Taostats_CSV!C760,6,2)&amp;"/"&amp;MID(Taostats_CSV!C760,9,2)&amp;"/"&amp;LEFT(Taostats_CSV!C760,4)&amp;" "&amp;MID(Taostats_CSV!C760,12,8)</f>
        <v>08/10/2025 17:26:24</v>
      </c>
      <c r="C760" t="str">
        <f ca="1">IF(Q760,OFFSET(Taostats_CSV!$E$1,MATCH(K760&amp;D$1,Taostats_CSV!$X:$X,0)-1,0),IF(Taostats_CSV!F760="fee",IF(VALUE(Taostats_CSV!G760)&gt;0,Taostats_CSV!E760,""),""))</f>
        <v>TAO</v>
      </c>
      <c r="D760">
        <f ca="1">IF(Q760,OFFSET(Taostats_CSV!$G$1,MATCH(K760&amp;D$1,Taostats_CSV!$X:$X,0)-1,0),IF(Taostats_CSV!F760="fee",IF(VALUE(Taostats_CSV!G760)&gt;0,Taostats_CSV!G760,""),""))</f>
        <v>1.3019780000000001E-3</v>
      </c>
      <c r="E760" t="str">
        <f ca="1">IF(AND(Q760,P760&gt;0),OFFSET(Taostats_CSV!$E$1,MATCH(K760&amp;F$1,Taostats_CSV!$X:$X,0)-1,0),IF(LEN(F760)&gt;0,Taostats_CSV!E760,""))</f>
        <v/>
      </c>
      <c r="F760" t="str">
        <f ca="1">TRIM(IF(AND(Q760,P760&gt;0),OFFSET(Taostats_CSV!$H$1,MATCH(K760&amp;F$1,Taostats_CSV!$X:$X,0)-1,0),IF(LEN(Taostats_CSV!H760)&gt;0,Taostats_CSV!H760,Taostats_CSV!R760)))</f>
        <v/>
      </c>
      <c r="G760" t="str">
        <f ca="1">IF(AND(Q760,N760=1),OFFSET(Taostats_CSV!$E$1,MATCH(K760&amp;H$1,Taostats_CSV!$X:$X,0)-1,0),"")</f>
        <v/>
      </c>
      <c r="H760" t="str">
        <f ca="1">IF(AND(Q760,N760=1),OFFSET(Taostats_CSV!$G$1,MATCH(K760&amp;H$1,Taostats_CSV!$X:$X,0)-1,0),"")</f>
        <v/>
      </c>
      <c r="I760" t="str">
        <f ca="1">IF(AND(LEN(K760)=0,LEN(F760)&gt;0),"Income",IF(AND(O760&gt;0,P760&gt;0,C760&lt;&gt;E760),"Trade",IF(AND(NOT(Q760),Taostats_CSV!F760="fee"),'READ ME'!$C$5,"")))</f>
        <v>Merchant Payment</v>
      </c>
      <c r="J760" t="str">
        <f ca="1">SUBSTITUTE(IF(LEN(I760)=0,Taostats_CSV!F760&amp;" "&amp;Taostats_CSV!J760,IF(I760="Cost","Extrinsic fee","")),"_"," ")</f>
        <v/>
      </c>
      <c r="K760" t="str">
        <f>TRIM(IF(LEN(Taostats_CSV!I760)&gt;0,Taostats_CSV!I760,""))</f>
        <v>6191028-0008</v>
      </c>
      <c r="L760" t="str">
        <f>IF(Taostats_CSV!E760&lt;&gt;"TAO",IF(LEN(F760)&gt;0,F760,IF(LEN(D760)&gt;0,D760,0))*Taostats_CSV!P760,"")</f>
        <v/>
      </c>
      <c r="M760" t="str">
        <f t="shared" si="81"/>
        <v/>
      </c>
      <c r="N760">
        <f>COUNTIF(Taostats_CSV!$X:$X,Taostats_CSV!$I760&amp;N$1)</f>
        <v>1</v>
      </c>
      <c r="O760">
        <f>COUNTIF(Taostats_CSV!$X:$X,Taostats_CSV!$I760&amp;O$1)</f>
        <v>0</v>
      </c>
      <c r="P760">
        <f>COUNTIF(Taostats_CSV!$X:$X,Taostats_CSV!$I760&amp;P$1)</f>
        <v>0</v>
      </c>
      <c r="Q760" t="b">
        <f t="shared" si="82"/>
        <v>0</v>
      </c>
      <c r="R760">
        <f>IF(LEN(K760)&gt;0,COUNTIF($K$3:K760,K760),FALSE)</f>
        <v>1</v>
      </c>
      <c r="S760" t="b">
        <f>IF(Taostats_CSV!A760=Taostats_CSV!$A$2,TRUE,Taostats_CSV!G760+Taostats_CSV!H760+Taostats_CSV!R760=0)</f>
        <v>0</v>
      </c>
      <c r="T760" t="b">
        <f t="shared" si="83"/>
        <v>1</v>
      </c>
      <c r="U760" t="b" cm="1">
        <f t="array" aca="1" ref="U760" ca="1">AND(T760,OR(O760-N760&gt;1,P760&gt;1,ISERROR(A760:P760)))</f>
        <v>0</v>
      </c>
      <c r="W760">
        <f>MATCH(K760&amp;$W$2,Taostats_CSV!$X$3:$X$1167,0)</f>
        <v>758</v>
      </c>
      <c r="X760">
        <f t="shared" ca="1" si="78"/>
        <v>1.3019780000000001E-3</v>
      </c>
      <c r="Y760" t="e">
        <f t="shared" ca="1" si="79"/>
        <v>#VALUE!</v>
      </c>
      <c r="Z760" t="e">
        <f t="shared" ca="1" si="80"/>
        <v>#VALUE!</v>
      </c>
    </row>
    <row r="761" spans="1:26" x14ac:dyDescent="0.4">
      <c r="A761" t="str">
        <f>MID(Taostats_CSV!C761,6,2)&amp;"/"&amp;MID(Taostats_CSV!C761,9,2)&amp;"/"&amp;LEFT(Taostats_CSV!C761,4)&amp;" "&amp;MID(Taostats_CSV!C761,12,8)</f>
        <v>08/10/2025 17:28:12</v>
      </c>
      <c r="C761" t="str">
        <f ca="1">IF(Q761,OFFSET(Taostats_CSV!$E$1,MATCH(K761&amp;D$1,Taostats_CSV!$X:$X,0)-1,0),IF(Taostats_CSV!F761="fee",IF(VALUE(Taostats_CSV!G761)&gt;0,Taostats_CSV!E761,""),""))</f>
        <v>TAO</v>
      </c>
      <c r="D761">
        <f ca="1">IF(Q761,OFFSET(Taostats_CSV!$G$1,MATCH(K761&amp;D$1,Taostats_CSV!$X:$X,0)-1,0),IF(Taostats_CSV!F761="fee",IF(VALUE(Taostats_CSV!G761)&gt;0,Taostats_CSV!G761,""),""))</f>
        <v>1.3019780000000001E-3</v>
      </c>
      <c r="E761" t="str">
        <f ca="1">IF(AND(Q761,P761&gt;0),OFFSET(Taostats_CSV!$E$1,MATCH(K761&amp;F$1,Taostats_CSV!$X:$X,0)-1,0),IF(LEN(F761)&gt;0,Taostats_CSV!E761,""))</f>
        <v/>
      </c>
      <c r="F761" t="str">
        <f ca="1">TRIM(IF(AND(Q761,P761&gt;0),OFFSET(Taostats_CSV!$H$1,MATCH(K761&amp;F$1,Taostats_CSV!$X:$X,0)-1,0),IF(LEN(Taostats_CSV!H761)&gt;0,Taostats_CSV!H761,Taostats_CSV!R761)))</f>
        <v/>
      </c>
      <c r="G761" t="str">
        <f ca="1">IF(AND(Q761,N761=1),OFFSET(Taostats_CSV!$E$1,MATCH(K761&amp;H$1,Taostats_CSV!$X:$X,0)-1,0),"")</f>
        <v/>
      </c>
      <c r="H761" t="str">
        <f ca="1">IF(AND(Q761,N761=1),OFFSET(Taostats_CSV!$G$1,MATCH(K761&amp;H$1,Taostats_CSV!$X:$X,0)-1,0),"")</f>
        <v/>
      </c>
      <c r="I761" t="str">
        <f ca="1">IF(AND(LEN(K761)=0,LEN(F761)&gt;0),"Income",IF(AND(O761&gt;0,P761&gt;0,C761&lt;&gt;E761),"Trade",IF(AND(NOT(Q761),Taostats_CSV!F761="fee"),'READ ME'!$C$5,"")))</f>
        <v>Merchant Payment</v>
      </c>
      <c r="J761" t="str">
        <f ca="1">SUBSTITUTE(IF(LEN(I761)=0,Taostats_CSV!F761&amp;" "&amp;Taostats_CSV!J761,IF(I761="Cost","Extrinsic fee","")),"_"," ")</f>
        <v/>
      </c>
      <c r="K761" t="str">
        <f>TRIM(IF(LEN(Taostats_CSV!I761)&gt;0,Taostats_CSV!I761,""))</f>
        <v>6191037-0006</v>
      </c>
      <c r="L761" t="str">
        <f>IF(Taostats_CSV!E761&lt;&gt;"TAO",IF(LEN(F761)&gt;0,F761,IF(LEN(D761)&gt;0,D761,0))*Taostats_CSV!P761,"")</f>
        <v/>
      </c>
      <c r="M761" t="str">
        <f t="shared" si="81"/>
        <v/>
      </c>
      <c r="N761">
        <f>COUNTIF(Taostats_CSV!$X:$X,Taostats_CSV!$I761&amp;N$1)</f>
        <v>1</v>
      </c>
      <c r="O761">
        <f>COUNTIF(Taostats_CSV!$X:$X,Taostats_CSV!$I761&amp;O$1)</f>
        <v>0</v>
      </c>
      <c r="P761">
        <f>COUNTIF(Taostats_CSV!$X:$X,Taostats_CSV!$I761&amp;P$1)</f>
        <v>0</v>
      </c>
      <c r="Q761" t="b">
        <f t="shared" si="82"/>
        <v>0</v>
      </c>
      <c r="R761">
        <f>IF(LEN(K761)&gt;0,COUNTIF($K$3:K761,K761),FALSE)</f>
        <v>1</v>
      </c>
      <c r="S761" t="b">
        <f>IF(Taostats_CSV!A761=Taostats_CSV!$A$2,TRUE,Taostats_CSV!G761+Taostats_CSV!H761+Taostats_CSV!R761=0)</f>
        <v>0</v>
      </c>
      <c r="T761" t="b">
        <f t="shared" si="83"/>
        <v>1</v>
      </c>
      <c r="U761" t="b" cm="1">
        <f t="array" aca="1" ref="U761" ca="1">AND(T761,OR(O761-N761&gt;1,P761&gt;1,ISERROR(A761:P761)))</f>
        <v>0</v>
      </c>
      <c r="W761">
        <f>MATCH(K761&amp;$W$2,Taostats_CSV!$X$3:$X$1167,0)</f>
        <v>759</v>
      </c>
      <c r="X761">
        <f t="shared" ca="1" si="78"/>
        <v>1.3019780000000001E-3</v>
      </c>
      <c r="Y761" t="e">
        <f t="shared" ca="1" si="79"/>
        <v>#VALUE!</v>
      </c>
      <c r="Z761" t="e">
        <f t="shared" ca="1" si="80"/>
        <v>#VALUE!</v>
      </c>
    </row>
    <row r="762" spans="1:26" x14ac:dyDescent="0.4">
      <c r="A762" t="str">
        <f>MID(Taostats_CSV!C762,6,2)&amp;"/"&amp;MID(Taostats_CSV!C762,9,2)&amp;"/"&amp;LEFT(Taostats_CSV!C762,4)&amp;" "&amp;MID(Taostats_CSV!C762,12,8)</f>
        <v>08/10/2025 23:59:48</v>
      </c>
      <c r="C762" t="str">
        <f ca="1">IF(Q762,OFFSET(Taostats_CSV!$E$1,MATCH(K762&amp;D$1,Taostats_CSV!$X:$X,0)-1,0),IF(Taostats_CSV!F762="fee",IF(VALUE(Taostats_CSV!G762)&gt;0,Taostats_CSV!E762,""),""))</f>
        <v/>
      </c>
      <c r="D762" t="str">
        <f ca="1">IF(Q762,OFFSET(Taostats_CSV!$G$1,MATCH(K762&amp;D$1,Taostats_CSV!$X:$X,0)-1,0),IF(Taostats_CSV!F762="fee",IF(VALUE(Taostats_CSV!G762)&gt;0,Taostats_CSV!G762,""),""))</f>
        <v/>
      </c>
      <c r="E762" t="str">
        <f ca="1">IF(AND(Q762,P762&gt;0),OFFSET(Taostats_CSV!$E$1,MATCH(K762&amp;F$1,Taostats_CSV!$X:$X,0)-1,0),IF(LEN(F762)&gt;0,Taostats_CSV!E762,""))</f>
        <v>SN3</v>
      </c>
      <c r="F762" t="str">
        <f ca="1">TRIM(IF(AND(Q762,P762&gt;0),OFFSET(Taostats_CSV!$H$1,MATCH(K762&amp;F$1,Taostats_CSV!$X:$X,0)-1,0),IF(LEN(Taostats_CSV!H762)&gt;0,Taostats_CSV!H762,Taostats_CSV!R762)))</f>
        <v>0.413547628</v>
      </c>
      <c r="G762" t="str">
        <f ca="1">IF(AND(Q762,N762=1),OFFSET(Taostats_CSV!$E$1,MATCH(K762&amp;H$1,Taostats_CSV!$X:$X,0)-1,0),"")</f>
        <v/>
      </c>
      <c r="H762" t="str">
        <f ca="1">IF(AND(Q762,N762=1),OFFSET(Taostats_CSV!$G$1,MATCH(K762&amp;H$1,Taostats_CSV!$X:$X,0)-1,0),"")</f>
        <v/>
      </c>
      <c r="I762" t="str">
        <f ca="1">IF(AND(LEN(K762)=0,LEN(F762)&gt;0),"Income",IF(AND(O762&gt;0,P762&gt;0,C762&lt;&gt;E762),"Trade",IF(AND(NOT(Q762),Taostats_CSV!F762="fee"),'READ ME'!$C$5,"")))</f>
        <v>Income</v>
      </c>
      <c r="J762" t="str">
        <f ca="1">SUBSTITUTE(IF(LEN(I762)=0,Taostats_CSV!F762&amp;" "&amp;Taostats_CSV!J762,IF(I762="Cost","Extrinsic fee","")),"_"," ")</f>
        <v/>
      </c>
      <c r="K762" t="str">
        <f>TRIM(IF(LEN(Taostats_CSV!I762)&gt;0,Taostats_CSV!I762,""))</f>
        <v/>
      </c>
      <c r="L762">
        <f ca="1">IF(Taostats_CSV!E762&lt;&gt;"TAO",IF(LEN(F762)&gt;0,F762,IF(LEN(D762)&gt;0,D762,0))*Taostats_CSV!P762,"")</f>
        <v>8.303807101095968</v>
      </c>
      <c r="M762" t="str">
        <f t="shared" ca="1" si="81"/>
        <v>USD</v>
      </c>
      <c r="N762">
        <f>COUNTIF(Taostats_CSV!$X:$X,Taostats_CSV!$I762&amp;N$1)</f>
        <v>0</v>
      </c>
      <c r="O762">
        <f>COUNTIF(Taostats_CSV!$X:$X,Taostats_CSV!$I762&amp;O$1)</f>
        <v>0</v>
      </c>
      <c r="P762">
        <f>COUNTIF(Taostats_CSV!$X:$X,Taostats_CSV!$I762&amp;P$1)</f>
        <v>0</v>
      </c>
      <c r="Q762" t="b">
        <f t="shared" si="82"/>
        <v>0</v>
      </c>
      <c r="R762" t="b">
        <f>IF(LEN(K762)&gt;0,COUNTIF($K$3:K762,K762),FALSE)</f>
        <v>0</v>
      </c>
      <c r="S762" t="b">
        <f>IF(Taostats_CSV!A762=Taostats_CSV!$A$2,TRUE,Taostats_CSV!G762+Taostats_CSV!H762+Taostats_CSV!R762=0)</f>
        <v>0</v>
      </c>
      <c r="T762" t="b">
        <f t="shared" si="83"/>
        <v>1</v>
      </c>
      <c r="U762" t="b" cm="1">
        <f t="array" aca="1" ref="U762" ca="1">AND(T762,OR(O762-N762&gt;1,P762&gt;1,ISERROR(A762:P762)))</f>
        <v>0</v>
      </c>
      <c r="W762" t="e">
        <f>MATCH(K762&amp;$W$2,Taostats_CSV!$X$3:$X$1167,0)</f>
        <v>#N/A</v>
      </c>
      <c r="X762" t="e">
        <f t="shared" ca="1" si="78"/>
        <v>#VALUE!</v>
      </c>
      <c r="Y762">
        <f t="shared" ca="1" si="79"/>
        <v>0.413547628</v>
      </c>
      <c r="Z762" t="e">
        <f t="shared" ca="1" si="80"/>
        <v>#VALUE!</v>
      </c>
    </row>
    <row r="763" spans="1:26" x14ac:dyDescent="0.4">
      <c r="A763" t="str">
        <f>MID(Taostats_CSV!C763,6,2)&amp;"/"&amp;MID(Taostats_CSV!C763,9,2)&amp;"/"&amp;LEFT(Taostats_CSV!C763,4)&amp;" "&amp;MID(Taostats_CSV!C763,12,8)</f>
        <v>08/10/2025 23:59:48</v>
      </c>
      <c r="C763" t="str">
        <f ca="1">IF(Q763,OFFSET(Taostats_CSV!$E$1,MATCH(K763&amp;D$1,Taostats_CSV!$X:$X,0)-1,0),IF(Taostats_CSV!F763="fee",IF(VALUE(Taostats_CSV!G763)&gt;0,Taostats_CSV!E763,""),""))</f>
        <v/>
      </c>
      <c r="D763" t="str">
        <f ca="1">IF(Q763,OFFSET(Taostats_CSV!$G$1,MATCH(K763&amp;D$1,Taostats_CSV!$X:$X,0)-1,0),IF(Taostats_CSV!F763="fee",IF(VALUE(Taostats_CSV!G763)&gt;0,Taostats_CSV!G763,""),""))</f>
        <v/>
      </c>
      <c r="E763" t="str">
        <f ca="1">IF(AND(Q763,P763&gt;0),OFFSET(Taostats_CSV!$E$1,MATCH(K763&amp;F$1,Taostats_CSV!$X:$X,0)-1,0),IF(LEN(F763)&gt;0,Taostats_CSV!E763,""))</f>
        <v>SN4</v>
      </c>
      <c r="F763" t="str">
        <f ca="1">TRIM(IF(AND(Q763,P763&gt;0),OFFSET(Taostats_CSV!$H$1,MATCH(K763&amp;F$1,Taostats_CSV!$X:$X,0)-1,0),IF(LEN(Taostats_CSV!H763)&gt;0,Taostats_CSV!H763,Taostats_CSV!R763)))</f>
        <v>0.416400978</v>
      </c>
      <c r="G763" t="str">
        <f ca="1">IF(AND(Q763,N763=1),OFFSET(Taostats_CSV!$E$1,MATCH(K763&amp;H$1,Taostats_CSV!$X:$X,0)-1,0),"")</f>
        <v/>
      </c>
      <c r="H763" t="str">
        <f ca="1">IF(AND(Q763,N763=1),OFFSET(Taostats_CSV!$G$1,MATCH(K763&amp;H$1,Taostats_CSV!$X:$X,0)-1,0),"")</f>
        <v/>
      </c>
      <c r="I763" t="str">
        <f ca="1">IF(AND(LEN(K763)=0,LEN(F763)&gt;0),"Income",IF(AND(O763&gt;0,P763&gt;0,C763&lt;&gt;E763),"Trade",IF(AND(NOT(Q763),Taostats_CSV!F763="fee"),'READ ME'!$C$5,"")))</f>
        <v>Income</v>
      </c>
      <c r="J763" t="str">
        <f ca="1">SUBSTITUTE(IF(LEN(I763)=0,Taostats_CSV!F763&amp;" "&amp;Taostats_CSV!J763,IF(I763="Cost","Extrinsic fee","")),"_"," ")</f>
        <v/>
      </c>
      <c r="K763" t="str">
        <f>TRIM(IF(LEN(Taostats_CSV!I763)&gt;0,Taostats_CSV!I763,""))</f>
        <v/>
      </c>
      <c r="L763">
        <f ca="1">IF(Taostats_CSV!E763&lt;&gt;"TAO",IF(LEN(F763)&gt;0,F763,IF(LEN(D763)&gt;0,D763,0))*Taostats_CSV!P763,"")</f>
        <v>9.057277703381887</v>
      </c>
      <c r="M763" t="str">
        <f t="shared" ca="1" si="81"/>
        <v>USD</v>
      </c>
      <c r="N763">
        <f>COUNTIF(Taostats_CSV!$X:$X,Taostats_CSV!$I763&amp;N$1)</f>
        <v>0</v>
      </c>
      <c r="O763">
        <f>COUNTIF(Taostats_CSV!$X:$X,Taostats_CSV!$I763&amp;O$1)</f>
        <v>0</v>
      </c>
      <c r="P763">
        <f>COUNTIF(Taostats_CSV!$X:$X,Taostats_CSV!$I763&amp;P$1)</f>
        <v>0</v>
      </c>
      <c r="Q763" t="b">
        <f t="shared" si="82"/>
        <v>0</v>
      </c>
      <c r="R763" t="b">
        <f>IF(LEN(K763)&gt;0,COUNTIF($K$3:K763,K763),FALSE)</f>
        <v>0</v>
      </c>
      <c r="S763" t="b">
        <f>IF(Taostats_CSV!A763=Taostats_CSV!$A$2,TRUE,Taostats_CSV!G763+Taostats_CSV!H763+Taostats_CSV!R763=0)</f>
        <v>0</v>
      </c>
      <c r="T763" t="b">
        <f t="shared" si="83"/>
        <v>1</v>
      </c>
      <c r="U763" t="b" cm="1">
        <f t="array" aca="1" ref="U763" ca="1">AND(T763,OR(O763-N763&gt;1,P763&gt;1,ISERROR(A763:P763)))</f>
        <v>0</v>
      </c>
      <c r="W763" t="e">
        <f>MATCH(K763&amp;$W$2,Taostats_CSV!$X$3:$X$1167,0)</f>
        <v>#N/A</v>
      </c>
      <c r="X763" t="e">
        <f t="shared" ca="1" si="78"/>
        <v>#VALUE!</v>
      </c>
      <c r="Y763">
        <f t="shared" ca="1" si="79"/>
        <v>0.41640097799999998</v>
      </c>
      <c r="Z763" t="e">
        <f t="shared" ca="1" si="80"/>
        <v>#VALUE!</v>
      </c>
    </row>
    <row r="764" spans="1:26" x14ac:dyDescent="0.4">
      <c r="A764" t="str">
        <f>MID(Taostats_CSV!C764,6,2)&amp;"/"&amp;MID(Taostats_CSV!C764,9,2)&amp;"/"&amp;LEFT(Taostats_CSV!C764,4)&amp;" "&amp;MID(Taostats_CSV!C764,12,8)</f>
        <v>08/10/2025 23:59:48</v>
      </c>
      <c r="C764" t="str">
        <f ca="1">IF(Q764,OFFSET(Taostats_CSV!$E$1,MATCH(K764&amp;D$1,Taostats_CSV!$X:$X,0)-1,0),IF(Taostats_CSV!F764="fee",IF(VALUE(Taostats_CSV!G764)&gt;0,Taostats_CSV!E764,""),""))</f>
        <v/>
      </c>
      <c r="D764" t="str">
        <f ca="1">IF(Q764,OFFSET(Taostats_CSV!$G$1,MATCH(K764&amp;D$1,Taostats_CSV!$X:$X,0)-1,0),IF(Taostats_CSV!F764="fee",IF(VALUE(Taostats_CSV!G764)&gt;0,Taostats_CSV!G764,""),""))</f>
        <v/>
      </c>
      <c r="E764" t="str">
        <f ca="1">IF(AND(Q764,P764&gt;0),OFFSET(Taostats_CSV!$E$1,MATCH(K764&amp;F$1,Taostats_CSV!$X:$X,0)-1,0),IF(LEN(F764)&gt;0,Taostats_CSV!E764,""))</f>
        <v>SN56</v>
      </c>
      <c r="F764" t="str">
        <f ca="1">TRIM(IF(AND(Q764,P764&gt;0),OFFSET(Taostats_CSV!$H$1,MATCH(K764&amp;F$1,Taostats_CSV!$X:$X,0)-1,0),IF(LEN(Taostats_CSV!H764)&gt;0,Taostats_CSV!H764,Taostats_CSV!R764)))</f>
        <v>0.255190639</v>
      </c>
      <c r="G764" t="str">
        <f ca="1">IF(AND(Q764,N764=1),OFFSET(Taostats_CSV!$E$1,MATCH(K764&amp;H$1,Taostats_CSV!$X:$X,0)-1,0),"")</f>
        <v/>
      </c>
      <c r="H764" t="str">
        <f ca="1">IF(AND(Q764,N764=1),OFFSET(Taostats_CSV!$G$1,MATCH(K764&amp;H$1,Taostats_CSV!$X:$X,0)-1,0),"")</f>
        <v/>
      </c>
      <c r="I764" t="str">
        <f ca="1">IF(AND(LEN(K764)=0,LEN(F764)&gt;0),"Income",IF(AND(O764&gt;0,P764&gt;0,C764&lt;&gt;E764),"Trade",IF(AND(NOT(Q764),Taostats_CSV!F764="fee"),'READ ME'!$C$5,"")))</f>
        <v>Income</v>
      </c>
      <c r="J764" t="str">
        <f ca="1">SUBSTITUTE(IF(LEN(I764)=0,Taostats_CSV!F764&amp;" "&amp;Taostats_CSV!J764,IF(I764="Cost","Extrinsic fee","")),"_"," ")</f>
        <v/>
      </c>
      <c r="K764" t="str">
        <f>TRIM(IF(LEN(Taostats_CSV!I764)&gt;0,Taostats_CSV!I764,""))</f>
        <v/>
      </c>
      <c r="L764">
        <f ca="1">IF(Taostats_CSV!E764&lt;&gt;"TAO",IF(LEN(F764)&gt;0,F764,IF(LEN(D764)&gt;0,D764,0))*Taostats_CSV!P764,"")</f>
        <v>4.8889636230369291</v>
      </c>
      <c r="M764" t="str">
        <f t="shared" ca="1" si="81"/>
        <v>USD</v>
      </c>
      <c r="N764">
        <f>COUNTIF(Taostats_CSV!$X:$X,Taostats_CSV!$I764&amp;N$1)</f>
        <v>0</v>
      </c>
      <c r="O764">
        <f>COUNTIF(Taostats_CSV!$X:$X,Taostats_CSV!$I764&amp;O$1)</f>
        <v>0</v>
      </c>
      <c r="P764">
        <f>COUNTIF(Taostats_CSV!$X:$X,Taostats_CSV!$I764&amp;P$1)</f>
        <v>0</v>
      </c>
      <c r="Q764" t="b">
        <f t="shared" si="82"/>
        <v>0</v>
      </c>
      <c r="R764" t="b">
        <f>IF(LEN(K764)&gt;0,COUNTIF($K$3:K764,K764),FALSE)</f>
        <v>0</v>
      </c>
      <c r="S764" t="b">
        <f>IF(Taostats_CSV!A764=Taostats_CSV!$A$2,TRUE,Taostats_CSV!G764+Taostats_CSV!H764+Taostats_CSV!R764=0)</f>
        <v>0</v>
      </c>
      <c r="T764" t="b">
        <f t="shared" si="83"/>
        <v>1</v>
      </c>
      <c r="U764" t="b" cm="1">
        <f t="array" aca="1" ref="U764" ca="1">AND(T764,OR(O764-N764&gt;1,P764&gt;1,ISERROR(A764:P764)))</f>
        <v>0</v>
      </c>
      <c r="W764" t="e">
        <f>MATCH(K764&amp;$W$2,Taostats_CSV!$X$3:$X$1167,0)</f>
        <v>#N/A</v>
      </c>
      <c r="X764" t="e">
        <f t="shared" ca="1" si="78"/>
        <v>#VALUE!</v>
      </c>
      <c r="Y764">
        <f t="shared" ca="1" si="79"/>
        <v>0.255190639</v>
      </c>
      <c r="Z764" t="e">
        <f t="shared" ca="1" si="80"/>
        <v>#VALUE!</v>
      </c>
    </row>
    <row r="765" spans="1:26" x14ac:dyDescent="0.4">
      <c r="A765" t="str">
        <f>MID(Taostats_CSV!C765,6,2)&amp;"/"&amp;MID(Taostats_CSV!C765,9,2)&amp;"/"&amp;LEFT(Taostats_CSV!C765,4)&amp;" "&amp;MID(Taostats_CSV!C765,12,8)</f>
        <v>08/10/2025 23:59:48</v>
      </c>
      <c r="C765" t="str">
        <f ca="1">IF(Q765,OFFSET(Taostats_CSV!$E$1,MATCH(K765&amp;D$1,Taostats_CSV!$X:$X,0)-1,0),IF(Taostats_CSV!F765="fee",IF(VALUE(Taostats_CSV!G765)&gt;0,Taostats_CSV!E765,""),""))</f>
        <v/>
      </c>
      <c r="D765" t="str">
        <f ca="1">IF(Q765,OFFSET(Taostats_CSV!$G$1,MATCH(K765&amp;D$1,Taostats_CSV!$X:$X,0)-1,0),IF(Taostats_CSV!F765="fee",IF(VALUE(Taostats_CSV!G765)&gt;0,Taostats_CSV!G765,""),""))</f>
        <v/>
      </c>
      <c r="E765" t="str">
        <f ca="1">IF(AND(Q765,P765&gt;0),OFFSET(Taostats_CSV!$E$1,MATCH(K765&amp;F$1,Taostats_CSV!$X:$X,0)-1,0),IF(LEN(F765)&gt;0,Taostats_CSV!E765,""))</f>
        <v>SN64</v>
      </c>
      <c r="F765" t="str">
        <f ca="1">TRIM(IF(AND(Q765,P765&gt;0),OFFSET(Taostats_CSV!$H$1,MATCH(K765&amp;F$1,Taostats_CSV!$X:$X,0)-1,0),IF(LEN(Taostats_CSV!H765)&gt;0,Taostats_CSV!H765,Taostats_CSV!R765)))</f>
        <v>0.137990038</v>
      </c>
      <c r="G765" t="str">
        <f ca="1">IF(AND(Q765,N765=1),OFFSET(Taostats_CSV!$E$1,MATCH(K765&amp;H$1,Taostats_CSV!$X:$X,0)-1,0),"")</f>
        <v/>
      </c>
      <c r="H765" t="str">
        <f ca="1">IF(AND(Q765,N765=1),OFFSET(Taostats_CSV!$G$1,MATCH(K765&amp;H$1,Taostats_CSV!$X:$X,0)-1,0),"")</f>
        <v/>
      </c>
      <c r="I765" t="str">
        <f ca="1">IF(AND(LEN(K765)=0,LEN(F765)&gt;0),"Income",IF(AND(O765&gt;0,P765&gt;0,C765&lt;&gt;E765),"Trade",IF(AND(NOT(Q765),Taostats_CSV!F765="fee"),'READ ME'!$C$5,"")))</f>
        <v>Income</v>
      </c>
      <c r="J765" t="str">
        <f ca="1">SUBSTITUTE(IF(LEN(I765)=0,Taostats_CSV!F765&amp;" "&amp;Taostats_CSV!J765,IF(I765="Cost","Extrinsic fee","")),"_"," ")</f>
        <v/>
      </c>
      <c r="K765" t="str">
        <f>TRIM(IF(LEN(Taostats_CSV!I765)&gt;0,Taostats_CSV!I765,""))</f>
        <v/>
      </c>
      <c r="L765">
        <f ca="1">IF(Taostats_CSV!E765&lt;&gt;"TAO",IF(LEN(F765)&gt;0,F765,IF(LEN(D765)&gt;0,D765,0))*Taostats_CSV!P765,"")</f>
        <v>6.9517716385975303</v>
      </c>
      <c r="M765" t="str">
        <f t="shared" ca="1" si="81"/>
        <v>USD</v>
      </c>
      <c r="N765">
        <f>COUNTIF(Taostats_CSV!$X:$X,Taostats_CSV!$I765&amp;N$1)</f>
        <v>0</v>
      </c>
      <c r="O765">
        <f>COUNTIF(Taostats_CSV!$X:$X,Taostats_CSV!$I765&amp;O$1)</f>
        <v>0</v>
      </c>
      <c r="P765">
        <f>COUNTIF(Taostats_CSV!$X:$X,Taostats_CSV!$I765&amp;P$1)</f>
        <v>0</v>
      </c>
      <c r="Q765" t="b">
        <f t="shared" si="82"/>
        <v>0</v>
      </c>
      <c r="R765" t="b">
        <f>IF(LEN(K765)&gt;0,COUNTIF($K$3:K765,K765),FALSE)</f>
        <v>0</v>
      </c>
      <c r="S765" t="b">
        <f>IF(Taostats_CSV!A765=Taostats_CSV!$A$2,TRUE,Taostats_CSV!G765+Taostats_CSV!H765+Taostats_CSV!R765=0)</f>
        <v>0</v>
      </c>
      <c r="T765" t="b">
        <f t="shared" si="83"/>
        <v>1</v>
      </c>
      <c r="U765" t="b" cm="1">
        <f t="array" aca="1" ref="U765" ca="1">AND(T765,OR(O765-N765&gt;1,P765&gt;1,ISERROR(A765:P765)))</f>
        <v>0</v>
      </c>
      <c r="W765" t="e">
        <f>MATCH(K765&amp;$W$2,Taostats_CSV!$X$3:$X$1167,0)</f>
        <v>#N/A</v>
      </c>
      <c r="X765" t="e">
        <f t="shared" ca="1" si="78"/>
        <v>#VALUE!</v>
      </c>
      <c r="Y765">
        <f t="shared" ca="1" si="79"/>
        <v>0.13799003800000001</v>
      </c>
      <c r="Z765" t="e">
        <f t="shared" ca="1" si="80"/>
        <v>#VALUE!</v>
      </c>
    </row>
    <row r="766" spans="1:26" x14ac:dyDescent="0.4">
      <c r="A766" t="str">
        <f>MID(Taostats_CSV!C766,6,2)&amp;"/"&amp;MID(Taostats_CSV!C766,9,2)&amp;"/"&amp;LEFT(Taostats_CSV!C766,4)&amp;" "&amp;MID(Taostats_CSV!C766,12,8)</f>
        <v>08/10/2025 23:59:48</v>
      </c>
      <c r="C766" t="str">
        <f ca="1">IF(Q766,OFFSET(Taostats_CSV!$E$1,MATCH(K766&amp;D$1,Taostats_CSV!$X:$X,0)-1,0),IF(Taostats_CSV!F766="fee",IF(VALUE(Taostats_CSV!G766)&gt;0,Taostats_CSV!E766,""),""))</f>
        <v/>
      </c>
      <c r="D766" t="str">
        <f ca="1">IF(Q766,OFFSET(Taostats_CSV!$G$1,MATCH(K766&amp;D$1,Taostats_CSV!$X:$X,0)-1,0),IF(Taostats_CSV!F766="fee",IF(VALUE(Taostats_CSV!G766)&gt;0,Taostats_CSV!G766,""),""))</f>
        <v/>
      </c>
      <c r="E766" t="str">
        <f ca="1">IF(AND(Q766,P766&gt;0),OFFSET(Taostats_CSV!$E$1,MATCH(K766&amp;F$1,Taostats_CSV!$X:$X,0)-1,0),IF(LEN(F766)&gt;0,Taostats_CSV!E766,""))</f>
        <v>TAO</v>
      </c>
      <c r="F766" t="str">
        <f ca="1">TRIM(IF(AND(Q766,P766&gt;0),OFFSET(Taostats_CSV!$H$1,MATCH(K766&amp;F$1,Taostats_CSV!$X:$X,0)-1,0),IF(LEN(Taostats_CSV!H766)&gt;0,Taostats_CSV!H766,Taostats_CSV!R766)))</f>
        <v>0.003067184</v>
      </c>
      <c r="G766" t="str">
        <f ca="1">IF(AND(Q766,N766=1),OFFSET(Taostats_CSV!$E$1,MATCH(K766&amp;H$1,Taostats_CSV!$X:$X,0)-1,0),"")</f>
        <v/>
      </c>
      <c r="H766" t="str">
        <f ca="1">IF(AND(Q766,N766=1),OFFSET(Taostats_CSV!$G$1,MATCH(K766&amp;H$1,Taostats_CSV!$X:$X,0)-1,0),"")</f>
        <v/>
      </c>
      <c r="I766" t="str">
        <f ca="1">IF(AND(LEN(K766)=0,LEN(F766)&gt;0),"Income",IF(AND(O766&gt;0,P766&gt;0,C766&lt;&gt;E766),"Trade",IF(AND(NOT(Q766),Taostats_CSV!F766="fee"),'READ ME'!$C$5,"")))</f>
        <v>Income</v>
      </c>
      <c r="J766" t="str">
        <f ca="1">SUBSTITUTE(IF(LEN(I766)=0,Taostats_CSV!F766&amp;" "&amp;Taostats_CSV!J766,IF(I766="Cost","Extrinsic fee","")),"_"," ")</f>
        <v/>
      </c>
      <c r="K766" t="str">
        <f>TRIM(IF(LEN(Taostats_CSV!I766)&gt;0,Taostats_CSV!I766,""))</f>
        <v/>
      </c>
      <c r="L766" t="str">
        <f>IF(Taostats_CSV!E766&lt;&gt;"TAO",IF(LEN(F766)&gt;0,F766,IF(LEN(D766)&gt;0,D766,0))*Taostats_CSV!P766,"")</f>
        <v/>
      </c>
      <c r="M766" t="str">
        <f t="shared" si="81"/>
        <v/>
      </c>
      <c r="N766">
        <f>COUNTIF(Taostats_CSV!$X:$X,Taostats_CSV!$I766&amp;N$1)</f>
        <v>0</v>
      </c>
      <c r="O766">
        <f>COUNTIF(Taostats_CSV!$X:$X,Taostats_CSV!$I766&amp;O$1)</f>
        <v>0</v>
      </c>
      <c r="P766">
        <f>COUNTIF(Taostats_CSV!$X:$X,Taostats_CSV!$I766&amp;P$1)</f>
        <v>0</v>
      </c>
      <c r="Q766" t="b">
        <f t="shared" si="82"/>
        <v>0</v>
      </c>
      <c r="R766" t="b">
        <f>IF(LEN(K766)&gt;0,COUNTIF($K$3:K766,K766),FALSE)</f>
        <v>0</v>
      </c>
      <c r="S766" t="b">
        <f>IF(Taostats_CSV!A766=Taostats_CSV!$A$2,TRUE,Taostats_CSV!G766+Taostats_CSV!H766+Taostats_CSV!R766=0)</f>
        <v>0</v>
      </c>
      <c r="T766" t="b">
        <f t="shared" si="83"/>
        <v>1</v>
      </c>
      <c r="U766" t="b" cm="1">
        <f t="array" aca="1" ref="U766" ca="1">AND(T766,OR(O766-N766&gt;1,P766&gt;1,ISERROR(A766:P766)))</f>
        <v>0</v>
      </c>
      <c r="W766" t="e">
        <f>MATCH(K766&amp;$W$2,Taostats_CSV!$X$3:$X$1167,0)</f>
        <v>#N/A</v>
      </c>
      <c r="X766" t="e">
        <f t="shared" ca="1" si="78"/>
        <v>#VALUE!</v>
      </c>
      <c r="Y766">
        <f t="shared" ca="1" si="79"/>
        <v>3.0671840000000001E-3</v>
      </c>
      <c r="Z766" t="e">
        <f t="shared" ca="1" si="80"/>
        <v>#VALUE!</v>
      </c>
    </row>
    <row r="767" spans="1:26" x14ac:dyDescent="0.4">
      <c r="A767" t="str">
        <f>MID(Taostats_CSV!C767,6,2)&amp;"/"&amp;MID(Taostats_CSV!C767,9,2)&amp;"/"&amp;LEFT(Taostats_CSV!C767,4)&amp;" "&amp;MID(Taostats_CSV!C767,12,8)</f>
        <v>08/11/2025 23:59:48</v>
      </c>
      <c r="C767" t="str">
        <f ca="1">IF(Q767,OFFSET(Taostats_CSV!$E$1,MATCH(K767&amp;D$1,Taostats_CSV!$X:$X,0)-1,0),IF(Taostats_CSV!F767="fee",IF(VALUE(Taostats_CSV!G767)&gt;0,Taostats_CSV!E767,""),""))</f>
        <v/>
      </c>
      <c r="D767" t="str">
        <f ca="1">IF(Q767,OFFSET(Taostats_CSV!$G$1,MATCH(K767&amp;D$1,Taostats_CSV!$X:$X,0)-1,0),IF(Taostats_CSV!F767="fee",IF(VALUE(Taostats_CSV!G767)&gt;0,Taostats_CSV!G767,""),""))</f>
        <v/>
      </c>
      <c r="E767" t="str">
        <f ca="1">IF(AND(Q767,P767&gt;0),OFFSET(Taostats_CSV!$E$1,MATCH(K767&amp;F$1,Taostats_CSV!$X:$X,0)-1,0),IF(LEN(F767)&gt;0,Taostats_CSV!E767,""))</f>
        <v>SN3</v>
      </c>
      <c r="F767" t="str">
        <f ca="1">TRIM(IF(AND(Q767,P767&gt;0),OFFSET(Taostats_CSV!$H$1,MATCH(K767&amp;F$1,Taostats_CSV!$X:$X,0)-1,0),IF(LEN(Taostats_CSV!H767)&gt;0,Taostats_CSV!H767,Taostats_CSV!R767)))</f>
        <v>0.416060152</v>
      </c>
      <c r="G767" t="str">
        <f ca="1">IF(AND(Q767,N767=1),OFFSET(Taostats_CSV!$E$1,MATCH(K767&amp;H$1,Taostats_CSV!$X:$X,0)-1,0),"")</f>
        <v/>
      </c>
      <c r="H767" t="str">
        <f ca="1">IF(AND(Q767,N767=1),OFFSET(Taostats_CSV!$G$1,MATCH(K767&amp;H$1,Taostats_CSV!$X:$X,0)-1,0),"")</f>
        <v/>
      </c>
      <c r="I767" t="str">
        <f ca="1">IF(AND(LEN(K767)=0,LEN(F767)&gt;0),"Income",IF(AND(O767&gt;0,P767&gt;0,C767&lt;&gt;E767),"Trade",IF(AND(NOT(Q767),Taostats_CSV!F767="fee"),'READ ME'!$C$5,"")))</f>
        <v>Income</v>
      </c>
      <c r="J767" t="str">
        <f ca="1">SUBSTITUTE(IF(LEN(I767)=0,Taostats_CSV!F767&amp;" "&amp;Taostats_CSV!J767,IF(I767="Cost","Extrinsic fee","")),"_"," ")</f>
        <v/>
      </c>
      <c r="K767" t="str">
        <f>TRIM(IF(LEN(Taostats_CSV!I767)&gt;0,Taostats_CSV!I767,""))</f>
        <v/>
      </c>
      <c r="L767">
        <f ca="1">IF(Taostats_CSV!E767&lt;&gt;"TAO",IF(LEN(F767)&gt;0,F767,IF(LEN(D767)&gt;0,D767,0))*Taostats_CSV!P767,"")</f>
        <v>7.6332979681923936</v>
      </c>
      <c r="M767" t="str">
        <f t="shared" ca="1" si="81"/>
        <v>USD</v>
      </c>
      <c r="N767">
        <f>COUNTIF(Taostats_CSV!$X:$X,Taostats_CSV!$I767&amp;N$1)</f>
        <v>0</v>
      </c>
      <c r="O767">
        <f>COUNTIF(Taostats_CSV!$X:$X,Taostats_CSV!$I767&amp;O$1)</f>
        <v>0</v>
      </c>
      <c r="P767">
        <f>COUNTIF(Taostats_CSV!$X:$X,Taostats_CSV!$I767&amp;P$1)</f>
        <v>0</v>
      </c>
      <c r="Q767" t="b">
        <f t="shared" si="82"/>
        <v>0</v>
      </c>
      <c r="R767" t="b">
        <f>IF(LEN(K767)&gt;0,COUNTIF($K$3:K767,K767),FALSE)</f>
        <v>0</v>
      </c>
      <c r="S767" t="b">
        <f>IF(Taostats_CSV!A767=Taostats_CSV!$A$2,TRUE,Taostats_CSV!G767+Taostats_CSV!H767+Taostats_CSV!R767=0)</f>
        <v>0</v>
      </c>
      <c r="T767" t="b">
        <f t="shared" si="83"/>
        <v>1</v>
      </c>
      <c r="U767" t="b" cm="1">
        <f t="array" aca="1" ref="U767" ca="1">AND(T767,OR(O767-N767&gt;1,P767&gt;1,ISERROR(A767:P767)))</f>
        <v>0</v>
      </c>
      <c r="W767" t="e">
        <f>MATCH(K767&amp;$W$2,Taostats_CSV!$X$3:$X$1167,0)</f>
        <v>#N/A</v>
      </c>
      <c r="X767" t="e">
        <f t="shared" ca="1" si="78"/>
        <v>#VALUE!</v>
      </c>
      <c r="Y767">
        <f t="shared" ca="1" si="79"/>
        <v>0.41606015200000002</v>
      </c>
      <c r="Z767" t="e">
        <f t="shared" ca="1" si="80"/>
        <v>#VALUE!</v>
      </c>
    </row>
    <row r="768" spans="1:26" x14ac:dyDescent="0.4">
      <c r="A768" t="str">
        <f>MID(Taostats_CSV!C768,6,2)&amp;"/"&amp;MID(Taostats_CSV!C768,9,2)&amp;"/"&amp;LEFT(Taostats_CSV!C768,4)&amp;" "&amp;MID(Taostats_CSV!C768,12,8)</f>
        <v>08/11/2025 23:59:48</v>
      </c>
      <c r="C768" t="str">
        <f ca="1">IF(Q768,OFFSET(Taostats_CSV!$E$1,MATCH(K768&amp;D$1,Taostats_CSV!$X:$X,0)-1,0),IF(Taostats_CSV!F768="fee",IF(VALUE(Taostats_CSV!G768)&gt;0,Taostats_CSV!E768,""),""))</f>
        <v/>
      </c>
      <c r="D768" t="str">
        <f ca="1">IF(Q768,OFFSET(Taostats_CSV!$G$1,MATCH(K768&amp;D$1,Taostats_CSV!$X:$X,0)-1,0),IF(Taostats_CSV!F768="fee",IF(VALUE(Taostats_CSV!G768)&gt;0,Taostats_CSV!G768,""),""))</f>
        <v/>
      </c>
      <c r="E768" t="str">
        <f ca="1">IF(AND(Q768,P768&gt;0),OFFSET(Taostats_CSV!$E$1,MATCH(K768&amp;F$1,Taostats_CSV!$X:$X,0)-1,0),IF(LEN(F768)&gt;0,Taostats_CSV!E768,""))</f>
        <v>SN4</v>
      </c>
      <c r="F768" t="str">
        <f ca="1">TRIM(IF(AND(Q768,P768&gt;0),OFFSET(Taostats_CSV!$H$1,MATCH(K768&amp;F$1,Taostats_CSV!$X:$X,0)-1,0),IF(LEN(Taostats_CSV!H768)&gt;0,Taostats_CSV!H768,Taostats_CSV!R768)))</f>
        <v>0.432272431</v>
      </c>
      <c r="G768" t="str">
        <f ca="1">IF(AND(Q768,N768=1),OFFSET(Taostats_CSV!$E$1,MATCH(K768&amp;H$1,Taostats_CSV!$X:$X,0)-1,0),"")</f>
        <v/>
      </c>
      <c r="H768" t="str">
        <f ca="1">IF(AND(Q768,N768=1),OFFSET(Taostats_CSV!$G$1,MATCH(K768&amp;H$1,Taostats_CSV!$X:$X,0)-1,0),"")</f>
        <v/>
      </c>
      <c r="I768" t="str">
        <f ca="1">IF(AND(LEN(K768)=0,LEN(F768)&gt;0),"Income",IF(AND(O768&gt;0,P768&gt;0,C768&lt;&gt;E768),"Trade",IF(AND(NOT(Q768),Taostats_CSV!F768="fee"),'READ ME'!$C$5,"")))</f>
        <v>Income</v>
      </c>
      <c r="J768" t="str">
        <f ca="1">SUBSTITUTE(IF(LEN(I768)=0,Taostats_CSV!F768&amp;" "&amp;Taostats_CSV!J768,IF(I768="Cost","Extrinsic fee","")),"_"," ")</f>
        <v/>
      </c>
      <c r="K768" t="str">
        <f>TRIM(IF(LEN(Taostats_CSV!I768)&gt;0,Taostats_CSV!I768,""))</f>
        <v/>
      </c>
      <c r="L768">
        <f ca="1">IF(Taostats_CSV!E768&lt;&gt;"TAO",IF(LEN(F768)&gt;0,F768,IF(LEN(D768)&gt;0,D768,0))*Taostats_CSV!P768,"")</f>
        <v>8.6247820983166257</v>
      </c>
      <c r="M768" t="str">
        <f t="shared" ca="1" si="81"/>
        <v>USD</v>
      </c>
      <c r="N768">
        <f>COUNTIF(Taostats_CSV!$X:$X,Taostats_CSV!$I768&amp;N$1)</f>
        <v>0</v>
      </c>
      <c r="O768">
        <f>COUNTIF(Taostats_CSV!$X:$X,Taostats_CSV!$I768&amp;O$1)</f>
        <v>0</v>
      </c>
      <c r="P768">
        <f>COUNTIF(Taostats_CSV!$X:$X,Taostats_CSV!$I768&amp;P$1)</f>
        <v>0</v>
      </c>
      <c r="Q768" t="b">
        <f t="shared" si="82"/>
        <v>0</v>
      </c>
      <c r="R768" t="b">
        <f>IF(LEN(K768)&gt;0,COUNTIF($K$3:K768,K768),FALSE)</f>
        <v>0</v>
      </c>
      <c r="S768" t="b">
        <f>IF(Taostats_CSV!A768=Taostats_CSV!$A$2,TRUE,Taostats_CSV!G768+Taostats_CSV!H768+Taostats_CSV!R768=0)</f>
        <v>0</v>
      </c>
      <c r="T768" t="b">
        <f t="shared" si="83"/>
        <v>1</v>
      </c>
      <c r="U768" t="b" cm="1">
        <f t="array" aca="1" ref="U768" ca="1">AND(T768,OR(O768-N768&gt;1,P768&gt;1,ISERROR(A768:P768)))</f>
        <v>0</v>
      </c>
      <c r="W768" t="e">
        <f>MATCH(K768&amp;$W$2,Taostats_CSV!$X$3:$X$1167,0)</f>
        <v>#N/A</v>
      </c>
      <c r="X768" t="e">
        <f t="shared" ca="1" si="78"/>
        <v>#VALUE!</v>
      </c>
      <c r="Y768">
        <f t="shared" ca="1" si="79"/>
        <v>0.43227243100000001</v>
      </c>
      <c r="Z768" t="e">
        <f t="shared" ca="1" si="80"/>
        <v>#VALUE!</v>
      </c>
    </row>
    <row r="769" spans="1:26" x14ac:dyDescent="0.4">
      <c r="A769" t="str">
        <f>MID(Taostats_CSV!C769,6,2)&amp;"/"&amp;MID(Taostats_CSV!C769,9,2)&amp;"/"&amp;LEFT(Taostats_CSV!C769,4)&amp;" "&amp;MID(Taostats_CSV!C769,12,8)</f>
        <v>08/11/2025 23:59:48</v>
      </c>
      <c r="C769" t="str">
        <f ca="1">IF(Q769,OFFSET(Taostats_CSV!$E$1,MATCH(K769&amp;D$1,Taostats_CSV!$X:$X,0)-1,0),IF(Taostats_CSV!F769="fee",IF(VALUE(Taostats_CSV!G769)&gt;0,Taostats_CSV!E769,""),""))</f>
        <v/>
      </c>
      <c r="D769" t="str">
        <f ca="1">IF(Q769,OFFSET(Taostats_CSV!$G$1,MATCH(K769&amp;D$1,Taostats_CSV!$X:$X,0)-1,0),IF(Taostats_CSV!F769="fee",IF(VALUE(Taostats_CSV!G769)&gt;0,Taostats_CSV!G769,""),""))</f>
        <v/>
      </c>
      <c r="E769" t="str">
        <f ca="1">IF(AND(Q769,P769&gt;0),OFFSET(Taostats_CSV!$E$1,MATCH(K769&amp;F$1,Taostats_CSV!$X:$X,0)-1,0),IF(LEN(F769)&gt;0,Taostats_CSV!E769,""))</f>
        <v>SN56</v>
      </c>
      <c r="F769" t="str">
        <f ca="1">TRIM(IF(AND(Q769,P769&gt;0),OFFSET(Taostats_CSV!$H$1,MATCH(K769&amp;F$1,Taostats_CSV!$X:$X,0)-1,0),IF(LEN(Taostats_CSV!H769)&gt;0,Taostats_CSV!H769,Taostats_CSV!R769)))</f>
        <v>0.25733224</v>
      </c>
      <c r="G769" t="str">
        <f ca="1">IF(AND(Q769,N769=1),OFFSET(Taostats_CSV!$E$1,MATCH(K769&amp;H$1,Taostats_CSV!$X:$X,0)-1,0),"")</f>
        <v/>
      </c>
      <c r="H769" t="str">
        <f ca="1">IF(AND(Q769,N769=1),OFFSET(Taostats_CSV!$G$1,MATCH(K769&amp;H$1,Taostats_CSV!$X:$X,0)-1,0),"")</f>
        <v/>
      </c>
      <c r="I769" t="str">
        <f ca="1">IF(AND(LEN(K769)=0,LEN(F769)&gt;0),"Income",IF(AND(O769&gt;0,P769&gt;0,C769&lt;&gt;E769),"Trade",IF(AND(NOT(Q769),Taostats_CSV!F769="fee"),'READ ME'!$C$5,"")))</f>
        <v>Income</v>
      </c>
      <c r="J769" t="str">
        <f ca="1">SUBSTITUTE(IF(LEN(I769)=0,Taostats_CSV!F769&amp;" "&amp;Taostats_CSV!J769,IF(I769="Cost","Extrinsic fee","")),"_"," ")</f>
        <v/>
      </c>
      <c r="K769" t="str">
        <f>TRIM(IF(LEN(Taostats_CSV!I769)&gt;0,Taostats_CSV!I769,""))</f>
        <v/>
      </c>
      <c r="L769">
        <f ca="1">IF(Taostats_CSV!E769&lt;&gt;"TAO",IF(LEN(F769)&gt;0,F769,IF(LEN(D769)&gt;0,D769,0))*Taostats_CSV!P769,"")</f>
        <v>4.7556473651240898</v>
      </c>
      <c r="M769" t="str">
        <f t="shared" ca="1" si="81"/>
        <v>USD</v>
      </c>
      <c r="N769">
        <f>COUNTIF(Taostats_CSV!$X:$X,Taostats_CSV!$I769&amp;N$1)</f>
        <v>0</v>
      </c>
      <c r="O769">
        <f>COUNTIF(Taostats_CSV!$X:$X,Taostats_CSV!$I769&amp;O$1)</f>
        <v>0</v>
      </c>
      <c r="P769">
        <f>COUNTIF(Taostats_CSV!$X:$X,Taostats_CSV!$I769&amp;P$1)</f>
        <v>0</v>
      </c>
      <c r="Q769" t="b">
        <f t="shared" si="82"/>
        <v>0</v>
      </c>
      <c r="R769" t="b">
        <f>IF(LEN(K769)&gt;0,COUNTIF($K$3:K769,K769),FALSE)</f>
        <v>0</v>
      </c>
      <c r="S769" t="b">
        <f>IF(Taostats_CSV!A769=Taostats_CSV!$A$2,TRUE,Taostats_CSV!G769+Taostats_CSV!H769+Taostats_CSV!R769=0)</f>
        <v>0</v>
      </c>
      <c r="T769" t="b">
        <f t="shared" si="83"/>
        <v>1</v>
      </c>
      <c r="U769" t="b" cm="1">
        <f t="array" aca="1" ref="U769" ca="1">AND(T769,OR(O769-N769&gt;1,P769&gt;1,ISERROR(A769:P769)))</f>
        <v>0</v>
      </c>
      <c r="W769" t="e">
        <f>MATCH(K769&amp;$W$2,Taostats_CSV!$X$3:$X$1167,0)</f>
        <v>#N/A</v>
      </c>
      <c r="X769" t="e">
        <f t="shared" ca="1" si="78"/>
        <v>#VALUE!</v>
      </c>
      <c r="Y769">
        <f t="shared" ca="1" si="79"/>
        <v>0.25733223999999999</v>
      </c>
      <c r="Z769" t="e">
        <f t="shared" ca="1" si="80"/>
        <v>#VALUE!</v>
      </c>
    </row>
    <row r="770" spans="1:26" x14ac:dyDescent="0.4">
      <c r="A770" t="str">
        <f>MID(Taostats_CSV!C770,6,2)&amp;"/"&amp;MID(Taostats_CSV!C770,9,2)&amp;"/"&amp;LEFT(Taostats_CSV!C770,4)&amp;" "&amp;MID(Taostats_CSV!C770,12,8)</f>
        <v>08/11/2025 23:59:48</v>
      </c>
      <c r="C770" t="str">
        <f ca="1">IF(Q770,OFFSET(Taostats_CSV!$E$1,MATCH(K770&amp;D$1,Taostats_CSV!$X:$X,0)-1,0),IF(Taostats_CSV!F770="fee",IF(VALUE(Taostats_CSV!G770)&gt;0,Taostats_CSV!E770,""),""))</f>
        <v/>
      </c>
      <c r="D770" t="str">
        <f ca="1">IF(Q770,OFFSET(Taostats_CSV!$G$1,MATCH(K770&amp;D$1,Taostats_CSV!$X:$X,0)-1,0),IF(Taostats_CSV!F770="fee",IF(VALUE(Taostats_CSV!G770)&gt;0,Taostats_CSV!G770,""),""))</f>
        <v/>
      </c>
      <c r="E770" t="str">
        <f ca="1">IF(AND(Q770,P770&gt;0),OFFSET(Taostats_CSV!$E$1,MATCH(K770&amp;F$1,Taostats_CSV!$X:$X,0)-1,0),IF(LEN(F770)&gt;0,Taostats_CSV!E770,""))</f>
        <v>SN64</v>
      </c>
      <c r="F770" t="str">
        <f ca="1">TRIM(IF(AND(Q770,P770&gt;0),OFFSET(Taostats_CSV!$H$1,MATCH(K770&amp;F$1,Taostats_CSV!$X:$X,0)-1,0),IF(LEN(Taostats_CSV!H770)&gt;0,Taostats_CSV!H770,Taostats_CSV!R770)))</f>
        <v>0.137919265</v>
      </c>
      <c r="G770" t="str">
        <f ca="1">IF(AND(Q770,N770=1),OFFSET(Taostats_CSV!$E$1,MATCH(K770&amp;H$1,Taostats_CSV!$X:$X,0)-1,0),"")</f>
        <v/>
      </c>
      <c r="H770" t="str">
        <f ca="1">IF(AND(Q770,N770=1),OFFSET(Taostats_CSV!$G$1,MATCH(K770&amp;H$1,Taostats_CSV!$X:$X,0)-1,0),"")</f>
        <v/>
      </c>
      <c r="I770" t="str">
        <f ca="1">IF(AND(LEN(K770)=0,LEN(F770)&gt;0),"Income",IF(AND(O770&gt;0,P770&gt;0,C770&lt;&gt;E770),"Trade",IF(AND(NOT(Q770),Taostats_CSV!F770="fee"),'READ ME'!$C$5,"")))</f>
        <v>Income</v>
      </c>
      <c r="J770" t="str">
        <f ca="1">SUBSTITUTE(IF(LEN(I770)=0,Taostats_CSV!F770&amp;" "&amp;Taostats_CSV!J770,IF(I770="Cost","Extrinsic fee","")),"_"," ")</f>
        <v/>
      </c>
      <c r="K770" t="str">
        <f>TRIM(IF(LEN(Taostats_CSV!I770)&gt;0,Taostats_CSV!I770,""))</f>
        <v/>
      </c>
      <c r="L770">
        <f ca="1">IF(Taostats_CSV!E770&lt;&gt;"TAO",IF(LEN(F770)&gt;0,F770,IF(LEN(D770)&gt;0,D770,0))*Taostats_CSV!P770,"")</f>
        <v>6.5812862820972136</v>
      </c>
      <c r="M770" t="str">
        <f t="shared" ca="1" si="81"/>
        <v>USD</v>
      </c>
      <c r="N770">
        <f>COUNTIF(Taostats_CSV!$X:$X,Taostats_CSV!$I770&amp;N$1)</f>
        <v>0</v>
      </c>
      <c r="O770">
        <f>COUNTIF(Taostats_CSV!$X:$X,Taostats_CSV!$I770&amp;O$1)</f>
        <v>0</v>
      </c>
      <c r="P770">
        <f>COUNTIF(Taostats_CSV!$X:$X,Taostats_CSV!$I770&amp;P$1)</f>
        <v>0</v>
      </c>
      <c r="Q770" t="b">
        <f t="shared" si="82"/>
        <v>0</v>
      </c>
      <c r="R770" t="b">
        <f>IF(LEN(K770)&gt;0,COUNTIF($K$3:K770,K770),FALSE)</f>
        <v>0</v>
      </c>
      <c r="S770" t="b">
        <f>IF(Taostats_CSV!A770=Taostats_CSV!$A$2,TRUE,Taostats_CSV!G770+Taostats_CSV!H770+Taostats_CSV!R770=0)</f>
        <v>0</v>
      </c>
      <c r="T770" t="b">
        <f t="shared" si="83"/>
        <v>1</v>
      </c>
      <c r="U770" t="b" cm="1">
        <f t="array" aca="1" ref="U770" ca="1">AND(T770,OR(O770-N770&gt;1,P770&gt;1,ISERROR(A770:P770)))</f>
        <v>0</v>
      </c>
      <c r="W770" t="e">
        <f>MATCH(K770&amp;$W$2,Taostats_CSV!$X$3:$X$1167,0)</f>
        <v>#N/A</v>
      </c>
      <c r="X770" t="e">
        <f t="shared" ca="1" si="78"/>
        <v>#VALUE!</v>
      </c>
      <c r="Y770">
        <f t="shared" ca="1" si="79"/>
        <v>0.13791926500000001</v>
      </c>
      <c r="Z770" t="e">
        <f t="shared" ca="1" si="80"/>
        <v>#VALUE!</v>
      </c>
    </row>
    <row r="771" spans="1:26" x14ac:dyDescent="0.4">
      <c r="A771" t="str">
        <f>MID(Taostats_CSV!C771,6,2)&amp;"/"&amp;MID(Taostats_CSV!C771,9,2)&amp;"/"&amp;LEFT(Taostats_CSV!C771,4)&amp;" "&amp;MID(Taostats_CSV!C771,12,8)</f>
        <v>08/11/2025 23:59:48</v>
      </c>
      <c r="C771" t="str">
        <f ca="1">IF(Q771,OFFSET(Taostats_CSV!$E$1,MATCH(K771&amp;D$1,Taostats_CSV!$X:$X,0)-1,0),IF(Taostats_CSV!F771="fee",IF(VALUE(Taostats_CSV!G771)&gt;0,Taostats_CSV!E771,""),""))</f>
        <v/>
      </c>
      <c r="D771" t="str">
        <f ca="1">IF(Q771,OFFSET(Taostats_CSV!$G$1,MATCH(K771&amp;D$1,Taostats_CSV!$X:$X,0)-1,0),IF(Taostats_CSV!F771="fee",IF(VALUE(Taostats_CSV!G771)&gt;0,Taostats_CSV!G771,""),""))</f>
        <v/>
      </c>
      <c r="E771" t="str">
        <f ca="1">IF(AND(Q771,P771&gt;0),OFFSET(Taostats_CSV!$E$1,MATCH(K771&amp;F$1,Taostats_CSV!$X:$X,0)-1,0),IF(LEN(F771)&gt;0,Taostats_CSV!E771,""))</f>
        <v>TAO</v>
      </c>
      <c r="F771" t="str">
        <f ca="1">TRIM(IF(AND(Q771,P771&gt;0),OFFSET(Taostats_CSV!$H$1,MATCH(K771&amp;F$1,Taostats_CSV!$X:$X,0)-1,0),IF(LEN(Taostats_CSV!H771)&gt;0,Taostats_CSV!H771,Taostats_CSV!R771)))</f>
        <v>0.010209623</v>
      </c>
      <c r="G771" t="str">
        <f ca="1">IF(AND(Q771,N771=1),OFFSET(Taostats_CSV!$E$1,MATCH(K771&amp;H$1,Taostats_CSV!$X:$X,0)-1,0),"")</f>
        <v/>
      </c>
      <c r="H771" t="str">
        <f ca="1">IF(AND(Q771,N771=1),OFFSET(Taostats_CSV!$G$1,MATCH(K771&amp;H$1,Taostats_CSV!$X:$X,0)-1,0),"")</f>
        <v/>
      </c>
      <c r="I771" t="str">
        <f ca="1">IF(AND(LEN(K771)=0,LEN(F771)&gt;0),"Income",IF(AND(O771&gt;0,P771&gt;0,C771&lt;&gt;E771),"Trade",IF(AND(NOT(Q771),Taostats_CSV!F771="fee"),'READ ME'!$C$5,"")))</f>
        <v>Income</v>
      </c>
      <c r="J771" t="str">
        <f ca="1">SUBSTITUTE(IF(LEN(I771)=0,Taostats_CSV!F771&amp;" "&amp;Taostats_CSV!J771,IF(I771="Cost","Extrinsic fee","")),"_"," ")</f>
        <v/>
      </c>
      <c r="K771" t="str">
        <f>TRIM(IF(LEN(Taostats_CSV!I771)&gt;0,Taostats_CSV!I771,""))</f>
        <v/>
      </c>
      <c r="L771" t="str">
        <f>IF(Taostats_CSV!E771&lt;&gt;"TAO",IF(LEN(F771)&gt;0,F771,IF(LEN(D771)&gt;0,D771,0))*Taostats_CSV!P771,"")</f>
        <v/>
      </c>
      <c r="M771" t="str">
        <f t="shared" si="81"/>
        <v/>
      </c>
      <c r="N771">
        <f>COUNTIF(Taostats_CSV!$X:$X,Taostats_CSV!$I771&amp;N$1)</f>
        <v>0</v>
      </c>
      <c r="O771">
        <f>COUNTIF(Taostats_CSV!$X:$X,Taostats_CSV!$I771&amp;O$1)</f>
        <v>0</v>
      </c>
      <c r="P771">
        <f>COUNTIF(Taostats_CSV!$X:$X,Taostats_CSV!$I771&amp;P$1)</f>
        <v>0</v>
      </c>
      <c r="Q771" t="b">
        <f t="shared" si="82"/>
        <v>0</v>
      </c>
      <c r="R771" t="b">
        <f>IF(LEN(K771)&gt;0,COUNTIF($K$3:K771,K771),FALSE)</f>
        <v>0</v>
      </c>
      <c r="S771" t="b">
        <f>IF(Taostats_CSV!A771=Taostats_CSV!$A$2,TRUE,Taostats_CSV!G771+Taostats_CSV!H771+Taostats_CSV!R771=0)</f>
        <v>0</v>
      </c>
      <c r="T771" t="b">
        <f t="shared" si="83"/>
        <v>1</v>
      </c>
      <c r="U771" t="b" cm="1">
        <f t="array" aca="1" ref="U771" ca="1">AND(T771,OR(O771-N771&gt;1,P771&gt;1,ISERROR(A771:P771)))</f>
        <v>0</v>
      </c>
      <c r="W771" t="e">
        <f>MATCH(K771&amp;$W$2,Taostats_CSV!$X$3:$X$1167,0)</f>
        <v>#N/A</v>
      </c>
      <c r="X771" t="e">
        <f t="shared" ref="X771:X834" ca="1" si="84">VALUE(D771)</f>
        <v>#VALUE!</v>
      </c>
      <c r="Y771">
        <f t="shared" ref="Y771:Y834" ca="1" si="85">VALUE(F771)</f>
        <v>1.0209622999999999E-2</v>
      </c>
      <c r="Z771" t="e">
        <f t="shared" ref="Z771:Z834" ca="1" si="86">VALUE(H771)</f>
        <v>#VALUE!</v>
      </c>
    </row>
    <row r="772" spans="1:26" x14ac:dyDescent="0.4">
      <c r="A772" t="str">
        <f>MID(Taostats_CSV!C772,6,2)&amp;"/"&amp;MID(Taostats_CSV!C772,9,2)&amp;"/"&amp;LEFT(Taostats_CSV!C772,4)&amp;" "&amp;MID(Taostats_CSV!C772,12,8)</f>
        <v>08/12/2025 23:59:48</v>
      </c>
      <c r="C772" t="str">
        <f ca="1">IF(Q772,OFFSET(Taostats_CSV!$E$1,MATCH(K772&amp;D$1,Taostats_CSV!$X:$X,0)-1,0),IF(Taostats_CSV!F772="fee",IF(VALUE(Taostats_CSV!G772)&gt;0,Taostats_CSV!E772,""),""))</f>
        <v/>
      </c>
      <c r="D772" t="str">
        <f ca="1">IF(Q772,OFFSET(Taostats_CSV!$G$1,MATCH(K772&amp;D$1,Taostats_CSV!$X:$X,0)-1,0),IF(Taostats_CSV!F772="fee",IF(VALUE(Taostats_CSV!G772)&gt;0,Taostats_CSV!G772,""),""))</f>
        <v/>
      </c>
      <c r="E772" t="str">
        <f ca="1">IF(AND(Q772,P772&gt;0),OFFSET(Taostats_CSV!$E$1,MATCH(K772&amp;F$1,Taostats_CSV!$X:$X,0)-1,0),IF(LEN(F772)&gt;0,Taostats_CSV!E772,""))</f>
        <v>SN3</v>
      </c>
      <c r="F772" t="str">
        <f ca="1">TRIM(IF(AND(Q772,P772&gt;0),OFFSET(Taostats_CSV!$H$1,MATCH(K772&amp;F$1,Taostats_CSV!$X:$X,0)-1,0),IF(LEN(Taostats_CSV!H772)&gt;0,Taostats_CSV!H772,Taostats_CSV!R772)))</f>
        <v>0.417943735</v>
      </c>
      <c r="G772" t="str">
        <f ca="1">IF(AND(Q772,N772=1),OFFSET(Taostats_CSV!$E$1,MATCH(K772&amp;H$1,Taostats_CSV!$X:$X,0)-1,0),"")</f>
        <v/>
      </c>
      <c r="H772" t="str">
        <f ca="1">IF(AND(Q772,N772=1),OFFSET(Taostats_CSV!$G$1,MATCH(K772&amp;H$1,Taostats_CSV!$X:$X,0)-1,0),"")</f>
        <v/>
      </c>
      <c r="I772" t="str">
        <f ca="1">IF(AND(LEN(K772)=0,LEN(F772)&gt;0),"Income",IF(AND(O772&gt;0,P772&gt;0,C772&lt;&gt;E772),"Trade",IF(AND(NOT(Q772),Taostats_CSV!F772="fee"),'READ ME'!$C$5,"")))</f>
        <v>Income</v>
      </c>
      <c r="J772" t="str">
        <f ca="1">SUBSTITUTE(IF(LEN(I772)=0,Taostats_CSV!F772&amp;" "&amp;Taostats_CSV!J772,IF(I772="Cost","Extrinsic fee","")),"_"," ")</f>
        <v/>
      </c>
      <c r="K772" t="str">
        <f>TRIM(IF(LEN(Taostats_CSV!I772)&gt;0,Taostats_CSV!I772,""))</f>
        <v/>
      </c>
      <c r="L772">
        <f ca="1">IF(Taostats_CSV!E772&lt;&gt;"TAO",IF(LEN(F772)&gt;0,F772,IF(LEN(D772)&gt;0,D772,0))*Taostats_CSV!P772,"")</f>
        <v>8.2258848204027917</v>
      </c>
      <c r="M772" t="str">
        <f t="shared" ref="M772:M835" ca="1" si="87">IF(LEN(L772)&gt;0,"USD","")</f>
        <v>USD</v>
      </c>
      <c r="N772">
        <f>COUNTIF(Taostats_CSV!$X:$X,Taostats_CSV!$I772&amp;N$1)</f>
        <v>0</v>
      </c>
      <c r="O772">
        <f>COUNTIF(Taostats_CSV!$X:$X,Taostats_CSV!$I772&amp;O$1)</f>
        <v>0</v>
      </c>
      <c r="P772">
        <f>COUNTIF(Taostats_CSV!$X:$X,Taostats_CSV!$I772&amp;P$1)</f>
        <v>0</v>
      </c>
      <c r="Q772" t="b">
        <f t="shared" ref="Q772:Q835" si="88">AND(O772&lt;=1,N772&lt;=1,P772&lt;=1,O772+N772+P772&gt;=2)</f>
        <v>0</v>
      </c>
      <c r="R772" t="b">
        <f>IF(LEN(K772)&gt;0,COUNTIF($K$3:K772,K772),FALSE)</f>
        <v>0</v>
      </c>
      <c r="S772" t="b">
        <f>IF(Taostats_CSV!A772=Taostats_CSV!$A$2,TRUE,Taostats_CSV!G772+Taostats_CSV!H772+Taostats_CSV!R772=0)</f>
        <v>0</v>
      </c>
      <c r="T772" t="b">
        <f t="shared" ref="T772:T835" si="89">AND(NOT(S772),OR(NOT(Q772),R772=1))</f>
        <v>1</v>
      </c>
      <c r="U772" t="b" cm="1">
        <f t="array" aca="1" ref="U772" ca="1">AND(T772,OR(O772-N772&gt;1,P772&gt;1,ISERROR(A772:P772)))</f>
        <v>0</v>
      </c>
      <c r="W772" t="e">
        <f>MATCH(K772&amp;$W$2,Taostats_CSV!$X$3:$X$1167,0)</f>
        <v>#N/A</v>
      </c>
      <c r="X772" t="e">
        <f t="shared" ca="1" si="84"/>
        <v>#VALUE!</v>
      </c>
      <c r="Y772">
        <f t="shared" ca="1" si="85"/>
        <v>0.41794373499999998</v>
      </c>
      <c r="Z772" t="e">
        <f t="shared" ca="1" si="86"/>
        <v>#VALUE!</v>
      </c>
    </row>
    <row r="773" spans="1:26" x14ac:dyDescent="0.4">
      <c r="A773" t="str">
        <f>MID(Taostats_CSV!C773,6,2)&amp;"/"&amp;MID(Taostats_CSV!C773,9,2)&amp;"/"&amp;LEFT(Taostats_CSV!C773,4)&amp;" "&amp;MID(Taostats_CSV!C773,12,8)</f>
        <v>08/12/2025 23:59:48</v>
      </c>
      <c r="C773" t="str">
        <f ca="1">IF(Q773,OFFSET(Taostats_CSV!$E$1,MATCH(K773&amp;D$1,Taostats_CSV!$X:$X,0)-1,0),IF(Taostats_CSV!F773="fee",IF(VALUE(Taostats_CSV!G773)&gt;0,Taostats_CSV!E773,""),""))</f>
        <v/>
      </c>
      <c r="D773" t="str">
        <f ca="1">IF(Q773,OFFSET(Taostats_CSV!$G$1,MATCH(K773&amp;D$1,Taostats_CSV!$X:$X,0)-1,0),IF(Taostats_CSV!F773="fee",IF(VALUE(Taostats_CSV!G773)&gt;0,Taostats_CSV!G773,""),""))</f>
        <v/>
      </c>
      <c r="E773" t="str">
        <f ca="1">IF(AND(Q773,P773&gt;0),OFFSET(Taostats_CSV!$E$1,MATCH(K773&amp;F$1,Taostats_CSV!$X:$X,0)-1,0),IF(LEN(F773)&gt;0,Taostats_CSV!E773,""))</f>
        <v>SN4</v>
      </c>
      <c r="F773" t="str">
        <f ca="1">TRIM(IF(AND(Q773,P773&gt;0),OFFSET(Taostats_CSV!$H$1,MATCH(K773&amp;F$1,Taostats_CSV!$X:$X,0)-1,0),IF(LEN(Taostats_CSV!H773)&gt;0,Taostats_CSV!H773,Taostats_CSV!R773)))</f>
        <v>0.431629046</v>
      </c>
      <c r="G773" t="str">
        <f ca="1">IF(AND(Q773,N773=1),OFFSET(Taostats_CSV!$E$1,MATCH(K773&amp;H$1,Taostats_CSV!$X:$X,0)-1,0),"")</f>
        <v/>
      </c>
      <c r="H773" t="str">
        <f ca="1">IF(AND(Q773,N773=1),OFFSET(Taostats_CSV!$G$1,MATCH(K773&amp;H$1,Taostats_CSV!$X:$X,0)-1,0),"")</f>
        <v/>
      </c>
      <c r="I773" t="str">
        <f ca="1">IF(AND(LEN(K773)=0,LEN(F773)&gt;0),"Income",IF(AND(O773&gt;0,P773&gt;0,C773&lt;&gt;E773),"Trade",IF(AND(NOT(Q773),Taostats_CSV!F773="fee"),'READ ME'!$C$5,"")))</f>
        <v>Income</v>
      </c>
      <c r="J773" t="str">
        <f ca="1">SUBSTITUTE(IF(LEN(I773)=0,Taostats_CSV!F773&amp;" "&amp;Taostats_CSV!J773,IF(I773="Cost","Extrinsic fee","")),"_"," ")</f>
        <v/>
      </c>
      <c r="K773" t="str">
        <f>TRIM(IF(LEN(Taostats_CSV!I773)&gt;0,Taostats_CSV!I773,""))</f>
        <v/>
      </c>
      <c r="L773">
        <f ca="1">IF(Taostats_CSV!E773&lt;&gt;"TAO",IF(LEN(F773)&gt;0,F773,IF(LEN(D773)&gt;0,D773,0))*Taostats_CSV!P773,"")</f>
        <v>9.4130147789360468</v>
      </c>
      <c r="M773" t="str">
        <f t="shared" ca="1" si="87"/>
        <v>USD</v>
      </c>
      <c r="N773">
        <f>COUNTIF(Taostats_CSV!$X:$X,Taostats_CSV!$I773&amp;N$1)</f>
        <v>0</v>
      </c>
      <c r="O773">
        <f>COUNTIF(Taostats_CSV!$X:$X,Taostats_CSV!$I773&amp;O$1)</f>
        <v>0</v>
      </c>
      <c r="P773">
        <f>COUNTIF(Taostats_CSV!$X:$X,Taostats_CSV!$I773&amp;P$1)</f>
        <v>0</v>
      </c>
      <c r="Q773" t="b">
        <f t="shared" si="88"/>
        <v>0</v>
      </c>
      <c r="R773" t="b">
        <f>IF(LEN(K773)&gt;0,COUNTIF($K$3:K773,K773),FALSE)</f>
        <v>0</v>
      </c>
      <c r="S773" t="b">
        <f>IF(Taostats_CSV!A773=Taostats_CSV!$A$2,TRUE,Taostats_CSV!G773+Taostats_CSV!H773+Taostats_CSV!R773=0)</f>
        <v>0</v>
      </c>
      <c r="T773" t="b">
        <f t="shared" si="89"/>
        <v>1</v>
      </c>
      <c r="U773" t="b" cm="1">
        <f t="array" aca="1" ref="U773" ca="1">AND(T773,OR(O773-N773&gt;1,P773&gt;1,ISERROR(A773:P773)))</f>
        <v>0</v>
      </c>
      <c r="W773" t="e">
        <f>MATCH(K773&amp;$W$2,Taostats_CSV!$X$3:$X$1167,0)</f>
        <v>#N/A</v>
      </c>
      <c r="X773" t="e">
        <f t="shared" ca="1" si="84"/>
        <v>#VALUE!</v>
      </c>
      <c r="Y773">
        <f t="shared" ca="1" si="85"/>
        <v>0.43162904600000002</v>
      </c>
      <c r="Z773" t="e">
        <f t="shared" ca="1" si="86"/>
        <v>#VALUE!</v>
      </c>
    </row>
    <row r="774" spans="1:26" x14ac:dyDescent="0.4">
      <c r="A774" t="str">
        <f>MID(Taostats_CSV!C774,6,2)&amp;"/"&amp;MID(Taostats_CSV!C774,9,2)&amp;"/"&amp;LEFT(Taostats_CSV!C774,4)&amp;" "&amp;MID(Taostats_CSV!C774,12,8)</f>
        <v>08/12/2025 23:59:48</v>
      </c>
      <c r="C774" t="str">
        <f ca="1">IF(Q774,OFFSET(Taostats_CSV!$E$1,MATCH(K774&amp;D$1,Taostats_CSV!$X:$X,0)-1,0),IF(Taostats_CSV!F774="fee",IF(VALUE(Taostats_CSV!G774)&gt;0,Taostats_CSV!E774,""),""))</f>
        <v/>
      </c>
      <c r="D774" t="str">
        <f ca="1">IF(Q774,OFFSET(Taostats_CSV!$G$1,MATCH(K774&amp;D$1,Taostats_CSV!$X:$X,0)-1,0),IF(Taostats_CSV!F774="fee",IF(VALUE(Taostats_CSV!G774)&gt;0,Taostats_CSV!G774,""),""))</f>
        <v/>
      </c>
      <c r="E774" t="str">
        <f ca="1">IF(AND(Q774,P774&gt;0),OFFSET(Taostats_CSV!$E$1,MATCH(K774&amp;F$1,Taostats_CSV!$X:$X,0)-1,0),IF(LEN(F774)&gt;0,Taostats_CSV!E774,""))</f>
        <v>SN56</v>
      </c>
      <c r="F774" t="str">
        <f ca="1">TRIM(IF(AND(Q774,P774&gt;0),OFFSET(Taostats_CSV!$H$1,MATCH(K774&amp;F$1,Taostats_CSV!$X:$X,0)-1,0),IF(LEN(Taostats_CSV!H774)&gt;0,Taostats_CSV!H774,Taostats_CSV!R774)))</f>
        <v>0.253453137</v>
      </c>
      <c r="G774" t="str">
        <f ca="1">IF(AND(Q774,N774=1),OFFSET(Taostats_CSV!$E$1,MATCH(K774&amp;H$1,Taostats_CSV!$X:$X,0)-1,0),"")</f>
        <v/>
      </c>
      <c r="H774" t="str">
        <f ca="1">IF(AND(Q774,N774=1),OFFSET(Taostats_CSV!$G$1,MATCH(K774&amp;H$1,Taostats_CSV!$X:$X,0)-1,0),"")</f>
        <v/>
      </c>
      <c r="I774" t="str">
        <f ca="1">IF(AND(LEN(K774)=0,LEN(F774)&gt;0),"Income",IF(AND(O774&gt;0,P774&gt;0,C774&lt;&gt;E774),"Trade",IF(AND(NOT(Q774),Taostats_CSV!F774="fee"),'READ ME'!$C$5,"")))</f>
        <v>Income</v>
      </c>
      <c r="J774" t="str">
        <f ca="1">SUBSTITUTE(IF(LEN(I774)=0,Taostats_CSV!F774&amp;" "&amp;Taostats_CSV!J774,IF(I774="Cost","Extrinsic fee","")),"_"," ")</f>
        <v/>
      </c>
      <c r="K774" t="str">
        <f>TRIM(IF(LEN(Taostats_CSV!I774)&gt;0,Taostats_CSV!I774,""))</f>
        <v/>
      </c>
      <c r="L774">
        <f ca="1">IF(Taostats_CSV!E774&lt;&gt;"TAO",IF(LEN(F774)&gt;0,F774,IF(LEN(D774)&gt;0,D774,0))*Taostats_CSV!P774,"")</f>
        <v>5.1894427185083378</v>
      </c>
      <c r="M774" t="str">
        <f t="shared" ca="1" si="87"/>
        <v>USD</v>
      </c>
      <c r="N774">
        <f>COUNTIF(Taostats_CSV!$X:$X,Taostats_CSV!$I774&amp;N$1)</f>
        <v>0</v>
      </c>
      <c r="O774">
        <f>COUNTIF(Taostats_CSV!$X:$X,Taostats_CSV!$I774&amp;O$1)</f>
        <v>0</v>
      </c>
      <c r="P774">
        <f>COUNTIF(Taostats_CSV!$X:$X,Taostats_CSV!$I774&amp;P$1)</f>
        <v>0</v>
      </c>
      <c r="Q774" t="b">
        <f t="shared" si="88"/>
        <v>0</v>
      </c>
      <c r="R774" t="b">
        <f>IF(LEN(K774)&gt;0,COUNTIF($K$3:K774,K774),FALSE)</f>
        <v>0</v>
      </c>
      <c r="S774" t="b">
        <f>IF(Taostats_CSV!A774=Taostats_CSV!$A$2,TRUE,Taostats_CSV!G774+Taostats_CSV!H774+Taostats_CSV!R774=0)</f>
        <v>0</v>
      </c>
      <c r="T774" t="b">
        <f t="shared" si="89"/>
        <v>1</v>
      </c>
      <c r="U774" t="b" cm="1">
        <f t="array" aca="1" ref="U774" ca="1">AND(T774,OR(O774-N774&gt;1,P774&gt;1,ISERROR(A774:P774)))</f>
        <v>0</v>
      </c>
      <c r="W774" t="e">
        <f>MATCH(K774&amp;$W$2,Taostats_CSV!$X$3:$X$1167,0)</f>
        <v>#N/A</v>
      </c>
      <c r="X774" t="e">
        <f t="shared" ca="1" si="84"/>
        <v>#VALUE!</v>
      </c>
      <c r="Y774">
        <f t="shared" ca="1" si="85"/>
        <v>0.253453137</v>
      </c>
      <c r="Z774" t="e">
        <f t="shared" ca="1" si="86"/>
        <v>#VALUE!</v>
      </c>
    </row>
    <row r="775" spans="1:26" x14ac:dyDescent="0.4">
      <c r="A775" t="str">
        <f>MID(Taostats_CSV!C775,6,2)&amp;"/"&amp;MID(Taostats_CSV!C775,9,2)&amp;"/"&amp;LEFT(Taostats_CSV!C775,4)&amp;" "&amp;MID(Taostats_CSV!C775,12,8)</f>
        <v>08/12/2025 23:59:48</v>
      </c>
      <c r="C775" t="str">
        <f ca="1">IF(Q775,OFFSET(Taostats_CSV!$E$1,MATCH(K775&amp;D$1,Taostats_CSV!$X:$X,0)-1,0),IF(Taostats_CSV!F775="fee",IF(VALUE(Taostats_CSV!G775)&gt;0,Taostats_CSV!E775,""),""))</f>
        <v/>
      </c>
      <c r="D775" t="str">
        <f ca="1">IF(Q775,OFFSET(Taostats_CSV!$G$1,MATCH(K775&amp;D$1,Taostats_CSV!$X:$X,0)-1,0),IF(Taostats_CSV!F775="fee",IF(VALUE(Taostats_CSV!G775)&gt;0,Taostats_CSV!G775,""),""))</f>
        <v/>
      </c>
      <c r="E775" t="str">
        <f ca="1">IF(AND(Q775,P775&gt;0),OFFSET(Taostats_CSV!$E$1,MATCH(K775&amp;F$1,Taostats_CSV!$X:$X,0)-1,0),IF(LEN(F775)&gt;0,Taostats_CSV!E775,""))</f>
        <v>SN64</v>
      </c>
      <c r="F775" t="str">
        <f ca="1">TRIM(IF(AND(Q775,P775&gt;0),OFFSET(Taostats_CSV!$H$1,MATCH(K775&amp;F$1,Taostats_CSV!$X:$X,0)-1,0),IF(LEN(Taostats_CSV!H775)&gt;0,Taostats_CSV!H775,Taostats_CSV!R775)))</f>
        <v>0.136833737</v>
      </c>
      <c r="G775" t="str">
        <f ca="1">IF(AND(Q775,N775=1),OFFSET(Taostats_CSV!$E$1,MATCH(K775&amp;H$1,Taostats_CSV!$X:$X,0)-1,0),"")</f>
        <v/>
      </c>
      <c r="H775" t="str">
        <f ca="1">IF(AND(Q775,N775=1),OFFSET(Taostats_CSV!$G$1,MATCH(K775&amp;H$1,Taostats_CSV!$X:$X,0)-1,0),"")</f>
        <v/>
      </c>
      <c r="I775" t="str">
        <f ca="1">IF(AND(LEN(K775)=0,LEN(F775)&gt;0),"Income",IF(AND(O775&gt;0,P775&gt;0,C775&lt;&gt;E775),"Trade",IF(AND(NOT(Q775),Taostats_CSV!F775="fee"),'READ ME'!$C$5,"")))</f>
        <v>Income</v>
      </c>
      <c r="J775" t="str">
        <f ca="1">SUBSTITUTE(IF(LEN(I775)=0,Taostats_CSV!F775&amp;" "&amp;Taostats_CSV!J775,IF(I775="Cost","Extrinsic fee","")),"_"," ")</f>
        <v/>
      </c>
      <c r="K775" t="str">
        <f>TRIM(IF(LEN(Taostats_CSV!I775)&gt;0,Taostats_CSV!I775,""))</f>
        <v/>
      </c>
      <c r="L775">
        <f ca="1">IF(Taostats_CSV!E775&lt;&gt;"TAO",IF(LEN(F775)&gt;0,F775,IF(LEN(D775)&gt;0,D775,0))*Taostats_CSV!P775,"")</f>
        <v>7.0752501074723986</v>
      </c>
      <c r="M775" t="str">
        <f t="shared" ca="1" si="87"/>
        <v>USD</v>
      </c>
      <c r="N775">
        <f>COUNTIF(Taostats_CSV!$X:$X,Taostats_CSV!$I775&amp;N$1)</f>
        <v>0</v>
      </c>
      <c r="O775">
        <f>COUNTIF(Taostats_CSV!$X:$X,Taostats_CSV!$I775&amp;O$1)</f>
        <v>0</v>
      </c>
      <c r="P775">
        <f>COUNTIF(Taostats_CSV!$X:$X,Taostats_CSV!$I775&amp;P$1)</f>
        <v>0</v>
      </c>
      <c r="Q775" t="b">
        <f t="shared" si="88"/>
        <v>0</v>
      </c>
      <c r="R775" t="b">
        <f>IF(LEN(K775)&gt;0,COUNTIF($K$3:K775,K775),FALSE)</f>
        <v>0</v>
      </c>
      <c r="S775" t="b">
        <f>IF(Taostats_CSV!A775=Taostats_CSV!$A$2,TRUE,Taostats_CSV!G775+Taostats_CSV!H775+Taostats_CSV!R775=0)</f>
        <v>0</v>
      </c>
      <c r="T775" t="b">
        <f t="shared" si="89"/>
        <v>1</v>
      </c>
      <c r="U775" t="b" cm="1">
        <f t="array" aca="1" ref="U775" ca="1">AND(T775,OR(O775-N775&gt;1,P775&gt;1,ISERROR(A775:P775)))</f>
        <v>0</v>
      </c>
      <c r="W775" t="e">
        <f>MATCH(K775&amp;$W$2,Taostats_CSV!$X$3:$X$1167,0)</f>
        <v>#N/A</v>
      </c>
      <c r="X775" t="e">
        <f t="shared" ca="1" si="84"/>
        <v>#VALUE!</v>
      </c>
      <c r="Y775">
        <f t="shared" ca="1" si="85"/>
        <v>0.13683373700000001</v>
      </c>
      <c r="Z775" t="e">
        <f t="shared" ca="1" si="86"/>
        <v>#VALUE!</v>
      </c>
    </row>
    <row r="776" spans="1:26" x14ac:dyDescent="0.4">
      <c r="A776" t="str">
        <f>MID(Taostats_CSV!C776,6,2)&amp;"/"&amp;MID(Taostats_CSV!C776,9,2)&amp;"/"&amp;LEFT(Taostats_CSV!C776,4)&amp;" "&amp;MID(Taostats_CSV!C776,12,8)</f>
        <v>08/12/2025 23:59:48</v>
      </c>
      <c r="C776" t="str">
        <f ca="1">IF(Q776,OFFSET(Taostats_CSV!$E$1,MATCH(K776&amp;D$1,Taostats_CSV!$X:$X,0)-1,0),IF(Taostats_CSV!F776="fee",IF(VALUE(Taostats_CSV!G776)&gt;0,Taostats_CSV!E776,""),""))</f>
        <v/>
      </c>
      <c r="D776" t="str">
        <f ca="1">IF(Q776,OFFSET(Taostats_CSV!$G$1,MATCH(K776&amp;D$1,Taostats_CSV!$X:$X,0)-1,0),IF(Taostats_CSV!F776="fee",IF(VALUE(Taostats_CSV!G776)&gt;0,Taostats_CSV!G776,""),""))</f>
        <v/>
      </c>
      <c r="E776" t="str">
        <f ca="1">IF(AND(Q776,P776&gt;0),OFFSET(Taostats_CSV!$E$1,MATCH(K776&amp;F$1,Taostats_CSV!$X:$X,0)-1,0),IF(LEN(F776)&gt;0,Taostats_CSV!E776,""))</f>
        <v>TAO</v>
      </c>
      <c r="F776" t="str">
        <f ca="1">TRIM(IF(AND(Q776,P776&gt;0),OFFSET(Taostats_CSV!$H$1,MATCH(K776&amp;F$1,Taostats_CSV!$X:$X,0)-1,0),IF(LEN(Taostats_CSV!H776)&gt;0,Taostats_CSV!H776,Taostats_CSV!R776)))</f>
        <v>0.010183338</v>
      </c>
      <c r="G776" t="str">
        <f ca="1">IF(AND(Q776,N776=1),OFFSET(Taostats_CSV!$E$1,MATCH(K776&amp;H$1,Taostats_CSV!$X:$X,0)-1,0),"")</f>
        <v/>
      </c>
      <c r="H776" t="str">
        <f ca="1">IF(AND(Q776,N776=1),OFFSET(Taostats_CSV!$G$1,MATCH(K776&amp;H$1,Taostats_CSV!$X:$X,0)-1,0),"")</f>
        <v/>
      </c>
      <c r="I776" t="str">
        <f ca="1">IF(AND(LEN(K776)=0,LEN(F776)&gt;0),"Income",IF(AND(O776&gt;0,P776&gt;0,C776&lt;&gt;E776),"Trade",IF(AND(NOT(Q776),Taostats_CSV!F776="fee"),'READ ME'!$C$5,"")))</f>
        <v>Income</v>
      </c>
      <c r="J776" t="str">
        <f ca="1">SUBSTITUTE(IF(LEN(I776)=0,Taostats_CSV!F776&amp;" "&amp;Taostats_CSV!J776,IF(I776="Cost","Extrinsic fee","")),"_"," ")</f>
        <v/>
      </c>
      <c r="K776" t="str">
        <f>TRIM(IF(LEN(Taostats_CSV!I776)&gt;0,Taostats_CSV!I776,""))</f>
        <v/>
      </c>
      <c r="L776" t="str">
        <f>IF(Taostats_CSV!E776&lt;&gt;"TAO",IF(LEN(F776)&gt;0,F776,IF(LEN(D776)&gt;0,D776,0))*Taostats_CSV!P776,"")</f>
        <v/>
      </c>
      <c r="M776" t="str">
        <f t="shared" si="87"/>
        <v/>
      </c>
      <c r="N776">
        <f>COUNTIF(Taostats_CSV!$X:$X,Taostats_CSV!$I776&amp;N$1)</f>
        <v>0</v>
      </c>
      <c r="O776">
        <f>COUNTIF(Taostats_CSV!$X:$X,Taostats_CSV!$I776&amp;O$1)</f>
        <v>0</v>
      </c>
      <c r="P776">
        <f>COUNTIF(Taostats_CSV!$X:$X,Taostats_CSV!$I776&amp;P$1)</f>
        <v>0</v>
      </c>
      <c r="Q776" t="b">
        <f t="shared" si="88"/>
        <v>0</v>
      </c>
      <c r="R776" t="b">
        <f>IF(LEN(K776)&gt;0,COUNTIF($K$3:K776,K776),FALSE)</f>
        <v>0</v>
      </c>
      <c r="S776" t="b">
        <f>IF(Taostats_CSV!A776=Taostats_CSV!$A$2,TRUE,Taostats_CSV!G776+Taostats_CSV!H776+Taostats_CSV!R776=0)</f>
        <v>0</v>
      </c>
      <c r="T776" t="b">
        <f t="shared" si="89"/>
        <v>1</v>
      </c>
      <c r="U776" t="b" cm="1">
        <f t="array" aca="1" ref="U776" ca="1">AND(T776,OR(O776-N776&gt;1,P776&gt;1,ISERROR(A776:P776)))</f>
        <v>0</v>
      </c>
      <c r="W776" t="e">
        <f>MATCH(K776&amp;$W$2,Taostats_CSV!$X$3:$X$1167,0)</f>
        <v>#N/A</v>
      </c>
      <c r="X776" t="e">
        <f t="shared" ca="1" si="84"/>
        <v>#VALUE!</v>
      </c>
      <c r="Y776">
        <f t="shared" ca="1" si="85"/>
        <v>1.0183338E-2</v>
      </c>
      <c r="Z776" t="e">
        <f t="shared" ca="1" si="86"/>
        <v>#VALUE!</v>
      </c>
    </row>
    <row r="777" spans="1:26" x14ac:dyDescent="0.4">
      <c r="A777" t="str">
        <f>MID(Taostats_CSV!C777,6,2)&amp;"/"&amp;MID(Taostats_CSV!C777,9,2)&amp;"/"&amp;LEFT(Taostats_CSV!C777,4)&amp;" "&amp;MID(Taostats_CSV!C777,12,8)</f>
        <v>08/13/2025 23:59:48</v>
      </c>
      <c r="C777" t="str">
        <f ca="1">IF(Q777,OFFSET(Taostats_CSV!$E$1,MATCH(K777&amp;D$1,Taostats_CSV!$X:$X,0)-1,0),IF(Taostats_CSV!F777="fee",IF(VALUE(Taostats_CSV!G777)&gt;0,Taostats_CSV!E777,""),""))</f>
        <v/>
      </c>
      <c r="D777" t="str">
        <f ca="1">IF(Q777,OFFSET(Taostats_CSV!$G$1,MATCH(K777&amp;D$1,Taostats_CSV!$X:$X,0)-1,0),IF(Taostats_CSV!F777="fee",IF(VALUE(Taostats_CSV!G777)&gt;0,Taostats_CSV!G777,""),""))</f>
        <v/>
      </c>
      <c r="E777" t="str">
        <f ca="1">IF(AND(Q777,P777&gt;0),OFFSET(Taostats_CSV!$E$1,MATCH(K777&amp;F$1,Taostats_CSV!$X:$X,0)-1,0),IF(LEN(F777)&gt;0,Taostats_CSV!E777,""))</f>
        <v>SN3</v>
      </c>
      <c r="F777" t="str">
        <f ca="1">TRIM(IF(AND(Q777,P777&gt;0),OFFSET(Taostats_CSV!$H$1,MATCH(K777&amp;F$1,Taostats_CSV!$X:$X,0)-1,0),IF(LEN(Taostats_CSV!H777)&gt;0,Taostats_CSV!H777,Taostats_CSV!R777)))</f>
        <v>0.400905954</v>
      </c>
      <c r="G777" t="str">
        <f ca="1">IF(AND(Q777,N777=1),OFFSET(Taostats_CSV!$E$1,MATCH(K777&amp;H$1,Taostats_CSV!$X:$X,0)-1,0),"")</f>
        <v/>
      </c>
      <c r="H777" t="str">
        <f ca="1">IF(AND(Q777,N777=1),OFFSET(Taostats_CSV!$G$1,MATCH(K777&amp;H$1,Taostats_CSV!$X:$X,0)-1,0),"")</f>
        <v/>
      </c>
      <c r="I777" t="str">
        <f ca="1">IF(AND(LEN(K777)=0,LEN(F777)&gt;0),"Income",IF(AND(O777&gt;0,P777&gt;0,C777&lt;&gt;E777),"Trade",IF(AND(NOT(Q777),Taostats_CSV!F777="fee"),'READ ME'!$C$5,"")))</f>
        <v>Income</v>
      </c>
      <c r="J777" t="str">
        <f ca="1">SUBSTITUTE(IF(LEN(I777)=0,Taostats_CSV!F777&amp;" "&amp;Taostats_CSV!J777,IF(I777="Cost","Extrinsic fee","")),"_"," ")</f>
        <v/>
      </c>
      <c r="K777" t="str">
        <f>TRIM(IF(LEN(Taostats_CSV!I777)&gt;0,Taostats_CSV!I777,""))</f>
        <v/>
      </c>
      <c r="L777">
        <f ca="1">IF(Taostats_CSV!E777&lt;&gt;"TAO",IF(LEN(F777)&gt;0,F777,IF(LEN(D777)&gt;0,D777,0))*Taostats_CSV!P777,"")</f>
        <v>7.6981215631511439</v>
      </c>
      <c r="M777" t="str">
        <f t="shared" ca="1" si="87"/>
        <v>USD</v>
      </c>
      <c r="N777">
        <f>COUNTIF(Taostats_CSV!$X:$X,Taostats_CSV!$I777&amp;N$1)</f>
        <v>0</v>
      </c>
      <c r="O777">
        <f>COUNTIF(Taostats_CSV!$X:$X,Taostats_CSV!$I777&amp;O$1)</f>
        <v>0</v>
      </c>
      <c r="P777">
        <f>COUNTIF(Taostats_CSV!$X:$X,Taostats_CSV!$I777&amp;P$1)</f>
        <v>0</v>
      </c>
      <c r="Q777" t="b">
        <f t="shared" si="88"/>
        <v>0</v>
      </c>
      <c r="R777" t="b">
        <f>IF(LEN(K777)&gt;0,COUNTIF($K$3:K777,K777),FALSE)</f>
        <v>0</v>
      </c>
      <c r="S777" t="b">
        <f>IF(Taostats_CSV!A777=Taostats_CSV!$A$2,TRUE,Taostats_CSV!G777+Taostats_CSV!H777+Taostats_CSV!R777=0)</f>
        <v>0</v>
      </c>
      <c r="T777" t="b">
        <f t="shared" si="89"/>
        <v>1</v>
      </c>
      <c r="U777" t="b" cm="1">
        <f t="array" aca="1" ref="U777" ca="1">AND(T777,OR(O777-N777&gt;1,P777&gt;1,ISERROR(A777:P777)))</f>
        <v>0</v>
      </c>
      <c r="W777" t="e">
        <f>MATCH(K777&amp;$W$2,Taostats_CSV!$X$3:$X$1167,0)</f>
        <v>#N/A</v>
      </c>
      <c r="X777" t="e">
        <f t="shared" ca="1" si="84"/>
        <v>#VALUE!</v>
      </c>
      <c r="Y777">
        <f t="shared" ca="1" si="85"/>
        <v>0.40090595400000001</v>
      </c>
      <c r="Z777" t="e">
        <f t="shared" ca="1" si="86"/>
        <v>#VALUE!</v>
      </c>
    </row>
    <row r="778" spans="1:26" x14ac:dyDescent="0.4">
      <c r="A778" t="str">
        <f>MID(Taostats_CSV!C778,6,2)&amp;"/"&amp;MID(Taostats_CSV!C778,9,2)&amp;"/"&amp;LEFT(Taostats_CSV!C778,4)&amp;" "&amp;MID(Taostats_CSV!C778,12,8)</f>
        <v>08/13/2025 23:59:48</v>
      </c>
      <c r="C778" t="str">
        <f ca="1">IF(Q778,OFFSET(Taostats_CSV!$E$1,MATCH(K778&amp;D$1,Taostats_CSV!$X:$X,0)-1,0),IF(Taostats_CSV!F778="fee",IF(VALUE(Taostats_CSV!G778)&gt;0,Taostats_CSV!E778,""),""))</f>
        <v/>
      </c>
      <c r="D778" t="str">
        <f ca="1">IF(Q778,OFFSET(Taostats_CSV!$G$1,MATCH(K778&amp;D$1,Taostats_CSV!$X:$X,0)-1,0),IF(Taostats_CSV!F778="fee",IF(VALUE(Taostats_CSV!G778)&gt;0,Taostats_CSV!G778,""),""))</f>
        <v/>
      </c>
      <c r="E778" t="str">
        <f ca="1">IF(AND(Q778,P778&gt;0),OFFSET(Taostats_CSV!$E$1,MATCH(K778&amp;F$1,Taostats_CSV!$X:$X,0)-1,0),IF(LEN(F778)&gt;0,Taostats_CSV!E778,""))</f>
        <v>SN4</v>
      </c>
      <c r="F778" t="str">
        <f ca="1">TRIM(IF(AND(Q778,P778&gt;0),OFFSET(Taostats_CSV!$H$1,MATCH(K778&amp;F$1,Taostats_CSV!$X:$X,0)-1,0),IF(LEN(Taostats_CSV!H778)&gt;0,Taostats_CSV!H778,Taostats_CSV!R778)))</f>
        <v>0.401690526</v>
      </c>
      <c r="G778" t="str">
        <f ca="1">IF(AND(Q778,N778=1),OFFSET(Taostats_CSV!$E$1,MATCH(K778&amp;H$1,Taostats_CSV!$X:$X,0)-1,0),"")</f>
        <v/>
      </c>
      <c r="H778" t="str">
        <f ca="1">IF(AND(Q778,N778=1),OFFSET(Taostats_CSV!$G$1,MATCH(K778&amp;H$1,Taostats_CSV!$X:$X,0)-1,0),"")</f>
        <v/>
      </c>
      <c r="I778" t="str">
        <f ca="1">IF(AND(LEN(K778)=0,LEN(F778)&gt;0),"Income",IF(AND(O778&gt;0,P778&gt;0,C778&lt;&gt;E778),"Trade",IF(AND(NOT(Q778),Taostats_CSV!F778="fee"),'READ ME'!$C$5,"")))</f>
        <v>Income</v>
      </c>
      <c r="J778" t="str">
        <f ca="1">SUBSTITUTE(IF(LEN(I778)=0,Taostats_CSV!F778&amp;" "&amp;Taostats_CSV!J778,IF(I778="Cost","Extrinsic fee","")),"_"," ")</f>
        <v/>
      </c>
      <c r="K778" t="str">
        <f>TRIM(IF(LEN(Taostats_CSV!I778)&gt;0,Taostats_CSV!I778,""))</f>
        <v/>
      </c>
      <c r="L778">
        <f ca="1">IF(Taostats_CSV!E778&lt;&gt;"TAO",IF(LEN(F778)&gt;0,F778,IF(LEN(D778)&gt;0,D778,0))*Taostats_CSV!P778,"")</f>
        <v>8.508944483884445</v>
      </c>
      <c r="M778" t="str">
        <f t="shared" ca="1" si="87"/>
        <v>USD</v>
      </c>
      <c r="N778">
        <f>COUNTIF(Taostats_CSV!$X:$X,Taostats_CSV!$I778&amp;N$1)</f>
        <v>0</v>
      </c>
      <c r="O778">
        <f>COUNTIF(Taostats_CSV!$X:$X,Taostats_CSV!$I778&amp;O$1)</f>
        <v>0</v>
      </c>
      <c r="P778">
        <f>COUNTIF(Taostats_CSV!$X:$X,Taostats_CSV!$I778&amp;P$1)</f>
        <v>0</v>
      </c>
      <c r="Q778" t="b">
        <f t="shared" si="88"/>
        <v>0</v>
      </c>
      <c r="R778" t="b">
        <f>IF(LEN(K778)&gt;0,COUNTIF($K$3:K778,K778),FALSE)</f>
        <v>0</v>
      </c>
      <c r="S778" t="b">
        <f>IF(Taostats_CSV!A778=Taostats_CSV!$A$2,TRUE,Taostats_CSV!G778+Taostats_CSV!H778+Taostats_CSV!R778=0)</f>
        <v>0</v>
      </c>
      <c r="T778" t="b">
        <f t="shared" si="89"/>
        <v>1</v>
      </c>
      <c r="U778" t="b" cm="1">
        <f t="array" aca="1" ref="U778" ca="1">AND(T778,OR(O778-N778&gt;1,P778&gt;1,ISERROR(A778:P778)))</f>
        <v>0</v>
      </c>
      <c r="W778" t="e">
        <f>MATCH(K778&amp;$W$2,Taostats_CSV!$X$3:$X$1167,0)</f>
        <v>#N/A</v>
      </c>
      <c r="X778" t="e">
        <f t="shared" ca="1" si="84"/>
        <v>#VALUE!</v>
      </c>
      <c r="Y778">
        <f t="shared" ca="1" si="85"/>
        <v>0.40169052599999999</v>
      </c>
      <c r="Z778" t="e">
        <f t="shared" ca="1" si="86"/>
        <v>#VALUE!</v>
      </c>
    </row>
    <row r="779" spans="1:26" x14ac:dyDescent="0.4">
      <c r="A779" t="str">
        <f>MID(Taostats_CSV!C779,6,2)&amp;"/"&amp;MID(Taostats_CSV!C779,9,2)&amp;"/"&amp;LEFT(Taostats_CSV!C779,4)&amp;" "&amp;MID(Taostats_CSV!C779,12,8)</f>
        <v>08/13/2025 23:59:48</v>
      </c>
      <c r="C779" t="str">
        <f ca="1">IF(Q779,OFFSET(Taostats_CSV!$E$1,MATCH(K779&amp;D$1,Taostats_CSV!$X:$X,0)-1,0),IF(Taostats_CSV!F779="fee",IF(VALUE(Taostats_CSV!G779)&gt;0,Taostats_CSV!E779,""),""))</f>
        <v/>
      </c>
      <c r="D779" t="str">
        <f ca="1">IF(Q779,OFFSET(Taostats_CSV!$G$1,MATCH(K779&amp;D$1,Taostats_CSV!$X:$X,0)-1,0),IF(Taostats_CSV!F779="fee",IF(VALUE(Taostats_CSV!G779)&gt;0,Taostats_CSV!G779,""),""))</f>
        <v/>
      </c>
      <c r="E779" t="str">
        <f ca="1">IF(AND(Q779,P779&gt;0),OFFSET(Taostats_CSV!$E$1,MATCH(K779&amp;F$1,Taostats_CSV!$X:$X,0)-1,0),IF(LEN(F779)&gt;0,Taostats_CSV!E779,""))</f>
        <v>SN56</v>
      </c>
      <c r="F779" t="str">
        <f ca="1">TRIM(IF(AND(Q779,P779&gt;0),OFFSET(Taostats_CSV!$H$1,MATCH(K779&amp;F$1,Taostats_CSV!$X:$X,0)-1,0),IF(LEN(Taostats_CSV!H779)&gt;0,Taostats_CSV!H779,Taostats_CSV!R779)))</f>
        <v>0.253074192</v>
      </c>
      <c r="G779" t="str">
        <f ca="1">IF(AND(Q779,N779=1),OFFSET(Taostats_CSV!$E$1,MATCH(K779&amp;H$1,Taostats_CSV!$X:$X,0)-1,0),"")</f>
        <v/>
      </c>
      <c r="H779" t="str">
        <f ca="1">IF(AND(Q779,N779=1),OFFSET(Taostats_CSV!$G$1,MATCH(K779&amp;H$1,Taostats_CSV!$X:$X,0)-1,0),"")</f>
        <v/>
      </c>
      <c r="I779" t="str">
        <f ca="1">IF(AND(LEN(K779)=0,LEN(F779)&gt;0),"Income",IF(AND(O779&gt;0,P779&gt;0,C779&lt;&gt;E779),"Trade",IF(AND(NOT(Q779),Taostats_CSV!F779="fee"),'READ ME'!$C$5,"")))</f>
        <v>Income</v>
      </c>
      <c r="J779" t="str">
        <f ca="1">SUBSTITUTE(IF(LEN(I779)=0,Taostats_CSV!F779&amp;" "&amp;Taostats_CSV!J779,IF(I779="Cost","Extrinsic fee","")),"_"," ")</f>
        <v/>
      </c>
      <c r="K779" t="str">
        <f>TRIM(IF(LEN(Taostats_CSV!I779)&gt;0,Taostats_CSV!I779,""))</f>
        <v/>
      </c>
      <c r="L779">
        <f ca="1">IF(Taostats_CSV!E779&lt;&gt;"TAO",IF(LEN(F779)&gt;0,F779,IF(LEN(D779)&gt;0,D779,0))*Taostats_CSV!P779,"")</f>
        <v>5.0870214669014979</v>
      </c>
      <c r="M779" t="str">
        <f t="shared" ca="1" si="87"/>
        <v>USD</v>
      </c>
      <c r="N779">
        <f>COUNTIF(Taostats_CSV!$X:$X,Taostats_CSV!$I779&amp;N$1)</f>
        <v>0</v>
      </c>
      <c r="O779">
        <f>COUNTIF(Taostats_CSV!$X:$X,Taostats_CSV!$I779&amp;O$1)</f>
        <v>0</v>
      </c>
      <c r="P779">
        <f>COUNTIF(Taostats_CSV!$X:$X,Taostats_CSV!$I779&amp;P$1)</f>
        <v>0</v>
      </c>
      <c r="Q779" t="b">
        <f t="shared" si="88"/>
        <v>0</v>
      </c>
      <c r="R779" t="b">
        <f>IF(LEN(K779)&gt;0,COUNTIF($K$3:K779,K779),FALSE)</f>
        <v>0</v>
      </c>
      <c r="S779" t="b">
        <f>IF(Taostats_CSV!A779=Taostats_CSV!$A$2,TRUE,Taostats_CSV!G779+Taostats_CSV!H779+Taostats_CSV!R779=0)</f>
        <v>0</v>
      </c>
      <c r="T779" t="b">
        <f t="shared" si="89"/>
        <v>1</v>
      </c>
      <c r="U779" t="b" cm="1">
        <f t="array" aca="1" ref="U779" ca="1">AND(T779,OR(O779-N779&gt;1,P779&gt;1,ISERROR(A779:P779)))</f>
        <v>0</v>
      </c>
      <c r="W779" t="e">
        <f>MATCH(K779&amp;$W$2,Taostats_CSV!$X$3:$X$1167,0)</f>
        <v>#N/A</v>
      </c>
      <c r="X779" t="e">
        <f t="shared" ca="1" si="84"/>
        <v>#VALUE!</v>
      </c>
      <c r="Y779">
        <f t="shared" ca="1" si="85"/>
        <v>0.25307419199999998</v>
      </c>
      <c r="Z779" t="e">
        <f t="shared" ca="1" si="86"/>
        <v>#VALUE!</v>
      </c>
    </row>
    <row r="780" spans="1:26" x14ac:dyDescent="0.4">
      <c r="A780" t="str">
        <f>MID(Taostats_CSV!C780,6,2)&amp;"/"&amp;MID(Taostats_CSV!C780,9,2)&amp;"/"&amp;LEFT(Taostats_CSV!C780,4)&amp;" "&amp;MID(Taostats_CSV!C780,12,8)</f>
        <v>08/13/2025 23:59:48</v>
      </c>
      <c r="C780" t="str">
        <f ca="1">IF(Q780,OFFSET(Taostats_CSV!$E$1,MATCH(K780&amp;D$1,Taostats_CSV!$X:$X,0)-1,0),IF(Taostats_CSV!F780="fee",IF(VALUE(Taostats_CSV!G780)&gt;0,Taostats_CSV!E780,""),""))</f>
        <v/>
      </c>
      <c r="D780" t="str">
        <f ca="1">IF(Q780,OFFSET(Taostats_CSV!$G$1,MATCH(K780&amp;D$1,Taostats_CSV!$X:$X,0)-1,0),IF(Taostats_CSV!F780="fee",IF(VALUE(Taostats_CSV!G780)&gt;0,Taostats_CSV!G780,""),""))</f>
        <v/>
      </c>
      <c r="E780" t="str">
        <f ca="1">IF(AND(Q780,P780&gt;0),OFFSET(Taostats_CSV!$E$1,MATCH(K780&amp;F$1,Taostats_CSV!$X:$X,0)-1,0),IF(LEN(F780)&gt;0,Taostats_CSV!E780,""))</f>
        <v>SN64</v>
      </c>
      <c r="F780" t="str">
        <f ca="1">TRIM(IF(AND(Q780,P780&gt;0),OFFSET(Taostats_CSV!$H$1,MATCH(K780&amp;F$1,Taostats_CSV!$X:$X,0)-1,0),IF(LEN(Taostats_CSV!H780)&gt;0,Taostats_CSV!H780,Taostats_CSV!R780)))</f>
        <v>0.139302611</v>
      </c>
      <c r="G780" t="str">
        <f ca="1">IF(AND(Q780,N780=1),OFFSET(Taostats_CSV!$E$1,MATCH(K780&amp;H$1,Taostats_CSV!$X:$X,0)-1,0),"")</f>
        <v/>
      </c>
      <c r="H780" t="str">
        <f ca="1">IF(AND(Q780,N780=1),OFFSET(Taostats_CSV!$G$1,MATCH(K780&amp;H$1,Taostats_CSV!$X:$X,0)-1,0),"")</f>
        <v/>
      </c>
      <c r="I780" t="str">
        <f ca="1">IF(AND(LEN(K780)=0,LEN(F780)&gt;0),"Income",IF(AND(O780&gt;0,P780&gt;0,C780&lt;&gt;E780),"Trade",IF(AND(NOT(Q780),Taostats_CSV!F780="fee"),'READ ME'!$C$5,"")))</f>
        <v>Income</v>
      </c>
      <c r="J780" t="str">
        <f ca="1">SUBSTITUTE(IF(LEN(I780)=0,Taostats_CSV!F780&amp;" "&amp;Taostats_CSV!J780,IF(I780="Cost","Extrinsic fee","")),"_"," ")</f>
        <v/>
      </c>
      <c r="K780" t="str">
        <f>TRIM(IF(LEN(Taostats_CSV!I780)&gt;0,Taostats_CSV!I780,""))</f>
        <v/>
      </c>
      <c r="L780">
        <f ca="1">IF(Taostats_CSV!E780&lt;&gt;"TAO",IF(LEN(F780)&gt;0,F780,IF(LEN(D780)&gt;0,D780,0))*Taostats_CSV!P780,"")</f>
        <v>6.9969202987608137</v>
      </c>
      <c r="M780" t="str">
        <f t="shared" ca="1" si="87"/>
        <v>USD</v>
      </c>
      <c r="N780">
        <f>COUNTIF(Taostats_CSV!$X:$X,Taostats_CSV!$I780&amp;N$1)</f>
        <v>0</v>
      </c>
      <c r="O780">
        <f>COUNTIF(Taostats_CSV!$X:$X,Taostats_CSV!$I780&amp;O$1)</f>
        <v>0</v>
      </c>
      <c r="P780">
        <f>COUNTIF(Taostats_CSV!$X:$X,Taostats_CSV!$I780&amp;P$1)</f>
        <v>0</v>
      </c>
      <c r="Q780" t="b">
        <f t="shared" si="88"/>
        <v>0</v>
      </c>
      <c r="R780" t="b">
        <f>IF(LEN(K780)&gt;0,COUNTIF($K$3:K780,K780),FALSE)</f>
        <v>0</v>
      </c>
      <c r="S780" t="b">
        <f>IF(Taostats_CSV!A780=Taostats_CSV!$A$2,TRUE,Taostats_CSV!G780+Taostats_CSV!H780+Taostats_CSV!R780=0)</f>
        <v>0</v>
      </c>
      <c r="T780" t="b">
        <f t="shared" si="89"/>
        <v>1</v>
      </c>
      <c r="U780" t="b" cm="1">
        <f t="array" aca="1" ref="U780" ca="1">AND(T780,OR(O780-N780&gt;1,P780&gt;1,ISERROR(A780:P780)))</f>
        <v>0</v>
      </c>
      <c r="W780" t="e">
        <f>MATCH(K780&amp;$W$2,Taostats_CSV!$X$3:$X$1167,0)</f>
        <v>#N/A</v>
      </c>
      <c r="X780" t="e">
        <f t="shared" ca="1" si="84"/>
        <v>#VALUE!</v>
      </c>
      <c r="Y780">
        <f t="shared" ca="1" si="85"/>
        <v>0.13930261099999999</v>
      </c>
      <c r="Z780" t="e">
        <f t="shared" ca="1" si="86"/>
        <v>#VALUE!</v>
      </c>
    </row>
    <row r="781" spans="1:26" x14ac:dyDescent="0.4">
      <c r="A781" t="str">
        <f>MID(Taostats_CSV!C781,6,2)&amp;"/"&amp;MID(Taostats_CSV!C781,9,2)&amp;"/"&amp;LEFT(Taostats_CSV!C781,4)&amp;" "&amp;MID(Taostats_CSV!C781,12,8)</f>
        <v>08/13/2025 23:59:48</v>
      </c>
      <c r="C781" t="str">
        <f ca="1">IF(Q781,OFFSET(Taostats_CSV!$E$1,MATCH(K781&amp;D$1,Taostats_CSV!$X:$X,0)-1,0),IF(Taostats_CSV!F781="fee",IF(VALUE(Taostats_CSV!G781)&gt;0,Taostats_CSV!E781,""),""))</f>
        <v/>
      </c>
      <c r="D781" t="str">
        <f ca="1">IF(Q781,OFFSET(Taostats_CSV!$G$1,MATCH(K781&amp;D$1,Taostats_CSV!$X:$X,0)-1,0),IF(Taostats_CSV!F781="fee",IF(VALUE(Taostats_CSV!G781)&gt;0,Taostats_CSV!G781,""),""))</f>
        <v/>
      </c>
      <c r="E781" t="str">
        <f ca="1">IF(AND(Q781,P781&gt;0),OFFSET(Taostats_CSV!$E$1,MATCH(K781&amp;F$1,Taostats_CSV!$X:$X,0)-1,0),IF(LEN(F781)&gt;0,Taostats_CSV!E781,""))</f>
        <v>TAO</v>
      </c>
      <c r="F781" t="str">
        <f ca="1">TRIM(IF(AND(Q781,P781&gt;0),OFFSET(Taostats_CSV!$H$1,MATCH(K781&amp;F$1,Taostats_CSV!$X:$X,0)-1,0),IF(LEN(Taostats_CSV!H781)&gt;0,Taostats_CSV!H781,Taostats_CSV!R781)))</f>
        <v>0.010944314</v>
      </c>
      <c r="G781" t="str">
        <f ca="1">IF(AND(Q781,N781=1),OFFSET(Taostats_CSV!$E$1,MATCH(K781&amp;H$1,Taostats_CSV!$X:$X,0)-1,0),"")</f>
        <v/>
      </c>
      <c r="H781" t="str">
        <f ca="1">IF(AND(Q781,N781=1),OFFSET(Taostats_CSV!$G$1,MATCH(K781&amp;H$1,Taostats_CSV!$X:$X,0)-1,0),"")</f>
        <v/>
      </c>
      <c r="I781" t="str">
        <f ca="1">IF(AND(LEN(K781)=0,LEN(F781)&gt;0),"Income",IF(AND(O781&gt;0,P781&gt;0,C781&lt;&gt;E781),"Trade",IF(AND(NOT(Q781),Taostats_CSV!F781="fee"),'READ ME'!$C$5,"")))</f>
        <v>Income</v>
      </c>
      <c r="J781" t="str">
        <f ca="1">SUBSTITUTE(IF(LEN(I781)=0,Taostats_CSV!F781&amp;" "&amp;Taostats_CSV!J781,IF(I781="Cost","Extrinsic fee","")),"_"," ")</f>
        <v/>
      </c>
      <c r="K781" t="str">
        <f>TRIM(IF(LEN(Taostats_CSV!I781)&gt;0,Taostats_CSV!I781,""))</f>
        <v/>
      </c>
      <c r="L781" t="str">
        <f>IF(Taostats_CSV!E781&lt;&gt;"TAO",IF(LEN(F781)&gt;0,F781,IF(LEN(D781)&gt;0,D781,0))*Taostats_CSV!P781,"")</f>
        <v/>
      </c>
      <c r="M781" t="str">
        <f t="shared" si="87"/>
        <v/>
      </c>
      <c r="N781">
        <f>COUNTIF(Taostats_CSV!$X:$X,Taostats_CSV!$I781&amp;N$1)</f>
        <v>0</v>
      </c>
      <c r="O781">
        <f>COUNTIF(Taostats_CSV!$X:$X,Taostats_CSV!$I781&amp;O$1)</f>
        <v>0</v>
      </c>
      <c r="P781">
        <f>COUNTIF(Taostats_CSV!$X:$X,Taostats_CSV!$I781&amp;P$1)</f>
        <v>0</v>
      </c>
      <c r="Q781" t="b">
        <f t="shared" si="88"/>
        <v>0</v>
      </c>
      <c r="R781" t="b">
        <f>IF(LEN(K781)&gt;0,COUNTIF($K$3:K781,K781),FALSE)</f>
        <v>0</v>
      </c>
      <c r="S781" t="b">
        <f>IF(Taostats_CSV!A781=Taostats_CSV!$A$2,TRUE,Taostats_CSV!G781+Taostats_CSV!H781+Taostats_CSV!R781=0)</f>
        <v>0</v>
      </c>
      <c r="T781" t="b">
        <f t="shared" si="89"/>
        <v>1</v>
      </c>
      <c r="U781" t="b" cm="1">
        <f t="array" aca="1" ref="U781" ca="1">AND(T781,OR(O781-N781&gt;1,P781&gt;1,ISERROR(A781:P781)))</f>
        <v>0</v>
      </c>
      <c r="W781" t="e">
        <f>MATCH(K781&amp;$W$2,Taostats_CSV!$X$3:$X$1167,0)</f>
        <v>#N/A</v>
      </c>
      <c r="X781" t="e">
        <f t="shared" ca="1" si="84"/>
        <v>#VALUE!</v>
      </c>
      <c r="Y781">
        <f t="shared" ca="1" si="85"/>
        <v>1.0944314E-2</v>
      </c>
      <c r="Z781" t="e">
        <f t="shared" ca="1" si="86"/>
        <v>#VALUE!</v>
      </c>
    </row>
    <row r="782" spans="1:26" x14ac:dyDescent="0.4">
      <c r="A782" t="str">
        <f>MID(Taostats_CSV!C782,6,2)&amp;"/"&amp;MID(Taostats_CSV!C782,9,2)&amp;"/"&amp;LEFT(Taostats_CSV!C782,4)&amp;" "&amp;MID(Taostats_CSV!C782,12,8)</f>
        <v>08/14/2025 23:59:48</v>
      </c>
      <c r="C782" t="str">
        <f ca="1">IF(Q782,OFFSET(Taostats_CSV!$E$1,MATCH(K782&amp;D$1,Taostats_CSV!$X:$X,0)-1,0),IF(Taostats_CSV!F782="fee",IF(VALUE(Taostats_CSV!G782)&gt;0,Taostats_CSV!E782,""),""))</f>
        <v/>
      </c>
      <c r="D782" t="str">
        <f ca="1">IF(Q782,OFFSET(Taostats_CSV!$G$1,MATCH(K782&amp;D$1,Taostats_CSV!$X:$X,0)-1,0),IF(Taostats_CSV!F782="fee",IF(VALUE(Taostats_CSV!G782)&gt;0,Taostats_CSV!G782,""),""))</f>
        <v/>
      </c>
      <c r="E782" t="str">
        <f ca="1">IF(AND(Q782,P782&gt;0),OFFSET(Taostats_CSV!$E$1,MATCH(K782&amp;F$1,Taostats_CSV!$X:$X,0)-1,0),IF(LEN(F782)&gt;0,Taostats_CSV!E782,""))</f>
        <v>SN3</v>
      </c>
      <c r="F782" t="str">
        <f ca="1">TRIM(IF(AND(Q782,P782&gt;0),OFFSET(Taostats_CSV!$H$1,MATCH(K782&amp;F$1,Taostats_CSV!$X:$X,0)-1,0),IF(LEN(Taostats_CSV!H782)&gt;0,Taostats_CSV!H782,Taostats_CSV!R782)))</f>
        <v>0.423030941</v>
      </c>
      <c r="G782" t="str">
        <f ca="1">IF(AND(Q782,N782=1),OFFSET(Taostats_CSV!$E$1,MATCH(K782&amp;H$1,Taostats_CSV!$X:$X,0)-1,0),"")</f>
        <v/>
      </c>
      <c r="H782" t="str">
        <f ca="1">IF(AND(Q782,N782=1),OFFSET(Taostats_CSV!$G$1,MATCH(K782&amp;H$1,Taostats_CSV!$X:$X,0)-1,0),"")</f>
        <v/>
      </c>
      <c r="I782" t="str">
        <f ca="1">IF(AND(LEN(K782)=0,LEN(F782)&gt;0),"Income",IF(AND(O782&gt;0,P782&gt;0,C782&lt;&gt;E782),"Trade",IF(AND(NOT(Q782),Taostats_CSV!F782="fee"),'READ ME'!$C$5,"")))</f>
        <v>Income</v>
      </c>
      <c r="J782" t="str">
        <f ca="1">SUBSTITUTE(IF(LEN(I782)=0,Taostats_CSV!F782&amp;" "&amp;Taostats_CSV!J782,IF(I782="Cost","Extrinsic fee","")),"_"," ")</f>
        <v/>
      </c>
      <c r="K782" t="str">
        <f>TRIM(IF(LEN(Taostats_CSV!I782)&gt;0,Taostats_CSV!I782,""))</f>
        <v/>
      </c>
      <c r="L782">
        <f ca="1">IF(Taostats_CSV!E782&lt;&gt;"TAO",IF(LEN(F782)&gt;0,F782,IF(LEN(D782)&gt;0,D782,0))*Taostats_CSV!P782,"")</f>
        <v>7.5477119785680857</v>
      </c>
      <c r="M782" t="str">
        <f t="shared" ca="1" si="87"/>
        <v>USD</v>
      </c>
      <c r="N782">
        <f>COUNTIF(Taostats_CSV!$X:$X,Taostats_CSV!$I782&amp;N$1)</f>
        <v>0</v>
      </c>
      <c r="O782">
        <f>COUNTIF(Taostats_CSV!$X:$X,Taostats_CSV!$I782&amp;O$1)</f>
        <v>0</v>
      </c>
      <c r="P782">
        <f>COUNTIF(Taostats_CSV!$X:$X,Taostats_CSV!$I782&amp;P$1)</f>
        <v>0</v>
      </c>
      <c r="Q782" t="b">
        <f t="shared" si="88"/>
        <v>0</v>
      </c>
      <c r="R782" t="b">
        <f>IF(LEN(K782)&gt;0,COUNTIF($K$3:K782,K782),FALSE)</f>
        <v>0</v>
      </c>
      <c r="S782" t="b">
        <f>IF(Taostats_CSV!A782=Taostats_CSV!$A$2,TRUE,Taostats_CSV!G782+Taostats_CSV!H782+Taostats_CSV!R782=0)</f>
        <v>0</v>
      </c>
      <c r="T782" t="b">
        <f t="shared" si="89"/>
        <v>1</v>
      </c>
      <c r="U782" t="b" cm="1">
        <f t="array" aca="1" ref="U782" ca="1">AND(T782,OR(O782-N782&gt;1,P782&gt;1,ISERROR(A782:P782)))</f>
        <v>0</v>
      </c>
      <c r="W782" t="e">
        <f>MATCH(K782&amp;$W$2,Taostats_CSV!$X$3:$X$1167,0)</f>
        <v>#N/A</v>
      </c>
      <c r="X782" t="e">
        <f t="shared" ca="1" si="84"/>
        <v>#VALUE!</v>
      </c>
      <c r="Y782">
        <f t="shared" ca="1" si="85"/>
        <v>0.42303094099999999</v>
      </c>
      <c r="Z782" t="e">
        <f t="shared" ca="1" si="86"/>
        <v>#VALUE!</v>
      </c>
    </row>
    <row r="783" spans="1:26" x14ac:dyDescent="0.4">
      <c r="A783" t="str">
        <f>MID(Taostats_CSV!C783,6,2)&amp;"/"&amp;MID(Taostats_CSV!C783,9,2)&amp;"/"&amp;LEFT(Taostats_CSV!C783,4)&amp;" "&amp;MID(Taostats_CSV!C783,12,8)</f>
        <v>08/14/2025 23:59:48</v>
      </c>
      <c r="C783" t="str">
        <f ca="1">IF(Q783,OFFSET(Taostats_CSV!$E$1,MATCH(K783&amp;D$1,Taostats_CSV!$X:$X,0)-1,0),IF(Taostats_CSV!F783="fee",IF(VALUE(Taostats_CSV!G783)&gt;0,Taostats_CSV!E783,""),""))</f>
        <v/>
      </c>
      <c r="D783" t="str">
        <f ca="1">IF(Q783,OFFSET(Taostats_CSV!$G$1,MATCH(K783&amp;D$1,Taostats_CSV!$X:$X,0)-1,0),IF(Taostats_CSV!F783="fee",IF(VALUE(Taostats_CSV!G783)&gt;0,Taostats_CSV!G783,""),""))</f>
        <v/>
      </c>
      <c r="E783" t="str">
        <f ca="1">IF(AND(Q783,P783&gt;0),OFFSET(Taostats_CSV!$E$1,MATCH(K783&amp;F$1,Taostats_CSV!$X:$X,0)-1,0),IF(LEN(F783)&gt;0,Taostats_CSV!E783,""))</f>
        <v>SN4</v>
      </c>
      <c r="F783" t="str">
        <f ca="1">TRIM(IF(AND(Q783,P783&gt;0),OFFSET(Taostats_CSV!$H$1,MATCH(K783&amp;F$1,Taostats_CSV!$X:$X,0)-1,0),IF(LEN(Taostats_CSV!H783)&gt;0,Taostats_CSV!H783,Taostats_CSV!R783)))</f>
        <v>0.422739885</v>
      </c>
      <c r="G783" t="str">
        <f ca="1">IF(AND(Q783,N783=1),OFFSET(Taostats_CSV!$E$1,MATCH(K783&amp;H$1,Taostats_CSV!$X:$X,0)-1,0),"")</f>
        <v/>
      </c>
      <c r="H783" t="str">
        <f ca="1">IF(AND(Q783,N783=1),OFFSET(Taostats_CSV!$G$1,MATCH(K783&amp;H$1,Taostats_CSV!$X:$X,0)-1,0),"")</f>
        <v/>
      </c>
      <c r="I783" t="str">
        <f ca="1">IF(AND(LEN(K783)=0,LEN(F783)&gt;0),"Income",IF(AND(O783&gt;0,P783&gt;0,C783&lt;&gt;E783),"Trade",IF(AND(NOT(Q783),Taostats_CSV!F783="fee"),'READ ME'!$C$5,"")))</f>
        <v>Income</v>
      </c>
      <c r="J783" t="str">
        <f ca="1">SUBSTITUTE(IF(LEN(I783)=0,Taostats_CSV!F783&amp;" "&amp;Taostats_CSV!J783,IF(I783="Cost","Extrinsic fee","")),"_"," ")</f>
        <v/>
      </c>
      <c r="K783" t="str">
        <f>TRIM(IF(LEN(Taostats_CSV!I783)&gt;0,Taostats_CSV!I783,""))</f>
        <v/>
      </c>
      <c r="L783">
        <f ca="1">IF(Taostats_CSV!E783&lt;&gt;"TAO",IF(LEN(F783)&gt;0,F783,IF(LEN(D783)&gt;0,D783,0))*Taostats_CSV!P783,"")</f>
        <v>8.3317624255421148</v>
      </c>
      <c r="M783" t="str">
        <f t="shared" ca="1" si="87"/>
        <v>USD</v>
      </c>
      <c r="N783">
        <f>COUNTIF(Taostats_CSV!$X:$X,Taostats_CSV!$I783&amp;N$1)</f>
        <v>0</v>
      </c>
      <c r="O783">
        <f>COUNTIF(Taostats_CSV!$X:$X,Taostats_CSV!$I783&amp;O$1)</f>
        <v>0</v>
      </c>
      <c r="P783">
        <f>COUNTIF(Taostats_CSV!$X:$X,Taostats_CSV!$I783&amp;P$1)</f>
        <v>0</v>
      </c>
      <c r="Q783" t="b">
        <f t="shared" si="88"/>
        <v>0</v>
      </c>
      <c r="R783" t="b">
        <f>IF(LEN(K783)&gt;0,COUNTIF($K$3:K783,K783),FALSE)</f>
        <v>0</v>
      </c>
      <c r="S783" t="b">
        <f>IF(Taostats_CSV!A783=Taostats_CSV!$A$2,TRUE,Taostats_CSV!G783+Taostats_CSV!H783+Taostats_CSV!R783=0)</f>
        <v>0</v>
      </c>
      <c r="T783" t="b">
        <f t="shared" si="89"/>
        <v>1</v>
      </c>
      <c r="U783" t="b" cm="1">
        <f t="array" aca="1" ref="U783" ca="1">AND(T783,OR(O783-N783&gt;1,P783&gt;1,ISERROR(A783:P783)))</f>
        <v>0</v>
      </c>
      <c r="W783" t="e">
        <f>MATCH(K783&amp;$W$2,Taostats_CSV!$X$3:$X$1167,0)</f>
        <v>#N/A</v>
      </c>
      <c r="X783" t="e">
        <f t="shared" ca="1" si="84"/>
        <v>#VALUE!</v>
      </c>
      <c r="Y783">
        <f t="shared" ca="1" si="85"/>
        <v>0.42273988499999998</v>
      </c>
      <c r="Z783" t="e">
        <f t="shared" ca="1" si="86"/>
        <v>#VALUE!</v>
      </c>
    </row>
    <row r="784" spans="1:26" x14ac:dyDescent="0.4">
      <c r="A784" t="str">
        <f>MID(Taostats_CSV!C784,6,2)&amp;"/"&amp;MID(Taostats_CSV!C784,9,2)&amp;"/"&amp;LEFT(Taostats_CSV!C784,4)&amp;" "&amp;MID(Taostats_CSV!C784,12,8)</f>
        <v>08/14/2025 23:59:48</v>
      </c>
      <c r="C784" t="str">
        <f ca="1">IF(Q784,OFFSET(Taostats_CSV!$E$1,MATCH(K784&amp;D$1,Taostats_CSV!$X:$X,0)-1,0),IF(Taostats_CSV!F784="fee",IF(VALUE(Taostats_CSV!G784)&gt;0,Taostats_CSV!E784,""),""))</f>
        <v/>
      </c>
      <c r="D784" t="str">
        <f ca="1">IF(Q784,OFFSET(Taostats_CSV!$G$1,MATCH(K784&amp;D$1,Taostats_CSV!$X:$X,0)-1,0),IF(Taostats_CSV!F784="fee",IF(VALUE(Taostats_CSV!G784)&gt;0,Taostats_CSV!G784,""),""))</f>
        <v/>
      </c>
      <c r="E784" t="str">
        <f ca="1">IF(AND(Q784,P784&gt;0),OFFSET(Taostats_CSV!$E$1,MATCH(K784&amp;F$1,Taostats_CSV!$X:$X,0)-1,0),IF(LEN(F784)&gt;0,Taostats_CSV!E784,""))</f>
        <v>SN56</v>
      </c>
      <c r="F784" t="str">
        <f ca="1">TRIM(IF(AND(Q784,P784&gt;0),OFFSET(Taostats_CSV!$H$1,MATCH(K784&amp;F$1,Taostats_CSV!$X:$X,0)-1,0),IF(LEN(Taostats_CSV!H784)&gt;0,Taostats_CSV!H784,Taostats_CSV!R784)))</f>
        <v>0.254904085</v>
      </c>
      <c r="G784" t="str">
        <f ca="1">IF(AND(Q784,N784=1),OFFSET(Taostats_CSV!$E$1,MATCH(K784&amp;H$1,Taostats_CSV!$X:$X,0)-1,0),"")</f>
        <v/>
      </c>
      <c r="H784" t="str">
        <f ca="1">IF(AND(Q784,N784=1),OFFSET(Taostats_CSV!$G$1,MATCH(K784&amp;H$1,Taostats_CSV!$X:$X,0)-1,0),"")</f>
        <v/>
      </c>
      <c r="I784" t="str">
        <f ca="1">IF(AND(LEN(K784)=0,LEN(F784)&gt;0),"Income",IF(AND(O784&gt;0,P784&gt;0,C784&lt;&gt;E784),"Trade",IF(AND(NOT(Q784),Taostats_CSV!F784="fee"),'READ ME'!$C$5,"")))</f>
        <v>Income</v>
      </c>
      <c r="J784" t="str">
        <f ca="1">SUBSTITUTE(IF(LEN(I784)=0,Taostats_CSV!F784&amp;" "&amp;Taostats_CSV!J784,IF(I784="Cost","Extrinsic fee","")),"_"," ")</f>
        <v/>
      </c>
      <c r="K784" t="str">
        <f>TRIM(IF(LEN(Taostats_CSV!I784)&gt;0,Taostats_CSV!I784,""))</f>
        <v/>
      </c>
      <c r="L784">
        <f ca="1">IF(Taostats_CSV!E784&lt;&gt;"TAO",IF(LEN(F784)&gt;0,F784,IF(LEN(D784)&gt;0,D784,0))*Taostats_CSV!P784,"")</f>
        <v>4.7188581424390375</v>
      </c>
      <c r="M784" t="str">
        <f t="shared" ca="1" si="87"/>
        <v>USD</v>
      </c>
      <c r="N784">
        <f>COUNTIF(Taostats_CSV!$X:$X,Taostats_CSV!$I784&amp;N$1)</f>
        <v>0</v>
      </c>
      <c r="O784">
        <f>COUNTIF(Taostats_CSV!$X:$X,Taostats_CSV!$I784&amp;O$1)</f>
        <v>0</v>
      </c>
      <c r="P784">
        <f>COUNTIF(Taostats_CSV!$X:$X,Taostats_CSV!$I784&amp;P$1)</f>
        <v>0</v>
      </c>
      <c r="Q784" t="b">
        <f t="shared" si="88"/>
        <v>0</v>
      </c>
      <c r="R784" t="b">
        <f>IF(LEN(K784)&gt;0,COUNTIF($K$3:K784,K784),FALSE)</f>
        <v>0</v>
      </c>
      <c r="S784" t="b">
        <f>IF(Taostats_CSV!A784=Taostats_CSV!$A$2,TRUE,Taostats_CSV!G784+Taostats_CSV!H784+Taostats_CSV!R784=0)</f>
        <v>0</v>
      </c>
      <c r="T784" t="b">
        <f t="shared" si="89"/>
        <v>1</v>
      </c>
      <c r="U784" t="b" cm="1">
        <f t="array" aca="1" ref="U784" ca="1">AND(T784,OR(O784-N784&gt;1,P784&gt;1,ISERROR(A784:P784)))</f>
        <v>0</v>
      </c>
      <c r="W784" t="e">
        <f>MATCH(K784&amp;$W$2,Taostats_CSV!$X$3:$X$1167,0)</f>
        <v>#N/A</v>
      </c>
      <c r="X784" t="e">
        <f t="shared" ca="1" si="84"/>
        <v>#VALUE!</v>
      </c>
      <c r="Y784">
        <f t="shared" ca="1" si="85"/>
        <v>0.254904085</v>
      </c>
      <c r="Z784" t="e">
        <f t="shared" ca="1" si="86"/>
        <v>#VALUE!</v>
      </c>
    </row>
    <row r="785" spans="1:26" x14ac:dyDescent="0.4">
      <c r="A785" t="str">
        <f>MID(Taostats_CSV!C785,6,2)&amp;"/"&amp;MID(Taostats_CSV!C785,9,2)&amp;"/"&amp;LEFT(Taostats_CSV!C785,4)&amp;" "&amp;MID(Taostats_CSV!C785,12,8)</f>
        <v>08/14/2025 23:59:48</v>
      </c>
      <c r="C785" t="str">
        <f ca="1">IF(Q785,OFFSET(Taostats_CSV!$E$1,MATCH(K785&amp;D$1,Taostats_CSV!$X:$X,0)-1,0),IF(Taostats_CSV!F785="fee",IF(VALUE(Taostats_CSV!G785)&gt;0,Taostats_CSV!E785,""),""))</f>
        <v/>
      </c>
      <c r="D785" t="str">
        <f ca="1">IF(Q785,OFFSET(Taostats_CSV!$G$1,MATCH(K785&amp;D$1,Taostats_CSV!$X:$X,0)-1,0),IF(Taostats_CSV!F785="fee",IF(VALUE(Taostats_CSV!G785)&gt;0,Taostats_CSV!G785,""),""))</f>
        <v/>
      </c>
      <c r="E785" t="str">
        <f ca="1">IF(AND(Q785,P785&gt;0),OFFSET(Taostats_CSV!$E$1,MATCH(K785&amp;F$1,Taostats_CSV!$X:$X,0)-1,0),IF(LEN(F785)&gt;0,Taostats_CSV!E785,""))</f>
        <v>SN64</v>
      </c>
      <c r="F785" t="str">
        <f ca="1">TRIM(IF(AND(Q785,P785&gt;0),OFFSET(Taostats_CSV!$H$1,MATCH(K785&amp;F$1,Taostats_CSV!$X:$X,0)-1,0),IF(LEN(Taostats_CSV!H785)&gt;0,Taostats_CSV!H785,Taostats_CSV!R785)))</f>
        <v>0.13992875</v>
      </c>
      <c r="G785" t="str">
        <f ca="1">IF(AND(Q785,N785=1),OFFSET(Taostats_CSV!$E$1,MATCH(K785&amp;H$1,Taostats_CSV!$X:$X,0)-1,0),"")</f>
        <v/>
      </c>
      <c r="H785" t="str">
        <f ca="1">IF(AND(Q785,N785=1),OFFSET(Taostats_CSV!$G$1,MATCH(K785&amp;H$1,Taostats_CSV!$X:$X,0)-1,0),"")</f>
        <v/>
      </c>
      <c r="I785" t="str">
        <f ca="1">IF(AND(LEN(K785)=0,LEN(F785)&gt;0),"Income",IF(AND(O785&gt;0,P785&gt;0,C785&lt;&gt;E785),"Trade",IF(AND(NOT(Q785),Taostats_CSV!F785="fee"),'READ ME'!$C$5,"")))</f>
        <v>Income</v>
      </c>
      <c r="J785" t="str">
        <f ca="1">SUBSTITUTE(IF(LEN(I785)=0,Taostats_CSV!F785&amp;" "&amp;Taostats_CSV!J785,IF(I785="Cost","Extrinsic fee","")),"_"," ")</f>
        <v/>
      </c>
      <c r="K785" t="str">
        <f>TRIM(IF(LEN(Taostats_CSV!I785)&gt;0,Taostats_CSV!I785,""))</f>
        <v/>
      </c>
      <c r="L785">
        <f ca="1">IF(Taostats_CSV!E785&lt;&gt;"TAO",IF(LEN(F785)&gt;0,F785,IF(LEN(D785)&gt;0,D785,0))*Taostats_CSV!P785,"")</f>
        <v>6.4567535622705687</v>
      </c>
      <c r="M785" t="str">
        <f t="shared" ca="1" si="87"/>
        <v>USD</v>
      </c>
      <c r="N785">
        <f>COUNTIF(Taostats_CSV!$X:$X,Taostats_CSV!$I785&amp;N$1)</f>
        <v>0</v>
      </c>
      <c r="O785">
        <f>COUNTIF(Taostats_CSV!$X:$X,Taostats_CSV!$I785&amp;O$1)</f>
        <v>0</v>
      </c>
      <c r="P785">
        <f>COUNTIF(Taostats_CSV!$X:$X,Taostats_CSV!$I785&amp;P$1)</f>
        <v>0</v>
      </c>
      <c r="Q785" t="b">
        <f t="shared" si="88"/>
        <v>0</v>
      </c>
      <c r="R785" t="b">
        <f>IF(LEN(K785)&gt;0,COUNTIF($K$3:K785,K785),FALSE)</f>
        <v>0</v>
      </c>
      <c r="S785" t="b">
        <f>IF(Taostats_CSV!A785=Taostats_CSV!$A$2,TRUE,Taostats_CSV!G785+Taostats_CSV!H785+Taostats_CSV!R785=0)</f>
        <v>0</v>
      </c>
      <c r="T785" t="b">
        <f t="shared" si="89"/>
        <v>1</v>
      </c>
      <c r="U785" t="b" cm="1">
        <f t="array" aca="1" ref="U785" ca="1">AND(T785,OR(O785-N785&gt;1,P785&gt;1,ISERROR(A785:P785)))</f>
        <v>0</v>
      </c>
      <c r="W785" t="e">
        <f>MATCH(K785&amp;$W$2,Taostats_CSV!$X$3:$X$1167,0)</f>
        <v>#N/A</v>
      </c>
      <c r="X785" t="e">
        <f t="shared" ca="1" si="84"/>
        <v>#VALUE!</v>
      </c>
      <c r="Y785">
        <f t="shared" ca="1" si="85"/>
        <v>0.13992874999999999</v>
      </c>
      <c r="Z785" t="e">
        <f t="shared" ca="1" si="86"/>
        <v>#VALUE!</v>
      </c>
    </row>
    <row r="786" spans="1:26" x14ac:dyDescent="0.4">
      <c r="A786" t="str">
        <f>MID(Taostats_CSV!C786,6,2)&amp;"/"&amp;MID(Taostats_CSV!C786,9,2)&amp;"/"&amp;LEFT(Taostats_CSV!C786,4)&amp;" "&amp;MID(Taostats_CSV!C786,12,8)</f>
        <v>08/14/2025 23:59:48</v>
      </c>
      <c r="C786" t="str">
        <f ca="1">IF(Q786,OFFSET(Taostats_CSV!$E$1,MATCH(K786&amp;D$1,Taostats_CSV!$X:$X,0)-1,0),IF(Taostats_CSV!F786="fee",IF(VALUE(Taostats_CSV!G786)&gt;0,Taostats_CSV!E786,""),""))</f>
        <v/>
      </c>
      <c r="D786" t="str">
        <f ca="1">IF(Q786,OFFSET(Taostats_CSV!$G$1,MATCH(K786&amp;D$1,Taostats_CSV!$X:$X,0)-1,0),IF(Taostats_CSV!F786="fee",IF(VALUE(Taostats_CSV!G786)&gt;0,Taostats_CSV!G786,""),""))</f>
        <v/>
      </c>
      <c r="E786" t="str">
        <f ca="1">IF(AND(Q786,P786&gt;0),OFFSET(Taostats_CSV!$E$1,MATCH(K786&amp;F$1,Taostats_CSV!$X:$X,0)-1,0),IF(LEN(F786)&gt;0,Taostats_CSV!E786,""))</f>
        <v>TAO</v>
      </c>
      <c r="F786" t="str">
        <f ca="1">TRIM(IF(AND(Q786,P786&gt;0),OFFSET(Taostats_CSV!$H$1,MATCH(K786&amp;F$1,Taostats_CSV!$X:$X,0)-1,0),IF(LEN(Taostats_CSV!H786)&gt;0,Taostats_CSV!H786,Taostats_CSV!R786)))</f>
        <v>0.011205374</v>
      </c>
      <c r="G786" t="str">
        <f ca="1">IF(AND(Q786,N786=1),OFFSET(Taostats_CSV!$E$1,MATCH(K786&amp;H$1,Taostats_CSV!$X:$X,0)-1,0),"")</f>
        <v/>
      </c>
      <c r="H786" t="str">
        <f ca="1">IF(AND(Q786,N786=1),OFFSET(Taostats_CSV!$G$1,MATCH(K786&amp;H$1,Taostats_CSV!$X:$X,0)-1,0),"")</f>
        <v/>
      </c>
      <c r="I786" t="str">
        <f ca="1">IF(AND(LEN(K786)=0,LEN(F786)&gt;0),"Income",IF(AND(O786&gt;0,P786&gt;0,C786&lt;&gt;E786),"Trade",IF(AND(NOT(Q786),Taostats_CSV!F786="fee"),'READ ME'!$C$5,"")))</f>
        <v>Income</v>
      </c>
      <c r="J786" t="str">
        <f ca="1">SUBSTITUTE(IF(LEN(I786)=0,Taostats_CSV!F786&amp;" "&amp;Taostats_CSV!J786,IF(I786="Cost","Extrinsic fee","")),"_"," ")</f>
        <v/>
      </c>
      <c r="K786" t="str">
        <f>TRIM(IF(LEN(Taostats_CSV!I786)&gt;0,Taostats_CSV!I786,""))</f>
        <v/>
      </c>
      <c r="L786" t="str">
        <f>IF(Taostats_CSV!E786&lt;&gt;"TAO",IF(LEN(F786)&gt;0,F786,IF(LEN(D786)&gt;0,D786,0))*Taostats_CSV!P786,"")</f>
        <v/>
      </c>
      <c r="M786" t="str">
        <f t="shared" si="87"/>
        <v/>
      </c>
      <c r="N786">
        <f>COUNTIF(Taostats_CSV!$X:$X,Taostats_CSV!$I786&amp;N$1)</f>
        <v>0</v>
      </c>
      <c r="O786">
        <f>COUNTIF(Taostats_CSV!$X:$X,Taostats_CSV!$I786&amp;O$1)</f>
        <v>0</v>
      </c>
      <c r="P786">
        <f>COUNTIF(Taostats_CSV!$X:$X,Taostats_CSV!$I786&amp;P$1)</f>
        <v>0</v>
      </c>
      <c r="Q786" t="b">
        <f t="shared" si="88"/>
        <v>0</v>
      </c>
      <c r="R786" t="b">
        <f>IF(LEN(K786)&gt;0,COUNTIF($K$3:K786,K786),FALSE)</f>
        <v>0</v>
      </c>
      <c r="S786" t="b">
        <f>IF(Taostats_CSV!A786=Taostats_CSV!$A$2,TRUE,Taostats_CSV!G786+Taostats_CSV!H786+Taostats_CSV!R786=0)</f>
        <v>0</v>
      </c>
      <c r="T786" t="b">
        <f t="shared" si="89"/>
        <v>1</v>
      </c>
      <c r="U786" t="b" cm="1">
        <f t="array" aca="1" ref="U786" ca="1">AND(T786,OR(O786-N786&gt;1,P786&gt;1,ISERROR(A786:P786)))</f>
        <v>0</v>
      </c>
      <c r="W786" t="e">
        <f>MATCH(K786&amp;$W$2,Taostats_CSV!$X$3:$X$1167,0)</f>
        <v>#N/A</v>
      </c>
      <c r="X786" t="e">
        <f t="shared" ca="1" si="84"/>
        <v>#VALUE!</v>
      </c>
      <c r="Y786">
        <f t="shared" ca="1" si="85"/>
        <v>1.1205374000000001E-2</v>
      </c>
      <c r="Z786" t="e">
        <f t="shared" ca="1" si="86"/>
        <v>#VALUE!</v>
      </c>
    </row>
    <row r="787" spans="1:26" x14ac:dyDescent="0.4">
      <c r="A787" t="str">
        <f>MID(Taostats_CSV!C787,6,2)&amp;"/"&amp;MID(Taostats_CSV!C787,9,2)&amp;"/"&amp;LEFT(Taostats_CSV!C787,4)&amp;" "&amp;MID(Taostats_CSV!C787,12,8)</f>
        <v>08/15/2025 23:59:48</v>
      </c>
      <c r="C787" t="str">
        <f ca="1">IF(Q787,OFFSET(Taostats_CSV!$E$1,MATCH(K787&amp;D$1,Taostats_CSV!$X:$X,0)-1,0),IF(Taostats_CSV!F787="fee",IF(VALUE(Taostats_CSV!G787)&gt;0,Taostats_CSV!E787,""),""))</f>
        <v/>
      </c>
      <c r="D787" t="str">
        <f ca="1">IF(Q787,OFFSET(Taostats_CSV!$G$1,MATCH(K787&amp;D$1,Taostats_CSV!$X:$X,0)-1,0),IF(Taostats_CSV!F787="fee",IF(VALUE(Taostats_CSV!G787)&gt;0,Taostats_CSV!G787,""),""))</f>
        <v/>
      </c>
      <c r="E787" t="str">
        <f ca="1">IF(AND(Q787,P787&gt;0),OFFSET(Taostats_CSV!$E$1,MATCH(K787&amp;F$1,Taostats_CSV!$X:$X,0)-1,0),IF(LEN(F787)&gt;0,Taostats_CSV!E787,""))</f>
        <v>SN3</v>
      </c>
      <c r="F787" t="str">
        <f ca="1">TRIM(IF(AND(Q787,P787&gt;0),OFFSET(Taostats_CSV!$H$1,MATCH(K787&amp;F$1,Taostats_CSV!$X:$X,0)-1,0),IF(LEN(Taostats_CSV!H787)&gt;0,Taostats_CSV!H787,Taostats_CSV!R787)))</f>
        <v>0.423947905</v>
      </c>
      <c r="G787" t="str">
        <f ca="1">IF(AND(Q787,N787=1),OFFSET(Taostats_CSV!$E$1,MATCH(K787&amp;H$1,Taostats_CSV!$X:$X,0)-1,0),"")</f>
        <v/>
      </c>
      <c r="H787" t="str">
        <f ca="1">IF(AND(Q787,N787=1),OFFSET(Taostats_CSV!$G$1,MATCH(K787&amp;H$1,Taostats_CSV!$X:$X,0)-1,0),"")</f>
        <v/>
      </c>
      <c r="I787" t="str">
        <f ca="1">IF(AND(LEN(K787)=0,LEN(F787)&gt;0),"Income",IF(AND(O787&gt;0,P787&gt;0,C787&lt;&gt;E787),"Trade",IF(AND(NOT(Q787),Taostats_CSV!F787="fee"),'READ ME'!$C$5,"")))</f>
        <v>Income</v>
      </c>
      <c r="J787" t="str">
        <f ca="1">SUBSTITUTE(IF(LEN(I787)=0,Taostats_CSV!F787&amp;" "&amp;Taostats_CSV!J787,IF(I787="Cost","Extrinsic fee","")),"_"," ")</f>
        <v/>
      </c>
      <c r="K787" t="str">
        <f>TRIM(IF(LEN(Taostats_CSV!I787)&gt;0,Taostats_CSV!I787,""))</f>
        <v/>
      </c>
      <c r="L787">
        <f ca="1">IF(Taostats_CSV!E787&lt;&gt;"TAO",IF(LEN(F787)&gt;0,F787,IF(LEN(D787)&gt;0,D787,0))*Taostats_CSV!P787,"")</f>
        <v>7.5525936764178745</v>
      </c>
      <c r="M787" t="str">
        <f t="shared" ca="1" si="87"/>
        <v>USD</v>
      </c>
      <c r="N787">
        <f>COUNTIF(Taostats_CSV!$X:$X,Taostats_CSV!$I787&amp;N$1)</f>
        <v>0</v>
      </c>
      <c r="O787">
        <f>COUNTIF(Taostats_CSV!$X:$X,Taostats_CSV!$I787&amp;O$1)</f>
        <v>0</v>
      </c>
      <c r="P787">
        <f>COUNTIF(Taostats_CSV!$X:$X,Taostats_CSV!$I787&amp;P$1)</f>
        <v>0</v>
      </c>
      <c r="Q787" t="b">
        <f t="shared" si="88"/>
        <v>0</v>
      </c>
      <c r="R787" t="b">
        <f>IF(LEN(K787)&gt;0,COUNTIF($K$3:K787,K787),FALSE)</f>
        <v>0</v>
      </c>
      <c r="S787" t="b">
        <f>IF(Taostats_CSV!A787=Taostats_CSV!$A$2,TRUE,Taostats_CSV!G787+Taostats_CSV!H787+Taostats_CSV!R787=0)</f>
        <v>0</v>
      </c>
      <c r="T787" t="b">
        <f t="shared" si="89"/>
        <v>1</v>
      </c>
      <c r="U787" t="b" cm="1">
        <f t="array" aca="1" ref="U787" ca="1">AND(T787,OR(O787-N787&gt;1,P787&gt;1,ISERROR(A787:P787)))</f>
        <v>0</v>
      </c>
      <c r="W787" t="e">
        <f>MATCH(K787&amp;$W$2,Taostats_CSV!$X$3:$X$1167,0)</f>
        <v>#N/A</v>
      </c>
      <c r="X787" t="e">
        <f t="shared" ca="1" si="84"/>
        <v>#VALUE!</v>
      </c>
      <c r="Y787">
        <f t="shared" ca="1" si="85"/>
        <v>0.42394790500000001</v>
      </c>
      <c r="Z787" t="e">
        <f t="shared" ca="1" si="86"/>
        <v>#VALUE!</v>
      </c>
    </row>
    <row r="788" spans="1:26" x14ac:dyDescent="0.4">
      <c r="A788" t="str">
        <f>MID(Taostats_CSV!C788,6,2)&amp;"/"&amp;MID(Taostats_CSV!C788,9,2)&amp;"/"&amp;LEFT(Taostats_CSV!C788,4)&amp;" "&amp;MID(Taostats_CSV!C788,12,8)</f>
        <v>08/15/2025 23:59:48</v>
      </c>
      <c r="C788" t="str">
        <f ca="1">IF(Q788,OFFSET(Taostats_CSV!$E$1,MATCH(K788&amp;D$1,Taostats_CSV!$X:$X,0)-1,0),IF(Taostats_CSV!F788="fee",IF(VALUE(Taostats_CSV!G788)&gt;0,Taostats_CSV!E788,""),""))</f>
        <v/>
      </c>
      <c r="D788" t="str">
        <f ca="1">IF(Q788,OFFSET(Taostats_CSV!$G$1,MATCH(K788&amp;D$1,Taostats_CSV!$X:$X,0)-1,0),IF(Taostats_CSV!F788="fee",IF(VALUE(Taostats_CSV!G788)&gt;0,Taostats_CSV!G788,""),""))</f>
        <v/>
      </c>
      <c r="E788" t="str">
        <f ca="1">IF(AND(Q788,P788&gt;0),OFFSET(Taostats_CSV!$E$1,MATCH(K788&amp;F$1,Taostats_CSV!$X:$X,0)-1,0),IF(LEN(F788)&gt;0,Taostats_CSV!E788,""))</f>
        <v>SN4</v>
      </c>
      <c r="F788" t="str">
        <f ca="1">TRIM(IF(AND(Q788,P788&gt;0),OFFSET(Taostats_CSV!$H$1,MATCH(K788&amp;F$1,Taostats_CSV!$X:$X,0)-1,0),IF(LEN(Taostats_CSV!H788)&gt;0,Taostats_CSV!H788,Taostats_CSV!R788)))</f>
        <v>0.421435892</v>
      </c>
      <c r="G788" t="str">
        <f ca="1">IF(AND(Q788,N788=1),OFFSET(Taostats_CSV!$E$1,MATCH(K788&amp;H$1,Taostats_CSV!$X:$X,0)-1,0),"")</f>
        <v/>
      </c>
      <c r="H788" t="str">
        <f ca="1">IF(AND(Q788,N788=1),OFFSET(Taostats_CSV!$G$1,MATCH(K788&amp;H$1,Taostats_CSV!$X:$X,0)-1,0),"")</f>
        <v/>
      </c>
      <c r="I788" t="str">
        <f ca="1">IF(AND(LEN(K788)=0,LEN(F788)&gt;0),"Income",IF(AND(O788&gt;0,P788&gt;0,C788&lt;&gt;E788),"Trade",IF(AND(NOT(Q788),Taostats_CSV!F788="fee"),'READ ME'!$C$5,"")))</f>
        <v>Income</v>
      </c>
      <c r="J788" t="str">
        <f ca="1">SUBSTITUTE(IF(LEN(I788)=0,Taostats_CSV!F788&amp;" "&amp;Taostats_CSV!J788,IF(I788="Cost","Extrinsic fee","")),"_"," ")</f>
        <v/>
      </c>
      <c r="K788" t="str">
        <f>TRIM(IF(LEN(Taostats_CSV!I788)&gt;0,Taostats_CSV!I788,""))</f>
        <v/>
      </c>
      <c r="L788">
        <f ca="1">IF(Taostats_CSV!E788&lt;&gt;"TAO",IF(LEN(F788)&gt;0,F788,IF(LEN(D788)&gt;0,D788,0))*Taostats_CSV!P788,"")</f>
        <v>8.2680878874201529</v>
      </c>
      <c r="M788" t="str">
        <f t="shared" ca="1" si="87"/>
        <v>USD</v>
      </c>
      <c r="N788">
        <f>COUNTIF(Taostats_CSV!$X:$X,Taostats_CSV!$I788&amp;N$1)</f>
        <v>0</v>
      </c>
      <c r="O788">
        <f>COUNTIF(Taostats_CSV!$X:$X,Taostats_CSV!$I788&amp;O$1)</f>
        <v>0</v>
      </c>
      <c r="P788">
        <f>COUNTIF(Taostats_CSV!$X:$X,Taostats_CSV!$I788&amp;P$1)</f>
        <v>0</v>
      </c>
      <c r="Q788" t="b">
        <f t="shared" si="88"/>
        <v>0</v>
      </c>
      <c r="R788" t="b">
        <f>IF(LEN(K788)&gt;0,COUNTIF($K$3:K788,K788),FALSE)</f>
        <v>0</v>
      </c>
      <c r="S788" t="b">
        <f>IF(Taostats_CSV!A788=Taostats_CSV!$A$2,TRUE,Taostats_CSV!G788+Taostats_CSV!H788+Taostats_CSV!R788=0)</f>
        <v>0</v>
      </c>
      <c r="T788" t="b">
        <f t="shared" si="89"/>
        <v>1</v>
      </c>
      <c r="U788" t="b" cm="1">
        <f t="array" aca="1" ref="U788" ca="1">AND(T788,OR(O788-N788&gt;1,P788&gt;1,ISERROR(A788:P788)))</f>
        <v>0</v>
      </c>
      <c r="W788" t="e">
        <f>MATCH(K788&amp;$W$2,Taostats_CSV!$X$3:$X$1167,0)</f>
        <v>#N/A</v>
      </c>
      <c r="X788" t="e">
        <f t="shared" ca="1" si="84"/>
        <v>#VALUE!</v>
      </c>
      <c r="Y788">
        <f t="shared" ca="1" si="85"/>
        <v>0.42143589199999998</v>
      </c>
      <c r="Z788" t="e">
        <f t="shared" ca="1" si="86"/>
        <v>#VALUE!</v>
      </c>
    </row>
    <row r="789" spans="1:26" x14ac:dyDescent="0.4">
      <c r="A789" t="str">
        <f>MID(Taostats_CSV!C789,6,2)&amp;"/"&amp;MID(Taostats_CSV!C789,9,2)&amp;"/"&amp;LEFT(Taostats_CSV!C789,4)&amp;" "&amp;MID(Taostats_CSV!C789,12,8)</f>
        <v>08/15/2025 23:59:48</v>
      </c>
      <c r="C789" t="str">
        <f ca="1">IF(Q789,OFFSET(Taostats_CSV!$E$1,MATCH(K789&amp;D$1,Taostats_CSV!$X:$X,0)-1,0),IF(Taostats_CSV!F789="fee",IF(VALUE(Taostats_CSV!G789)&gt;0,Taostats_CSV!E789,""),""))</f>
        <v/>
      </c>
      <c r="D789" t="str">
        <f ca="1">IF(Q789,OFFSET(Taostats_CSV!$G$1,MATCH(K789&amp;D$1,Taostats_CSV!$X:$X,0)-1,0),IF(Taostats_CSV!F789="fee",IF(VALUE(Taostats_CSV!G789)&gt;0,Taostats_CSV!G789,""),""))</f>
        <v/>
      </c>
      <c r="E789" t="str">
        <f ca="1">IF(AND(Q789,P789&gt;0),OFFSET(Taostats_CSV!$E$1,MATCH(K789&amp;F$1,Taostats_CSV!$X:$X,0)-1,0),IF(LEN(F789)&gt;0,Taostats_CSV!E789,""))</f>
        <v>SN56</v>
      </c>
      <c r="F789" t="str">
        <f ca="1">TRIM(IF(AND(Q789,P789&gt;0),OFFSET(Taostats_CSV!$H$1,MATCH(K789&amp;F$1,Taostats_CSV!$X:$X,0)-1,0),IF(LEN(Taostats_CSV!H789)&gt;0,Taostats_CSV!H789,Taostats_CSV!R789)))</f>
        <v>0.24530731</v>
      </c>
      <c r="G789" t="str">
        <f ca="1">IF(AND(Q789,N789=1),OFFSET(Taostats_CSV!$E$1,MATCH(K789&amp;H$1,Taostats_CSV!$X:$X,0)-1,0),"")</f>
        <v/>
      </c>
      <c r="H789" t="str">
        <f ca="1">IF(AND(Q789,N789=1),OFFSET(Taostats_CSV!$G$1,MATCH(K789&amp;H$1,Taostats_CSV!$X:$X,0)-1,0),"")</f>
        <v/>
      </c>
      <c r="I789" t="str">
        <f ca="1">IF(AND(LEN(K789)=0,LEN(F789)&gt;0),"Income",IF(AND(O789&gt;0,P789&gt;0,C789&lt;&gt;E789),"Trade",IF(AND(NOT(Q789),Taostats_CSV!F789="fee"),'READ ME'!$C$5,"")))</f>
        <v>Income</v>
      </c>
      <c r="J789" t="str">
        <f ca="1">SUBSTITUTE(IF(LEN(I789)=0,Taostats_CSV!F789&amp;" "&amp;Taostats_CSV!J789,IF(I789="Cost","Extrinsic fee","")),"_"," ")</f>
        <v/>
      </c>
      <c r="K789" t="str">
        <f>TRIM(IF(LEN(Taostats_CSV!I789)&gt;0,Taostats_CSV!I789,""))</f>
        <v/>
      </c>
      <c r="L789">
        <f ca="1">IF(Taostats_CSV!E789&lt;&gt;"TAO",IF(LEN(F789)&gt;0,F789,IF(LEN(D789)&gt;0,D789,0))*Taostats_CSV!P789,"")</f>
        <v>4.4541785327357379</v>
      </c>
      <c r="M789" t="str">
        <f t="shared" ca="1" si="87"/>
        <v>USD</v>
      </c>
      <c r="N789">
        <f>COUNTIF(Taostats_CSV!$X:$X,Taostats_CSV!$I789&amp;N$1)</f>
        <v>0</v>
      </c>
      <c r="O789">
        <f>COUNTIF(Taostats_CSV!$X:$X,Taostats_CSV!$I789&amp;O$1)</f>
        <v>0</v>
      </c>
      <c r="P789">
        <f>COUNTIF(Taostats_CSV!$X:$X,Taostats_CSV!$I789&amp;P$1)</f>
        <v>0</v>
      </c>
      <c r="Q789" t="b">
        <f t="shared" si="88"/>
        <v>0</v>
      </c>
      <c r="R789" t="b">
        <f>IF(LEN(K789)&gt;0,COUNTIF($K$3:K789,K789),FALSE)</f>
        <v>0</v>
      </c>
      <c r="S789" t="b">
        <f>IF(Taostats_CSV!A789=Taostats_CSV!$A$2,TRUE,Taostats_CSV!G789+Taostats_CSV!H789+Taostats_CSV!R789=0)</f>
        <v>0</v>
      </c>
      <c r="T789" t="b">
        <f t="shared" si="89"/>
        <v>1</v>
      </c>
      <c r="U789" t="b" cm="1">
        <f t="array" aca="1" ref="U789" ca="1">AND(T789,OR(O789-N789&gt;1,P789&gt;1,ISERROR(A789:P789)))</f>
        <v>0</v>
      </c>
      <c r="W789" t="e">
        <f>MATCH(K789&amp;$W$2,Taostats_CSV!$X$3:$X$1167,0)</f>
        <v>#N/A</v>
      </c>
      <c r="X789" t="e">
        <f t="shared" ca="1" si="84"/>
        <v>#VALUE!</v>
      </c>
      <c r="Y789">
        <f t="shared" ca="1" si="85"/>
        <v>0.24530731</v>
      </c>
      <c r="Z789" t="e">
        <f t="shared" ca="1" si="86"/>
        <v>#VALUE!</v>
      </c>
    </row>
    <row r="790" spans="1:26" x14ac:dyDescent="0.4">
      <c r="A790" t="str">
        <f>MID(Taostats_CSV!C790,6,2)&amp;"/"&amp;MID(Taostats_CSV!C790,9,2)&amp;"/"&amp;LEFT(Taostats_CSV!C790,4)&amp;" "&amp;MID(Taostats_CSV!C790,12,8)</f>
        <v>08/15/2025 23:59:48</v>
      </c>
      <c r="C790" t="str">
        <f ca="1">IF(Q790,OFFSET(Taostats_CSV!$E$1,MATCH(K790&amp;D$1,Taostats_CSV!$X:$X,0)-1,0),IF(Taostats_CSV!F790="fee",IF(VALUE(Taostats_CSV!G790)&gt;0,Taostats_CSV!E790,""),""))</f>
        <v/>
      </c>
      <c r="D790" t="str">
        <f ca="1">IF(Q790,OFFSET(Taostats_CSV!$G$1,MATCH(K790&amp;D$1,Taostats_CSV!$X:$X,0)-1,0),IF(Taostats_CSV!F790="fee",IF(VALUE(Taostats_CSV!G790)&gt;0,Taostats_CSV!G790,""),""))</f>
        <v/>
      </c>
      <c r="E790" t="str">
        <f ca="1">IF(AND(Q790,P790&gt;0),OFFSET(Taostats_CSV!$E$1,MATCH(K790&amp;F$1,Taostats_CSV!$X:$X,0)-1,0),IF(LEN(F790)&gt;0,Taostats_CSV!E790,""))</f>
        <v>SN64</v>
      </c>
      <c r="F790" t="str">
        <f ca="1">TRIM(IF(AND(Q790,P790&gt;0),OFFSET(Taostats_CSV!$H$1,MATCH(K790&amp;F$1,Taostats_CSV!$X:$X,0)-1,0),IF(LEN(Taostats_CSV!H790)&gt;0,Taostats_CSV!H790,Taostats_CSV!R790)))</f>
        <v>0.139694796</v>
      </c>
      <c r="G790" t="str">
        <f ca="1">IF(AND(Q790,N790=1),OFFSET(Taostats_CSV!$E$1,MATCH(K790&amp;H$1,Taostats_CSV!$X:$X,0)-1,0),"")</f>
        <v/>
      </c>
      <c r="H790" t="str">
        <f ca="1">IF(AND(Q790,N790=1),OFFSET(Taostats_CSV!$G$1,MATCH(K790&amp;H$1,Taostats_CSV!$X:$X,0)-1,0),"")</f>
        <v/>
      </c>
      <c r="I790" t="str">
        <f ca="1">IF(AND(LEN(K790)=0,LEN(F790)&gt;0),"Income",IF(AND(O790&gt;0,P790&gt;0,C790&lt;&gt;E790),"Trade",IF(AND(NOT(Q790),Taostats_CSV!F790="fee"),'READ ME'!$C$5,"")))</f>
        <v>Income</v>
      </c>
      <c r="J790" t="str">
        <f ca="1">SUBSTITUTE(IF(LEN(I790)=0,Taostats_CSV!F790&amp;" "&amp;Taostats_CSV!J790,IF(I790="Cost","Extrinsic fee","")),"_"," ")</f>
        <v/>
      </c>
      <c r="K790" t="str">
        <f>TRIM(IF(LEN(Taostats_CSV!I790)&gt;0,Taostats_CSV!I790,""))</f>
        <v/>
      </c>
      <c r="L790">
        <f ca="1">IF(Taostats_CSV!E790&lt;&gt;"TAO",IF(LEN(F790)&gt;0,F790,IF(LEN(D790)&gt;0,D790,0))*Taostats_CSV!P790,"")</f>
        <v>6.4235583437803649</v>
      </c>
      <c r="M790" t="str">
        <f t="shared" ca="1" si="87"/>
        <v>USD</v>
      </c>
      <c r="N790">
        <f>COUNTIF(Taostats_CSV!$X:$X,Taostats_CSV!$I790&amp;N$1)</f>
        <v>0</v>
      </c>
      <c r="O790">
        <f>COUNTIF(Taostats_CSV!$X:$X,Taostats_CSV!$I790&amp;O$1)</f>
        <v>0</v>
      </c>
      <c r="P790">
        <f>COUNTIF(Taostats_CSV!$X:$X,Taostats_CSV!$I790&amp;P$1)</f>
        <v>0</v>
      </c>
      <c r="Q790" t="b">
        <f t="shared" si="88"/>
        <v>0</v>
      </c>
      <c r="R790" t="b">
        <f>IF(LEN(K790)&gt;0,COUNTIF($K$3:K790,K790),FALSE)</f>
        <v>0</v>
      </c>
      <c r="S790" t="b">
        <f>IF(Taostats_CSV!A790=Taostats_CSV!$A$2,TRUE,Taostats_CSV!G790+Taostats_CSV!H790+Taostats_CSV!R790=0)</f>
        <v>0</v>
      </c>
      <c r="T790" t="b">
        <f t="shared" si="89"/>
        <v>1</v>
      </c>
      <c r="U790" t="b" cm="1">
        <f t="array" aca="1" ref="U790" ca="1">AND(T790,OR(O790-N790&gt;1,P790&gt;1,ISERROR(A790:P790)))</f>
        <v>0</v>
      </c>
      <c r="W790" t="e">
        <f>MATCH(K790&amp;$W$2,Taostats_CSV!$X$3:$X$1167,0)</f>
        <v>#N/A</v>
      </c>
      <c r="X790" t="e">
        <f t="shared" ca="1" si="84"/>
        <v>#VALUE!</v>
      </c>
      <c r="Y790">
        <f t="shared" ca="1" si="85"/>
        <v>0.13969479600000001</v>
      </c>
      <c r="Z790" t="e">
        <f t="shared" ca="1" si="86"/>
        <v>#VALUE!</v>
      </c>
    </row>
    <row r="791" spans="1:26" x14ac:dyDescent="0.4">
      <c r="A791" t="str">
        <f>MID(Taostats_CSV!C791,6,2)&amp;"/"&amp;MID(Taostats_CSV!C791,9,2)&amp;"/"&amp;LEFT(Taostats_CSV!C791,4)&amp;" "&amp;MID(Taostats_CSV!C791,12,8)</f>
        <v>08/15/2025 23:59:48</v>
      </c>
      <c r="C791" t="str">
        <f ca="1">IF(Q791,OFFSET(Taostats_CSV!$E$1,MATCH(K791&amp;D$1,Taostats_CSV!$X:$X,0)-1,0),IF(Taostats_CSV!F791="fee",IF(VALUE(Taostats_CSV!G791)&gt;0,Taostats_CSV!E791,""),""))</f>
        <v/>
      </c>
      <c r="D791" t="str">
        <f ca="1">IF(Q791,OFFSET(Taostats_CSV!$G$1,MATCH(K791&amp;D$1,Taostats_CSV!$X:$X,0)-1,0),IF(Taostats_CSV!F791="fee",IF(VALUE(Taostats_CSV!G791)&gt;0,Taostats_CSV!G791,""),""))</f>
        <v/>
      </c>
      <c r="E791" t="str">
        <f ca="1">IF(AND(Q791,P791&gt;0),OFFSET(Taostats_CSV!$E$1,MATCH(K791&amp;F$1,Taostats_CSV!$X:$X,0)-1,0),IF(LEN(F791)&gt;0,Taostats_CSV!E791,""))</f>
        <v>TAO</v>
      </c>
      <c r="F791" t="str">
        <f ca="1">TRIM(IF(AND(Q791,P791&gt;0),OFFSET(Taostats_CSV!$H$1,MATCH(K791&amp;F$1,Taostats_CSV!$X:$X,0)-1,0),IF(LEN(Taostats_CSV!H791)&gt;0,Taostats_CSV!H791,Taostats_CSV!R791)))</f>
        <v>0.011097542</v>
      </c>
      <c r="G791" t="str">
        <f ca="1">IF(AND(Q791,N791=1),OFFSET(Taostats_CSV!$E$1,MATCH(K791&amp;H$1,Taostats_CSV!$X:$X,0)-1,0),"")</f>
        <v/>
      </c>
      <c r="H791" t="str">
        <f ca="1">IF(AND(Q791,N791=1),OFFSET(Taostats_CSV!$G$1,MATCH(K791&amp;H$1,Taostats_CSV!$X:$X,0)-1,0),"")</f>
        <v/>
      </c>
      <c r="I791" t="str">
        <f ca="1">IF(AND(LEN(K791)=0,LEN(F791)&gt;0),"Income",IF(AND(O791&gt;0,P791&gt;0,C791&lt;&gt;E791),"Trade",IF(AND(NOT(Q791),Taostats_CSV!F791="fee"),'READ ME'!$C$5,"")))</f>
        <v>Income</v>
      </c>
      <c r="J791" t="str">
        <f ca="1">SUBSTITUTE(IF(LEN(I791)=0,Taostats_CSV!F791&amp;" "&amp;Taostats_CSV!J791,IF(I791="Cost","Extrinsic fee","")),"_"," ")</f>
        <v/>
      </c>
      <c r="K791" t="str">
        <f>TRIM(IF(LEN(Taostats_CSV!I791)&gt;0,Taostats_CSV!I791,""))</f>
        <v/>
      </c>
      <c r="L791" t="str">
        <f>IF(Taostats_CSV!E791&lt;&gt;"TAO",IF(LEN(F791)&gt;0,F791,IF(LEN(D791)&gt;0,D791,0))*Taostats_CSV!P791,"")</f>
        <v/>
      </c>
      <c r="M791" t="str">
        <f t="shared" si="87"/>
        <v/>
      </c>
      <c r="N791">
        <f>COUNTIF(Taostats_CSV!$X:$X,Taostats_CSV!$I791&amp;N$1)</f>
        <v>0</v>
      </c>
      <c r="O791">
        <f>COUNTIF(Taostats_CSV!$X:$X,Taostats_CSV!$I791&amp;O$1)</f>
        <v>0</v>
      </c>
      <c r="P791">
        <f>COUNTIF(Taostats_CSV!$X:$X,Taostats_CSV!$I791&amp;P$1)</f>
        <v>0</v>
      </c>
      <c r="Q791" t="b">
        <f t="shared" si="88"/>
        <v>0</v>
      </c>
      <c r="R791" t="b">
        <f>IF(LEN(K791)&gt;0,COUNTIF($K$3:K791,K791),FALSE)</f>
        <v>0</v>
      </c>
      <c r="S791" t="b">
        <f>IF(Taostats_CSV!A791=Taostats_CSV!$A$2,TRUE,Taostats_CSV!G791+Taostats_CSV!H791+Taostats_CSV!R791=0)</f>
        <v>0</v>
      </c>
      <c r="T791" t="b">
        <f t="shared" si="89"/>
        <v>1</v>
      </c>
      <c r="U791" t="b" cm="1">
        <f t="array" aca="1" ref="U791" ca="1">AND(T791,OR(O791-N791&gt;1,P791&gt;1,ISERROR(A791:P791)))</f>
        <v>0</v>
      </c>
      <c r="W791" t="e">
        <f>MATCH(K791&amp;$W$2,Taostats_CSV!$X$3:$X$1167,0)</f>
        <v>#N/A</v>
      </c>
      <c r="X791" t="e">
        <f t="shared" ca="1" si="84"/>
        <v>#VALUE!</v>
      </c>
      <c r="Y791">
        <f t="shared" ca="1" si="85"/>
        <v>1.1097542E-2</v>
      </c>
      <c r="Z791" t="e">
        <f t="shared" ca="1" si="86"/>
        <v>#VALUE!</v>
      </c>
    </row>
    <row r="792" spans="1:26" x14ac:dyDescent="0.4">
      <c r="A792" t="str">
        <f>MID(Taostats_CSV!C792,6,2)&amp;"/"&amp;MID(Taostats_CSV!C792,9,2)&amp;"/"&amp;LEFT(Taostats_CSV!C792,4)&amp;" "&amp;MID(Taostats_CSV!C792,12,8)</f>
        <v>08/16/2025 23:59:48</v>
      </c>
      <c r="C792" t="str">
        <f ca="1">IF(Q792,OFFSET(Taostats_CSV!$E$1,MATCH(K792&amp;D$1,Taostats_CSV!$X:$X,0)-1,0),IF(Taostats_CSV!F792="fee",IF(VALUE(Taostats_CSV!G792)&gt;0,Taostats_CSV!E792,""),""))</f>
        <v/>
      </c>
      <c r="D792" t="str">
        <f ca="1">IF(Q792,OFFSET(Taostats_CSV!$G$1,MATCH(K792&amp;D$1,Taostats_CSV!$X:$X,0)-1,0),IF(Taostats_CSV!F792="fee",IF(VALUE(Taostats_CSV!G792)&gt;0,Taostats_CSV!G792,""),""))</f>
        <v/>
      </c>
      <c r="E792" t="str">
        <f ca="1">IF(AND(Q792,P792&gt;0),OFFSET(Taostats_CSV!$E$1,MATCH(K792&amp;F$1,Taostats_CSV!$X:$X,0)-1,0),IF(LEN(F792)&gt;0,Taostats_CSV!E792,""))</f>
        <v>SN3</v>
      </c>
      <c r="F792" t="str">
        <f ca="1">TRIM(IF(AND(Q792,P792&gt;0),OFFSET(Taostats_CSV!$H$1,MATCH(K792&amp;F$1,Taostats_CSV!$X:$X,0)-1,0),IF(LEN(Taostats_CSV!H792)&gt;0,Taostats_CSV!H792,Taostats_CSV!R792)))</f>
        <v>0.424921303</v>
      </c>
      <c r="G792" t="str">
        <f ca="1">IF(AND(Q792,N792=1),OFFSET(Taostats_CSV!$E$1,MATCH(K792&amp;H$1,Taostats_CSV!$X:$X,0)-1,0),"")</f>
        <v/>
      </c>
      <c r="H792" t="str">
        <f ca="1">IF(AND(Q792,N792=1),OFFSET(Taostats_CSV!$G$1,MATCH(K792&amp;H$1,Taostats_CSV!$X:$X,0)-1,0),"")</f>
        <v/>
      </c>
      <c r="I792" t="str">
        <f ca="1">IF(AND(LEN(K792)=0,LEN(F792)&gt;0),"Income",IF(AND(O792&gt;0,P792&gt;0,C792&lt;&gt;E792),"Trade",IF(AND(NOT(Q792),Taostats_CSV!F792="fee"),'READ ME'!$C$5,"")))</f>
        <v>Income</v>
      </c>
      <c r="J792" t="str">
        <f ca="1">SUBSTITUTE(IF(LEN(I792)=0,Taostats_CSV!F792&amp;" "&amp;Taostats_CSV!J792,IF(I792="Cost","Extrinsic fee","")),"_"," ")</f>
        <v/>
      </c>
      <c r="K792" t="str">
        <f>TRIM(IF(LEN(Taostats_CSV!I792)&gt;0,Taostats_CSV!I792,""))</f>
        <v/>
      </c>
      <c r="L792">
        <f ca="1">IF(Taostats_CSV!E792&lt;&gt;"TAO",IF(LEN(F792)&gt;0,F792,IF(LEN(D792)&gt;0,D792,0))*Taostats_CSV!P792,"")</f>
        <v>7.6504980897319417</v>
      </c>
      <c r="M792" t="str">
        <f t="shared" ca="1" si="87"/>
        <v>USD</v>
      </c>
      <c r="N792">
        <f>COUNTIF(Taostats_CSV!$X:$X,Taostats_CSV!$I792&amp;N$1)</f>
        <v>0</v>
      </c>
      <c r="O792">
        <f>COUNTIF(Taostats_CSV!$X:$X,Taostats_CSV!$I792&amp;O$1)</f>
        <v>0</v>
      </c>
      <c r="P792">
        <f>COUNTIF(Taostats_CSV!$X:$X,Taostats_CSV!$I792&amp;P$1)</f>
        <v>0</v>
      </c>
      <c r="Q792" t="b">
        <f t="shared" si="88"/>
        <v>0</v>
      </c>
      <c r="R792" t="b">
        <f>IF(LEN(K792)&gt;0,COUNTIF($K$3:K792,K792),FALSE)</f>
        <v>0</v>
      </c>
      <c r="S792" t="b">
        <f>IF(Taostats_CSV!A792=Taostats_CSV!$A$2,TRUE,Taostats_CSV!G792+Taostats_CSV!H792+Taostats_CSV!R792=0)</f>
        <v>0</v>
      </c>
      <c r="T792" t="b">
        <f t="shared" si="89"/>
        <v>1</v>
      </c>
      <c r="U792" t="b" cm="1">
        <f t="array" aca="1" ref="U792" ca="1">AND(T792,OR(O792-N792&gt;1,P792&gt;1,ISERROR(A792:P792)))</f>
        <v>0</v>
      </c>
      <c r="W792" t="e">
        <f>MATCH(K792&amp;$W$2,Taostats_CSV!$X$3:$X$1167,0)</f>
        <v>#N/A</v>
      </c>
      <c r="X792" t="e">
        <f t="shared" ca="1" si="84"/>
        <v>#VALUE!</v>
      </c>
      <c r="Y792">
        <f t="shared" ca="1" si="85"/>
        <v>0.42492130299999997</v>
      </c>
      <c r="Z792" t="e">
        <f t="shared" ca="1" si="86"/>
        <v>#VALUE!</v>
      </c>
    </row>
    <row r="793" spans="1:26" x14ac:dyDescent="0.4">
      <c r="A793" t="str">
        <f>MID(Taostats_CSV!C793,6,2)&amp;"/"&amp;MID(Taostats_CSV!C793,9,2)&amp;"/"&amp;LEFT(Taostats_CSV!C793,4)&amp;" "&amp;MID(Taostats_CSV!C793,12,8)</f>
        <v>08/16/2025 23:59:48</v>
      </c>
      <c r="C793" t="str">
        <f ca="1">IF(Q793,OFFSET(Taostats_CSV!$E$1,MATCH(K793&amp;D$1,Taostats_CSV!$X:$X,0)-1,0),IF(Taostats_CSV!F793="fee",IF(VALUE(Taostats_CSV!G793)&gt;0,Taostats_CSV!E793,""),""))</f>
        <v/>
      </c>
      <c r="D793" t="str">
        <f ca="1">IF(Q793,OFFSET(Taostats_CSV!$G$1,MATCH(K793&amp;D$1,Taostats_CSV!$X:$X,0)-1,0),IF(Taostats_CSV!F793="fee",IF(VALUE(Taostats_CSV!G793)&gt;0,Taostats_CSV!G793,""),""))</f>
        <v/>
      </c>
      <c r="E793" t="str">
        <f ca="1">IF(AND(Q793,P793&gt;0),OFFSET(Taostats_CSV!$E$1,MATCH(K793&amp;F$1,Taostats_CSV!$X:$X,0)-1,0),IF(LEN(F793)&gt;0,Taostats_CSV!E793,""))</f>
        <v>SN4</v>
      </c>
      <c r="F793" t="str">
        <f ca="1">TRIM(IF(AND(Q793,P793&gt;0),OFFSET(Taostats_CSV!$H$1,MATCH(K793&amp;F$1,Taostats_CSV!$X:$X,0)-1,0),IF(LEN(Taostats_CSV!H793)&gt;0,Taostats_CSV!H793,Taostats_CSV!R793)))</f>
        <v>0.423353406</v>
      </c>
      <c r="G793" t="str">
        <f ca="1">IF(AND(Q793,N793=1),OFFSET(Taostats_CSV!$E$1,MATCH(K793&amp;H$1,Taostats_CSV!$X:$X,0)-1,0),"")</f>
        <v/>
      </c>
      <c r="H793" t="str">
        <f ca="1">IF(AND(Q793,N793=1),OFFSET(Taostats_CSV!$G$1,MATCH(K793&amp;H$1,Taostats_CSV!$X:$X,0)-1,0),"")</f>
        <v/>
      </c>
      <c r="I793" t="str">
        <f ca="1">IF(AND(LEN(K793)=0,LEN(F793)&gt;0),"Income",IF(AND(O793&gt;0,P793&gt;0,C793&lt;&gt;E793),"Trade",IF(AND(NOT(Q793),Taostats_CSV!F793="fee"),'READ ME'!$C$5,"")))</f>
        <v>Income</v>
      </c>
      <c r="J793" t="str">
        <f ca="1">SUBSTITUTE(IF(LEN(I793)=0,Taostats_CSV!F793&amp;" "&amp;Taostats_CSV!J793,IF(I793="Cost","Extrinsic fee","")),"_"," ")</f>
        <v/>
      </c>
      <c r="K793" t="str">
        <f>TRIM(IF(LEN(Taostats_CSV!I793)&gt;0,Taostats_CSV!I793,""))</f>
        <v/>
      </c>
      <c r="L793">
        <f ca="1">IF(Taostats_CSV!E793&lt;&gt;"TAO",IF(LEN(F793)&gt;0,F793,IF(LEN(D793)&gt;0,D793,0))*Taostats_CSV!P793,"")</f>
        <v>8.3515440243888204</v>
      </c>
      <c r="M793" t="str">
        <f t="shared" ca="1" si="87"/>
        <v>USD</v>
      </c>
      <c r="N793">
        <f>COUNTIF(Taostats_CSV!$X:$X,Taostats_CSV!$I793&amp;N$1)</f>
        <v>0</v>
      </c>
      <c r="O793">
        <f>COUNTIF(Taostats_CSV!$X:$X,Taostats_CSV!$I793&amp;O$1)</f>
        <v>0</v>
      </c>
      <c r="P793">
        <f>COUNTIF(Taostats_CSV!$X:$X,Taostats_CSV!$I793&amp;P$1)</f>
        <v>0</v>
      </c>
      <c r="Q793" t="b">
        <f t="shared" si="88"/>
        <v>0</v>
      </c>
      <c r="R793" t="b">
        <f>IF(LEN(K793)&gt;0,COUNTIF($K$3:K793,K793),FALSE)</f>
        <v>0</v>
      </c>
      <c r="S793" t="b">
        <f>IF(Taostats_CSV!A793=Taostats_CSV!$A$2,TRUE,Taostats_CSV!G793+Taostats_CSV!H793+Taostats_CSV!R793=0)</f>
        <v>0</v>
      </c>
      <c r="T793" t="b">
        <f t="shared" si="89"/>
        <v>1</v>
      </c>
      <c r="U793" t="b" cm="1">
        <f t="array" aca="1" ref="U793" ca="1">AND(T793,OR(O793-N793&gt;1,P793&gt;1,ISERROR(A793:P793)))</f>
        <v>0</v>
      </c>
      <c r="W793" t="e">
        <f>MATCH(K793&amp;$W$2,Taostats_CSV!$X$3:$X$1167,0)</f>
        <v>#N/A</v>
      </c>
      <c r="X793" t="e">
        <f t="shared" ca="1" si="84"/>
        <v>#VALUE!</v>
      </c>
      <c r="Y793">
        <f t="shared" ca="1" si="85"/>
        <v>0.42335340599999999</v>
      </c>
      <c r="Z793" t="e">
        <f t="shared" ca="1" si="86"/>
        <v>#VALUE!</v>
      </c>
    </row>
    <row r="794" spans="1:26" x14ac:dyDescent="0.4">
      <c r="A794" t="str">
        <f>MID(Taostats_CSV!C794,6,2)&amp;"/"&amp;MID(Taostats_CSV!C794,9,2)&amp;"/"&amp;LEFT(Taostats_CSV!C794,4)&amp;" "&amp;MID(Taostats_CSV!C794,12,8)</f>
        <v>08/16/2025 23:59:48</v>
      </c>
      <c r="C794" t="str">
        <f ca="1">IF(Q794,OFFSET(Taostats_CSV!$E$1,MATCH(K794&amp;D$1,Taostats_CSV!$X:$X,0)-1,0),IF(Taostats_CSV!F794="fee",IF(VALUE(Taostats_CSV!G794)&gt;0,Taostats_CSV!E794,""),""))</f>
        <v/>
      </c>
      <c r="D794" t="str">
        <f ca="1">IF(Q794,OFFSET(Taostats_CSV!$G$1,MATCH(K794&amp;D$1,Taostats_CSV!$X:$X,0)-1,0),IF(Taostats_CSV!F794="fee",IF(VALUE(Taostats_CSV!G794)&gt;0,Taostats_CSV!G794,""),""))</f>
        <v/>
      </c>
      <c r="E794" t="str">
        <f ca="1">IF(AND(Q794,P794&gt;0),OFFSET(Taostats_CSV!$E$1,MATCH(K794&amp;F$1,Taostats_CSV!$X:$X,0)-1,0),IF(LEN(F794)&gt;0,Taostats_CSV!E794,""))</f>
        <v>SN56</v>
      </c>
      <c r="F794" t="str">
        <f ca="1">TRIM(IF(AND(Q794,P794&gt;0),OFFSET(Taostats_CSV!$H$1,MATCH(K794&amp;F$1,Taostats_CSV!$X:$X,0)-1,0),IF(LEN(Taostats_CSV!H794)&gt;0,Taostats_CSV!H794,Taostats_CSV!R794)))</f>
        <v>0.259791421</v>
      </c>
      <c r="G794" t="str">
        <f ca="1">IF(AND(Q794,N794=1),OFFSET(Taostats_CSV!$E$1,MATCH(K794&amp;H$1,Taostats_CSV!$X:$X,0)-1,0),"")</f>
        <v/>
      </c>
      <c r="H794" t="str">
        <f ca="1">IF(AND(Q794,N794=1),OFFSET(Taostats_CSV!$G$1,MATCH(K794&amp;H$1,Taostats_CSV!$X:$X,0)-1,0),"")</f>
        <v/>
      </c>
      <c r="I794" t="str">
        <f ca="1">IF(AND(LEN(K794)=0,LEN(F794)&gt;0),"Income",IF(AND(O794&gt;0,P794&gt;0,C794&lt;&gt;E794),"Trade",IF(AND(NOT(Q794),Taostats_CSV!F794="fee"),'READ ME'!$C$5,"")))</f>
        <v>Income</v>
      </c>
      <c r="J794" t="str">
        <f ca="1">SUBSTITUTE(IF(LEN(I794)=0,Taostats_CSV!F794&amp;" "&amp;Taostats_CSV!J794,IF(I794="Cost","Extrinsic fee","")),"_"," ")</f>
        <v/>
      </c>
      <c r="K794" t="str">
        <f>TRIM(IF(LEN(Taostats_CSV!I794)&gt;0,Taostats_CSV!I794,""))</f>
        <v/>
      </c>
      <c r="L794">
        <f ca="1">IF(Taostats_CSV!E794&lt;&gt;"TAO",IF(LEN(F794)&gt;0,F794,IF(LEN(D794)&gt;0,D794,0))*Taostats_CSV!P794,"")</f>
        <v>4.6962075413579454</v>
      </c>
      <c r="M794" t="str">
        <f t="shared" ca="1" si="87"/>
        <v>USD</v>
      </c>
      <c r="N794">
        <f>COUNTIF(Taostats_CSV!$X:$X,Taostats_CSV!$I794&amp;N$1)</f>
        <v>0</v>
      </c>
      <c r="O794">
        <f>COUNTIF(Taostats_CSV!$X:$X,Taostats_CSV!$I794&amp;O$1)</f>
        <v>0</v>
      </c>
      <c r="P794">
        <f>COUNTIF(Taostats_CSV!$X:$X,Taostats_CSV!$I794&amp;P$1)</f>
        <v>0</v>
      </c>
      <c r="Q794" t="b">
        <f t="shared" si="88"/>
        <v>0</v>
      </c>
      <c r="R794" t="b">
        <f>IF(LEN(K794)&gt;0,COUNTIF($K$3:K794,K794),FALSE)</f>
        <v>0</v>
      </c>
      <c r="S794" t="b">
        <f>IF(Taostats_CSV!A794=Taostats_CSV!$A$2,TRUE,Taostats_CSV!G794+Taostats_CSV!H794+Taostats_CSV!R794=0)</f>
        <v>0</v>
      </c>
      <c r="T794" t="b">
        <f t="shared" si="89"/>
        <v>1</v>
      </c>
      <c r="U794" t="b" cm="1">
        <f t="array" aca="1" ref="U794" ca="1">AND(T794,OR(O794-N794&gt;1,P794&gt;1,ISERROR(A794:P794)))</f>
        <v>0</v>
      </c>
      <c r="W794" t="e">
        <f>MATCH(K794&amp;$W$2,Taostats_CSV!$X$3:$X$1167,0)</f>
        <v>#N/A</v>
      </c>
      <c r="X794" t="e">
        <f t="shared" ca="1" si="84"/>
        <v>#VALUE!</v>
      </c>
      <c r="Y794">
        <f t="shared" ca="1" si="85"/>
        <v>0.25979142100000002</v>
      </c>
      <c r="Z794" t="e">
        <f t="shared" ca="1" si="86"/>
        <v>#VALUE!</v>
      </c>
    </row>
    <row r="795" spans="1:26" x14ac:dyDescent="0.4">
      <c r="A795" t="str">
        <f>MID(Taostats_CSV!C795,6,2)&amp;"/"&amp;MID(Taostats_CSV!C795,9,2)&amp;"/"&amp;LEFT(Taostats_CSV!C795,4)&amp;" "&amp;MID(Taostats_CSV!C795,12,8)</f>
        <v>08/16/2025 23:59:48</v>
      </c>
      <c r="C795" t="str">
        <f ca="1">IF(Q795,OFFSET(Taostats_CSV!$E$1,MATCH(K795&amp;D$1,Taostats_CSV!$X:$X,0)-1,0),IF(Taostats_CSV!F795="fee",IF(VALUE(Taostats_CSV!G795)&gt;0,Taostats_CSV!E795,""),""))</f>
        <v/>
      </c>
      <c r="D795" t="str">
        <f ca="1">IF(Q795,OFFSET(Taostats_CSV!$G$1,MATCH(K795&amp;D$1,Taostats_CSV!$X:$X,0)-1,0),IF(Taostats_CSV!F795="fee",IF(VALUE(Taostats_CSV!G795)&gt;0,Taostats_CSV!G795,""),""))</f>
        <v/>
      </c>
      <c r="E795" t="str">
        <f ca="1">IF(AND(Q795,P795&gt;0),OFFSET(Taostats_CSV!$E$1,MATCH(K795&amp;F$1,Taostats_CSV!$X:$X,0)-1,0),IF(LEN(F795)&gt;0,Taostats_CSV!E795,""))</f>
        <v>SN64</v>
      </c>
      <c r="F795" t="str">
        <f ca="1">TRIM(IF(AND(Q795,P795&gt;0),OFFSET(Taostats_CSV!$H$1,MATCH(K795&amp;F$1,Taostats_CSV!$X:$X,0)-1,0),IF(LEN(Taostats_CSV!H795)&gt;0,Taostats_CSV!H795,Taostats_CSV!R795)))</f>
        <v>0.133562182</v>
      </c>
      <c r="G795" t="str">
        <f ca="1">IF(AND(Q795,N795=1),OFFSET(Taostats_CSV!$E$1,MATCH(K795&amp;H$1,Taostats_CSV!$X:$X,0)-1,0),"")</f>
        <v/>
      </c>
      <c r="H795" t="str">
        <f ca="1">IF(AND(Q795,N795=1),OFFSET(Taostats_CSV!$G$1,MATCH(K795&amp;H$1,Taostats_CSV!$X:$X,0)-1,0),"")</f>
        <v/>
      </c>
      <c r="I795" t="str">
        <f ca="1">IF(AND(LEN(K795)=0,LEN(F795)&gt;0),"Income",IF(AND(O795&gt;0,P795&gt;0,C795&lt;&gt;E795),"Trade",IF(AND(NOT(Q795),Taostats_CSV!F795="fee"),'READ ME'!$C$5,"")))</f>
        <v>Income</v>
      </c>
      <c r="J795" t="str">
        <f ca="1">SUBSTITUTE(IF(LEN(I795)=0,Taostats_CSV!F795&amp;" "&amp;Taostats_CSV!J795,IF(I795="Cost","Extrinsic fee","")),"_"," ")</f>
        <v/>
      </c>
      <c r="K795" t="str">
        <f>TRIM(IF(LEN(Taostats_CSV!I795)&gt;0,Taostats_CSV!I795,""))</f>
        <v/>
      </c>
      <c r="L795">
        <f ca="1">IF(Taostats_CSV!E795&lt;&gt;"TAO",IF(LEN(F795)&gt;0,F795,IF(LEN(D795)&gt;0,D795,0))*Taostats_CSV!P795,"")</f>
        <v>6.0561440578579839</v>
      </c>
      <c r="M795" t="str">
        <f t="shared" ca="1" si="87"/>
        <v>USD</v>
      </c>
      <c r="N795">
        <f>COUNTIF(Taostats_CSV!$X:$X,Taostats_CSV!$I795&amp;N$1)</f>
        <v>0</v>
      </c>
      <c r="O795">
        <f>COUNTIF(Taostats_CSV!$X:$X,Taostats_CSV!$I795&amp;O$1)</f>
        <v>0</v>
      </c>
      <c r="P795">
        <f>COUNTIF(Taostats_CSV!$X:$X,Taostats_CSV!$I795&amp;P$1)</f>
        <v>0</v>
      </c>
      <c r="Q795" t="b">
        <f t="shared" si="88"/>
        <v>0</v>
      </c>
      <c r="R795" t="b">
        <f>IF(LEN(K795)&gt;0,COUNTIF($K$3:K795,K795),FALSE)</f>
        <v>0</v>
      </c>
      <c r="S795" t="b">
        <f>IF(Taostats_CSV!A795=Taostats_CSV!$A$2,TRUE,Taostats_CSV!G795+Taostats_CSV!H795+Taostats_CSV!R795=0)</f>
        <v>0</v>
      </c>
      <c r="T795" t="b">
        <f t="shared" si="89"/>
        <v>1</v>
      </c>
      <c r="U795" t="b" cm="1">
        <f t="array" aca="1" ref="U795" ca="1">AND(T795,OR(O795-N795&gt;1,P795&gt;1,ISERROR(A795:P795)))</f>
        <v>0</v>
      </c>
      <c r="W795" t="e">
        <f>MATCH(K795&amp;$W$2,Taostats_CSV!$X$3:$X$1167,0)</f>
        <v>#N/A</v>
      </c>
      <c r="X795" t="e">
        <f t="shared" ca="1" si="84"/>
        <v>#VALUE!</v>
      </c>
      <c r="Y795">
        <f t="shared" ca="1" si="85"/>
        <v>0.133562182</v>
      </c>
      <c r="Z795" t="e">
        <f t="shared" ca="1" si="86"/>
        <v>#VALUE!</v>
      </c>
    </row>
    <row r="796" spans="1:26" x14ac:dyDescent="0.4">
      <c r="A796" t="str">
        <f>MID(Taostats_CSV!C796,6,2)&amp;"/"&amp;MID(Taostats_CSV!C796,9,2)&amp;"/"&amp;LEFT(Taostats_CSV!C796,4)&amp;" "&amp;MID(Taostats_CSV!C796,12,8)</f>
        <v>08/16/2025 23:59:48</v>
      </c>
      <c r="C796" t="str">
        <f ca="1">IF(Q796,OFFSET(Taostats_CSV!$E$1,MATCH(K796&amp;D$1,Taostats_CSV!$X:$X,0)-1,0),IF(Taostats_CSV!F796="fee",IF(VALUE(Taostats_CSV!G796)&gt;0,Taostats_CSV!E796,""),""))</f>
        <v/>
      </c>
      <c r="D796" t="str">
        <f ca="1">IF(Q796,OFFSET(Taostats_CSV!$G$1,MATCH(K796&amp;D$1,Taostats_CSV!$X:$X,0)-1,0),IF(Taostats_CSV!F796="fee",IF(VALUE(Taostats_CSV!G796)&gt;0,Taostats_CSV!G796,""),""))</f>
        <v/>
      </c>
      <c r="E796" t="str">
        <f ca="1">IF(AND(Q796,P796&gt;0),OFFSET(Taostats_CSV!$E$1,MATCH(K796&amp;F$1,Taostats_CSV!$X:$X,0)-1,0),IF(LEN(F796)&gt;0,Taostats_CSV!E796,""))</f>
        <v>TAO</v>
      </c>
      <c r="F796" t="str">
        <f ca="1">TRIM(IF(AND(Q796,P796&gt;0),OFFSET(Taostats_CSV!$H$1,MATCH(K796&amp;F$1,Taostats_CSV!$X:$X,0)-1,0),IF(LEN(Taostats_CSV!H796)&gt;0,Taostats_CSV!H796,Taostats_CSV!R796)))</f>
        <v>0.011464212</v>
      </c>
      <c r="G796" t="str">
        <f ca="1">IF(AND(Q796,N796=1),OFFSET(Taostats_CSV!$E$1,MATCH(K796&amp;H$1,Taostats_CSV!$X:$X,0)-1,0),"")</f>
        <v/>
      </c>
      <c r="H796" t="str">
        <f ca="1">IF(AND(Q796,N796=1),OFFSET(Taostats_CSV!$G$1,MATCH(K796&amp;H$1,Taostats_CSV!$X:$X,0)-1,0),"")</f>
        <v/>
      </c>
      <c r="I796" t="str">
        <f ca="1">IF(AND(LEN(K796)=0,LEN(F796)&gt;0),"Income",IF(AND(O796&gt;0,P796&gt;0,C796&lt;&gt;E796),"Trade",IF(AND(NOT(Q796),Taostats_CSV!F796="fee"),'READ ME'!$C$5,"")))</f>
        <v>Income</v>
      </c>
      <c r="J796" t="str">
        <f ca="1">SUBSTITUTE(IF(LEN(I796)=0,Taostats_CSV!F796&amp;" "&amp;Taostats_CSV!J796,IF(I796="Cost","Extrinsic fee","")),"_"," ")</f>
        <v/>
      </c>
      <c r="K796" t="str">
        <f>TRIM(IF(LEN(Taostats_CSV!I796)&gt;0,Taostats_CSV!I796,""))</f>
        <v/>
      </c>
      <c r="L796" t="str">
        <f>IF(Taostats_CSV!E796&lt;&gt;"TAO",IF(LEN(F796)&gt;0,F796,IF(LEN(D796)&gt;0,D796,0))*Taostats_CSV!P796,"")</f>
        <v/>
      </c>
      <c r="M796" t="str">
        <f t="shared" si="87"/>
        <v/>
      </c>
      <c r="N796">
        <f>COUNTIF(Taostats_CSV!$X:$X,Taostats_CSV!$I796&amp;N$1)</f>
        <v>0</v>
      </c>
      <c r="O796">
        <f>COUNTIF(Taostats_CSV!$X:$X,Taostats_CSV!$I796&amp;O$1)</f>
        <v>0</v>
      </c>
      <c r="P796">
        <f>COUNTIF(Taostats_CSV!$X:$X,Taostats_CSV!$I796&amp;P$1)</f>
        <v>0</v>
      </c>
      <c r="Q796" t="b">
        <f t="shared" si="88"/>
        <v>0</v>
      </c>
      <c r="R796" t="b">
        <f>IF(LEN(K796)&gt;0,COUNTIF($K$3:K796,K796),FALSE)</f>
        <v>0</v>
      </c>
      <c r="S796" t="b">
        <f>IF(Taostats_CSV!A796=Taostats_CSV!$A$2,TRUE,Taostats_CSV!G796+Taostats_CSV!H796+Taostats_CSV!R796=0)</f>
        <v>0</v>
      </c>
      <c r="T796" t="b">
        <f t="shared" si="89"/>
        <v>1</v>
      </c>
      <c r="U796" t="b" cm="1">
        <f t="array" aca="1" ref="U796" ca="1">AND(T796,OR(O796-N796&gt;1,P796&gt;1,ISERROR(A796:P796)))</f>
        <v>0</v>
      </c>
      <c r="W796" t="e">
        <f>MATCH(K796&amp;$W$2,Taostats_CSV!$X$3:$X$1167,0)</f>
        <v>#N/A</v>
      </c>
      <c r="X796" t="e">
        <f t="shared" ca="1" si="84"/>
        <v>#VALUE!</v>
      </c>
      <c r="Y796">
        <f t="shared" ca="1" si="85"/>
        <v>1.1464212E-2</v>
      </c>
      <c r="Z796" t="e">
        <f t="shared" ca="1" si="86"/>
        <v>#VALUE!</v>
      </c>
    </row>
    <row r="797" spans="1:26" x14ac:dyDescent="0.4">
      <c r="A797" t="str">
        <f>MID(Taostats_CSV!C797,6,2)&amp;"/"&amp;MID(Taostats_CSV!C797,9,2)&amp;"/"&amp;LEFT(Taostats_CSV!C797,4)&amp;" "&amp;MID(Taostats_CSV!C797,12,8)</f>
        <v>08/17/2025 23:59:48</v>
      </c>
      <c r="C797" t="str">
        <f ca="1">IF(Q797,OFFSET(Taostats_CSV!$E$1,MATCH(K797&amp;D$1,Taostats_CSV!$X:$X,0)-1,0),IF(Taostats_CSV!F797="fee",IF(VALUE(Taostats_CSV!G797)&gt;0,Taostats_CSV!E797,""),""))</f>
        <v/>
      </c>
      <c r="D797" t="str">
        <f ca="1">IF(Q797,OFFSET(Taostats_CSV!$G$1,MATCH(K797&amp;D$1,Taostats_CSV!$X:$X,0)-1,0),IF(Taostats_CSV!F797="fee",IF(VALUE(Taostats_CSV!G797)&gt;0,Taostats_CSV!G797,""),""))</f>
        <v/>
      </c>
      <c r="E797" t="str">
        <f ca="1">IF(AND(Q797,P797&gt;0),OFFSET(Taostats_CSV!$E$1,MATCH(K797&amp;F$1,Taostats_CSV!$X:$X,0)-1,0),IF(LEN(F797)&gt;0,Taostats_CSV!E797,""))</f>
        <v>SN3</v>
      </c>
      <c r="F797" t="str">
        <f ca="1">TRIM(IF(AND(Q797,P797&gt;0),OFFSET(Taostats_CSV!$H$1,MATCH(K797&amp;F$1,Taostats_CSV!$X:$X,0)-1,0),IF(LEN(Taostats_CSV!H797)&gt;0,Taostats_CSV!H797,Taostats_CSV!R797)))</f>
        <v>0.431896481</v>
      </c>
      <c r="G797" t="str">
        <f ca="1">IF(AND(Q797,N797=1),OFFSET(Taostats_CSV!$E$1,MATCH(K797&amp;H$1,Taostats_CSV!$X:$X,0)-1,0),"")</f>
        <v/>
      </c>
      <c r="H797" t="str">
        <f ca="1">IF(AND(Q797,N797=1),OFFSET(Taostats_CSV!$G$1,MATCH(K797&amp;H$1,Taostats_CSV!$X:$X,0)-1,0),"")</f>
        <v/>
      </c>
      <c r="I797" t="str">
        <f ca="1">IF(AND(LEN(K797)=0,LEN(F797)&gt;0),"Income",IF(AND(O797&gt;0,P797&gt;0,C797&lt;&gt;E797),"Trade",IF(AND(NOT(Q797),Taostats_CSV!F797="fee"),'READ ME'!$C$5,"")))</f>
        <v>Income</v>
      </c>
      <c r="J797" t="str">
        <f ca="1">SUBSTITUTE(IF(LEN(I797)=0,Taostats_CSV!F797&amp;" "&amp;Taostats_CSV!J797,IF(I797="Cost","Extrinsic fee","")),"_"," ")</f>
        <v/>
      </c>
      <c r="K797" t="str">
        <f>TRIM(IF(LEN(Taostats_CSV!I797)&gt;0,Taostats_CSV!I797,""))</f>
        <v/>
      </c>
      <c r="L797">
        <f ca="1">IF(Taostats_CSV!E797&lt;&gt;"TAO",IF(LEN(F797)&gt;0,F797,IF(LEN(D797)&gt;0,D797,0))*Taostats_CSV!P797,"")</f>
        <v>7.7488890701877455</v>
      </c>
      <c r="M797" t="str">
        <f t="shared" ca="1" si="87"/>
        <v>USD</v>
      </c>
      <c r="N797">
        <f>COUNTIF(Taostats_CSV!$X:$X,Taostats_CSV!$I797&amp;N$1)</f>
        <v>0</v>
      </c>
      <c r="O797">
        <f>COUNTIF(Taostats_CSV!$X:$X,Taostats_CSV!$I797&amp;O$1)</f>
        <v>0</v>
      </c>
      <c r="P797">
        <f>COUNTIF(Taostats_CSV!$X:$X,Taostats_CSV!$I797&amp;P$1)</f>
        <v>0</v>
      </c>
      <c r="Q797" t="b">
        <f t="shared" si="88"/>
        <v>0</v>
      </c>
      <c r="R797" t="b">
        <f>IF(LEN(K797)&gt;0,COUNTIF($K$3:K797,K797),FALSE)</f>
        <v>0</v>
      </c>
      <c r="S797" t="b">
        <f>IF(Taostats_CSV!A797=Taostats_CSV!$A$2,TRUE,Taostats_CSV!G797+Taostats_CSV!H797+Taostats_CSV!R797=0)</f>
        <v>0</v>
      </c>
      <c r="T797" t="b">
        <f t="shared" si="89"/>
        <v>1</v>
      </c>
      <c r="U797" t="b" cm="1">
        <f t="array" aca="1" ref="U797" ca="1">AND(T797,OR(O797-N797&gt;1,P797&gt;1,ISERROR(A797:P797)))</f>
        <v>0</v>
      </c>
      <c r="W797" t="e">
        <f>MATCH(K797&amp;$W$2,Taostats_CSV!$X$3:$X$1167,0)</f>
        <v>#N/A</v>
      </c>
      <c r="X797" t="e">
        <f t="shared" ca="1" si="84"/>
        <v>#VALUE!</v>
      </c>
      <c r="Y797">
        <f t="shared" ca="1" si="85"/>
        <v>0.431896481</v>
      </c>
      <c r="Z797" t="e">
        <f t="shared" ca="1" si="86"/>
        <v>#VALUE!</v>
      </c>
    </row>
    <row r="798" spans="1:26" x14ac:dyDescent="0.4">
      <c r="A798" t="str">
        <f>MID(Taostats_CSV!C798,6,2)&amp;"/"&amp;MID(Taostats_CSV!C798,9,2)&amp;"/"&amp;LEFT(Taostats_CSV!C798,4)&amp;" "&amp;MID(Taostats_CSV!C798,12,8)</f>
        <v>08/17/2025 23:59:48</v>
      </c>
      <c r="C798" t="str">
        <f ca="1">IF(Q798,OFFSET(Taostats_CSV!$E$1,MATCH(K798&amp;D$1,Taostats_CSV!$X:$X,0)-1,0),IF(Taostats_CSV!F798="fee",IF(VALUE(Taostats_CSV!G798)&gt;0,Taostats_CSV!E798,""),""))</f>
        <v/>
      </c>
      <c r="D798" t="str">
        <f ca="1">IF(Q798,OFFSET(Taostats_CSV!$G$1,MATCH(K798&amp;D$1,Taostats_CSV!$X:$X,0)-1,0),IF(Taostats_CSV!F798="fee",IF(VALUE(Taostats_CSV!G798)&gt;0,Taostats_CSV!G798,""),""))</f>
        <v/>
      </c>
      <c r="E798" t="str">
        <f ca="1">IF(AND(Q798,P798&gt;0),OFFSET(Taostats_CSV!$E$1,MATCH(K798&amp;F$1,Taostats_CSV!$X:$X,0)-1,0),IF(LEN(F798)&gt;0,Taostats_CSV!E798,""))</f>
        <v>SN4</v>
      </c>
      <c r="F798" t="str">
        <f ca="1">TRIM(IF(AND(Q798,P798&gt;0),OFFSET(Taostats_CSV!$H$1,MATCH(K798&amp;F$1,Taostats_CSV!$X:$X,0)-1,0),IF(LEN(Taostats_CSV!H798)&gt;0,Taostats_CSV!H798,Taostats_CSV!R798)))</f>
        <v>0.427180611</v>
      </c>
      <c r="G798" t="str">
        <f ca="1">IF(AND(Q798,N798=1),OFFSET(Taostats_CSV!$E$1,MATCH(K798&amp;H$1,Taostats_CSV!$X:$X,0)-1,0),"")</f>
        <v/>
      </c>
      <c r="H798" t="str">
        <f ca="1">IF(AND(Q798,N798=1),OFFSET(Taostats_CSV!$G$1,MATCH(K798&amp;H$1,Taostats_CSV!$X:$X,0)-1,0),"")</f>
        <v/>
      </c>
      <c r="I798" t="str">
        <f ca="1">IF(AND(LEN(K798)=0,LEN(F798)&gt;0),"Income",IF(AND(O798&gt;0,P798&gt;0,C798&lt;&gt;E798),"Trade",IF(AND(NOT(Q798),Taostats_CSV!F798="fee"),'READ ME'!$C$5,"")))</f>
        <v>Income</v>
      </c>
      <c r="J798" t="str">
        <f ca="1">SUBSTITUTE(IF(LEN(I798)=0,Taostats_CSV!F798&amp;" "&amp;Taostats_CSV!J798,IF(I798="Cost","Extrinsic fee","")),"_"," ")</f>
        <v/>
      </c>
      <c r="K798" t="str">
        <f>TRIM(IF(LEN(Taostats_CSV!I798)&gt;0,Taostats_CSV!I798,""))</f>
        <v/>
      </c>
      <c r="L798">
        <f ca="1">IF(Taostats_CSV!E798&lt;&gt;"TAO",IF(LEN(F798)&gt;0,F798,IF(LEN(D798)&gt;0,D798,0))*Taostats_CSV!P798,"")</f>
        <v>8.3840425090418371</v>
      </c>
      <c r="M798" t="str">
        <f t="shared" ca="1" si="87"/>
        <v>USD</v>
      </c>
      <c r="N798">
        <f>COUNTIF(Taostats_CSV!$X:$X,Taostats_CSV!$I798&amp;N$1)</f>
        <v>0</v>
      </c>
      <c r="O798">
        <f>COUNTIF(Taostats_CSV!$X:$X,Taostats_CSV!$I798&amp;O$1)</f>
        <v>0</v>
      </c>
      <c r="P798">
        <f>COUNTIF(Taostats_CSV!$X:$X,Taostats_CSV!$I798&amp;P$1)</f>
        <v>0</v>
      </c>
      <c r="Q798" t="b">
        <f t="shared" si="88"/>
        <v>0</v>
      </c>
      <c r="R798" t="b">
        <f>IF(LEN(K798)&gt;0,COUNTIF($K$3:K798,K798),FALSE)</f>
        <v>0</v>
      </c>
      <c r="S798" t="b">
        <f>IF(Taostats_CSV!A798=Taostats_CSV!$A$2,TRUE,Taostats_CSV!G798+Taostats_CSV!H798+Taostats_CSV!R798=0)</f>
        <v>0</v>
      </c>
      <c r="T798" t="b">
        <f t="shared" si="89"/>
        <v>1</v>
      </c>
      <c r="U798" t="b" cm="1">
        <f t="array" aca="1" ref="U798" ca="1">AND(T798,OR(O798-N798&gt;1,P798&gt;1,ISERROR(A798:P798)))</f>
        <v>0</v>
      </c>
      <c r="W798" t="e">
        <f>MATCH(K798&amp;$W$2,Taostats_CSV!$X$3:$X$1167,0)</f>
        <v>#N/A</v>
      </c>
      <c r="X798" t="e">
        <f t="shared" ca="1" si="84"/>
        <v>#VALUE!</v>
      </c>
      <c r="Y798">
        <f t="shared" ca="1" si="85"/>
        <v>0.42718061099999999</v>
      </c>
      <c r="Z798" t="e">
        <f t="shared" ca="1" si="86"/>
        <v>#VALUE!</v>
      </c>
    </row>
    <row r="799" spans="1:26" x14ac:dyDescent="0.4">
      <c r="A799" t="str">
        <f>MID(Taostats_CSV!C799,6,2)&amp;"/"&amp;MID(Taostats_CSV!C799,9,2)&amp;"/"&amp;LEFT(Taostats_CSV!C799,4)&amp;" "&amp;MID(Taostats_CSV!C799,12,8)</f>
        <v>08/17/2025 23:59:48</v>
      </c>
      <c r="C799" t="str">
        <f ca="1">IF(Q799,OFFSET(Taostats_CSV!$E$1,MATCH(K799&amp;D$1,Taostats_CSV!$X:$X,0)-1,0),IF(Taostats_CSV!F799="fee",IF(VALUE(Taostats_CSV!G799)&gt;0,Taostats_CSV!E799,""),""))</f>
        <v/>
      </c>
      <c r="D799" t="str">
        <f ca="1">IF(Q799,OFFSET(Taostats_CSV!$G$1,MATCH(K799&amp;D$1,Taostats_CSV!$X:$X,0)-1,0),IF(Taostats_CSV!F799="fee",IF(VALUE(Taostats_CSV!G799)&gt;0,Taostats_CSV!G799,""),""))</f>
        <v/>
      </c>
      <c r="E799" t="str">
        <f ca="1">IF(AND(Q799,P799&gt;0),OFFSET(Taostats_CSV!$E$1,MATCH(K799&amp;F$1,Taostats_CSV!$X:$X,0)-1,0),IF(LEN(F799)&gt;0,Taostats_CSV!E799,""))</f>
        <v>SN56</v>
      </c>
      <c r="F799" t="str">
        <f ca="1">TRIM(IF(AND(Q799,P799&gt;0),OFFSET(Taostats_CSV!$H$1,MATCH(K799&amp;F$1,Taostats_CSV!$X:$X,0)-1,0),IF(LEN(Taostats_CSV!H799)&gt;0,Taostats_CSV!H799,Taostats_CSV!R799)))</f>
        <v>0.263480095</v>
      </c>
      <c r="G799" t="str">
        <f ca="1">IF(AND(Q799,N799=1),OFFSET(Taostats_CSV!$E$1,MATCH(K799&amp;H$1,Taostats_CSV!$X:$X,0)-1,0),"")</f>
        <v/>
      </c>
      <c r="H799" t="str">
        <f ca="1">IF(AND(Q799,N799=1),OFFSET(Taostats_CSV!$G$1,MATCH(K799&amp;H$1,Taostats_CSV!$X:$X,0)-1,0),"")</f>
        <v/>
      </c>
      <c r="I799" t="str">
        <f ca="1">IF(AND(LEN(K799)=0,LEN(F799)&gt;0),"Income",IF(AND(O799&gt;0,P799&gt;0,C799&lt;&gt;E799),"Trade",IF(AND(NOT(Q799),Taostats_CSV!F799="fee"),'READ ME'!$C$5,"")))</f>
        <v>Income</v>
      </c>
      <c r="J799" t="str">
        <f ca="1">SUBSTITUTE(IF(LEN(I799)=0,Taostats_CSV!F799&amp;" "&amp;Taostats_CSV!J799,IF(I799="Cost","Extrinsic fee","")),"_"," ")</f>
        <v/>
      </c>
      <c r="K799" t="str">
        <f>TRIM(IF(LEN(Taostats_CSV!I799)&gt;0,Taostats_CSV!I799,""))</f>
        <v/>
      </c>
      <c r="L799">
        <f ca="1">IF(Taostats_CSV!E799&lt;&gt;"TAO",IF(LEN(F799)&gt;0,F799,IF(LEN(D799)&gt;0,D799,0))*Taostats_CSV!P799,"")</f>
        <v>4.529347790073154</v>
      </c>
      <c r="M799" t="str">
        <f t="shared" ca="1" si="87"/>
        <v>USD</v>
      </c>
      <c r="N799">
        <f>COUNTIF(Taostats_CSV!$X:$X,Taostats_CSV!$I799&amp;N$1)</f>
        <v>0</v>
      </c>
      <c r="O799">
        <f>COUNTIF(Taostats_CSV!$X:$X,Taostats_CSV!$I799&amp;O$1)</f>
        <v>0</v>
      </c>
      <c r="P799">
        <f>COUNTIF(Taostats_CSV!$X:$X,Taostats_CSV!$I799&amp;P$1)</f>
        <v>0</v>
      </c>
      <c r="Q799" t="b">
        <f t="shared" si="88"/>
        <v>0</v>
      </c>
      <c r="R799" t="b">
        <f>IF(LEN(K799)&gt;0,COUNTIF($K$3:K799,K799),FALSE)</f>
        <v>0</v>
      </c>
      <c r="S799" t="b">
        <f>IF(Taostats_CSV!A799=Taostats_CSV!$A$2,TRUE,Taostats_CSV!G799+Taostats_CSV!H799+Taostats_CSV!R799=0)</f>
        <v>0</v>
      </c>
      <c r="T799" t="b">
        <f t="shared" si="89"/>
        <v>1</v>
      </c>
      <c r="U799" t="b" cm="1">
        <f t="array" aca="1" ref="U799" ca="1">AND(T799,OR(O799-N799&gt;1,P799&gt;1,ISERROR(A799:P799)))</f>
        <v>0</v>
      </c>
      <c r="W799" t="e">
        <f>MATCH(K799&amp;$W$2,Taostats_CSV!$X$3:$X$1167,0)</f>
        <v>#N/A</v>
      </c>
      <c r="X799" t="e">
        <f t="shared" ca="1" si="84"/>
        <v>#VALUE!</v>
      </c>
      <c r="Y799">
        <f t="shared" ca="1" si="85"/>
        <v>0.26348009500000003</v>
      </c>
      <c r="Z799" t="e">
        <f t="shared" ca="1" si="86"/>
        <v>#VALUE!</v>
      </c>
    </row>
    <row r="800" spans="1:26" x14ac:dyDescent="0.4">
      <c r="A800" t="str">
        <f>MID(Taostats_CSV!C800,6,2)&amp;"/"&amp;MID(Taostats_CSV!C800,9,2)&amp;"/"&amp;LEFT(Taostats_CSV!C800,4)&amp;" "&amp;MID(Taostats_CSV!C800,12,8)</f>
        <v>08/17/2025 23:59:48</v>
      </c>
      <c r="C800" t="str">
        <f ca="1">IF(Q800,OFFSET(Taostats_CSV!$E$1,MATCH(K800&amp;D$1,Taostats_CSV!$X:$X,0)-1,0),IF(Taostats_CSV!F800="fee",IF(VALUE(Taostats_CSV!G800)&gt;0,Taostats_CSV!E800,""),""))</f>
        <v/>
      </c>
      <c r="D800" t="str">
        <f ca="1">IF(Q800,OFFSET(Taostats_CSV!$G$1,MATCH(K800&amp;D$1,Taostats_CSV!$X:$X,0)-1,0),IF(Taostats_CSV!F800="fee",IF(VALUE(Taostats_CSV!G800)&gt;0,Taostats_CSV!G800,""),""))</f>
        <v/>
      </c>
      <c r="E800" t="str">
        <f ca="1">IF(AND(Q800,P800&gt;0),OFFSET(Taostats_CSV!$E$1,MATCH(K800&amp;F$1,Taostats_CSV!$X:$X,0)-1,0),IF(LEN(F800)&gt;0,Taostats_CSV!E800,""))</f>
        <v>SN64</v>
      </c>
      <c r="F800" t="str">
        <f ca="1">TRIM(IF(AND(Q800,P800&gt;0),OFFSET(Taostats_CSV!$H$1,MATCH(K800&amp;F$1,Taostats_CSV!$X:$X,0)-1,0),IF(LEN(Taostats_CSV!H800)&gt;0,Taostats_CSV!H800,Taostats_CSV!R800)))</f>
        <v>0.141993822</v>
      </c>
      <c r="G800" t="str">
        <f ca="1">IF(AND(Q800,N800=1),OFFSET(Taostats_CSV!$E$1,MATCH(K800&amp;H$1,Taostats_CSV!$X:$X,0)-1,0),"")</f>
        <v/>
      </c>
      <c r="H800" t="str">
        <f ca="1">IF(AND(Q800,N800=1),OFFSET(Taostats_CSV!$G$1,MATCH(K800&amp;H$1,Taostats_CSV!$X:$X,0)-1,0),"")</f>
        <v/>
      </c>
      <c r="I800" t="str">
        <f ca="1">IF(AND(LEN(K800)=0,LEN(F800)&gt;0),"Income",IF(AND(O800&gt;0,P800&gt;0,C800&lt;&gt;E800),"Trade",IF(AND(NOT(Q800),Taostats_CSV!F800="fee"),'READ ME'!$C$5,"")))</f>
        <v>Income</v>
      </c>
      <c r="J800" t="str">
        <f ca="1">SUBSTITUTE(IF(LEN(I800)=0,Taostats_CSV!F800&amp;" "&amp;Taostats_CSV!J800,IF(I800="Cost","Extrinsic fee","")),"_"," ")</f>
        <v/>
      </c>
      <c r="K800" t="str">
        <f>TRIM(IF(LEN(Taostats_CSV!I800)&gt;0,Taostats_CSV!I800,""))</f>
        <v/>
      </c>
      <c r="L800">
        <f ca="1">IF(Taostats_CSV!E800&lt;&gt;"TAO",IF(LEN(F800)&gt;0,F800,IF(LEN(D800)&gt;0,D800,0))*Taostats_CSV!P800,"")</f>
        <v>6.3251071843727056</v>
      </c>
      <c r="M800" t="str">
        <f t="shared" ca="1" si="87"/>
        <v>USD</v>
      </c>
      <c r="N800">
        <f>COUNTIF(Taostats_CSV!$X:$X,Taostats_CSV!$I800&amp;N$1)</f>
        <v>0</v>
      </c>
      <c r="O800">
        <f>COUNTIF(Taostats_CSV!$X:$X,Taostats_CSV!$I800&amp;O$1)</f>
        <v>0</v>
      </c>
      <c r="P800">
        <f>COUNTIF(Taostats_CSV!$X:$X,Taostats_CSV!$I800&amp;P$1)</f>
        <v>0</v>
      </c>
      <c r="Q800" t="b">
        <f t="shared" si="88"/>
        <v>0</v>
      </c>
      <c r="R800" t="b">
        <f>IF(LEN(K800)&gt;0,COUNTIF($K$3:K800,K800),FALSE)</f>
        <v>0</v>
      </c>
      <c r="S800" t="b">
        <f>IF(Taostats_CSV!A800=Taostats_CSV!$A$2,TRUE,Taostats_CSV!G800+Taostats_CSV!H800+Taostats_CSV!R800=0)</f>
        <v>0</v>
      </c>
      <c r="T800" t="b">
        <f t="shared" si="89"/>
        <v>1</v>
      </c>
      <c r="U800" t="b" cm="1">
        <f t="array" aca="1" ref="U800" ca="1">AND(T800,OR(O800-N800&gt;1,P800&gt;1,ISERROR(A800:P800)))</f>
        <v>0</v>
      </c>
      <c r="W800" t="e">
        <f>MATCH(K800&amp;$W$2,Taostats_CSV!$X$3:$X$1167,0)</f>
        <v>#N/A</v>
      </c>
      <c r="X800" t="e">
        <f t="shared" ca="1" si="84"/>
        <v>#VALUE!</v>
      </c>
      <c r="Y800">
        <f t="shared" ca="1" si="85"/>
        <v>0.14199382199999999</v>
      </c>
      <c r="Z800" t="e">
        <f t="shared" ca="1" si="86"/>
        <v>#VALUE!</v>
      </c>
    </row>
    <row r="801" spans="1:26" x14ac:dyDescent="0.4">
      <c r="A801" t="str">
        <f>MID(Taostats_CSV!C801,6,2)&amp;"/"&amp;MID(Taostats_CSV!C801,9,2)&amp;"/"&amp;LEFT(Taostats_CSV!C801,4)&amp;" "&amp;MID(Taostats_CSV!C801,12,8)</f>
        <v>08/17/2025 23:59:48</v>
      </c>
      <c r="C801" t="str">
        <f ca="1">IF(Q801,OFFSET(Taostats_CSV!$E$1,MATCH(K801&amp;D$1,Taostats_CSV!$X:$X,0)-1,0),IF(Taostats_CSV!F801="fee",IF(VALUE(Taostats_CSV!G801)&gt;0,Taostats_CSV!E801,""),""))</f>
        <v/>
      </c>
      <c r="D801" t="str">
        <f ca="1">IF(Q801,OFFSET(Taostats_CSV!$G$1,MATCH(K801&amp;D$1,Taostats_CSV!$X:$X,0)-1,0),IF(Taostats_CSV!F801="fee",IF(VALUE(Taostats_CSV!G801)&gt;0,Taostats_CSV!G801,""),""))</f>
        <v/>
      </c>
      <c r="E801" t="str">
        <f ca="1">IF(AND(Q801,P801&gt;0),OFFSET(Taostats_CSV!$E$1,MATCH(K801&amp;F$1,Taostats_CSV!$X:$X,0)-1,0),IF(LEN(F801)&gt;0,Taostats_CSV!E801,""))</f>
        <v>TAO</v>
      </c>
      <c r="F801" t="str">
        <f ca="1">TRIM(IF(AND(Q801,P801&gt;0),OFFSET(Taostats_CSV!$H$1,MATCH(K801&amp;F$1,Taostats_CSV!$X:$X,0)-1,0),IF(LEN(Taostats_CSV!H801)&gt;0,Taostats_CSV!H801,Taostats_CSV!R801)))</f>
        <v>0.011558947</v>
      </c>
      <c r="G801" t="str">
        <f ca="1">IF(AND(Q801,N801=1),OFFSET(Taostats_CSV!$E$1,MATCH(K801&amp;H$1,Taostats_CSV!$X:$X,0)-1,0),"")</f>
        <v/>
      </c>
      <c r="H801" t="str">
        <f ca="1">IF(AND(Q801,N801=1),OFFSET(Taostats_CSV!$G$1,MATCH(K801&amp;H$1,Taostats_CSV!$X:$X,0)-1,0),"")</f>
        <v/>
      </c>
      <c r="I801" t="str">
        <f ca="1">IF(AND(LEN(K801)=0,LEN(F801)&gt;0),"Income",IF(AND(O801&gt;0,P801&gt;0,C801&lt;&gt;E801),"Trade",IF(AND(NOT(Q801),Taostats_CSV!F801="fee"),'READ ME'!$C$5,"")))</f>
        <v>Income</v>
      </c>
      <c r="J801" t="str">
        <f ca="1">SUBSTITUTE(IF(LEN(I801)=0,Taostats_CSV!F801&amp;" "&amp;Taostats_CSV!J801,IF(I801="Cost","Extrinsic fee","")),"_"," ")</f>
        <v/>
      </c>
      <c r="K801" t="str">
        <f>TRIM(IF(LEN(Taostats_CSV!I801)&gt;0,Taostats_CSV!I801,""))</f>
        <v/>
      </c>
      <c r="L801" t="str">
        <f>IF(Taostats_CSV!E801&lt;&gt;"TAO",IF(LEN(F801)&gt;0,F801,IF(LEN(D801)&gt;0,D801,0))*Taostats_CSV!P801,"")</f>
        <v/>
      </c>
      <c r="M801" t="str">
        <f t="shared" si="87"/>
        <v/>
      </c>
      <c r="N801">
        <f>COUNTIF(Taostats_CSV!$X:$X,Taostats_CSV!$I801&amp;N$1)</f>
        <v>0</v>
      </c>
      <c r="O801">
        <f>COUNTIF(Taostats_CSV!$X:$X,Taostats_CSV!$I801&amp;O$1)</f>
        <v>0</v>
      </c>
      <c r="P801">
        <f>COUNTIF(Taostats_CSV!$X:$X,Taostats_CSV!$I801&amp;P$1)</f>
        <v>0</v>
      </c>
      <c r="Q801" t="b">
        <f t="shared" si="88"/>
        <v>0</v>
      </c>
      <c r="R801" t="b">
        <f>IF(LEN(K801)&gt;0,COUNTIF($K$3:K801,K801),FALSE)</f>
        <v>0</v>
      </c>
      <c r="S801" t="b">
        <f>IF(Taostats_CSV!A801=Taostats_CSV!$A$2,TRUE,Taostats_CSV!G801+Taostats_CSV!H801+Taostats_CSV!R801=0)</f>
        <v>0</v>
      </c>
      <c r="T801" t="b">
        <f t="shared" si="89"/>
        <v>1</v>
      </c>
      <c r="U801" t="b" cm="1">
        <f t="array" aca="1" ref="U801" ca="1">AND(T801,OR(O801-N801&gt;1,P801&gt;1,ISERROR(A801:P801)))</f>
        <v>0</v>
      </c>
      <c r="W801" t="e">
        <f>MATCH(K801&amp;$W$2,Taostats_CSV!$X$3:$X$1167,0)</f>
        <v>#N/A</v>
      </c>
      <c r="X801" t="e">
        <f t="shared" ca="1" si="84"/>
        <v>#VALUE!</v>
      </c>
      <c r="Y801">
        <f t="shared" ca="1" si="85"/>
        <v>1.1558947E-2</v>
      </c>
      <c r="Z801" t="e">
        <f t="shared" ca="1" si="86"/>
        <v>#VALUE!</v>
      </c>
    </row>
    <row r="802" spans="1:26" x14ac:dyDescent="0.4">
      <c r="A802" t="str">
        <f>MID(Taostats_CSV!C802,6,2)&amp;"/"&amp;MID(Taostats_CSV!C802,9,2)&amp;"/"&amp;LEFT(Taostats_CSV!C802,4)&amp;" "&amp;MID(Taostats_CSV!C802,12,8)</f>
        <v>08/18/2025 23:59:48</v>
      </c>
      <c r="C802" t="str">
        <f ca="1">IF(Q802,OFFSET(Taostats_CSV!$E$1,MATCH(K802&amp;D$1,Taostats_CSV!$X:$X,0)-1,0),IF(Taostats_CSV!F802="fee",IF(VALUE(Taostats_CSV!G802)&gt;0,Taostats_CSV!E802,""),""))</f>
        <v/>
      </c>
      <c r="D802" t="str">
        <f ca="1">IF(Q802,OFFSET(Taostats_CSV!$G$1,MATCH(K802&amp;D$1,Taostats_CSV!$X:$X,0)-1,0),IF(Taostats_CSV!F802="fee",IF(VALUE(Taostats_CSV!G802)&gt;0,Taostats_CSV!G802,""),""))</f>
        <v/>
      </c>
      <c r="E802" t="str">
        <f ca="1">IF(AND(Q802,P802&gt;0),OFFSET(Taostats_CSV!$E$1,MATCH(K802&amp;F$1,Taostats_CSV!$X:$X,0)-1,0),IF(LEN(F802)&gt;0,Taostats_CSV!E802,""))</f>
        <v>SN3</v>
      </c>
      <c r="F802" t="str">
        <f ca="1">TRIM(IF(AND(Q802,P802&gt;0),OFFSET(Taostats_CSV!$H$1,MATCH(K802&amp;F$1,Taostats_CSV!$X:$X,0)-1,0),IF(LEN(Taostats_CSV!H802)&gt;0,Taostats_CSV!H802,Taostats_CSV!R802)))</f>
        <v>0.440202766</v>
      </c>
      <c r="G802" t="str">
        <f ca="1">IF(AND(Q802,N802=1),OFFSET(Taostats_CSV!$E$1,MATCH(K802&amp;H$1,Taostats_CSV!$X:$X,0)-1,0),"")</f>
        <v/>
      </c>
      <c r="H802" t="str">
        <f ca="1">IF(AND(Q802,N802=1),OFFSET(Taostats_CSV!$G$1,MATCH(K802&amp;H$1,Taostats_CSV!$X:$X,0)-1,0),"")</f>
        <v/>
      </c>
      <c r="I802" t="str">
        <f ca="1">IF(AND(LEN(K802)=0,LEN(F802)&gt;0),"Income",IF(AND(O802&gt;0,P802&gt;0,C802&lt;&gt;E802),"Trade",IF(AND(NOT(Q802),Taostats_CSV!F802="fee"),'READ ME'!$C$5,"")))</f>
        <v>Income</v>
      </c>
      <c r="J802" t="str">
        <f ca="1">SUBSTITUTE(IF(LEN(I802)=0,Taostats_CSV!F802&amp;" "&amp;Taostats_CSV!J802,IF(I802="Cost","Extrinsic fee","")),"_"," ")</f>
        <v/>
      </c>
      <c r="K802" t="str">
        <f>TRIM(IF(LEN(Taostats_CSV!I802)&gt;0,Taostats_CSV!I802,""))</f>
        <v/>
      </c>
      <c r="L802">
        <f ca="1">IF(Taostats_CSV!E802&lt;&gt;"TAO",IF(LEN(F802)&gt;0,F802,IF(LEN(D802)&gt;0,D802,0))*Taostats_CSV!P802,"")</f>
        <v>7.4655653246213758</v>
      </c>
      <c r="M802" t="str">
        <f t="shared" ca="1" si="87"/>
        <v>USD</v>
      </c>
      <c r="N802">
        <f>COUNTIF(Taostats_CSV!$X:$X,Taostats_CSV!$I802&amp;N$1)</f>
        <v>0</v>
      </c>
      <c r="O802">
        <f>COUNTIF(Taostats_CSV!$X:$X,Taostats_CSV!$I802&amp;O$1)</f>
        <v>0</v>
      </c>
      <c r="P802">
        <f>COUNTIF(Taostats_CSV!$X:$X,Taostats_CSV!$I802&amp;P$1)</f>
        <v>0</v>
      </c>
      <c r="Q802" t="b">
        <f t="shared" si="88"/>
        <v>0</v>
      </c>
      <c r="R802" t="b">
        <f>IF(LEN(K802)&gt;0,COUNTIF($K$3:K802,K802),FALSE)</f>
        <v>0</v>
      </c>
      <c r="S802" t="b">
        <f>IF(Taostats_CSV!A802=Taostats_CSV!$A$2,TRUE,Taostats_CSV!G802+Taostats_CSV!H802+Taostats_CSV!R802=0)</f>
        <v>0</v>
      </c>
      <c r="T802" t="b">
        <f t="shared" si="89"/>
        <v>1</v>
      </c>
      <c r="U802" t="b" cm="1">
        <f t="array" aca="1" ref="U802" ca="1">AND(T802,OR(O802-N802&gt;1,P802&gt;1,ISERROR(A802:P802)))</f>
        <v>0</v>
      </c>
      <c r="W802" t="e">
        <f>MATCH(K802&amp;$W$2,Taostats_CSV!$X$3:$X$1167,0)</f>
        <v>#N/A</v>
      </c>
      <c r="X802" t="e">
        <f t="shared" ca="1" si="84"/>
        <v>#VALUE!</v>
      </c>
      <c r="Y802">
        <f t="shared" ca="1" si="85"/>
        <v>0.44020276600000002</v>
      </c>
      <c r="Z802" t="e">
        <f t="shared" ca="1" si="86"/>
        <v>#VALUE!</v>
      </c>
    </row>
    <row r="803" spans="1:26" x14ac:dyDescent="0.4">
      <c r="A803" t="str">
        <f>MID(Taostats_CSV!C803,6,2)&amp;"/"&amp;MID(Taostats_CSV!C803,9,2)&amp;"/"&amp;LEFT(Taostats_CSV!C803,4)&amp;" "&amp;MID(Taostats_CSV!C803,12,8)</f>
        <v>08/18/2025 23:59:48</v>
      </c>
      <c r="C803" t="str">
        <f ca="1">IF(Q803,OFFSET(Taostats_CSV!$E$1,MATCH(K803&amp;D$1,Taostats_CSV!$X:$X,0)-1,0),IF(Taostats_CSV!F803="fee",IF(VALUE(Taostats_CSV!G803)&gt;0,Taostats_CSV!E803,""),""))</f>
        <v/>
      </c>
      <c r="D803" t="str">
        <f ca="1">IF(Q803,OFFSET(Taostats_CSV!$G$1,MATCH(K803&amp;D$1,Taostats_CSV!$X:$X,0)-1,0),IF(Taostats_CSV!F803="fee",IF(VALUE(Taostats_CSV!G803)&gt;0,Taostats_CSV!G803,""),""))</f>
        <v/>
      </c>
      <c r="E803" t="str">
        <f ca="1">IF(AND(Q803,P803&gt;0),OFFSET(Taostats_CSV!$E$1,MATCH(K803&amp;F$1,Taostats_CSV!$X:$X,0)-1,0),IF(LEN(F803)&gt;0,Taostats_CSV!E803,""))</f>
        <v>SN4</v>
      </c>
      <c r="F803" t="str">
        <f ca="1">TRIM(IF(AND(Q803,P803&gt;0),OFFSET(Taostats_CSV!$H$1,MATCH(K803&amp;F$1,Taostats_CSV!$X:$X,0)-1,0),IF(LEN(Taostats_CSV!H803)&gt;0,Taostats_CSV!H803,Taostats_CSV!R803)))</f>
        <v>0.433219397</v>
      </c>
      <c r="G803" t="str">
        <f ca="1">IF(AND(Q803,N803=1),OFFSET(Taostats_CSV!$E$1,MATCH(K803&amp;H$1,Taostats_CSV!$X:$X,0)-1,0),"")</f>
        <v/>
      </c>
      <c r="H803" t="str">
        <f ca="1">IF(AND(Q803,N803=1),OFFSET(Taostats_CSV!$G$1,MATCH(K803&amp;H$1,Taostats_CSV!$X:$X,0)-1,0),"")</f>
        <v/>
      </c>
      <c r="I803" t="str">
        <f ca="1">IF(AND(LEN(K803)=0,LEN(F803)&gt;0),"Income",IF(AND(O803&gt;0,P803&gt;0,C803&lt;&gt;E803),"Trade",IF(AND(NOT(Q803),Taostats_CSV!F803="fee"),'READ ME'!$C$5,"")))</f>
        <v>Income</v>
      </c>
      <c r="J803" t="str">
        <f ca="1">SUBSTITUTE(IF(LEN(I803)=0,Taostats_CSV!F803&amp;" "&amp;Taostats_CSV!J803,IF(I803="Cost","Extrinsic fee","")),"_"," ")</f>
        <v/>
      </c>
      <c r="K803" t="str">
        <f>TRIM(IF(LEN(Taostats_CSV!I803)&gt;0,Taostats_CSV!I803,""))</f>
        <v/>
      </c>
      <c r="L803">
        <f ca="1">IF(Taostats_CSV!E803&lt;&gt;"TAO",IF(LEN(F803)&gt;0,F803,IF(LEN(D803)&gt;0,D803,0))*Taostats_CSV!P803,"")</f>
        <v>8.0137460547882569</v>
      </c>
      <c r="M803" t="str">
        <f t="shared" ca="1" si="87"/>
        <v>USD</v>
      </c>
      <c r="N803">
        <f>COUNTIF(Taostats_CSV!$X:$X,Taostats_CSV!$I803&amp;N$1)</f>
        <v>0</v>
      </c>
      <c r="O803">
        <f>COUNTIF(Taostats_CSV!$X:$X,Taostats_CSV!$I803&amp;O$1)</f>
        <v>0</v>
      </c>
      <c r="P803">
        <f>COUNTIF(Taostats_CSV!$X:$X,Taostats_CSV!$I803&amp;P$1)</f>
        <v>0</v>
      </c>
      <c r="Q803" t="b">
        <f t="shared" si="88"/>
        <v>0</v>
      </c>
      <c r="R803" t="b">
        <f>IF(LEN(K803)&gt;0,COUNTIF($K$3:K803,K803),FALSE)</f>
        <v>0</v>
      </c>
      <c r="S803" t="b">
        <f>IF(Taostats_CSV!A803=Taostats_CSV!$A$2,TRUE,Taostats_CSV!G803+Taostats_CSV!H803+Taostats_CSV!R803=0)</f>
        <v>0</v>
      </c>
      <c r="T803" t="b">
        <f t="shared" si="89"/>
        <v>1</v>
      </c>
      <c r="U803" t="b" cm="1">
        <f t="array" aca="1" ref="U803" ca="1">AND(T803,OR(O803-N803&gt;1,P803&gt;1,ISERROR(A803:P803)))</f>
        <v>0</v>
      </c>
      <c r="W803" t="e">
        <f>MATCH(K803&amp;$W$2,Taostats_CSV!$X$3:$X$1167,0)</f>
        <v>#N/A</v>
      </c>
      <c r="X803" t="e">
        <f t="shared" ca="1" si="84"/>
        <v>#VALUE!</v>
      </c>
      <c r="Y803">
        <f t="shared" ca="1" si="85"/>
        <v>0.43321939700000001</v>
      </c>
      <c r="Z803" t="e">
        <f t="shared" ca="1" si="86"/>
        <v>#VALUE!</v>
      </c>
    </row>
    <row r="804" spans="1:26" x14ac:dyDescent="0.4">
      <c r="A804" t="str">
        <f>MID(Taostats_CSV!C804,6,2)&amp;"/"&amp;MID(Taostats_CSV!C804,9,2)&amp;"/"&amp;LEFT(Taostats_CSV!C804,4)&amp;" "&amp;MID(Taostats_CSV!C804,12,8)</f>
        <v>08/18/2025 23:59:48</v>
      </c>
      <c r="C804" t="str">
        <f ca="1">IF(Q804,OFFSET(Taostats_CSV!$E$1,MATCH(K804&amp;D$1,Taostats_CSV!$X:$X,0)-1,0),IF(Taostats_CSV!F804="fee",IF(VALUE(Taostats_CSV!G804)&gt;0,Taostats_CSV!E804,""),""))</f>
        <v/>
      </c>
      <c r="D804" t="str">
        <f ca="1">IF(Q804,OFFSET(Taostats_CSV!$G$1,MATCH(K804&amp;D$1,Taostats_CSV!$X:$X,0)-1,0),IF(Taostats_CSV!F804="fee",IF(VALUE(Taostats_CSV!G804)&gt;0,Taostats_CSV!G804,""),""))</f>
        <v/>
      </c>
      <c r="E804" t="str">
        <f ca="1">IF(AND(Q804,P804&gt;0),OFFSET(Taostats_CSV!$E$1,MATCH(K804&amp;F$1,Taostats_CSV!$X:$X,0)-1,0),IF(LEN(F804)&gt;0,Taostats_CSV!E804,""))</f>
        <v>SN56</v>
      </c>
      <c r="F804" t="str">
        <f ca="1">TRIM(IF(AND(Q804,P804&gt;0),OFFSET(Taostats_CSV!$H$1,MATCH(K804&amp;F$1,Taostats_CSV!$X:$X,0)-1,0),IF(LEN(Taostats_CSV!H804)&gt;0,Taostats_CSV!H804,Taostats_CSV!R804)))</f>
        <v>0.268709106</v>
      </c>
      <c r="G804" t="str">
        <f ca="1">IF(AND(Q804,N804=1),OFFSET(Taostats_CSV!$E$1,MATCH(K804&amp;H$1,Taostats_CSV!$X:$X,0)-1,0),"")</f>
        <v/>
      </c>
      <c r="H804" t="str">
        <f ca="1">IF(AND(Q804,N804=1),OFFSET(Taostats_CSV!$G$1,MATCH(K804&amp;H$1,Taostats_CSV!$X:$X,0)-1,0),"")</f>
        <v/>
      </c>
      <c r="I804" t="str">
        <f ca="1">IF(AND(LEN(K804)=0,LEN(F804)&gt;0),"Income",IF(AND(O804&gt;0,P804&gt;0,C804&lt;&gt;E804),"Trade",IF(AND(NOT(Q804),Taostats_CSV!F804="fee"),'READ ME'!$C$5,"")))</f>
        <v>Income</v>
      </c>
      <c r="J804" t="str">
        <f ca="1">SUBSTITUTE(IF(LEN(I804)=0,Taostats_CSV!F804&amp;" "&amp;Taostats_CSV!J804,IF(I804="Cost","Extrinsic fee","")),"_"," ")</f>
        <v/>
      </c>
      <c r="K804" t="str">
        <f>TRIM(IF(LEN(Taostats_CSV!I804)&gt;0,Taostats_CSV!I804,""))</f>
        <v/>
      </c>
      <c r="L804">
        <f ca="1">IF(Taostats_CSV!E804&lt;&gt;"TAO",IF(LEN(F804)&gt;0,F804,IF(LEN(D804)&gt;0,D804,0))*Taostats_CSV!P804,"")</f>
        <v>4.3304305302318369</v>
      </c>
      <c r="M804" t="str">
        <f t="shared" ca="1" si="87"/>
        <v>USD</v>
      </c>
      <c r="N804">
        <f>COUNTIF(Taostats_CSV!$X:$X,Taostats_CSV!$I804&amp;N$1)</f>
        <v>0</v>
      </c>
      <c r="O804">
        <f>COUNTIF(Taostats_CSV!$X:$X,Taostats_CSV!$I804&amp;O$1)</f>
        <v>0</v>
      </c>
      <c r="P804">
        <f>COUNTIF(Taostats_CSV!$X:$X,Taostats_CSV!$I804&amp;P$1)</f>
        <v>0</v>
      </c>
      <c r="Q804" t="b">
        <f t="shared" si="88"/>
        <v>0</v>
      </c>
      <c r="R804" t="b">
        <f>IF(LEN(K804)&gt;0,COUNTIF($K$3:K804,K804),FALSE)</f>
        <v>0</v>
      </c>
      <c r="S804" t="b">
        <f>IF(Taostats_CSV!A804=Taostats_CSV!$A$2,TRUE,Taostats_CSV!G804+Taostats_CSV!H804+Taostats_CSV!R804=0)</f>
        <v>0</v>
      </c>
      <c r="T804" t="b">
        <f t="shared" si="89"/>
        <v>1</v>
      </c>
      <c r="U804" t="b" cm="1">
        <f t="array" aca="1" ref="U804" ca="1">AND(T804,OR(O804-N804&gt;1,P804&gt;1,ISERROR(A804:P804)))</f>
        <v>0</v>
      </c>
      <c r="W804" t="e">
        <f>MATCH(K804&amp;$W$2,Taostats_CSV!$X$3:$X$1167,0)</f>
        <v>#N/A</v>
      </c>
      <c r="X804" t="e">
        <f t="shared" ca="1" si="84"/>
        <v>#VALUE!</v>
      </c>
      <c r="Y804">
        <f t="shared" ca="1" si="85"/>
        <v>0.26870910599999998</v>
      </c>
      <c r="Z804" t="e">
        <f t="shared" ca="1" si="86"/>
        <v>#VALUE!</v>
      </c>
    </row>
    <row r="805" spans="1:26" x14ac:dyDescent="0.4">
      <c r="A805" t="str">
        <f>MID(Taostats_CSV!C805,6,2)&amp;"/"&amp;MID(Taostats_CSV!C805,9,2)&amp;"/"&amp;LEFT(Taostats_CSV!C805,4)&amp;" "&amp;MID(Taostats_CSV!C805,12,8)</f>
        <v>08/18/2025 23:59:48</v>
      </c>
      <c r="C805" t="str">
        <f ca="1">IF(Q805,OFFSET(Taostats_CSV!$E$1,MATCH(K805&amp;D$1,Taostats_CSV!$X:$X,0)-1,0),IF(Taostats_CSV!F805="fee",IF(VALUE(Taostats_CSV!G805)&gt;0,Taostats_CSV!E805,""),""))</f>
        <v/>
      </c>
      <c r="D805" t="str">
        <f ca="1">IF(Q805,OFFSET(Taostats_CSV!$G$1,MATCH(K805&amp;D$1,Taostats_CSV!$X:$X,0)-1,0),IF(Taostats_CSV!F805="fee",IF(VALUE(Taostats_CSV!G805)&gt;0,Taostats_CSV!G805,""),""))</f>
        <v/>
      </c>
      <c r="E805" t="str">
        <f ca="1">IF(AND(Q805,P805&gt;0),OFFSET(Taostats_CSV!$E$1,MATCH(K805&amp;F$1,Taostats_CSV!$X:$X,0)-1,0),IF(LEN(F805)&gt;0,Taostats_CSV!E805,""))</f>
        <v>SN64</v>
      </c>
      <c r="F805" t="str">
        <f ca="1">TRIM(IF(AND(Q805,P805&gt;0),OFFSET(Taostats_CSV!$H$1,MATCH(K805&amp;F$1,Taostats_CSV!$X:$X,0)-1,0),IF(LEN(Taostats_CSV!H805)&gt;0,Taostats_CSV!H805,Taostats_CSV!R805)))</f>
        <v>0.142470412</v>
      </c>
      <c r="G805" t="str">
        <f ca="1">IF(AND(Q805,N805=1),OFFSET(Taostats_CSV!$E$1,MATCH(K805&amp;H$1,Taostats_CSV!$X:$X,0)-1,0),"")</f>
        <v/>
      </c>
      <c r="H805" t="str">
        <f ca="1">IF(AND(Q805,N805=1),OFFSET(Taostats_CSV!$G$1,MATCH(K805&amp;H$1,Taostats_CSV!$X:$X,0)-1,0),"")</f>
        <v/>
      </c>
      <c r="I805" t="str">
        <f ca="1">IF(AND(LEN(K805)=0,LEN(F805)&gt;0),"Income",IF(AND(O805&gt;0,P805&gt;0,C805&lt;&gt;E805),"Trade",IF(AND(NOT(Q805),Taostats_CSV!F805="fee"),'READ ME'!$C$5,"")))</f>
        <v>Income</v>
      </c>
      <c r="J805" t="str">
        <f ca="1">SUBSTITUTE(IF(LEN(I805)=0,Taostats_CSV!F805&amp;" "&amp;Taostats_CSV!J805,IF(I805="Cost","Extrinsic fee","")),"_"," ")</f>
        <v/>
      </c>
      <c r="K805" t="str">
        <f>TRIM(IF(LEN(Taostats_CSV!I805)&gt;0,Taostats_CSV!I805,""))</f>
        <v/>
      </c>
      <c r="L805">
        <f ca="1">IF(Taostats_CSV!E805&lt;&gt;"TAO",IF(LEN(F805)&gt;0,F805,IF(LEN(D805)&gt;0,D805,0))*Taostats_CSV!P805,"")</f>
        <v>5.9868397948406429</v>
      </c>
      <c r="M805" t="str">
        <f t="shared" ca="1" si="87"/>
        <v>USD</v>
      </c>
      <c r="N805">
        <f>COUNTIF(Taostats_CSV!$X:$X,Taostats_CSV!$I805&amp;N$1)</f>
        <v>0</v>
      </c>
      <c r="O805">
        <f>COUNTIF(Taostats_CSV!$X:$X,Taostats_CSV!$I805&amp;O$1)</f>
        <v>0</v>
      </c>
      <c r="P805">
        <f>COUNTIF(Taostats_CSV!$X:$X,Taostats_CSV!$I805&amp;P$1)</f>
        <v>0</v>
      </c>
      <c r="Q805" t="b">
        <f t="shared" si="88"/>
        <v>0</v>
      </c>
      <c r="R805" t="b">
        <f>IF(LEN(K805)&gt;0,COUNTIF($K$3:K805,K805),FALSE)</f>
        <v>0</v>
      </c>
      <c r="S805" t="b">
        <f>IF(Taostats_CSV!A805=Taostats_CSV!$A$2,TRUE,Taostats_CSV!G805+Taostats_CSV!H805+Taostats_CSV!R805=0)</f>
        <v>0</v>
      </c>
      <c r="T805" t="b">
        <f t="shared" si="89"/>
        <v>1</v>
      </c>
      <c r="U805" t="b" cm="1">
        <f t="array" aca="1" ref="U805" ca="1">AND(T805,OR(O805-N805&gt;1,P805&gt;1,ISERROR(A805:P805)))</f>
        <v>0</v>
      </c>
      <c r="W805" t="e">
        <f>MATCH(K805&amp;$W$2,Taostats_CSV!$X$3:$X$1167,0)</f>
        <v>#N/A</v>
      </c>
      <c r="X805" t="e">
        <f t="shared" ca="1" si="84"/>
        <v>#VALUE!</v>
      </c>
      <c r="Y805">
        <f t="shared" ca="1" si="85"/>
        <v>0.14247041199999999</v>
      </c>
      <c r="Z805" t="e">
        <f t="shared" ca="1" si="86"/>
        <v>#VALUE!</v>
      </c>
    </row>
    <row r="806" spans="1:26" x14ac:dyDescent="0.4">
      <c r="A806" t="str">
        <f>MID(Taostats_CSV!C806,6,2)&amp;"/"&amp;MID(Taostats_CSV!C806,9,2)&amp;"/"&amp;LEFT(Taostats_CSV!C806,4)&amp;" "&amp;MID(Taostats_CSV!C806,12,8)</f>
        <v>08/18/2025 23:59:48</v>
      </c>
      <c r="C806" t="str">
        <f ca="1">IF(Q806,OFFSET(Taostats_CSV!$E$1,MATCH(K806&amp;D$1,Taostats_CSV!$X:$X,0)-1,0),IF(Taostats_CSV!F806="fee",IF(VALUE(Taostats_CSV!G806)&gt;0,Taostats_CSV!E806,""),""))</f>
        <v/>
      </c>
      <c r="D806" t="str">
        <f ca="1">IF(Q806,OFFSET(Taostats_CSV!$G$1,MATCH(K806&amp;D$1,Taostats_CSV!$X:$X,0)-1,0),IF(Taostats_CSV!F806="fee",IF(VALUE(Taostats_CSV!G806)&gt;0,Taostats_CSV!G806,""),""))</f>
        <v/>
      </c>
      <c r="E806" t="str">
        <f ca="1">IF(AND(Q806,P806&gt;0),OFFSET(Taostats_CSV!$E$1,MATCH(K806&amp;F$1,Taostats_CSV!$X:$X,0)-1,0),IF(LEN(F806)&gt;0,Taostats_CSV!E806,""))</f>
        <v>TAO</v>
      </c>
      <c r="F806" t="str">
        <f ca="1">TRIM(IF(AND(Q806,P806&gt;0),OFFSET(Taostats_CSV!$H$1,MATCH(K806&amp;F$1,Taostats_CSV!$X:$X,0)-1,0),IF(LEN(Taostats_CSV!H806)&gt;0,Taostats_CSV!H806,Taostats_CSV!R806)))</f>
        <v>0.01134864</v>
      </c>
      <c r="G806" t="str">
        <f ca="1">IF(AND(Q806,N806=1),OFFSET(Taostats_CSV!$E$1,MATCH(K806&amp;H$1,Taostats_CSV!$X:$X,0)-1,0),"")</f>
        <v/>
      </c>
      <c r="H806" t="str">
        <f ca="1">IF(AND(Q806,N806=1),OFFSET(Taostats_CSV!$G$1,MATCH(K806&amp;H$1,Taostats_CSV!$X:$X,0)-1,0),"")</f>
        <v/>
      </c>
      <c r="I806" t="str">
        <f ca="1">IF(AND(LEN(K806)=0,LEN(F806)&gt;0),"Income",IF(AND(O806&gt;0,P806&gt;0,C806&lt;&gt;E806),"Trade",IF(AND(NOT(Q806),Taostats_CSV!F806="fee"),'READ ME'!$C$5,"")))</f>
        <v>Income</v>
      </c>
      <c r="J806" t="str">
        <f ca="1">SUBSTITUTE(IF(LEN(I806)=0,Taostats_CSV!F806&amp;" "&amp;Taostats_CSV!J806,IF(I806="Cost","Extrinsic fee","")),"_"," ")</f>
        <v/>
      </c>
      <c r="K806" t="str">
        <f>TRIM(IF(LEN(Taostats_CSV!I806)&gt;0,Taostats_CSV!I806,""))</f>
        <v/>
      </c>
      <c r="L806" t="str">
        <f>IF(Taostats_CSV!E806&lt;&gt;"TAO",IF(LEN(F806)&gt;0,F806,IF(LEN(D806)&gt;0,D806,0))*Taostats_CSV!P806,"")</f>
        <v/>
      </c>
      <c r="M806" t="str">
        <f t="shared" si="87"/>
        <v/>
      </c>
      <c r="N806">
        <f>COUNTIF(Taostats_CSV!$X:$X,Taostats_CSV!$I806&amp;N$1)</f>
        <v>0</v>
      </c>
      <c r="O806">
        <f>COUNTIF(Taostats_CSV!$X:$X,Taostats_CSV!$I806&amp;O$1)</f>
        <v>0</v>
      </c>
      <c r="P806">
        <f>COUNTIF(Taostats_CSV!$X:$X,Taostats_CSV!$I806&amp;P$1)</f>
        <v>0</v>
      </c>
      <c r="Q806" t="b">
        <f t="shared" si="88"/>
        <v>0</v>
      </c>
      <c r="R806" t="b">
        <f>IF(LEN(K806)&gt;0,COUNTIF($K$3:K806,K806),FALSE)</f>
        <v>0</v>
      </c>
      <c r="S806" t="b">
        <f>IF(Taostats_CSV!A806=Taostats_CSV!$A$2,TRUE,Taostats_CSV!G806+Taostats_CSV!H806+Taostats_CSV!R806=0)</f>
        <v>0</v>
      </c>
      <c r="T806" t="b">
        <f t="shared" si="89"/>
        <v>1</v>
      </c>
      <c r="U806" t="b" cm="1">
        <f t="array" aca="1" ref="U806" ca="1">AND(T806,OR(O806-N806&gt;1,P806&gt;1,ISERROR(A806:P806)))</f>
        <v>0</v>
      </c>
      <c r="W806" t="e">
        <f>MATCH(K806&amp;$W$2,Taostats_CSV!$X$3:$X$1167,0)</f>
        <v>#N/A</v>
      </c>
      <c r="X806" t="e">
        <f t="shared" ca="1" si="84"/>
        <v>#VALUE!</v>
      </c>
      <c r="Y806">
        <f t="shared" ca="1" si="85"/>
        <v>1.134864E-2</v>
      </c>
      <c r="Z806" t="e">
        <f t="shared" ca="1" si="86"/>
        <v>#VALUE!</v>
      </c>
    </row>
    <row r="807" spans="1:26" x14ac:dyDescent="0.4">
      <c r="A807" t="str">
        <f>MID(Taostats_CSV!C807,6,2)&amp;"/"&amp;MID(Taostats_CSV!C807,9,2)&amp;"/"&amp;LEFT(Taostats_CSV!C807,4)&amp;" "&amp;MID(Taostats_CSV!C807,12,8)</f>
        <v>08/19/2025 23:59:48</v>
      </c>
      <c r="C807" t="str">
        <f ca="1">IF(Q807,OFFSET(Taostats_CSV!$E$1,MATCH(K807&amp;D$1,Taostats_CSV!$X:$X,0)-1,0),IF(Taostats_CSV!F807="fee",IF(VALUE(Taostats_CSV!G807)&gt;0,Taostats_CSV!E807,""),""))</f>
        <v/>
      </c>
      <c r="D807" t="str">
        <f ca="1">IF(Q807,OFFSET(Taostats_CSV!$G$1,MATCH(K807&amp;D$1,Taostats_CSV!$X:$X,0)-1,0),IF(Taostats_CSV!F807="fee",IF(VALUE(Taostats_CSV!G807)&gt;0,Taostats_CSV!G807,""),""))</f>
        <v/>
      </c>
      <c r="E807" t="str">
        <f ca="1">IF(AND(Q807,P807&gt;0),OFFSET(Taostats_CSV!$E$1,MATCH(K807&amp;F$1,Taostats_CSV!$X:$X,0)-1,0),IF(LEN(F807)&gt;0,Taostats_CSV!E807,""))</f>
        <v>SN3</v>
      </c>
      <c r="F807" t="str">
        <f ca="1">TRIM(IF(AND(Q807,P807&gt;0),OFFSET(Taostats_CSV!$H$1,MATCH(K807&amp;F$1,Taostats_CSV!$X:$X,0)-1,0),IF(LEN(Taostats_CSV!H807)&gt;0,Taostats_CSV!H807,Taostats_CSV!R807)))</f>
        <v>0.441126247</v>
      </c>
      <c r="G807" t="str">
        <f ca="1">IF(AND(Q807,N807=1),OFFSET(Taostats_CSV!$E$1,MATCH(K807&amp;H$1,Taostats_CSV!$X:$X,0)-1,0),"")</f>
        <v/>
      </c>
      <c r="H807" t="str">
        <f ca="1">IF(AND(Q807,N807=1),OFFSET(Taostats_CSV!$G$1,MATCH(K807&amp;H$1,Taostats_CSV!$X:$X,0)-1,0),"")</f>
        <v/>
      </c>
      <c r="I807" t="str">
        <f ca="1">IF(AND(LEN(K807)=0,LEN(F807)&gt;0),"Income",IF(AND(O807&gt;0,P807&gt;0,C807&lt;&gt;E807),"Trade",IF(AND(NOT(Q807),Taostats_CSV!F807="fee"),'READ ME'!$C$5,"")))</f>
        <v>Income</v>
      </c>
      <c r="J807" t="str">
        <f ca="1">SUBSTITUTE(IF(LEN(I807)=0,Taostats_CSV!F807&amp;" "&amp;Taostats_CSV!J807,IF(I807="Cost","Extrinsic fee","")),"_"," ")</f>
        <v/>
      </c>
      <c r="K807" t="str">
        <f>TRIM(IF(LEN(Taostats_CSV!I807)&gt;0,Taostats_CSV!I807,""))</f>
        <v/>
      </c>
      <c r="L807">
        <f ca="1">IF(Taostats_CSV!E807&lt;&gt;"TAO",IF(LEN(F807)&gt;0,F807,IF(LEN(D807)&gt;0,D807,0))*Taostats_CSV!P807,"")</f>
        <v>7.1806258637346323</v>
      </c>
      <c r="M807" t="str">
        <f t="shared" ca="1" si="87"/>
        <v>USD</v>
      </c>
      <c r="N807">
        <f>COUNTIF(Taostats_CSV!$X:$X,Taostats_CSV!$I807&amp;N$1)</f>
        <v>0</v>
      </c>
      <c r="O807">
        <f>COUNTIF(Taostats_CSV!$X:$X,Taostats_CSV!$I807&amp;O$1)</f>
        <v>0</v>
      </c>
      <c r="P807">
        <f>COUNTIF(Taostats_CSV!$X:$X,Taostats_CSV!$I807&amp;P$1)</f>
        <v>0</v>
      </c>
      <c r="Q807" t="b">
        <f t="shared" si="88"/>
        <v>0</v>
      </c>
      <c r="R807" t="b">
        <f>IF(LEN(K807)&gt;0,COUNTIF($K$3:K807,K807),FALSE)</f>
        <v>0</v>
      </c>
      <c r="S807" t="b">
        <f>IF(Taostats_CSV!A807=Taostats_CSV!$A$2,TRUE,Taostats_CSV!G807+Taostats_CSV!H807+Taostats_CSV!R807=0)</f>
        <v>0</v>
      </c>
      <c r="T807" t="b">
        <f t="shared" si="89"/>
        <v>1</v>
      </c>
      <c r="U807" t="b" cm="1">
        <f t="array" aca="1" ref="U807" ca="1">AND(T807,OR(O807-N807&gt;1,P807&gt;1,ISERROR(A807:P807)))</f>
        <v>0</v>
      </c>
      <c r="W807" t="e">
        <f>MATCH(K807&amp;$W$2,Taostats_CSV!$X$3:$X$1167,0)</f>
        <v>#N/A</v>
      </c>
      <c r="X807" t="e">
        <f t="shared" ca="1" si="84"/>
        <v>#VALUE!</v>
      </c>
      <c r="Y807">
        <f t="shared" ca="1" si="85"/>
        <v>0.44112624700000003</v>
      </c>
      <c r="Z807" t="e">
        <f t="shared" ca="1" si="86"/>
        <v>#VALUE!</v>
      </c>
    </row>
    <row r="808" spans="1:26" x14ac:dyDescent="0.4">
      <c r="A808" t="str">
        <f>MID(Taostats_CSV!C808,6,2)&amp;"/"&amp;MID(Taostats_CSV!C808,9,2)&amp;"/"&amp;LEFT(Taostats_CSV!C808,4)&amp;" "&amp;MID(Taostats_CSV!C808,12,8)</f>
        <v>08/19/2025 23:59:48</v>
      </c>
      <c r="C808" t="str">
        <f ca="1">IF(Q808,OFFSET(Taostats_CSV!$E$1,MATCH(K808&amp;D$1,Taostats_CSV!$X:$X,0)-1,0),IF(Taostats_CSV!F808="fee",IF(VALUE(Taostats_CSV!G808)&gt;0,Taostats_CSV!E808,""),""))</f>
        <v/>
      </c>
      <c r="D808" t="str">
        <f ca="1">IF(Q808,OFFSET(Taostats_CSV!$G$1,MATCH(K808&amp;D$1,Taostats_CSV!$X:$X,0)-1,0),IF(Taostats_CSV!F808="fee",IF(VALUE(Taostats_CSV!G808)&gt;0,Taostats_CSV!G808,""),""))</f>
        <v/>
      </c>
      <c r="E808" t="str">
        <f ca="1">IF(AND(Q808,P808&gt;0),OFFSET(Taostats_CSV!$E$1,MATCH(K808&amp;F$1,Taostats_CSV!$X:$X,0)-1,0),IF(LEN(F808)&gt;0,Taostats_CSV!E808,""))</f>
        <v>SN4</v>
      </c>
      <c r="F808" t="str">
        <f ca="1">TRIM(IF(AND(Q808,P808&gt;0),OFFSET(Taostats_CSV!$H$1,MATCH(K808&amp;F$1,Taostats_CSV!$X:$X,0)-1,0),IF(LEN(Taostats_CSV!H808)&gt;0,Taostats_CSV!H808,Taostats_CSV!R808)))</f>
        <v>0.469101331</v>
      </c>
      <c r="G808" t="str">
        <f ca="1">IF(AND(Q808,N808=1),OFFSET(Taostats_CSV!$E$1,MATCH(K808&amp;H$1,Taostats_CSV!$X:$X,0)-1,0),"")</f>
        <v/>
      </c>
      <c r="H808" t="str">
        <f ca="1">IF(AND(Q808,N808=1),OFFSET(Taostats_CSV!$G$1,MATCH(K808&amp;H$1,Taostats_CSV!$X:$X,0)-1,0),"")</f>
        <v/>
      </c>
      <c r="I808" t="str">
        <f ca="1">IF(AND(LEN(K808)=0,LEN(F808)&gt;0),"Income",IF(AND(O808&gt;0,P808&gt;0,C808&lt;&gt;E808),"Trade",IF(AND(NOT(Q808),Taostats_CSV!F808="fee"),'READ ME'!$C$5,"")))</f>
        <v>Income</v>
      </c>
      <c r="J808" t="str">
        <f ca="1">SUBSTITUTE(IF(LEN(I808)=0,Taostats_CSV!F808&amp;" "&amp;Taostats_CSV!J808,IF(I808="Cost","Extrinsic fee","")),"_"," ")</f>
        <v/>
      </c>
      <c r="K808" t="str">
        <f>TRIM(IF(LEN(Taostats_CSV!I808)&gt;0,Taostats_CSV!I808,""))</f>
        <v/>
      </c>
      <c r="L808">
        <f ca="1">IF(Taostats_CSV!E808&lt;&gt;"TAO",IF(LEN(F808)&gt;0,F808,IF(LEN(D808)&gt;0,D808,0))*Taostats_CSV!P808,"")</f>
        <v>8.1969448762271959</v>
      </c>
      <c r="M808" t="str">
        <f t="shared" ca="1" si="87"/>
        <v>USD</v>
      </c>
      <c r="N808">
        <f>COUNTIF(Taostats_CSV!$X:$X,Taostats_CSV!$I808&amp;N$1)</f>
        <v>0</v>
      </c>
      <c r="O808">
        <f>COUNTIF(Taostats_CSV!$X:$X,Taostats_CSV!$I808&amp;O$1)</f>
        <v>0</v>
      </c>
      <c r="P808">
        <f>COUNTIF(Taostats_CSV!$X:$X,Taostats_CSV!$I808&amp;P$1)</f>
        <v>0</v>
      </c>
      <c r="Q808" t="b">
        <f t="shared" si="88"/>
        <v>0</v>
      </c>
      <c r="R808" t="b">
        <f>IF(LEN(K808)&gt;0,COUNTIF($K$3:K808,K808),FALSE)</f>
        <v>0</v>
      </c>
      <c r="S808" t="b">
        <f>IF(Taostats_CSV!A808=Taostats_CSV!$A$2,TRUE,Taostats_CSV!G808+Taostats_CSV!H808+Taostats_CSV!R808=0)</f>
        <v>0</v>
      </c>
      <c r="T808" t="b">
        <f t="shared" si="89"/>
        <v>1</v>
      </c>
      <c r="U808" t="b" cm="1">
        <f t="array" aca="1" ref="U808" ca="1">AND(T808,OR(O808-N808&gt;1,P808&gt;1,ISERROR(A808:P808)))</f>
        <v>0</v>
      </c>
      <c r="W808" t="e">
        <f>MATCH(K808&amp;$W$2,Taostats_CSV!$X$3:$X$1167,0)</f>
        <v>#N/A</v>
      </c>
      <c r="X808" t="e">
        <f t="shared" ca="1" si="84"/>
        <v>#VALUE!</v>
      </c>
      <c r="Y808">
        <f t="shared" ca="1" si="85"/>
        <v>0.46910133100000001</v>
      </c>
      <c r="Z808" t="e">
        <f t="shared" ca="1" si="86"/>
        <v>#VALUE!</v>
      </c>
    </row>
    <row r="809" spans="1:26" x14ac:dyDescent="0.4">
      <c r="A809" t="str">
        <f>MID(Taostats_CSV!C809,6,2)&amp;"/"&amp;MID(Taostats_CSV!C809,9,2)&amp;"/"&amp;LEFT(Taostats_CSV!C809,4)&amp;" "&amp;MID(Taostats_CSV!C809,12,8)</f>
        <v>08/19/2025 23:59:48</v>
      </c>
      <c r="C809" t="str">
        <f ca="1">IF(Q809,OFFSET(Taostats_CSV!$E$1,MATCH(K809&amp;D$1,Taostats_CSV!$X:$X,0)-1,0),IF(Taostats_CSV!F809="fee",IF(VALUE(Taostats_CSV!G809)&gt;0,Taostats_CSV!E809,""),""))</f>
        <v/>
      </c>
      <c r="D809" t="str">
        <f ca="1">IF(Q809,OFFSET(Taostats_CSV!$G$1,MATCH(K809&amp;D$1,Taostats_CSV!$X:$X,0)-1,0),IF(Taostats_CSV!F809="fee",IF(VALUE(Taostats_CSV!G809)&gt;0,Taostats_CSV!G809,""),""))</f>
        <v/>
      </c>
      <c r="E809" t="str">
        <f ca="1">IF(AND(Q809,P809&gt;0),OFFSET(Taostats_CSV!$E$1,MATCH(K809&amp;F$1,Taostats_CSV!$X:$X,0)-1,0),IF(LEN(F809)&gt;0,Taostats_CSV!E809,""))</f>
        <v>SN56</v>
      </c>
      <c r="F809" t="str">
        <f ca="1">TRIM(IF(AND(Q809,P809&gt;0),OFFSET(Taostats_CSV!$H$1,MATCH(K809&amp;F$1,Taostats_CSV!$X:$X,0)-1,0),IF(LEN(Taostats_CSV!H809)&gt;0,Taostats_CSV!H809,Taostats_CSV!R809)))</f>
        <v>0.269103279</v>
      </c>
      <c r="G809" t="str">
        <f ca="1">IF(AND(Q809,N809=1),OFFSET(Taostats_CSV!$E$1,MATCH(K809&amp;H$1,Taostats_CSV!$X:$X,0)-1,0),"")</f>
        <v/>
      </c>
      <c r="H809" t="str">
        <f ca="1">IF(AND(Q809,N809=1),OFFSET(Taostats_CSV!$G$1,MATCH(K809&amp;H$1,Taostats_CSV!$X:$X,0)-1,0),"")</f>
        <v/>
      </c>
      <c r="I809" t="str">
        <f ca="1">IF(AND(LEN(K809)=0,LEN(F809)&gt;0),"Income",IF(AND(O809&gt;0,P809&gt;0,C809&lt;&gt;E809),"Trade",IF(AND(NOT(Q809),Taostats_CSV!F809="fee"),'READ ME'!$C$5,"")))</f>
        <v>Income</v>
      </c>
      <c r="J809" t="str">
        <f ca="1">SUBSTITUTE(IF(LEN(I809)=0,Taostats_CSV!F809&amp;" "&amp;Taostats_CSV!J809,IF(I809="Cost","Extrinsic fee","")),"_"," ")</f>
        <v/>
      </c>
      <c r="K809" t="str">
        <f>TRIM(IF(LEN(Taostats_CSV!I809)&gt;0,Taostats_CSV!I809,""))</f>
        <v/>
      </c>
      <c r="L809">
        <f ca="1">IF(Taostats_CSV!E809&lt;&gt;"TAO",IF(LEN(F809)&gt;0,F809,IF(LEN(D809)&gt;0,D809,0))*Taostats_CSV!P809,"")</f>
        <v>4.1303501924343182</v>
      </c>
      <c r="M809" t="str">
        <f t="shared" ca="1" si="87"/>
        <v>USD</v>
      </c>
      <c r="N809">
        <f>COUNTIF(Taostats_CSV!$X:$X,Taostats_CSV!$I809&amp;N$1)</f>
        <v>0</v>
      </c>
      <c r="O809">
        <f>COUNTIF(Taostats_CSV!$X:$X,Taostats_CSV!$I809&amp;O$1)</f>
        <v>0</v>
      </c>
      <c r="P809">
        <f>COUNTIF(Taostats_CSV!$X:$X,Taostats_CSV!$I809&amp;P$1)</f>
        <v>0</v>
      </c>
      <c r="Q809" t="b">
        <f t="shared" si="88"/>
        <v>0</v>
      </c>
      <c r="R809" t="b">
        <f>IF(LEN(K809)&gt;0,COUNTIF($K$3:K809,K809),FALSE)</f>
        <v>0</v>
      </c>
      <c r="S809" t="b">
        <f>IF(Taostats_CSV!A809=Taostats_CSV!$A$2,TRUE,Taostats_CSV!G809+Taostats_CSV!H809+Taostats_CSV!R809=0)</f>
        <v>0</v>
      </c>
      <c r="T809" t="b">
        <f t="shared" si="89"/>
        <v>1</v>
      </c>
      <c r="U809" t="b" cm="1">
        <f t="array" aca="1" ref="U809" ca="1">AND(T809,OR(O809-N809&gt;1,P809&gt;1,ISERROR(A809:P809)))</f>
        <v>0</v>
      </c>
      <c r="W809" t="e">
        <f>MATCH(K809&amp;$W$2,Taostats_CSV!$X$3:$X$1167,0)</f>
        <v>#N/A</v>
      </c>
      <c r="X809" t="e">
        <f t="shared" ca="1" si="84"/>
        <v>#VALUE!</v>
      </c>
      <c r="Y809">
        <f t="shared" ca="1" si="85"/>
        <v>0.26910327899999997</v>
      </c>
      <c r="Z809" t="e">
        <f t="shared" ca="1" si="86"/>
        <v>#VALUE!</v>
      </c>
    </row>
    <row r="810" spans="1:26" x14ac:dyDescent="0.4">
      <c r="A810" t="str">
        <f>MID(Taostats_CSV!C810,6,2)&amp;"/"&amp;MID(Taostats_CSV!C810,9,2)&amp;"/"&amp;LEFT(Taostats_CSV!C810,4)&amp;" "&amp;MID(Taostats_CSV!C810,12,8)</f>
        <v>08/19/2025 23:59:48</v>
      </c>
      <c r="C810" t="str">
        <f ca="1">IF(Q810,OFFSET(Taostats_CSV!$E$1,MATCH(K810&amp;D$1,Taostats_CSV!$X:$X,0)-1,0),IF(Taostats_CSV!F810="fee",IF(VALUE(Taostats_CSV!G810)&gt;0,Taostats_CSV!E810,""),""))</f>
        <v/>
      </c>
      <c r="D810" t="str">
        <f ca="1">IF(Q810,OFFSET(Taostats_CSV!$G$1,MATCH(K810&amp;D$1,Taostats_CSV!$X:$X,0)-1,0),IF(Taostats_CSV!F810="fee",IF(VALUE(Taostats_CSV!G810)&gt;0,Taostats_CSV!G810,""),""))</f>
        <v/>
      </c>
      <c r="E810" t="str">
        <f ca="1">IF(AND(Q810,P810&gt;0),OFFSET(Taostats_CSV!$E$1,MATCH(K810&amp;F$1,Taostats_CSV!$X:$X,0)-1,0),IF(LEN(F810)&gt;0,Taostats_CSV!E810,""))</f>
        <v>SN64</v>
      </c>
      <c r="F810" t="str">
        <f ca="1">TRIM(IF(AND(Q810,P810&gt;0),OFFSET(Taostats_CSV!$H$1,MATCH(K810&amp;F$1,Taostats_CSV!$X:$X,0)-1,0),IF(LEN(Taostats_CSV!H810)&gt;0,Taostats_CSV!H810,Taostats_CSV!R810)))</f>
        <v>0.145737923</v>
      </c>
      <c r="G810" t="str">
        <f ca="1">IF(AND(Q810,N810=1),OFFSET(Taostats_CSV!$E$1,MATCH(K810&amp;H$1,Taostats_CSV!$X:$X,0)-1,0),"")</f>
        <v/>
      </c>
      <c r="H810" t="str">
        <f ca="1">IF(AND(Q810,N810=1),OFFSET(Taostats_CSV!$G$1,MATCH(K810&amp;H$1,Taostats_CSV!$X:$X,0)-1,0),"")</f>
        <v/>
      </c>
      <c r="I810" t="str">
        <f ca="1">IF(AND(LEN(K810)=0,LEN(F810)&gt;0),"Income",IF(AND(O810&gt;0,P810&gt;0,C810&lt;&gt;E810),"Trade",IF(AND(NOT(Q810),Taostats_CSV!F810="fee"),'READ ME'!$C$5,"")))</f>
        <v>Income</v>
      </c>
      <c r="J810" t="str">
        <f ca="1">SUBSTITUTE(IF(LEN(I810)=0,Taostats_CSV!F810&amp;" "&amp;Taostats_CSV!J810,IF(I810="Cost","Extrinsic fee","")),"_"," ")</f>
        <v/>
      </c>
      <c r="K810" t="str">
        <f>TRIM(IF(LEN(Taostats_CSV!I810)&gt;0,Taostats_CSV!I810,""))</f>
        <v/>
      </c>
      <c r="L810">
        <f ca="1">IF(Taostats_CSV!E810&lt;&gt;"TAO",IF(LEN(F810)&gt;0,F810,IF(LEN(D810)&gt;0,D810,0))*Taostats_CSV!P810,"")</f>
        <v>5.6132215645596135</v>
      </c>
      <c r="M810" t="str">
        <f t="shared" ca="1" si="87"/>
        <v>USD</v>
      </c>
      <c r="N810">
        <f>COUNTIF(Taostats_CSV!$X:$X,Taostats_CSV!$I810&amp;N$1)</f>
        <v>0</v>
      </c>
      <c r="O810">
        <f>COUNTIF(Taostats_CSV!$X:$X,Taostats_CSV!$I810&amp;O$1)</f>
        <v>0</v>
      </c>
      <c r="P810">
        <f>COUNTIF(Taostats_CSV!$X:$X,Taostats_CSV!$I810&amp;P$1)</f>
        <v>0</v>
      </c>
      <c r="Q810" t="b">
        <f t="shared" si="88"/>
        <v>0</v>
      </c>
      <c r="R810" t="b">
        <f>IF(LEN(K810)&gt;0,COUNTIF($K$3:K810,K810),FALSE)</f>
        <v>0</v>
      </c>
      <c r="S810" t="b">
        <f>IF(Taostats_CSV!A810=Taostats_CSV!$A$2,TRUE,Taostats_CSV!G810+Taostats_CSV!H810+Taostats_CSV!R810=0)</f>
        <v>0</v>
      </c>
      <c r="T810" t="b">
        <f t="shared" si="89"/>
        <v>1</v>
      </c>
      <c r="U810" t="b" cm="1">
        <f t="array" aca="1" ref="U810" ca="1">AND(T810,OR(O810-N810&gt;1,P810&gt;1,ISERROR(A810:P810)))</f>
        <v>0</v>
      </c>
      <c r="W810" t="e">
        <f>MATCH(K810&amp;$W$2,Taostats_CSV!$X$3:$X$1167,0)</f>
        <v>#N/A</v>
      </c>
      <c r="X810" t="e">
        <f t="shared" ca="1" si="84"/>
        <v>#VALUE!</v>
      </c>
      <c r="Y810">
        <f t="shared" ca="1" si="85"/>
        <v>0.14573792299999999</v>
      </c>
      <c r="Z810" t="e">
        <f t="shared" ca="1" si="86"/>
        <v>#VALUE!</v>
      </c>
    </row>
    <row r="811" spans="1:26" x14ac:dyDescent="0.4">
      <c r="A811" t="str">
        <f>MID(Taostats_CSV!C811,6,2)&amp;"/"&amp;MID(Taostats_CSV!C811,9,2)&amp;"/"&amp;LEFT(Taostats_CSV!C811,4)&amp;" "&amp;MID(Taostats_CSV!C811,12,8)</f>
        <v>08/19/2025 23:59:48</v>
      </c>
      <c r="C811" t="str">
        <f ca="1">IF(Q811,OFFSET(Taostats_CSV!$E$1,MATCH(K811&amp;D$1,Taostats_CSV!$X:$X,0)-1,0),IF(Taostats_CSV!F811="fee",IF(VALUE(Taostats_CSV!G811)&gt;0,Taostats_CSV!E811,""),""))</f>
        <v/>
      </c>
      <c r="D811" t="str">
        <f ca="1">IF(Q811,OFFSET(Taostats_CSV!$G$1,MATCH(K811&amp;D$1,Taostats_CSV!$X:$X,0)-1,0),IF(Taostats_CSV!F811="fee",IF(VALUE(Taostats_CSV!G811)&gt;0,Taostats_CSV!G811,""),""))</f>
        <v/>
      </c>
      <c r="E811" t="str">
        <f ca="1">IF(AND(Q811,P811&gt;0),OFFSET(Taostats_CSV!$E$1,MATCH(K811&amp;F$1,Taostats_CSV!$X:$X,0)-1,0),IF(LEN(F811)&gt;0,Taostats_CSV!E811,""))</f>
        <v>TAO</v>
      </c>
      <c r="F811" t="str">
        <f ca="1">TRIM(IF(AND(Q811,P811&gt;0),OFFSET(Taostats_CSV!$H$1,MATCH(K811&amp;F$1,Taostats_CSV!$X:$X,0)-1,0),IF(LEN(Taostats_CSV!H811)&gt;0,Taostats_CSV!H811,Taostats_CSV!R811)))</f>
        <v>0.010479229</v>
      </c>
      <c r="G811" t="str">
        <f ca="1">IF(AND(Q811,N811=1),OFFSET(Taostats_CSV!$E$1,MATCH(K811&amp;H$1,Taostats_CSV!$X:$X,0)-1,0),"")</f>
        <v/>
      </c>
      <c r="H811" t="str">
        <f ca="1">IF(AND(Q811,N811=1),OFFSET(Taostats_CSV!$G$1,MATCH(K811&amp;H$1,Taostats_CSV!$X:$X,0)-1,0),"")</f>
        <v/>
      </c>
      <c r="I811" t="str">
        <f ca="1">IF(AND(LEN(K811)=0,LEN(F811)&gt;0),"Income",IF(AND(O811&gt;0,P811&gt;0,C811&lt;&gt;E811),"Trade",IF(AND(NOT(Q811),Taostats_CSV!F811="fee"),'READ ME'!$C$5,"")))</f>
        <v>Income</v>
      </c>
      <c r="J811" t="str">
        <f ca="1">SUBSTITUTE(IF(LEN(I811)=0,Taostats_CSV!F811&amp;" "&amp;Taostats_CSV!J811,IF(I811="Cost","Extrinsic fee","")),"_"," ")</f>
        <v/>
      </c>
      <c r="K811" t="str">
        <f>TRIM(IF(LEN(Taostats_CSV!I811)&gt;0,Taostats_CSV!I811,""))</f>
        <v/>
      </c>
      <c r="L811" t="str">
        <f>IF(Taostats_CSV!E811&lt;&gt;"TAO",IF(LEN(F811)&gt;0,F811,IF(LEN(D811)&gt;0,D811,0))*Taostats_CSV!P811,"")</f>
        <v/>
      </c>
      <c r="M811" t="str">
        <f t="shared" si="87"/>
        <v/>
      </c>
      <c r="N811">
        <f>COUNTIF(Taostats_CSV!$X:$X,Taostats_CSV!$I811&amp;N$1)</f>
        <v>0</v>
      </c>
      <c r="O811">
        <f>COUNTIF(Taostats_CSV!$X:$X,Taostats_CSV!$I811&amp;O$1)</f>
        <v>0</v>
      </c>
      <c r="P811">
        <f>COUNTIF(Taostats_CSV!$X:$X,Taostats_CSV!$I811&amp;P$1)</f>
        <v>0</v>
      </c>
      <c r="Q811" t="b">
        <f t="shared" si="88"/>
        <v>0</v>
      </c>
      <c r="R811" t="b">
        <f>IF(LEN(K811)&gt;0,COUNTIF($K$3:K811,K811),FALSE)</f>
        <v>0</v>
      </c>
      <c r="S811" t="b">
        <f>IF(Taostats_CSV!A811=Taostats_CSV!$A$2,TRUE,Taostats_CSV!G811+Taostats_CSV!H811+Taostats_CSV!R811=0)</f>
        <v>0</v>
      </c>
      <c r="T811" t="b">
        <f t="shared" si="89"/>
        <v>1</v>
      </c>
      <c r="U811" t="b" cm="1">
        <f t="array" aca="1" ref="U811" ca="1">AND(T811,OR(O811-N811&gt;1,P811&gt;1,ISERROR(A811:P811)))</f>
        <v>0</v>
      </c>
      <c r="W811" t="e">
        <f>MATCH(K811&amp;$W$2,Taostats_CSV!$X$3:$X$1167,0)</f>
        <v>#N/A</v>
      </c>
      <c r="X811" t="e">
        <f t="shared" ca="1" si="84"/>
        <v>#VALUE!</v>
      </c>
      <c r="Y811">
        <f t="shared" ca="1" si="85"/>
        <v>1.0479229E-2</v>
      </c>
      <c r="Z811" t="e">
        <f t="shared" ca="1" si="86"/>
        <v>#VALUE!</v>
      </c>
    </row>
    <row r="812" spans="1:26" x14ac:dyDescent="0.4">
      <c r="A812" t="str">
        <f>MID(Taostats_CSV!C812,6,2)&amp;"/"&amp;MID(Taostats_CSV!C812,9,2)&amp;"/"&amp;LEFT(Taostats_CSV!C812,4)&amp;" "&amp;MID(Taostats_CSV!C812,12,8)</f>
        <v>08/20/2025 23:59:48</v>
      </c>
      <c r="C812" t="str">
        <f ca="1">IF(Q812,OFFSET(Taostats_CSV!$E$1,MATCH(K812&amp;D$1,Taostats_CSV!$X:$X,0)-1,0),IF(Taostats_CSV!F812="fee",IF(VALUE(Taostats_CSV!G812)&gt;0,Taostats_CSV!E812,""),""))</f>
        <v/>
      </c>
      <c r="D812" t="str">
        <f ca="1">IF(Q812,OFFSET(Taostats_CSV!$G$1,MATCH(K812&amp;D$1,Taostats_CSV!$X:$X,0)-1,0),IF(Taostats_CSV!F812="fee",IF(VALUE(Taostats_CSV!G812)&gt;0,Taostats_CSV!G812,""),""))</f>
        <v/>
      </c>
      <c r="E812" t="str">
        <f ca="1">IF(AND(Q812,P812&gt;0),OFFSET(Taostats_CSV!$E$1,MATCH(K812&amp;F$1,Taostats_CSV!$X:$X,0)-1,0),IF(LEN(F812)&gt;0,Taostats_CSV!E812,""))</f>
        <v>SN3</v>
      </c>
      <c r="F812" t="str">
        <f ca="1">TRIM(IF(AND(Q812,P812&gt;0),OFFSET(Taostats_CSV!$H$1,MATCH(K812&amp;F$1,Taostats_CSV!$X:$X,0)-1,0),IF(LEN(Taostats_CSV!H812)&gt;0,Taostats_CSV!H812,Taostats_CSV!R812)))</f>
        <v>0.432549304</v>
      </c>
      <c r="G812" t="str">
        <f ca="1">IF(AND(Q812,N812=1),OFFSET(Taostats_CSV!$E$1,MATCH(K812&amp;H$1,Taostats_CSV!$X:$X,0)-1,0),"")</f>
        <v/>
      </c>
      <c r="H812" t="str">
        <f ca="1">IF(AND(Q812,N812=1),OFFSET(Taostats_CSV!$G$1,MATCH(K812&amp;H$1,Taostats_CSV!$X:$X,0)-1,0),"")</f>
        <v/>
      </c>
      <c r="I812" t="str">
        <f ca="1">IF(AND(LEN(K812)=0,LEN(F812)&gt;0),"Income",IF(AND(O812&gt;0,P812&gt;0,C812&lt;&gt;E812),"Trade",IF(AND(NOT(Q812),Taostats_CSV!F812="fee"),'READ ME'!$C$5,"")))</f>
        <v>Income</v>
      </c>
      <c r="J812" t="str">
        <f ca="1">SUBSTITUTE(IF(LEN(I812)=0,Taostats_CSV!F812&amp;" "&amp;Taostats_CSV!J812,IF(I812="Cost","Extrinsic fee","")),"_"," ")</f>
        <v/>
      </c>
      <c r="K812" t="str">
        <f>TRIM(IF(LEN(Taostats_CSV!I812)&gt;0,Taostats_CSV!I812,""))</f>
        <v/>
      </c>
      <c r="L812">
        <f ca="1">IF(Taostats_CSV!E812&lt;&gt;"TAO",IF(LEN(F812)&gt;0,F812,IF(LEN(D812)&gt;0,D812,0))*Taostats_CSV!P812,"")</f>
        <v>7.233880278973432</v>
      </c>
      <c r="M812" t="str">
        <f t="shared" ca="1" si="87"/>
        <v>USD</v>
      </c>
      <c r="N812">
        <f>COUNTIF(Taostats_CSV!$X:$X,Taostats_CSV!$I812&amp;N$1)</f>
        <v>0</v>
      </c>
      <c r="O812">
        <f>COUNTIF(Taostats_CSV!$X:$X,Taostats_CSV!$I812&amp;O$1)</f>
        <v>0</v>
      </c>
      <c r="P812">
        <f>COUNTIF(Taostats_CSV!$X:$X,Taostats_CSV!$I812&amp;P$1)</f>
        <v>0</v>
      </c>
      <c r="Q812" t="b">
        <f t="shared" si="88"/>
        <v>0</v>
      </c>
      <c r="R812" t="b">
        <f>IF(LEN(K812)&gt;0,COUNTIF($K$3:K812,K812),FALSE)</f>
        <v>0</v>
      </c>
      <c r="S812" t="b">
        <f>IF(Taostats_CSV!A812=Taostats_CSV!$A$2,TRUE,Taostats_CSV!G812+Taostats_CSV!H812+Taostats_CSV!R812=0)</f>
        <v>0</v>
      </c>
      <c r="T812" t="b">
        <f t="shared" si="89"/>
        <v>1</v>
      </c>
      <c r="U812" t="b" cm="1">
        <f t="array" aca="1" ref="U812" ca="1">AND(T812,OR(O812-N812&gt;1,P812&gt;1,ISERROR(A812:P812)))</f>
        <v>0</v>
      </c>
      <c r="W812" t="e">
        <f>MATCH(K812&amp;$W$2,Taostats_CSV!$X$3:$X$1167,0)</f>
        <v>#N/A</v>
      </c>
      <c r="X812" t="e">
        <f t="shared" ca="1" si="84"/>
        <v>#VALUE!</v>
      </c>
      <c r="Y812">
        <f t="shared" ca="1" si="85"/>
        <v>0.43254930400000002</v>
      </c>
      <c r="Z812" t="e">
        <f t="shared" ca="1" si="86"/>
        <v>#VALUE!</v>
      </c>
    </row>
    <row r="813" spans="1:26" x14ac:dyDescent="0.4">
      <c r="A813" t="str">
        <f>MID(Taostats_CSV!C813,6,2)&amp;"/"&amp;MID(Taostats_CSV!C813,9,2)&amp;"/"&amp;LEFT(Taostats_CSV!C813,4)&amp;" "&amp;MID(Taostats_CSV!C813,12,8)</f>
        <v>08/20/2025 23:59:48</v>
      </c>
      <c r="C813" t="str">
        <f ca="1">IF(Q813,OFFSET(Taostats_CSV!$E$1,MATCH(K813&amp;D$1,Taostats_CSV!$X:$X,0)-1,0),IF(Taostats_CSV!F813="fee",IF(VALUE(Taostats_CSV!G813)&gt;0,Taostats_CSV!E813,""),""))</f>
        <v/>
      </c>
      <c r="D813" t="str">
        <f ca="1">IF(Q813,OFFSET(Taostats_CSV!$G$1,MATCH(K813&amp;D$1,Taostats_CSV!$X:$X,0)-1,0),IF(Taostats_CSV!F813="fee",IF(VALUE(Taostats_CSV!G813)&gt;0,Taostats_CSV!G813,""),""))</f>
        <v/>
      </c>
      <c r="E813" t="str">
        <f ca="1">IF(AND(Q813,P813&gt;0),OFFSET(Taostats_CSV!$E$1,MATCH(K813&amp;F$1,Taostats_CSV!$X:$X,0)-1,0),IF(LEN(F813)&gt;0,Taostats_CSV!E813,""))</f>
        <v>SN4</v>
      </c>
      <c r="F813" t="str">
        <f ca="1">TRIM(IF(AND(Q813,P813&gt;0),OFFSET(Taostats_CSV!$H$1,MATCH(K813&amp;F$1,Taostats_CSV!$X:$X,0)-1,0),IF(LEN(Taostats_CSV!H813)&gt;0,Taostats_CSV!H813,Taostats_CSV!R813)))</f>
        <v>0.488626187</v>
      </c>
      <c r="G813" t="str">
        <f ca="1">IF(AND(Q813,N813=1),OFFSET(Taostats_CSV!$E$1,MATCH(K813&amp;H$1,Taostats_CSV!$X:$X,0)-1,0),"")</f>
        <v/>
      </c>
      <c r="H813" t="str">
        <f ca="1">IF(AND(Q813,N813=1),OFFSET(Taostats_CSV!$G$1,MATCH(K813&amp;H$1,Taostats_CSV!$X:$X,0)-1,0),"")</f>
        <v/>
      </c>
      <c r="I813" t="str">
        <f ca="1">IF(AND(LEN(K813)=0,LEN(F813)&gt;0),"Income",IF(AND(O813&gt;0,P813&gt;0,C813&lt;&gt;E813),"Trade",IF(AND(NOT(Q813),Taostats_CSV!F813="fee"),'READ ME'!$C$5,"")))</f>
        <v>Income</v>
      </c>
      <c r="J813" t="str">
        <f ca="1">SUBSTITUTE(IF(LEN(I813)=0,Taostats_CSV!F813&amp;" "&amp;Taostats_CSV!J813,IF(I813="Cost","Extrinsic fee","")),"_"," ")</f>
        <v/>
      </c>
      <c r="K813" t="str">
        <f>TRIM(IF(LEN(Taostats_CSV!I813)&gt;0,Taostats_CSV!I813,""))</f>
        <v/>
      </c>
      <c r="L813">
        <f ca="1">IF(Taostats_CSV!E813&lt;&gt;"TAO",IF(LEN(F813)&gt;0,F813,IF(LEN(D813)&gt;0,D813,0))*Taostats_CSV!P813,"")</f>
        <v>8.6504817793116562</v>
      </c>
      <c r="M813" t="str">
        <f t="shared" ca="1" si="87"/>
        <v>USD</v>
      </c>
      <c r="N813">
        <f>COUNTIF(Taostats_CSV!$X:$X,Taostats_CSV!$I813&amp;N$1)</f>
        <v>0</v>
      </c>
      <c r="O813">
        <f>COUNTIF(Taostats_CSV!$X:$X,Taostats_CSV!$I813&amp;O$1)</f>
        <v>0</v>
      </c>
      <c r="P813">
        <f>COUNTIF(Taostats_CSV!$X:$X,Taostats_CSV!$I813&amp;P$1)</f>
        <v>0</v>
      </c>
      <c r="Q813" t="b">
        <f t="shared" si="88"/>
        <v>0</v>
      </c>
      <c r="R813" t="b">
        <f>IF(LEN(K813)&gt;0,COUNTIF($K$3:K813,K813),FALSE)</f>
        <v>0</v>
      </c>
      <c r="S813" t="b">
        <f>IF(Taostats_CSV!A813=Taostats_CSV!$A$2,TRUE,Taostats_CSV!G813+Taostats_CSV!H813+Taostats_CSV!R813=0)</f>
        <v>0</v>
      </c>
      <c r="T813" t="b">
        <f t="shared" si="89"/>
        <v>1</v>
      </c>
      <c r="U813" t="b" cm="1">
        <f t="array" aca="1" ref="U813" ca="1">AND(T813,OR(O813-N813&gt;1,P813&gt;1,ISERROR(A813:P813)))</f>
        <v>0</v>
      </c>
      <c r="W813" t="e">
        <f>MATCH(K813&amp;$W$2,Taostats_CSV!$X$3:$X$1167,0)</f>
        <v>#N/A</v>
      </c>
      <c r="X813" t="e">
        <f t="shared" ca="1" si="84"/>
        <v>#VALUE!</v>
      </c>
      <c r="Y813">
        <f t="shared" ca="1" si="85"/>
        <v>0.48862618699999999</v>
      </c>
      <c r="Z813" t="e">
        <f t="shared" ca="1" si="86"/>
        <v>#VALUE!</v>
      </c>
    </row>
    <row r="814" spans="1:26" x14ac:dyDescent="0.4">
      <c r="A814" t="str">
        <f>MID(Taostats_CSV!C814,6,2)&amp;"/"&amp;MID(Taostats_CSV!C814,9,2)&amp;"/"&amp;LEFT(Taostats_CSV!C814,4)&amp;" "&amp;MID(Taostats_CSV!C814,12,8)</f>
        <v>08/20/2025 23:59:48</v>
      </c>
      <c r="C814" t="str">
        <f ca="1">IF(Q814,OFFSET(Taostats_CSV!$E$1,MATCH(K814&amp;D$1,Taostats_CSV!$X:$X,0)-1,0),IF(Taostats_CSV!F814="fee",IF(VALUE(Taostats_CSV!G814)&gt;0,Taostats_CSV!E814,""),""))</f>
        <v/>
      </c>
      <c r="D814" t="str">
        <f ca="1">IF(Q814,OFFSET(Taostats_CSV!$G$1,MATCH(K814&amp;D$1,Taostats_CSV!$X:$X,0)-1,0),IF(Taostats_CSV!F814="fee",IF(VALUE(Taostats_CSV!G814)&gt;0,Taostats_CSV!G814,""),""))</f>
        <v/>
      </c>
      <c r="E814" t="str">
        <f ca="1">IF(AND(Q814,P814&gt;0),OFFSET(Taostats_CSV!$E$1,MATCH(K814&amp;F$1,Taostats_CSV!$X:$X,0)-1,0),IF(LEN(F814)&gt;0,Taostats_CSV!E814,""))</f>
        <v>SN56</v>
      </c>
      <c r="F814" t="str">
        <f ca="1">TRIM(IF(AND(Q814,P814&gt;0),OFFSET(Taostats_CSV!$H$1,MATCH(K814&amp;F$1,Taostats_CSV!$X:$X,0)-1,0),IF(LEN(Taostats_CSV!H814)&gt;0,Taostats_CSV!H814,Taostats_CSV!R814)))</f>
        <v>0.270309453</v>
      </c>
      <c r="G814" t="str">
        <f ca="1">IF(AND(Q814,N814=1),OFFSET(Taostats_CSV!$E$1,MATCH(K814&amp;H$1,Taostats_CSV!$X:$X,0)-1,0),"")</f>
        <v/>
      </c>
      <c r="H814" t="str">
        <f ca="1">IF(AND(Q814,N814=1),OFFSET(Taostats_CSV!$G$1,MATCH(K814&amp;H$1,Taostats_CSV!$X:$X,0)-1,0),"")</f>
        <v/>
      </c>
      <c r="I814" t="str">
        <f ca="1">IF(AND(LEN(K814)=0,LEN(F814)&gt;0),"Income",IF(AND(O814&gt;0,P814&gt;0,C814&lt;&gt;E814),"Trade",IF(AND(NOT(Q814),Taostats_CSV!F814="fee"),'READ ME'!$C$5,"")))</f>
        <v>Income</v>
      </c>
      <c r="J814" t="str">
        <f ca="1">SUBSTITUTE(IF(LEN(I814)=0,Taostats_CSV!F814&amp;" "&amp;Taostats_CSV!J814,IF(I814="Cost","Extrinsic fee","")),"_"," ")</f>
        <v/>
      </c>
      <c r="K814" t="str">
        <f>TRIM(IF(LEN(Taostats_CSV!I814)&gt;0,Taostats_CSV!I814,""))</f>
        <v/>
      </c>
      <c r="L814">
        <f ca="1">IF(Taostats_CSV!E814&lt;&gt;"TAO",IF(LEN(F814)&gt;0,F814,IF(LEN(D814)&gt;0,D814,0))*Taostats_CSV!P814,"")</f>
        <v>4.2549005762994705</v>
      </c>
      <c r="M814" t="str">
        <f t="shared" ca="1" si="87"/>
        <v>USD</v>
      </c>
      <c r="N814">
        <f>COUNTIF(Taostats_CSV!$X:$X,Taostats_CSV!$I814&amp;N$1)</f>
        <v>0</v>
      </c>
      <c r="O814">
        <f>COUNTIF(Taostats_CSV!$X:$X,Taostats_CSV!$I814&amp;O$1)</f>
        <v>0</v>
      </c>
      <c r="P814">
        <f>COUNTIF(Taostats_CSV!$X:$X,Taostats_CSV!$I814&amp;P$1)</f>
        <v>0</v>
      </c>
      <c r="Q814" t="b">
        <f t="shared" si="88"/>
        <v>0</v>
      </c>
      <c r="R814" t="b">
        <f>IF(LEN(K814)&gt;0,COUNTIF($K$3:K814,K814),FALSE)</f>
        <v>0</v>
      </c>
      <c r="S814" t="b">
        <f>IF(Taostats_CSV!A814=Taostats_CSV!$A$2,TRUE,Taostats_CSV!G814+Taostats_CSV!H814+Taostats_CSV!R814=0)</f>
        <v>0</v>
      </c>
      <c r="T814" t="b">
        <f t="shared" si="89"/>
        <v>1</v>
      </c>
      <c r="U814" t="b" cm="1">
        <f t="array" aca="1" ref="U814" ca="1">AND(T814,OR(O814-N814&gt;1,P814&gt;1,ISERROR(A814:P814)))</f>
        <v>0</v>
      </c>
      <c r="W814" t="e">
        <f>MATCH(K814&amp;$W$2,Taostats_CSV!$X$3:$X$1167,0)</f>
        <v>#N/A</v>
      </c>
      <c r="X814" t="e">
        <f t="shared" ca="1" si="84"/>
        <v>#VALUE!</v>
      </c>
      <c r="Y814">
        <f t="shared" ca="1" si="85"/>
        <v>0.27030945299999998</v>
      </c>
      <c r="Z814" t="e">
        <f t="shared" ca="1" si="86"/>
        <v>#VALUE!</v>
      </c>
    </row>
    <row r="815" spans="1:26" x14ac:dyDescent="0.4">
      <c r="A815" t="str">
        <f>MID(Taostats_CSV!C815,6,2)&amp;"/"&amp;MID(Taostats_CSV!C815,9,2)&amp;"/"&amp;LEFT(Taostats_CSV!C815,4)&amp;" "&amp;MID(Taostats_CSV!C815,12,8)</f>
        <v>08/20/2025 23:59:48</v>
      </c>
      <c r="C815" t="str">
        <f ca="1">IF(Q815,OFFSET(Taostats_CSV!$E$1,MATCH(K815&amp;D$1,Taostats_CSV!$X:$X,0)-1,0),IF(Taostats_CSV!F815="fee",IF(VALUE(Taostats_CSV!G815)&gt;0,Taostats_CSV!E815,""),""))</f>
        <v/>
      </c>
      <c r="D815" t="str">
        <f ca="1">IF(Q815,OFFSET(Taostats_CSV!$G$1,MATCH(K815&amp;D$1,Taostats_CSV!$X:$X,0)-1,0),IF(Taostats_CSV!F815="fee",IF(VALUE(Taostats_CSV!G815)&gt;0,Taostats_CSV!G815,""),""))</f>
        <v/>
      </c>
      <c r="E815" t="str">
        <f ca="1">IF(AND(Q815,P815&gt;0),OFFSET(Taostats_CSV!$E$1,MATCH(K815&amp;F$1,Taostats_CSV!$X:$X,0)-1,0),IF(LEN(F815)&gt;0,Taostats_CSV!E815,""))</f>
        <v>SN64</v>
      </c>
      <c r="F815" t="str">
        <f ca="1">TRIM(IF(AND(Q815,P815&gt;0),OFFSET(Taostats_CSV!$H$1,MATCH(K815&amp;F$1,Taostats_CSV!$X:$X,0)-1,0),IF(LEN(Taostats_CSV!H815)&gt;0,Taostats_CSV!H815,Taostats_CSV!R815)))</f>
        <v>0.14821048</v>
      </c>
      <c r="G815" t="str">
        <f ca="1">IF(AND(Q815,N815=1),OFFSET(Taostats_CSV!$E$1,MATCH(K815&amp;H$1,Taostats_CSV!$X:$X,0)-1,0),"")</f>
        <v/>
      </c>
      <c r="H815" t="str">
        <f ca="1">IF(AND(Q815,N815=1),OFFSET(Taostats_CSV!$G$1,MATCH(K815&amp;H$1,Taostats_CSV!$X:$X,0)-1,0),"")</f>
        <v/>
      </c>
      <c r="I815" t="str">
        <f ca="1">IF(AND(LEN(K815)=0,LEN(F815)&gt;0),"Income",IF(AND(O815&gt;0,P815&gt;0,C815&lt;&gt;E815),"Trade",IF(AND(NOT(Q815),Taostats_CSV!F815="fee"),'READ ME'!$C$5,"")))</f>
        <v>Income</v>
      </c>
      <c r="J815" t="str">
        <f ca="1">SUBSTITUTE(IF(LEN(I815)=0,Taostats_CSV!F815&amp;" "&amp;Taostats_CSV!J815,IF(I815="Cost","Extrinsic fee","")),"_"," ")</f>
        <v/>
      </c>
      <c r="K815" t="str">
        <f>TRIM(IF(LEN(Taostats_CSV!I815)&gt;0,Taostats_CSV!I815,""))</f>
        <v/>
      </c>
      <c r="L815">
        <f ca="1">IF(Taostats_CSV!E815&lt;&gt;"TAO",IF(LEN(F815)&gt;0,F815,IF(LEN(D815)&gt;0,D815,0))*Taostats_CSV!P815,"")</f>
        <v>5.7846306241382273</v>
      </c>
      <c r="M815" t="str">
        <f t="shared" ca="1" si="87"/>
        <v>USD</v>
      </c>
      <c r="N815">
        <f>COUNTIF(Taostats_CSV!$X:$X,Taostats_CSV!$I815&amp;N$1)</f>
        <v>0</v>
      </c>
      <c r="O815">
        <f>COUNTIF(Taostats_CSV!$X:$X,Taostats_CSV!$I815&amp;O$1)</f>
        <v>0</v>
      </c>
      <c r="P815">
        <f>COUNTIF(Taostats_CSV!$X:$X,Taostats_CSV!$I815&amp;P$1)</f>
        <v>0</v>
      </c>
      <c r="Q815" t="b">
        <f t="shared" si="88"/>
        <v>0</v>
      </c>
      <c r="R815" t="b">
        <f>IF(LEN(K815)&gt;0,COUNTIF($K$3:K815,K815),FALSE)</f>
        <v>0</v>
      </c>
      <c r="S815" t="b">
        <f>IF(Taostats_CSV!A815=Taostats_CSV!$A$2,TRUE,Taostats_CSV!G815+Taostats_CSV!H815+Taostats_CSV!R815=0)</f>
        <v>0</v>
      </c>
      <c r="T815" t="b">
        <f t="shared" si="89"/>
        <v>1</v>
      </c>
      <c r="U815" t="b" cm="1">
        <f t="array" aca="1" ref="U815" ca="1">AND(T815,OR(O815-N815&gt;1,P815&gt;1,ISERROR(A815:P815)))</f>
        <v>0</v>
      </c>
      <c r="W815" t="e">
        <f>MATCH(K815&amp;$W$2,Taostats_CSV!$X$3:$X$1167,0)</f>
        <v>#N/A</v>
      </c>
      <c r="X815" t="e">
        <f t="shared" ca="1" si="84"/>
        <v>#VALUE!</v>
      </c>
      <c r="Y815">
        <f t="shared" ca="1" si="85"/>
        <v>0.14821048000000001</v>
      </c>
      <c r="Z815" t="e">
        <f t="shared" ca="1" si="86"/>
        <v>#VALUE!</v>
      </c>
    </row>
    <row r="816" spans="1:26" x14ac:dyDescent="0.4">
      <c r="A816" t="str">
        <f>MID(Taostats_CSV!C816,6,2)&amp;"/"&amp;MID(Taostats_CSV!C816,9,2)&amp;"/"&amp;LEFT(Taostats_CSV!C816,4)&amp;" "&amp;MID(Taostats_CSV!C816,12,8)</f>
        <v>08/20/2025 23:59:48</v>
      </c>
      <c r="C816" t="str">
        <f ca="1">IF(Q816,OFFSET(Taostats_CSV!$E$1,MATCH(K816&amp;D$1,Taostats_CSV!$X:$X,0)-1,0),IF(Taostats_CSV!F816="fee",IF(VALUE(Taostats_CSV!G816)&gt;0,Taostats_CSV!E816,""),""))</f>
        <v/>
      </c>
      <c r="D816" t="str">
        <f ca="1">IF(Q816,OFFSET(Taostats_CSV!$G$1,MATCH(K816&amp;D$1,Taostats_CSV!$X:$X,0)-1,0),IF(Taostats_CSV!F816="fee",IF(VALUE(Taostats_CSV!G816)&gt;0,Taostats_CSV!G816,""),""))</f>
        <v/>
      </c>
      <c r="E816" t="str">
        <f ca="1">IF(AND(Q816,P816&gt;0),OFFSET(Taostats_CSV!$E$1,MATCH(K816&amp;F$1,Taostats_CSV!$X:$X,0)-1,0),IF(LEN(F816)&gt;0,Taostats_CSV!E816,""))</f>
        <v>TAO</v>
      </c>
      <c r="F816" t="str">
        <f ca="1">TRIM(IF(AND(Q816,P816&gt;0),OFFSET(Taostats_CSV!$H$1,MATCH(K816&amp;F$1,Taostats_CSV!$X:$X,0)-1,0),IF(LEN(Taostats_CSV!H816)&gt;0,Taostats_CSV!H816,Taostats_CSV!R816)))</f>
        <v>0.009936071</v>
      </c>
      <c r="G816" t="str">
        <f ca="1">IF(AND(Q816,N816=1),OFFSET(Taostats_CSV!$E$1,MATCH(K816&amp;H$1,Taostats_CSV!$X:$X,0)-1,0),"")</f>
        <v/>
      </c>
      <c r="H816" t="str">
        <f ca="1">IF(AND(Q816,N816=1),OFFSET(Taostats_CSV!$G$1,MATCH(K816&amp;H$1,Taostats_CSV!$X:$X,0)-1,0),"")</f>
        <v/>
      </c>
      <c r="I816" t="str">
        <f ca="1">IF(AND(LEN(K816)=0,LEN(F816)&gt;0),"Income",IF(AND(O816&gt;0,P816&gt;0,C816&lt;&gt;E816),"Trade",IF(AND(NOT(Q816),Taostats_CSV!F816="fee"),'READ ME'!$C$5,"")))</f>
        <v>Income</v>
      </c>
      <c r="J816" t="str">
        <f ca="1">SUBSTITUTE(IF(LEN(I816)=0,Taostats_CSV!F816&amp;" "&amp;Taostats_CSV!J816,IF(I816="Cost","Extrinsic fee","")),"_"," ")</f>
        <v/>
      </c>
      <c r="K816" t="str">
        <f>TRIM(IF(LEN(Taostats_CSV!I816)&gt;0,Taostats_CSV!I816,""))</f>
        <v/>
      </c>
      <c r="L816" t="str">
        <f>IF(Taostats_CSV!E816&lt;&gt;"TAO",IF(LEN(F816)&gt;0,F816,IF(LEN(D816)&gt;0,D816,0))*Taostats_CSV!P816,"")</f>
        <v/>
      </c>
      <c r="M816" t="str">
        <f t="shared" si="87"/>
        <v/>
      </c>
      <c r="N816">
        <f>COUNTIF(Taostats_CSV!$X:$X,Taostats_CSV!$I816&amp;N$1)</f>
        <v>0</v>
      </c>
      <c r="O816">
        <f>COUNTIF(Taostats_CSV!$X:$X,Taostats_CSV!$I816&amp;O$1)</f>
        <v>0</v>
      </c>
      <c r="P816">
        <f>COUNTIF(Taostats_CSV!$X:$X,Taostats_CSV!$I816&amp;P$1)</f>
        <v>0</v>
      </c>
      <c r="Q816" t="b">
        <f t="shared" si="88"/>
        <v>0</v>
      </c>
      <c r="R816" t="b">
        <f>IF(LEN(K816)&gt;0,COUNTIF($K$3:K816,K816),FALSE)</f>
        <v>0</v>
      </c>
      <c r="S816" t="b">
        <f>IF(Taostats_CSV!A816=Taostats_CSV!$A$2,TRUE,Taostats_CSV!G816+Taostats_CSV!H816+Taostats_CSV!R816=0)</f>
        <v>0</v>
      </c>
      <c r="T816" t="b">
        <f t="shared" si="89"/>
        <v>1</v>
      </c>
      <c r="U816" t="b" cm="1">
        <f t="array" aca="1" ref="U816" ca="1">AND(T816,OR(O816-N816&gt;1,P816&gt;1,ISERROR(A816:P816)))</f>
        <v>0</v>
      </c>
      <c r="W816" t="e">
        <f>MATCH(K816&amp;$W$2,Taostats_CSV!$X$3:$X$1167,0)</f>
        <v>#N/A</v>
      </c>
      <c r="X816" t="e">
        <f t="shared" ca="1" si="84"/>
        <v>#VALUE!</v>
      </c>
      <c r="Y816">
        <f t="shared" ca="1" si="85"/>
        <v>9.9360709999999994E-3</v>
      </c>
      <c r="Z816" t="e">
        <f t="shared" ca="1" si="86"/>
        <v>#VALUE!</v>
      </c>
    </row>
    <row r="817" spans="1:26" x14ac:dyDescent="0.4">
      <c r="A817" t="str">
        <f>MID(Taostats_CSV!C817,6,2)&amp;"/"&amp;MID(Taostats_CSV!C817,9,2)&amp;"/"&amp;LEFT(Taostats_CSV!C817,4)&amp;" "&amp;MID(Taostats_CSV!C817,12,8)</f>
        <v>08/21/2025 23:59:48</v>
      </c>
      <c r="C817" t="str">
        <f ca="1">IF(Q817,OFFSET(Taostats_CSV!$E$1,MATCH(K817&amp;D$1,Taostats_CSV!$X:$X,0)-1,0),IF(Taostats_CSV!F817="fee",IF(VALUE(Taostats_CSV!G817)&gt;0,Taostats_CSV!E817,""),""))</f>
        <v/>
      </c>
      <c r="D817" t="str">
        <f ca="1">IF(Q817,OFFSET(Taostats_CSV!$G$1,MATCH(K817&amp;D$1,Taostats_CSV!$X:$X,0)-1,0),IF(Taostats_CSV!F817="fee",IF(VALUE(Taostats_CSV!G817)&gt;0,Taostats_CSV!G817,""),""))</f>
        <v/>
      </c>
      <c r="E817" t="str">
        <f ca="1">IF(AND(Q817,P817&gt;0),OFFSET(Taostats_CSV!$E$1,MATCH(K817&amp;F$1,Taostats_CSV!$X:$X,0)-1,0),IF(LEN(F817)&gt;0,Taostats_CSV!E817,""))</f>
        <v>SN3</v>
      </c>
      <c r="F817" t="str">
        <f ca="1">TRIM(IF(AND(Q817,P817&gt;0),OFFSET(Taostats_CSV!$H$1,MATCH(K817&amp;F$1,Taostats_CSV!$X:$X,0)-1,0),IF(LEN(Taostats_CSV!H817)&gt;0,Taostats_CSV!H817,Taostats_CSV!R817)))</f>
        <v>0.430618444</v>
      </c>
      <c r="G817" t="str">
        <f ca="1">IF(AND(Q817,N817=1),OFFSET(Taostats_CSV!$E$1,MATCH(K817&amp;H$1,Taostats_CSV!$X:$X,0)-1,0),"")</f>
        <v/>
      </c>
      <c r="H817" t="str">
        <f ca="1">IF(AND(Q817,N817=1),OFFSET(Taostats_CSV!$G$1,MATCH(K817&amp;H$1,Taostats_CSV!$X:$X,0)-1,0),"")</f>
        <v/>
      </c>
      <c r="I817" t="str">
        <f ca="1">IF(AND(LEN(K817)=0,LEN(F817)&gt;0),"Income",IF(AND(O817&gt;0,P817&gt;0,C817&lt;&gt;E817),"Trade",IF(AND(NOT(Q817),Taostats_CSV!F817="fee"),'READ ME'!$C$5,"")))</f>
        <v>Income</v>
      </c>
      <c r="J817" t="str">
        <f ca="1">SUBSTITUTE(IF(LEN(I817)=0,Taostats_CSV!F817&amp;" "&amp;Taostats_CSV!J817,IF(I817="Cost","Extrinsic fee","")),"_"," ")</f>
        <v/>
      </c>
      <c r="K817" t="str">
        <f>TRIM(IF(LEN(Taostats_CSV!I817)&gt;0,Taostats_CSV!I817,""))</f>
        <v/>
      </c>
      <c r="L817">
        <f ca="1">IF(Taostats_CSV!E817&lt;&gt;"TAO",IF(LEN(F817)&gt;0,F817,IF(LEN(D817)&gt;0,D817,0))*Taostats_CSV!P817,"")</f>
        <v>6.7736446938028774</v>
      </c>
      <c r="M817" t="str">
        <f t="shared" ca="1" si="87"/>
        <v>USD</v>
      </c>
      <c r="N817">
        <f>COUNTIF(Taostats_CSV!$X:$X,Taostats_CSV!$I817&amp;N$1)</f>
        <v>0</v>
      </c>
      <c r="O817">
        <f>COUNTIF(Taostats_CSV!$X:$X,Taostats_CSV!$I817&amp;O$1)</f>
        <v>0</v>
      </c>
      <c r="P817">
        <f>COUNTIF(Taostats_CSV!$X:$X,Taostats_CSV!$I817&amp;P$1)</f>
        <v>0</v>
      </c>
      <c r="Q817" t="b">
        <f t="shared" si="88"/>
        <v>0</v>
      </c>
      <c r="R817" t="b">
        <f>IF(LEN(K817)&gt;0,COUNTIF($K$3:K817,K817),FALSE)</f>
        <v>0</v>
      </c>
      <c r="S817" t="b">
        <f>IF(Taostats_CSV!A817=Taostats_CSV!$A$2,TRUE,Taostats_CSV!G817+Taostats_CSV!H817+Taostats_CSV!R817=0)</f>
        <v>0</v>
      </c>
      <c r="T817" t="b">
        <f t="shared" si="89"/>
        <v>1</v>
      </c>
      <c r="U817" t="b" cm="1">
        <f t="array" aca="1" ref="U817" ca="1">AND(T817,OR(O817-N817&gt;1,P817&gt;1,ISERROR(A817:P817)))</f>
        <v>0</v>
      </c>
      <c r="W817" t="e">
        <f>MATCH(K817&amp;$W$2,Taostats_CSV!$X$3:$X$1167,0)</f>
        <v>#N/A</v>
      </c>
      <c r="X817" t="e">
        <f t="shared" ca="1" si="84"/>
        <v>#VALUE!</v>
      </c>
      <c r="Y817">
        <f t="shared" ca="1" si="85"/>
        <v>0.43061844399999999</v>
      </c>
      <c r="Z817" t="e">
        <f t="shared" ca="1" si="86"/>
        <v>#VALUE!</v>
      </c>
    </row>
    <row r="818" spans="1:26" x14ac:dyDescent="0.4">
      <c r="A818" t="str">
        <f>MID(Taostats_CSV!C818,6,2)&amp;"/"&amp;MID(Taostats_CSV!C818,9,2)&amp;"/"&amp;LEFT(Taostats_CSV!C818,4)&amp;" "&amp;MID(Taostats_CSV!C818,12,8)</f>
        <v>08/21/2025 23:59:48</v>
      </c>
      <c r="C818" t="str">
        <f ca="1">IF(Q818,OFFSET(Taostats_CSV!$E$1,MATCH(K818&amp;D$1,Taostats_CSV!$X:$X,0)-1,0),IF(Taostats_CSV!F818="fee",IF(VALUE(Taostats_CSV!G818)&gt;0,Taostats_CSV!E818,""),""))</f>
        <v/>
      </c>
      <c r="D818" t="str">
        <f ca="1">IF(Q818,OFFSET(Taostats_CSV!$G$1,MATCH(K818&amp;D$1,Taostats_CSV!$X:$X,0)-1,0),IF(Taostats_CSV!F818="fee",IF(VALUE(Taostats_CSV!G818)&gt;0,Taostats_CSV!G818,""),""))</f>
        <v/>
      </c>
      <c r="E818" t="str">
        <f ca="1">IF(AND(Q818,P818&gt;0),OFFSET(Taostats_CSV!$E$1,MATCH(K818&amp;F$1,Taostats_CSV!$X:$X,0)-1,0),IF(LEN(F818)&gt;0,Taostats_CSV!E818,""))</f>
        <v>SN4</v>
      </c>
      <c r="F818" t="str">
        <f ca="1">TRIM(IF(AND(Q818,P818&gt;0),OFFSET(Taostats_CSV!$H$1,MATCH(K818&amp;F$1,Taostats_CSV!$X:$X,0)-1,0),IF(LEN(Taostats_CSV!H818)&gt;0,Taostats_CSV!H818,Taostats_CSV!R818)))</f>
        <v>0.488603174</v>
      </c>
      <c r="G818" t="str">
        <f ca="1">IF(AND(Q818,N818=1),OFFSET(Taostats_CSV!$E$1,MATCH(K818&amp;H$1,Taostats_CSV!$X:$X,0)-1,0),"")</f>
        <v/>
      </c>
      <c r="H818" t="str">
        <f ca="1">IF(AND(Q818,N818=1),OFFSET(Taostats_CSV!$G$1,MATCH(K818&amp;H$1,Taostats_CSV!$X:$X,0)-1,0),"")</f>
        <v/>
      </c>
      <c r="I818" t="str">
        <f ca="1">IF(AND(LEN(K818)=0,LEN(F818)&gt;0),"Income",IF(AND(O818&gt;0,P818&gt;0,C818&lt;&gt;E818),"Trade",IF(AND(NOT(Q818),Taostats_CSV!F818="fee"),'READ ME'!$C$5,"")))</f>
        <v>Income</v>
      </c>
      <c r="J818" t="str">
        <f ca="1">SUBSTITUTE(IF(LEN(I818)=0,Taostats_CSV!F818&amp;" "&amp;Taostats_CSV!J818,IF(I818="Cost","Extrinsic fee","")),"_"," ")</f>
        <v/>
      </c>
      <c r="K818" t="str">
        <f>TRIM(IF(LEN(Taostats_CSV!I818)&gt;0,Taostats_CSV!I818,""))</f>
        <v/>
      </c>
      <c r="L818">
        <f ca="1">IF(Taostats_CSV!E818&lt;&gt;"TAO",IF(LEN(F818)&gt;0,F818,IF(LEN(D818)&gt;0,D818,0))*Taostats_CSV!P818,"")</f>
        <v>8.126401267387207</v>
      </c>
      <c r="M818" t="str">
        <f t="shared" ca="1" si="87"/>
        <v>USD</v>
      </c>
      <c r="N818">
        <f>COUNTIF(Taostats_CSV!$X:$X,Taostats_CSV!$I818&amp;N$1)</f>
        <v>0</v>
      </c>
      <c r="O818">
        <f>COUNTIF(Taostats_CSV!$X:$X,Taostats_CSV!$I818&amp;O$1)</f>
        <v>0</v>
      </c>
      <c r="P818">
        <f>COUNTIF(Taostats_CSV!$X:$X,Taostats_CSV!$I818&amp;P$1)</f>
        <v>0</v>
      </c>
      <c r="Q818" t="b">
        <f t="shared" si="88"/>
        <v>0</v>
      </c>
      <c r="R818" t="b">
        <f>IF(LEN(K818)&gt;0,COUNTIF($K$3:K818,K818),FALSE)</f>
        <v>0</v>
      </c>
      <c r="S818" t="b">
        <f>IF(Taostats_CSV!A818=Taostats_CSV!$A$2,TRUE,Taostats_CSV!G818+Taostats_CSV!H818+Taostats_CSV!R818=0)</f>
        <v>0</v>
      </c>
      <c r="T818" t="b">
        <f t="shared" si="89"/>
        <v>1</v>
      </c>
      <c r="U818" t="b" cm="1">
        <f t="array" aca="1" ref="U818" ca="1">AND(T818,OR(O818-N818&gt;1,P818&gt;1,ISERROR(A818:P818)))</f>
        <v>0</v>
      </c>
      <c r="W818" t="e">
        <f>MATCH(K818&amp;$W$2,Taostats_CSV!$X$3:$X$1167,0)</f>
        <v>#N/A</v>
      </c>
      <c r="X818" t="e">
        <f t="shared" ca="1" si="84"/>
        <v>#VALUE!</v>
      </c>
      <c r="Y818">
        <f t="shared" ca="1" si="85"/>
        <v>0.48860317399999997</v>
      </c>
      <c r="Z818" t="e">
        <f t="shared" ca="1" si="86"/>
        <v>#VALUE!</v>
      </c>
    </row>
    <row r="819" spans="1:26" x14ac:dyDescent="0.4">
      <c r="A819" t="str">
        <f>MID(Taostats_CSV!C819,6,2)&amp;"/"&amp;MID(Taostats_CSV!C819,9,2)&amp;"/"&amp;LEFT(Taostats_CSV!C819,4)&amp;" "&amp;MID(Taostats_CSV!C819,12,8)</f>
        <v>08/21/2025 23:59:48</v>
      </c>
      <c r="C819" t="str">
        <f ca="1">IF(Q819,OFFSET(Taostats_CSV!$E$1,MATCH(K819&amp;D$1,Taostats_CSV!$X:$X,0)-1,0),IF(Taostats_CSV!F819="fee",IF(VALUE(Taostats_CSV!G819)&gt;0,Taostats_CSV!E819,""),""))</f>
        <v/>
      </c>
      <c r="D819" t="str">
        <f ca="1">IF(Q819,OFFSET(Taostats_CSV!$G$1,MATCH(K819&amp;D$1,Taostats_CSV!$X:$X,0)-1,0),IF(Taostats_CSV!F819="fee",IF(VALUE(Taostats_CSV!G819)&gt;0,Taostats_CSV!G819,""),""))</f>
        <v/>
      </c>
      <c r="E819" t="str">
        <f ca="1">IF(AND(Q819,P819&gt;0),OFFSET(Taostats_CSV!$E$1,MATCH(K819&amp;F$1,Taostats_CSV!$X:$X,0)-1,0),IF(LEN(F819)&gt;0,Taostats_CSV!E819,""))</f>
        <v>SN56</v>
      </c>
      <c r="F819" t="str">
        <f ca="1">TRIM(IF(AND(Q819,P819&gt;0),OFFSET(Taostats_CSV!$H$1,MATCH(K819&amp;F$1,Taostats_CSV!$X:$X,0)-1,0),IF(LEN(Taostats_CSV!H819)&gt;0,Taostats_CSV!H819,Taostats_CSV!R819)))</f>
        <v>0.272683048</v>
      </c>
      <c r="G819" t="str">
        <f ca="1">IF(AND(Q819,N819=1),OFFSET(Taostats_CSV!$E$1,MATCH(K819&amp;H$1,Taostats_CSV!$X:$X,0)-1,0),"")</f>
        <v/>
      </c>
      <c r="H819" t="str">
        <f ca="1">IF(AND(Q819,N819=1),OFFSET(Taostats_CSV!$G$1,MATCH(K819&amp;H$1,Taostats_CSV!$X:$X,0)-1,0),"")</f>
        <v/>
      </c>
      <c r="I819" t="str">
        <f ca="1">IF(AND(LEN(K819)=0,LEN(F819)&gt;0),"Income",IF(AND(O819&gt;0,P819&gt;0,C819&lt;&gt;E819),"Trade",IF(AND(NOT(Q819),Taostats_CSV!F819="fee"),'READ ME'!$C$5,"")))</f>
        <v>Income</v>
      </c>
      <c r="J819" t="str">
        <f ca="1">SUBSTITUTE(IF(LEN(I819)=0,Taostats_CSV!F819&amp;" "&amp;Taostats_CSV!J819,IF(I819="Cost","Extrinsic fee","")),"_"," ")</f>
        <v/>
      </c>
      <c r="K819" t="str">
        <f>TRIM(IF(LEN(Taostats_CSV!I819)&gt;0,Taostats_CSV!I819,""))</f>
        <v/>
      </c>
      <c r="L819">
        <f ca="1">IF(Taostats_CSV!E819&lt;&gt;"TAO",IF(LEN(F819)&gt;0,F819,IF(LEN(D819)&gt;0,D819,0))*Taostats_CSV!P819,"")</f>
        <v>4.009742583354055</v>
      </c>
      <c r="M819" t="str">
        <f t="shared" ca="1" si="87"/>
        <v>USD</v>
      </c>
      <c r="N819">
        <f>COUNTIF(Taostats_CSV!$X:$X,Taostats_CSV!$I819&amp;N$1)</f>
        <v>0</v>
      </c>
      <c r="O819">
        <f>COUNTIF(Taostats_CSV!$X:$X,Taostats_CSV!$I819&amp;O$1)</f>
        <v>0</v>
      </c>
      <c r="P819">
        <f>COUNTIF(Taostats_CSV!$X:$X,Taostats_CSV!$I819&amp;P$1)</f>
        <v>0</v>
      </c>
      <c r="Q819" t="b">
        <f t="shared" si="88"/>
        <v>0</v>
      </c>
      <c r="R819" t="b">
        <f>IF(LEN(K819)&gt;0,COUNTIF($K$3:K819,K819),FALSE)</f>
        <v>0</v>
      </c>
      <c r="S819" t="b">
        <f>IF(Taostats_CSV!A819=Taostats_CSV!$A$2,TRUE,Taostats_CSV!G819+Taostats_CSV!H819+Taostats_CSV!R819=0)</f>
        <v>0</v>
      </c>
      <c r="T819" t="b">
        <f t="shared" si="89"/>
        <v>1</v>
      </c>
      <c r="U819" t="b" cm="1">
        <f t="array" aca="1" ref="U819" ca="1">AND(T819,OR(O819-N819&gt;1,P819&gt;1,ISERROR(A819:P819)))</f>
        <v>0</v>
      </c>
      <c r="W819" t="e">
        <f>MATCH(K819&amp;$W$2,Taostats_CSV!$X$3:$X$1167,0)</f>
        <v>#N/A</v>
      </c>
      <c r="X819" t="e">
        <f t="shared" ca="1" si="84"/>
        <v>#VALUE!</v>
      </c>
      <c r="Y819">
        <f t="shared" ca="1" si="85"/>
        <v>0.27268304799999998</v>
      </c>
      <c r="Z819" t="e">
        <f t="shared" ca="1" si="86"/>
        <v>#VALUE!</v>
      </c>
    </row>
    <row r="820" spans="1:26" x14ac:dyDescent="0.4">
      <c r="A820" t="str">
        <f>MID(Taostats_CSV!C820,6,2)&amp;"/"&amp;MID(Taostats_CSV!C820,9,2)&amp;"/"&amp;LEFT(Taostats_CSV!C820,4)&amp;" "&amp;MID(Taostats_CSV!C820,12,8)</f>
        <v>08/21/2025 23:59:48</v>
      </c>
      <c r="C820" t="str">
        <f ca="1">IF(Q820,OFFSET(Taostats_CSV!$E$1,MATCH(K820&amp;D$1,Taostats_CSV!$X:$X,0)-1,0),IF(Taostats_CSV!F820="fee",IF(VALUE(Taostats_CSV!G820)&gt;0,Taostats_CSV!E820,""),""))</f>
        <v/>
      </c>
      <c r="D820" t="str">
        <f ca="1">IF(Q820,OFFSET(Taostats_CSV!$G$1,MATCH(K820&amp;D$1,Taostats_CSV!$X:$X,0)-1,0),IF(Taostats_CSV!F820="fee",IF(VALUE(Taostats_CSV!G820)&gt;0,Taostats_CSV!G820,""),""))</f>
        <v/>
      </c>
      <c r="E820" t="str">
        <f ca="1">IF(AND(Q820,P820&gt;0),OFFSET(Taostats_CSV!$E$1,MATCH(K820&amp;F$1,Taostats_CSV!$X:$X,0)-1,0),IF(LEN(F820)&gt;0,Taostats_CSV!E820,""))</f>
        <v>SN64</v>
      </c>
      <c r="F820" t="str">
        <f ca="1">TRIM(IF(AND(Q820,P820&gt;0),OFFSET(Taostats_CSV!$H$1,MATCH(K820&amp;F$1,Taostats_CSV!$X:$X,0)-1,0),IF(LEN(Taostats_CSV!H820)&gt;0,Taostats_CSV!H820,Taostats_CSV!R820)))</f>
        <v>0.147367896</v>
      </c>
      <c r="G820" t="str">
        <f ca="1">IF(AND(Q820,N820=1),OFFSET(Taostats_CSV!$E$1,MATCH(K820&amp;H$1,Taostats_CSV!$X:$X,0)-1,0),"")</f>
        <v/>
      </c>
      <c r="H820" t="str">
        <f ca="1">IF(AND(Q820,N820=1),OFFSET(Taostats_CSV!$G$1,MATCH(K820&amp;H$1,Taostats_CSV!$X:$X,0)-1,0),"")</f>
        <v/>
      </c>
      <c r="I820" t="str">
        <f ca="1">IF(AND(LEN(K820)=0,LEN(F820)&gt;0),"Income",IF(AND(O820&gt;0,P820&gt;0,C820&lt;&gt;E820),"Trade",IF(AND(NOT(Q820),Taostats_CSV!F820="fee"),'READ ME'!$C$5,"")))</f>
        <v>Income</v>
      </c>
      <c r="J820" t="str">
        <f ca="1">SUBSTITUTE(IF(LEN(I820)=0,Taostats_CSV!F820&amp;" "&amp;Taostats_CSV!J820,IF(I820="Cost","Extrinsic fee","")),"_"," ")</f>
        <v/>
      </c>
      <c r="K820" t="str">
        <f>TRIM(IF(LEN(Taostats_CSV!I820)&gt;0,Taostats_CSV!I820,""))</f>
        <v/>
      </c>
      <c r="L820">
        <f ca="1">IF(Taostats_CSV!E820&lt;&gt;"TAO",IF(LEN(F820)&gt;0,F820,IF(LEN(D820)&gt;0,D820,0))*Taostats_CSV!P820,"")</f>
        <v>5.3267758182061726</v>
      </c>
      <c r="M820" t="str">
        <f t="shared" ca="1" si="87"/>
        <v>USD</v>
      </c>
      <c r="N820">
        <f>COUNTIF(Taostats_CSV!$X:$X,Taostats_CSV!$I820&amp;N$1)</f>
        <v>0</v>
      </c>
      <c r="O820">
        <f>COUNTIF(Taostats_CSV!$X:$X,Taostats_CSV!$I820&amp;O$1)</f>
        <v>0</v>
      </c>
      <c r="P820">
        <f>COUNTIF(Taostats_CSV!$X:$X,Taostats_CSV!$I820&amp;P$1)</f>
        <v>0</v>
      </c>
      <c r="Q820" t="b">
        <f t="shared" si="88"/>
        <v>0</v>
      </c>
      <c r="R820" t="b">
        <f>IF(LEN(K820)&gt;0,COUNTIF($K$3:K820,K820),FALSE)</f>
        <v>0</v>
      </c>
      <c r="S820" t="b">
        <f>IF(Taostats_CSV!A820=Taostats_CSV!$A$2,TRUE,Taostats_CSV!G820+Taostats_CSV!H820+Taostats_CSV!R820=0)</f>
        <v>0</v>
      </c>
      <c r="T820" t="b">
        <f t="shared" si="89"/>
        <v>1</v>
      </c>
      <c r="U820" t="b" cm="1">
        <f t="array" aca="1" ref="U820" ca="1">AND(T820,OR(O820-N820&gt;1,P820&gt;1,ISERROR(A820:P820)))</f>
        <v>0</v>
      </c>
      <c r="W820" t="e">
        <f>MATCH(K820&amp;$W$2,Taostats_CSV!$X$3:$X$1167,0)</f>
        <v>#N/A</v>
      </c>
      <c r="X820" t="e">
        <f t="shared" ca="1" si="84"/>
        <v>#VALUE!</v>
      </c>
      <c r="Y820">
        <f t="shared" ca="1" si="85"/>
        <v>0.147367896</v>
      </c>
      <c r="Z820" t="e">
        <f t="shared" ca="1" si="86"/>
        <v>#VALUE!</v>
      </c>
    </row>
    <row r="821" spans="1:26" x14ac:dyDescent="0.4">
      <c r="A821" t="str">
        <f>MID(Taostats_CSV!C821,6,2)&amp;"/"&amp;MID(Taostats_CSV!C821,9,2)&amp;"/"&amp;LEFT(Taostats_CSV!C821,4)&amp;" "&amp;MID(Taostats_CSV!C821,12,8)</f>
        <v>08/21/2025 23:59:48</v>
      </c>
      <c r="C821" t="str">
        <f ca="1">IF(Q821,OFFSET(Taostats_CSV!$E$1,MATCH(K821&amp;D$1,Taostats_CSV!$X:$X,0)-1,0),IF(Taostats_CSV!F821="fee",IF(VALUE(Taostats_CSV!G821)&gt;0,Taostats_CSV!E821,""),""))</f>
        <v/>
      </c>
      <c r="D821" t="str">
        <f ca="1">IF(Q821,OFFSET(Taostats_CSV!$G$1,MATCH(K821&amp;D$1,Taostats_CSV!$X:$X,0)-1,0),IF(Taostats_CSV!F821="fee",IF(VALUE(Taostats_CSV!G821)&gt;0,Taostats_CSV!G821,""),""))</f>
        <v/>
      </c>
      <c r="E821" t="str">
        <f ca="1">IF(AND(Q821,P821&gt;0),OFFSET(Taostats_CSV!$E$1,MATCH(K821&amp;F$1,Taostats_CSV!$X:$X,0)-1,0),IF(LEN(F821)&gt;0,Taostats_CSV!E821,""))</f>
        <v>TAO</v>
      </c>
      <c r="F821" t="str">
        <f ca="1">TRIM(IF(AND(Q821,P821&gt;0),OFFSET(Taostats_CSV!$H$1,MATCH(K821&amp;F$1,Taostats_CSV!$X:$X,0)-1,0),IF(LEN(Taostats_CSV!H821)&gt;0,Taostats_CSV!H821,Taostats_CSV!R821)))</f>
        <v>0.0105123</v>
      </c>
      <c r="G821" t="str">
        <f ca="1">IF(AND(Q821,N821=1),OFFSET(Taostats_CSV!$E$1,MATCH(K821&amp;H$1,Taostats_CSV!$X:$X,0)-1,0),"")</f>
        <v/>
      </c>
      <c r="H821" t="str">
        <f ca="1">IF(AND(Q821,N821=1),OFFSET(Taostats_CSV!$G$1,MATCH(K821&amp;H$1,Taostats_CSV!$X:$X,0)-1,0),"")</f>
        <v/>
      </c>
      <c r="I821" t="str">
        <f ca="1">IF(AND(LEN(K821)=0,LEN(F821)&gt;0),"Income",IF(AND(O821&gt;0,P821&gt;0,C821&lt;&gt;E821),"Trade",IF(AND(NOT(Q821),Taostats_CSV!F821="fee"),'READ ME'!$C$5,"")))</f>
        <v>Income</v>
      </c>
      <c r="J821" t="str">
        <f ca="1">SUBSTITUTE(IF(LEN(I821)=0,Taostats_CSV!F821&amp;" "&amp;Taostats_CSV!J821,IF(I821="Cost","Extrinsic fee","")),"_"," ")</f>
        <v/>
      </c>
      <c r="K821" t="str">
        <f>TRIM(IF(LEN(Taostats_CSV!I821)&gt;0,Taostats_CSV!I821,""))</f>
        <v/>
      </c>
      <c r="L821" t="str">
        <f>IF(Taostats_CSV!E821&lt;&gt;"TAO",IF(LEN(F821)&gt;0,F821,IF(LEN(D821)&gt;0,D821,0))*Taostats_CSV!P821,"")</f>
        <v/>
      </c>
      <c r="M821" t="str">
        <f t="shared" si="87"/>
        <v/>
      </c>
      <c r="N821">
        <f>COUNTIF(Taostats_CSV!$X:$X,Taostats_CSV!$I821&amp;N$1)</f>
        <v>0</v>
      </c>
      <c r="O821">
        <f>COUNTIF(Taostats_CSV!$X:$X,Taostats_CSV!$I821&amp;O$1)</f>
        <v>0</v>
      </c>
      <c r="P821">
        <f>COUNTIF(Taostats_CSV!$X:$X,Taostats_CSV!$I821&amp;P$1)</f>
        <v>0</v>
      </c>
      <c r="Q821" t="b">
        <f t="shared" si="88"/>
        <v>0</v>
      </c>
      <c r="R821" t="b">
        <f>IF(LEN(K821)&gt;0,COUNTIF($K$3:K821,K821),FALSE)</f>
        <v>0</v>
      </c>
      <c r="S821" t="b">
        <f>IF(Taostats_CSV!A821=Taostats_CSV!$A$2,TRUE,Taostats_CSV!G821+Taostats_CSV!H821+Taostats_CSV!R821=0)</f>
        <v>0</v>
      </c>
      <c r="T821" t="b">
        <f t="shared" si="89"/>
        <v>1</v>
      </c>
      <c r="U821" t="b" cm="1">
        <f t="array" aca="1" ref="U821" ca="1">AND(T821,OR(O821-N821&gt;1,P821&gt;1,ISERROR(A821:P821)))</f>
        <v>0</v>
      </c>
      <c r="W821" t="e">
        <f>MATCH(K821&amp;$W$2,Taostats_CSV!$X$3:$X$1167,0)</f>
        <v>#N/A</v>
      </c>
      <c r="X821" t="e">
        <f t="shared" ca="1" si="84"/>
        <v>#VALUE!</v>
      </c>
      <c r="Y821">
        <f t="shared" ca="1" si="85"/>
        <v>1.05123E-2</v>
      </c>
      <c r="Z821" t="e">
        <f t="shared" ca="1" si="86"/>
        <v>#VALUE!</v>
      </c>
    </row>
    <row r="822" spans="1:26" x14ac:dyDescent="0.4">
      <c r="A822" t="str">
        <f>MID(Taostats_CSV!C822,6,2)&amp;"/"&amp;MID(Taostats_CSV!C822,9,2)&amp;"/"&amp;LEFT(Taostats_CSV!C822,4)&amp;" "&amp;MID(Taostats_CSV!C822,12,8)</f>
        <v>08/22/2025 23:59:48</v>
      </c>
      <c r="C822" t="str">
        <f ca="1">IF(Q822,OFFSET(Taostats_CSV!$E$1,MATCH(K822&amp;D$1,Taostats_CSV!$X:$X,0)-1,0),IF(Taostats_CSV!F822="fee",IF(VALUE(Taostats_CSV!G822)&gt;0,Taostats_CSV!E822,""),""))</f>
        <v/>
      </c>
      <c r="D822" t="str">
        <f ca="1">IF(Q822,OFFSET(Taostats_CSV!$G$1,MATCH(K822&amp;D$1,Taostats_CSV!$X:$X,0)-1,0),IF(Taostats_CSV!F822="fee",IF(VALUE(Taostats_CSV!G822)&gt;0,Taostats_CSV!G822,""),""))</f>
        <v/>
      </c>
      <c r="E822" t="str">
        <f ca="1">IF(AND(Q822,P822&gt;0),OFFSET(Taostats_CSV!$E$1,MATCH(K822&amp;F$1,Taostats_CSV!$X:$X,0)-1,0),IF(LEN(F822)&gt;0,Taostats_CSV!E822,""))</f>
        <v>SN3</v>
      </c>
      <c r="F822" t="str">
        <f ca="1">TRIM(IF(AND(Q822,P822&gt;0),OFFSET(Taostats_CSV!$H$1,MATCH(K822&amp;F$1,Taostats_CSV!$X:$X,0)-1,0),IF(LEN(Taostats_CSV!H822)&gt;0,Taostats_CSV!H822,Taostats_CSV!R822)))</f>
        <v>0.422580017</v>
      </c>
      <c r="G822" t="str">
        <f ca="1">IF(AND(Q822,N822=1),OFFSET(Taostats_CSV!$E$1,MATCH(K822&amp;H$1,Taostats_CSV!$X:$X,0)-1,0),"")</f>
        <v/>
      </c>
      <c r="H822" t="str">
        <f ca="1">IF(AND(Q822,N822=1),OFFSET(Taostats_CSV!$G$1,MATCH(K822&amp;H$1,Taostats_CSV!$X:$X,0)-1,0),"")</f>
        <v/>
      </c>
      <c r="I822" t="str">
        <f ca="1">IF(AND(LEN(K822)=0,LEN(F822)&gt;0),"Income",IF(AND(O822&gt;0,P822&gt;0,C822&lt;&gt;E822),"Trade",IF(AND(NOT(Q822),Taostats_CSV!F822="fee"),'READ ME'!$C$5,"")))</f>
        <v>Income</v>
      </c>
      <c r="J822" t="str">
        <f ca="1">SUBSTITUTE(IF(LEN(I822)=0,Taostats_CSV!F822&amp;" "&amp;Taostats_CSV!J822,IF(I822="Cost","Extrinsic fee","")),"_"," ")</f>
        <v/>
      </c>
      <c r="K822" t="str">
        <f>TRIM(IF(LEN(Taostats_CSV!I822)&gt;0,Taostats_CSV!I822,""))</f>
        <v/>
      </c>
      <c r="L822">
        <f ca="1">IF(Taostats_CSV!E822&lt;&gt;"TAO",IF(LEN(F822)&gt;0,F822,IF(LEN(D822)&gt;0,D822,0))*Taostats_CSV!P822,"")</f>
        <v>7.2908363810724044</v>
      </c>
      <c r="M822" t="str">
        <f t="shared" ca="1" si="87"/>
        <v>USD</v>
      </c>
      <c r="N822">
        <f>COUNTIF(Taostats_CSV!$X:$X,Taostats_CSV!$I822&amp;N$1)</f>
        <v>0</v>
      </c>
      <c r="O822">
        <f>COUNTIF(Taostats_CSV!$X:$X,Taostats_CSV!$I822&amp;O$1)</f>
        <v>0</v>
      </c>
      <c r="P822">
        <f>COUNTIF(Taostats_CSV!$X:$X,Taostats_CSV!$I822&amp;P$1)</f>
        <v>0</v>
      </c>
      <c r="Q822" t="b">
        <f t="shared" si="88"/>
        <v>0</v>
      </c>
      <c r="R822" t="b">
        <f>IF(LEN(K822)&gt;0,COUNTIF($K$3:K822,K822),FALSE)</f>
        <v>0</v>
      </c>
      <c r="S822" t="b">
        <f>IF(Taostats_CSV!A822=Taostats_CSV!$A$2,TRUE,Taostats_CSV!G822+Taostats_CSV!H822+Taostats_CSV!R822=0)</f>
        <v>0</v>
      </c>
      <c r="T822" t="b">
        <f t="shared" si="89"/>
        <v>1</v>
      </c>
      <c r="U822" t="b" cm="1">
        <f t="array" aca="1" ref="U822" ca="1">AND(T822,OR(O822-N822&gt;1,P822&gt;1,ISERROR(A822:P822)))</f>
        <v>0</v>
      </c>
      <c r="W822" t="e">
        <f>MATCH(K822&amp;$W$2,Taostats_CSV!$X$3:$X$1167,0)</f>
        <v>#N/A</v>
      </c>
      <c r="X822" t="e">
        <f t="shared" ca="1" si="84"/>
        <v>#VALUE!</v>
      </c>
      <c r="Y822">
        <f t="shared" ca="1" si="85"/>
        <v>0.42258001699999997</v>
      </c>
      <c r="Z822" t="e">
        <f t="shared" ca="1" si="86"/>
        <v>#VALUE!</v>
      </c>
    </row>
    <row r="823" spans="1:26" x14ac:dyDescent="0.4">
      <c r="A823" t="str">
        <f>MID(Taostats_CSV!C823,6,2)&amp;"/"&amp;MID(Taostats_CSV!C823,9,2)&amp;"/"&amp;LEFT(Taostats_CSV!C823,4)&amp;" "&amp;MID(Taostats_CSV!C823,12,8)</f>
        <v>08/22/2025 23:59:48</v>
      </c>
      <c r="C823" t="str">
        <f ca="1">IF(Q823,OFFSET(Taostats_CSV!$E$1,MATCH(K823&amp;D$1,Taostats_CSV!$X:$X,0)-1,0),IF(Taostats_CSV!F823="fee",IF(VALUE(Taostats_CSV!G823)&gt;0,Taostats_CSV!E823,""),""))</f>
        <v/>
      </c>
      <c r="D823" t="str">
        <f ca="1">IF(Q823,OFFSET(Taostats_CSV!$G$1,MATCH(K823&amp;D$1,Taostats_CSV!$X:$X,0)-1,0),IF(Taostats_CSV!F823="fee",IF(VALUE(Taostats_CSV!G823)&gt;0,Taostats_CSV!G823,""),""))</f>
        <v/>
      </c>
      <c r="E823" t="str">
        <f ca="1">IF(AND(Q823,P823&gt;0),OFFSET(Taostats_CSV!$E$1,MATCH(K823&amp;F$1,Taostats_CSV!$X:$X,0)-1,0),IF(LEN(F823)&gt;0,Taostats_CSV!E823,""))</f>
        <v>SN4</v>
      </c>
      <c r="F823" t="str">
        <f ca="1">TRIM(IF(AND(Q823,P823&gt;0),OFFSET(Taostats_CSV!$H$1,MATCH(K823&amp;F$1,Taostats_CSV!$X:$X,0)-1,0),IF(LEN(Taostats_CSV!H823)&gt;0,Taostats_CSV!H823,Taostats_CSV!R823)))</f>
        <v>0.488323043</v>
      </c>
      <c r="G823" t="str">
        <f ca="1">IF(AND(Q823,N823=1),OFFSET(Taostats_CSV!$E$1,MATCH(K823&amp;H$1,Taostats_CSV!$X:$X,0)-1,0),"")</f>
        <v/>
      </c>
      <c r="H823" t="str">
        <f ca="1">IF(AND(Q823,N823=1),OFFSET(Taostats_CSV!$G$1,MATCH(K823&amp;H$1,Taostats_CSV!$X:$X,0)-1,0),"")</f>
        <v/>
      </c>
      <c r="I823" t="str">
        <f ca="1">IF(AND(LEN(K823)=0,LEN(F823)&gt;0),"Income",IF(AND(O823&gt;0,P823&gt;0,C823&lt;&gt;E823),"Trade",IF(AND(NOT(Q823),Taostats_CSV!F823="fee"),'READ ME'!$C$5,"")))</f>
        <v>Income</v>
      </c>
      <c r="J823" t="str">
        <f ca="1">SUBSTITUTE(IF(LEN(I823)=0,Taostats_CSV!F823&amp;" "&amp;Taostats_CSV!J823,IF(I823="Cost","Extrinsic fee","")),"_"," ")</f>
        <v/>
      </c>
      <c r="K823" t="str">
        <f>TRIM(IF(LEN(Taostats_CSV!I823)&gt;0,Taostats_CSV!I823,""))</f>
        <v/>
      </c>
      <c r="L823">
        <f ca="1">IF(Taostats_CSV!E823&lt;&gt;"TAO",IF(LEN(F823)&gt;0,F823,IF(LEN(D823)&gt;0,D823,0))*Taostats_CSV!P823,"")</f>
        <v>8.8425730385165373</v>
      </c>
      <c r="M823" t="str">
        <f t="shared" ca="1" si="87"/>
        <v>USD</v>
      </c>
      <c r="N823">
        <f>COUNTIF(Taostats_CSV!$X:$X,Taostats_CSV!$I823&amp;N$1)</f>
        <v>0</v>
      </c>
      <c r="O823">
        <f>COUNTIF(Taostats_CSV!$X:$X,Taostats_CSV!$I823&amp;O$1)</f>
        <v>0</v>
      </c>
      <c r="P823">
        <f>COUNTIF(Taostats_CSV!$X:$X,Taostats_CSV!$I823&amp;P$1)</f>
        <v>0</v>
      </c>
      <c r="Q823" t="b">
        <f t="shared" si="88"/>
        <v>0</v>
      </c>
      <c r="R823" t="b">
        <f>IF(LEN(K823)&gt;0,COUNTIF($K$3:K823,K823),FALSE)</f>
        <v>0</v>
      </c>
      <c r="S823" t="b">
        <f>IF(Taostats_CSV!A823=Taostats_CSV!$A$2,TRUE,Taostats_CSV!G823+Taostats_CSV!H823+Taostats_CSV!R823=0)</f>
        <v>0</v>
      </c>
      <c r="T823" t="b">
        <f t="shared" si="89"/>
        <v>1</v>
      </c>
      <c r="U823" t="b" cm="1">
        <f t="array" aca="1" ref="U823" ca="1">AND(T823,OR(O823-N823&gt;1,P823&gt;1,ISERROR(A823:P823)))</f>
        <v>0</v>
      </c>
      <c r="W823" t="e">
        <f>MATCH(K823&amp;$W$2,Taostats_CSV!$X$3:$X$1167,0)</f>
        <v>#N/A</v>
      </c>
      <c r="X823" t="e">
        <f t="shared" ca="1" si="84"/>
        <v>#VALUE!</v>
      </c>
      <c r="Y823">
        <f t="shared" ca="1" si="85"/>
        <v>0.48832304300000001</v>
      </c>
      <c r="Z823" t="e">
        <f t="shared" ca="1" si="86"/>
        <v>#VALUE!</v>
      </c>
    </row>
    <row r="824" spans="1:26" x14ac:dyDescent="0.4">
      <c r="A824" t="str">
        <f>MID(Taostats_CSV!C824,6,2)&amp;"/"&amp;MID(Taostats_CSV!C824,9,2)&amp;"/"&amp;LEFT(Taostats_CSV!C824,4)&amp;" "&amp;MID(Taostats_CSV!C824,12,8)</f>
        <v>08/22/2025 23:59:48</v>
      </c>
      <c r="C824" t="str">
        <f ca="1">IF(Q824,OFFSET(Taostats_CSV!$E$1,MATCH(K824&amp;D$1,Taostats_CSV!$X:$X,0)-1,0),IF(Taostats_CSV!F824="fee",IF(VALUE(Taostats_CSV!G824)&gt;0,Taostats_CSV!E824,""),""))</f>
        <v/>
      </c>
      <c r="D824" t="str">
        <f ca="1">IF(Q824,OFFSET(Taostats_CSV!$G$1,MATCH(K824&amp;D$1,Taostats_CSV!$X:$X,0)-1,0),IF(Taostats_CSV!F824="fee",IF(VALUE(Taostats_CSV!G824)&gt;0,Taostats_CSV!G824,""),""))</f>
        <v/>
      </c>
      <c r="E824" t="str">
        <f ca="1">IF(AND(Q824,P824&gt;0),OFFSET(Taostats_CSV!$E$1,MATCH(K824&amp;F$1,Taostats_CSV!$X:$X,0)-1,0),IF(LEN(F824)&gt;0,Taostats_CSV!E824,""))</f>
        <v>SN56</v>
      </c>
      <c r="F824" t="str">
        <f ca="1">TRIM(IF(AND(Q824,P824&gt;0),OFFSET(Taostats_CSV!$H$1,MATCH(K824&amp;F$1,Taostats_CSV!$X:$X,0)-1,0),IF(LEN(Taostats_CSV!H824)&gt;0,Taostats_CSV!H824,Taostats_CSV!R824)))</f>
        <v>0.275201542</v>
      </c>
      <c r="G824" t="str">
        <f ca="1">IF(AND(Q824,N824=1),OFFSET(Taostats_CSV!$E$1,MATCH(K824&amp;H$1,Taostats_CSV!$X:$X,0)-1,0),"")</f>
        <v/>
      </c>
      <c r="H824" t="str">
        <f ca="1">IF(AND(Q824,N824=1),OFFSET(Taostats_CSV!$G$1,MATCH(K824&amp;H$1,Taostats_CSV!$X:$X,0)-1,0),"")</f>
        <v/>
      </c>
      <c r="I824" t="str">
        <f ca="1">IF(AND(LEN(K824)=0,LEN(F824)&gt;0),"Income",IF(AND(O824&gt;0,P824&gt;0,C824&lt;&gt;E824),"Trade",IF(AND(NOT(Q824),Taostats_CSV!F824="fee"),'READ ME'!$C$5,"")))</f>
        <v>Income</v>
      </c>
      <c r="J824" t="str">
        <f ca="1">SUBSTITUTE(IF(LEN(I824)=0,Taostats_CSV!F824&amp;" "&amp;Taostats_CSV!J824,IF(I824="Cost","Extrinsic fee","")),"_"," ")</f>
        <v/>
      </c>
      <c r="K824" t="str">
        <f>TRIM(IF(LEN(Taostats_CSV!I824)&gt;0,Taostats_CSV!I824,""))</f>
        <v/>
      </c>
      <c r="L824">
        <f ca="1">IF(Taostats_CSV!E824&lt;&gt;"TAO",IF(LEN(F824)&gt;0,F824,IF(LEN(D824)&gt;0,D824,0))*Taostats_CSV!P824,"")</f>
        <v>4.3246999750216961</v>
      </c>
      <c r="M824" t="str">
        <f t="shared" ca="1" si="87"/>
        <v>USD</v>
      </c>
      <c r="N824">
        <f>COUNTIF(Taostats_CSV!$X:$X,Taostats_CSV!$I824&amp;N$1)</f>
        <v>0</v>
      </c>
      <c r="O824">
        <f>COUNTIF(Taostats_CSV!$X:$X,Taostats_CSV!$I824&amp;O$1)</f>
        <v>0</v>
      </c>
      <c r="P824">
        <f>COUNTIF(Taostats_CSV!$X:$X,Taostats_CSV!$I824&amp;P$1)</f>
        <v>0</v>
      </c>
      <c r="Q824" t="b">
        <f t="shared" si="88"/>
        <v>0</v>
      </c>
      <c r="R824" t="b">
        <f>IF(LEN(K824)&gt;0,COUNTIF($K$3:K824,K824),FALSE)</f>
        <v>0</v>
      </c>
      <c r="S824" t="b">
        <f>IF(Taostats_CSV!A824=Taostats_CSV!$A$2,TRUE,Taostats_CSV!G824+Taostats_CSV!H824+Taostats_CSV!R824=0)</f>
        <v>0</v>
      </c>
      <c r="T824" t="b">
        <f t="shared" si="89"/>
        <v>1</v>
      </c>
      <c r="U824" t="b" cm="1">
        <f t="array" aca="1" ref="U824" ca="1">AND(T824,OR(O824-N824&gt;1,P824&gt;1,ISERROR(A824:P824)))</f>
        <v>0</v>
      </c>
      <c r="W824" t="e">
        <f>MATCH(K824&amp;$W$2,Taostats_CSV!$X$3:$X$1167,0)</f>
        <v>#N/A</v>
      </c>
      <c r="X824" t="e">
        <f t="shared" ca="1" si="84"/>
        <v>#VALUE!</v>
      </c>
      <c r="Y824">
        <f t="shared" ca="1" si="85"/>
        <v>0.27520154200000002</v>
      </c>
      <c r="Z824" t="e">
        <f t="shared" ca="1" si="86"/>
        <v>#VALUE!</v>
      </c>
    </row>
    <row r="825" spans="1:26" x14ac:dyDescent="0.4">
      <c r="A825" t="str">
        <f>MID(Taostats_CSV!C825,6,2)&amp;"/"&amp;MID(Taostats_CSV!C825,9,2)&amp;"/"&amp;LEFT(Taostats_CSV!C825,4)&amp;" "&amp;MID(Taostats_CSV!C825,12,8)</f>
        <v>08/22/2025 23:59:48</v>
      </c>
      <c r="C825" t="str">
        <f ca="1">IF(Q825,OFFSET(Taostats_CSV!$E$1,MATCH(K825&amp;D$1,Taostats_CSV!$X:$X,0)-1,0),IF(Taostats_CSV!F825="fee",IF(VALUE(Taostats_CSV!G825)&gt;0,Taostats_CSV!E825,""),""))</f>
        <v/>
      </c>
      <c r="D825" t="str">
        <f ca="1">IF(Q825,OFFSET(Taostats_CSV!$G$1,MATCH(K825&amp;D$1,Taostats_CSV!$X:$X,0)-1,0),IF(Taostats_CSV!F825="fee",IF(VALUE(Taostats_CSV!G825)&gt;0,Taostats_CSV!G825,""),""))</f>
        <v/>
      </c>
      <c r="E825" t="str">
        <f ca="1">IF(AND(Q825,P825&gt;0),OFFSET(Taostats_CSV!$E$1,MATCH(K825&amp;F$1,Taostats_CSV!$X:$X,0)-1,0),IF(LEN(F825)&gt;0,Taostats_CSV!E825,""))</f>
        <v>SN64</v>
      </c>
      <c r="F825" t="str">
        <f ca="1">TRIM(IF(AND(Q825,P825&gt;0),OFFSET(Taostats_CSV!$H$1,MATCH(K825&amp;F$1,Taostats_CSV!$X:$X,0)-1,0),IF(LEN(Taostats_CSV!H825)&gt;0,Taostats_CSV!H825,Taostats_CSV!R825)))</f>
        <v>0.148459906</v>
      </c>
      <c r="G825" t="str">
        <f ca="1">IF(AND(Q825,N825=1),OFFSET(Taostats_CSV!$E$1,MATCH(K825&amp;H$1,Taostats_CSV!$X:$X,0)-1,0),"")</f>
        <v/>
      </c>
      <c r="H825" t="str">
        <f ca="1">IF(AND(Q825,N825=1),OFFSET(Taostats_CSV!$G$1,MATCH(K825&amp;H$1,Taostats_CSV!$X:$X,0)-1,0),"")</f>
        <v/>
      </c>
      <c r="I825" t="str">
        <f ca="1">IF(AND(LEN(K825)=0,LEN(F825)&gt;0),"Income",IF(AND(O825&gt;0,P825&gt;0,C825&lt;&gt;E825),"Trade",IF(AND(NOT(Q825),Taostats_CSV!F825="fee"),'READ ME'!$C$5,"")))</f>
        <v>Income</v>
      </c>
      <c r="J825" t="str">
        <f ca="1">SUBSTITUTE(IF(LEN(I825)=0,Taostats_CSV!F825&amp;" "&amp;Taostats_CSV!J825,IF(I825="Cost","Extrinsic fee","")),"_"," ")</f>
        <v/>
      </c>
      <c r="K825" t="str">
        <f>TRIM(IF(LEN(Taostats_CSV!I825)&gt;0,Taostats_CSV!I825,""))</f>
        <v/>
      </c>
      <c r="L825">
        <f ca="1">IF(Taostats_CSV!E825&lt;&gt;"TAO",IF(LEN(F825)&gt;0,F825,IF(LEN(D825)&gt;0,D825,0))*Taostats_CSV!P825,"")</f>
        <v>5.8382451288377526</v>
      </c>
      <c r="M825" t="str">
        <f t="shared" ca="1" si="87"/>
        <v>USD</v>
      </c>
      <c r="N825">
        <f>COUNTIF(Taostats_CSV!$X:$X,Taostats_CSV!$I825&amp;N$1)</f>
        <v>0</v>
      </c>
      <c r="O825">
        <f>COUNTIF(Taostats_CSV!$X:$X,Taostats_CSV!$I825&amp;O$1)</f>
        <v>0</v>
      </c>
      <c r="P825">
        <f>COUNTIF(Taostats_CSV!$X:$X,Taostats_CSV!$I825&amp;P$1)</f>
        <v>0</v>
      </c>
      <c r="Q825" t="b">
        <f t="shared" si="88"/>
        <v>0</v>
      </c>
      <c r="R825" t="b">
        <f>IF(LEN(K825)&gt;0,COUNTIF($K$3:K825,K825),FALSE)</f>
        <v>0</v>
      </c>
      <c r="S825" t="b">
        <f>IF(Taostats_CSV!A825=Taostats_CSV!$A$2,TRUE,Taostats_CSV!G825+Taostats_CSV!H825+Taostats_CSV!R825=0)</f>
        <v>0</v>
      </c>
      <c r="T825" t="b">
        <f t="shared" si="89"/>
        <v>1</v>
      </c>
      <c r="U825" t="b" cm="1">
        <f t="array" aca="1" ref="U825" ca="1">AND(T825,OR(O825-N825&gt;1,P825&gt;1,ISERROR(A825:P825)))</f>
        <v>0</v>
      </c>
      <c r="W825" t="e">
        <f>MATCH(K825&amp;$W$2,Taostats_CSV!$X$3:$X$1167,0)</f>
        <v>#N/A</v>
      </c>
      <c r="X825" t="e">
        <f t="shared" ca="1" si="84"/>
        <v>#VALUE!</v>
      </c>
      <c r="Y825">
        <f t="shared" ca="1" si="85"/>
        <v>0.148459906</v>
      </c>
      <c r="Z825" t="e">
        <f t="shared" ca="1" si="86"/>
        <v>#VALUE!</v>
      </c>
    </row>
    <row r="826" spans="1:26" x14ac:dyDescent="0.4">
      <c r="A826" t="str">
        <f>MID(Taostats_CSV!C826,6,2)&amp;"/"&amp;MID(Taostats_CSV!C826,9,2)&amp;"/"&amp;LEFT(Taostats_CSV!C826,4)&amp;" "&amp;MID(Taostats_CSV!C826,12,8)</f>
        <v>08/22/2025 23:59:48</v>
      </c>
      <c r="C826" t="str">
        <f ca="1">IF(Q826,OFFSET(Taostats_CSV!$E$1,MATCH(K826&amp;D$1,Taostats_CSV!$X:$X,0)-1,0),IF(Taostats_CSV!F826="fee",IF(VALUE(Taostats_CSV!G826)&gt;0,Taostats_CSV!E826,""),""))</f>
        <v/>
      </c>
      <c r="D826" t="str">
        <f ca="1">IF(Q826,OFFSET(Taostats_CSV!$G$1,MATCH(K826&amp;D$1,Taostats_CSV!$X:$X,0)-1,0),IF(Taostats_CSV!F826="fee",IF(VALUE(Taostats_CSV!G826)&gt;0,Taostats_CSV!G826,""),""))</f>
        <v/>
      </c>
      <c r="E826" t="str">
        <f ca="1">IF(AND(Q826,P826&gt;0),OFFSET(Taostats_CSV!$E$1,MATCH(K826&amp;F$1,Taostats_CSV!$X:$X,0)-1,0),IF(LEN(F826)&gt;0,Taostats_CSV!E826,""))</f>
        <v>TAO</v>
      </c>
      <c r="F826" t="str">
        <f ca="1">TRIM(IF(AND(Q826,P826&gt;0),OFFSET(Taostats_CSV!$H$1,MATCH(K826&amp;F$1,Taostats_CSV!$X:$X,0)-1,0),IF(LEN(Taostats_CSV!H826)&gt;0,Taostats_CSV!H826,Taostats_CSV!R826)))</f>
        <v>0.010288194</v>
      </c>
      <c r="G826" t="str">
        <f ca="1">IF(AND(Q826,N826=1),OFFSET(Taostats_CSV!$E$1,MATCH(K826&amp;H$1,Taostats_CSV!$X:$X,0)-1,0),"")</f>
        <v/>
      </c>
      <c r="H826" t="str">
        <f ca="1">IF(AND(Q826,N826=1),OFFSET(Taostats_CSV!$G$1,MATCH(K826&amp;H$1,Taostats_CSV!$X:$X,0)-1,0),"")</f>
        <v/>
      </c>
      <c r="I826" t="str">
        <f ca="1">IF(AND(LEN(K826)=0,LEN(F826)&gt;0),"Income",IF(AND(O826&gt;0,P826&gt;0,C826&lt;&gt;E826),"Trade",IF(AND(NOT(Q826),Taostats_CSV!F826="fee"),'READ ME'!$C$5,"")))</f>
        <v>Income</v>
      </c>
      <c r="J826" t="str">
        <f ca="1">SUBSTITUTE(IF(LEN(I826)=0,Taostats_CSV!F826&amp;" "&amp;Taostats_CSV!J826,IF(I826="Cost","Extrinsic fee","")),"_"," ")</f>
        <v/>
      </c>
      <c r="K826" t="str">
        <f>TRIM(IF(LEN(Taostats_CSV!I826)&gt;0,Taostats_CSV!I826,""))</f>
        <v/>
      </c>
      <c r="L826" t="str">
        <f>IF(Taostats_CSV!E826&lt;&gt;"TAO",IF(LEN(F826)&gt;0,F826,IF(LEN(D826)&gt;0,D826,0))*Taostats_CSV!P826,"")</f>
        <v/>
      </c>
      <c r="M826" t="str">
        <f t="shared" si="87"/>
        <v/>
      </c>
      <c r="N826">
        <f>COUNTIF(Taostats_CSV!$X:$X,Taostats_CSV!$I826&amp;N$1)</f>
        <v>0</v>
      </c>
      <c r="O826">
        <f>COUNTIF(Taostats_CSV!$X:$X,Taostats_CSV!$I826&amp;O$1)</f>
        <v>0</v>
      </c>
      <c r="P826">
        <f>COUNTIF(Taostats_CSV!$X:$X,Taostats_CSV!$I826&amp;P$1)</f>
        <v>0</v>
      </c>
      <c r="Q826" t="b">
        <f t="shared" si="88"/>
        <v>0</v>
      </c>
      <c r="R826" t="b">
        <f>IF(LEN(K826)&gt;0,COUNTIF($K$3:K826,K826),FALSE)</f>
        <v>0</v>
      </c>
      <c r="S826" t="b">
        <f>IF(Taostats_CSV!A826=Taostats_CSV!$A$2,TRUE,Taostats_CSV!G826+Taostats_CSV!H826+Taostats_CSV!R826=0)</f>
        <v>0</v>
      </c>
      <c r="T826" t="b">
        <f t="shared" si="89"/>
        <v>1</v>
      </c>
      <c r="U826" t="b" cm="1">
        <f t="array" aca="1" ref="U826" ca="1">AND(T826,OR(O826-N826&gt;1,P826&gt;1,ISERROR(A826:P826)))</f>
        <v>0</v>
      </c>
      <c r="W826" t="e">
        <f>MATCH(K826&amp;$W$2,Taostats_CSV!$X$3:$X$1167,0)</f>
        <v>#N/A</v>
      </c>
      <c r="X826" t="e">
        <f t="shared" ca="1" si="84"/>
        <v>#VALUE!</v>
      </c>
      <c r="Y826">
        <f t="shared" ca="1" si="85"/>
        <v>1.0288194000000001E-2</v>
      </c>
      <c r="Z826" t="e">
        <f t="shared" ca="1" si="86"/>
        <v>#VALUE!</v>
      </c>
    </row>
    <row r="827" spans="1:26" x14ac:dyDescent="0.4">
      <c r="A827" t="str">
        <f>MID(Taostats_CSV!C827,6,2)&amp;"/"&amp;MID(Taostats_CSV!C827,9,2)&amp;"/"&amp;LEFT(Taostats_CSV!C827,4)&amp;" "&amp;MID(Taostats_CSV!C827,12,8)</f>
        <v>08/23/2025 23:59:48</v>
      </c>
      <c r="C827" t="str">
        <f ca="1">IF(Q827,OFFSET(Taostats_CSV!$E$1,MATCH(K827&amp;D$1,Taostats_CSV!$X:$X,0)-1,0),IF(Taostats_CSV!F827="fee",IF(VALUE(Taostats_CSV!G827)&gt;0,Taostats_CSV!E827,""),""))</f>
        <v/>
      </c>
      <c r="D827" t="str">
        <f ca="1">IF(Q827,OFFSET(Taostats_CSV!$G$1,MATCH(K827&amp;D$1,Taostats_CSV!$X:$X,0)-1,0),IF(Taostats_CSV!F827="fee",IF(VALUE(Taostats_CSV!G827)&gt;0,Taostats_CSV!G827,""),""))</f>
        <v/>
      </c>
      <c r="E827" t="str">
        <f ca="1">IF(AND(Q827,P827&gt;0),OFFSET(Taostats_CSV!$E$1,MATCH(K827&amp;F$1,Taostats_CSV!$X:$X,0)-1,0),IF(LEN(F827)&gt;0,Taostats_CSV!E827,""))</f>
        <v>SN3</v>
      </c>
      <c r="F827" t="str">
        <f ca="1">TRIM(IF(AND(Q827,P827&gt;0),OFFSET(Taostats_CSV!$H$1,MATCH(K827&amp;F$1,Taostats_CSV!$X:$X,0)-1,0),IF(LEN(Taostats_CSV!H827)&gt;0,Taostats_CSV!H827,Taostats_CSV!R827)))</f>
        <v>0.431856825</v>
      </c>
      <c r="G827" t="str">
        <f ca="1">IF(AND(Q827,N827=1),OFFSET(Taostats_CSV!$E$1,MATCH(K827&amp;H$1,Taostats_CSV!$X:$X,0)-1,0),"")</f>
        <v/>
      </c>
      <c r="H827" t="str">
        <f ca="1">IF(AND(Q827,N827=1),OFFSET(Taostats_CSV!$G$1,MATCH(K827&amp;H$1,Taostats_CSV!$X:$X,0)-1,0),"")</f>
        <v/>
      </c>
      <c r="I827" t="str">
        <f ca="1">IF(AND(LEN(K827)=0,LEN(F827)&gt;0),"Income",IF(AND(O827&gt;0,P827&gt;0,C827&lt;&gt;E827),"Trade",IF(AND(NOT(Q827),Taostats_CSV!F827="fee"),'READ ME'!$C$5,"")))</f>
        <v>Income</v>
      </c>
      <c r="J827" t="str">
        <f ca="1">SUBSTITUTE(IF(LEN(I827)=0,Taostats_CSV!F827&amp;" "&amp;Taostats_CSV!J827,IF(I827="Cost","Extrinsic fee","")),"_"," ")</f>
        <v/>
      </c>
      <c r="K827" t="str">
        <f>TRIM(IF(LEN(Taostats_CSV!I827)&gt;0,Taostats_CSV!I827,""))</f>
        <v/>
      </c>
      <c r="L827">
        <f ca="1">IF(Taostats_CSV!E827&lt;&gt;"TAO",IF(LEN(F827)&gt;0,F827,IF(LEN(D827)&gt;0,D827,0))*Taostats_CSV!P827,"")</f>
        <v>7.4456322003672435</v>
      </c>
      <c r="M827" t="str">
        <f t="shared" ca="1" si="87"/>
        <v>USD</v>
      </c>
      <c r="N827">
        <f>COUNTIF(Taostats_CSV!$X:$X,Taostats_CSV!$I827&amp;N$1)</f>
        <v>0</v>
      </c>
      <c r="O827">
        <f>COUNTIF(Taostats_CSV!$X:$X,Taostats_CSV!$I827&amp;O$1)</f>
        <v>0</v>
      </c>
      <c r="P827">
        <f>COUNTIF(Taostats_CSV!$X:$X,Taostats_CSV!$I827&amp;P$1)</f>
        <v>0</v>
      </c>
      <c r="Q827" t="b">
        <f t="shared" si="88"/>
        <v>0</v>
      </c>
      <c r="R827" t="b">
        <f>IF(LEN(K827)&gt;0,COUNTIF($K$3:K827,K827),FALSE)</f>
        <v>0</v>
      </c>
      <c r="S827" t="b">
        <f>IF(Taostats_CSV!A827=Taostats_CSV!$A$2,TRUE,Taostats_CSV!G827+Taostats_CSV!H827+Taostats_CSV!R827=0)</f>
        <v>0</v>
      </c>
      <c r="T827" t="b">
        <f t="shared" si="89"/>
        <v>1</v>
      </c>
      <c r="U827" t="b" cm="1">
        <f t="array" aca="1" ref="U827" ca="1">AND(T827,OR(O827-N827&gt;1,P827&gt;1,ISERROR(A827:P827)))</f>
        <v>0</v>
      </c>
      <c r="W827" t="e">
        <f>MATCH(K827&amp;$W$2,Taostats_CSV!$X$3:$X$1167,0)</f>
        <v>#N/A</v>
      </c>
      <c r="X827" t="e">
        <f t="shared" ca="1" si="84"/>
        <v>#VALUE!</v>
      </c>
      <c r="Y827">
        <f t="shared" ca="1" si="85"/>
        <v>0.431856825</v>
      </c>
      <c r="Z827" t="e">
        <f t="shared" ca="1" si="86"/>
        <v>#VALUE!</v>
      </c>
    </row>
    <row r="828" spans="1:26" x14ac:dyDescent="0.4">
      <c r="A828" t="str">
        <f>MID(Taostats_CSV!C828,6,2)&amp;"/"&amp;MID(Taostats_CSV!C828,9,2)&amp;"/"&amp;LEFT(Taostats_CSV!C828,4)&amp;" "&amp;MID(Taostats_CSV!C828,12,8)</f>
        <v>08/23/2025 23:59:48</v>
      </c>
      <c r="C828" t="str">
        <f ca="1">IF(Q828,OFFSET(Taostats_CSV!$E$1,MATCH(K828&amp;D$1,Taostats_CSV!$X:$X,0)-1,0),IF(Taostats_CSV!F828="fee",IF(VALUE(Taostats_CSV!G828)&gt;0,Taostats_CSV!E828,""),""))</f>
        <v/>
      </c>
      <c r="D828" t="str">
        <f ca="1">IF(Q828,OFFSET(Taostats_CSV!$G$1,MATCH(K828&amp;D$1,Taostats_CSV!$X:$X,0)-1,0),IF(Taostats_CSV!F828="fee",IF(VALUE(Taostats_CSV!G828)&gt;0,Taostats_CSV!G828,""),""))</f>
        <v/>
      </c>
      <c r="E828" t="str">
        <f ca="1">IF(AND(Q828,P828&gt;0),OFFSET(Taostats_CSV!$E$1,MATCH(K828&amp;F$1,Taostats_CSV!$X:$X,0)-1,0),IF(LEN(F828)&gt;0,Taostats_CSV!E828,""))</f>
        <v>SN4</v>
      </c>
      <c r="F828" t="str">
        <f ca="1">TRIM(IF(AND(Q828,P828&gt;0),OFFSET(Taostats_CSV!$H$1,MATCH(K828&amp;F$1,Taostats_CSV!$X:$X,0)-1,0),IF(LEN(Taostats_CSV!H828)&gt;0,Taostats_CSV!H828,Taostats_CSV!R828)))</f>
        <v>0.480177338</v>
      </c>
      <c r="G828" t="str">
        <f ca="1">IF(AND(Q828,N828=1),OFFSET(Taostats_CSV!$E$1,MATCH(K828&amp;H$1,Taostats_CSV!$X:$X,0)-1,0),"")</f>
        <v/>
      </c>
      <c r="H828" t="str">
        <f ca="1">IF(AND(Q828,N828=1),OFFSET(Taostats_CSV!$G$1,MATCH(K828&amp;H$1,Taostats_CSV!$X:$X,0)-1,0),"")</f>
        <v/>
      </c>
      <c r="I828" t="str">
        <f ca="1">IF(AND(LEN(K828)=0,LEN(F828)&gt;0),"Income",IF(AND(O828&gt;0,P828&gt;0,C828&lt;&gt;E828),"Trade",IF(AND(NOT(Q828),Taostats_CSV!F828="fee"),'READ ME'!$C$5,"")))</f>
        <v>Income</v>
      </c>
      <c r="J828" t="str">
        <f ca="1">SUBSTITUTE(IF(LEN(I828)=0,Taostats_CSV!F828&amp;" "&amp;Taostats_CSV!J828,IF(I828="Cost","Extrinsic fee","")),"_"," ")</f>
        <v/>
      </c>
      <c r="K828" t="str">
        <f>TRIM(IF(LEN(Taostats_CSV!I828)&gt;0,Taostats_CSV!I828,""))</f>
        <v/>
      </c>
      <c r="L828">
        <f ca="1">IF(Taostats_CSV!E828&lt;&gt;"TAO",IF(LEN(F828)&gt;0,F828,IF(LEN(D828)&gt;0,D828,0))*Taostats_CSV!P828,"")</f>
        <v>8.4958808182358627</v>
      </c>
      <c r="M828" t="str">
        <f t="shared" ca="1" si="87"/>
        <v>USD</v>
      </c>
      <c r="N828">
        <f>COUNTIF(Taostats_CSV!$X:$X,Taostats_CSV!$I828&amp;N$1)</f>
        <v>0</v>
      </c>
      <c r="O828">
        <f>COUNTIF(Taostats_CSV!$X:$X,Taostats_CSV!$I828&amp;O$1)</f>
        <v>0</v>
      </c>
      <c r="P828">
        <f>COUNTIF(Taostats_CSV!$X:$X,Taostats_CSV!$I828&amp;P$1)</f>
        <v>0</v>
      </c>
      <c r="Q828" t="b">
        <f t="shared" si="88"/>
        <v>0</v>
      </c>
      <c r="R828" t="b">
        <f>IF(LEN(K828)&gt;0,COUNTIF($K$3:K828,K828),FALSE)</f>
        <v>0</v>
      </c>
      <c r="S828" t="b">
        <f>IF(Taostats_CSV!A828=Taostats_CSV!$A$2,TRUE,Taostats_CSV!G828+Taostats_CSV!H828+Taostats_CSV!R828=0)</f>
        <v>0</v>
      </c>
      <c r="T828" t="b">
        <f t="shared" si="89"/>
        <v>1</v>
      </c>
      <c r="U828" t="b" cm="1">
        <f t="array" aca="1" ref="U828" ca="1">AND(T828,OR(O828-N828&gt;1,P828&gt;1,ISERROR(A828:P828)))</f>
        <v>0</v>
      </c>
      <c r="W828" t="e">
        <f>MATCH(K828&amp;$W$2,Taostats_CSV!$X$3:$X$1167,0)</f>
        <v>#N/A</v>
      </c>
      <c r="X828" t="e">
        <f t="shared" ca="1" si="84"/>
        <v>#VALUE!</v>
      </c>
      <c r="Y828">
        <f t="shared" ca="1" si="85"/>
        <v>0.48017733800000001</v>
      </c>
      <c r="Z828" t="e">
        <f t="shared" ca="1" si="86"/>
        <v>#VALUE!</v>
      </c>
    </row>
    <row r="829" spans="1:26" x14ac:dyDescent="0.4">
      <c r="A829" t="str">
        <f>MID(Taostats_CSV!C829,6,2)&amp;"/"&amp;MID(Taostats_CSV!C829,9,2)&amp;"/"&amp;LEFT(Taostats_CSV!C829,4)&amp;" "&amp;MID(Taostats_CSV!C829,12,8)</f>
        <v>08/23/2025 23:59:48</v>
      </c>
      <c r="C829" t="str">
        <f ca="1">IF(Q829,OFFSET(Taostats_CSV!$E$1,MATCH(K829&amp;D$1,Taostats_CSV!$X:$X,0)-1,0),IF(Taostats_CSV!F829="fee",IF(VALUE(Taostats_CSV!G829)&gt;0,Taostats_CSV!E829,""),""))</f>
        <v/>
      </c>
      <c r="D829" t="str">
        <f ca="1">IF(Q829,OFFSET(Taostats_CSV!$G$1,MATCH(K829&amp;D$1,Taostats_CSV!$X:$X,0)-1,0),IF(Taostats_CSV!F829="fee",IF(VALUE(Taostats_CSV!G829)&gt;0,Taostats_CSV!G829,""),""))</f>
        <v/>
      </c>
      <c r="E829" t="str">
        <f ca="1">IF(AND(Q829,P829&gt;0),OFFSET(Taostats_CSV!$E$1,MATCH(K829&amp;F$1,Taostats_CSV!$X:$X,0)-1,0),IF(LEN(F829)&gt;0,Taostats_CSV!E829,""))</f>
        <v>SN56</v>
      </c>
      <c r="F829" t="str">
        <f ca="1">TRIM(IF(AND(Q829,P829&gt;0),OFFSET(Taostats_CSV!$H$1,MATCH(K829&amp;F$1,Taostats_CSV!$X:$X,0)-1,0),IF(LEN(Taostats_CSV!H829)&gt;0,Taostats_CSV!H829,Taostats_CSV!R829)))</f>
        <v>0.279833337</v>
      </c>
      <c r="G829" t="str">
        <f ca="1">IF(AND(Q829,N829=1),OFFSET(Taostats_CSV!$E$1,MATCH(K829&amp;H$1,Taostats_CSV!$X:$X,0)-1,0),"")</f>
        <v/>
      </c>
      <c r="H829" t="str">
        <f ca="1">IF(AND(Q829,N829=1),OFFSET(Taostats_CSV!$G$1,MATCH(K829&amp;H$1,Taostats_CSV!$X:$X,0)-1,0),"")</f>
        <v/>
      </c>
      <c r="I829" t="str">
        <f ca="1">IF(AND(LEN(K829)=0,LEN(F829)&gt;0),"Income",IF(AND(O829&gt;0,P829&gt;0,C829&lt;&gt;E829),"Trade",IF(AND(NOT(Q829),Taostats_CSV!F829="fee"),'READ ME'!$C$5,"")))</f>
        <v>Income</v>
      </c>
      <c r="J829" t="str">
        <f ca="1">SUBSTITUTE(IF(LEN(I829)=0,Taostats_CSV!F829&amp;" "&amp;Taostats_CSV!J829,IF(I829="Cost","Extrinsic fee","")),"_"," ")</f>
        <v/>
      </c>
      <c r="K829" t="str">
        <f>TRIM(IF(LEN(Taostats_CSV!I829)&gt;0,Taostats_CSV!I829,""))</f>
        <v/>
      </c>
      <c r="L829">
        <f ca="1">IF(Taostats_CSV!E829&lt;&gt;"TAO",IF(LEN(F829)&gt;0,F829,IF(LEN(D829)&gt;0,D829,0))*Taostats_CSV!P829,"")</f>
        <v>4.2456433685393868</v>
      </c>
      <c r="M829" t="str">
        <f t="shared" ca="1" si="87"/>
        <v>USD</v>
      </c>
      <c r="N829">
        <f>COUNTIF(Taostats_CSV!$X:$X,Taostats_CSV!$I829&amp;N$1)</f>
        <v>0</v>
      </c>
      <c r="O829">
        <f>COUNTIF(Taostats_CSV!$X:$X,Taostats_CSV!$I829&amp;O$1)</f>
        <v>0</v>
      </c>
      <c r="P829">
        <f>COUNTIF(Taostats_CSV!$X:$X,Taostats_CSV!$I829&amp;P$1)</f>
        <v>0</v>
      </c>
      <c r="Q829" t="b">
        <f t="shared" si="88"/>
        <v>0</v>
      </c>
      <c r="R829" t="b">
        <f>IF(LEN(K829)&gt;0,COUNTIF($K$3:K829,K829),FALSE)</f>
        <v>0</v>
      </c>
      <c r="S829" t="b">
        <f>IF(Taostats_CSV!A829=Taostats_CSV!$A$2,TRUE,Taostats_CSV!G829+Taostats_CSV!H829+Taostats_CSV!R829=0)</f>
        <v>0</v>
      </c>
      <c r="T829" t="b">
        <f t="shared" si="89"/>
        <v>1</v>
      </c>
      <c r="U829" t="b" cm="1">
        <f t="array" aca="1" ref="U829" ca="1">AND(T829,OR(O829-N829&gt;1,P829&gt;1,ISERROR(A829:P829)))</f>
        <v>0</v>
      </c>
      <c r="W829" t="e">
        <f>MATCH(K829&amp;$W$2,Taostats_CSV!$X$3:$X$1167,0)</f>
        <v>#N/A</v>
      </c>
      <c r="X829" t="e">
        <f t="shared" ca="1" si="84"/>
        <v>#VALUE!</v>
      </c>
      <c r="Y829">
        <f t="shared" ca="1" si="85"/>
        <v>0.27983333700000002</v>
      </c>
      <c r="Z829" t="e">
        <f t="shared" ca="1" si="86"/>
        <v>#VALUE!</v>
      </c>
    </row>
    <row r="830" spans="1:26" x14ac:dyDescent="0.4">
      <c r="A830" t="str">
        <f>MID(Taostats_CSV!C830,6,2)&amp;"/"&amp;MID(Taostats_CSV!C830,9,2)&amp;"/"&amp;LEFT(Taostats_CSV!C830,4)&amp;" "&amp;MID(Taostats_CSV!C830,12,8)</f>
        <v>08/23/2025 23:59:48</v>
      </c>
      <c r="C830" t="str">
        <f ca="1">IF(Q830,OFFSET(Taostats_CSV!$E$1,MATCH(K830&amp;D$1,Taostats_CSV!$X:$X,0)-1,0),IF(Taostats_CSV!F830="fee",IF(VALUE(Taostats_CSV!G830)&gt;0,Taostats_CSV!E830,""),""))</f>
        <v/>
      </c>
      <c r="D830" t="str">
        <f ca="1">IF(Q830,OFFSET(Taostats_CSV!$G$1,MATCH(K830&amp;D$1,Taostats_CSV!$X:$X,0)-1,0),IF(Taostats_CSV!F830="fee",IF(VALUE(Taostats_CSV!G830)&gt;0,Taostats_CSV!G830,""),""))</f>
        <v/>
      </c>
      <c r="E830" t="str">
        <f ca="1">IF(AND(Q830,P830&gt;0),OFFSET(Taostats_CSV!$E$1,MATCH(K830&amp;F$1,Taostats_CSV!$X:$X,0)-1,0),IF(LEN(F830)&gt;0,Taostats_CSV!E830,""))</f>
        <v>SN64</v>
      </c>
      <c r="F830" t="str">
        <f ca="1">TRIM(IF(AND(Q830,P830&gt;0),OFFSET(Taostats_CSV!$H$1,MATCH(K830&amp;F$1,Taostats_CSV!$X:$X,0)-1,0),IF(LEN(Taostats_CSV!H830)&gt;0,Taostats_CSV!H830,Taostats_CSV!R830)))</f>
        <v>0.148425323</v>
      </c>
      <c r="G830" t="str">
        <f ca="1">IF(AND(Q830,N830=1),OFFSET(Taostats_CSV!$E$1,MATCH(K830&amp;H$1,Taostats_CSV!$X:$X,0)-1,0),"")</f>
        <v/>
      </c>
      <c r="H830" t="str">
        <f ca="1">IF(AND(Q830,N830=1),OFFSET(Taostats_CSV!$G$1,MATCH(K830&amp;H$1,Taostats_CSV!$X:$X,0)-1,0),"")</f>
        <v/>
      </c>
      <c r="I830" t="str">
        <f ca="1">IF(AND(LEN(K830)=0,LEN(F830)&gt;0),"Income",IF(AND(O830&gt;0,P830&gt;0,C830&lt;&gt;E830),"Trade",IF(AND(NOT(Q830),Taostats_CSV!F830="fee"),'READ ME'!$C$5,"")))</f>
        <v>Income</v>
      </c>
      <c r="J830" t="str">
        <f ca="1">SUBSTITUTE(IF(LEN(I830)=0,Taostats_CSV!F830&amp;" "&amp;Taostats_CSV!J830,IF(I830="Cost","Extrinsic fee","")),"_"," ")</f>
        <v/>
      </c>
      <c r="K830" t="str">
        <f>TRIM(IF(LEN(Taostats_CSV!I830)&gt;0,Taostats_CSV!I830,""))</f>
        <v/>
      </c>
      <c r="L830">
        <f ca="1">IF(Taostats_CSV!E830&lt;&gt;"TAO",IF(LEN(F830)&gt;0,F830,IF(LEN(D830)&gt;0,D830,0))*Taostats_CSV!P830,"")</f>
        <v>5.7816581318482596</v>
      </c>
      <c r="M830" t="str">
        <f t="shared" ca="1" si="87"/>
        <v>USD</v>
      </c>
      <c r="N830">
        <f>COUNTIF(Taostats_CSV!$X:$X,Taostats_CSV!$I830&amp;N$1)</f>
        <v>0</v>
      </c>
      <c r="O830">
        <f>COUNTIF(Taostats_CSV!$X:$X,Taostats_CSV!$I830&amp;O$1)</f>
        <v>0</v>
      </c>
      <c r="P830">
        <f>COUNTIF(Taostats_CSV!$X:$X,Taostats_CSV!$I830&amp;P$1)</f>
        <v>0</v>
      </c>
      <c r="Q830" t="b">
        <f t="shared" si="88"/>
        <v>0</v>
      </c>
      <c r="R830" t="b">
        <f>IF(LEN(K830)&gt;0,COUNTIF($K$3:K830,K830),FALSE)</f>
        <v>0</v>
      </c>
      <c r="S830" t="b">
        <f>IF(Taostats_CSV!A830=Taostats_CSV!$A$2,TRUE,Taostats_CSV!G830+Taostats_CSV!H830+Taostats_CSV!R830=0)</f>
        <v>0</v>
      </c>
      <c r="T830" t="b">
        <f t="shared" si="89"/>
        <v>1</v>
      </c>
      <c r="U830" t="b" cm="1">
        <f t="array" aca="1" ref="U830" ca="1">AND(T830,OR(O830-N830&gt;1,P830&gt;1,ISERROR(A830:P830)))</f>
        <v>0</v>
      </c>
      <c r="W830" t="e">
        <f>MATCH(K830&amp;$W$2,Taostats_CSV!$X$3:$X$1167,0)</f>
        <v>#N/A</v>
      </c>
      <c r="X830" t="e">
        <f t="shared" ca="1" si="84"/>
        <v>#VALUE!</v>
      </c>
      <c r="Y830">
        <f t="shared" ca="1" si="85"/>
        <v>0.148425323</v>
      </c>
      <c r="Z830" t="e">
        <f t="shared" ca="1" si="86"/>
        <v>#VALUE!</v>
      </c>
    </row>
    <row r="831" spans="1:26" x14ac:dyDescent="0.4">
      <c r="A831" t="str">
        <f>MID(Taostats_CSV!C831,6,2)&amp;"/"&amp;MID(Taostats_CSV!C831,9,2)&amp;"/"&amp;LEFT(Taostats_CSV!C831,4)&amp;" "&amp;MID(Taostats_CSV!C831,12,8)</f>
        <v>08/23/2025 23:59:48</v>
      </c>
      <c r="C831" t="str">
        <f ca="1">IF(Q831,OFFSET(Taostats_CSV!$E$1,MATCH(K831&amp;D$1,Taostats_CSV!$X:$X,0)-1,0),IF(Taostats_CSV!F831="fee",IF(VALUE(Taostats_CSV!G831)&gt;0,Taostats_CSV!E831,""),""))</f>
        <v/>
      </c>
      <c r="D831" t="str">
        <f ca="1">IF(Q831,OFFSET(Taostats_CSV!$G$1,MATCH(K831&amp;D$1,Taostats_CSV!$X:$X,0)-1,0),IF(Taostats_CSV!F831="fee",IF(VALUE(Taostats_CSV!G831)&gt;0,Taostats_CSV!G831,""),""))</f>
        <v/>
      </c>
      <c r="E831" t="str">
        <f ca="1">IF(AND(Q831,P831&gt;0),OFFSET(Taostats_CSV!$E$1,MATCH(K831&amp;F$1,Taostats_CSV!$X:$X,0)-1,0),IF(LEN(F831)&gt;0,Taostats_CSV!E831,""))</f>
        <v>TAO</v>
      </c>
      <c r="F831" t="str">
        <f ca="1">TRIM(IF(AND(Q831,P831&gt;0),OFFSET(Taostats_CSV!$H$1,MATCH(K831&amp;F$1,Taostats_CSV!$X:$X,0)-1,0),IF(LEN(Taostats_CSV!H831)&gt;0,Taostats_CSV!H831,Taostats_CSV!R831)))</f>
        <v>0.009617535</v>
      </c>
      <c r="G831" t="str">
        <f ca="1">IF(AND(Q831,N831=1),OFFSET(Taostats_CSV!$E$1,MATCH(K831&amp;H$1,Taostats_CSV!$X:$X,0)-1,0),"")</f>
        <v/>
      </c>
      <c r="H831" t="str">
        <f ca="1">IF(AND(Q831,N831=1),OFFSET(Taostats_CSV!$G$1,MATCH(K831&amp;H$1,Taostats_CSV!$X:$X,0)-1,0),"")</f>
        <v/>
      </c>
      <c r="I831" t="str">
        <f ca="1">IF(AND(LEN(K831)=0,LEN(F831)&gt;0),"Income",IF(AND(O831&gt;0,P831&gt;0,C831&lt;&gt;E831),"Trade",IF(AND(NOT(Q831),Taostats_CSV!F831="fee"),'READ ME'!$C$5,"")))</f>
        <v>Income</v>
      </c>
      <c r="J831" t="str">
        <f ca="1">SUBSTITUTE(IF(LEN(I831)=0,Taostats_CSV!F831&amp;" "&amp;Taostats_CSV!J831,IF(I831="Cost","Extrinsic fee","")),"_"," ")</f>
        <v/>
      </c>
      <c r="K831" t="str">
        <f>TRIM(IF(LEN(Taostats_CSV!I831)&gt;0,Taostats_CSV!I831,""))</f>
        <v/>
      </c>
      <c r="L831" t="str">
        <f>IF(Taostats_CSV!E831&lt;&gt;"TAO",IF(LEN(F831)&gt;0,F831,IF(LEN(D831)&gt;0,D831,0))*Taostats_CSV!P831,"")</f>
        <v/>
      </c>
      <c r="M831" t="str">
        <f t="shared" si="87"/>
        <v/>
      </c>
      <c r="N831">
        <f>COUNTIF(Taostats_CSV!$X:$X,Taostats_CSV!$I831&amp;N$1)</f>
        <v>0</v>
      </c>
      <c r="O831">
        <f>COUNTIF(Taostats_CSV!$X:$X,Taostats_CSV!$I831&amp;O$1)</f>
        <v>0</v>
      </c>
      <c r="P831">
        <f>COUNTIF(Taostats_CSV!$X:$X,Taostats_CSV!$I831&amp;P$1)</f>
        <v>0</v>
      </c>
      <c r="Q831" t="b">
        <f t="shared" si="88"/>
        <v>0</v>
      </c>
      <c r="R831" t="b">
        <f>IF(LEN(K831)&gt;0,COUNTIF($K$3:K831,K831),FALSE)</f>
        <v>0</v>
      </c>
      <c r="S831" t="b">
        <f>IF(Taostats_CSV!A831=Taostats_CSV!$A$2,TRUE,Taostats_CSV!G831+Taostats_CSV!H831+Taostats_CSV!R831=0)</f>
        <v>0</v>
      </c>
      <c r="T831" t="b">
        <f t="shared" si="89"/>
        <v>1</v>
      </c>
      <c r="U831" t="b" cm="1">
        <f t="array" aca="1" ref="U831" ca="1">AND(T831,OR(O831-N831&gt;1,P831&gt;1,ISERROR(A831:P831)))</f>
        <v>0</v>
      </c>
      <c r="W831" t="e">
        <f>MATCH(K831&amp;$W$2,Taostats_CSV!$X$3:$X$1167,0)</f>
        <v>#N/A</v>
      </c>
      <c r="X831" t="e">
        <f t="shared" ca="1" si="84"/>
        <v>#VALUE!</v>
      </c>
      <c r="Y831">
        <f t="shared" ca="1" si="85"/>
        <v>9.617535E-3</v>
      </c>
      <c r="Z831" t="e">
        <f t="shared" ca="1" si="86"/>
        <v>#VALUE!</v>
      </c>
    </row>
    <row r="832" spans="1:26" x14ac:dyDescent="0.4">
      <c r="A832" t="str">
        <f>MID(Taostats_CSV!C832,6,2)&amp;"/"&amp;MID(Taostats_CSV!C832,9,2)&amp;"/"&amp;LEFT(Taostats_CSV!C832,4)&amp;" "&amp;MID(Taostats_CSV!C832,12,8)</f>
        <v>08/24/2025 23:59:48</v>
      </c>
      <c r="C832" t="str">
        <f ca="1">IF(Q832,OFFSET(Taostats_CSV!$E$1,MATCH(K832&amp;D$1,Taostats_CSV!$X:$X,0)-1,0),IF(Taostats_CSV!F832="fee",IF(VALUE(Taostats_CSV!G832)&gt;0,Taostats_CSV!E832,""),""))</f>
        <v/>
      </c>
      <c r="D832" t="str">
        <f ca="1">IF(Q832,OFFSET(Taostats_CSV!$G$1,MATCH(K832&amp;D$1,Taostats_CSV!$X:$X,0)-1,0),IF(Taostats_CSV!F832="fee",IF(VALUE(Taostats_CSV!G832)&gt;0,Taostats_CSV!G832,""),""))</f>
        <v/>
      </c>
      <c r="E832" t="str">
        <f ca="1">IF(AND(Q832,P832&gt;0),OFFSET(Taostats_CSV!$E$1,MATCH(K832&amp;F$1,Taostats_CSV!$X:$X,0)-1,0),IF(LEN(F832)&gt;0,Taostats_CSV!E832,""))</f>
        <v>SN3</v>
      </c>
      <c r="F832" t="str">
        <f ca="1">TRIM(IF(AND(Q832,P832&gt;0),OFFSET(Taostats_CSV!$H$1,MATCH(K832&amp;F$1,Taostats_CSV!$X:$X,0)-1,0),IF(LEN(Taostats_CSV!H832)&gt;0,Taostats_CSV!H832,Taostats_CSV!R832)))</f>
        <v>0.432634338</v>
      </c>
      <c r="G832" t="str">
        <f ca="1">IF(AND(Q832,N832=1),OFFSET(Taostats_CSV!$E$1,MATCH(K832&amp;H$1,Taostats_CSV!$X:$X,0)-1,0),"")</f>
        <v/>
      </c>
      <c r="H832" t="str">
        <f ca="1">IF(AND(Q832,N832=1),OFFSET(Taostats_CSV!$G$1,MATCH(K832&amp;H$1,Taostats_CSV!$X:$X,0)-1,0),"")</f>
        <v/>
      </c>
      <c r="I832" t="str">
        <f ca="1">IF(AND(LEN(K832)=0,LEN(F832)&gt;0),"Income",IF(AND(O832&gt;0,P832&gt;0,C832&lt;&gt;E832),"Trade",IF(AND(NOT(Q832),Taostats_CSV!F832="fee"),'READ ME'!$C$5,"")))</f>
        <v>Income</v>
      </c>
      <c r="J832" t="str">
        <f ca="1">SUBSTITUTE(IF(LEN(I832)=0,Taostats_CSV!F832&amp;" "&amp;Taostats_CSV!J832,IF(I832="Cost","Extrinsic fee","")),"_"," ")</f>
        <v/>
      </c>
      <c r="K832" t="str">
        <f>TRIM(IF(LEN(Taostats_CSV!I832)&gt;0,Taostats_CSV!I832,""))</f>
        <v/>
      </c>
      <c r="L832">
        <f ca="1">IF(Taostats_CSV!E832&lt;&gt;"TAO",IF(LEN(F832)&gt;0,F832,IF(LEN(D832)&gt;0,D832,0))*Taostats_CSV!P832,"")</f>
        <v>7.3779996365257636</v>
      </c>
      <c r="M832" t="str">
        <f t="shared" ca="1" si="87"/>
        <v>USD</v>
      </c>
      <c r="N832">
        <f>COUNTIF(Taostats_CSV!$X:$X,Taostats_CSV!$I832&amp;N$1)</f>
        <v>0</v>
      </c>
      <c r="O832">
        <f>COUNTIF(Taostats_CSV!$X:$X,Taostats_CSV!$I832&amp;O$1)</f>
        <v>0</v>
      </c>
      <c r="P832">
        <f>COUNTIF(Taostats_CSV!$X:$X,Taostats_CSV!$I832&amp;P$1)</f>
        <v>0</v>
      </c>
      <c r="Q832" t="b">
        <f t="shared" si="88"/>
        <v>0</v>
      </c>
      <c r="R832" t="b">
        <f>IF(LEN(K832)&gt;0,COUNTIF($K$3:K832,K832),FALSE)</f>
        <v>0</v>
      </c>
      <c r="S832" t="b">
        <f>IF(Taostats_CSV!A832=Taostats_CSV!$A$2,TRUE,Taostats_CSV!G832+Taostats_CSV!H832+Taostats_CSV!R832=0)</f>
        <v>0</v>
      </c>
      <c r="T832" t="b">
        <f t="shared" si="89"/>
        <v>1</v>
      </c>
      <c r="U832" t="b" cm="1">
        <f t="array" aca="1" ref="U832" ca="1">AND(T832,OR(O832-N832&gt;1,P832&gt;1,ISERROR(A832:P832)))</f>
        <v>0</v>
      </c>
      <c r="W832" t="e">
        <f>MATCH(K832&amp;$W$2,Taostats_CSV!$X$3:$X$1167,0)</f>
        <v>#N/A</v>
      </c>
      <c r="X832" t="e">
        <f t="shared" ca="1" si="84"/>
        <v>#VALUE!</v>
      </c>
      <c r="Y832">
        <f t="shared" ca="1" si="85"/>
        <v>0.43263433800000001</v>
      </c>
      <c r="Z832" t="e">
        <f t="shared" ca="1" si="86"/>
        <v>#VALUE!</v>
      </c>
    </row>
    <row r="833" spans="1:26" x14ac:dyDescent="0.4">
      <c r="A833" t="str">
        <f>MID(Taostats_CSV!C833,6,2)&amp;"/"&amp;MID(Taostats_CSV!C833,9,2)&amp;"/"&amp;LEFT(Taostats_CSV!C833,4)&amp;" "&amp;MID(Taostats_CSV!C833,12,8)</f>
        <v>08/24/2025 23:59:48</v>
      </c>
      <c r="C833" t="str">
        <f ca="1">IF(Q833,OFFSET(Taostats_CSV!$E$1,MATCH(K833&amp;D$1,Taostats_CSV!$X:$X,0)-1,0),IF(Taostats_CSV!F833="fee",IF(VALUE(Taostats_CSV!G833)&gt;0,Taostats_CSV!E833,""),""))</f>
        <v/>
      </c>
      <c r="D833" t="str">
        <f ca="1">IF(Q833,OFFSET(Taostats_CSV!$G$1,MATCH(K833&amp;D$1,Taostats_CSV!$X:$X,0)-1,0),IF(Taostats_CSV!F833="fee",IF(VALUE(Taostats_CSV!G833)&gt;0,Taostats_CSV!G833,""),""))</f>
        <v/>
      </c>
      <c r="E833" t="str">
        <f ca="1">IF(AND(Q833,P833&gt;0),OFFSET(Taostats_CSV!$E$1,MATCH(K833&amp;F$1,Taostats_CSV!$X:$X,0)-1,0),IF(LEN(F833)&gt;0,Taostats_CSV!E833,""))</f>
        <v>SN4</v>
      </c>
      <c r="F833" t="str">
        <f ca="1">TRIM(IF(AND(Q833,P833&gt;0),OFFSET(Taostats_CSV!$H$1,MATCH(K833&amp;F$1,Taostats_CSV!$X:$X,0)-1,0),IF(LEN(Taostats_CSV!H833)&gt;0,Taostats_CSV!H833,Taostats_CSV!R833)))</f>
        <v>0.443008102</v>
      </c>
      <c r="G833" t="str">
        <f ca="1">IF(AND(Q833,N833=1),OFFSET(Taostats_CSV!$E$1,MATCH(K833&amp;H$1,Taostats_CSV!$X:$X,0)-1,0),"")</f>
        <v/>
      </c>
      <c r="H833" t="str">
        <f ca="1">IF(AND(Q833,N833=1),OFFSET(Taostats_CSV!$G$1,MATCH(K833&amp;H$1,Taostats_CSV!$X:$X,0)-1,0),"")</f>
        <v/>
      </c>
      <c r="I833" t="str">
        <f ca="1">IF(AND(LEN(K833)=0,LEN(F833)&gt;0),"Income",IF(AND(O833&gt;0,P833&gt;0,C833&lt;&gt;E833),"Trade",IF(AND(NOT(Q833),Taostats_CSV!F833="fee"),'READ ME'!$C$5,"")))</f>
        <v>Income</v>
      </c>
      <c r="J833" t="str">
        <f ca="1">SUBSTITUTE(IF(LEN(I833)=0,Taostats_CSV!F833&amp;" "&amp;Taostats_CSV!J833,IF(I833="Cost","Extrinsic fee","")),"_"," ")</f>
        <v/>
      </c>
      <c r="K833" t="str">
        <f>TRIM(IF(LEN(Taostats_CSV!I833)&gt;0,Taostats_CSV!I833,""))</f>
        <v/>
      </c>
      <c r="L833">
        <f ca="1">IF(Taostats_CSV!E833&lt;&gt;"TAO",IF(LEN(F833)&gt;0,F833,IF(LEN(D833)&gt;0,D833,0))*Taostats_CSV!P833,"")</f>
        <v>7.751901507992347</v>
      </c>
      <c r="M833" t="str">
        <f t="shared" ca="1" si="87"/>
        <v>USD</v>
      </c>
      <c r="N833">
        <f>COUNTIF(Taostats_CSV!$X:$X,Taostats_CSV!$I833&amp;N$1)</f>
        <v>0</v>
      </c>
      <c r="O833">
        <f>COUNTIF(Taostats_CSV!$X:$X,Taostats_CSV!$I833&amp;O$1)</f>
        <v>0</v>
      </c>
      <c r="P833">
        <f>COUNTIF(Taostats_CSV!$X:$X,Taostats_CSV!$I833&amp;P$1)</f>
        <v>0</v>
      </c>
      <c r="Q833" t="b">
        <f t="shared" si="88"/>
        <v>0</v>
      </c>
      <c r="R833" t="b">
        <f>IF(LEN(K833)&gt;0,COUNTIF($K$3:K833,K833),FALSE)</f>
        <v>0</v>
      </c>
      <c r="S833" t="b">
        <f>IF(Taostats_CSV!A833=Taostats_CSV!$A$2,TRUE,Taostats_CSV!G833+Taostats_CSV!H833+Taostats_CSV!R833=0)</f>
        <v>0</v>
      </c>
      <c r="T833" t="b">
        <f t="shared" si="89"/>
        <v>1</v>
      </c>
      <c r="U833" t="b" cm="1">
        <f t="array" aca="1" ref="U833" ca="1">AND(T833,OR(O833-N833&gt;1,P833&gt;1,ISERROR(A833:P833)))</f>
        <v>0</v>
      </c>
      <c r="W833" t="e">
        <f>MATCH(K833&amp;$W$2,Taostats_CSV!$X$3:$X$1167,0)</f>
        <v>#N/A</v>
      </c>
      <c r="X833" t="e">
        <f t="shared" ca="1" si="84"/>
        <v>#VALUE!</v>
      </c>
      <c r="Y833">
        <f t="shared" ca="1" si="85"/>
        <v>0.44300810200000001</v>
      </c>
      <c r="Z833" t="e">
        <f t="shared" ca="1" si="86"/>
        <v>#VALUE!</v>
      </c>
    </row>
    <row r="834" spans="1:26" x14ac:dyDescent="0.4">
      <c r="A834" t="str">
        <f>MID(Taostats_CSV!C834,6,2)&amp;"/"&amp;MID(Taostats_CSV!C834,9,2)&amp;"/"&amp;LEFT(Taostats_CSV!C834,4)&amp;" "&amp;MID(Taostats_CSV!C834,12,8)</f>
        <v>08/24/2025 23:59:48</v>
      </c>
      <c r="C834" t="str">
        <f ca="1">IF(Q834,OFFSET(Taostats_CSV!$E$1,MATCH(K834&amp;D$1,Taostats_CSV!$X:$X,0)-1,0),IF(Taostats_CSV!F834="fee",IF(VALUE(Taostats_CSV!G834)&gt;0,Taostats_CSV!E834,""),""))</f>
        <v/>
      </c>
      <c r="D834" t="str">
        <f ca="1">IF(Q834,OFFSET(Taostats_CSV!$G$1,MATCH(K834&amp;D$1,Taostats_CSV!$X:$X,0)-1,0),IF(Taostats_CSV!F834="fee",IF(VALUE(Taostats_CSV!G834)&gt;0,Taostats_CSV!G834,""),""))</f>
        <v/>
      </c>
      <c r="E834" t="str">
        <f ca="1">IF(AND(Q834,P834&gt;0),OFFSET(Taostats_CSV!$E$1,MATCH(K834&amp;F$1,Taostats_CSV!$X:$X,0)-1,0),IF(LEN(F834)&gt;0,Taostats_CSV!E834,""))</f>
        <v>SN56</v>
      </c>
      <c r="F834" t="str">
        <f ca="1">TRIM(IF(AND(Q834,P834&gt;0),OFFSET(Taostats_CSV!$H$1,MATCH(K834&amp;F$1,Taostats_CSV!$X:$X,0)-1,0),IF(LEN(Taostats_CSV!H834)&gt;0,Taostats_CSV!H834,Taostats_CSV!R834)))</f>
        <v>0.280481674</v>
      </c>
      <c r="G834" t="str">
        <f ca="1">IF(AND(Q834,N834=1),OFFSET(Taostats_CSV!$E$1,MATCH(K834&amp;H$1,Taostats_CSV!$X:$X,0)-1,0),"")</f>
        <v/>
      </c>
      <c r="H834" t="str">
        <f ca="1">IF(AND(Q834,N834=1),OFFSET(Taostats_CSV!$G$1,MATCH(K834&amp;H$1,Taostats_CSV!$X:$X,0)-1,0),"")</f>
        <v/>
      </c>
      <c r="I834" t="str">
        <f ca="1">IF(AND(LEN(K834)=0,LEN(F834)&gt;0),"Income",IF(AND(O834&gt;0,P834&gt;0,C834&lt;&gt;E834),"Trade",IF(AND(NOT(Q834),Taostats_CSV!F834="fee"),'READ ME'!$C$5,"")))</f>
        <v>Income</v>
      </c>
      <c r="J834" t="str">
        <f ca="1">SUBSTITUTE(IF(LEN(I834)=0,Taostats_CSV!F834&amp;" "&amp;Taostats_CSV!J834,IF(I834="Cost","Extrinsic fee","")),"_"," ")</f>
        <v/>
      </c>
      <c r="K834" t="str">
        <f>TRIM(IF(LEN(Taostats_CSV!I834)&gt;0,Taostats_CSV!I834,""))</f>
        <v/>
      </c>
      <c r="L834">
        <f ca="1">IF(Taostats_CSV!E834&lt;&gt;"TAO",IF(LEN(F834)&gt;0,F834,IF(LEN(D834)&gt;0,D834,0))*Taostats_CSV!P834,"")</f>
        <v>4.2244915825261087</v>
      </c>
      <c r="M834" t="str">
        <f t="shared" ca="1" si="87"/>
        <v>USD</v>
      </c>
      <c r="N834">
        <f>COUNTIF(Taostats_CSV!$X:$X,Taostats_CSV!$I834&amp;N$1)</f>
        <v>0</v>
      </c>
      <c r="O834">
        <f>COUNTIF(Taostats_CSV!$X:$X,Taostats_CSV!$I834&amp;O$1)</f>
        <v>0</v>
      </c>
      <c r="P834">
        <f>COUNTIF(Taostats_CSV!$X:$X,Taostats_CSV!$I834&amp;P$1)</f>
        <v>0</v>
      </c>
      <c r="Q834" t="b">
        <f t="shared" si="88"/>
        <v>0</v>
      </c>
      <c r="R834" t="b">
        <f>IF(LEN(K834)&gt;0,COUNTIF($K$3:K834,K834),FALSE)</f>
        <v>0</v>
      </c>
      <c r="S834" t="b">
        <f>IF(Taostats_CSV!A834=Taostats_CSV!$A$2,TRUE,Taostats_CSV!G834+Taostats_CSV!H834+Taostats_CSV!R834=0)</f>
        <v>0</v>
      </c>
      <c r="T834" t="b">
        <f t="shared" si="89"/>
        <v>1</v>
      </c>
      <c r="U834" t="b" cm="1">
        <f t="array" aca="1" ref="U834" ca="1">AND(T834,OR(O834-N834&gt;1,P834&gt;1,ISERROR(A834:P834)))</f>
        <v>0</v>
      </c>
      <c r="W834" t="e">
        <f>MATCH(K834&amp;$W$2,Taostats_CSV!$X$3:$X$1167,0)</f>
        <v>#N/A</v>
      </c>
      <c r="X834" t="e">
        <f t="shared" ca="1" si="84"/>
        <v>#VALUE!</v>
      </c>
      <c r="Y834">
        <f t="shared" ca="1" si="85"/>
        <v>0.28048167400000001</v>
      </c>
      <c r="Z834" t="e">
        <f t="shared" ca="1" si="86"/>
        <v>#VALUE!</v>
      </c>
    </row>
    <row r="835" spans="1:26" x14ac:dyDescent="0.4">
      <c r="A835" t="str">
        <f>MID(Taostats_CSV!C835,6,2)&amp;"/"&amp;MID(Taostats_CSV!C835,9,2)&amp;"/"&amp;LEFT(Taostats_CSV!C835,4)&amp;" "&amp;MID(Taostats_CSV!C835,12,8)</f>
        <v>08/24/2025 23:59:48</v>
      </c>
      <c r="C835" t="str">
        <f ca="1">IF(Q835,OFFSET(Taostats_CSV!$E$1,MATCH(K835&amp;D$1,Taostats_CSV!$X:$X,0)-1,0),IF(Taostats_CSV!F835="fee",IF(VALUE(Taostats_CSV!G835)&gt;0,Taostats_CSV!E835,""),""))</f>
        <v/>
      </c>
      <c r="D835" t="str">
        <f ca="1">IF(Q835,OFFSET(Taostats_CSV!$G$1,MATCH(K835&amp;D$1,Taostats_CSV!$X:$X,0)-1,0),IF(Taostats_CSV!F835="fee",IF(VALUE(Taostats_CSV!G835)&gt;0,Taostats_CSV!G835,""),""))</f>
        <v/>
      </c>
      <c r="E835" t="str">
        <f ca="1">IF(AND(Q835,P835&gt;0),OFFSET(Taostats_CSV!$E$1,MATCH(K835&amp;F$1,Taostats_CSV!$X:$X,0)-1,0),IF(LEN(F835)&gt;0,Taostats_CSV!E835,""))</f>
        <v>SN64</v>
      </c>
      <c r="F835" t="str">
        <f ca="1">TRIM(IF(AND(Q835,P835&gt;0),OFFSET(Taostats_CSV!$H$1,MATCH(K835&amp;F$1,Taostats_CSV!$X:$X,0)-1,0),IF(LEN(Taostats_CSV!H835)&gt;0,Taostats_CSV!H835,Taostats_CSV!R835)))</f>
        <v>0.146996652</v>
      </c>
      <c r="G835" t="str">
        <f ca="1">IF(AND(Q835,N835=1),OFFSET(Taostats_CSV!$E$1,MATCH(K835&amp;H$1,Taostats_CSV!$X:$X,0)-1,0),"")</f>
        <v/>
      </c>
      <c r="H835" t="str">
        <f ca="1">IF(AND(Q835,N835=1),OFFSET(Taostats_CSV!$G$1,MATCH(K835&amp;H$1,Taostats_CSV!$X:$X,0)-1,0),"")</f>
        <v/>
      </c>
      <c r="I835" t="str">
        <f ca="1">IF(AND(LEN(K835)=0,LEN(F835)&gt;0),"Income",IF(AND(O835&gt;0,P835&gt;0,C835&lt;&gt;E835),"Trade",IF(AND(NOT(Q835),Taostats_CSV!F835="fee"),'READ ME'!$C$5,"")))</f>
        <v>Income</v>
      </c>
      <c r="J835" t="str">
        <f ca="1">SUBSTITUTE(IF(LEN(I835)=0,Taostats_CSV!F835&amp;" "&amp;Taostats_CSV!J835,IF(I835="Cost","Extrinsic fee","")),"_"," ")</f>
        <v/>
      </c>
      <c r="K835" t="str">
        <f>TRIM(IF(LEN(Taostats_CSV!I835)&gt;0,Taostats_CSV!I835,""))</f>
        <v/>
      </c>
      <c r="L835">
        <f ca="1">IF(Taostats_CSV!E835&lt;&gt;"TAO",IF(LEN(F835)&gt;0,F835,IF(LEN(D835)&gt;0,D835,0))*Taostats_CSV!P835,"")</f>
        <v>5.6049944576401494</v>
      </c>
      <c r="M835" t="str">
        <f t="shared" ca="1" si="87"/>
        <v>USD</v>
      </c>
      <c r="N835">
        <f>COUNTIF(Taostats_CSV!$X:$X,Taostats_CSV!$I835&amp;N$1)</f>
        <v>0</v>
      </c>
      <c r="O835">
        <f>COUNTIF(Taostats_CSV!$X:$X,Taostats_CSV!$I835&amp;O$1)</f>
        <v>0</v>
      </c>
      <c r="P835">
        <f>COUNTIF(Taostats_CSV!$X:$X,Taostats_CSV!$I835&amp;P$1)</f>
        <v>0</v>
      </c>
      <c r="Q835" t="b">
        <f t="shared" si="88"/>
        <v>0</v>
      </c>
      <c r="R835" t="b">
        <f>IF(LEN(K835)&gt;0,COUNTIF($K$3:K835,K835),FALSE)</f>
        <v>0</v>
      </c>
      <c r="S835" t="b">
        <f>IF(Taostats_CSV!A835=Taostats_CSV!$A$2,TRUE,Taostats_CSV!G835+Taostats_CSV!H835+Taostats_CSV!R835=0)</f>
        <v>0</v>
      </c>
      <c r="T835" t="b">
        <f t="shared" si="89"/>
        <v>1</v>
      </c>
      <c r="U835" t="b" cm="1">
        <f t="array" aca="1" ref="U835" ca="1">AND(T835,OR(O835-N835&gt;1,P835&gt;1,ISERROR(A835:P835)))</f>
        <v>0</v>
      </c>
      <c r="W835" t="e">
        <f>MATCH(K835&amp;$W$2,Taostats_CSV!$X$3:$X$1167,0)</f>
        <v>#N/A</v>
      </c>
      <c r="X835" t="e">
        <f t="shared" ref="X835:X898" ca="1" si="90">VALUE(D835)</f>
        <v>#VALUE!</v>
      </c>
      <c r="Y835">
        <f t="shared" ref="Y835:Y898" ca="1" si="91">VALUE(F835)</f>
        <v>0.14699665200000001</v>
      </c>
      <c r="Z835" t="e">
        <f t="shared" ref="Z835:Z898" ca="1" si="92">VALUE(H835)</f>
        <v>#VALUE!</v>
      </c>
    </row>
    <row r="836" spans="1:26" x14ac:dyDescent="0.4">
      <c r="A836" t="str">
        <f>MID(Taostats_CSV!C836,6,2)&amp;"/"&amp;MID(Taostats_CSV!C836,9,2)&amp;"/"&amp;LEFT(Taostats_CSV!C836,4)&amp;" "&amp;MID(Taostats_CSV!C836,12,8)</f>
        <v>08/24/2025 23:59:48</v>
      </c>
      <c r="C836" t="str">
        <f ca="1">IF(Q836,OFFSET(Taostats_CSV!$E$1,MATCH(K836&amp;D$1,Taostats_CSV!$X:$X,0)-1,0),IF(Taostats_CSV!F836="fee",IF(VALUE(Taostats_CSV!G836)&gt;0,Taostats_CSV!E836,""),""))</f>
        <v/>
      </c>
      <c r="D836" t="str">
        <f ca="1">IF(Q836,OFFSET(Taostats_CSV!$G$1,MATCH(K836&amp;D$1,Taostats_CSV!$X:$X,0)-1,0),IF(Taostats_CSV!F836="fee",IF(VALUE(Taostats_CSV!G836)&gt;0,Taostats_CSV!G836,""),""))</f>
        <v/>
      </c>
      <c r="E836" t="str">
        <f ca="1">IF(AND(Q836,P836&gt;0),OFFSET(Taostats_CSV!$E$1,MATCH(K836&amp;F$1,Taostats_CSV!$X:$X,0)-1,0),IF(LEN(F836)&gt;0,Taostats_CSV!E836,""))</f>
        <v>TAO</v>
      </c>
      <c r="F836" t="str">
        <f ca="1">TRIM(IF(AND(Q836,P836&gt;0),OFFSET(Taostats_CSV!$H$1,MATCH(K836&amp;F$1,Taostats_CSV!$X:$X,0)-1,0),IF(LEN(Taostats_CSV!H836)&gt;0,Taostats_CSV!H836,Taostats_CSV!R836)))</f>
        <v>0.009447087</v>
      </c>
      <c r="G836" t="str">
        <f ca="1">IF(AND(Q836,N836=1),OFFSET(Taostats_CSV!$E$1,MATCH(K836&amp;H$1,Taostats_CSV!$X:$X,0)-1,0),"")</f>
        <v/>
      </c>
      <c r="H836" t="str">
        <f ca="1">IF(AND(Q836,N836=1),OFFSET(Taostats_CSV!$G$1,MATCH(K836&amp;H$1,Taostats_CSV!$X:$X,0)-1,0),"")</f>
        <v/>
      </c>
      <c r="I836" t="str">
        <f ca="1">IF(AND(LEN(K836)=0,LEN(F836)&gt;0),"Income",IF(AND(O836&gt;0,P836&gt;0,C836&lt;&gt;E836),"Trade",IF(AND(NOT(Q836),Taostats_CSV!F836="fee"),'READ ME'!$C$5,"")))</f>
        <v>Income</v>
      </c>
      <c r="J836" t="str">
        <f ca="1">SUBSTITUTE(IF(LEN(I836)=0,Taostats_CSV!F836&amp;" "&amp;Taostats_CSV!J836,IF(I836="Cost","Extrinsic fee","")),"_"," ")</f>
        <v/>
      </c>
      <c r="K836" t="str">
        <f>TRIM(IF(LEN(Taostats_CSV!I836)&gt;0,Taostats_CSV!I836,""))</f>
        <v/>
      </c>
      <c r="L836" t="str">
        <f>IF(Taostats_CSV!E836&lt;&gt;"TAO",IF(LEN(F836)&gt;0,F836,IF(LEN(D836)&gt;0,D836,0))*Taostats_CSV!P836,"")</f>
        <v/>
      </c>
      <c r="M836" t="str">
        <f t="shared" ref="M836:M899" si="93">IF(LEN(L836)&gt;0,"USD","")</f>
        <v/>
      </c>
      <c r="N836">
        <f>COUNTIF(Taostats_CSV!$X:$X,Taostats_CSV!$I836&amp;N$1)</f>
        <v>0</v>
      </c>
      <c r="O836">
        <f>COUNTIF(Taostats_CSV!$X:$X,Taostats_CSV!$I836&amp;O$1)</f>
        <v>0</v>
      </c>
      <c r="P836">
        <f>COUNTIF(Taostats_CSV!$X:$X,Taostats_CSV!$I836&amp;P$1)</f>
        <v>0</v>
      </c>
      <c r="Q836" t="b">
        <f t="shared" ref="Q836:Q899" si="94">AND(O836&lt;=1,N836&lt;=1,P836&lt;=1,O836+N836+P836&gt;=2)</f>
        <v>0</v>
      </c>
      <c r="R836" t="b">
        <f>IF(LEN(K836)&gt;0,COUNTIF($K$3:K836,K836),FALSE)</f>
        <v>0</v>
      </c>
      <c r="S836" t="b">
        <f>IF(Taostats_CSV!A836=Taostats_CSV!$A$2,TRUE,Taostats_CSV!G836+Taostats_CSV!H836+Taostats_CSV!R836=0)</f>
        <v>0</v>
      </c>
      <c r="T836" t="b">
        <f t="shared" ref="T836:T899" si="95">AND(NOT(S836),OR(NOT(Q836),R836=1))</f>
        <v>1</v>
      </c>
      <c r="U836" t="b" cm="1">
        <f t="array" aca="1" ref="U836" ca="1">AND(T836,OR(O836-N836&gt;1,P836&gt;1,ISERROR(A836:P836)))</f>
        <v>0</v>
      </c>
      <c r="W836" t="e">
        <f>MATCH(K836&amp;$W$2,Taostats_CSV!$X$3:$X$1167,0)</f>
        <v>#N/A</v>
      </c>
      <c r="X836" t="e">
        <f t="shared" ca="1" si="90"/>
        <v>#VALUE!</v>
      </c>
      <c r="Y836">
        <f t="shared" ca="1" si="91"/>
        <v>9.4470869999999998E-3</v>
      </c>
      <c r="Z836" t="e">
        <f t="shared" ca="1" si="92"/>
        <v>#VALUE!</v>
      </c>
    </row>
    <row r="837" spans="1:26" x14ac:dyDescent="0.4">
      <c r="A837" t="str">
        <f>MID(Taostats_CSV!C837,6,2)&amp;"/"&amp;MID(Taostats_CSV!C837,9,2)&amp;"/"&amp;LEFT(Taostats_CSV!C837,4)&amp;" "&amp;MID(Taostats_CSV!C837,12,8)</f>
        <v>08/25/2025 23:59:48</v>
      </c>
      <c r="C837" t="str">
        <f ca="1">IF(Q837,OFFSET(Taostats_CSV!$E$1,MATCH(K837&amp;D$1,Taostats_CSV!$X:$X,0)-1,0),IF(Taostats_CSV!F837="fee",IF(VALUE(Taostats_CSV!G837)&gt;0,Taostats_CSV!E837,""),""))</f>
        <v/>
      </c>
      <c r="D837" t="str">
        <f ca="1">IF(Q837,OFFSET(Taostats_CSV!$G$1,MATCH(K837&amp;D$1,Taostats_CSV!$X:$X,0)-1,0),IF(Taostats_CSV!F837="fee",IF(VALUE(Taostats_CSV!G837)&gt;0,Taostats_CSV!G837,""),""))</f>
        <v/>
      </c>
      <c r="E837" t="str">
        <f ca="1">IF(AND(Q837,P837&gt;0),OFFSET(Taostats_CSV!$E$1,MATCH(K837&amp;F$1,Taostats_CSV!$X:$X,0)-1,0),IF(LEN(F837)&gt;0,Taostats_CSV!E837,""))</f>
        <v>SN3</v>
      </c>
      <c r="F837" t="str">
        <f ca="1">TRIM(IF(AND(Q837,P837&gt;0),OFFSET(Taostats_CSV!$H$1,MATCH(K837&amp;F$1,Taostats_CSV!$X:$X,0)-1,0),IF(LEN(Taostats_CSV!H837)&gt;0,Taostats_CSV!H837,Taostats_CSV!R837)))</f>
        <v>0.431414912</v>
      </c>
      <c r="G837" t="str">
        <f ca="1">IF(AND(Q837,N837=1),OFFSET(Taostats_CSV!$E$1,MATCH(K837&amp;H$1,Taostats_CSV!$X:$X,0)-1,0),"")</f>
        <v/>
      </c>
      <c r="H837" t="str">
        <f ca="1">IF(AND(Q837,N837=1),OFFSET(Taostats_CSV!$G$1,MATCH(K837&amp;H$1,Taostats_CSV!$X:$X,0)-1,0),"")</f>
        <v/>
      </c>
      <c r="I837" t="str">
        <f ca="1">IF(AND(LEN(K837)=0,LEN(F837)&gt;0),"Income",IF(AND(O837&gt;0,P837&gt;0,C837&lt;&gt;E837),"Trade",IF(AND(NOT(Q837),Taostats_CSV!F837="fee"),'READ ME'!$C$5,"")))</f>
        <v>Income</v>
      </c>
      <c r="J837" t="str">
        <f ca="1">SUBSTITUTE(IF(LEN(I837)=0,Taostats_CSV!F837&amp;" "&amp;Taostats_CSV!J837,IF(I837="Cost","Extrinsic fee","")),"_"," ")</f>
        <v/>
      </c>
      <c r="K837" t="str">
        <f>TRIM(IF(LEN(Taostats_CSV!I837)&gt;0,Taostats_CSV!I837,""))</f>
        <v/>
      </c>
      <c r="L837">
        <f ca="1">IF(Taostats_CSV!E837&lt;&gt;"TAO",IF(LEN(F837)&gt;0,F837,IF(LEN(D837)&gt;0,D837,0))*Taostats_CSV!P837,"")</f>
        <v>6.4745653725856736</v>
      </c>
      <c r="M837" t="str">
        <f t="shared" ca="1" si="93"/>
        <v>USD</v>
      </c>
      <c r="N837">
        <f>COUNTIF(Taostats_CSV!$X:$X,Taostats_CSV!$I837&amp;N$1)</f>
        <v>0</v>
      </c>
      <c r="O837">
        <f>COUNTIF(Taostats_CSV!$X:$X,Taostats_CSV!$I837&amp;O$1)</f>
        <v>0</v>
      </c>
      <c r="P837">
        <f>COUNTIF(Taostats_CSV!$X:$X,Taostats_CSV!$I837&amp;P$1)</f>
        <v>0</v>
      </c>
      <c r="Q837" t="b">
        <f t="shared" si="94"/>
        <v>0</v>
      </c>
      <c r="R837" t="b">
        <f>IF(LEN(K837)&gt;0,COUNTIF($K$3:K837,K837),FALSE)</f>
        <v>0</v>
      </c>
      <c r="S837" t="b">
        <f>IF(Taostats_CSV!A837=Taostats_CSV!$A$2,TRUE,Taostats_CSV!G837+Taostats_CSV!H837+Taostats_CSV!R837=0)</f>
        <v>0</v>
      </c>
      <c r="T837" t="b">
        <f t="shared" si="95"/>
        <v>1</v>
      </c>
      <c r="U837" t="b" cm="1">
        <f t="array" aca="1" ref="U837" ca="1">AND(T837,OR(O837-N837&gt;1,P837&gt;1,ISERROR(A837:P837)))</f>
        <v>0</v>
      </c>
      <c r="W837" t="e">
        <f>MATCH(K837&amp;$W$2,Taostats_CSV!$X$3:$X$1167,0)</f>
        <v>#N/A</v>
      </c>
      <c r="X837" t="e">
        <f t="shared" ca="1" si="90"/>
        <v>#VALUE!</v>
      </c>
      <c r="Y837">
        <f t="shared" ca="1" si="91"/>
        <v>0.43141491199999998</v>
      </c>
      <c r="Z837" t="e">
        <f t="shared" ca="1" si="92"/>
        <v>#VALUE!</v>
      </c>
    </row>
    <row r="838" spans="1:26" x14ac:dyDescent="0.4">
      <c r="A838" t="str">
        <f>MID(Taostats_CSV!C838,6,2)&amp;"/"&amp;MID(Taostats_CSV!C838,9,2)&amp;"/"&amp;LEFT(Taostats_CSV!C838,4)&amp;" "&amp;MID(Taostats_CSV!C838,12,8)</f>
        <v>08/25/2025 23:59:48</v>
      </c>
      <c r="C838" t="str">
        <f ca="1">IF(Q838,OFFSET(Taostats_CSV!$E$1,MATCH(K838&amp;D$1,Taostats_CSV!$X:$X,0)-1,0),IF(Taostats_CSV!F838="fee",IF(VALUE(Taostats_CSV!G838)&gt;0,Taostats_CSV!E838,""),""))</f>
        <v/>
      </c>
      <c r="D838" t="str">
        <f ca="1">IF(Q838,OFFSET(Taostats_CSV!$G$1,MATCH(K838&amp;D$1,Taostats_CSV!$X:$X,0)-1,0),IF(Taostats_CSV!F838="fee",IF(VALUE(Taostats_CSV!G838)&gt;0,Taostats_CSV!G838,""),""))</f>
        <v/>
      </c>
      <c r="E838" t="str">
        <f ca="1">IF(AND(Q838,P838&gt;0),OFFSET(Taostats_CSV!$E$1,MATCH(K838&amp;F$1,Taostats_CSV!$X:$X,0)-1,0),IF(LEN(F838)&gt;0,Taostats_CSV!E838,""))</f>
        <v>SN4</v>
      </c>
      <c r="F838" t="str">
        <f ca="1">TRIM(IF(AND(Q838,P838&gt;0),OFFSET(Taostats_CSV!$H$1,MATCH(K838&amp;F$1,Taostats_CSV!$X:$X,0)-1,0),IF(LEN(Taostats_CSV!H838)&gt;0,Taostats_CSV!H838,Taostats_CSV!R838)))</f>
        <v>0.452463857</v>
      </c>
      <c r="G838" t="str">
        <f ca="1">IF(AND(Q838,N838=1),OFFSET(Taostats_CSV!$E$1,MATCH(K838&amp;H$1,Taostats_CSV!$X:$X,0)-1,0),"")</f>
        <v/>
      </c>
      <c r="H838" t="str">
        <f ca="1">IF(AND(Q838,N838=1),OFFSET(Taostats_CSV!$G$1,MATCH(K838&amp;H$1,Taostats_CSV!$X:$X,0)-1,0),"")</f>
        <v/>
      </c>
      <c r="I838" t="str">
        <f ca="1">IF(AND(LEN(K838)=0,LEN(F838)&gt;0),"Income",IF(AND(O838&gt;0,P838&gt;0,C838&lt;&gt;E838),"Trade",IF(AND(NOT(Q838),Taostats_CSV!F838="fee"),'READ ME'!$C$5,"")))</f>
        <v>Income</v>
      </c>
      <c r="J838" t="str">
        <f ca="1">SUBSTITUTE(IF(LEN(I838)=0,Taostats_CSV!F838&amp;" "&amp;Taostats_CSV!J838,IF(I838="Cost","Extrinsic fee","")),"_"," ")</f>
        <v/>
      </c>
      <c r="K838" t="str">
        <f>TRIM(IF(LEN(Taostats_CSV!I838)&gt;0,Taostats_CSV!I838,""))</f>
        <v/>
      </c>
      <c r="L838">
        <f ca="1">IF(Taostats_CSV!E838&lt;&gt;"TAO",IF(LEN(F838)&gt;0,F838,IF(LEN(D838)&gt;0,D838,0))*Taostats_CSV!P838,"")</f>
        <v>6.9792559223975923</v>
      </c>
      <c r="M838" t="str">
        <f t="shared" ca="1" si="93"/>
        <v>USD</v>
      </c>
      <c r="N838">
        <f>COUNTIF(Taostats_CSV!$X:$X,Taostats_CSV!$I838&amp;N$1)</f>
        <v>0</v>
      </c>
      <c r="O838">
        <f>COUNTIF(Taostats_CSV!$X:$X,Taostats_CSV!$I838&amp;O$1)</f>
        <v>0</v>
      </c>
      <c r="P838">
        <f>COUNTIF(Taostats_CSV!$X:$X,Taostats_CSV!$I838&amp;P$1)</f>
        <v>0</v>
      </c>
      <c r="Q838" t="b">
        <f t="shared" si="94"/>
        <v>0</v>
      </c>
      <c r="R838" t="b">
        <f>IF(LEN(K838)&gt;0,COUNTIF($K$3:K838,K838),FALSE)</f>
        <v>0</v>
      </c>
      <c r="S838" t="b">
        <f>IF(Taostats_CSV!A838=Taostats_CSV!$A$2,TRUE,Taostats_CSV!G838+Taostats_CSV!H838+Taostats_CSV!R838=0)</f>
        <v>0</v>
      </c>
      <c r="T838" t="b">
        <f t="shared" si="95"/>
        <v>1</v>
      </c>
      <c r="U838" t="b" cm="1">
        <f t="array" aca="1" ref="U838" ca="1">AND(T838,OR(O838-N838&gt;1,P838&gt;1,ISERROR(A838:P838)))</f>
        <v>0</v>
      </c>
      <c r="W838" t="e">
        <f>MATCH(K838&amp;$W$2,Taostats_CSV!$X$3:$X$1167,0)</f>
        <v>#N/A</v>
      </c>
      <c r="X838" t="e">
        <f t="shared" ca="1" si="90"/>
        <v>#VALUE!</v>
      </c>
      <c r="Y838">
        <f t="shared" ca="1" si="91"/>
        <v>0.45246385700000002</v>
      </c>
      <c r="Z838" t="e">
        <f t="shared" ca="1" si="92"/>
        <v>#VALUE!</v>
      </c>
    </row>
    <row r="839" spans="1:26" x14ac:dyDescent="0.4">
      <c r="A839" t="str">
        <f>MID(Taostats_CSV!C839,6,2)&amp;"/"&amp;MID(Taostats_CSV!C839,9,2)&amp;"/"&amp;LEFT(Taostats_CSV!C839,4)&amp;" "&amp;MID(Taostats_CSV!C839,12,8)</f>
        <v>08/25/2025 23:59:48</v>
      </c>
      <c r="C839" t="str">
        <f ca="1">IF(Q839,OFFSET(Taostats_CSV!$E$1,MATCH(K839&amp;D$1,Taostats_CSV!$X:$X,0)-1,0),IF(Taostats_CSV!F839="fee",IF(VALUE(Taostats_CSV!G839)&gt;0,Taostats_CSV!E839,""),""))</f>
        <v/>
      </c>
      <c r="D839" t="str">
        <f ca="1">IF(Q839,OFFSET(Taostats_CSV!$G$1,MATCH(K839&amp;D$1,Taostats_CSV!$X:$X,0)-1,0),IF(Taostats_CSV!F839="fee",IF(VALUE(Taostats_CSV!G839)&gt;0,Taostats_CSV!G839,""),""))</f>
        <v/>
      </c>
      <c r="E839" t="str">
        <f ca="1">IF(AND(Q839,P839&gt;0),OFFSET(Taostats_CSV!$E$1,MATCH(K839&amp;F$1,Taostats_CSV!$X:$X,0)-1,0),IF(LEN(F839)&gt;0,Taostats_CSV!E839,""))</f>
        <v>SN56</v>
      </c>
      <c r="F839" t="str">
        <f ca="1">TRIM(IF(AND(Q839,P839&gt;0),OFFSET(Taostats_CSV!$H$1,MATCH(K839&amp;F$1,Taostats_CSV!$X:$X,0)-1,0),IF(LEN(Taostats_CSV!H839)&gt;0,Taostats_CSV!H839,Taostats_CSV!R839)))</f>
        <v>0.280847891</v>
      </c>
      <c r="G839" t="str">
        <f ca="1">IF(AND(Q839,N839=1),OFFSET(Taostats_CSV!$E$1,MATCH(K839&amp;H$1,Taostats_CSV!$X:$X,0)-1,0),"")</f>
        <v/>
      </c>
      <c r="H839" t="str">
        <f ca="1">IF(AND(Q839,N839=1),OFFSET(Taostats_CSV!$G$1,MATCH(K839&amp;H$1,Taostats_CSV!$X:$X,0)-1,0),"")</f>
        <v/>
      </c>
      <c r="I839" t="str">
        <f ca="1">IF(AND(LEN(K839)=0,LEN(F839)&gt;0),"Income",IF(AND(O839&gt;0,P839&gt;0,C839&lt;&gt;E839),"Trade",IF(AND(NOT(Q839),Taostats_CSV!F839="fee"),'READ ME'!$C$5,"")))</f>
        <v>Income</v>
      </c>
      <c r="J839" t="str">
        <f ca="1">SUBSTITUTE(IF(LEN(I839)=0,Taostats_CSV!F839&amp;" "&amp;Taostats_CSV!J839,IF(I839="Cost","Extrinsic fee","")),"_"," ")</f>
        <v/>
      </c>
      <c r="K839" t="str">
        <f>TRIM(IF(LEN(Taostats_CSV!I839)&gt;0,Taostats_CSV!I839,""))</f>
        <v/>
      </c>
      <c r="L839">
        <f ca="1">IF(Taostats_CSV!E839&lt;&gt;"TAO",IF(LEN(F839)&gt;0,F839,IF(LEN(D839)&gt;0,D839,0))*Taostats_CSV!P839,"")</f>
        <v>3.6583010782277685</v>
      </c>
      <c r="M839" t="str">
        <f t="shared" ca="1" si="93"/>
        <v>USD</v>
      </c>
      <c r="N839">
        <f>COUNTIF(Taostats_CSV!$X:$X,Taostats_CSV!$I839&amp;N$1)</f>
        <v>0</v>
      </c>
      <c r="O839">
        <f>COUNTIF(Taostats_CSV!$X:$X,Taostats_CSV!$I839&amp;O$1)</f>
        <v>0</v>
      </c>
      <c r="P839">
        <f>COUNTIF(Taostats_CSV!$X:$X,Taostats_CSV!$I839&amp;P$1)</f>
        <v>0</v>
      </c>
      <c r="Q839" t="b">
        <f t="shared" si="94"/>
        <v>0</v>
      </c>
      <c r="R839" t="b">
        <f>IF(LEN(K839)&gt;0,COUNTIF($K$3:K839,K839),FALSE)</f>
        <v>0</v>
      </c>
      <c r="S839" t="b">
        <f>IF(Taostats_CSV!A839=Taostats_CSV!$A$2,TRUE,Taostats_CSV!G839+Taostats_CSV!H839+Taostats_CSV!R839=0)</f>
        <v>0</v>
      </c>
      <c r="T839" t="b">
        <f t="shared" si="95"/>
        <v>1</v>
      </c>
      <c r="U839" t="b" cm="1">
        <f t="array" aca="1" ref="U839" ca="1">AND(T839,OR(O839-N839&gt;1,P839&gt;1,ISERROR(A839:P839)))</f>
        <v>0</v>
      </c>
      <c r="W839" t="e">
        <f>MATCH(K839&amp;$W$2,Taostats_CSV!$X$3:$X$1167,0)</f>
        <v>#N/A</v>
      </c>
      <c r="X839" t="e">
        <f t="shared" ca="1" si="90"/>
        <v>#VALUE!</v>
      </c>
      <c r="Y839">
        <f t="shared" ca="1" si="91"/>
        <v>0.28084789100000002</v>
      </c>
      <c r="Z839" t="e">
        <f t="shared" ca="1" si="92"/>
        <v>#VALUE!</v>
      </c>
    </row>
    <row r="840" spans="1:26" x14ac:dyDescent="0.4">
      <c r="A840" t="str">
        <f>MID(Taostats_CSV!C840,6,2)&amp;"/"&amp;MID(Taostats_CSV!C840,9,2)&amp;"/"&amp;LEFT(Taostats_CSV!C840,4)&amp;" "&amp;MID(Taostats_CSV!C840,12,8)</f>
        <v>08/25/2025 23:59:48</v>
      </c>
      <c r="C840" t="str">
        <f ca="1">IF(Q840,OFFSET(Taostats_CSV!$E$1,MATCH(K840&amp;D$1,Taostats_CSV!$X:$X,0)-1,0),IF(Taostats_CSV!F840="fee",IF(VALUE(Taostats_CSV!G840)&gt;0,Taostats_CSV!E840,""),""))</f>
        <v/>
      </c>
      <c r="D840" t="str">
        <f ca="1">IF(Q840,OFFSET(Taostats_CSV!$G$1,MATCH(K840&amp;D$1,Taostats_CSV!$X:$X,0)-1,0),IF(Taostats_CSV!F840="fee",IF(VALUE(Taostats_CSV!G840)&gt;0,Taostats_CSV!G840,""),""))</f>
        <v/>
      </c>
      <c r="E840" t="str">
        <f ca="1">IF(AND(Q840,P840&gt;0),OFFSET(Taostats_CSV!$E$1,MATCH(K840&amp;F$1,Taostats_CSV!$X:$X,0)-1,0),IF(LEN(F840)&gt;0,Taostats_CSV!E840,""))</f>
        <v>SN64</v>
      </c>
      <c r="F840" t="str">
        <f ca="1">TRIM(IF(AND(Q840,P840&gt;0),OFFSET(Taostats_CSV!$H$1,MATCH(K840&amp;F$1,Taostats_CSV!$X:$X,0)-1,0),IF(LEN(Taostats_CSV!H840)&gt;0,Taostats_CSV!H840,Taostats_CSV!R840)))</f>
        <v>0.148154702</v>
      </c>
      <c r="G840" t="str">
        <f ca="1">IF(AND(Q840,N840=1),OFFSET(Taostats_CSV!$E$1,MATCH(K840&amp;H$1,Taostats_CSV!$X:$X,0)-1,0),"")</f>
        <v/>
      </c>
      <c r="H840" t="str">
        <f ca="1">IF(AND(Q840,N840=1),OFFSET(Taostats_CSV!$G$1,MATCH(K840&amp;H$1,Taostats_CSV!$X:$X,0)-1,0),"")</f>
        <v/>
      </c>
      <c r="I840" t="str">
        <f ca="1">IF(AND(LEN(K840)=0,LEN(F840)&gt;0),"Income",IF(AND(O840&gt;0,P840&gt;0,C840&lt;&gt;E840),"Trade",IF(AND(NOT(Q840),Taostats_CSV!F840="fee"),'READ ME'!$C$5,"")))</f>
        <v>Income</v>
      </c>
      <c r="J840" t="str">
        <f ca="1">SUBSTITUTE(IF(LEN(I840)=0,Taostats_CSV!F840&amp;" "&amp;Taostats_CSV!J840,IF(I840="Cost","Extrinsic fee","")),"_"," ")</f>
        <v/>
      </c>
      <c r="K840" t="str">
        <f>TRIM(IF(LEN(Taostats_CSV!I840)&gt;0,Taostats_CSV!I840,""))</f>
        <v/>
      </c>
      <c r="L840">
        <f ca="1">IF(Taostats_CSV!E840&lt;&gt;"TAO",IF(LEN(F840)&gt;0,F840,IF(LEN(D840)&gt;0,D840,0))*Taostats_CSV!P840,"")</f>
        <v>4.9498459415438729</v>
      </c>
      <c r="M840" t="str">
        <f t="shared" ca="1" si="93"/>
        <v>USD</v>
      </c>
      <c r="N840">
        <f>COUNTIF(Taostats_CSV!$X:$X,Taostats_CSV!$I840&amp;N$1)</f>
        <v>0</v>
      </c>
      <c r="O840">
        <f>COUNTIF(Taostats_CSV!$X:$X,Taostats_CSV!$I840&amp;O$1)</f>
        <v>0</v>
      </c>
      <c r="P840">
        <f>COUNTIF(Taostats_CSV!$X:$X,Taostats_CSV!$I840&amp;P$1)</f>
        <v>0</v>
      </c>
      <c r="Q840" t="b">
        <f t="shared" si="94"/>
        <v>0</v>
      </c>
      <c r="R840" t="b">
        <f>IF(LEN(K840)&gt;0,COUNTIF($K$3:K840,K840),FALSE)</f>
        <v>0</v>
      </c>
      <c r="S840" t="b">
        <f>IF(Taostats_CSV!A840=Taostats_CSV!$A$2,TRUE,Taostats_CSV!G840+Taostats_CSV!H840+Taostats_CSV!R840=0)</f>
        <v>0</v>
      </c>
      <c r="T840" t="b">
        <f t="shared" si="95"/>
        <v>1</v>
      </c>
      <c r="U840" t="b" cm="1">
        <f t="array" aca="1" ref="U840" ca="1">AND(T840,OR(O840-N840&gt;1,P840&gt;1,ISERROR(A840:P840)))</f>
        <v>0</v>
      </c>
      <c r="W840" t="e">
        <f>MATCH(K840&amp;$W$2,Taostats_CSV!$X$3:$X$1167,0)</f>
        <v>#N/A</v>
      </c>
      <c r="X840" t="e">
        <f t="shared" ca="1" si="90"/>
        <v>#VALUE!</v>
      </c>
      <c r="Y840">
        <f t="shared" ca="1" si="91"/>
        <v>0.148154702</v>
      </c>
      <c r="Z840" t="e">
        <f t="shared" ca="1" si="92"/>
        <v>#VALUE!</v>
      </c>
    </row>
    <row r="841" spans="1:26" x14ac:dyDescent="0.4">
      <c r="A841" t="str">
        <f>MID(Taostats_CSV!C841,6,2)&amp;"/"&amp;MID(Taostats_CSV!C841,9,2)&amp;"/"&amp;LEFT(Taostats_CSV!C841,4)&amp;" "&amp;MID(Taostats_CSV!C841,12,8)</f>
        <v>08/25/2025 23:59:48</v>
      </c>
      <c r="C841" t="str">
        <f ca="1">IF(Q841,OFFSET(Taostats_CSV!$E$1,MATCH(K841&amp;D$1,Taostats_CSV!$X:$X,0)-1,0),IF(Taostats_CSV!F841="fee",IF(VALUE(Taostats_CSV!G841)&gt;0,Taostats_CSV!E841,""),""))</f>
        <v/>
      </c>
      <c r="D841" t="str">
        <f ca="1">IF(Q841,OFFSET(Taostats_CSV!$G$1,MATCH(K841&amp;D$1,Taostats_CSV!$X:$X,0)-1,0),IF(Taostats_CSV!F841="fee",IF(VALUE(Taostats_CSV!G841)&gt;0,Taostats_CSV!G841,""),""))</f>
        <v/>
      </c>
      <c r="E841" t="str">
        <f ca="1">IF(AND(Q841,P841&gt;0),OFFSET(Taostats_CSV!$E$1,MATCH(K841&amp;F$1,Taostats_CSV!$X:$X,0)-1,0),IF(LEN(F841)&gt;0,Taostats_CSV!E841,""))</f>
        <v>TAO</v>
      </c>
      <c r="F841" t="str">
        <f ca="1">TRIM(IF(AND(Q841,P841&gt;0),OFFSET(Taostats_CSV!$H$1,MATCH(K841&amp;F$1,Taostats_CSV!$X:$X,0)-1,0),IF(LEN(Taostats_CSV!H841)&gt;0,Taostats_CSV!H841,Taostats_CSV!R841)))</f>
        <v>0.009554604</v>
      </c>
      <c r="G841" t="str">
        <f ca="1">IF(AND(Q841,N841=1),OFFSET(Taostats_CSV!$E$1,MATCH(K841&amp;H$1,Taostats_CSV!$X:$X,0)-1,0),"")</f>
        <v/>
      </c>
      <c r="H841" t="str">
        <f ca="1">IF(AND(Q841,N841=1),OFFSET(Taostats_CSV!$G$1,MATCH(K841&amp;H$1,Taostats_CSV!$X:$X,0)-1,0),"")</f>
        <v/>
      </c>
      <c r="I841" t="str">
        <f ca="1">IF(AND(LEN(K841)=0,LEN(F841)&gt;0),"Income",IF(AND(O841&gt;0,P841&gt;0,C841&lt;&gt;E841),"Trade",IF(AND(NOT(Q841),Taostats_CSV!F841="fee"),'READ ME'!$C$5,"")))</f>
        <v>Income</v>
      </c>
      <c r="J841" t="str">
        <f ca="1">SUBSTITUTE(IF(LEN(I841)=0,Taostats_CSV!F841&amp;" "&amp;Taostats_CSV!J841,IF(I841="Cost","Extrinsic fee","")),"_"," ")</f>
        <v/>
      </c>
      <c r="K841" t="str">
        <f>TRIM(IF(LEN(Taostats_CSV!I841)&gt;0,Taostats_CSV!I841,""))</f>
        <v/>
      </c>
      <c r="L841" t="str">
        <f>IF(Taostats_CSV!E841&lt;&gt;"TAO",IF(LEN(F841)&gt;0,F841,IF(LEN(D841)&gt;0,D841,0))*Taostats_CSV!P841,"")</f>
        <v/>
      </c>
      <c r="M841" t="str">
        <f t="shared" si="93"/>
        <v/>
      </c>
      <c r="N841">
        <f>COUNTIF(Taostats_CSV!$X:$X,Taostats_CSV!$I841&amp;N$1)</f>
        <v>0</v>
      </c>
      <c r="O841">
        <f>COUNTIF(Taostats_CSV!$X:$X,Taostats_CSV!$I841&amp;O$1)</f>
        <v>0</v>
      </c>
      <c r="P841">
        <f>COUNTIF(Taostats_CSV!$X:$X,Taostats_CSV!$I841&amp;P$1)</f>
        <v>0</v>
      </c>
      <c r="Q841" t="b">
        <f t="shared" si="94"/>
        <v>0</v>
      </c>
      <c r="R841" t="b">
        <f>IF(LEN(K841)&gt;0,COUNTIF($K$3:K841,K841),FALSE)</f>
        <v>0</v>
      </c>
      <c r="S841" t="b">
        <f>IF(Taostats_CSV!A841=Taostats_CSV!$A$2,TRUE,Taostats_CSV!G841+Taostats_CSV!H841+Taostats_CSV!R841=0)</f>
        <v>0</v>
      </c>
      <c r="T841" t="b">
        <f t="shared" si="95"/>
        <v>1</v>
      </c>
      <c r="U841" t="b" cm="1">
        <f t="array" aca="1" ref="U841" ca="1">AND(T841,OR(O841-N841&gt;1,P841&gt;1,ISERROR(A841:P841)))</f>
        <v>0</v>
      </c>
      <c r="W841" t="e">
        <f>MATCH(K841&amp;$W$2,Taostats_CSV!$X$3:$X$1167,0)</f>
        <v>#N/A</v>
      </c>
      <c r="X841" t="e">
        <f t="shared" ca="1" si="90"/>
        <v>#VALUE!</v>
      </c>
      <c r="Y841">
        <f t="shared" ca="1" si="91"/>
        <v>9.5546039999999995E-3</v>
      </c>
      <c r="Z841" t="e">
        <f t="shared" ca="1" si="92"/>
        <v>#VALUE!</v>
      </c>
    </row>
    <row r="842" spans="1:26" x14ac:dyDescent="0.4">
      <c r="A842" t="str">
        <f>MID(Taostats_CSV!C842,6,2)&amp;"/"&amp;MID(Taostats_CSV!C842,9,2)&amp;"/"&amp;LEFT(Taostats_CSV!C842,4)&amp;" "&amp;MID(Taostats_CSV!C842,12,8)</f>
        <v>08/26/2025 23:59:48</v>
      </c>
      <c r="C842" t="str">
        <f ca="1">IF(Q842,OFFSET(Taostats_CSV!$E$1,MATCH(K842&amp;D$1,Taostats_CSV!$X:$X,0)-1,0),IF(Taostats_CSV!F842="fee",IF(VALUE(Taostats_CSV!G842)&gt;0,Taostats_CSV!E842,""),""))</f>
        <v/>
      </c>
      <c r="D842" t="str">
        <f ca="1">IF(Q842,OFFSET(Taostats_CSV!$G$1,MATCH(K842&amp;D$1,Taostats_CSV!$X:$X,0)-1,0),IF(Taostats_CSV!F842="fee",IF(VALUE(Taostats_CSV!G842)&gt;0,Taostats_CSV!G842,""),""))</f>
        <v/>
      </c>
      <c r="E842" t="str">
        <f ca="1">IF(AND(Q842,P842&gt;0),OFFSET(Taostats_CSV!$E$1,MATCH(K842&amp;F$1,Taostats_CSV!$X:$X,0)-1,0),IF(LEN(F842)&gt;0,Taostats_CSV!E842,""))</f>
        <v>SN3</v>
      </c>
      <c r="F842" t="str">
        <f ca="1">TRIM(IF(AND(Q842,P842&gt;0),OFFSET(Taostats_CSV!$H$1,MATCH(K842&amp;F$1,Taostats_CSV!$X:$X,0)-1,0),IF(LEN(Taostats_CSV!H842)&gt;0,Taostats_CSV!H842,Taostats_CSV!R842)))</f>
        <v>0.428136755</v>
      </c>
      <c r="G842" t="str">
        <f ca="1">IF(AND(Q842,N842=1),OFFSET(Taostats_CSV!$E$1,MATCH(K842&amp;H$1,Taostats_CSV!$X:$X,0)-1,0),"")</f>
        <v/>
      </c>
      <c r="H842" t="str">
        <f ca="1">IF(AND(Q842,N842=1),OFFSET(Taostats_CSV!$G$1,MATCH(K842&amp;H$1,Taostats_CSV!$X:$X,0)-1,0),"")</f>
        <v/>
      </c>
      <c r="I842" t="str">
        <f ca="1">IF(AND(LEN(K842)=0,LEN(F842)&gt;0),"Income",IF(AND(O842&gt;0,P842&gt;0,C842&lt;&gt;E842),"Trade",IF(AND(NOT(Q842),Taostats_CSV!F842="fee"),'READ ME'!$C$5,"")))</f>
        <v>Income</v>
      </c>
      <c r="J842" t="str">
        <f ca="1">SUBSTITUTE(IF(LEN(I842)=0,Taostats_CSV!F842&amp;" "&amp;Taostats_CSV!J842,IF(I842="Cost","Extrinsic fee","")),"_"," ")</f>
        <v/>
      </c>
      <c r="K842" t="str">
        <f>TRIM(IF(LEN(Taostats_CSV!I842)&gt;0,Taostats_CSV!I842,""))</f>
        <v/>
      </c>
      <c r="L842">
        <f ca="1">IF(Taostats_CSV!E842&lt;&gt;"TAO",IF(LEN(F842)&gt;0,F842,IF(LEN(D842)&gt;0,D842,0))*Taostats_CSV!P842,"")</f>
        <v>6.6421096172250147</v>
      </c>
      <c r="M842" t="str">
        <f t="shared" ca="1" si="93"/>
        <v>USD</v>
      </c>
      <c r="N842">
        <f>COUNTIF(Taostats_CSV!$X:$X,Taostats_CSV!$I842&amp;N$1)</f>
        <v>0</v>
      </c>
      <c r="O842">
        <f>COUNTIF(Taostats_CSV!$X:$X,Taostats_CSV!$I842&amp;O$1)</f>
        <v>0</v>
      </c>
      <c r="P842">
        <f>COUNTIF(Taostats_CSV!$X:$X,Taostats_CSV!$I842&amp;P$1)</f>
        <v>0</v>
      </c>
      <c r="Q842" t="b">
        <f t="shared" si="94"/>
        <v>0</v>
      </c>
      <c r="R842" t="b">
        <f>IF(LEN(K842)&gt;0,COUNTIF($K$3:K842,K842),FALSE)</f>
        <v>0</v>
      </c>
      <c r="S842" t="b">
        <f>IF(Taostats_CSV!A842=Taostats_CSV!$A$2,TRUE,Taostats_CSV!G842+Taostats_CSV!H842+Taostats_CSV!R842=0)</f>
        <v>0</v>
      </c>
      <c r="T842" t="b">
        <f t="shared" si="95"/>
        <v>1</v>
      </c>
      <c r="U842" t="b" cm="1">
        <f t="array" aca="1" ref="U842" ca="1">AND(T842,OR(O842-N842&gt;1,P842&gt;1,ISERROR(A842:P842)))</f>
        <v>0</v>
      </c>
      <c r="W842" t="e">
        <f>MATCH(K842&amp;$W$2,Taostats_CSV!$X$3:$X$1167,0)</f>
        <v>#N/A</v>
      </c>
      <c r="X842" t="e">
        <f t="shared" ca="1" si="90"/>
        <v>#VALUE!</v>
      </c>
      <c r="Y842">
        <f t="shared" ca="1" si="91"/>
        <v>0.42813675499999998</v>
      </c>
      <c r="Z842" t="e">
        <f t="shared" ca="1" si="92"/>
        <v>#VALUE!</v>
      </c>
    </row>
    <row r="843" spans="1:26" x14ac:dyDescent="0.4">
      <c r="A843" t="str">
        <f>MID(Taostats_CSV!C843,6,2)&amp;"/"&amp;MID(Taostats_CSV!C843,9,2)&amp;"/"&amp;LEFT(Taostats_CSV!C843,4)&amp;" "&amp;MID(Taostats_CSV!C843,12,8)</f>
        <v>08/26/2025 23:59:48</v>
      </c>
      <c r="C843" t="str">
        <f ca="1">IF(Q843,OFFSET(Taostats_CSV!$E$1,MATCH(K843&amp;D$1,Taostats_CSV!$X:$X,0)-1,0),IF(Taostats_CSV!F843="fee",IF(VALUE(Taostats_CSV!G843)&gt;0,Taostats_CSV!E843,""),""))</f>
        <v/>
      </c>
      <c r="D843" t="str">
        <f ca="1">IF(Q843,OFFSET(Taostats_CSV!$G$1,MATCH(K843&amp;D$1,Taostats_CSV!$X:$X,0)-1,0),IF(Taostats_CSV!F843="fee",IF(VALUE(Taostats_CSV!G843)&gt;0,Taostats_CSV!G843,""),""))</f>
        <v/>
      </c>
      <c r="E843" t="str">
        <f ca="1">IF(AND(Q843,P843&gt;0),OFFSET(Taostats_CSV!$E$1,MATCH(K843&amp;F$1,Taostats_CSV!$X:$X,0)-1,0),IF(LEN(F843)&gt;0,Taostats_CSV!E843,""))</f>
        <v>SN4</v>
      </c>
      <c r="F843" t="str">
        <f ca="1">TRIM(IF(AND(Q843,P843&gt;0),OFFSET(Taostats_CSV!$H$1,MATCH(K843&amp;F$1,Taostats_CSV!$X:$X,0)-1,0),IF(LEN(Taostats_CSV!H843)&gt;0,Taostats_CSV!H843,Taostats_CSV!R843)))</f>
        <v>0.441843015</v>
      </c>
      <c r="G843" t="str">
        <f ca="1">IF(AND(Q843,N843=1),OFFSET(Taostats_CSV!$E$1,MATCH(K843&amp;H$1,Taostats_CSV!$X:$X,0)-1,0),"")</f>
        <v/>
      </c>
      <c r="H843" t="str">
        <f ca="1">IF(AND(Q843,N843=1),OFFSET(Taostats_CSV!$G$1,MATCH(K843&amp;H$1,Taostats_CSV!$X:$X,0)-1,0),"")</f>
        <v/>
      </c>
      <c r="I843" t="str">
        <f ca="1">IF(AND(LEN(K843)=0,LEN(F843)&gt;0),"Income",IF(AND(O843&gt;0,P843&gt;0,C843&lt;&gt;E843),"Trade",IF(AND(NOT(Q843),Taostats_CSV!F843="fee"),'READ ME'!$C$5,"")))</f>
        <v>Income</v>
      </c>
      <c r="J843" t="str">
        <f ca="1">SUBSTITUTE(IF(LEN(I843)=0,Taostats_CSV!F843&amp;" "&amp;Taostats_CSV!J843,IF(I843="Cost","Extrinsic fee","")),"_"," ")</f>
        <v/>
      </c>
      <c r="K843" t="str">
        <f>TRIM(IF(LEN(Taostats_CSV!I843)&gt;0,Taostats_CSV!I843,""))</f>
        <v/>
      </c>
      <c r="L843">
        <f ca="1">IF(Taostats_CSV!E843&lt;&gt;"TAO",IF(LEN(F843)&gt;0,F843,IF(LEN(D843)&gt;0,D843,0))*Taostats_CSV!P843,"")</f>
        <v>7.0302120989402272</v>
      </c>
      <c r="M843" t="str">
        <f t="shared" ca="1" si="93"/>
        <v>USD</v>
      </c>
      <c r="N843">
        <f>COUNTIF(Taostats_CSV!$X:$X,Taostats_CSV!$I843&amp;N$1)</f>
        <v>0</v>
      </c>
      <c r="O843">
        <f>COUNTIF(Taostats_CSV!$X:$X,Taostats_CSV!$I843&amp;O$1)</f>
        <v>0</v>
      </c>
      <c r="P843">
        <f>COUNTIF(Taostats_CSV!$X:$X,Taostats_CSV!$I843&amp;P$1)</f>
        <v>0</v>
      </c>
      <c r="Q843" t="b">
        <f t="shared" si="94"/>
        <v>0</v>
      </c>
      <c r="R843" t="b">
        <f>IF(LEN(K843)&gt;0,COUNTIF($K$3:K843,K843),FALSE)</f>
        <v>0</v>
      </c>
      <c r="S843" t="b">
        <f>IF(Taostats_CSV!A843=Taostats_CSV!$A$2,TRUE,Taostats_CSV!G843+Taostats_CSV!H843+Taostats_CSV!R843=0)</f>
        <v>0</v>
      </c>
      <c r="T843" t="b">
        <f t="shared" si="95"/>
        <v>1</v>
      </c>
      <c r="U843" t="b" cm="1">
        <f t="array" aca="1" ref="U843" ca="1">AND(T843,OR(O843-N843&gt;1,P843&gt;1,ISERROR(A843:P843)))</f>
        <v>0</v>
      </c>
      <c r="W843" t="e">
        <f>MATCH(K843&amp;$W$2,Taostats_CSV!$X$3:$X$1167,0)</f>
        <v>#N/A</v>
      </c>
      <c r="X843" t="e">
        <f t="shared" ca="1" si="90"/>
        <v>#VALUE!</v>
      </c>
      <c r="Y843">
        <f t="shared" ca="1" si="91"/>
        <v>0.44184301500000001</v>
      </c>
      <c r="Z843" t="e">
        <f t="shared" ca="1" si="92"/>
        <v>#VALUE!</v>
      </c>
    </row>
    <row r="844" spans="1:26" x14ac:dyDescent="0.4">
      <c r="A844" t="str">
        <f>MID(Taostats_CSV!C844,6,2)&amp;"/"&amp;MID(Taostats_CSV!C844,9,2)&amp;"/"&amp;LEFT(Taostats_CSV!C844,4)&amp;" "&amp;MID(Taostats_CSV!C844,12,8)</f>
        <v>08/26/2025 23:59:48</v>
      </c>
      <c r="C844" t="str">
        <f ca="1">IF(Q844,OFFSET(Taostats_CSV!$E$1,MATCH(K844&amp;D$1,Taostats_CSV!$X:$X,0)-1,0),IF(Taostats_CSV!F844="fee",IF(VALUE(Taostats_CSV!G844)&gt;0,Taostats_CSV!E844,""),""))</f>
        <v/>
      </c>
      <c r="D844" t="str">
        <f ca="1">IF(Q844,OFFSET(Taostats_CSV!$G$1,MATCH(K844&amp;D$1,Taostats_CSV!$X:$X,0)-1,0),IF(Taostats_CSV!F844="fee",IF(VALUE(Taostats_CSV!G844)&gt;0,Taostats_CSV!G844,""),""))</f>
        <v/>
      </c>
      <c r="E844" t="str">
        <f ca="1">IF(AND(Q844,P844&gt;0),OFFSET(Taostats_CSV!$E$1,MATCH(K844&amp;F$1,Taostats_CSV!$X:$X,0)-1,0),IF(LEN(F844)&gt;0,Taostats_CSV!E844,""))</f>
        <v>SN56</v>
      </c>
      <c r="F844" t="str">
        <f ca="1">TRIM(IF(AND(Q844,P844&gt;0),OFFSET(Taostats_CSV!$H$1,MATCH(K844&amp;F$1,Taostats_CSV!$X:$X,0)-1,0),IF(LEN(Taostats_CSV!H844)&gt;0,Taostats_CSV!H844,Taostats_CSV!R844)))</f>
        <v>0.288235811</v>
      </c>
      <c r="G844" t="str">
        <f ca="1">IF(AND(Q844,N844=1),OFFSET(Taostats_CSV!$E$1,MATCH(K844&amp;H$1,Taostats_CSV!$X:$X,0)-1,0),"")</f>
        <v/>
      </c>
      <c r="H844" t="str">
        <f ca="1">IF(AND(Q844,N844=1),OFFSET(Taostats_CSV!$G$1,MATCH(K844&amp;H$1,Taostats_CSV!$X:$X,0)-1,0),"")</f>
        <v/>
      </c>
      <c r="I844" t="str">
        <f ca="1">IF(AND(LEN(K844)=0,LEN(F844)&gt;0),"Income",IF(AND(O844&gt;0,P844&gt;0,C844&lt;&gt;E844),"Trade",IF(AND(NOT(Q844),Taostats_CSV!F844="fee"),'READ ME'!$C$5,"")))</f>
        <v>Income</v>
      </c>
      <c r="J844" t="str">
        <f ca="1">SUBSTITUTE(IF(LEN(I844)=0,Taostats_CSV!F844&amp;" "&amp;Taostats_CSV!J844,IF(I844="Cost","Extrinsic fee","")),"_"," ")</f>
        <v/>
      </c>
      <c r="K844" t="str">
        <f>TRIM(IF(LEN(Taostats_CSV!I844)&gt;0,Taostats_CSV!I844,""))</f>
        <v/>
      </c>
      <c r="L844">
        <f ca="1">IF(Taostats_CSV!E844&lt;&gt;"TAO",IF(LEN(F844)&gt;0,F844,IF(LEN(D844)&gt;0,D844,0))*Taostats_CSV!P844,"")</f>
        <v>3.8776603489460055</v>
      </c>
      <c r="M844" t="str">
        <f t="shared" ca="1" si="93"/>
        <v>USD</v>
      </c>
      <c r="N844">
        <f>COUNTIF(Taostats_CSV!$X:$X,Taostats_CSV!$I844&amp;N$1)</f>
        <v>0</v>
      </c>
      <c r="O844">
        <f>COUNTIF(Taostats_CSV!$X:$X,Taostats_CSV!$I844&amp;O$1)</f>
        <v>0</v>
      </c>
      <c r="P844">
        <f>COUNTIF(Taostats_CSV!$X:$X,Taostats_CSV!$I844&amp;P$1)</f>
        <v>0</v>
      </c>
      <c r="Q844" t="b">
        <f t="shared" si="94"/>
        <v>0</v>
      </c>
      <c r="R844" t="b">
        <f>IF(LEN(K844)&gt;0,COUNTIF($K$3:K844,K844),FALSE)</f>
        <v>0</v>
      </c>
      <c r="S844" t="b">
        <f>IF(Taostats_CSV!A844=Taostats_CSV!$A$2,TRUE,Taostats_CSV!G844+Taostats_CSV!H844+Taostats_CSV!R844=0)</f>
        <v>0</v>
      </c>
      <c r="T844" t="b">
        <f t="shared" si="95"/>
        <v>1</v>
      </c>
      <c r="U844" t="b" cm="1">
        <f t="array" aca="1" ref="U844" ca="1">AND(T844,OR(O844-N844&gt;1,P844&gt;1,ISERROR(A844:P844)))</f>
        <v>0</v>
      </c>
      <c r="W844" t="e">
        <f>MATCH(K844&amp;$W$2,Taostats_CSV!$X$3:$X$1167,0)</f>
        <v>#N/A</v>
      </c>
      <c r="X844" t="e">
        <f t="shared" ca="1" si="90"/>
        <v>#VALUE!</v>
      </c>
      <c r="Y844">
        <f t="shared" ca="1" si="91"/>
        <v>0.28823581100000001</v>
      </c>
      <c r="Z844" t="e">
        <f t="shared" ca="1" si="92"/>
        <v>#VALUE!</v>
      </c>
    </row>
    <row r="845" spans="1:26" x14ac:dyDescent="0.4">
      <c r="A845" t="str">
        <f>MID(Taostats_CSV!C845,6,2)&amp;"/"&amp;MID(Taostats_CSV!C845,9,2)&amp;"/"&amp;LEFT(Taostats_CSV!C845,4)&amp;" "&amp;MID(Taostats_CSV!C845,12,8)</f>
        <v>08/26/2025 23:59:48</v>
      </c>
      <c r="C845" t="str">
        <f ca="1">IF(Q845,OFFSET(Taostats_CSV!$E$1,MATCH(K845&amp;D$1,Taostats_CSV!$X:$X,0)-1,0),IF(Taostats_CSV!F845="fee",IF(VALUE(Taostats_CSV!G845)&gt;0,Taostats_CSV!E845,""),""))</f>
        <v/>
      </c>
      <c r="D845" t="str">
        <f ca="1">IF(Q845,OFFSET(Taostats_CSV!$G$1,MATCH(K845&amp;D$1,Taostats_CSV!$X:$X,0)-1,0),IF(Taostats_CSV!F845="fee",IF(VALUE(Taostats_CSV!G845)&gt;0,Taostats_CSV!G845,""),""))</f>
        <v/>
      </c>
      <c r="E845" t="str">
        <f ca="1">IF(AND(Q845,P845&gt;0),OFFSET(Taostats_CSV!$E$1,MATCH(K845&amp;F$1,Taostats_CSV!$X:$X,0)-1,0),IF(LEN(F845)&gt;0,Taostats_CSV!E845,""))</f>
        <v>SN64</v>
      </c>
      <c r="F845" t="str">
        <f ca="1">TRIM(IF(AND(Q845,P845&gt;0),OFFSET(Taostats_CSV!$H$1,MATCH(K845&amp;F$1,Taostats_CSV!$X:$X,0)-1,0),IF(LEN(Taostats_CSV!H845)&gt;0,Taostats_CSV!H845,Taostats_CSV!R845)))</f>
        <v>0.149845535</v>
      </c>
      <c r="G845" t="str">
        <f ca="1">IF(AND(Q845,N845=1),OFFSET(Taostats_CSV!$E$1,MATCH(K845&amp;H$1,Taostats_CSV!$X:$X,0)-1,0),"")</f>
        <v/>
      </c>
      <c r="H845" t="str">
        <f ca="1">IF(AND(Q845,N845=1),OFFSET(Taostats_CSV!$G$1,MATCH(K845&amp;H$1,Taostats_CSV!$X:$X,0)-1,0),"")</f>
        <v/>
      </c>
      <c r="I845" t="str">
        <f ca="1">IF(AND(LEN(K845)=0,LEN(F845)&gt;0),"Income",IF(AND(O845&gt;0,P845&gt;0,C845&lt;&gt;E845),"Trade",IF(AND(NOT(Q845),Taostats_CSV!F845="fee"),'READ ME'!$C$5,"")))</f>
        <v>Income</v>
      </c>
      <c r="J845" t="str">
        <f ca="1">SUBSTITUTE(IF(LEN(I845)=0,Taostats_CSV!F845&amp;" "&amp;Taostats_CSV!J845,IF(I845="Cost","Extrinsic fee","")),"_"," ")</f>
        <v/>
      </c>
      <c r="K845" t="str">
        <f>TRIM(IF(LEN(Taostats_CSV!I845)&gt;0,Taostats_CSV!I845,""))</f>
        <v/>
      </c>
      <c r="L845">
        <f ca="1">IF(Taostats_CSV!E845&lt;&gt;"TAO",IF(LEN(F845)&gt;0,F845,IF(LEN(D845)&gt;0,D845,0))*Taostats_CSV!P845,"")</f>
        <v>5.1382640943014897</v>
      </c>
      <c r="M845" t="str">
        <f t="shared" ca="1" si="93"/>
        <v>USD</v>
      </c>
      <c r="N845">
        <f>COUNTIF(Taostats_CSV!$X:$X,Taostats_CSV!$I845&amp;N$1)</f>
        <v>0</v>
      </c>
      <c r="O845">
        <f>COUNTIF(Taostats_CSV!$X:$X,Taostats_CSV!$I845&amp;O$1)</f>
        <v>0</v>
      </c>
      <c r="P845">
        <f>COUNTIF(Taostats_CSV!$X:$X,Taostats_CSV!$I845&amp;P$1)</f>
        <v>0</v>
      </c>
      <c r="Q845" t="b">
        <f t="shared" si="94"/>
        <v>0</v>
      </c>
      <c r="R845" t="b">
        <f>IF(LEN(K845)&gt;0,COUNTIF($K$3:K845,K845),FALSE)</f>
        <v>0</v>
      </c>
      <c r="S845" t="b">
        <f>IF(Taostats_CSV!A845=Taostats_CSV!$A$2,TRUE,Taostats_CSV!G845+Taostats_CSV!H845+Taostats_CSV!R845=0)</f>
        <v>0</v>
      </c>
      <c r="T845" t="b">
        <f t="shared" si="95"/>
        <v>1</v>
      </c>
      <c r="U845" t="b" cm="1">
        <f t="array" aca="1" ref="U845" ca="1">AND(T845,OR(O845-N845&gt;1,P845&gt;1,ISERROR(A845:P845)))</f>
        <v>0</v>
      </c>
      <c r="W845" t="e">
        <f>MATCH(K845&amp;$W$2,Taostats_CSV!$X$3:$X$1167,0)</f>
        <v>#N/A</v>
      </c>
      <c r="X845" t="e">
        <f t="shared" ca="1" si="90"/>
        <v>#VALUE!</v>
      </c>
      <c r="Y845">
        <f t="shared" ca="1" si="91"/>
        <v>0.149845535</v>
      </c>
      <c r="Z845" t="e">
        <f t="shared" ca="1" si="92"/>
        <v>#VALUE!</v>
      </c>
    </row>
    <row r="846" spans="1:26" x14ac:dyDescent="0.4">
      <c r="A846" t="str">
        <f>MID(Taostats_CSV!C846,6,2)&amp;"/"&amp;MID(Taostats_CSV!C846,9,2)&amp;"/"&amp;LEFT(Taostats_CSV!C846,4)&amp;" "&amp;MID(Taostats_CSV!C846,12,8)</f>
        <v>08/26/2025 23:59:48</v>
      </c>
      <c r="C846" t="str">
        <f ca="1">IF(Q846,OFFSET(Taostats_CSV!$E$1,MATCH(K846&amp;D$1,Taostats_CSV!$X:$X,0)-1,0),IF(Taostats_CSV!F846="fee",IF(VALUE(Taostats_CSV!G846)&gt;0,Taostats_CSV!E846,""),""))</f>
        <v/>
      </c>
      <c r="D846" t="str">
        <f ca="1">IF(Q846,OFFSET(Taostats_CSV!$G$1,MATCH(K846&amp;D$1,Taostats_CSV!$X:$X,0)-1,0),IF(Taostats_CSV!F846="fee",IF(VALUE(Taostats_CSV!G846)&gt;0,Taostats_CSV!G846,""),""))</f>
        <v/>
      </c>
      <c r="E846" t="str">
        <f ca="1">IF(AND(Q846,P846&gt;0),OFFSET(Taostats_CSV!$E$1,MATCH(K846&amp;F$1,Taostats_CSV!$X:$X,0)-1,0),IF(LEN(F846)&gt;0,Taostats_CSV!E846,""))</f>
        <v>TAO</v>
      </c>
      <c r="F846" t="str">
        <f ca="1">TRIM(IF(AND(Q846,P846&gt;0),OFFSET(Taostats_CSV!$H$1,MATCH(K846&amp;F$1,Taostats_CSV!$X:$X,0)-1,0),IF(LEN(Taostats_CSV!H846)&gt;0,Taostats_CSV!H846,Taostats_CSV!R846)))</f>
        <v>0.010110382</v>
      </c>
      <c r="G846" t="str">
        <f ca="1">IF(AND(Q846,N846=1),OFFSET(Taostats_CSV!$E$1,MATCH(K846&amp;H$1,Taostats_CSV!$X:$X,0)-1,0),"")</f>
        <v/>
      </c>
      <c r="H846" t="str">
        <f ca="1">IF(AND(Q846,N846=1),OFFSET(Taostats_CSV!$G$1,MATCH(K846&amp;H$1,Taostats_CSV!$X:$X,0)-1,0),"")</f>
        <v/>
      </c>
      <c r="I846" t="str">
        <f ca="1">IF(AND(LEN(K846)=0,LEN(F846)&gt;0),"Income",IF(AND(O846&gt;0,P846&gt;0,C846&lt;&gt;E846),"Trade",IF(AND(NOT(Q846),Taostats_CSV!F846="fee"),'READ ME'!$C$5,"")))</f>
        <v>Income</v>
      </c>
      <c r="J846" t="str">
        <f ca="1">SUBSTITUTE(IF(LEN(I846)=0,Taostats_CSV!F846&amp;" "&amp;Taostats_CSV!J846,IF(I846="Cost","Extrinsic fee","")),"_"," ")</f>
        <v/>
      </c>
      <c r="K846" t="str">
        <f>TRIM(IF(LEN(Taostats_CSV!I846)&gt;0,Taostats_CSV!I846,""))</f>
        <v/>
      </c>
      <c r="L846" t="str">
        <f>IF(Taostats_CSV!E846&lt;&gt;"TAO",IF(LEN(F846)&gt;0,F846,IF(LEN(D846)&gt;0,D846,0))*Taostats_CSV!P846,"")</f>
        <v/>
      </c>
      <c r="M846" t="str">
        <f t="shared" si="93"/>
        <v/>
      </c>
      <c r="N846">
        <f>COUNTIF(Taostats_CSV!$X:$X,Taostats_CSV!$I846&amp;N$1)</f>
        <v>0</v>
      </c>
      <c r="O846">
        <f>COUNTIF(Taostats_CSV!$X:$X,Taostats_CSV!$I846&amp;O$1)</f>
        <v>0</v>
      </c>
      <c r="P846">
        <f>COUNTIF(Taostats_CSV!$X:$X,Taostats_CSV!$I846&amp;P$1)</f>
        <v>0</v>
      </c>
      <c r="Q846" t="b">
        <f t="shared" si="94"/>
        <v>0</v>
      </c>
      <c r="R846" t="b">
        <f>IF(LEN(K846)&gt;0,COUNTIF($K$3:K846,K846),FALSE)</f>
        <v>0</v>
      </c>
      <c r="S846" t="b">
        <f>IF(Taostats_CSV!A846=Taostats_CSV!$A$2,TRUE,Taostats_CSV!G846+Taostats_CSV!H846+Taostats_CSV!R846=0)</f>
        <v>0</v>
      </c>
      <c r="T846" t="b">
        <f t="shared" si="95"/>
        <v>1</v>
      </c>
      <c r="U846" t="b" cm="1">
        <f t="array" aca="1" ref="U846" ca="1">AND(T846,OR(O846-N846&gt;1,P846&gt;1,ISERROR(A846:P846)))</f>
        <v>0</v>
      </c>
      <c r="W846" t="e">
        <f>MATCH(K846&amp;$W$2,Taostats_CSV!$X$3:$X$1167,0)</f>
        <v>#N/A</v>
      </c>
      <c r="X846" t="e">
        <f t="shared" ca="1" si="90"/>
        <v>#VALUE!</v>
      </c>
      <c r="Y846">
        <f t="shared" ca="1" si="91"/>
        <v>1.0110381999999999E-2</v>
      </c>
      <c r="Z846" t="e">
        <f t="shared" ca="1" si="92"/>
        <v>#VALUE!</v>
      </c>
    </row>
    <row r="847" spans="1:26" x14ac:dyDescent="0.4">
      <c r="A847" t="str">
        <f>MID(Taostats_CSV!C847,6,2)&amp;"/"&amp;MID(Taostats_CSV!C847,9,2)&amp;"/"&amp;LEFT(Taostats_CSV!C847,4)&amp;" "&amp;MID(Taostats_CSV!C847,12,8)</f>
        <v>08/27/2025 23:59:48</v>
      </c>
      <c r="C847" t="str">
        <f ca="1">IF(Q847,OFFSET(Taostats_CSV!$E$1,MATCH(K847&amp;D$1,Taostats_CSV!$X:$X,0)-1,0),IF(Taostats_CSV!F847="fee",IF(VALUE(Taostats_CSV!G847)&gt;0,Taostats_CSV!E847,""),""))</f>
        <v/>
      </c>
      <c r="D847" t="str">
        <f ca="1">IF(Q847,OFFSET(Taostats_CSV!$G$1,MATCH(K847&amp;D$1,Taostats_CSV!$X:$X,0)-1,0),IF(Taostats_CSV!F847="fee",IF(VALUE(Taostats_CSV!G847)&gt;0,Taostats_CSV!G847,""),""))</f>
        <v/>
      </c>
      <c r="E847" t="str">
        <f ca="1">IF(AND(Q847,P847&gt;0),OFFSET(Taostats_CSV!$E$1,MATCH(K847&amp;F$1,Taostats_CSV!$X:$X,0)-1,0),IF(LEN(F847)&gt;0,Taostats_CSV!E847,""))</f>
        <v>SN3</v>
      </c>
      <c r="F847" t="str">
        <f ca="1">TRIM(IF(AND(Q847,P847&gt;0),OFFSET(Taostats_CSV!$H$1,MATCH(K847&amp;F$1,Taostats_CSV!$X:$X,0)-1,0),IF(LEN(Taostats_CSV!H847)&gt;0,Taostats_CSV!H847,Taostats_CSV!R847)))</f>
        <v>0.430190128</v>
      </c>
      <c r="G847" t="str">
        <f ca="1">IF(AND(Q847,N847=1),OFFSET(Taostats_CSV!$E$1,MATCH(K847&amp;H$1,Taostats_CSV!$X:$X,0)-1,0),"")</f>
        <v/>
      </c>
      <c r="H847" t="str">
        <f ca="1">IF(AND(Q847,N847=1),OFFSET(Taostats_CSV!$G$1,MATCH(K847&amp;H$1,Taostats_CSV!$X:$X,0)-1,0),"")</f>
        <v/>
      </c>
      <c r="I847" t="str">
        <f ca="1">IF(AND(LEN(K847)=0,LEN(F847)&gt;0),"Income",IF(AND(O847&gt;0,P847&gt;0,C847&lt;&gt;E847),"Trade",IF(AND(NOT(Q847),Taostats_CSV!F847="fee"),'READ ME'!$C$5,"")))</f>
        <v>Income</v>
      </c>
      <c r="J847" t="str">
        <f ca="1">SUBSTITUTE(IF(LEN(I847)=0,Taostats_CSV!F847&amp;" "&amp;Taostats_CSV!J847,IF(I847="Cost","Extrinsic fee","")),"_"," ")</f>
        <v/>
      </c>
      <c r="K847" t="str">
        <f>TRIM(IF(LEN(Taostats_CSV!I847)&gt;0,Taostats_CSV!I847,""))</f>
        <v/>
      </c>
      <c r="L847">
        <f ca="1">IF(Taostats_CSV!E847&lt;&gt;"TAO",IF(LEN(F847)&gt;0,F847,IF(LEN(D847)&gt;0,D847,0))*Taostats_CSV!P847,"")</f>
        <v>6.4981207837271207</v>
      </c>
      <c r="M847" t="str">
        <f t="shared" ca="1" si="93"/>
        <v>USD</v>
      </c>
      <c r="N847">
        <f>COUNTIF(Taostats_CSV!$X:$X,Taostats_CSV!$I847&amp;N$1)</f>
        <v>0</v>
      </c>
      <c r="O847">
        <f>COUNTIF(Taostats_CSV!$X:$X,Taostats_CSV!$I847&amp;O$1)</f>
        <v>0</v>
      </c>
      <c r="P847">
        <f>COUNTIF(Taostats_CSV!$X:$X,Taostats_CSV!$I847&amp;P$1)</f>
        <v>0</v>
      </c>
      <c r="Q847" t="b">
        <f t="shared" si="94"/>
        <v>0</v>
      </c>
      <c r="R847" t="b">
        <f>IF(LEN(K847)&gt;0,COUNTIF($K$3:K847,K847),FALSE)</f>
        <v>0</v>
      </c>
      <c r="S847" t="b">
        <f>IF(Taostats_CSV!A847=Taostats_CSV!$A$2,TRUE,Taostats_CSV!G847+Taostats_CSV!H847+Taostats_CSV!R847=0)</f>
        <v>0</v>
      </c>
      <c r="T847" t="b">
        <f t="shared" si="95"/>
        <v>1</v>
      </c>
      <c r="U847" t="b" cm="1">
        <f t="array" aca="1" ref="U847" ca="1">AND(T847,OR(O847-N847&gt;1,P847&gt;1,ISERROR(A847:P847)))</f>
        <v>0</v>
      </c>
      <c r="W847" t="e">
        <f>MATCH(K847&amp;$W$2,Taostats_CSV!$X$3:$X$1167,0)</f>
        <v>#N/A</v>
      </c>
      <c r="X847" t="e">
        <f t="shared" ca="1" si="90"/>
        <v>#VALUE!</v>
      </c>
      <c r="Y847">
        <f t="shared" ca="1" si="91"/>
        <v>0.430190128</v>
      </c>
      <c r="Z847" t="e">
        <f t="shared" ca="1" si="92"/>
        <v>#VALUE!</v>
      </c>
    </row>
    <row r="848" spans="1:26" x14ac:dyDescent="0.4">
      <c r="A848" t="str">
        <f>MID(Taostats_CSV!C848,6,2)&amp;"/"&amp;MID(Taostats_CSV!C848,9,2)&amp;"/"&amp;LEFT(Taostats_CSV!C848,4)&amp;" "&amp;MID(Taostats_CSV!C848,12,8)</f>
        <v>08/27/2025 23:59:48</v>
      </c>
      <c r="C848" t="str">
        <f ca="1">IF(Q848,OFFSET(Taostats_CSV!$E$1,MATCH(K848&amp;D$1,Taostats_CSV!$X:$X,0)-1,0),IF(Taostats_CSV!F848="fee",IF(VALUE(Taostats_CSV!G848)&gt;0,Taostats_CSV!E848,""),""))</f>
        <v/>
      </c>
      <c r="D848" t="str">
        <f ca="1">IF(Q848,OFFSET(Taostats_CSV!$G$1,MATCH(K848&amp;D$1,Taostats_CSV!$X:$X,0)-1,0),IF(Taostats_CSV!F848="fee",IF(VALUE(Taostats_CSV!G848)&gt;0,Taostats_CSV!G848,""),""))</f>
        <v/>
      </c>
      <c r="E848" t="str">
        <f ca="1">IF(AND(Q848,P848&gt;0),OFFSET(Taostats_CSV!$E$1,MATCH(K848&amp;F$1,Taostats_CSV!$X:$X,0)-1,0),IF(LEN(F848)&gt;0,Taostats_CSV!E848,""))</f>
        <v>SN4</v>
      </c>
      <c r="F848" t="str">
        <f ca="1">TRIM(IF(AND(Q848,P848&gt;0),OFFSET(Taostats_CSV!$H$1,MATCH(K848&amp;F$1,Taostats_CSV!$X:$X,0)-1,0),IF(LEN(Taostats_CSV!H848)&gt;0,Taostats_CSV!H848,Taostats_CSV!R848)))</f>
        <v>0.442586685</v>
      </c>
      <c r="G848" t="str">
        <f ca="1">IF(AND(Q848,N848=1),OFFSET(Taostats_CSV!$E$1,MATCH(K848&amp;H$1,Taostats_CSV!$X:$X,0)-1,0),"")</f>
        <v/>
      </c>
      <c r="H848" t="str">
        <f ca="1">IF(AND(Q848,N848=1),OFFSET(Taostats_CSV!$G$1,MATCH(K848&amp;H$1,Taostats_CSV!$X:$X,0)-1,0),"")</f>
        <v/>
      </c>
      <c r="I848" t="str">
        <f ca="1">IF(AND(LEN(K848)=0,LEN(F848)&gt;0),"Income",IF(AND(O848&gt;0,P848&gt;0,C848&lt;&gt;E848),"Trade",IF(AND(NOT(Q848),Taostats_CSV!F848="fee"),'READ ME'!$C$5,"")))</f>
        <v>Income</v>
      </c>
      <c r="J848" t="str">
        <f ca="1">SUBSTITUTE(IF(LEN(I848)=0,Taostats_CSV!F848&amp;" "&amp;Taostats_CSV!J848,IF(I848="Cost","Extrinsic fee","")),"_"," ")</f>
        <v/>
      </c>
      <c r="K848" t="str">
        <f>TRIM(IF(LEN(Taostats_CSV!I848)&gt;0,Taostats_CSV!I848,""))</f>
        <v/>
      </c>
      <c r="L848">
        <f ca="1">IF(Taostats_CSV!E848&lt;&gt;"TAO",IF(LEN(F848)&gt;0,F848,IF(LEN(D848)&gt;0,D848,0))*Taostats_CSV!P848,"")</f>
        <v>6.9242402015991864</v>
      </c>
      <c r="M848" t="str">
        <f t="shared" ca="1" si="93"/>
        <v>USD</v>
      </c>
      <c r="N848">
        <f>COUNTIF(Taostats_CSV!$X:$X,Taostats_CSV!$I848&amp;N$1)</f>
        <v>0</v>
      </c>
      <c r="O848">
        <f>COUNTIF(Taostats_CSV!$X:$X,Taostats_CSV!$I848&amp;O$1)</f>
        <v>0</v>
      </c>
      <c r="P848">
        <f>COUNTIF(Taostats_CSV!$X:$X,Taostats_CSV!$I848&amp;P$1)</f>
        <v>0</v>
      </c>
      <c r="Q848" t="b">
        <f t="shared" si="94"/>
        <v>0</v>
      </c>
      <c r="R848" t="b">
        <f>IF(LEN(K848)&gt;0,COUNTIF($K$3:K848,K848),FALSE)</f>
        <v>0</v>
      </c>
      <c r="S848" t="b">
        <f>IF(Taostats_CSV!A848=Taostats_CSV!$A$2,TRUE,Taostats_CSV!G848+Taostats_CSV!H848+Taostats_CSV!R848=0)</f>
        <v>0</v>
      </c>
      <c r="T848" t="b">
        <f t="shared" si="95"/>
        <v>1</v>
      </c>
      <c r="U848" t="b" cm="1">
        <f t="array" aca="1" ref="U848" ca="1">AND(T848,OR(O848-N848&gt;1,P848&gt;1,ISERROR(A848:P848)))</f>
        <v>0</v>
      </c>
      <c r="W848" t="e">
        <f>MATCH(K848&amp;$W$2,Taostats_CSV!$X$3:$X$1167,0)</f>
        <v>#N/A</v>
      </c>
      <c r="X848" t="e">
        <f t="shared" ca="1" si="90"/>
        <v>#VALUE!</v>
      </c>
      <c r="Y848">
        <f t="shared" ca="1" si="91"/>
        <v>0.44258668499999998</v>
      </c>
      <c r="Z848" t="e">
        <f t="shared" ca="1" si="92"/>
        <v>#VALUE!</v>
      </c>
    </row>
    <row r="849" spans="1:26" x14ac:dyDescent="0.4">
      <c r="A849" t="str">
        <f>MID(Taostats_CSV!C849,6,2)&amp;"/"&amp;MID(Taostats_CSV!C849,9,2)&amp;"/"&amp;LEFT(Taostats_CSV!C849,4)&amp;" "&amp;MID(Taostats_CSV!C849,12,8)</f>
        <v>08/27/2025 23:59:48</v>
      </c>
      <c r="C849" t="str">
        <f ca="1">IF(Q849,OFFSET(Taostats_CSV!$E$1,MATCH(K849&amp;D$1,Taostats_CSV!$X:$X,0)-1,0),IF(Taostats_CSV!F849="fee",IF(VALUE(Taostats_CSV!G849)&gt;0,Taostats_CSV!E849,""),""))</f>
        <v/>
      </c>
      <c r="D849" t="str">
        <f ca="1">IF(Q849,OFFSET(Taostats_CSV!$G$1,MATCH(K849&amp;D$1,Taostats_CSV!$X:$X,0)-1,0),IF(Taostats_CSV!F849="fee",IF(VALUE(Taostats_CSV!G849)&gt;0,Taostats_CSV!G849,""),""))</f>
        <v/>
      </c>
      <c r="E849" t="str">
        <f ca="1">IF(AND(Q849,P849&gt;0),OFFSET(Taostats_CSV!$E$1,MATCH(K849&amp;F$1,Taostats_CSV!$X:$X,0)-1,0),IF(LEN(F849)&gt;0,Taostats_CSV!E849,""))</f>
        <v>SN56</v>
      </c>
      <c r="F849" t="str">
        <f ca="1">TRIM(IF(AND(Q849,P849&gt;0),OFFSET(Taostats_CSV!$H$1,MATCH(K849&amp;F$1,Taostats_CSV!$X:$X,0)-1,0),IF(LEN(Taostats_CSV!H849)&gt;0,Taostats_CSV!H849,Taostats_CSV!R849)))</f>
        <v>0.316195123</v>
      </c>
      <c r="G849" t="str">
        <f ca="1">IF(AND(Q849,N849=1),OFFSET(Taostats_CSV!$E$1,MATCH(K849&amp;H$1,Taostats_CSV!$X:$X,0)-1,0),"")</f>
        <v/>
      </c>
      <c r="H849" t="str">
        <f ca="1">IF(AND(Q849,N849=1),OFFSET(Taostats_CSV!$G$1,MATCH(K849&amp;H$1,Taostats_CSV!$X:$X,0)-1,0),"")</f>
        <v/>
      </c>
      <c r="I849" t="str">
        <f ca="1">IF(AND(LEN(K849)=0,LEN(F849)&gt;0),"Income",IF(AND(O849&gt;0,P849&gt;0,C849&lt;&gt;E849),"Trade",IF(AND(NOT(Q849),Taostats_CSV!F849="fee"),'READ ME'!$C$5,"")))</f>
        <v>Income</v>
      </c>
      <c r="J849" t="str">
        <f ca="1">SUBSTITUTE(IF(LEN(I849)=0,Taostats_CSV!F849&amp;" "&amp;Taostats_CSV!J849,IF(I849="Cost","Extrinsic fee","")),"_"," ")</f>
        <v/>
      </c>
      <c r="K849" t="str">
        <f>TRIM(IF(LEN(Taostats_CSV!I849)&gt;0,Taostats_CSV!I849,""))</f>
        <v/>
      </c>
      <c r="L849">
        <f ca="1">IF(Taostats_CSV!E849&lt;&gt;"TAO",IF(LEN(F849)&gt;0,F849,IF(LEN(D849)&gt;0,D849,0))*Taostats_CSV!P849,"")</f>
        <v>4.1476300327441757</v>
      </c>
      <c r="M849" t="str">
        <f t="shared" ca="1" si="93"/>
        <v>USD</v>
      </c>
      <c r="N849">
        <f>COUNTIF(Taostats_CSV!$X:$X,Taostats_CSV!$I849&amp;N$1)</f>
        <v>0</v>
      </c>
      <c r="O849">
        <f>COUNTIF(Taostats_CSV!$X:$X,Taostats_CSV!$I849&amp;O$1)</f>
        <v>0</v>
      </c>
      <c r="P849">
        <f>COUNTIF(Taostats_CSV!$X:$X,Taostats_CSV!$I849&amp;P$1)</f>
        <v>0</v>
      </c>
      <c r="Q849" t="b">
        <f t="shared" si="94"/>
        <v>0</v>
      </c>
      <c r="R849" t="b">
        <f>IF(LEN(K849)&gt;0,COUNTIF($K$3:K849,K849),FALSE)</f>
        <v>0</v>
      </c>
      <c r="S849" t="b">
        <f>IF(Taostats_CSV!A849=Taostats_CSV!$A$2,TRUE,Taostats_CSV!G849+Taostats_CSV!H849+Taostats_CSV!R849=0)</f>
        <v>0</v>
      </c>
      <c r="T849" t="b">
        <f t="shared" si="95"/>
        <v>1</v>
      </c>
      <c r="U849" t="b" cm="1">
        <f t="array" aca="1" ref="U849" ca="1">AND(T849,OR(O849-N849&gt;1,P849&gt;1,ISERROR(A849:P849)))</f>
        <v>0</v>
      </c>
      <c r="W849" t="e">
        <f>MATCH(K849&amp;$W$2,Taostats_CSV!$X$3:$X$1167,0)</f>
        <v>#N/A</v>
      </c>
      <c r="X849" t="e">
        <f t="shared" ca="1" si="90"/>
        <v>#VALUE!</v>
      </c>
      <c r="Y849">
        <f t="shared" ca="1" si="91"/>
        <v>0.31619512300000002</v>
      </c>
      <c r="Z849" t="e">
        <f t="shared" ca="1" si="92"/>
        <v>#VALUE!</v>
      </c>
    </row>
    <row r="850" spans="1:26" x14ac:dyDescent="0.4">
      <c r="A850" t="str">
        <f>MID(Taostats_CSV!C850,6,2)&amp;"/"&amp;MID(Taostats_CSV!C850,9,2)&amp;"/"&amp;LEFT(Taostats_CSV!C850,4)&amp;" "&amp;MID(Taostats_CSV!C850,12,8)</f>
        <v>08/27/2025 23:59:48</v>
      </c>
      <c r="C850" t="str">
        <f ca="1">IF(Q850,OFFSET(Taostats_CSV!$E$1,MATCH(K850&amp;D$1,Taostats_CSV!$X:$X,0)-1,0),IF(Taostats_CSV!F850="fee",IF(VALUE(Taostats_CSV!G850)&gt;0,Taostats_CSV!E850,""),""))</f>
        <v/>
      </c>
      <c r="D850" t="str">
        <f ca="1">IF(Q850,OFFSET(Taostats_CSV!$G$1,MATCH(K850&amp;D$1,Taostats_CSV!$X:$X,0)-1,0),IF(Taostats_CSV!F850="fee",IF(VALUE(Taostats_CSV!G850)&gt;0,Taostats_CSV!G850,""),""))</f>
        <v/>
      </c>
      <c r="E850" t="str">
        <f ca="1">IF(AND(Q850,P850&gt;0),OFFSET(Taostats_CSV!$E$1,MATCH(K850&amp;F$1,Taostats_CSV!$X:$X,0)-1,0),IF(LEN(F850)&gt;0,Taostats_CSV!E850,""))</f>
        <v>SN64</v>
      </c>
      <c r="F850" t="str">
        <f ca="1">TRIM(IF(AND(Q850,P850&gt;0),OFFSET(Taostats_CSV!$H$1,MATCH(K850&amp;F$1,Taostats_CSV!$X:$X,0)-1,0),IF(LEN(Taostats_CSV!H850)&gt;0,Taostats_CSV!H850,Taostats_CSV!R850)))</f>
        <v>0.150947815</v>
      </c>
      <c r="G850" t="str">
        <f ca="1">IF(AND(Q850,N850=1),OFFSET(Taostats_CSV!$E$1,MATCH(K850&amp;H$1,Taostats_CSV!$X:$X,0)-1,0),"")</f>
        <v/>
      </c>
      <c r="H850" t="str">
        <f ca="1">IF(AND(Q850,N850=1),OFFSET(Taostats_CSV!$G$1,MATCH(K850&amp;H$1,Taostats_CSV!$X:$X,0)-1,0),"")</f>
        <v/>
      </c>
      <c r="I850" t="str">
        <f ca="1">IF(AND(LEN(K850)=0,LEN(F850)&gt;0),"Income",IF(AND(O850&gt;0,P850&gt;0,C850&lt;&gt;E850),"Trade",IF(AND(NOT(Q850),Taostats_CSV!F850="fee"),'READ ME'!$C$5,"")))</f>
        <v>Income</v>
      </c>
      <c r="J850" t="str">
        <f ca="1">SUBSTITUTE(IF(LEN(I850)=0,Taostats_CSV!F850&amp;" "&amp;Taostats_CSV!J850,IF(I850="Cost","Extrinsic fee","")),"_"," ")</f>
        <v/>
      </c>
      <c r="K850" t="str">
        <f>TRIM(IF(LEN(Taostats_CSV!I850)&gt;0,Taostats_CSV!I850,""))</f>
        <v/>
      </c>
      <c r="L850">
        <f ca="1">IF(Taostats_CSV!E850&lt;&gt;"TAO",IF(LEN(F850)&gt;0,F850,IF(LEN(D850)&gt;0,D850,0))*Taostats_CSV!P850,"")</f>
        <v>5.0187017084728982</v>
      </c>
      <c r="M850" t="str">
        <f t="shared" ca="1" si="93"/>
        <v>USD</v>
      </c>
      <c r="N850">
        <f>COUNTIF(Taostats_CSV!$X:$X,Taostats_CSV!$I850&amp;N$1)</f>
        <v>0</v>
      </c>
      <c r="O850">
        <f>COUNTIF(Taostats_CSV!$X:$X,Taostats_CSV!$I850&amp;O$1)</f>
        <v>0</v>
      </c>
      <c r="P850">
        <f>COUNTIF(Taostats_CSV!$X:$X,Taostats_CSV!$I850&amp;P$1)</f>
        <v>0</v>
      </c>
      <c r="Q850" t="b">
        <f t="shared" si="94"/>
        <v>0</v>
      </c>
      <c r="R850" t="b">
        <f>IF(LEN(K850)&gt;0,COUNTIF($K$3:K850,K850),FALSE)</f>
        <v>0</v>
      </c>
      <c r="S850" t="b">
        <f>IF(Taostats_CSV!A850=Taostats_CSV!$A$2,TRUE,Taostats_CSV!G850+Taostats_CSV!H850+Taostats_CSV!R850=0)</f>
        <v>0</v>
      </c>
      <c r="T850" t="b">
        <f t="shared" si="95"/>
        <v>1</v>
      </c>
      <c r="U850" t="b" cm="1">
        <f t="array" aca="1" ref="U850" ca="1">AND(T850,OR(O850-N850&gt;1,P850&gt;1,ISERROR(A850:P850)))</f>
        <v>0</v>
      </c>
      <c r="W850" t="e">
        <f>MATCH(K850&amp;$W$2,Taostats_CSV!$X$3:$X$1167,0)</f>
        <v>#N/A</v>
      </c>
      <c r="X850" t="e">
        <f t="shared" ca="1" si="90"/>
        <v>#VALUE!</v>
      </c>
      <c r="Y850">
        <f t="shared" ca="1" si="91"/>
        <v>0.15094781500000001</v>
      </c>
      <c r="Z850" t="e">
        <f t="shared" ca="1" si="92"/>
        <v>#VALUE!</v>
      </c>
    </row>
    <row r="851" spans="1:26" x14ac:dyDescent="0.4">
      <c r="A851" t="str">
        <f>MID(Taostats_CSV!C851,6,2)&amp;"/"&amp;MID(Taostats_CSV!C851,9,2)&amp;"/"&amp;LEFT(Taostats_CSV!C851,4)&amp;" "&amp;MID(Taostats_CSV!C851,12,8)</f>
        <v>08/27/2025 23:59:48</v>
      </c>
      <c r="C851" t="str">
        <f ca="1">IF(Q851,OFFSET(Taostats_CSV!$E$1,MATCH(K851&amp;D$1,Taostats_CSV!$X:$X,0)-1,0),IF(Taostats_CSV!F851="fee",IF(VALUE(Taostats_CSV!G851)&gt;0,Taostats_CSV!E851,""),""))</f>
        <v/>
      </c>
      <c r="D851" t="str">
        <f ca="1">IF(Q851,OFFSET(Taostats_CSV!$G$1,MATCH(K851&amp;D$1,Taostats_CSV!$X:$X,0)-1,0),IF(Taostats_CSV!F851="fee",IF(VALUE(Taostats_CSV!G851)&gt;0,Taostats_CSV!G851,""),""))</f>
        <v/>
      </c>
      <c r="E851" t="str">
        <f ca="1">IF(AND(Q851,P851&gt;0),OFFSET(Taostats_CSV!$E$1,MATCH(K851&amp;F$1,Taostats_CSV!$X:$X,0)-1,0),IF(LEN(F851)&gt;0,Taostats_CSV!E851,""))</f>
        <v>TAO</v>
      </c>
      <c r="F851" t="str">
        <f ca="1">TRIM(IF(AND(Q851,P851&gt;0),OFFSET(Taostats_CSV!$H$1,MATCH(K851&amp;F$1,Taostats_CSV!$X:$X,0)-1,0),IF(LEN(Taostats_CSV!H851)&gt;0,Taostats_CSV!H851,Taostats_CSV!R851)))</f>
        <v>0.010392493</v>
      </c>
      <c r="G851" t="str">
        <f ca="1">IF(AND(Q851,N851=1),OFFSET(Taostats_CSV!$E$1,MATCH(K851&amp;H$1,Taostats_CSV!$X:$X,0)-1,0),"")</f>
        <v/>
      </c>
      <c r="H851" t="str">
        <f ca="1">IF(AND(Q851,N851=1),OFFSET(Taostats_CSV!$G$1,MATCH(K851&amp;H$1,Taostats_CSV!$X:$X,0)-1,0),"")</f>
        <v/>
      </c>
      <c r="I851" t="str">
        <f ca="1">IF(AND(LEN(K851)=0,LEN(F851)&gt;0),"Income",IF(AND(O851&gt;0,P851&gt;0,C851&lt;&gt;E851),"Trade",IF(AND(NOT(Q851),Taostats_CSV!F851="fee"),'READ ME'!$C$5,"")))</f>
        <v>Income</v>
      </c>
      <c r="J851" t="str">
        <f ca="1">SUBSTITUTE(IF(LEN(I851)=0,Taostats_CSV!F851&amp;" "&amp;Taostats_CSV!J851,IF(I851="Cost","Extrinsic fee","")),"_"," ")</f>
        <v/>
      </c>
      <c r="K851" t="str">
        <f>TRIM(IF(LEN(Taostats_CSV!I851)&gt;0,Taostats_CSV!I851,""))</f>
        <v/>
      </c>
      <c r="L851" t="str">
        <f>IF(Taostats_CSV!E851&lt;&gt;"TAO",IF(LEN(F851)&gt;0,F851,IF(LEN(D851)&gt;0,D851,0))*Taostats_CSV!P851,"")</f>
        <v/>
      </c>
      <c r="M851" t="str">
        <f t="shared" si="93"/>
        <v/>
      </c>
      <c r="N851">
        <f>COUNTIF(Taostats_CSV!$X:$X,Taostats_CSV!$I851&amp;N$1)</f>
        <v>0</v>
      </c>
      <c r="O851">
        <f>COUNTIF(Taostats_CSV!$X:$X,Taostats_CSV!$I851&amp;O$1)</f>
        <v>0</v>
      </c>
      <c r="P851">
        <f>COUNTIF(Taostats_CSV!$X:$X,Taostats_CSV!$I851&amp;P$1)</f>
        <v>0</v>
      </c>
      <c r="Q851" t="b">
        <f t="shared" si="94"/>
        <v>0</v>
      </c>
      <c r="R851" t="b">
        <f>IF(LEN(K851)&gt;0,COUNTIF($K$3:K851,K851),FALSE)</f>
        <v>0</v>
      </c>
      <c r="S851" t="b">
        <f>IF(Taostats_CSV!A851=Taostats_CSV!$A$2,TRUE,Taostats_CSV!G851+Taostats_CSV!H851+Taostats_CSV!R851=0)</f>
        <v>0</v>
      </c>
      <c r="T851" t="b">
        <f t="shared" si="95"/>
        <v>1</v>
      </c>
      <c r="U851" t="b" cm="1">
        <f t="array" aca="1" ref="U851" ca="1">AND(T851,OR(O851-N851&gt;1,P851&gt;1,ISERROR(A851:P851)))</f>
        <v>0</v>
      </c>
      <c r="W851" t="e">
        <f>MATCH(K851&amp;$W$2,Taostats_CSV!$X$3:$X$1167,0)</f>
        <v>#N/A</v>
      </c>
      <c r="X851" t="e">
        <f t="shared" ca="1" si="90"/>
        <v>#VALUE!</v>
      </c>
      <c r="Y851">
        <f t="shared" ca="1" si="91"/>
        <v>1.0392492999999999E-2</v>
      </c>
      <c r="Z851" t="e">
        <f t="shared" ca="1" si="92"/>
        <v>#VALUE!</v>
      </c>
    </row>
    <row r="852" spans="1:26" x14ac:dyDescent="0.4">
      <c r="A852" t="str">
        <f>MID(Taostats_CSV!C852,6,2)&amp;"/"&amp;MID(Taostats_CSV!C852,9,2)&amp;"/"&amp;LEFT(Taostats_CSV!C852,4)&amp;" "&amp;MID(Taostats_CSV!C852,12,8)</f>
        <v>08/28/2025 23:59:48</v>
      </c>
      <c r="C852" t="str">
        <f ca="1">IF(Q852,OFFSET(Taostats_CSV!$E$1,MATCH(K852&amp;D$1,Taostats_CSV!$X:$X,0)-1,0),IF(Taostats_CSV!F852="fee",IF(VALUE(Taostats_CSV!G852)&gt;0,Taostats_CSV!E852,""),""))</f>
        <v/>
      </c>
      <c r="D852" t="str">
        <f ca="1">IF(Q852,OFFSET(Taostats_CSV!$G$1,MATCH(K852&amp;D$1,Taostats_CSV!$X:$X,0)-1,0),IF(Taostats_CSV!F852="fee",IF(VALUE(Taostats_CSV!G852)&gt;0,Taostats_CSV!G852,""),""))</f>
        <v/>
      </c>
      <c r="E852" t="str">
        <f ca="1">IF(AND(Q852,P852&gt;0),OFFSET(Taostats_CSV!$E$1,MATCH(K852&amp;F$1,Taostats_CSV!$X:$X,0)-1,0),IF(LEN(F852)&gt;0,Taostats_CSV!E852,""))</f>
        <v>SN3</v>
      </c>
      <c r="F852" t="str">
        <f ca="1">TRIM(IF(AND(Q852,P852&gt;0),OFFSET(Taostats_CSV!$H$1,MATCH(K852&amp;F$1,Taostats_CSV!$X:$X,0)-1,0),IF(LEN(Taostats_CSV!H852)&gt;0,Taostats_CSV!H852,Taostats_CSV!R852)))</f>
        <v>0.435308158</v>
      </c>
      <c r="G852" t="str">
        <f ca="1">IF(AND(Q852,N852=1),OFFSET(Taostats_CSV!$E$1,MATCH(K852&amp;H$1,Taostats_CSV!$X:$X,0)-1,0),"")</f>
        <v/>
      </c>
      <c r="H852" t="str">
        <f ca="1">IF(AND(Q852,N852=1),OFFSET(Taostats_CSV!$G$1,MATCH(K852&amp;H$1,Taostats_CSV!$X:$X,0)-1,0),"")</f>
        <v/>
      </c>
      <c r="I852" t="str">
        <f ca="1">IF(AND(LEN(K852)=0,LEN(F852)&gt;0),"Income",IF(AND(O852&gt;0,P852&gt;0,C852&lt;&gt;E852),"Trade",IF(AND(NOT(Q852),Taostats_CSV!F852="fee"),'READ ME'!$C$5,"")))</f>
        <v>Income</v>
      </c>
      <c r="J852" t="str">
        <f ca="1">SUBSTITUTE(IF(LEN(I852)=0,Taostats_CSV!F852&amp;" "&amp;Taostats_CSV!J852,IF(I852="Cost","Extrinsic fee","")),"_"," ")</f>
        <v/>
      </c>
      <c r="K852" t="str">
        <f>TRIM(IF(LEN(Taostats_CSV!I852)&gt;0,Taostats_CSV!I852,""))</f>
        <v/>
      </c>
      <c r="L852">
        <f ca="1">IF(Taostats_CSV!E852&lt;&gt;"TAO",IF(LEN(F852)&gt;0,F852,IF(LEN(D852)&gt;0,D852,0))*Taostats_CSV!P852,"")</f>
        <v>6.5772723529360562</v>
      </c>
      <c r="M852" t="str">
        <f t="shared" ca="1" si="93"/>
        <v>USD</v>
      </c>
      <c r="N852">
        <f>COUNTIF(Taostats_CSV!$X:$X,Taostats_CSV!$I852&amp;N$1)</f>
        <v>0</v>
      </c>
      <c r="O852">
        <f>COUNTIF(Taostats_CSV!$X:$X,Taostats_CSV!$I852&amp;O$1)</f>
        <v>0</v>
      </c>
      <c r="P852">
        <f>COUNTIF(Taostats_CSV!$X:$X,Taostats_CSV!$I852&amp;P$1)</f>
        <v>0</v>
      </c>
      <c r="Q852" t="b">
        <f t="shared" si="94"/>
        <v>0</v>
      </c>
      <c r="R852" t="b">
        <f>IF(LEN(K852)&gt;0,COUNTIF($K$3:K852,K852),FALSE)</f>
        <v>0</v>
      </c>
      <c r="S852" t="b">
        <f>IF(Taostats_CSV!A852=Taostats_CSV!$A$2,TRUE,Taostats_CSV!G852+Taostats_CSV!H852+Taostats_CSV!R852=0)</f>
        <v>0</v>
      </c>
      <c r="T852" t="b">
        <f t="shared" si="95"/>
        <v>1</v>
      </c>
      <c r="U852" t="b" cm="1">
        <f t="array" aca="1" ref="U852" ca="1">AND(T852,OR(O852-N852&gt;1,P852&gt;1,ISERROR(A852:P852)))</f>
        <v>0</v>
      </c>
      <c r="W852" t="e">
        <f>MATCH(K852&amp;$W$2,Taostats_CSV!$X$3:$X$1167,0)</f>
        <v>#N/A</v>
      </c>
      <c r="X852" t="e">
        <f t="shared" ca="1" si="90"/>
        <v>#VALUE!</v>
      </c>
      <c r="Y852">
        <f t="shared" ca="1" si="91"/>
        <v>0.435308158</v>
      </c>
      <c r="Z852" t="e">
        <f t="shared" ca="1" si="92"/>
        <v>#VALUE!</v>
      </c>
    </row>
    <row r="853" spans="1:26" x14ac:dyDescent="0.4">
      <c r="A853" t="str">
        <f>MID(Taostats_CSV!C853,6,2)&amp;"/"&amp;MID(Taostats_CSV!C853,9,2)&amp;"/"&amp;LEFT(Taostats_CSV!C853,4)&amp;" "&amp;MID(Taostats_CSV!C853,12,8)</f>
        <v>08/28/2025 23:59:48</v>
      </c>
      <c r="C853" t="str">
        <f ca="1">IF(Q853,OFFSET(Taostats_CSV!$E$1,MATCH(K853&amp;D$1,Taostats_CSV!$X:$X,0)-1,0),IF(Taostats_CSV!F853="fee",IF(VALUE(Taostats_CSV!G853)&gt;0,Taostats_CSV!E853,""),""))</f>
        <v/>
      </c>
      <c r="D853" t="str">
        <f ca="1">IF(Q853,OFFSET(Taostats_CSV!$G$1,MATCH(K853&amp;D$1,Taostats_CSV!$X:$X,0)-1,0),IF(Taostats_CSV!F853="fee",IF(VALUE(Taostats_CSV!G853)&gt;0,Taostats_CSV!G853,""),""))</f>
        <v/>
      </c>
      <c r="E853" t="str">
        <f ca="1">IF(AND(Q853,P853&gt;0),OFFSET(Taostats_CSV!$E$1,MATCH(K853&amp;F$1,Taostats_CSV!$X:$X,0)-1,0),IF(LEN(F853)&gt;0,Taostats_CSV!E853,""))</f>
        <v>SN4</v>
      </c>
      <c r="F853" t="str">
        <f ca="1">TRIM(IF(AND(Q853,P853&gt;0),OFFSET(Taostats_CSV!$H$1,MATCH(K853&amp;F$1,Taostats_CSV!$X:$X,0)-1,0),IF(LEN(Taostats_CSV!H853)&gt;0,Taostats_CSV!H853,Taostats_CSV!R853)))</f>
        <v>0.462466855</v>
      </c>
      <c r="G853" t="str">
        <f ca="1">IF(AND(Q853,N853=1),OFFSET(Taostats_CSV!$E$1,MATCH(K853&amp;H$1,Taostats_CSV!$X:$X,0)-1,0),"")</f>
        <v/>
      </c>
      <c r="H853" t="str">
        <f ca="1">IF(AND(Q853,N853=1),OFFSET(Taostats_CSV!$G$1,MATCH(K853&amp;H$1,Taostats_CSV!$X:$X,0)-1,0),"")</f>
        <v/>
      </c>
      <c r="I853" t="str">
        <f ca="1">IF(AND(LEN(K853)=0,LEN(F853)&gt;0),"Income",IF(AND(O853&gt;0,P853&gt;0,C853&lt;&gt;E853),"Trade",IF(AND(NOT(Q853),Taostats_CSV!F853="fee"),'READ ME'!$C$5,"")))</f>
        <v>Income</v>
      </c>
      <c r="J853" t="str">
        <f ca="1">SUBSTITUTE(IF(LEN(I853)=0,Taostats_CSV!F853&amp;" "&amp;Taostats_CSV!J853,IF(I853="Cost","Extrinsic fee","")),"_"," ")</f>
        <v/>
      </c>
      <c r="K853" t="str">
        <f>TRIM(IF(LEN(Taostats_CSV!I853)&gt;0,Taostats_CSV!I853,""))</f>
        <v/>
      </c>
      <c r="L853">
        <f ca="1">IF(Taostats_CSV!E853&lt;&gt;"TAO",IF(LEN(F853)&gt;0,F853,IF(LEN(D853)&gt;0,D853,0))*Taostats_CSV!P853,"")</f>
        <v>7.2805181592030248</v>
      </c>
      <c r="M853" t="str">
        <f t="shared" ca="1" si="93"/>
        <v>USD</v>
      </c>
      <c r="N853">
        <f>COUNTIF(Taostats_CSV!$X:$X,Taostats_CSV!$I853&amp;N$1)</f>
        <v>0</v>
      </c>
      <c r="O853">
        <f>COUNTIF(Taostats_CSV!$X:$X,Taostats_CSV!$I853&amp;O$1)</f>
        <v>0</v>
      </c>
      <c r="P853">
        <f>COUNTIF(Taostats_CSV!$X:$X,Taostats_CSV!$I853&amp;P$1)</f>
        <v>0</v>
      </c>
      <c r="Q853" t="b">
        <f t="shared" si="94"/>
        <v>0</v>
      </c>
      <c r="R853" t="b">
        <f>IF(LEN(K853)&gt;0,COUNTIF($K$3:K853,K853),FALSE)</f>
        <v>0</v>
      </c>
      <c r="S853" t="b">
        <f>IF(Taostats_CSV!A853=Taostats_CSV!$A$2,TRUE,Taostats_CSV!G853+Taostats_CSV!H853+Taostats_CSV!R853=0)</f>
        <v>0</v>
      </c>
      <c r="T853" t="b">
        <f t="shared" si="95"/>
        <v>1</v>
      </c>
      <c r="U853" t="b" cm="1">
        <f t="array" aca="1" ref="U853" ca="1">AND(T853,OR(O853-N853&gt;1,P853&gt;1,ISERROR(A853:P853)))</f>
        <v>0</v>
      </c>
      <c r="W853" t="e">
        <f>MATCH(K853&amp;$W$2,Taostats_CSV!$X$3:$X$1167,0)</f>
        <v>#N/A</v>
      </c>
      <c r="X853" t="e">
        <f t="shared" ca="1" si="90"/>
        <v>#VALUE!</v>
      </c>
      <c r="Y853">
        <f t="shared" ca="1" si="91"/>
        <v>0.46246685500000001</v>
      </c>
      <c r="Z853" t="e">
        <f t="shared" ca="1" si="92"/>
        <v>#VALUE!</v>
      </c>
    </row>
    <row r="854" spans="1:26" x14ac:dyDescent="0.4">
      <c r="A854" t="str">
        <f>MID(Taostats_CSV!C854,6,2)&amp;"/"&amp;MID(Taostats_CSV!C854,9,2)&amp;"/"&amp;LEFT(Taostats_CSV!C854,4)&amp;" "&amp;MID(Taostats_CSV!C854,12,8)</f>
        <v>08/28/2025 23:59:48</v>
      </c>
      <c r="C854" t="str">
        <f ca="1">IF(Q854,OFFSET(Taostats_CSV!$E$1,MATCH(K854&amp;D$1,Taostats_CSV!$X:$X,0)-1,0),IF(Taostats_CSV!F854="fee",IF(VALUE(Taostats_CSV!G854)&gt;0,Taostats_CSV!E854,""),""))</f>
        <v/>
      </c>
      <c r="D854" t="str">
        <f ca="1">IF(Q854,OFFSET(Taostats_CSV!$G$1,MATCH(K854&amp;D$1,Taostats_CSV!$X:$X,0)-1,0),IF(Taostats_CSV!F854="fee",IF(VALUE(Taostats_CSV!G854)&gt;0,Taostats_CSV!G854,""),""))</f>
        <v/>
      </c>
      <c r="E854" t="str">
        <f ca="1">IF(AND(Q854,P854&gt;0),OFFSET(Taostats_CSV!$E$1,MATCH(K854&amp;F$1,Taostats_CSV!$X:$X,0)-1,0),IF(LEN(F854)&gt;0,Taostats_CSV!E854,""))</f>
        <v>SN56</v>
      </c>
      <c r="F854" t="str">
        <f ca="1">TRIM(IF(AND(Q854,P854&gt;0),OFFSET(Taostats_CSV!$H$1,MATCH(K854&amp;F$1,Taostats_CSV!$X:$X,0)-1,0),IF(LEN(Taostats_CSV!H854)&gt;0,Taostats_CSV!H854,Taostats_CSV!R854)))</f>
        <v>0.292180017</v>
      </c>
      <c r="G854" t="str">
        <f ca="1">IF(AND(Q854,N854=1),OFFSET(Taostats_CSV!$E$1,MATCH(K854&amp;H$1,Taostats_CSV!$X:$X,0)-1,0),"")</f>
        <v/>
      </c>
      <c r="H854" t="str">
        <f ca="1">IF(AND(Q854,N854=1),OFFSET(Taostats_CSV!$G$1,MATCH(K854&amp;H$1,Taostats_CSV!$X:$X,0)-1,0),"")</f>
        <v/>
      </c>
      <c r="I854" t="str">
        <f ca="1">IF(AND(LEN(K854)=0,LEN(F854)&gt;0),"Income",IF(AND(O854&gt;0,P854&gt;0,C854&lt;&gt;E854),"Trade",IF(AND(NOT(Q854),Taostats_CSV!F854="fee"),'READ ME'!$C$5,"")))</f>
        <v>Income</v>
      </c>
      <c r="J854" t="str">
        <f ca="1">SUBSTITUTE(IF(LEN(I854)=0,Taostats_CSV!F854&amp;" "&amp;Taostats_CSV!J854,IF(I854="Cost","Extrinsic fee","")),"_"," ")</f>
        <v/>
      </c>
      <c r="K854" t="str">
        <f>TRIM(IF(LEN(Taostats_CSV!I854)&gt;0,Taostats_CSV!I854,""))</f>
        <v/>
      </c>
      <c r="L854">
        <f ca="1">IF(Taostats_CSV!E854&lt;&gt;"TAO",IF(LEN(F854)&gt;0,F854,IF(LEN(D854)&gt;0,D854,0))*Taostats_CSV!P854,"")</f>
        <v>3.7705497743818741</v>
      </c>
      <c r="M854" t="str">
        <f t="shared" ca="1" si="93"/>
        <v>USD</v>
      </c>
      <c r="N854">
        <f>COUNTIF(Taostats_CSV!$X:$X,Taostats_CSV!$I854&amp;N$1)</f>
        <v>0</v>
      </c>
      <c r="O854">
        <f>COUNTIF(Taostats_CSV!$X:$X,Taostats_CSV!$I854&amp;O$1)</f>
        <v>0</v>
      </c>
      <c r="P854">
        <f>COUNTIF(Taostats_CSV!$X:$X,Taostats_CSV!$I854&amp;P$1)</f>
        <v>0</v>
      </c>
      <c r="Q854" t="b">
        <f t="shared" si="94"/>
        <v>0</v>
      </c>
      <c r="R854" t="b">
        <f>IF(LEN(K854)&gt;0,COUNTIF($K$3:K854,K854),FALSE)</f>
        <v>0</v>
      </c>
      <c r="S854" t="b">
        <f>IF(Taostats_CSV!A854=Taostats_CSV!$A$2,TRUE,Taostats_CSV!G854+Taostats_CSV!H854+Taostats_CSV!R854=0)</f>
        <v>0</v>
      </c>
      <c r="T854" t="b">
        <f t="shared" si="95"/>
        <v>1</v>
      </c>
      <c r="U854" t="b" cm="1">
        <f t="array" aca="1" ref="U854" ca="1">AND(T854,OR(O854-N854&gt;1,P854&gt;1,ISERROR(A854:P854)))</f>
        <v>0</v>
      </c>
      <c r="W854" t="e">
        <f>MATCH(K854&amp;$W$2,Taostats_CSV!$X$3:$X$1167,0)</f>
        <v>#N/A</v>
      </c>
      <c r="X854" t="e">
        <f t="shared" ca="1" si="90"/>
        <v>#VALUE!</v>
      </c>
      <c r="Y854">
        <f t="shared" ca="1" si="91"/>
        <v>0.29218001700000001</v>
      </c>
      <c r="Z854" t="e">
        <f t="shared" ca="1" si="92"/>
        <v>#VALUE!</v>
      </c>
    </row>
    <row r="855" spans="1:26" x14ac:dyDescent="0.4">
      <c r="A855" t="str">
        <f>MID(Taostats_CSV!C855,6,2)&amp;"/"&amp;MID(Taostats_CSV!C855,9,2)&amp;"/"&amp;LEFT(Taostats_CSV!C855,4)&amp;" "&amp;MID(Taostats_CSV!C855,12,8)</f>
        <v>08/28/2025 23:59:48</v>
      </c>
      <c r="C855" t="str">
        <f ca="1">IF(Q855,OFFSET(Taostats_CSV!$E$1,MATCH(K855&amp;D$1,Taostats_CSV!$X:$X,0)-1,0),IF(Taostats_CSV!F855="fee",IF(VALUE(Taostats_CSV!G855)&gt;0,Taostats_CSV!E855,""),""))</f>
        <v/>
      </c>
      <c r="D855" t="str">
        <f ca="1">IF(Q855,OFFSET(Taostats_CSV!$G$1,MATCH(K855&amp;D$1,Taostats_CSV!$X:$X,0)-1,0),IF(Taostats_CSV!F855="fee",IF(VALUE(Taostats_CSV!G855)&gt;0,Taostats_CSV!G855,""),""))</f>
        <v/>
      </c>
      <c r="E855" t="str">
        <f ca="1">IF(AND(Q855,P855&gt;0),OFFSET(Taostats_CSV!$E$1,MATCH(K855&amp;F$1,Taostats_CSV!$X:$X,0)-1,0),IF(LEN(F855)&gt;0,Taostats_CSV!E855,""))</f>
        <v>SN64</v>
      </c>
      <c r="F855" t="str">
        <f ca="1">TRIM(IF(AND(Q855,P855&gt;0),OFFSET(Taostats_CSV!$H$1,MATCH(K855&amp;F$1,Taostats_CSV!$X:$X,0)-1,0),IF(LEN(Taostats_CSV!H855)&gt;0,Taostats_CSV!H855,Taostats_CSV!R855)))</f>
        <v>0.152194217</v>
      </c>
      <c r="G855" t="str">
        <f ca="1">IF(AND(Q855,N855=1),OFFSET(Taostats_CSV!$E$1,MATCH(K855&amp;H$1,Taostats_CSV!$X:$X,0)-1,0),"")</f>
        <v/>
      </c>
      <c r="H855" t="str">
        <f ca="1">IF(AND(Q855,N855=1),OFFSET(Taostats_CSV!$G$1,MATCH(K855&amp;H$1,Taostats_CSV!$X:$X,0)-1,0),"")</f>
        <v/>
      </c>
      <c r="I855" t="str">
        <f ca="1">IF(AND(LEN(K855)=0,LEN(F855)&gt;0),"Income",IF(AND(O855&gt;0,P855&gt;0,C855&lt;&gt;E855),"Trade",IF(AND(NOT(Q855),Taostats_CSV!F855="fee"),'READ ME'!$C$5,"")))</f>
        <v>Income</v>
      </c>
      <c r="J855" t="str">
        <f ca="1">SUBSTITUTE(IF(LEN(I855)=0,Taostats_CSV!F855&amp;" "&amp;Taostats_CSV!J855,IF(I855="Cost","Extrinsic fee","")),"_"," ")</f>
        <v/>
      </c>
      <c r="K855" t="str">
        <f>TRIM(IF(LEN(Taostats_CSV!I855)&gt;0,Taostats_CSV!I855,""))</f>
        <v/>
      </c>
      <c r="L855">
        <f ca="1">IF(Taostats_CSV!E855&lt;&gt;"TAO",IF(LEN(F855)&gt;0,F855,IF(LEN(D855)&gt;0,D855,0))*Taostats_CSV!P855,"")</f>
        <v>4.9939020528703502</v>
      </c>
      <c r="M855" t="str">
        <f t="shared" ca="1" si="93"/>
        <v>USD</v>
      </c>
      <c r="N855">
        <f>COUNTIF(Taostats_CSV!$X:$X,Taostats_CSV!$I855&amp;N$1)</f>
        <v>0</v>
      </c>
      <c r="O855">
        <f>COUNTIF(Taostats_CSV!$X:$X,Taostats_CSV!$I855&amp;O$1)</f>
        <v>0</v>
      </c>
      <c r="P855">
        <f>COUNTIF(Taostats_CSV!$X:$X,Taostats_CSV!$I855&amp;P$1)</f>
        <v>0</v>
      </c>
      <c r="Q855" t="b">
        <f t="shared" si="94"/>
        <v>0</v>
      </c>
      <c r="R855" t="b">
        <f>IF(LEN(K855)&gt;0,COUNTIF($K$3:K855,K855),FALSE)</f>
        <v>0</v>
      </c>
      <c r="S855" t="b">
        <f>IF(Taostats_CSV!A855=Taostats_CSV!$A$2,TRUE,Taostats_CSV!G855+Taostats_CSV!H855+Taostats_CSV!R855=0)</f>
        <v>0</v>
      </c>
      <c r="T855" t="b">
        <f t="shared" si="95"/>
        <v>1</v>
      </c>
      <c r="U855" t="b" cm="1">
        <f t="array" aca="1" ref="U855" ca="1">AND(T855,OR(O855-N855&gt;1,P855&gt;1,ISERROR(A855:P855)))</f>
        <v>0</v>
      </c>
      <c r="W855" t="e">
        <f>MATCH(K855&amp;$W$2,Taostats_CSV!$X$3:$X$1167,0)</f>
        <v>#N/A</v>
      </c>
      <c r="X855" t="e">
        <f t="shared" ca="1" si="90"/>
        <v>#VALUE!</v>
      </c>
      <c r="Y855">
        <f t="shared" ca="1" si="91"/>
        <v>0.15219421699999999</v>
      </c>
      <c r="Z855" t="e">
        <f t="shared" ca="1" si="92"/>
        <v>#VALUE!</v>
      </c>
    </row>
    <row r="856" spans="1:26" x14ac:dyDescent="0.4">
      <c r="A856" t="str">
        <f>MID(Taostats_CSV!C856,6,2)&amp;"/"&amp;MID(Taostats_CSV!C856,9,2)&amp;"/"&amp;LEFT(Taostats_CSV!C856,4)&amp;" "&amp;MID(Taostats_CSV!C856,12,8)</f>
        <v>08/28/2025 23:59:48</v>
      </c>
      <c r="C856" t="str">
        <f ca="1">IF(Q856,OFFSET(Taostats_CSV!$E$1,MATCH(K856&amp;D$1,Taostats_CSV!$X:$X,0)-1,0),IF(Taostats_CSV!F856="fee",IF(VALUE(Taostats_CSV!G856)&gt;0,Taostats_CSV!E856,""),""))</f>
        <v/>
      </c>
      <c r="D856" t="str">
        <f ca="1">IF(Q856,OFFSET(Taostats_CSV!$G$1,MATCH(K856&amp;D$1,Taostats_CSV!$X:$X,0)-1,0),IF(Taostats_CSV!F856="fee",IF(VALUE(Taostats_CSV!G856)&gt;0,Taostats_CSV!G856,""),""))</f>
        <v/>
      </c>
      <c r="E856" t="str">
        <f ca="1">IF(AND(Q856,P856&gt;0),OFFSET(Taostats_CSV!$E$1,MATCH(K856&amp;F$1,Taostats_CSV!$X:$X,0)-1,0),IF(LEN(F856)&gt;0,Taostats_CSV!E856,""))</f>
        <v>TAO</v>
      </c>
      <c r="F856" t="str">
        <f ca="1">TRIM(IF(AND(Q856,P856&gt;0),OFFSET(Taostats_CSV!$H$1,MATCH(K856&amp;F$1,Taostats_CSV!$X:$X,0)-1,0),IF(LEN(Taostats_CSV!H856)&gt;0,Taostats_CSV!H856,Taostats_CSV!R856)))</f>
        <v>0.010907778</v>
      </c>
      <c r="G856" t="str">
        <f ca="1">IF(AND(Q856,N856=1),OFFSET(Taostats_CSV!$E$1,MATCH(K856&amp;H$1,Taostats_CSV!$X:$X,0)-1,0),"")</f>
        <v/>
      </c>
      <c r="H856" t="str">
        <f ca="1">IF(AND(Q856,N856=1),OFFSET(Taostats_CSV!$G$1,MATCH(K856&amp;H$1,Taostats_CSV!$X:$X,0)-1,0),"")</f>
        <v/>
      </c>
      <c r="I856" t="str">
        <f ca="1">IF(AND(LEN(K856)=0,LEN(F856)&gt;0),"Income",IF(AND(O856&gt;0,P856&gt;0,C856&lt;&gt;E856),"Trade",IF(AND(NOT(Q856),Taostats_CSV!F856="fee"),'READ ME'!$C$5,"")))</f>
        <v>Income</v>
      </c>
      <c r="J856" t="str">
        <f ca="1">SUBSTITUTE(IF(LEN(I856)=0,Taostats_CSV!F856&amp;" "&amp;Taostats_CSV!J856,IF(I856="Cost","Extrinsic fee","")),"_"," ")</f>
        <v/>
      </c>
      <c r="K856" t="str">
        <f>TRIM(IF(LEN(Taostats_CSV!I856)&gt;0,Taostats_CSV!I856,""))</f>
        <v/>
      </c>
      <c r="L856" t="str">
        <f>IF(Taostats_CSV!E856&lt;&gt;"TAO",IF(LEN(F856)&gt;0,F856,IF(LEN(D856)&gt;0,D856,0))*Taostats_CSV!P856,"")</f>
        <v/>
      </c>
      <c r="M856" t="str">
        <f t="shared" si="93"/>
        <v/>
      </c>
      <c r="N856">
        <f>COUNTIF(Taostats_CSV!$X:$X,Taostats_CSV!$I856&amp;N$1)</f>
        <v>0</v>
      </c>
      <c r="O856">
        <f>COUNTIF(Taostats_CSV!$X:$X,Taostats_CSV!$I856&amp;O$1)</f>
        <v>0</v>
      </c>
      <c r="P856">
        <f>COUNTIF(Taostats_CSV!$X:$X,Taostats_CSV!$I856&amp;P$1)</f>
        <v>0</v>
      </c>
      <c r="Q856" t="b">
        <f t="shared" si="94"/>
        <v>0</v>
      </c>
      <c r="R856" t="b">
        <f>IF(LEN(K856)&gt;0,COUNTIF($K$3:K856,K856),FALSE)</f>
        <v>0</v>
      </c>
      <c r="S856" t="b">
        <f>IF(Taostats_CSV!A856=Taostats_CSV!$A$2,TRUE,Taostats_CSV!G856+Taostats_CSV!H856+Taostats_CSV!R856=0)</f>
        <v>0</v>
      </c>
      <c r="T856" t="b">
        <f t="shared" si="95"/>
        <v>1</v>
      </c>
      <c r="U856" t="b" cm="1">
        <f t="array" aca="1" ref="U856" ca="1">AND(T856,OR(O856-N856&gt;1,P856&gt;1,ISERROR(A856:P856)))</f>
        <v>0</v>
      </c>
      <c r="W856" t="e">
        <f>MATCH(K856&amp;$W$2,Taostats_CSV!$X$3:$X$1167,0)</f>
        <v>#N/A</v>
      </c>
      <c r="X856" t="e">
        <f t="shared" ca="1" si="90"/>
        <v>#VALUE!</v>
      </c>
      <c r="Y856">
        <f t="shared" ca="1" si="91"/>
        <v>1.0907778E-2</v>
      </c>
      <c r="Z856" t="e">
        <f t="shared" ca="1" si="92"/>
        <v>#VALUE!</v>
      </c>
    </row>
    <row r="857" spans="1:26" x14ac:dyDescent="0.4">
      <c r="A857" t="str">
        <f>MID(Taostats_CSV!C857,6,2)&amp;"/"&amp;MID(Taostats_CSV!C857,9,2)&amp;"/"&amp;LEFT(Taostats_CSV!C857,4)&amp;" "&amp;MID(Taostats_CSV!C857,12,8)</f>
        <v>08/29/2025 23:59:48</v>
      </c>
      <c r="C857" t="str">
        <f ca="1">IF(Q857,OFFSET(Taostats_CSV!$E$1,MATCH(K857&amp;D$1,Taostats_CSV!$X:$X,0)-1,0),IF(Taostats_CSV!F857="fee",IF(VALUE(Taostats_CSV!G857)&gt;0,Taostats_CSV!E857,""),""))</f>
        <v/>
      </c>
      <c r="D857" t="str">
        <f ca="1">IF(Q857,OFFSET(Taostats_CSV!$G$1,MATCH(K857&amp;D$1,Taostats_CSV!$X:$X,0)-1,0),IF(Taostats_CSV!F857="fee",IF(VALUE(Taostats_CSV!G857)&gt;0,Taostats_CSV!G857,""),""))</f>
        <v/>
      </c>
      <c r="E857" t="str">
        <f ca="1">IF(AND(Q857,P857&gt;0),OFFSET(Taostats_CSV!$E$1,MATCH(K857&amp;F$1,Taostats_CSV!$X:$X,0)-1,0),IF(LEN(F857)&gt;0,Taostats_CSV!E857,""))</f>
        <v>SN3</v>
      </c>
      <c r="F857" t="str">
        <f ca="1">TRIM(IF(AND(Q857,P857&gt;0),OFFSET(Taostats_CSV!$H$1,MATCH(K857&amp;F$1,Taostats_CSV!$X:$X,0)-1,0),IF(LEN(Taostats_CSV!H857)&gt;0,Taostats_CSV!H857,Taostats_CSV!R857)))</f>
        <v>0.436299557</v>
      </c>
      <c r="G857" t="str">
        <f ca="1">IF(AND(Q857,N857=1),OFFSET(Taostats_CSV!$E$1,MATCH(K857&amp;H$1,Taostats_CSV!$X:$X,0)-1,0),"")</f>
        <v/>
      </c>
      <c r="H857" t="str">
        <f ca="1">IF(AND(Q857,N857=1),OFFSET(Taostats_CSV!$G$1,MATCH(K857&amp;H$1,Taostats_CSV!$X:$X,0)-1,0),"")</f>
        <v/>
      </c>
      <c r="I857" t="str">
        <f ca="1">IF(AND(LEN(K857)=0,LEN(F857)&gt;0),"Income",IF(AND(O857&gt;0,P857&gt;0,C857&lt;&gt;E857),"Trade",IF(AND(NOT(Q857),Taostats_CSV!F857="fee"),'READ ME'!$C$5,"")))</f>
        <v>Income</v>
      </c>
      <c r="J857" t="str">
        <f ca="1">SUBSTITUTE(IF(LEN(I857)=0,Taostats_CSV!F857&amp;" "&amp;Taostats_CSV!J857,IF(I857="Cost","Extrinsic fee","")),"_"," ")</f>
        <v/>
      </c>
      <c r="K857" t="str">
        <f>TRIM(IF(LEN(Taostats_CSV!I857)&gt;0,Taostats_CSV!I857,""))</f>
        <v/>
      </c>
      <c r="L857">
        <f ca="1">IF(Taostats_CSV!E857&lt;&gt;"TAO",IF(LEN(F857)&gt;0,F857,IF(LEN(D857)&gt;0,D857,0))*Taostats_CSV!P857,"")</f>
        <v>6.239953611037258</v>
      </c>
      <c r="M857" t="str">
        <f t="shared" ca="1" si="93"/>
        <v>USD</v>
      </c>
      <c r="N857">
        <f>COUNTIF(Taostats_CSV!$X:$X,Taostats_CSV!$I857&amp;N$1)</f>
        <v>0</v>
      </c>
      <c r="O857">
        <f>COUNTIF(Taostats_CSV!$X:$X,Taostats_CSV!$I857&amp;O$1)</f>
        <v>0</v>
      </c>
      <c r="P857">
        <f>COUNTIF(Taostats_CSV!$X:$X,Taostats_CSV!$I857&amp;P$1)</f>
        <v>0</v>
      </c>
      <c r="Q857" t="b">
        <f t="shared" si="94"/>
        <v>0</v>
      </c>
      <c r="R857" t="b">
        <f>IF(LEN(K857)&gt;0,COUNTIF($K$3:K857,K857),FALSE)</f>
        <v>0</v>
      </c>
      <c r="S857" t="b">
        <f>IF(Taostats_CSV!A857=Taostats_CSV!$A$2,TRUE,Taostats_CSV!G857+Taostats_CSV!H857+Taostats_CSV!R857=0)</f>
        <v>0</v>
      </c>
      <c r="T857" t="b">
        <f t="shared" si="95"/>
        <v>1</v>
      </c>
      <c r="U857" t="b" cm="1">
        <f t="array" aca="1" ref="U857" ca="1">AND(T857,OR(O857-N857&gt;1,P857&gt;1,ISERROR(A857:P857)))</f>
        <v>0</v>
      </c>
      <c r="W857" t="e">
        <f>MATCH(K857&amp;$W$2,Taostats_CSV!$X$3:$X$1167,0)</f>
        <v>#N/A</v>
      </c>
      <c r="X857" t="e">
        <f t="shared" ca="1" si="90"/>
        <v>#VALUE!</v>
      </c>
      <c r="Y857">
        <f t="shared" ca="1" si="91"/>
        <v>0.436299557</v>
      </c>
      <c r="Z857" t="e">
        <f t="shared" ca="1" si="92"/>
        <v>#VALUE!</v>
      </c>
    </row>
    <row r="858" spans="1:26" x14ac:dyDescent="0.4">
      <c r="A858" t="str">
        <f>MID(Taostats_CSV!C858,6,2)&amp;"/"&amp;MID(Taostats_CSV!C858,9,2)&amp;"/"&amp;LEFT(Taostats_CSV!C858,4)&amp;" "&amp;MID(Taostats_CSV!C858,12,8)</f>
        <v>08/29/2025 23:59:48</v>
      </c>
      <c r="C858" t="str">
        <f ca="1">IF(Q858,OFFSET(Taostats_CSV!$E$1,MATCH(K858&amp;D$1,Taostats_CSV!$X:$X,0)-1,0),IF(Taostats_CSV!F858="fee",IF(VALUE(Taostats_CSV!G858)&gt;0,Taostats_CSV!E858,""),""))</f>
        <v/>
      </c>
      <c r="D858" t="str">
        <f ca="1">IF(Q858,OFFSET(Taostats_CSV!$G$1,MATCH(K858&amp;D$1,Taostats_CSV!$X:$X,0)-1,0),IF(Taostats_CSV!F858="fee",IF(VALUE(Taostats_CSV!G858)&gt;0,Taostats_CSV!G858,""),""))</f>
        <v/>
      </c>
      <c r="E858" t="str">
        <f ca="1">IF(AND(Q858,P858&gt;0),OFFSET(Taostats_CSV!$E$1,MATCH(K858&amp;F$1,Taostats_CSV!$X:$X,0)-1,0),IF(LEN(F858)&gt;0,Taostats_CSV!E858,""))</f>
        <v>SN4</v>
      </c>
      <c r="F858" t="str">
        <f ca="1">TRIM(IF(AND(Q858,P858&gt;0),OFFSET(Taostats_CSV!$H$1,MATCH(K858&amp;F$1,Taostats_CSV!$X:$X,0)-1,0),IF(LEN(Taostats_CSV!H858)&gt;0,Taostats_CSV!H858,Taostats_CSV!R858)))</f>
        <v>0.448420847</v>
      </c>
      <c r="G858" t="str">
        <f ca="1">IF(AND(Q858,N858=1),OFFSET(Taostats_CSV!$E$1,MATCH(K858&amp;H$1,Taostats_CSV!$X:$X,0)-1,0),"")</f>
        <v/>
      </c>
      <c r="H858" t="str">
        <f ca="1">IF(AND(Q858,N858=1),OFFSET(Taostats_CSV!$G$1,MATCH(K858&amp;H$1,Taostats_CSV!$X:$X,0)-1,0),"")</f>
        <v/>
      </c>
      <c r="I858" t="str">
        <f ca="1">IF(AND(LEN(K858)=0,LEN(F858)&gt;0),"Income",IF(AND(O858&gt;0,P858&gt;0,C858&lt;&gt;E858),"Trade",IF(AND(NOT(Q858),Taostats_CSV!F858="fee"),'READ ME'!$C$5,"")))</f>
        <v>Income</v>
      </c>
      <c r="J858" t="str">
        <f ca="1">SUBSTITUTE(IF(LEN(I858)=0,Taostats_CSV!F858&amp;" "&amp;Taostats_CSV!J858,IF(I858="Cost","Extrinsic fee","")),"_"," ")</f>
        <v/>
      </c>
      <c r="K858" t="str">
        <f>TRIM(IF(LEN(Taostats_CSV!I858)&gt;0,Taostats_CSV!I858,""))</f>
        <v/>
      </c>
      <c r="L858">
        <f ca="1">IF(Taostats_CSV!E858&lt;&gt;"TAO",IF(LEN(F858)&gt;0,F858,IF(LEN(D858)&gt;0,D858,0))*Taostats_CSV!P858,"")</f>
        <v>6.7113800213777361</v>
      </c>
      <c r="M858" t="str">
        <f t="shared" ca="1" si="93"/>
        <v>USD</v>
      </c>
      <c r="N858">
        <f>COUNTIF(Taostats_CSV!$X:$X,Taostats_CSV!$I858&amp;N$1)</f>
        <v>0</v>
      </c>
      <c r="O858">
        <f>COUNTIF(Taostats_CSV!$X:$X,Taostats_CSV!$I858&amp;O$1)</f>
        <v>0</v>
      </c>
      <c r="P858">
        <f>COUNTIF(Taostats_CSV!$X:$X,Taostats_CSV!$I858&amp;P$1)</f>
        <v>0</v>
      </c>
      <c r="Q858" t="b">
        <f t="shared" si="94"/>
        <v>0</v>
      </c>
      <c r="R858" t="b">
        <f>IF(LEN(K858)&gt;0,COUNTIF($K$3:K858,K858),FALSE)</f>
        <v>0</v>
      </c>
      <c r="S858" t="b">
        <f>IF(Taostats_CSV!A858=Taostats_CSV!$A$2,TRUE,Taostats_CSV!G858+Taostats_CSV!H858+Taostats_CSV!R858=0)</f>
        <v>0</v>
      </c>
      <c r="T858" t="b">
        <f t="shared" si="95"/>
        <v>1</v>
      </c>
      <c r="U858" t="b" cm="1">
        <f t="array" aca="1" ref="U858" ca="1">AND(T858,OR(O858-N858&gt;1,P858&gt;1,ISERROR(A858:P858)))</f>
        <v>0</v>
      </c>
      <c r="W858" t="e">
        <f>MATCH(K858&amp;$W$2,Taostats_CSV!$X$3:$X$1167,0)</f>
        <v>#N/A</v>
      </c>
      <c r="X858" t="e">
        <f t="shared" ca="1" si="90"/>
        <v>#VALUE!</v>
      </c>
      <c r="Y858">
        <f t="shared" ca="1" si="91"/>
        <v>0.44842084700000001</v>
      </c>
      <c r="Z858" t="e">
        <f t="shared" ca="1" si="92"/>
        <v>#VALUE!</v>
      </c>
    </row>
    <row r="859" spans="1:26" x14ac:dyDescent="0.4">
      <c r="A859" t="str">
        <f>MID(Taostats_CSV!C859,6,2)&amp;"/"&amp;MID(Taostats_CSV!C859,9,2)&amp;"/"&amp;LEFT(Taostats_CSV!C859,4)&amp;" "&amp;MID(Taostats_CSV!C859,12,8)</f>
        <v>08/29/2025 23:59:48</v>
      </c>
      <c r="C859" t="str">
        <f ca="1">IF(Q859,OFFSET(Taostats_CSV!$E$1,MATCH(K859&amp;D$1,Taostats_CSV!$X:$X,0)-1,0),IF(Taostats_CSV!F859="fee",IF(VALUE(Taostats_CSV!G859)&gt;0,Taostats_CSV!E859,""),""))</f>
        <v/>
      </c>
      <c r="D859" t="str">
        <f ca="1">IF(Q859,OFFSET(Taostats_CSV!$G$1,MATCH(K859&amp;D$1,Taostats_CSV!$X:$X,0)-1,0),IF(Taostats_CSV!F859="fee",IF(VALUE(Taostats_CSV!G859)&gt;0,Taostats_CSV!G859,""),""))</f>
        <v/>
      </c>
      <c r="E859" t="str">
        <f ca="1">IF(AND(Q859,P859&gt;0),OFFSET(Taostats_CSV!$E$1,MATCH(K859&amp;F$1,Taostats_CSV!$X:$X,0)-1,0),IF(LEN(F859)&gt;0,Taostats_CSV!E859,""))</f>
        <v>SN56</v>
      </c>
      <c r="F859" t="str">
        <f ca="1">TRIM(IF(AND(Q859,P859&gt;0),OFFSET(Taostats_CSV!$H$1,MATCH(K859&amp;F$1,Taostats_CSV!$X:$X,0)-1,0),IF(LEN(Taostats_CSV!H859)&gt;0,Taostats_CSV!H859,Taostats_CSV!R859)))</f>
        <v>0.291974123</v>
      </c>
      <c r="G859" t="str">
        <f ca="1">IF(AND(Q859,N859=1),OFFSET(Taostats_CSV!$E$1,MATCH(K859&amp;H$1,Taostats_CSV!$X:$X,0)-1,0),"")</f>
        <v/>
      </c>
      <c r="H859" t="str">
        <f ca="1">IF(AND(Q859,N859=1),OFFSET(Taostats_CSV!$G$1,MATCH(K859&amp;H$1,Taostats_CSV!$X:$X,0)-1,0),"")</f>
        <v/>
      </c>
      <c r="I859" t="str">
        <f ca="1">IF(AND(LEN(K859)=0,LEN(F859)&gt;0),"Income",IF(AND(O859&gt;0,P859&gt;0,C859&lt;&gt;E859),"Trade",IF(AND(NOT(Q859),Taostats_CSV!F859="fee"),'READ ME'!$C$5,"")))</f>
        <v>Income</v>
      </c>
      <c r="J859" t="str">
        <f ca="1">SUBSTITUTE(IF(LEN(I859)=0,Taostats_CSV!F859&amp;" "&amp;Taostats_CSV!J859,IF(I859="Cost","Extrinsic fee","")),"_"," ")</f>
        <v/>
      </c>
      <c r="K859" t="str">
        <f>TRIM(IF(LEN(Taostats_CSV!I859)&gt;0,Taostats_CSV!I859,""))</f>
        <v/>
      </c>
      <c r="L859">
        <f ca="1">IF(Taostats_CSV!E859&lt;&gt;"TAO",IF(LEN(F859)&gt;0,F859,IF(LEN(D859)&gt;0,D859,0))*Taostats_CSV!P859,"")</f>
        <v>3.5703416343105268</v>
      </c>
      <c r="M859" t="str">
        <f t="shared" ca="1" si="93"/>
        <v>USD</v>
      </c>
      <c r="N859">
        <f>COUNTIF(Taostats_CSV!$X:$X,Taostats_CSV!$I859&amp;N$1)</f>
        <v>0</v>
      </c>
      <c r="O859">
        <f>COUNTIF(Taostats_CSV!$X:$X,Taostats_CSV!$I859&amp;O$1)</f>
        <v>0</v>
      </c>
      <c r="P859">
        <f>COUNTIF(Taostats_CSV!$X:$X,Taostats_CSV!$I859&amp;P$1)</f>
        <v>0</v>
      </c>
      <c r="Q859" t="b">
        <f t="shared" si="94"/>
        <v>0</v>
      </c>
      <c r="R859" t="b">
        <f>IF(LEN(K859)&gt;0,COUNTIF($K$3:K859,K859),FALSE)</f>
        <v>0</v>
      </c>
      <c r="S859" t="b">
        <f>IF(Taostats_CSV!A859=Taostats_CSV!$A$2,TRUE,Taostats_CSV!G859+Taostats_CSV!H859+Taostats_CSV!R859=0)</f>
        <v>0</v>
      </c>
      <c r="T859" t="b">
        <f t="shared" si="95"/>
        <v>1</v>
      </c>
      <c r="U859" t="b" cm="1">
        <f t="array" aca="1" ref="U859" ca="1">AND(T859,OR(O859-N859&gt;1,P859&gt;1,ISERROR(A859:P859)))</f>
        <v>0</v>
      </c>
      <c r="W859" t="e">
        <f>MATCH(K859&amp;$W$2,Taostats_CSV!$X$3:$X$1167,0)</f>
        <v>#N/A</v>
      </c>
      <c r="X859" t="e">
        <f t="shared" ca="1" si="90"/>
        <v>#VALUE!</v>
      </c>
      <c r="Y859">
        <f t="shared" ca="1" si="91"/>
        <v>0.29197412299999997</v>
      </c>
      <c r="Z859" t="e">
        <f t="shared" ca="1" si="92"/>
        <v>#VALUE!</v>
      </c>
    </row>
    <row r="860" spans="1:26" x14ac:dyDescent="0.4">
      <c r="A860" t="str">
        <f>MID(Taostats_CSV!C860,6,2)&amp;"/"&amp;MID(Taostats_CSV!C860,9,2)&amp;"/"&amp;LEFT(Taostats_CSV!C860,4)&amp;" "&amp;MID(Taostats_CSV!C860,12,8)</f>
        <v>08/29/2025 23:59:48</v>
      </c>
      <c r="C860" t="str">
        <f ca="1">IF(Q860,OFFSET(Taostats_CSV!$E$1,MATCH(K860&amp;D$1,Taostats_CSV!$X:$X,0)-1,0),IF(Taostats_CSV!F860="fee",IF(VALUE(Taostats_CSV!G860)&gt;0,Taostats_CSV!E860,""),""))</f>
        <v/>
      </c>
      <c r="D860" t="str">
        <f ca="1">IF(Q860,OFFSET(Taostats_CSV!$G$1,MATCH(K860&amp;D$1,Taostats_CSV!$X:$X,0)-1,0),IF(Taostats_CSV!F860="fee",IF(VALUE(Taostats_CSV!G860)&gt;0,Taostats_CSV!G860,""),""))</f>
        <v/>
      </c>
      <c r="E860" t="str">
        <f ca="1">IF(AND(Q860,P860&gt;0),OFFSET(Taostats_CSV!$E$1,MATCH(K860&amp;F$1,Taostats_CSV!$X:$X,0)-1,0),IF(LEN(F860)&gt;0,Taostats_CSV!E860,""))</f>
        <v>SN64</v>
      </c>
      <c r="F860" t="str">
        <f ca="1">TRIM(IF(AND(Q860,P860&gt;0),OFFSET(Taostats_CSV!$H$1,MATCH(K860&amp;F$1,Taostats_CSV!$X:$X,0)-1,0),IF(LEN(Taostats_CSV!H860)&gt;0,Taostats_CSV!H860,Taostats_CSV!R860)))</f>
        <v>0.149538694</v>
      </c>
      <c r="G860" t="str">
        <f ca="1">IF(AND(Q860,N860=1),OFFSET(Taostats_CSV!$E$1,MATCH(K860&amp;H$1,Taostats_CSV!$X:$X,0)-1,0),"")</f>
        <v/>
      </c>
      <c r="H860" t="str">
        <f ca="1">IF(AND(Q860,N860=1),OFFSET(Taostats_CSV!$G$1,MATCH(K860&amp;H$1,Taostats_CSV!$X:$X,0)-1,0),"")</f>
        <v/>
      </c>
      <c r="I860" t="str">
        <f ca="1">IF(AND(LEN(K860)=0,LEN(F860)&gt;0),"Income",IF(AND(O860&gt;0,P860&gt;0,C860&lt;&gt;E860),"Trade",IF(AND(NOT(Q860),Taostats_CSV!F860="fee"),'READ ME'!$C$5,"")))</f>
        <v>Income</v>
      </c>
      <c r="J860" t="str">
        <f ca="1">SUBSTITUTE(IF(LEN(I860)=0,Taostats_CSV!F860&amp;" "&amp;Taostats_CSV!J860,IF(I860="Cost","Extrinsic fee","")),"_"," ")</f>
        <v/>
      </c>
      <c r="K860" t="str">
        <f>TRIM(IF(LEN(Taostats_CSV!I860)&gt;0,Taostats_CSV!I860,""))</f>
        <v/>
      </c>
      <c r="L860">
        <f ca="1">IF(Taostats_CSV!E860&lt;&gt;"TAO",IF(LEN(F860)&gt;0,F860,IF(LEN(D860)&gt;0,D860,0))*Taostats_CSV!P860,"")</f>
        <v>4.9827261405606009</v>
      </c>
      <c r="M860" t="str">
        <f t="shared" ca="1" si="93"/>
        <v>USD</v>
      </c>
      <c r="N860">
        <f>COUNTIF(Taostats_CSV!$X:$X,Taostats_CSV!$I860&amp;N$1)</f>
        <v>0</v>
      </c>
      <c r="O860">
        <f>COUNTIF(Taostats_CSV!$X:$X,Taostats_CSV!$I860&amp;O$1)</f>
        <v>0</v>
      </c>
      <c r="P860">
        <f>COUNTIF(Taostats_CSV!$X:$X,Taostats_CSV!$I860&amp;P$1)</f>
        <v>0</v>
      </c>
      <c r="Q860" t="b">
        <f t="shared" si="94"/>
        <v>0</v>
      </c>
      <c r="R860" t="b">
        <f>IF(LEN(K860)&gt;0,COUNTIF($K$3:K860,K860),FALSE)</f>
        <v>0</v>
      </c>
      <c r="S860" t="b">
        <f>IF(Taostats_CSV!A860=Taostats_CSV!$A$2,TRUE,Taostats_CSV!G860+Taostats_CSV!H860+Taostats_CSV!R860=0)</f>
        <v>0</v>
      </c>
      <c r="T860" t="b">
        <f t="shared" si="95"/>
        <v>1</v>
      </c>
      <c r="U860" t="b" cm="1">
        <f t="array" aca="1" ref="U860" ca="1">AND(T860,OR(O860-N860&gt;1,P860&gt;1,ISERROR(A860:P860)))</f>
        <v>0</v>
      </c>
      <c r="W860" t="e">
        <f>MATCH(K860&amp;$W$2,Taostats_CSV!$X$3:$X$1167,0)</f>
        <v>#N/A</v>
      </c>
      <c r="X860" t="e">
        <f t="shared" ca="1" si="90"/>
        <v>#VALUE!</v>
      </c>
      <c r="Y860">
        <f t="shared" ca="1" si="91"/>
        <v>0.149538694</v>
      </c>
      <c r="Z860" t="e">
        <f t="shared" ca="1" si="92"/>
        <v>#VALUE!</v>
      </c>
    </row>
    <row r="861" spans="1:26" x14ac:dyDescent="0.4">
      <c r="A861" t="str">
        <f>MID(Taostats_CSV!C861,6,2)&amp;"/"&amp;MID(Taostats_CSV!C861,9,2)&amp;"/"&amp;LEFT(Taostats_CSV!C861,4)&amp;" "&amp;MID(Taostats_CSV!C861,12,8)</f>
        <v>08/29/2025 23:59:48</v>
      </c>
      <c r="C861" t="str">
        <f ca="1">IF(Q861,OFFSET(Taostats_CSV!$E$1,MATCH(K861&amp;D$1,Taostats_CSV!$X:$X,0)-1,0),IF(Taostats_CSV!F861="fee",IF(VALUE(Taostats_CSV!G861)&gt;0,Taostats_CSV!E861,""),""))</f>
        <v/>
      </c>
      <c r="D861" t="str">
        <f ca="1">IF(Q861,OFFSET(Taostats_CSV!$G$1,MATCH(K861&amp;D$1,Taostats_CSV!$X:$X,0)-1,0),IF(Taostats_CSV!F861="fee",IF(VALUE(Taostats_CSV!G861)&gt;0,Taostats_CSV!G861,""),""))</f>
        <v/>
      </c>
      <c r="E861" t="str">
        <f ca="1">IF(AND(Q861,P861&gt;0),OFFSET(Taostats_CSV!$E$1,MATCH(K861&amp;F$1,Taostats_CSV!$X:$X,0)-1,0),IF(LEN(F861)&gt;0,Taostats_CSV!E861,""))</f>
        <v>TAO</v>
      </c>
      <c r="F861" t="str">
        <f ca="1">TRIM(IF(AND(Q861,P861&gt;0),OFFSET(Taostats_CSV!$H$1,MATCH(K861&amp;F$1,Taostats_CSV!$X:$X,0)-1,0),IF(LEN(Taostats_CSV!H861)&gt;0,Taostats_CSV!H861,Taostats_CSV!R861)))</f>
        <v>0.011115336</v>
      </c>
      <c r="G861" t="str">
        <f ca="1">IF(AND(Q861,N861=1),OFFSET(Taostats_CSV!$E$1,MATCH(K861&amp;H$1,Taostats_CSV!$X:$X,0)-1,0),"")</f>
        <v/>
      </c>
      <c r="H861" t="str">
        <f ca="1">IF(AND(Q861,N861=1),OFFSET(Taostats_CSV!$G$1,MATCH(K861&amp;H$1,Taostats_CSV!$X:$X,0)-1,0),"")</f>
        <v/>
      </c>
      <c r="I861" t="str">
        <f ca="1">IF(AND(LEN(K861)=0,LEN(F861)&gt;0),"Income",IF(AND(O861&gt;0,P861&gt;0,C861&lt;&gt;E861),"Trade",IF(AND(NOT(Q861),Taostats_CSV!F861="fee"),'READ ME'!$C$5,"")))</f>
        <v>Income</v>
      </c>
      <c r="J861" t="str">
        <f ca="1">SUBSTITUTE(IF(LEN(I861)=0,Taostats_CSV!F861&amp;" "&amp;Taostats_CSV!J861,IF(I861="Cost","Extrinsic fee","")),"_"," ")</f>
        <v/>
      </c>
      <c r="K861" t="str">
        <f>TRIM(IF(LEN(Taostats_CSV!I861)&gt;0,Taostats_CSV!I861,""))</f>
        <v/>
      </c>
      <c r="L861" t="str">
        <f>IF(Taostats_CSV!E861&lt;&gt;"TAO",IF(LEN(F861)&gt;0,F861,IF(LEN(D861)&gt;0,D861,0))*Taostats_CSV!P861,"")</f>
        <v/>
      </c>
      <c r="M861" t="str">
        <f t="shared" si="93"/>
        <v/>
      </c>
      <c r="N861">
        <f>COUNTIF(Taostats_CSV!$X:$X,Taostats_CSV!$I861&amp;N$1)</f>
        <v>0</v>
      </c>
      <c r="O861">
        <f>COUNTIF(Taostats_CSV!$X:$X,Taostats_CSV!$I861&amp;O$1)</f>
        <v>0</v>
      </c>
      <c r="P861">
        <f>COUNTIF(Taostats_CSV!$X:$X,Taostats_CSV!$I861&amp;P$1)</f>
        <v>0</v>
      </c>
      <c r="Q861" t="b">
        <f t="shared" si="94"/>
        <v>0</v>
      </c>
      <c r="R861" t="b">
        <f>IF(LEN(K861)&gt;0,COUNTIF($K$3:K861,K861),FALSE)</f>
        <v>0</v>
      </c>
      <c r="S861" t="b">
        <f>IF(Taostats_CSV!A861=Taostats_CSV!$A$2,TRUE,Taostats_CSV!G861+Taostats_CSV!H861+Taostats_CSV!R861=0)</f>
        <v>0</v>
      </c>
      <c r="T861" t="b">
        <f t="shared" si="95"/>
        <v>1</v>
      </c>
      <c r="U861" t="b" cm="1">
        <f t="array" aca="1" ref="U861" ca="1">AND(T861,OR(O861-N861&gt;1,P861&gt;1,ISERROR(A861:P861)))</f>
        <v>0</v>
      </c>
      <c r="W861" t="e">
        <f>MATCH(K861&amp;$W$2,Taostats_CSV!$X$3:$X$1167,0)</f>
        <v>#N/A</v>
      </c>
      <c r="X861" t="e">
        <f t="shared" ca="1" si="90"/>
        <v>#VALUE!</v>
      </c>
      <c r="Y861">
        <f t="shared" ca="1" si="91"/>
        <v>1.1115336E-2</v>
      </c>
      <c r="Z861" t="e">
        <f t="shared" ca="1" si="92"/>
        <v>#VALUE!</v>
      </c>
    </row>
    <row r="862" spans="1:26" x14ac:dyDescent="0.4">
      <c r="A862" t="str">
        <f>MID(Taostats_CSV!C862,6,2)&amp;"/"&amp;MID(Taostats_CSV!C862,9,2)&amp;"/"&amp;LEFT(Taostats_CSV!C862,4)&amp;" "&amp;MID(Taostats_CSV!C862,12,8)</f>
        <v>08/30/2025 23:59:48</v>
      </c>
      <c r="C862" t="str">
        <f ca="1">IF(Q862,OFFSET(Taostats_CSV!$E$1,MATCH(K862&amp;D$1,Taostats_CSV!$X:$X,0)-1,0),IF(Taostats_CSV!F862="fee",IF(VALUE(Taostats_CSV!G862)&gt;0,Taostats_CSV!E862,""),""))</f>
        <v/>
      </c>
      <c r="D862" t="str">
        <f ca="1">IF(Q862,OFFSET(Taostats_CSV!$G$1,MATCH(K862&amp;D$1,Taostats_CSV!$X:$X,0)-1,0),IF(Taostats_CSV!F862="fee",IF(VALUE(Taostats_CSV!G862)&gt;0,Taostats_CSV!G862,""),""))</f>
        <v/>
      </c>
      <c r="E862" t="str">
        <f ca="1">IF(AND(Q862,P862&gt;0),OFFSET(Taostats_CSV!$E$1,MATCH(K862&amp;F$1,Taostats_CSV!$X:$X,0)-1,0),IF(LEN(F862)&gt;0,Taostats_CSV!E862,""))</f>
        <v>SN3</v>
      </c>
      <c r="F862" t="str">
        <f ca="1">TRIM(IF(AND(Q862,P862&gt;0),OFFSET(Taostats_CSV!$H$1,MATCH(K862&amp;F$1,Taostats_CSV!$X:$X,0)-1,0),IF(LEN(Taostats_CSV!H862)&gt;0,Taostats_CSV!H862,Taostats_CSV!R862)))</f>
        <v>0.436930859</v>
      </c>
      <c r="G862" t="str">
        <f ca="1">IF(AND(Q862,N862=1),OFFSET(Taostats_CSV!$E$1,MATCH(K862&amp;H$1,Taostats_CSV!$X:$X,0)-1,0),"")</f>
        <v/>
      </c>
      <c r="H862" t="str">
        <f ca="1">IF(AND(Q862,N862=1),OFFSET(Taostats_CSV!$G$1,MATCH(K862&amp;H$1,Taostats_CSV!$X:$X,0)-1,0),"")</f>
        <v/>
      </c>
      <c r="I862" t="str">
        <f ca="1">IF(AND(LEN(K862)=0,LEN(F862)&gt;0),"Income",IF(AND(O862&gt;0,P862&gt;0,C862&lt;&gt;E862),"Trade",IF(AND(NOT(Q862),Taostats_CSV!F862="fee"),'READ ME'!$C$5,"")))</f>
        <v>Income</v>
      </c>
      <c r="J862" t="str">
        <f ca="1">SUBSTITUTE(IF(LEN(I862)=0,Taostats_CSV!F862&amp;" "&amp;Taostats_CSV!J862,IF(I862="Cost","Extrinsic fee","")),"_"," ")</f>
        <v/>
      </c>
      <c r="K862" t="str">
        <f>TRIM(IF(LEN(Taostats_CSV!I862)&gt;0,Taostats_CSV!I862,""))</f>
        <v/>
      </c>
      <c r="L862">
        <f ca="1">IF(Taostats_CSV!E862&lt;&gt;"TAO",IF(LEN(F862)&gt;0,F862,IF(LEN(D862)&gt;0,D862,0))*Taostats_CSV!P862,"")</f>
        <v>6.279227634823501</v>
      </c>
      <c r="M862" t="str">
        <f t="shared" ca="1" si="93"/>
        <v>USD</v>
      </c>
      <c r="N862">
        <f>COUNTIF(Taostats_CSV!$X:$X,Taostats_CSV!$I862&amp;N$1)</f>
        <v>0</v>
      </c>
      <c r="O862">
        <f>COUNTIF(Taostats_CSV!$X:$X,Taostats_CSV!$I862&amp;O$1)</f>
        <v>0</v>
      </c>
      <c r="P862">
        <f>COUNTIF(Taostats_CSV!$X:$X,Taostats_CSV!$I862&amp;P$1)</f>
        <v>0</v>
      </c>
      <c r="Q862" t="b">
        <f t="shared" si="94"/>
        <v>0</v>
      </c>
      <c r="R862" t="b">
        <f>IF(LEN(K862)&gt;0,COUNTIF($K$3:K862,K862),FALSE)</f>
        <v>0</v>
      </c>
      <c r="S862" t="b">
        <f>IF(Taostats_CSV!A862=Taostats_CSV!$A$2,TRUE,Taostats_CSV!G862+Taostats_CSV!H862+Taostats_CSV!R862=0)</f>
        <v>0</v>
      </c>
      <c r="T862" t="b">
        <f t="shared" si="95"/>
        <v>1</v>
      </c>
      <c r="U862" t="b" cm="1">
        <f t="array" aca="1" ref="U862" ca="1">AND(T862,OR(O862-N862&gt;1,P862&gt;1,ISERROR(A862:P862)))</f>
        <v>0</v>
      </c>
      <c r="W862" t="e">
        <f>MATCH(K862&amp;$W$2,Taostats_CSV!$X$3:$X$1167,0)</f>
        <v>#N/A</v>
      </c>
      <c r="X862" t="e">
        <f t="shared" ca="1" si="90"/>
        <v>#VALUE!</v>
      </c>
      <c r="Y862">
        <f t="shared" ca="1" si="91"/>
        <v>0.436930859</v>
      </c>
      <c r="Z862" t="e">
        <f t="shared" ca="1" si="92"/>
        <v>#VALUE!</v>
      </c>
    </row>
    <row r="863" spans="1:26" x14ac:dyDescent="0.4">
      <c r="A863" t="str">
        <f>MID(Taostats_CSV!C863,6,2)&amp;"/"&amp;MID(Taostats_CSV!C863,9,2)&amp;"/"&amp;LEFT(Taostats_CSV!C863,4)&amp;" "&amp;MID(Taostats_CSV!C863,12,8)</f>
        <v>08/30/2025 23:59:48</v>
      </c>
      <c r="C863" t="str">
        <f ca="1">IF(Q863,OFFSET(Taostats_CSV!$E$1,MATCH(K863&amp;D$1,Taostats_CSV!$X:$X,0)-1,0),IF(Taostats_CSV!F863="fee",IF(VALUE(Taostats_CSV!G863)&gt;0,Taostats_CSV!E863,""),""))</f>
        <v/>
      </c>
      <c r="D863" t="str">
        <f ca="1">IF(Q863,OFFSET(Taostats_CSV!$G$1,MATCH(K863&amp;D$1,Taostats_CSV!$X:$X,0)-1,0),IF(Taostats_CSV!F863="fee",IF(VALUE(Taostats_CSV!G863)&gt;0,Taostats_CSV!G863,""),""))</f>
        <v/>
      </c>
      <c r="E863" t="str">
        <f ca="1">IF(AND(Q863,P863&gt;0),OFFSET(Taostats_CSV!$E$1,MATCH(K863&amp;F$1,Taostats_CSV!$X:$X,0)-1,0),IF(LEN(F863)&gt;0,Taostats_CSV!E863,""))</f>
        <v>SN4</v>
      </c>
      <c r="F863" t="str">
        <f ca="1">TRIM(IF(AND(Q863,P863&gt;0),OFFSET(Taostats_CSV!$H$1,MATCH(K863&amp;F$1,Taostats_CSV!$X:$X,0)-1,0),IF(LEN(Taostats_CSV!H863)&gt;0,Taostats_CSV!H863,Taostats_CSV!R863)))</f>
        <v>0.492385641</v>
      </c>
      <c r="G863" t="str">
        <f ca="1">IF(AND(Q863,N863=1),OFFSET(Taostats_CSV!$E$1,MATCH(K863&amp;H$1,Taostats_CSV!$X:$X,0)-1,0),"")</f>
        <v/>
      </c>
      <c r="H863" t="str">
        <f ca="1">IF(AND(Q863,N863=1),OFFSET(Taostats_CSV!$G$1,MATCH(K863&amp;H$1,Taostats_CSV!$X:$X,0)-1,0),"")</f>
        <v/>
      </c>
      <c r="I863" t="str">
        <f ca="1">IF(AND(LEN(K863)=0,LEN(F863)&gt;0),"Income",IF(AND(O863&gt;0,P863&gt;0,C863&lt;&gt;E863),"Trade",IF(AND(NOT(Q863),Taostats_CSV!F863="fee"),'READ ME'!$C$5,"")))</f>
        <v>Income</v>
      </c>
      <c r="J863" t="str">
        <f ca="1">SUBSTITUTE(IF(LEN(I863)=0,Taostats_CSV!F863&amp;" "&amp;Taostats_CSV!J863,IF(I863="Cost","Extrinsic fee","")),"_"," ")</f>
        <v/>
      </c>
      <c r="K863" t="str">
        <f>TRIM(IF(LEN(Taostats_CSV!I863)&gt;0,Taostats_CSV!I863,""))</f>
        <v/>
      </c>
      <c r="L863">
        <f ca="1">IF(Taostats_CSV!E863&lt;&gt;"TAO",IF(LEN(F863)&gt;0,F863,IF(LEN(D863)&gt;0,D863,0))*Taostats_CSV!P863,"")</f>
        <v>7.3967267173648619</v>
      </c>
      <c r="M863" t="str">
        <f t="shared" ca="1" si="93"/>
        <v>USD</v>
      </c>
      <c r="N863">
        <f>COUNTIF(Taostats_CSV!$X:$X,Taostats_CSV!$I863&amp;N$1)</f>
        <v>0</v>
      </c>
      <c r="O863">
        <f>COUNTIF(Taostats_CSV!$X:$X,Taostats_CSV!$I863&amp;O$1)</f>
        <v>0</v>
      </c>
      <c r="P863">
        <f>COUNTIF(Taostats_CSV!$X:$X,Taostats_CSV!$I863&amp;P$1)</f>
        <v>0</v>
      </c>
      <c r="Q863" t="b">
        <f t="shared" si="94"/>
        <v>0</v>
      </c>
      <c r="R863" t="b">
        <f>IF(LEN(K863)&gt;0,COUNTIF($K$3:K863,K863),FALSE)</f>
        <v>0</v>
      </c>
      <c r="S863" t="b">
        <f>IF(Taostats_CSV!A863=Taostats_CSV!$A$2,TRUE,Taostats_CSV!G863+Taostats_CSV!H863+Taostats_CSV!R863=0)</f>
        <v>0</v>
      </c>
      <c r="T863" t="b">
        <f t="shared" si="95"/>
        <v>1</v>
      </c>
      <c r="U863" t="b" cm="1">
        <f t="array" aca="1" ref="U863" ca="1">AND(T863,OR(O863-N863&gt;1,P863&gt;1,ISERROR(A863:P863)))</f>
        <v>0</v>
      </c>
      <c r="W863" t="e">
        <f>MATCH(K863&amp;$W$2,Taostats_CSV!$X$3:$X$1167,0)</f>
        <v>#N/A</v>
      </c>
      <c r="X863" t="e">
        <f t="shared" ca="1" si="90"/>
        <v>#VALUE!</v>
      </c>
      <c r="Y863">
        <f t="shared" ca="1" si="91"/>
        <v>0.49238564099999999</v>
      </c>
      <c r="Z863" t="e">
        <f t="shared" ca="1" si="92"/>
        <v>#VALUE!</v>
      </c>
    </row>
    <row r="864" spans="1:26" x14ac:dyDescent="0.4">
      <c r="A864" t="str">
        <f>MID(Taostats_CSV!C864,6,2)&amp;"/"&amp;MID(Taostats_CSV!C864,9,2)&amp;"/"&amp;LEFT(Taostats_CSV!C864,4)&amp;" "&amp;MID(Taostats_CSV!C864,12,8)</f>
        <v>08/30/2025 23:59:48</v>
      </c>
      <c r="C864" t="str">
        <f ca="1">IF(Q864,OFFSET(Taostats_CSV!$E$1,MATCH(K864&amp;D$1,Taostats_CSV!$X:$X,0)-1,0),IF(Taostats_CSV!F864="fee",IF(VALUE(Taostats_CSV!G864)&gt;0,Taostats_CSV!E864,""),""))</f>
        <v/>
      </c>
      <c r="D864" t="str">
        <f ca="1">IF(Q864,OFFSET(Taostats_CSV!$G$1,MATCH(K864&amp;D$1,Taostats_CSV!$X:$X,0)-1,0),IF(Taostats_CSV!F864="fee",IF(VALUE(Taostats_CSV!G864)&gt;0,Taostats_CSV!G864,""),""))</f>
        <v/>
      </c>
      <c r="E864" t="str">
        <f ca="1">IF(AND(Q864,P864&gt;0),OFFSET(Taostats_CSV!$E$1,MATCH(K864&amp;F$1,Taostats_CSV!$X:$X,0)-1,0),IF(LEN(F864)&gt;0,Taostats_CSV!E864,""))</f>
        <v>SN56</v>
      </c>
      <c r="F864" t="str">
        <f ca="1">TRIM(IF(AND(Q864,P864&gt;0),OFFSET(Taostats_CSV!$H$1,MATCH(K864&amp;F$1,Taostats_CSV!$X:$X,0)-1,0),IF(LEN(Taostats_CSV!H864)&gt;0,Taostats_CSV!H864,Taostats_CSV!R864)))</f>
        <v>0.294762037</v>
      </c>
      <c r="G864" t="str">
        <f ca="1">IF(AND(Q864,N864=1),OFFSET(Taostats_CSV!$E$1,MATCH(K864&amp;H$1,Taostats_CSV!$X:$X,0)-1,0),"")</f>
        <v/>
      </c>
      <c r="H864" t="str">
        <f ca="1">IF(AND(Q864,N864=1),OFFSET(Taostats_CSV!$G$1,MATCH(K864&amp;H$1,Taostats_CSV!$X:$X,0)-1,0),"")</f>
        <v/>
      </c>
      <c r="I864" t="str">
        <f ca="1">IF(AND(LEN(K864)=0,LEN(F864)&gt;0),"Income",IF(AND(O864&gt;0,P864&gt;0,C864&lt;&gt;E864),"Trade",IF(AND(NOT(Q864),Taostats_CSV!F864="fee"),'READ ME'!$C$5,"")))</f>
        <v>Income</v>
      </c>
      <c r="J864" t="str">
        <f ca="1">SUBSTITUTE(IF(LEN(I864)=0,Taostats_CSV!F864&amp;" "&amp;Taostats_CSV!J864,IF(I864="Cost","Extrinsic fee","")),"_"," ")</f>
        <v/>
      </c>
      <c r="K864" t="str">
        <f>TRIM(IF(LEN(Taostats_CSV!I864)&gt;0,Taostats_CSV!I864,""))</f>
        <v/>
      </c>
      <c r="L864">
        <f ca="1">IF(Taostats_CSV!E864&lt;&gt;"TAO",IF(LEN(F864)&gt;0,F864,IF(LEN(D864)&gt;0,D864,0))*Taostats_CSV!P864,"")</f>
        <v>3.6148998179858709</v>
      </c>
      <c r="M864" t="str">
        <f t="shared" ca="1" si="93"/>
        <v>USD</v>
      </c>
      <c r="N864">
        <f>COUNTIF(Taostats_CSV!$X:$X,Taostats_CSV!$I864&amp;N$1)</f>
        <v>0</v>
      </c>
      <c r="O864">
        <f>COUNTIF(Taostats_CSV!$X:$X,Taostats_CSV!$I864&amp;O$1)</f>
        <v>0</v>
      </c>
      <c r="P864">
        <f>COUNTIF(Taostats_CSV!$X:$X,Taostats_CSV!$I864&amp;P$1)</f>
        <v>0</v>
      </c>
      <c r="Q864" t="b">
        <f t="shared" si="94"/>
        <v>0</v>
      </c>
      <c r="R864" t="b">
        <f>IF(LEN(K864)&gt;0,COUNTIF($K$3:K864,K864),FALSE)</f>
        <v>0</v>
      </c>
      <c r="S864" t="b">
        <f>IF(Taostats_CSV!A864=Taostats_CSV!$A$2,TRUE,Taostats_CSV!G864+Taostats_CSV!H864+Taostats_CSV!R864=0)</f>
        <v>0</v>
      </c>
      <c r="T864" t="b">
        <f t="shared" si="95"/>
        <v>1</v>
      </c>
      <c r="U864" t="b" cm="1">
        <f t="array" aca="1" ref="U864" ca="1">AND(T864,OR(O864-N864&gt;1,P864&gt;1,ISERROR(A864:P864)))</f>
        <v>0</v>
      </c>
      <c r="W864" t="e">
        <f>MATCH(K864&amp;$W$2,Taostats_CSV!$X$3:$X$1167,0)</f>
        <v>#N/A</v>
      </c>
      <c r="X864" t="e">
        <f t="shared" ca="1" si="90"/>
        <v>#VALUE!</v>
      </c>
      <c r="Y864">
        <f t="shared" ca="1" si="91"/>
        <v>0.29476203699999998</v>
      </c>
      <c r="Z864" t="e">
        <f t="shared" ca="1" si="92"/>
        <v>#VALUE!</v>
      </c>
    </row>
    <row r="865" spans="1:26" x14ac:dyDescent="0.4">
      <c r="A865" t="str">
        <f>MID(Taostats_CSV!C865,6,2)&amp;"/"&amp;MID(Taostats_CSV!C865,9,2)&amp;"/"&amp;LEFT(Taostats_CSV!C865,4)&amp;" "&amp;MID(Taostats_CSV!C865,12,8)</f>
        <v>08/30/2025 23:59:48</v>
      </c>
      <c r="C865" t="str">
        <f ca="1">IF(Q865,OFFSET(Taostats_CSV!$E$1,MATCH(K865&amp;D$1,Taostats_CSV!$X:$X,0)-1,0),IF(Taostats_CSV!F865="fee",IF(VALUE(Taostats_CSV!G865)&gt;0,Taostats_CSV!E865,""),""))</f>
        <v/>
      </c>
      <c r="D865" t="str">
        <f ca="1">IF(Q865,OFFSET(Taostats_CSV!$G$1,MATCH(K865&amp;D$1,Taostats_CSV!$X:$X,0)-1,0),IF(Taostats_CSV!F865="fee",IF(VALUE(Taostats_CSV!G865)&gt;0,Taostats_CSV!G865,""),""))</f>
        <v/>
      </c>
      <c r="E865" t="str">
        <f ca="1">IF(AND(Q865,P865&gt;0),OFFSET(Taostats_CSV!$E$1,MATCH(K865&amp;F$1,Taostats_CSV!$X:$X,0)-1,0),IF(LEN(F865)&gt;0,Taostats_CSV!E865,""))</f>
        <v>SN64</v>
      </c>
      <c r="F865" t="str">
        <f ca="1">TRIM(IF(AND(Q865,P865&gt;0),OFFSET(Taostats_CSV!$H$1,MATCH(K865&amp;F$1,Taostats_CSV!$X:$X,0)-1,0),IF(LEN(Taostats_CSV!H865)&gt;0,Taostats_CSV!H865,Taostats_CSV!R865)))</f>
        <v>0.148114876</v>
      </c>
      <c r="G865" t="str">
        <f ca="1">IF(AND(Q865,N865=1),OFFSET(Taostats_CSV!$E$1,MATCH(K865&amp;H$1,Taostats_CSV!$X:$X,0)-1,0),"")</f>
        <v/>
      </c>
      <c r="H865" t="str">
        <f ca="1">IF(AND(Q865,N865=1),OFFSET(Taostats_CSV!$G$1,MATCH(K865&amp;H$1,Taostats_CSV!$X:$X,0)-1,0),"")</f>
        <v/>
      </c>
      <c r="I865" t="str">
        <f ca="1">IF(AND(LEN(K865)=0,LEN(F865)&gt;0),"Income",IF(AND(O865&gt;0,P865&gt;0,C865&lt;&gt;E865),"Trade",IF(AND(NOT(Q865),Taostats_CSV!F865="fee"),'READ ME'!$C$5,"")))</f>
        <v>Income</v>
      </c>
      <c r="J865" t="str">
        <f ca="1">SUBSTITUTE(IF(LEN(I865)=0,Taostats_CSV!F865&amp;" "&amp;Taostats_CSV!J865,IF(I865="Cost","Extrinsic fee","")),"_"," ")</f>
        <v/>
      </c>
      <c r="K865" t="str">
        <f>TRIM(IF(LEN(Taostats_CSV!I865)&gt;0,Taostats_CSV!I865,""))</f>
        <v/>
      </c>
      <c r="L865">
        <f ca="1">IF(Taostats_CSV!E865&lt;&gt;"TAO",IF(LEN(F865)&gt;0,F865,IF(LEN(D865)&gt;0,D865,0))*Taostats_CSV!P865,"")</f>
        <v>4.9374391109266949</v>
      </c>
      <c r="M865" t="str">
        <f t="shared" ca="1" si="93"/>
        <v>USD</v>
      </c>
      <c r="N865">
        <f>COUNTIF(Taostats_CSV!$X:$X,Taostats_CSV!$I865&amp;N$1)</f>
        <v>0</v>
      </c>
      <c r="O865">
        <f>COUNTIF(Taostats_CSV!$X:$X,Taostats_CSV!$I865&amp;O$1)</f>
        <v>0</v>
      </c>
      <c r="P865">
        <f>COUNTIF(Taostats_CSV!$X:$X,Taostats_CSV!$I865&amp;P$1)</f>
        <v>0</v>
      </c>
      <c r="Q865" t="b">
        <f t="shared" si="94"/>
        <v>0</v>
      </c>
      <c r="R865" t="b">
        <f>IF(LEN(K865)&gt;0,COUNTIF($K$3:K865,K865),FALSE)</f>
        <v>0</v>
      </c>
      <c r="S865" t="b">
        <f>IF(Taostats_CSV!A865=Taostats_CSV!$A$2,TRUE,Taostats_CSV!G865+Taostats_CSV!H865+Taostats_CSV!R865=0)</f>
        <v>0</v>
      </c>
      <c r="T865" t="b">
        <f t="shared" si="95"/>
        <v>1</v>
      </c>
      <c r="U865" t="b" cm="1">
        <f t="array" aca="1" ref="U865" ca="1">AND(T865,OR(O865-N865&gt;1,P865&gt;1,ISERROR(A865:P865)))</f>
        <v>0</v>
      </c>
      <c r="W865" t="e">
        <f>MATCH(K865&amp;$W$2,Taostats_CSV!$X$3:$X$1167,0)</f>
        <v>#N/A</v>
      </c>
      <c r="X865" t="e">
        <f t="shared" ca="1" si="90"/>
        <v>#VALUE!</v>
      </c>
      <c r="Y865">
        <f t="shared" ca="1" si="91"/>
        <v>0.14811487600000001</v>
      </c>
      <c r="Z865" t="e">
        <f t="shared" ca="1" si="92"/>
        <v>#VALUE!</v>
      </c>
    </row>
    <row r="866" spans="1:26" x14ac:dyDescent="0.4">
      <c r="A866" t="str">
        <f>MID(Taostats_CSV!C866,6,2)&amp;"/"&amp;MID(Taostats_CSV!C866,9,2)&amp;"/"&amp;LEFT(Taostats_CSV!C866,4)&amp;" "&amp;MID(Taostats_CSV!C866,12,8)</f>
        <v>08/30/2025 23:59:48</v>
      </c>
      <c r="C866" t="str">
        <f ca="1">IF(Q866,OFFSET(Taostats_CSV!$E$1,MATCH(K866&amp;D$1,Taostats_CSV!$X:$X,0)-1,0),IF(Taostats_CSV!F866="fee",IF(VALUE(Taostats_CSV!G866)&gt;0,Taostats_CSV!E866,""),""))</f>
        <v/>
      </c>
      <c r="D866" t="str">
        <f ca="1">IF(Q866,OFFSET(Taostats_CSV!$G$1,MATCH(K866&amp;D$1,Taostats_CSV!$X:$X,0)-1,0),IF(Taostats_CSV!F866="fee",IF(VALUE(Taostats_CSV!G866)&gt;0,Taostats_CSV!G866,""),""))</f>
        <v/>
      </c>
      <c r="E866" t="str">
        <f ca="1">IF(AND(Q866,P866&gt;0),OFFSET(Taostats_CSV!$E$1,MATCH(K866&amp;F$1,Taostats_CSV!$X:$X,0)-1,0),IF(LEN(F866)&gt;0,Taostats_CSV!E866,""))</f>
        <v>TAO</v>
      </c>
      <c r="F866" t="str">
        <f ca="1">TRIM(IF(AND(Q866,P866&gt;0),OFFSET(Taostats_CSV!$H$1,MATCH(K866&amp;F$1,Taostats_CSV!$X:$X,0)-1,0),IF(LEN(Taostats_CSV!H866)&gt;0,Taostats_CSV!H866,Taostats_CSV!R866)))</f>
        <v>0.010809552</v>
      </c>
      <c r="G866" t="str">
        <f ca="1">IF(AND(Q866,N866=1),OFFSET(Taostats_CSV!$E$1,MATCH(K866&amp;H$1,Taostats_CSV!$X:$X,0)-1,0),"")</f>
        <v/>
      </c>
      <c r="H866" t="str">
        <f ca="1">IF(AND(Q866,N866=1),OFFSET(Taostats_CSV!$G$1,MATCH(K866&amp;H$1,Taostats_CSV!$X:$X,0)-1,0),"")</f>
        <v/>
      </c>
      <c r="I866" t="str">
        <f ca="1">IF(AND(LEN(K866)=0,LEN(F866)&gt;0),"Income",IF(AND(O866&gt;0,P866&gt;0,C866&lt;&gt;E866),"Trade",IF(AND(NOT(Q866),Taostats_CSV!F866="fee"),'READ ME'!$C$5,"")))</f>
        <v>Income</v>
      </c>
      <c r="J866" t="str">
        <f ca="1">SUBSTITUTE(IF(LEN(I866)=0,Taostats_CSV!F866&amp;" "&amp;Taostats_CSV!J866,IF(I866="Cost","Extrinsic fee","")),"_"," ")</f>
        <v/>
      </c>
      <c r="K866" t="str">
        <f>TRIM(IF(LEN(Taostats_CSV!I866)&gt;0,Taostats_CSV!I866,""))</f>
        <v/>
      </c>
      <c r="L866" t="str">
        <f>IF(Taostats_CSV!E866&lt;&gt;"TAO",IF(LEN(F866)&gt;0,F866,IF(LEN(D866)&gt;0,D866,0))*Taostats_CSV!P866,"")</f>
        <v/>
      </c>
      <c r="M866" t="str">
        <f t="shared" si="93"/>
        <v/>
      </c>
      <c r="N866">
        <f>COUNTIF(Taostats_CSV!$X:$X,Taostats_CSV!$I866&amp;N$1)</f>
        <v>0</v>
      </c>
      <c r="O866">
        <f>COUNTIF(Taostats_CSV!$X:$X,Taostats_CSV!$I866&amp;O$1)</f>
        <v>0</v>
      </c>
      <c r="P866">
        <f>COUNTIF(Taostats_CSV!$X:$X,Taostats_CSV!$I866&amp;P$1)</f>
        <v>0</v>
      </c>
      <c r="Q866" t="b">
        <f t="shared" si="94"/>
        <v>0</v>
      </c>
      <c r="R866" t="b">
        <f>IF(LEN(K866)&gt;0,COUNTIF($K$3:K866,K866),FALSE)</f>
        <v>0</v>
      </c>
      <c r="S866" t="b">
        <f>IF(Taostats_CSV!A866=Taostats_CSV!$A$2,TRUE,Taostats_CSV!G866+Taostats_CSV!H866+Taostats_CSV!R866=0)</f>
        <v>0</v>
      </c>
      <c r="T866" t="b">
        <f t="shared" si="95"/>
        <v>1</v>
      </c>
      <c r="U866" t="b" cm="1">
        <f t="array" aca="1" ref="U866" ca="1">AND(T866,OR(O866-N866&gt;1,P866&gt;1,ISERROR(A866:P866)))</f>
        <v>0</v>
      </c>
      <c r="W866" t="e">
        <f>MATCH(K866&amp;$W$2,Taostats_CSV!$X$3:$X$1167,0)</f>
        <v>#N/A</v>
      </c>
      <c r="X866" t="e">
        <f t="shared" ca="1" si="90"/>
        <v>#VALUE!</v>
      </c>
      <c r="Y866">
        <f t="shared" ca="1" si="91"/>
        <v>1.0809552E-2</v>
      </c>
      <c r="Z866" t="e">
        <f t="shared" ca="1" si="92"/>
        <v>#VALUE!</v>
      </c>
    </row>
    <row r="867" spans="1:26" x14ac:dyDescent="0.4">
      <c r="A867" t="str">
        <f>MID(Taostats_CSV!C867,6,2)&amp;"/"&amp;MID(Taostats_CSV!C867,9,2)&amp;"/"&amp;LEFT(Taostats_CSV!C867,4)&amp;" "&amp;MID(Taostats_CSV!C867,12,8)</f>
        <v>08/31/2025 23:59:48</v>
      </c>
      <c r="C867" t="str">
        <f ca="1">IF(Q867,OFFSET(Taostats_CSV!$E$1,MATCH(K867&amp;D$1,Taostats_CSV!$X:$X,0)-1,0),IF(Taostats_CSV!F867="fee",IF(VALUE(Taostats_CSV!G867)&gt;0,Taostats_CSV!E867,""),""))</f>
        <v/>
      </c>
      <c r="D867" t="str">
        <f ca="1">IF(Q867,OFFSET(Taostats_CSV!$G$1,MATCH(K867&amp;D$1,Taostats_CSV!$X:$X,0)-1,0),IF(Taostats_CSV!F867="fee",IF(VALUE(Taostats_CSV!G867)&gt;0,Taostats_CSV!G867,""),""))</f>
        <v/>
      </c>
      <c r="E867" t="str">
        <f ca="1">IF(AND(Q867,P867&gt;0),OFFSET(Taostats_CSV!$E$1,MATCH(K867&amp;F$1,Taostats_CSV!$X:$X,0)-1,0),IF(LEN(F867)&gt;0,Taostats_CSV!E867,""))</f>
        <v>SN3</v>
      </c>
      <c r="F867" t="str">
        <f ca="1">TRIM(IF(AND(Q867,P867&gt;0),OFFSET(Taostats_CSV!$H$1,MATCH(K867&amp;F$1,Taostats_CSV!$X:$X,0)-1,0),IF(LEN(Taostats_CSV!H867)&gt;0,Taostats_CSV!H867,Taostats_CSV!R867)))</f>
        <v>0.414300942</v>
      </c>
      <c r="G867" t="str">
        <f ca="1">IF(AND(Q867,N867=1),OFFSET(Taostats_CSV!$E$1,MATCH(K867&amp;H$1,Taostats_CSV!$X:$X,0)-1,0),"")</f>
        <v/>
      </c>
      <c r="H867" t="str">
        <f ca="1">IF(AND(Q867,N867=1),OFFSET(Taostats_CSV!$G$1,MATCH(K867&amp;H$1,Taostats_CSV!$X:$X,0)-1,0),"")</f>
        <v/>
      </c>
      <c r="I867" t="str">
        <f ca="1">IF(AND(LEN(K867)=0,LEN(F867)&gt;0),"Income",IF(AND(O867&gt;0,P867&gt;0,C867&lt;&gt;E867),"Trade",IF(AND(NOT(Q867),Taostats_CSV!F867="fee"),'READ ME'!$C$5,"")))</f>
        <v>Income</v>
      </c>
      <c r="J867" t="str">
        <f ca="1">SUBSTITUTE(IF(LEN(I867)=0,Taostats_CSV!F867&amp;" "&amp;Taostats_CSV!J867,IF(I867="Cost","Extrinsic fee","")),"_"," ")</f>
        <v/>
      </c>
      <c r="K867" t="str">
        <f>TRIM(IF(LEN(Taostats_CSV!I867)&gt;0,Taostats_CSV!I867,""))</f>
        <v/>
      </c>
      <c r="L867">
        <f ca="1">IF(Taostats_CSV!E867&lt;&gt;"TAO",IF(LEN(F867)&gt;0,F867,IF(LEN(D867)&gt;0,D867,0))*Taostats_CSV!P867,"")</f>
        <v>5.7536341300953344</v>
      </c>
      <c r="M867" t="str">
        <f t="shared" ca="1" si="93"/>
        <v>USD</v>
      </c>
      <c r="N867">
        <f>COUNTIF(Taostats_CSV!$X:$X,Taostats_CSV!$I867&amp;N$1)</f>
        <v>0</v>
      </c>
      <c r="O867">
        <f>COUNTIF(Taostats_CSV!$X:$X,Taostats_CSV!$I867&amp;O$1)</f>
        <v>0</v>
      </c>
      <c r="P867">
        <f>COUNTIF(Taostats_CSV!$X:$X,Taostats_CSV!$I867&amp;P$1)</f>
        <v>0</v>
      </c>
      <c r="Q867" t="b">
        <f t="shared" si="94"/>
        <v>0</v>
      </c>
      <c r="R867" t="b">
        <f>IF(LEN(K867)&gt;0,COUNTIF($K$3:K867,K867),FALSE)</f>
        <v>0</v>
      </c>
      <c r="S867" t="b">
        <f>IF(Taostats_CSV!A867=Taostats_CSV!$A$2,TRUE,Taostats_CSV!G867+Taostats_CSV!H867+Taostats_CSV!R867=0)</f>
        <v>0</v>
      </c>
      <c r="T867" t="b">
        <f t="shared" si="95"/>
        <v>1</v>
      </c>
      <c r="U867" t="b" cm="1">
        <f t="array" aca="1" ref="U867" ca="1">AND(T867,OR(O867-N867&gt;1,P867&gt;1,ISERROR(A867:P867)))</f>
        <v>0</v>
      </c>
      <c r="W867" t="e">
        <f>MATCH(K867&amp;$W$2,Taostats_CSV!$X$3:$X$1167,0)</f>
        <v>#N/A</v>
      </c>
      <c r="X867" t="e">
        <f t="shared" ca="1" si="90"/>
        <v>#VALUE!</v>
      </c>
      <c r="Y867">
        <f t="shared" ca="1" si="91"/>
        <v>0.41430094200000001</v>
      </c>
      <c r="Z867" t="e">
        <f t="shared" ca="1" si="92"/>
        <v>#VALUE!</v>
      </c>
    </row>
    <row r="868" spans="1:26" x14ac:dyDescent="0.4">
      <c r="A868" t="str">
        <f>MID(Taostats_CSV!C868,6,2)&amp;"/"&amp;MID(Taostats_CSV!C868,9,2)&amp;"/"&amp;LEFT(Taostats_CSV!C868,4)&amp;" "&amp;MID(Taostats_CSV!C868,12,8)</f>
        <v>08/31/2025 23:59:48</v>
      </c>
      <c r="C868" t="str">
        <f ca="1">IF(Q868,OFFSET(Taostats_CSV!$E$1,MATCH(K868&amp;D$1,Taostats_CSV!$X:$X,0)-1,0),IF(Taostats_CSV!F868="fee",IF(VALUE(Taostats_CSV!G868)&gt;0,Taostats_CSV!E868,""),""))</f>
        <v/>
      </c>
      <c r="D868" t="str">
        <f ca="1">IF(Q868,OFFSET(Taostats_CSV!$G$1,MATCH(K868&amp;D$1,Taostats_CSV!$X:$X,0)-1,0),IF(Taostats_CSV!F868="fee",IF(VALUE(Taostats_CSV!G868)&gt;0,Taostats_CSV!G868,""),""))</f>
        <v/>
      </c>
      <c r="E868" t="str">
        <f ca="1">IF(AND(Q868,P868&gt;0),OFFSET(Taostats_CSV!$E$1,MATCH(K868&amp;F$1,Taostats_CSV!$X:$X,0)-1,0),IF(LEN(F868)&gt;0,Taostats_CSV!E868,""))</f>
        <v>SN4</v>
      </c>
      <c r="F868" t="str">
        <f ca="1">TRIM(IF(AND(Q868,P868&gt;0),OFFSET(Taostats_CSV!$H$1,MATCH(K868&amp;F$1,Taostats_CSV!$X:$X,0)-1,0),IF(LEN(Taostats_CSV!H868)&gt;0,Taostats_CSV!H868,Taostats_CSV!R868)))</f>
        <v>0.524475831</v>
      </c>
      <c r="G868" t="str">
        <f ca="1">IF(AND(Q868,N868=1),OFFSET(Taostats_CSV!$E$1,MATCH(K868&amp;H$1,Taostats_CSV!$X:$X,0)-1,0),"")</f>
        <v/>
      </c>
      <c r="H868" t="str">
        <f ca="1">IF(AND(Q868,N868=1),OFFSET(Taostats_CSV!$G$1,MATCH(K868&amp;H$1,Taostats_CSV!$X:$X,0)-1,0),"")</f>
        <v/>
      </c>
      <c r="I868" t="str">
        <f ca="1">IF(AND(LEN(K868)=0,LEN(F868)&gt;0),"Income",IF(AND(O868&gt;0,P868&gt;0,C868&lt;&gt;E868),"Trade",IF(AND(NOT(Q868),Taostats_CSV!F868="fee"),'READ ME'!$C$5,"")))</f>
        <v>Income</v>
      </c>
      <c r="J868" t="str">
        <f ca="1">SUBSTITUTE(IF(LEN(I868)=0,Taostats_CSV!F868&amp;" "&amp;Taostats_CSV!J868,IF(I868="Cost","Extrinsic fee","")),"_"," ")</f>
        <v/>
      </c>
      <c r="K868" t="str">
        <f>TRIM(IF(LEN(Taostats_CSV!I868)&gt;0,Taostats_CSV!I868,""))</f>
        <v/>
      </c>
      <c r="L868">
        <f ca="1">IF(Taostats_CSV!E868&lt;&gt;"TAO",IF(LEN(F868)&gt;0,F868,IF(LEN(D868)&gt;0,D868,0))*Taostats_CSV!P868,"")</f>
        <v>7.6652480291092226</v>
      </c>
      <c r="M868" t="str">
        <f t="shared" ca="1" si="93"/>
        <v>USD</v>
      </c>
      <c r="N868">
        <f>COUNTIF(Taostats_CSV!$X:$X,Taostats_CSV!$I868&amp;N$1)</f>
        <v>0</v>
      </c>
      <c r="O868">
        <f>COUNTIF(Taostats_CSV!$X:$X,Taostats_CSV!$I868&amp;O$1)</f>
        <v>0</v>
      </c>
      <c r="P868">
        <f>COUNTIF(Taostats_CSV!$X:$X,Taostats_CSV!$I868&amp;P$1)</f>
        <v>0</v>
      </c>
      <c r="Q868" t="b">
        <f t="shared" si="94"/>
        <v>0</v>
      </c>
      <c r="R868" t="b">
        <f>IF(LEN(K868)&gt;0,COUNTIF($K$3:K868,K868),FALSE)</f>
        <v>0</v>
      </c>
      <c r="S868" t="b">
        <f>IF(Taostats_CSV!A868=Taostats_CSV!$A$2,TRUE,Taostats_CSV!G868+Taostats_CSV!H868+Taostats_CSV!R868=0)</f>
        <v>0</v>
      </c>
      <c r="T868" t="b">
        <f t="shared" si="95"/>
        <v>1</v>
      </c>
      <c r="U868" t="b" cm="1">
        <f t="array" aca="1" ref="U868" ca="1">AND(T868,OR(O868-N868&gt;1,P868&gt;1,ISERROR(A868:P868)))</f>
        <v>0</v>
      </c>
      <c r="W868" t="e">
        <f>MATCH(K868&amp;$W$2,Taostats_CSV!$X$3:$X$1167,0)</f>
        <v>#N/A</v>
      </c>
      <c r="X868" t="e">
        <f t="shared" ca="1" si="90"/>
        <v>#VALUE!</v>
      </c>
      <c r="Y868">
        <f t="shared" ca="1" si="91"/>
        <v>0.52447583099999995</v>
      </c>
      <c r="Z868" t="e">
        <f t="shared" ca="1" si="92"/>
        <v>#VALUE!</v>
      </c>
    </row>
    <row r="869" spans="1:26" x14ac:dyDescent="0.4">
      <c r="A869" t="str">
        <f>MID(Taostats_CSV!C869,6,2)&amp;"/"&amp;MID(Taostats_CSV!C869,9,2)&amp;"/"&amp;LEFT(Taostats_CSV!C869,4)&amp;" "&amp;MID(Taostats_CSV!C869,12,8)</f>
        <v>08/31/2025 23:59:48</v>
      </c>
      <c r="C869" t="str">
        <f ca="1">IF(Q869,OFFSET(Taostats_CSV!$E$1,MATCH(K869&amp;D$1,Taostats_CSV!$X:$X,0)-1,0),IF(Taostats_CSV!F869="fee",IF(VALUE(Taostats_CSV!G869)&gt;0,Taostats_CSV!E869,""),""))</f>
        <v/>
      </c>
      <c r="D869" t="str">
        <f ca="1">IF(Q869,OFFSET(Taostats_CSV!$G$1,MATCH(K869&amp;D$1,Taostats_CSV!$X:$X,0)-1,0),IF(Taostats_CSV!F869="fee",IF(VALUE(Taostats_CSV!G869)&gt;0,Taostats_CSV!G869,""),""))</f>
        <v/>
      </c>
      <c r="E869" t="str">
        <f ca="1">IF(AND(Q869,P869&gt;0),OFFSET(Taostats_CSV!$E$1,MATCH(K869&amp;F$1,Taostats_CSV!$X:$X,0)-1,0),IF(LEN(F869)&gt;0,Taostats_CSV!E869,""))</f>
        <v>SN56</v>
      </c>
      <c r="F869" t="str">
        <f ca="1">TRIM(IF(AND(Q869,P869&gt;0),OFFSET(Taostats_CSV!$H$1,MATCH(K869&amp;F$1,Taostats_CSV!$X:$X,0)-1,0),IF(LEN(Taostats_CSV!H869)&gt;0,Taostats_CSV!H869,Taostats_CSV!R869)))</f>
        <v>0.304997537</v>
      </c>
      <c r="G869" t="str">
        <f ca="1">IF(AND(Q869,N869=1),OFFSET(Taostats_CSV!$E$1,MATCH(K869&amp;H$1,Taostats_CSV!$X:$X,0)-1,0),"")</f>
        <v/>
      </c>
      <c r="H869" t="str">
        <f ca="1">IF(AND(Q869,N869=1),OFFSET(Taostats_CSV!$G$1,MATCH(K869&amp;H$1,Taostats_CSV!$X:$X,0)-1,0),"")</f>
        <v/>
      </c>
      <c r="I869" t="str">
        <f ca="1">IF(AND(LEN(K869)=0,LEN(F869)&gt;0),"Income",IF(AND(O869&gt;0,P869&gt;0,C869&lt;&gt;E869),"Trade",IF(AND(NOT(Q869),Taostats_CSV!F869="fee"),'READ ME'!$C$5,"")))</f>
        <v>Income</v>
      </c>
      <c r="J869" t="str">
        <f ca="1">SUBSTITUTE(IF(LEN(I869)=0,Taostats_CSV!F869&amp;" "&amp;Taostats_CSV!J869,IF(I869="Cost","Extrinsic fee","")),"_"," ")</f>
        <v/>
      </c>
      <c r="K869" t="str">
        <f>TRIM(IF(LEN(Taostats_CSV!I869)&gt;0,Taostats_CSV!I869,""))</f>
        <v/>
      </c>
      <c r="L869">
        <f ca="1">IF(Taostats_CSV!E869&lt;&gt;"TAO",IF(LEN(F869)&gt;0,F869,IF(LEN(D869)&gt;0,D869,0))*Taostats_CSV!P869,"")</f>
        <v>3.6450881585206214</v>
      </c>
      <c r="M869" t="str">
        <f t="shared" ca="1" si="93"/>
        <v>USD</v>
      </c>
      <c r="N869">
        <f>COUNTIF(Taostats_CSV!$X:$X,Taostats_CSV!$I869&amp;N$1)</f>
        <v>0</v>
      </c>
      <c r="O869">
        <f>COUNTIF(Taostats_CSV!$X:$X,Taostats_CSV!$I869&amp;O$1)</f>
        <v>0</v>
      </c>
      <c r="P869">
        <f>COUNTIF(Taostats_CSV!$X:$X,Taostats_CSV!$I869&amp;P$1)</f>
        <v>0</v>
      </c>
      <c r="Q869" t="b">
        <f t="shared" si="94"/>
        <v>0</v>
      </c>
      <c r="R869" t="b">
        <f>IF(LEN(K869)&gt;0,COUNTIF($K$3:K869,K869),FALSE)</f>
        <v>0</v>
      </c>
      <c r="S869" t="b">
        <f>IF(Taostats_CSV!A869=Taostats_CSV!$A$2,TRUE,Taostats_CSV!G869+Taostats_CSV!H869+Taostats_CSV!R869=0)</f>
        <v>0</v>
      </c>
      <c r="T869" t="b">
        <f t="shared" si="95"/>
        <v>1</v>
      </c>
      <c r="U869" t="b" cm="1">
        <f t="array" aca="1" ref="U869" ca="1">AND(T869,OR(O869-N869&gt;1,P869&gt;1,ISERROR(A869:P869)))</f>
        <v>0</v>
      </c>
      <c r="W869" t="e">
        <f>MATCH(K869&amp;$W$2,Taostats_CSV!$X$3:$X$1167,0)</f>
        <v>#N/A</v>
      </c>
      <c r="X869" t="e">
        <f t="shared" ca="1" si="90"/>
        <v>#VALUE!</v>
      </c>
      <c r="Y869">
        <f t="shared" ca="1" si="91"/>
        <v>0.30499753699999999</v>
      </c>
      <c r="Z869" t="e">
        <f t="shared" ca="1" si="92"/>
        <v>#VALUE!</v>
      </c>
    </row>
    <row r="870" spans="1:26" x14ac:dyDescent="0.4">
      <c r="A870" t="str">
        <f>MID(Taostats_CSV!C870,6,2)&amp;"/"&amp;MID(Taostats_CSV!C870,9,2)&amp;"/"&amp;LEFT(Taostats_CSV!C870,4)&amp;" "&amp;MID(Taostats_CSV!C870,12,8)</f>
        <v>08/31/2025 23:59:48</v>
      </c>
      <c r="C870" t="str">
        <f ca="1">IF(Q870,OFFSET(Taostats_CSV!$E$1,MATCH(K870&amp;D$1,Taostats_CSV!$X:$X,0)-1,0),IF(Taostats_CSV!F870="fee",IF(VALUE(Taostats_CSV!G870)&gt;0,Taostats_CSV!E870,""),""))</f>
        <v/>
      </c>
      <c r="D870" t="str">
        <f ca="1">IF(Q870,OFFSET(Taostats_CSV!$G$1,MATCH(K870&amp;D$1,Taostats_CSV!$X:$X,0)-1,0),IF(Taostats_CSV!F870="fee",IF(VALUE(Taostats_CSV!G870)&gt;0,Taostats_CSV!G870,""),""))</f>
        <v/>
      </c>
      <c r="E870" t="str">
        <f ca="1">IF(AND(Q870,P870&gt;0),OFFSET(Taostats_CSV!$E$1,MATCH(K870&amp;F$1,Taostats_CSV!$X:$X,0)-1,0),IF(LEN(F870)&gt;0,Taostats_CSV!E870,""))</f>
        <v>SN64</v>
      </c>
      <c r="F870" t="str">
        <f ca="1">TRIM(IF(AND(Q870,P870&gt;0),OFFSET(Taostats_CSV!$H$1,MATCH(K870&amp;F$1,Taostats_CSV!$X:$X,0)-1,0),IF(LEN(Taostats_CSV!H870)&gt;0,Taostats_CSV!H870,Taostats_CSV!R870)))</f>
        <v>0.148043328</v>
      </c>
      <c r="G870" t="str">
        <f ca="1">IF(AND(Q870,N870=1),OFFSET(Taostats_CSV!$E$1,MATCH(K870&amp;H$1,Taostats_CSV!$X:$X,0)-1,0),"")</f>
        <v/>
      </c>
      <c r="H870" t="str">
        <f ca="1">IF(AND(Q870,N870=1),OFFSET(Taostats_CSV!$G$1,MATCH(K870&amp;H$1,Taostats_CSV!$X:$X,0)-1,0),"")</f>
        <v/>
      </c>
      <c r="I870" t="str">
        <f ca="1">IF(AND(LEN(K870)=0,LEN(F870)&gt;0),"Income",IF(AND(O870&gt;0,P870&gt;0,C870&lt;&gt;E870),"Trade",IF(AND(NOT(Q870),Taostats_CSV!F870="fee"),'READ ME'!$C$5,"")))</f>
        <v>Income</v>
      </c>
      <c r="J870" t="str">
        <f ca="1">SUBSTITUTE(IF(LEN(I870)=0,Taostats_CSV!F870&amp;" "&amp;Taostats_CSV!J870,IF(I870="Cost","Extrinsic fee","")),"_"," ")</f>
        <v/>
      </c>
      <c r="K870" t="str">
        <f>TRIM(IF(LEN(Taostats_CSV!I870)&gt;0,Taostats_CSV!I870,""))</f>
        <v/>
      </c>
      <c r="L870">
        <f ca="1">IF(Taostats_CSV!E870&lt;&gt;"TAO",IF(LEN(F870)&gt;0,F870,IF(LEN(D870)&gt;0,D870,0))*Taostats_CSV!P870,"")</f>
        <v>4.8112094227646711</v>
      </c>
      <c r="M870" t="str">
        <f t="shared" ca="1" si="93"/>
        <v>USD</v>
      </c>
      <c r="N870">
        <f>COUNTIF(Taostats_CSV!$X:$X,Taostats_CSV!$I870&amp;N$1)</f>
        <v>0</v>
      </c>
      <c r="O870">
        <f>COUNTIF(Taostats_CSV!$X:$X,Taostats_CSV!$I870&amp;O$1)</f>
        <v>0</v>
      </c>
      <c r="P870">
        <f>COUNTIF(Taostats_CSV!$X:$X,Taostats_CSV!$I870&amp;P$1)</f>
        <v>0</v>
      </c>
      <c r="Q870" t="b">
        <f t="shared" si="94"/>
        <v>0</v>
      </c>
      <c r="R870" t="b">
        <f>IF(LEN(K870)&gt;0,COUNTIF($K$3:K870,K870),FALSE)</f>
        <v>0</v>
      </c>
      <c r="S870" t="b">
        <f>IF(Taostats_CSV!A870=Taostats_CSV!$A$2,TRUE,Taostats_CSV!G870+Taostats_CSV!H870+Taostats_CSV!R870=0)</f>
        <v>0</v>
      </c>
      <c r="T870" t="b">
        <f t="shared" si="95"/>
        <v>1</v>
      </c>
      <c r="U870" t="b" cm="1">
        <f t="array" aca="1" ref="U870" ca="1">AND(T870,OR(O870-N870&gt;1,P870&gt;1,ISERROR(A870:P870)))</f>
        <v>0</v>
      </c>
      <c r="W870" t="e">
        <f>MATCH(K870&amp;$W$2,Taostats_CSV!$X$3:$X$1167,0)</f>
        <v>#N/A</v>
      </c>
      <c r="X870" t="e">
        <f t="shared" ca="1" si="90"/>
        <v>#VALUE!</v>
      </c>
      <c r="Y870">
        <f t="shared" ca="1" si="91"/>
        <v>0.148043328</v>
      </c>
      <c r="Z870" t="e">
        <f t="shared" ca="1" si="92"/>
        <v>#VALUE!</v>
      </c>
    </row>
    <row r="871" spans="1:26" x14ac:dyDescent="0.4">
      <c r="A871" t="str">
        <f>MID(Taostats_CSV!C871,6,2)&amp;"/"&amp;MID(Taostats_CSV!C871,9,2)&amp;"/"&amp;LEFT(Taostats_CSV!C871,4)&amp;" "&amp;MID(Taostats_CSV!C871,12,8)</f>
        <v>08/31/2025 23:59:48</v>
      </c>
      <c r="C871" t="str">
        <f ca="1">IF(Q871,OFFSET(Taostats_CSV!$E$1,MATCH(K871&amp;D$1,Taostats_CSV!$X:$X,0)-1,0),IF(Taostats_CSV!F871="fee",IF(VALUE(Taostats_CSV!G871)&gt;0,Taostats_CSV!E871,""),""))</f>
        <v/>
      </c>
      <c r="D871" t="str">
        <f ca="1">IF(Q871,OFFSET(Taostats_CSV!$G$1,MATCH(K871&amp;D$1,Taostats_CSV!$X:$X,0)-1,0),IF(Taostats_CSV!F871="fee",IF(VALUE(Taostats_CSV!G871)&gt;0,Taostats_CSV!G871,""),""))</f>
        <v/>
      </c>
      <c r="E871" t="str">
        <f ca="1">IF(AND(Q871,P871&gt;0),OFFSET(Taostats_CSV!$E$1,MATCH(K871&amp;F$1,Taostats_CSV!$X:$X,0)-1,0),IF(LEN(F871)&gt;0,Taostats_CSV!E871,""))</f>
        <v>TAO</v>
      </c>
      <c r="F871" t="str">
        <f ca="1">TRIM(IF(AND(Q871,P871&gt;0),OFFSET(Taostats_CSV!$H$1,MATCH(K871&amp;F$1,Taostats_CSV!$X:$X,0)-1,0),IF(LEN(Taostats_CSV!H871)&gt;0,Taostats_CSV!H871,Taostats_CSV!R871)))</f>
        <v>0.010276136</v>
      </c>
      <c r="G871" t="str">
        <f ca="1">IF(AND(Q871,N871=1),OFFSET(Taostats_CSV!$E$1,MATCH(K871&amp;H$1,Taostats_CSV!$X:$X,0)-1,0),"")</f>
        <v/>
      </c>
      <c r="H871" t="str">
        <f ca="1">IF(AND(Q871,N871=1),OFFSET(Taostats_CSV!$G$1,MATCH(K871&amp;H$1,Taostats_CSV!$X:$X,0)-1,0),"")</f>
        <v/>
      </c>
      <c r="I871" t="str">
        <f ca="1">IF(AND(LEN(K871)=0,LEN(F871)&gt;0),"Income",IF(AND(O871&gt;0,P871&gt;0,C871&lt;&gt;E871),"Trade",IF(AND(NOT(Q871),Taostats_CSV!F871="fee"),'READ ME'!$C$5,"")))</f>
        <v>Income</v>
      </c>
      <c r="J871" t="str">
        <f ca="1">SUBSTITUTE(IF(LEN(I871)=0,Taostats_CSV!F871&amp;" "&amp;Taostats_CSV!J871,IF(I871="Cost","Extrinsic fee","")),"_"," ")</f>
        <v/>
      </c>
      <c r="K871" t="str">
        <f>TRIM(IF(LEN(Taostats_CSV!I871)&gt;0,Taostats_CSV!I871,""))</f>
        <v/>
      </c>
      <c r="L871" t="str">
        <f>IF(Taostats_CSV!E871&lt;&gt;"TAO",IF(LEN(F871)&gt;0,F871,IF(LEN(D871)&gt;0,D871,0))*Taostats_CSV!P871,"")</f>
        <v/>
      </c>
      <c r="M871" t="str">
        <f t="shared" si="93"/>
        <v/>
      </c>
      <c r="N871">
        <f>COUNTIF(Taostats_CSV!$X:$X,Taostats_CSV!$I871&amp;N$1)</f>
        <v>0</v>
      </c>
      <c r="O871">
        <f>COUNTIF(Taostats_CSV!$X:$X,Taostats_CSV!$I871&amp;O$1)</f>
        <v>0</v>
      </c>
      <c r="P871">
        <f>COUNTIF(Taostats_CSV!$X:$X,Taostats_CSV!$I871&amp;P$1)</f>
        <v>0</v>
      </c>
      <c r="Q871" t="b">
        <f t="shared" si="94"/>
        <v>0</v>
      </c>
      <c r="R871" t="b">
        <f>IF(LEN(K871)&gt;0,COUNTIF($K$3:K871,K871),FALSE)</f>
        <v>0</v>
      </c>
      <c r="S871" t="b">
        <f>IF(Taostats_CSV!A871=Taostats_CSV!$A$2,TRUE,Taostats_CSV!G871+Taostats_CSV!H871+Taostats_CSV!R871=0)</f>
        <v>0</v>
      </c>
      <c r="T871" t="b">
        <f t="shared" si="95"/>
        <v>1</v>
      </c>
      <c r="U871" t="b" cm="1">
        <f t="array" aca="1" ref="U871" ca="1">AND(T871,OR(O871-N871&gt;1,P871&gt;1,ISERROR(A871:P871)))</f>
        <v>0</v>
      </c>
      <c r="W871" t="e">
        <f>MATCH(K871&amp;$W$2,Taostats_CSV!$X$3:$X$1167,0)</f>
        <v>#N/A</v>
      </c>
      <c r="X871" t="e">
        <f t="shared" ca="1" si="90"/>
        <v>#VALUE!</v>
      </c>
      <c r="Y871">
        <f t="shared" ca="1" si="91"/>
        <v>1.0276136E-2</v>
      </c>
      <c r="Z871" t="e">
        <f t="shared" ca="1" si="92"/>
        <v>#VALUE!</v>
      </c>
    </row>
    <row r="872" spans="1:26" x14ac:dyDescent="0.4">
      <c r="A872" t="str">
        <f>MID(Taostats_CSV!C872,6,2)&amp;"/"&amp;MID(Taostats_CSV!C872,9,2)&amp;"/"&amp;LEFT(Taostats_CSV!C872,4)&amp;" "&amp;MID(Taostats_CSV!C872,12,8)</f>
        <v>09/01/2025 23:59:48</v>
      </c>
      <c r="C872" t="str">
        <f ca="1">IF(Q872,OFFSET(Taostats_CSV!$E$1,MATCH(K872&amp;D$1,Taostats_CSV!$X:$X,0)-1,0),IF(Taostats_CSV!F872="fee",IF(VALUE(Taostats_CSV!G872)&gt;0,Taostats_CSV!E872,""),""))</f>
        <v/>
      </c>
      <c r="D872" t="str">
        <f ca="1">IF(Q872,OFFSET(Taostats_CSV!$G$1,MATCH(K872&amp;D$1,Taostats_CSV!$X:$X,0)-1,0),IF(Taostats_CSV!F872="fee",IF(VALUE(Taostats_CSV!G872)&gt;0,Taostats_CSV!G872,""),""))</f>
        <v/>
      </c>
      <c r="E872" t="str">
        <f ca="1">IF(AND(Q872,P872&gt;0),OFFSET(Taostats_CSV!$E$1,MATCH(K872&amp;F$1,Taostats_CSV!$X:$X,0)-1,0),IF(LEN(F872)&gt;0,Taostats_CSV!E872,""))</f>
        <v>SN3</v>
      </c>
      <c r="F872" t="str">
        <f ca="1">TRIM(IF(AND(Q872,P872&gt;0),OFFSET(Taostats_CSV!$H$1,MATCH(K872&amp;F$1,Taostats_CSV!$X:$X,0)-1,0),IF(LEN(Taostats_CSV!H872)&gt;0,Taostats_CSV!H872,Taostats_CSV!R872)))</f>
        <v>0.437295175</v>
      </c>
      <c r="G872" t="str">
        <f ca="1">IF(AND(Q872,N872=1),OFFSET(Taostats_CSV!$E$1,MATCH(K872&amp;H$1,Taostats_CSV!$X:$X,0)-1,0),"")</f>
        <v/>
      </c>
      <c r="H872" t="str">
        <f ca="1">IF(AND(Q872,N872=1),OFFSET(Taostats_CSV!$G$1,MATCH(K872&amp;H$1,Taostats_CSV!$X:$X,0)-1,0),"")</f>
        <v/>
      </c>
      <c r="I872" t="str">
        <f ca="1">IF(AND(LEN(K872)=0,LEN(F872)&gt;0),"Income",IF(AND(O872&gt;0,P872&gt;0,C872&lt;&gt;E872),"Trade",IF(AND(NOT(Q872),Taostats_CSV!F872="fee"),'READ ME'!$C$5,"")))</f>
        <v>Income</v>
      </c>
      <c r="J872" t="str">
        <f ca="1">SUBSTITUTE(IF(LEN(I872)=0,Taostats_CSV!F872&amp;" "&amp;Taostats_CSV!J872,IF(I872="Cost","Extrinsic fee","")),"_"," ")</f>
        <v/>
      </c>
      <c r="K872" t="str">
        <f>TRIM(IF(LEN(Taostats_CSV!I872)&gt;0,Taostats_CSV!I872,""))</f>
        <v/>
      </c>
      <c r="L872">
        <f ca="1">IF(Taostats_CSV!E872&lt;&gt;"TAO",IF(LEN(F872)&gt;0,F872,IF(LEN(D872)&gt;0,D872,0))*Taostats_CSV!P872,"")</f>
        <v>5.6689909411696071</v>
      </c>
      <c r="M872" t="str">
        <f t="shared" ca="1" si="93"/>
        <v>USD</v>
      </c>
      <c r="N872">
        <f>COUNTIF(Taostats_CSV!$X:$X,Taostats_CSV!$I872&amp;N$1)</f>
        <v>0</v>
      </c>
      <c r="O872">
        <f>COUNTIF(Taostats_CSV!$X:$X,Taostats_CSV!$I872&amp;O$1)</f>
        <v>0</v>
      </c>
      <c r="P872">
        <f>COUNTIF(Taostats_CSV!$X:$X,Taostats_CSV!$I872&amp;P$1)</f>
        <v>0</v>
      </c>
      <c r="Q872" t="b">
        <f t="shared" si="94"/>
        <v>0</v>
      </c>
      <c r="R872" t="b">
        <f>IF(LEN(K872)&gt;0,COUNTIF($K$3:K872,K872),FALSE)</f>
        <v>0</v>
      </c>
      <c r="S872" t="b">
        <f>IF(Taostats_CSV!A872=Taostats_CSV!$A$2,TRUE,Taostats_CSV!G872+Taostats_CSV!H872+Taostats_CSV!R872=0)</f>
        <v>0</v>
      </c>
      <c r="T872" t="b">
        <f t="shared" si="95"/>
        <v>1</v>
      </c>
      <c r="U872" t="b" cm="1">
        <f t="array" aca="1" ref="U872" ca="1">AND(T872,OR(O872-N872&gt;1,P872&gt;1,ISERROR(A872:P872)))</f>
        <v>0</v>
      </c>
      <c r="W872" t="e">
        <f>MATCH(K872&amp;$W$2,Taostats_CSV!$X$3:$X$1167,0)</f>
        <v>#N/A</v>
      </c>
      <c r="X872" t="e">
        <f t="shared" ca="1" si="90"/>
        <v>#VALUE!</v>
      </c>
      <c r="Y872">
        <f t="shared" ca="1" si="91"/>
        <v>0.43729517499999998</v>
      </c>
      <c r="Z872" t="e">
        <f t="shared" ca="1" si="92"/>
        <v>#VALUE!</v>
      </c>
    </row>
    <row r="873" spans="1:26" x14ac:dyDescent="0.4">
      <c r="A873" t="str">
        <f>MID(Taostats_CSV!C873,6,2)&amp;"/"&amp;MID(Taostats_CSV!C873,9,2)&amp;"/"&amp;LEFT(Taostats_CSV!C873,4)&amp;" "&amp;MID(Taostats_CSV!C873,12,8)</f>
        <v>09/01/2025 23:59:48</v>
      </c>
      <c r="C873" t="str">
        <f ca="1">IF(Q873,OFFSET(Taostats_CSV!$E$1,MATCH(K873&amp;D$1,Taostats_CSV!$X:$X,0)-1,0),IF(Taostats_CSV!F873="fee",IF(VALUE(Taostats_CSV!G873)&gt;0,Taostats_CSV!E873,""),""))</f>
        <v/>
      </c>
      <c r="D873" t="str">
        <f ca="1">IF(Q873,OFFSET(Taostats_CSV!$G$1,MATCH(K873&amp;D$1,Taostats_CSV!$X:$X,0)-1,0),IF(Taostats_CSV!F873="fee",IF(VALUE(Taostats_CSV!G873)&gt;0,Taostats_CSV!G873,""),""))</f>
        <v/>
      </c>
      <c r="E873" t="str">
        <f ca="1">IF(AND(Q873,P873&gt;0),OFFSET(Taostats_CSV!$E$1,MATCH(K873&amp;F$1,Taostats_CSV!$X:$X,0)-1,0),IF(LEN(F873)&gt;0,Taostats_CSV!E873,""))</f>
        <v>SN4</v>
      </c>
      <c r="F873" t="str">
        <f ca="1">TRIM(IF(AND(Q873,P873&gt;0),OFFSET(Taostats_CSV!$H$1,MATCH(K873&amp;F$1,Taostats_CSV!$X:$X,0)-1,0),IF(LEN(Taostats_CSV!H873)&gt;0,Taostats_CSV!H873,Taostats_CSV!R873)))</f>
        <v>0.477695534</v>
      </c>
      <c r="G873" t="str">
        <f ca="1">IF(AND(Q873,N873=1),OFFSET(Taostats_CSV!$E$1,MATCH(K873&amp;H$1,Taostats_CSV!$X:$X,0)-1,0),"")</f>
        <v/>
      </c>
      <c r="H873" t="str">
        <f ca="1">IF(AND(Q873,N873=1),OFFSET(Taostats_CSV!$G$1,MATCH(K873&amp;H$1,Taostats_CSV!$X:$X,0)-1,0),"")</f>
        <v/>
      </c>
      <c r="I873" t="str">
        <f ca="1">IF(AND(LEN(K873)=0,LEN(F873)&gt;0),"Income",IF(AND(O873&gt;0,P873&gt;0,C873&lt;&gt;E873),"Trade",IF(AND(NOT(Q873),Taostats_CSV!F873="fee"),'READ ME'!$C$5,"")))</f>
        <v>Income</v>
      </c>
      <c r="J873" t="str">
        <f ca="1">SUBSTITUTE(IF(LEN(I873)=0,Taostats_CSV!F873&amp;" "&amp;Taostats_CSV!J873,IF(I873="Cost","Extrinsic fee","")),"_"," ")</f>
        <v/>
      </c>
      <c r="K873" t="str">
        <f>TRIM(IF(LEN(Taostats_CSV!I873)&gt;0,Taostats_CSV!I873,""))</f>
        <v/>
      </c>
      <c r="L873">
        <f ca="1">IF(Taostats_CSV!E873&lt;&gt;"TAO",IF(LEN(F873)&gt;0,F873,IF(LEN(D873)&gt;0,D873,0))*Taostats_CSV!P873,"")</f>
        <v>6.8010493206483629</v>
      </c>
      <c r="M873" t="str">
        <f t="shared" ca="1" si="93"/>
        <v>USD</v>
      </c>
      <c r="N873">
        <f>COUNTIF(Taostats_CSV!$X:$X,Taostats_CSV!$I873&amp;N$1)</f>
        <v>0</v>
      </c>
      <c r="O873">
        <f>COUNTIF(Taostats_CSV!$X:$X,Taostats_CSV!$I873&amp;O$1)</f>
        <v>0</v>
      </c>
      <c r="P873">
        <f>COUNTIF(Taostats_CSV!$X:$X,Taostats_CSV!$I873&amp;P$1)</f>
        <v>0</v>
      </c>
      <c r="Q873" t="b">
        <f t="shared" si="94"/>
        <v>0</v>
      </c>
      <c r="R873" t="b">
        <f>IF(LEN(K873)&gt;0,COUNTIF($K$3:K873,K873),FALSE)</f>
        <v>0</v>
      </c>
      <c r="S873" t="b">
        <f>IF(Taostats_CSV!A873=Taostats_CSV!$A$2,TRUE,Taostats_CSV!G873+Taostats_CSV!H873+Taostats_CSV!R873=0)</f>
        <v>0</v>
      </c>
      <c r="T873" t="b">
        <f t="shared" si="95"/>
        <v>1</v>
      </c>
      <c r="U873" t="b" cm="1">
        <f t="array" aca="1" ref="U873" ca="1">AND(T873,OR(O873-N873&gt;1,P873&gt;1,ISERROR(A873:P873)))</f>
        <v>0</v>
      </c>
      <c r="W873" t="e">
        <f>MATCH(K873&amp;$W$2,Taostats_CSV!$X$3:$X$1167,0)</f>
        <v>#N/A</v>
      </c>
      <c r="X873" t="e">
        <f t="shared" ca="1" si="90"/>
        <v>#VALUE!</v>
      </c>
      <c r="Y873">
        <f t="shared" ca="1" si="91"/>
        <v>0.47769553399999998</v>
      </c>
      <c r="Z873" t="e">
        <f t="shared" ca="1" si="92"/>
        <v>#VALUE!</v>
      </c>
    </row>
    <row r="874" spans="1:26" x14ac:dyDescent="0.4">
      <c r="A874" t="str">
        <f>MID(Taostats_CSV!C874,6,2)&amp;"/"&amp;MID(Taostats_CSV!C874,9,2)&amp;"/"&amp;LEFT(Taostats_CSV!C874,4)&amp;" "&amp;MID(Taostats_CSV!C874,12,8)</f>
        <v>09/01/2025 23:59:48</v>
      </c>
      <c r="C874" t="str">
        <f ca="1">IF(Q874,OFFSET(Taostats_CSV!$E$1,MATCH(K874&amp;D$1,Taostats_CSV!$X:$X,0)-1,0),IF(Taostats_CSV!F874="fee",IF(VALUE(Taostats_CSV!G874)&gt;0,Taostats_CSV!E874,""),""))</f>
        <v/>
      </c>
      <c r="D874" t="str">
        <f ca="1">IF(Q874,OFFSET(Taostats_CSV!$G$1,MATCH(K874&amp;D$1,Taostats_CSV!$X:$X,0)-1,0),IF(Taostats_CSV!F874="fee",IF(VALUE(Taostats_CSV!G874)&gt;0,Taostats_CSV!G874,""),""))</f>
        <v/>
      </c>
      <c r="E874" t="str">
        <f ca="1">IF(AND(Q874,P874&gt;0),OFFSET(Taostats_CSV!$E$1,MATCH(K874&amp;F$1,Taostats_CSV!$X:$X,0)-1,0),IF(LEN(F874)&gt;0,Taostats_CSV!E874,""))</f>
        <v>SN56</v>
      </c>
      <c r="F874" t="str">
        <f ca="1">TRIM(IF(AND(Q874,P874&gt;0),OFFSET(Taostats_CSV!$H$1,MATCH(K874&amp;F$1,Taostats_CSV!$X:$X,0)-1,0),IF(LEN(Taostats_CSV!H874)&gt;0,Taostats_CSV!H874,Taostats_CSV!R874)))</f>
        <v>0.296949759</v>
      </c>
      <c r="G874" t="str">
        <f ca="1">IF(AND(Q874,N874=1),OFFSET(Taostats_CSV!$E$1,MATCH(K874&amp;H$1,Taostats_CSV!$X:$X,0)-1,0),"")</f>
        <v/>
      </c>
      <c r="H874" t="str">
        <f ca="1">IF(AND(Q874,N874=1),OFFSET(Taostats_CSV!$G$1,MATCH(K874&amp;H$1,Taostats_CSV!$X:$X,0)-1,0),"")</f>
        <v/>
      </c>
      <c r="I874" t="str">
        <f ca="1">IF(AND(LEN(K874)=0,LEN(F874)&gt;0),"Income",IF(AND(O874&gt;0,P874&gt;0,C874&lt;&gt;E874),"Trade",IF(AND(NOT(Q874),Taostats_CSV!F874="fee"),'READ ME'!$C$5,"")))</f>
        <v>Income</v>
      </c>
      <c r="J874" t="str">
        <f ca="1">SUBSTITUTE(IF(LEN(I874)=0,Taostats_CSV!F874&amp;" "&amp;Taostats_CSV!J874,IF(I874="Cost","Extrinsic fee","")),"_"," ")</f>
        <v/>
      </c>
      <c r="K874" t="str">
        <f>TRIM(IF(LEN(Taostats_CSV!I874)&gt;0,Taostats_CSV!I874,""))</f>
        <v/>
      </c>
      <c r="L874">
        <f ca="1">IF(Taostats_CSV!E874&lt;&gt;"TAO",IF(LEN(F874)&gt;0,F874,IF(LEN(D874)&gt;0,D874,0))*Taostats_CSV!P874,"")</f>
        <v>3.481017180504383</v>
      </c>
      <c r="M874" t="str">
        <f t="shared" ca="1" si="93"/>
        <v>USD</v>
      </c>
      <c r="N874">
        <f>COUNTIF(Taostats_CSV!$X:$X,Taostats_CSV!$I874&amp;N$1)</f>
        <v>0</v>
      </c>
      <c r="O874">
        <f>COUNTIF(Taostats_CSV!$X:$X,Taostats_CSV!$I874&amp;O$1)</f>
        <v>0</v>
      </c>
      <c r="P874">
        <f>COUNTIF(Taostats_CSV!$X:$X,Taostats_CSV!$I874&amp;P$1)</f>
        <v>0</v>
      </c>
      <c r="Q874" t="b">
        <f t="shared" si="94"/>
        <v>0</v>
      </c>
      <c r="R874" t="b">
        <f>IF(LEN(K874)&gt;0,COUNTIF($K$3:K874,K874),FALSE)</f>
        <v>0</v>
      </c>
      <c r="S874" t="b">
        <f>IF(Taostats_CSV!A874=Taostats_CSV!$A$2,TRUE,Taostats_CSV!G874+Taostats_CSV!H874+Taostats_CSV!R874=0)</f>
        <v>0</v>
      </c>
      <c r="T874" t="b">
        <f t="shared" si="95"/>
        <v>1</v>
      </c>
      <c r="U874" t="b" cm="1">
        <f t="array" aca="1" ref="U874" ca="1">AND(T874,OR(O874-N874&gt;1,P874&gt;1,ISERROR(A874:P874)))</f>
        <v>0</v>
      </c>
      <c r="W874" t="e">
        <f>MATCH(K874&amp;$W$2,Taostats_CSV!$X$3:$X$1167,0)</f>
        <v>#N/A</v>
      </c>
      <c r="X874" t="e">
        <f t="shared" ca="1" si="90"/>
        <v>#VALUE!</v>
      </c>
      <c r="Y874">
        <f t="shared" ca="1" si="91"/>
        <v>0.29694975899999998</v>
      </c>
      <c r="Z874" t="e">
        <f t="shared" ca="1" si="92"/>
        <v>#VALUE!</v>
      </c>
    </row>
    <row r="875" spans="1:26" x14ac:dyDescent="0.4">
      <c r="A875" t="str">
        <f>MID(Taostats_CSV!C875,6,2)&amp;"/"&amp;MID(Taostats_CSV!C875,9,2)&amp;"/"&amp;LEFT(Taostats_CSV!C875,4)&amp;" "&amp;MID(Taostats_CSV!C875,12,8)</f>
        <v>09/01/2025 23:59:48</v>
      </c>
      <c r="C875" t="str">
        <f ca="1">IF(Q875,OFFSET(Taostats_CSV!$E$1,MATCH(K875&amp;D$1,Taostats_CSV!$X:$X,0)-1,0),IF(Taostats_CSV!F875="fee",IF(VALUE(Taostats_CSV!G875)&gt;0,Taostats_CSV!E875,""),""))</f>
        <v/>
      </c>
      <c r="D875" t="str">
        <f ca="1">IF(Q875,OFFSET(Taostats_CSV!$G$1,MATCH(K875&amp;D$1,Taostats_CSV!$X:$X,0)-1,0),IF(Taostats_CSV!F875="fee",IF(VALUE(Taostats_CSV!G875)&gt;0,Taostats_CSV!G875,""),""))</f>
        <v/>
      </c>
      <c r="E875" t="str">
        <f ca="1">IF(AND(Q875,P875&gt;0),OFFSET(Taostats_CSV!$E$1,MATCH(K875&amp;F$1,Taostats_CSV!$X:$X,0)-1,0),IF(LEN(F875)&gt;0,Taostats_CSV!E875,""))</f>
        <v>SN64</v>
      </c>
      <c r="F875" t="str">
        <f ca="1">TRIM(IF(AND(Q875,P875&gt;0),OFFSET(Taostats_CSV!$H$1,MATCH(K875&amp;F$1,Taostats_CSV!$X:$X,0)-1,0),IF(LEN(Taostats_CSV!H875)&gt;0,Taostats_CSV!H875,Taostats_CSV!R875)))</f>
        <v>0.146731189</v>
      </c>
      <c r="G875" t="str">
        <f ca="1">IF(AND(Q875,N875=1),OFFSET(Taostats_CSV!$E$1,MATCH(K875&amp;H$1,Taostats_CSV!$X:$X,0)-1,0),"")</f>
        <v/>
      </c>
      <c r="H875" t="str">
        <f ca="1">IF(AND(Q875,N875=1),OFFSET(Taostats_CSV!$G$1,MATCH(K875&amp;H$1,Taostats_CSV!$X:$X,0)-1,0),"")</f>
        <v/>
      </c>
      <c r="I875" t="str">
        <f ca="1">IF(AND(LEN(K875)=0,LEN(F875)&gt;0),"Income",IF(AND(O875&gt;0,P875&gt;0,C875&lt;&gt;E875),"Trade",IF(AND(NOT(Q875),Taostats_CSV!F875="fee"),'READ ME'!$C$5,"")))</f>
        <v>Income</v>
      </c>
      <c r="J875" t="str">
        <f ca="1">SUBSTITUTE(IF(LEN(I875)=0,Taostats_CSV!F875&amp;" "&amp;Taostats_CSV!J875,IF(I875="Cost","Extrinsic fee","")),"_"," ")</f>
        <v/>
      </c>
      <c r="K875" t="str">
        <f>TRIM(IF(LEN(Taostats_CSV!I875)&gt;0,Taostats_CSV!I875,""))</f>
        <v/>
      </c>
      <c r="L875">
        <f ca="1">IF(Taostats_CSV!E875&lt;&gt;"TAO",IF(LEN(F875)&gt;0,F875,IF(LEN(D875)&gt;0,D875,0))*Taostats_CSV!P875,"")</f>
        <v>4.8969755673488873</v>
      </c>
      <c r="M875" t="str">
        <f t="shared" ca="1" si="93"/>
        <v>USD</v>
      </c>
      <c r="N875">
        <f>COUNTIF(Taostats_CSV!$X:$X,Taostats_CSV!$I875&amp;N$1)</f>
        <v>0</v>
      </c>
      <c r="O875">
        <f>COUNTIF(Taostats_CSV!$X:$X,Taostats_CSV!$I875&amp;O$1)</f>
        <v>0</v>
      </c>
      <c r="P875">
        <f>COUNTIF(Taostats_CSV!$X:$X,Taostats_CSV!$I875&amp;P$1)</f>
        <v>0</v>
      </c>
      <c r="Q875" t="b">
        <f t="shared" si="94"/>
        <v>0</v>
      </c>
      <c r="R875" t="b">
        <f>IF(LEN(K875)&gt;0,COUNTIF($K$3:K875,K875),FALSE)</f>
        <v>0</v>
      </c>
      <c r="S875" t="b">
        <f>IF(Taostats_CSV!A875=Taostats_CSV!$A$2,TRUE,Taostats_CSV!G875+Taostats_CSV!H875+Taostats_CSV!R875=0)</f>
        <v>0</v>
      </c>
      <c r="T875" t="b">
        <f t="shared" si="95"/>
        <v>1</v>
      </c>
      <c r="U875" t="b" cm="1">
        <f t="array" aca="1" ref="U875" ca="1">AND(T875,OR(O875-N875&gt;1,P875&gt;1,ISERROR(A875:P875)))</f>
        <v>0</v>
      </c>
      <c r="W875" t="e">
        <f>MATCH(K875&amp;$W$2,Taostats_CSV!$X$3:$X$1167,0)</f>
        <v>#N/A</v>
      </c>
      <c r="X875" t="e">
        <f t="shared" ca="1" si="90"/>
        <v>#VALUE!</v>
      </c>
      <c r="Y875">
        <f t="shared" ca="1" si="91"/>
        <v>0.14673118900000001</v>
      </c>
      <c r="Z875" t="e">
        <f t="shared" ca="1" si="92"/>
        <v>#VALUE!</v>
      </c>
    </row>
    <row r="876" spans="1:26" x14ac:dyDescent="0.4">
      <c r="A876" t="str">
        <f>MID(Taostats_CSV!C876,6,2)&amp;"/"&amp;MID(Taostats_CSV!C876,9,2)&amp;"/"&amp;LEFT(Taostats_CSV!C876,4)&amp;" "&amp;MID(Taostats_CSV!C876,12,8)</f>
        <v>09/01/2025 23:59:48</v>
      </c>
      <c r="C876" t="str">
        <f ca="1">IF(Q876,OFFSET(Taostats_CSV!$E$1,MATCH(K876&amp;D$1,Taostats_CSV!$X:$X,0)-1,0),IF(Taostats_CSV!F876="fee",IF(VALUE(Taostats_CSV!G876)&gt;0,Taostats_CSV!E876,""),""))</f>
        <v/>
      </c>
      <c r="D876" t="str">
        <f ca="1">IF(Q876,OFFSET(Taostats_CSV!$G$1,MATCH(K876&amp;D$1,Taostats_CSV!$X:$X,0)-1,0),IF(Taostats_CSV!F876="fee",IF(VALUE(Taostats_CSV!G876)&gt;0,Taostats_CSV!G876,""),""))</f>
        <v/>
      </c>
      <c r="E876" t="str">
        <f ca="1">IF(AND(Q876,P876&gt;0),OFFSET(Taostats_CSV!$E$1,MATCH(K876&amp;F$1,Taostats_CSV!$X:$X,0)-1,0),IF(LEN(F876)&gt;0,Taostats_CSV!E876,""))</f>
        <v>TAO</v>
      </c>
      <c r="F876" t="str">
        <f ca="1">TRIM(IF(AND(Q876,P876&gt;0),OFFSET(Taostats_CSV!$H$1,MATCH(K876&amp;F$1,Taostats_CSV!$X:$X,0)-1,0),IF(LEN(Taostats_CSV!H876)&gt;0,Taostats_CSV!H876,Taostats_CSV!R876)))</f>
        <v>0.009348356</v>
      </c>
      <c r="G876" t="str">
        <f ca="1">IF(AND(Q876,N876=1),OFFSET(Taostats_CSV!$E$1,MATCH(K876&amp;H$1,Taostats_CSV!$X:$X,0)-1,0),"")</f>
        <v/>
      </c>
      <c r="H876" t="str">
        <f ca="1">IF(AND(Q876,N876=1),OFFSET(Taostats_CSV!$G$1,MATCH(K876&amp;H$1,Taostats_CSV!$X:$X,0)-1,0),"")</f>
        <v/>
      </c>
      <c r="I876" t="str">
        <f ca="1">IF(AND(LEN(K876)=0,LEN(F876)&gt;0),"Income",IF(AND(O876&gt;0,P876&gt;0,C876&lt;&gt;E876),"Trade",IF(AND(NOT(Q876),Taostats_CSV!F876="fee"),'READ ME'!$C$5,"")))</f>
        <v>Income</v>
      </c>
      <c r="J876" t="str">
        <f ca="1">SUBSTITUTE(IF(LEN(I876)=0,Taostats_CSV!F876&amp;" "&amp;Taostats_CSV!J876,IF(I876="Cost","Extrinsic fee","")),"_"," ")</f>
        <v/>
      </c>
      <c r="K876" t="str">
        <f>TRIM(IF(LEN(Taostats_CSV!I876)&gt;0,Taostats_CSV!I876,""))</f>
        <v/>
      </c>
      <c r="L876" t="str">
        <f>IF(Taostats_CSV!E876&lt;&gt;"TAO",IF(LEN(F876)&gt;0,F876,IF(LEN(D876)&gt;0,D876,0))*Taostats_CSV!P876,"")</f>
        <v/>
      </c>
      <c r="M876" t="str">
        <f t="shared" si="93"/>
        <v/>
      </c>
      <c r="N876">
        <f>COUNTIF(Taostats_CSV!$X:$X,Taostats_CSV!$I876&amp;N$1)</f>
        <v>0</v>
      </c>
      <c r="O876">
        <f>COUNTIF(Taostats_CSV!$X:$X,Taostats_CSV!$I876&amp;O$1)</f>
        <v>0</v>
      </c>
      <c r="P876">
        <f>COUNTIF(Taostats_CSV!$X:$X,Taostats_CSV!$I876&amp;P$1)</f>
        <v>0</v>
      </c>
      <c r="Q876" t="b">
        <f t="shared" si="94"/>
        <v>0</v>
      </c>
      <c r="R876" t="b">
        <f>IF(LEN(K876)&gt;0,COUNTIF($K$3:K876,K876),FALSE)</f>
        <v>0</v>
      </c>
      <c r="S876" t="b">
        <f>IF(Taostats_CSV!A876=Taostats_CSV!$A$2,TRUE,Taostats_CSV!G876+Taostats_CSV!H876+Taostats_CSV!R876=0)</f>
        <v>0</v>
      </c>
      <c r="T876" t="b">
        <f t="shared" si="95"/>
        <v>1</v>
      </c>
      <c r="U876" t="b" cm="1">
        <f t="array" aca="1" ref="U876" ca="1">AND(T876,OR(O876-N876&gt;1,P876&gt;1,ISERROR(A876:P876)))</f>
        <v>0</v>
      </c>
      <c r="W876" t="e">
        <f>MATCH(K876&amp;$W$2,Taostats_CSV!$X$3:$X$1167,0)</f>
        <v>#N/A</v>
      </c>
      <c r="X876" t="e">
        <f t="shared" ca="1" si="90"/>
        <v>#VALUE!</v>
      </c>
      <c r="Y876">
        <f t="shared" ca="1" si="91"/>
        <v>9.3483560000000004E-3</v>
      </c>
      <c r="Z876" t="e">
        <f t="shared" ca="1" si="92"/>
        <v>#VALUE!</v>
      </c>
    </row>
    <row r="877" spans="1:26" x14ac:dyDescent="0.4">
      <c r="A877" t="str">
        <f>MID(Taostats_CSV!C877,6,2)&amp;"/"&amp;MID(Taostats_CSV!C877,9,2)&amp;"/"&amp;LEFT(Taostats_CSV!C877,4)&amp;" "&amp;MID(Taostats_CSV!C877,12,8)</f>
        <v>09/02/2025 23:59:48</v>
      </c>
      <c r="C877" t="str">
        <f ca="1">IF(Q877,OFFSET(Taostats_CSV!$E$1,MATCH(K877&amp;D$1,Taostats_CSV!$X:$X,0)-1,0),IF(Taostats_CSV!F877="fee",IF(VALUE(Taostats_CSV!G877)&gt;0,Taostats_CSV!E877,""),""))</f>
        <v/>
      </c>
      <c r="D877" t="str">
        <f ca="1">IF(Q877,OFFSET(Taostats_CSV!$G$1,MATCH(K877&amp;D$1,Taostats_CSV!$X:$X,0)-1,0),IF(Taostats_CSV!F877="fee",IF(VALUE(Taostats_CSV!G877)&gt;0,Taostats_CSV!G877,""),""))</f>
        <v/>
      </c>
      <c r="E877" t="str">
        <f ca="1">IF(AND(Q877,P877&gt;0),OFFSET(Taostats_CSV!$E$1,MATCH(K877&amp;F$1,Taostats_CSV!$X:$X,0)-1,0),IF(LEN(F877)&gt;0,Taostats_CSV!E877,""))</f>
        <v>SN3</v>
      </c>
      <c r="F877" t="str">
        <f ca="1">TRIM(IF(AND(Q877,P877&gt;0),OFFSET(Taostats_CSV!$H$1,MATCH(K877&amp;F$1,Taostats_CSV!$X:$X,0)-1,0),IF(LEN(Taostats_CSV!H877)&gt;0,Taostats_CSV!H877,Taostats_CSV!R877)))</f>
        <v>0.461160441</v>
      </c>
      <c r="G877" t="str">
        <f ca="1">IF(AND(Q877,N877=1),OFFSET(Taostats_CSV!$E$1,MATCH(K877&amp;H$1,Taostats_CSV!$X:$X,0)-1,0),"")</f>
        <v/>
      </c>
      <c r="H877" t="str">
        <f ca="1">IF(AND(Q877,N877=1),OFFSET(Taostats_CSV!$G$1,MATCH(K877&amp;H$1,Taostats_CSV!$X:$X,0)-1,0),"")</f>
        <v/>
      </c>
      <c r="I877" t="str">
        <f ca="1">IF(AND(LEN(K877)=0,LEN(F877)&gt;0),"Income",IF(AND(O877&gt;0,P877&gt;0,C877&lt;&gt;E877),"Trade",IF(AND(NOT(Q877),Taostats_CSV!F877="fee"),'READ ME'!$C$5,"")))</f>
        <v>Income</v>
      </c>
      <c r="J877" t="str">
        <f ca="1">SUBSTITUTE(IF(LEN(I877)=0,Taostats_CSV!F877&amp;" "&amp;Taostats_CSV!J877,IF(I877="Cost","Extrinsic fee","")),"_"," ")</f>
        <v/>
      </c>
      <c r="K877" t="str">
        <f>TRIM(IF(LEN(Taostats_CSV!I877)&gt;0,Taostats_CSV!I877,""))</f>
        <v/>
      </c>
      <c r="L877">
        <f ca="1">IF(Taostats_CSV!E877&lt;&gt;"TAO",IF(LEN(F877)&gt;0,F877,IF(LEN(D877)&gt;0,D877,0))*Taostats_CSV!P877,"")</f>
        <v>5.7798491746908329</v>
      </c>
      <c r="M877" t="str">
        <f t="shared" ca="1" si="93"/>
        <v>USD</v>
      </c>
      <c r="N877">
        <f>COUNTIF(Taostats_CSV!$X:$X,Taostats_CSV!$I877&amp;N$1)</f>
        <v>0</v>
      </c>
      <c r="O877">
        <f>COUNTIF(Taostats_CSV!$X:$X,Taostats_CSV!$I877&amp;O$1)</f>
        <v>0</v>
      </c>
      <c r="P877">
        <f>COUNTIF(Taostats_CSV!$X:$X,Taostats_CSV!$I877&amp;P$1)</f>
        <v>0</v>
      </c>
      <c r="Q877" t="b">
        <f t="shared" si="94"/>
        <v>0</v>
      </c>
      <c r="R877" t="b">
        <f>IF(LEN(K877)&gt;0,COUNTIF($K$3:K877,K877),FALSE)</f>
        <v>0</v>
      </c>
      <c r="S877" t="b">
        <f>IF(Taostats_CSV!A877=Taostats_CSV!$A$2,TRUE,Taostats_CSV!G877+Taostats_CSV!H877+Taostats_CSV!R877=0)</f>
        <v>0</v>
      </c>
      <c r="T877" t="b">
        <f t="shared" si="95"/>
        <v>1</v>
      </c>
      <c r="U877" t="b" cm="1">
        <f t="array" aca="1" ref="U877" ca="1">AND(T877,OR(O877-N877&gt;1,P877&gt;1,ISERROR(A877:P877)))</f>
        <v>0</v>
      </c>
      <c r="W877" t="e">
        <f>MATCH(K877&amp;$W$2,Taostats_CSV!$X$3:$X$1167,0)</f>
        <v>#N/A</v>
      </c>
      <c r="X877" t="e">
        <f t="shared" ca="1" si="90"/>
        <v>#VALUE!</v>
      </c>
      <c r="Y877">
        <f t="shared" ca="1" si="91"/>
        <v>0.46116044099999998</v>
      </c>
      <c r="Z877" t="e">
        <f t="shared" ca="1" si="92"/>
        <v>#VALUE!</v>
      </c>
    </row>
    <row r="878" spans="1:26" x14ac:dyDescent="0.4">
      <c r="A878" t="str">
        <f>MID(Taostats_CSV!C878,6,2)&amp;"/"&amp;MID(Taostats_CSV!C878,9,2)&amp;"/"&amp;LEFT(Taostats_CSV!C878,4)&amp;" "&amp;MID(Taostats_CSV!C878,12,8)</f>
        <v>09/02/2025 23:59:48</v>
      </c>
      <c r="C878" t="str">
        <f ca="1">IF(Q878,OFFSET(Taostats_CSV!$E$1,MATCH(K878&amp;D$1,Taostats_CSV!$X:$X,0)-1,0),IF(Taostats_CSV!F878="fee",IF(VALUE(Taostats_CSV!G878)&gt;0,Taostats_CSV!E878,""),""))</f>
        <v/>
      </c>
      <c r="D878" t="str">
        <f ca="1">IF(Q878,OFFSET(Taostats_CSV!$G$1,MATCH(K878&amp;D$1,Taostats_CSV!$X:$X,0)-1,0),IF(Taostats_CSV!F878="fee",IF(VALUE(Taostats_CSV!G878)&gt;0,Taostats_CSV!G878,""),""))</f>
        <v/>
      </c>
      <c r="E878" t="str">
        <f ca="1">IF(AND(Q878,P878&gt;0),OFFSET(Taostats_CSV!$E$1,MATCH(K878&amp;F$1,Taostats_CSV!$X:$X,0)-1,0),IF(LEN(F878)&gt;0,Taostats_CSV!E878,""))</f>
        <v>SN4</v>
      </c>
      <c r="F878" t="str">
        <f ca="1">TRIM(IF(AND(Q878,P878&gt;0),OFFSET(Taostats_CSV!$H$1,MATCH(K878&amp;F$1,Taostats_CSV!$X:$X,0)-1,0),IF(LEN(Taostats_CSV!H878)&gt;0,Taostats_CSV!H878,Taostats_CSV!R878)))</f>
        <v>0.444392748</v>
      </c>
      <c r="G878" t="str">
        <f ca="1">IF(AND(Q878,N878=1),OFFSET(Taostats_CSV!$E$1,MATCH(K878&amp;H$1,Taostats_CSV!$X:$X,0)-1,0),"")</f>
        <v/>
      </c>
      <c r="H878" t="str">
        <f ca="1">IF(AND(Q878,N878=1),OFFSET(Taostats_CSV!$G$1,MATCH(K878&amp;H$1,Taostats_CSV!$X:$X,0)-1,0),"")</f>
        <v/>
      </c>
      <c r="I878" t="str">
        <f ca="1">IF(AND(LEN(K878)=0,LEN(F878)&gt;0),"Income",IF(AND(O878&gt;0,P878&gt;0,C878&lt;&gt;E878),"Trade",IF(AND(NOT(Q878),Taostats_CSV!F878="fee"),'READ ME'!$C$5,"")))</f>
        <v>Income</v>
      </c>
      <c r="J878" t="str">
        <f ca="1">SUBSTITUTE(IF(LEN(I878)=0,Taostats_CSV!F878&amp;" "&amp;Taostats_CSV!J878,IF(I878="Cost","Extrinsic fee","")),"_"," ")</f>
        <v/>
      </c>
      <c r="K878" t="str">
        <f>TRIM(IF(LEN(Taostats_CSV!I878)&gt;0,Taostats_CSV!I878,""))</f>
        <v/>
      </c>
      <c r="L878">
        <f ca="1">IF(Taostats_CSV!E878&lt;&gt;"TAO",IF(LEN(F878)&gt;0,F878,IF(LEN(D878)&gt;0,D878,0))*Taostats_CSV!P878,"")</f>
        <v>6.5640559265953788</v>
      </c>
      <c r="M878" t="str">
        <f t="shared" ca="1" si="93"/>
        <v>USD</v>
      </c>
      <c r="N878">
        <f>COUNTIF(Taostats_CSV!$X:$X,Taostats_CSV!$I878&amp;N$1)</f>
        <v>0</v>
      </c>
      <c r="O878">
        <f>COUNTIF(Taostats_CSV!$X:$X,Taostats_CSV!$I878&amp;O$1)</f>
        <v>0</v>
      </c>
      <c r="P878">
        <f>COUNTIF(Taostats_CSV!$X:$X,Taostats_CSV!$I878&amp;P$1)</f>
        <v>0</v>
      </c>
      <c r="Q878" t="b">
        <f t="shared" si="94"/>
        <v>0</v>
      </c>
      <c r="R878" t="b">
        <f>IF(LEN(K878)&gt;0,COUNTIF($K$3:K878,K878),FALSE)</f>
        <v>0</v>
      </c>
      <c r="S878" t="b">
        <f>IF(Taostats_CSV!A878=Taostats_CSV!$A$2,TRUE,Taostats_CSV!G878+Taostats_CSV!H878+Taostats_CSV!R878=0)</f>
        <v>0</v>
      </c>
      <c r="T878" t="b">
        <f t="shared" si="95"/>
        <v>1</v>
      </c>
      <c r="U878" t="b" cm="1">
        <f t="array" aca="1" ref="U878" ca="1">AND(T878,OR(O878-N878&gt;1,P878&gt;1,ISERROR(A878:P878)))</f>
        <v>0</v>
      </c>
      <c r="W878" t="e">
        <f>MATCH(K878&amp;$W$2,Taostats_CSV!$X$3:$X$1167,0)</f>
        <v>#N/A</v>
      </c>
      <c r="X878" t="e">
        <f t="shared" ca="1" si="90"/>
        <v>#VALUE!</v>
      </c>
      <c r="Y878">
        <f t="shared" ca="1" si="91"/>
        <v>0.444392748</v>
      </c>
      <c r="Z878" t="e">
        <f t="shared" ca="1" si="92"/>
        <v>#VALUE!</v>
      </c>
    </row>
    <row r="879" spans="1:26" x14ac:dyDescent="0.4">
      <c r="A879" t="str">
        <f>MID(Taostats_CSV!C879,6,2)&amp;"/"&amp;MID(Taostats_CSV!C879,9,2)&amp;"/"&amp;LEFT(Taostats_CSV!C879,4)&amp;" "&amp;MID(Taostats_CSV!C879,12,8)</f>
        <v>09/02/2025 23:59:48</v>
      </c>
      <c r="C879" t="str">
        <f ca="1">IF(Q879,OFFSET(Taostats_CSV!$E$1,MATCH(K879&amp;D$1,Taostats_CSV!$X:$X,0)-1,0),IF(Taostats_CSV!F879="fee",IF(VALUE(Taostats_CSV!G879)&gt;0,Taostats_CSV!E879,""),""))</f>
        <v/>
      </c>
      <c r="D879" t="str">
        <f ca="1">IF(Q879,OFFSET(Taostats_CSV!$G$1,MATCH(K879&amp;D$1,Taostats_CSV!$X:$X,0)-1,0),IF(Taostats_CSV!F879="fee",IF(VALUE(Taostats_CSV!G879)&gt;0,Taostats_CSV!G879,""),""))</f>
        <v/>
      </c>
      <c r="E879" t="str">
        <f ca="1">IF(AND(Q879,P879&gt;0),OFFSET(Taostats_CSV!$E$1,MATCH(K879&amp;F$1,Taostats_CSV!$X:$X,0)-1,0),IF(LEN(F879)&gt;0,Taostats_CSV!E879,""))</f>
        <v>SN56</v>
      </c>
      <c r="F879" t="str">
        <f ca="1">TRIM(IF(AND(Q879,P879&gt;0),OFFSET(Taostats_CSV!$H$1,MATCH(K879&amp;F$1,Taostats_CSV!$X:$X,0)-1,0),IF(LEN(Taostats_CSV!H879)&gt;0,Taostats_CSV!H879,Taostats_CSV!R879)))</f>
        <v>0.282955638</v>
      </c>
      <c r="G879" t="str">
        <f ca="1">IF(AND(Q879,N879=1),OFFSET(Taostats_CSV!$E$1,MATCH(K879&amp;H$1,Taostats_CSV!$X:$X,0)-1,0),"")</f>
        <v/>
      </c>
      <c r="H879" t="str">
        <f ca="1">IF(AND(Q879,N879=1),OFFSET(Taostats_CSV!$G$1,MATCH(K879&amp;H$1,Taostats_CSV!$X:$X,0)-1,0),"")</f>
        <v/>
      </c>
      <c r="I879" t="str">
        <f ca="1">IF(AND(LEN(K879)=0,LEN(F879)&gt;0),"Income",IF(AND(O879&gt;0,P879&gt;0,C879&lt;&gt;E879),"Trade",IF(AND(NOT(Q879),Taostats_CSV!F879="fee"),'READ ME'!$C$5,"")))</f>
        <v>Income</v>
      </c>
      <c r="J879" t="str">
        <f ca="1">SUBSTITUTE(IF(LEN(I879)=0,Taostats_CSV!F879&amp;" "&amp;Taostats_CSV!J879,IF(I879="Cost","Extrinsic fee","")),"_"," ")</f>
        <v/>
      </c>
      <c r="K879" t="str">
        <f>TRIM(IF(LEN(Taostats_CSV!I879)&gt;0,Taostats_CSV!I879,""))</f>
        <v/>
      </c>
      <c r="L879">
        <f ca="1">IF(Taostats_CSV!E879&lt;&gt;"TAO",IF(LEN(F879)&gt;0,F879,IF(LEN(D879)&gt;0,D879,0))*Taostats_CSV!P879,"")</f>
        <v>3.5376186172949264</v>
      </c>
      <c r="M879" t="str">
        <f t="shared" ca="1" si="93"/>
        <v>USD</v>
      </c>
      <c r="N879">
        <f>COUNTIF(Taostats_CSV!$X:$X,Taostats_CSV!$I879&amp;N$1)</f>
        <v>0</v>
      </c>
      <c r="O879">
        <f>COUNTIF(Taostats_CSV!$X:$X,Taostats_CSV!$I879&amp;O$1)</f>
        <v>0</v>
      </c>
      <c r="P879">
        <f>COUNTIF(Taostats_CSV!$X:$X,Taostats_CSV!$I879&amp;P$1)</f>
        <v>0</v>
      </c>
      <c r="Q879" t="b">
        <f t="shared" si="94"/>
        <v>0</v>
      </c>
      <c r="R879" t="b">
        <f>IF(LEN(K879)&gt;0,COUNTIF($K$3:K879,K879),FALSE)</f>
        <v>0</v>
      </c>
      <c r="S879" t="b">
        <f>IF(Taostats_CSV!A879=Taostats_CSV!$A$2,TRUE,Taostats_CSV!G879+Taostats_CSV!H879+Taostats_CSV!R879=0)</f>
        <v>0</v>
      </c>
      <c r="T879" t="b">
        <f t="shared" si="95"/>
        <v>1</v>
      </c>
      <c r="U879" t="b" cm="1">
        <f t="array" aca="1" ref="U879" ca="1">AND(T879,OR(O879-N879&gt;1,P879&gt;1,ISERROR(A879:P879)))</f>
        <v>0</v>
      </c>
      <c r="W879" t="e">
        <f>MATCH(K879&amp;$W$2,Taostats_CSV!$X$3:$X$1167,0)</f>
        <v>#N/A</v>
      </c>
      <c r="X879" t="e">
        <f t="shared" ca="1" si="90"/>
        <v>#VALUE!</v>
      </c>
      <c r="Y879">
        <f t="shared" ca="1" si="91"/>
        <v>0.28295563800000001</v>
      </c>
      <c r="Z879" t="e">
        <f t="shared" ca="1" si="92"/>
        <v>#VALUE!</v>
      </c>
    </row>
    <row r="880" spans="1:26" x14ac:dyDescent="0.4">
      <c r="A880" t="str">
        <f>MID(Taostats_CSV!C880,6,2)&amp;"/"&amp;MID(Taostats_CSV!C880,9,2)&amp;"/"&amp;LEFT(Taostats_CSV!C880,4)&amp;" "&amp;MID(Taostats_CSV!C880,12,8)</f>
        <v>09/02/2025 23:59:48</v>
      </c>
      <c r="C880" t="str">
        <f ca="1">IF(Q880,OFFSET(Taostats_CSV!$E$1,MATCH(K880&amp;D$1,Taostats_CSV!$X:$X,0)-1,0),IF(Taostats_CSV!F880="fee",IF(VALUE(Taostats_CSV!G880)&gt;0,Taostats_CSV!E880,""),""))</f>
        <v/>
      </c>
      <c r="D880" t="str">
        <f ca="1">IF(Q880,OFFSET(Taostats_CSV!$G$1,MATCH(K880&amp;D$1,Taostats_CSV!$X:$X,0)-1,0),IF(Taostats_CSV!F880="fee",IF(VALUE(Taostats_CSV!G880)&gt;0,Taostats_CSV!G880,""),""))</f>
        <v/>
      </c>
      <c r="E880" t="str">
        <f ca="1">IF(AND(Q880,P880&gt;0),OFFSET(Taostats_CSV!$E$1,MATCH(K880&amp;F$1,Taostats_CSV!$X:$X,0)-1,0),IF(LEN(F880)&gt;0,Taostats_CSV!E880,""))</f>
        <v>SN64</v>
      </c>
      <c r="F880" t="str">
        <f ca="1">TRIM(IF(AND(Q880,P880&gt;0),OFFSET(Taostats_CSV!$H$1,MATCH(K880&amp;F$1,Taostats_CSV!$X:$X,0)-1,0),IF(LEN(Taostats_CSV!H880)&gt;0,Taostats_CSV!H880,Taostats_CSV!R880)))</f>
        <v>0.143414965</v>
      </c>
      <c r="G880" t="str">
        <f ca="1">IF(AND(Q880,N880=1),OFFSET(Taostats_CSV!$E$1,MATCH(K880&amp;H$1,Taostats_CSV!$X:$X,0)-1,0),"")</f>
        <v/>
      </c>
      <c r="H880" t="str">
        <f ca="1">IF(AND(Q880,N880=1),OFFSET(Taostats_CSV!$G$1,MATCH(K880&amp;H$1,Taostats_CSV!$X:$X,0)-1,0),"")</f>
        <v/>
      </c>
      <c r="I880" t="str">
        <f ca="1">IF(AND(LEN(K880)=0,LEN(F880)&gt;0),"Income",IF(AND(O880&gt;0,P880&gt;0,C880&lt;&gt;E880),"Trade",IF(AND(NOT(Q880),Taostats_CSV!F880="fee"),'READ ME'!$C$5,"")))</f>
        <v>Income</v>
      </c>
      <c r="J880" t="str">
        <f ca="1">SUBSTITUTE(IF(LEN(I880)=0,Taostats_CSV!F880&amp;" "&amp;Taostats_CSV!J880,IF(I880="Cost","Extrinsic fee","")),"_"," ")</f>
        <v/>
      </c>
      <c r="K880" t="str">
        <f>TRIM(IF(LEN(Taostats_CSV!I880)&gt;0,Taostats_CSV!I880,""))</f>
        <v/>
      </c>
      <c r="L880">
        <f ca="1">IF(Taostats_CSV!E880&lt;&gt;"TAO",IF(LEN(F880)&gt;0,F880,IF(LEN(D880)&gt;0,D880,0))*Taostats_CSV!P880,"")</f>
        <v>4.9278586843245611</v>
      </c>
      <c r="M880" t="str">
        <f t="shared" ca="1" si="93"/>
        <v>USD</v>
      </c>
      <c r="N880">
        <f>COUNTIF(Taostats_CSV!$X:$X,Taostats_CSV!$I880&amp;N$1)</f>
        <v>0</v>
      </c>
      <c r="O880">
        <f>COUNTIF(Taostats_CSV!$X:$X,Taostats_CSV!$I880&amp;O$1)</f>
        <v>0</v>
      </c>
      <c r="P880">
        <f>COUNTIF(Taostats_CSV!$X:$X,Taostats_CSV!$I880&amp;P$1)</f>
        <v>0</v>
      </c>
      <c r="Q880" t="b">
        <f t="shared" si="94"/>
        <v>0</v>
      </c>
      <c r="R880" t="b">
        <f>IF(LEN(K880)&gt;0,COUNTIF($K$3:K880,K880),FALSE)</f>
        <v>0</v>
      </c>
      <c r="S880" t="b">
        <f>IF(Taostats_CSV!A880=Taostats_CSV!$A$2,TRUE,Taostats_CSV!G880+Taostats_CSV!H880+Taostats_CSV!R880=0)</f>
        <v>0</v>
      </c>
      <c r="T880" t="b">
        <f t="shared" si="95"/>
        <v>1</v>
      </c>
      <c r="U880" t="b" cm="1">
        <f t="array" aca="1" ref="U880" ca="1">AND(T880,OR(O880-N880&gt;1,P880&gt;1,ISERROR(A880:P880)))</f>
        <v>0</v>
      </c>
      <c r="W880" t="e">
        <f>MATCH(K880&amp;$W$2,Taostats_CSV!$X$3:$X$1167,0)</f>
        <v>#N/A</v>
      </c>
      <c r="X880" t="e">
        <f t="shared" ca="1" si="90"/>
        <v>#VALUE!</v>
      </c>
      <c r="Y880">
        <f t="shared" ca="1" si="91"/>
        <v>0.14341496500000001</v>
      </c>
      <c r="Z880" t="e">
        <f t="shared" ca="1" si="92"/>
        <v>#VALUE!</v>
      </c>
    </row>
    <row r="881" spans="1:26" x14ac:dyDescent="0.4">
      <c r="A881" t="str">
        <f>MID(Taostats_CSV!C881,6,2)&amp;"/"&amp;MID(Taostats_CSV!C881,9,2)&amp;"/"&amp;LEFT(Taostats_CSV!C881,4)&amp;" "&amp;MID(Taostats_CSV!C881,12,8)</f>
        <v>09/02/2025 23:59:48</v>
      </c>
      <c r="C881" t="str">
        <f ca="1">IF(Q881,OFFSET(Taostats_CSV!$E$1,MATCH(K881&amp;D$1,Taostats_CSV!$X:$X,0)-1,0),IF(Taostats_CSV!F881="fee",IF(VALUE(Taostats_CSV!G881)&gt;0,Taostats_CSV!E881,""),""))</f>
        <v/>
      </c>
      <c r="D881" t="str">
        <f ca="1">IF(Q881,OFFSET(Taostats_CSV!$G$1,MATCH(K881&amp;D$1,Taostats_CSV!$X:$X,0)-1,0),IF(Taostats_CSV!F881="fee",IF(VALUE(Taostats_CSV!G881)&gt;0,Taostats_CSV!G881,""),""))</f>
        <v/>
      </c>
      <c r="E881" t="str">
        <f ca="1">IF(AND(Q881,P881&gt;0),OFFSET(Taostats_CSV!$E$1,MATCH(K881&amp;F$1,Taostats_CSV!$X:$X,0)-1,0),IF(LEN(F881)&gt;0,Taostats_CSV!E881,""))</f>
        <v>TAO</v>
      </c>
      <c r="F881" t="str">
        <f ca="1">TRIM(IF(AND(Q881,P881&gt;0),OFFSET(Taostats_CSV!$H$1,MATCH(K881&amp;F$1,Taostats_CSV!$X:$X,0)-1,0),IF(LEN(Taostats_CSV!H881)&gt;0,Taostats_CSV!H881,Taostats_CSV!R881)))</f>
        <v>0.009854671</v>
      </c>
      <c r="G881" t="str">
        <f ca="1">IF(AND(Q881,N881=1),OFFSET(Taostats_CSV!$E$1,MATCH(K881&amp;H$1,Taostats_CSV!$X:$X,0)-1,0),"")</f>
        <v/>
      </c>
      <c r="H881" t="str">
        <f ca="1">IF(AND(Q881,N881=1),OFFSET(Taostats_CSV!$G$1,MATCH(K881&amp;H$1,Taostats_CSV!$X:$X,0)-1,0),"")</f>
        <v/>
      </c>
      <c r="I881" t="str">
        <f ca="1">IF(AND(LEN(K881)=0,LEN(F881)&gt;0),"Income",IF(AND(O881&gt;0,P881&gt;0,C881&lt;&gt;E881),"Trade",IF(AND(NOT(Q881),Taostats_CSV!F881="fee"),'READ ME'!$C$5,"")))</f>
        <v>Income</v>
      </c>
      <c r="J881" t="str">
        <f ca="1">SUBSTITUTE(IF(LEN(I881)=0,Taostats_CSV!F881&amp;" "&amp;Taostats_CSV!J881,IF(I881="Cost","Extrinsic fee","")),"_"," ")</f>
        <v/>
      </c>
      <c r="K881" t="str">
        <f>TRIM(IF(LEN(Taostats_CSV!I881)&gt;0,Taostats_CSV!I881,""))</f>
        <v/>
      </c>
      <c r="L881" t="str">
        <f>IF(Taostats_CSV!E881&lt;&gt;"TAO",IF(LEN(F881)&gt;0,F881,IF(LEN(D881)&gt;0,D881,0))*Taostats_CSV!P881,"")</f>
        <v/>
      </c>
      <c r="M881" t="str">
        <f t="shared" si="93"/>
        <v/>
      </c>
      <c r="N881">
        <f>COUNTIF(Taostats_CSV!$X:$X,Taostats_CSV!$I881&amp;N$1)</f>
        <v>0</v>
      </c>
      <c r="O881">
        <f>COUNTIF(Taostats_CSV!$X:$X,Taostats_CSV!$I881&amp;O$1)</f>
        <v>0</v>
      </c>
      <c r="P881">
        <f>COUNTIF(Taostats_CSV!$X:$X,Taostats_CSV!$I881&amp;P$1)</f>
        <v>0</v>
      </c>
      <c r="Q881" t="b">
        <f t="shared" si="94"/>
        <v>0</v>
      </c>
      <c r="R881" t="b">
        <f>IF(LEN(K881)&gt;0,COUNTIF($K$3:K881,K881),FALSE)</f>
        <v>0</v>
      </c>
      <c r="S881" t="b">
        <f>IF(Taostats_CSV!A881=Taostats_CSV!$A$2,TRUE,Taostats_CSV!G881+Taostats_CSV!H881+Taostats_CSV!R881=0)</f>
        <v>0</v>
      </c>
      <c r="T881" t="b">
        <f t="shared" si="95"/>
        <v>1</v>
      </c>
      <c r="U881" t="b" cm="1">
        <f t="array" aca="1" ref="U881" ca="1">AND(T881,OR(O881-N881&gt;1,P881&gt;1,ISERROR(A881:P881)))</f>
        <v>0</v>
      </c>
      <c r="W881" t="e">
        <f>MATCH(K881&amp;$W$2,Taostats_CSV!$X$3:$X$1167,0)</f>
        <v>#N/A</v>
      </c>
      <c r="X881" t="e">
        <f t="shared" ca="1" si="90"/>
        <v>#VALUE!</v>
      </c>
      <c r="Y881">
        <f t="shared" ca="1" si="91"/>
        <v>9.8546710000000006E-3</v>
      </c>
      <c r="Z881" t="e">
        <f t="shared" ca="1" si="92"/>
        <v>#VALUE!</v>
      </c>
    </row>
    <row r="882" spans="1:26" x14ac:dyDescent="0.4">
      <c r="A882" t="str">
        <f>MID(Taostats_CSV!C882,6,2)&amp;"/"&amp;MID(Taostats_CSV!C882,9,2)&amp;"/"&amp;LEFT(Taostats_CSV!C882,4)&amp;" "&amp;MID(Taostats_CSV!C882,12,8)</f>
        <v>09/03/2025 23:59:48</v>
      </c>
      <c r="C882" t="str">
        <f ca="1">IF(Q882,OFFSET(Taostats_CSV!$E$1,MATCH(K882&amp;D$1,Taostats_CSV!$X:$X,0)-1,0),IF(Taostats_CSV!F882="fee",IF(VALUE(Taostats_CSV!G882)&gt;0,Taostats_CSV!E882,""),""))</f>
        <v/>
      </c>
      <c r="D882" t="str">
        <f ca="1">IF(Q882,OFFSET(Taostats_CSV!$G$1,MATCH(K882&amp;D$1,Taostats_CSV!$X:$X,0)-1,0),IF(Taostats_CSV!F882="fee",IF(VALUE(Taostats_CSV!G882)&gt;0,Taostats_CSV!G882,""),""))</f>
        <v/>
      </c>
      <c r="E882" t="str">
        <f ca="1">IF(AND(Q882,P882&gt;0),OFFSET(Taostats_CSV!$E$1,MATCH(K882&amp;F$1,Taostats_CSV!$X:$X,0)-1,0),IF(LEN(F882)&gt;0,Taostats_CSV!E882,""))</f>
        <v>SN3</v>
      </c>
      <c r="F882" t="str">
        <f ca="1">TRIM(IF(AND(Q882,P882&gt;0),OFFSET(Taostats_CSV!$H$1,MATCH(K882&amp;F$1,Taostats_CSV!$X:$X,0)-1,0),IF(LEN(Taostats_CSV!H882)&gt;0,Taostats_CSV!H882,Taostats_CSV!R882)))</f>
        <v>0.471185748</v>
      </c>
      <c r="G882" t="str">
        <f ca="1">IF(AND(Q882,N882=1),OFFSET(Taostats_CSV!$E$1,MATCH(K882&amp;H$1,Taostats_CSV!$X:$X,0)-1,0),"")</f>
        <v/>
      </c>
      <c r="H882" t="str">
        <f ca="1">IF(AND(Q882,N882=1),OFFSET(Taostats_CSV!$G$1,MATCH(K882&amp;H$1,Taostats_CSV!$X:$X,0)-1,0),"")</f>
        <v/>
      </c>
      <c r="I882" t="str">
        <f ca="1">IF(AND(LEN(K882)=0,LEN(F882)&gt;0),"Income",IF(AND(O882&gt;0,P882&gt;0,C882&lt;&gt;E882),"Trade",IF(AND(NOT(Q882),Taostats_CSV!F882="fee"),'READ ME'!$C$5,"")))</f>
        <v>Income</v>
      </c>
      <c r="J882" t="str">
        <f ca="1">SUBSTITUTE(IF(LEN(I882)=0,Taostats_CSV!F882&amp;" "&amp;Taostats_CSV!J882,IF(I882="Cost","Extrinsic fee","")),"_"," ")</f>
        <v/>
      </c>
      <c r="K882" t="str">
        <f>TRIM(IF(LEN(Taostats_CSV!I882)&gt;0,Taostats_CSV!I882,""))</f>
        <v/>
      </c>
      <c r="L882">
        <f ca="1">IF(Taostats_CSV!E882&lt;&gt;"TAO",IF(LEN(F882)&gt;0,F882,IF(LEN(D882)&gt;0,D882,0))*Taostats_CSV!P882,"")</f>
        <v>5.7183562831507784</v>
      </c>
      <c r="M882" t="str">
        <f t="shared" ca="1" si="93"/>
        <v>USD</v>
      </c>
      <c r="N882">
        <f>COUNTIF(Taostats_CSV!$X:$X,Taostats_CSV!$I882&amp;N$1)</f>
        <v>0</v>
      </c>
      <c r="O882">
        <f>COUNTIF(Taostats_CSV!$X:$X,Taostats_CSV!$I882&amp;O$1)</f>
        <v>0</v>
      </c>
      <c r="P882">
        <f>COUNTIF(Taostats_CSV!$X:$X,Taostats_CSV!$I882&amp;P$1)</f>
        <v>0</v>
      </c>
      <c r="Q882" t="b">
        <f t="shared" si="94"/>
        <v>0</v>
      </c>
      <c r="R882" t="b">
        <f>IF(LEN(K882)&gt;0,COUNTIF($K$3:K882,K882),FALSE)</f>
        <v>0</v>
      </c>
      <c r="S882" t="b">
        <f>IF(Taostats_CSV!A882=Taostats_CSV!$A$2,TRUE,Taostats_CSV!G882+Taostats_CSV!H882+Taostats_CSV!R882=0)</f>
        <v>0</v>
      </c>
      <c r="T882" t="b">
        <f t="shared" si="95"/>
        <v>1</v>
      </c>
      <c r="U882" t="b" cm="1">
        <f t="array" aca="1" ref="U882" ca="1">AND(T882,OR(O882-N882&gt;1,P882&gt;1,ISERROR(A882:P882)))</f>
        <v>0</v>
      </c>
      <c r="W882" t="e">
        <f>MATCH(K882&amp;$W$2,Taostats_CSV!$X$3:$X$1167,0)</f>
        <v>#N/A</v>
      </c>
      <c r="X882" t="e">
        <f t="shared" ca="1" si="90"/>
        <v>#VALUE!</v>
      </c>
      <c r="Y882">
        <f t="shared" ca="1" si="91"/>
        <v>0.47118574800000002</v>
      </c>
      <c r="Z882" t="e">
        <f t="shared" ca="1" si="92"/>
        <v>#VALUE!</v>
      </c>
    </row>
    <row r="883" spans="1:26" x14ac:dyDescent="0.4">
      <c r="A883" t="str">
        <f>MID(Taostats_CSV!C883,6,2)&amp;"/"&amp;MID(Taostats_CSV!C883,9,2)&amp;"/"&amp;LEFT(Taostats_CSV!C883,4)&amp;" "&amp;MID(Taostats_CSV!C883,12,8)</f>
        <v>09/03/2025 23:59:48</v>
      </c>
      <c r="C883" t="str">
        <f ca="1">IF(Q883,OFFSET(Taostats_CSV!$E$1,MATCH(K883&amp;D$1,Taostats_CSV!$X:$X,0)-1,0),IF(Taostats_CSV!F883="fee",IF(VALUE(Taostats_CSV!G883)&gt;0,Taostats_CSV!E883,""),""))</f>
        <v/>
      </c>
      <c r="D883" t="str">
        <f ca="1">IF(Q883,OFFSET(Taostats_CSV!$G$1,MATCH(K883&amp;D$1,Taostats_CSV!$X:$X,0)-1,0),IF(Taostats_CSV!F883="fee",IF(VALUE(Taostats_CSV!G883)&gt;0,Taostats_CSV!G883,""),""))</f>
        <v/>
      </c>
      <c r="E883" t="str">
        <f ca="1">IF(AND(Q883,P883&gt;0),OFFSET(Taostats_CSV!$E$1,MATCH(K883&amp;F$1,Taostats_CSV!$X:$X,0)-1,0),IF(LEN(F883)&gt;0,Taostats_CSV!E883,""))</f>
        <v>SN4</v>
      </c>
      <c r="F883" t="str">
        <f ca="1">TRIM(IF(AND(Q883,P883&gt;0),OFFSET(Taostats_CSV!$H$1,MATCH(K883&amp;F$1,Taostats_CSV!$X:$X,0)-1,0),IF(LEN(Taostats_CSV!H883)&gt;0,Taostats_CSV!H883,Taostats_CSV!R883)))</f>
        <v>0.444731899</v>
      </c>
      <c r="G883" t="str">
        <f ca="1">IF(AND(Q883,N883=1),OFFSET(Taostats_CSV!$E$1,MATCH(K883&amp;H$1,Taostats_CSV!$X:$X,0)-1,0),"")</f>
        <v/>
      </c>
      <c r="H883" t="str">
        <f ca="1">IF(AND(Q883,N883=1),OFFSET(Taostats_CSV!$G$1,MATCH(K883&amp;H$1,Taostats_CSV!$X:$X,0)-1,0),"")</f>
        <v/>
      </c>
      <c r="I883" t="str">
        <f ca="1">IF(AND(LEN(K883)=0,LEN(F883)&gt;0),"Income",IF(AND(O883&gt;0,P883&gt;0,C883&lt;&gt;E883),"Trade",IF(AND(NOT(Q883),Taostats_CSV!F883="fee"),'READ ME'!$C$5,"")))</f>
        <v>Income</v>
      </c>
      <c r="J883" t="str">
        <f ca="1">SUBSTITUTE(IF(LEN(I883)=0,Taostats_CSV!F883&amp;" "&amp;Taostats_CSV!J883,IF(I883="Cost","Extrinsic fee","")),"_"," ")</f>
        <v/>
      </c>
      <c r="K883" t="str">
        <f>TRIM(IF(LEN(Taostats_CSV!I883)&gt;0,Taostats_CSV!I883,""))</f>
        <v/>
      </c>
      <c r="L883">
        <f ca="1">IF(Taostats_CSV!E883&lt;&gt;"TAO",IF(LEN(F883)&gt;0,F883,IF(LEN(D883)&gt;0,D883,0))*Taostats_CSV!P883,"")</f>
        <v>6.5896801449099645</v>
      </c>
      <c r="M883" t="str">
        <f t="shared" ca="1" si="93"/>
        <v>USD</v>
      </c>
      <c r="N883">
        <f>COUNTIF(Taostats_CSV!$X:$X,Taostats_CSV!$I883&amp;N$1)</f>
        <v>0</v>
      </c>
      <c r="O883">
        <f>COUNTIF(Taostats_CSV!$X:$X,Taostats_CSV!$I883&amp;O$1)</f>
        <v>0</v>
      </c>
      <c r="P883">
        <f>COUNTIF(Taostats_CSV!$X:$X,Taostats_CSV!$I883&amp;P$1)</f>
        <v>0</v>
      </c>
      <c r="Q883" t="b">
        <f t="shared" si="94"/>
        <v>0</v>
      </c>
      <c r="R883" t="b">
        <f>IF(LEN(K883)&gt;0,COUNTIF($K$3:K883,K883),FALSE)</f>
        <v>0</v>
      </c>
      <c r="S883" t="b">
        <f>IF(Taostats_CSV!A883=Taostats_CSV!$A$2,TRUE,Taostats_CSV!G883+Taostats_CSV!H883+Taostats_CSV!R883=0)</f>
        <v>0</v>
      </c>
      <c r="T883" t="b">
        <f t="shared" si="95"/>
        <v>1</v>
      </c>
      <c r="U883" t="b" cm="1">
        <f t="array" aca="1" ref="U883" ca="1">AND(T883,OR(O883-N883&gt;1,P883&gt;1,ISERROR(A883:P883)))</f>
        <v>0</v>
      </c>
      <c r="W883" t="e">
        <f>MATCH(K883&amp;$W$2,Taostats_CSV!$X$3:$X$1167,0)</f>
        <v>#N/A</v>
      </c>
      <c r="X883" t="e">
        <f t="shared" ca="1" si="90"/>
        <v>#VALUE!</v>
      </c>
      <c r="Y883">
        <f t="shared" ca="1" si="91"/>
        <v>0.44473189899999999</v>
      </c>
      <c r="Z883" t="e">
        <f t="shared" ca="1" si="92"/>
        <v>#VALUE!</v>
      </c>
    </row>
    <row r="884" spans="1:26" x14ac:dyDescent="0.4">
      <c r="A884" t="str">
        <f>MID(Taostats_CSV!C884,6,2)&amp;"/"&amp;MID(Taostats_CSV!C884,9,2)&amp;"/"&amp;LEFT(Taostats_CSV!C884,4)&amp;" "&amp;MID(Taostats_CSV!C884,12,8)</f>
        <v>09/03/2025 23:59:48</v>
      </c>
      <c r="C884" t="str">
        <f ca="1">IF(Q884,OFFSET(Taostats_CSV!$E$1,MATCH(K884&amp;D$1,Taostats_CSV!$X:$X,0)-1,0),IF(Taostats_CSV!F884="fee",IF(VALUE(Taostats_CSV!G884)&gt;0,Taostats_CSV!E884,""),""))</f>
        <v/>
      </c>
      <c r="D884" t="str">
        <f ca="1">IF(Q884,OFFSET(Taostats_CSV!$G$1,MATCH(K884&amp;D$1,Taostats_CSV!$X:$X,0)-1,0),IF(Taostats_CSV!F884="fee",IF(VALUE(Taostats_CSV!G884)&gt;0,Taostats_CSV!G884,""),""))</f>
        <v/>
      </c>
      <c r="E884" t="str">
        <f ca="1">IF(AND(Q884,P884&gt;0),OFFSET(Taostats_CSV!$E$1,MATCH(K884&amp;F$1,Taostats_CSV!$X:$X,0)-1,0),IF(LEN(F884)&gt;0,Taostats_CSV!E884,""))</f>
        <v>SN56</v>
      </c>
      <c r="F884" t="str">
        <f ca="1">TRIM(IF(AND(Q884,P884&gt;0),OFFSET(Taostats_CSV!$H$1,MATCH(K884&amp;F$1,Taostats_CSV!$X:$X,0)-1,0),IF(LEN(Taostats_CSV!H884)&gt;0,Taostats_CSV!H884,Taostats_CSV!R884)))</f>
        <v>0.285735866</v>
      </c>
      <c r="G884" t="str">
        <f ca="1">IF(AND(Q884,N884=1),OFFSET(Taostats_CSV!$E$1,MATCH(K884&amp;H$1,Taostats_CSV!$X:$X,0)-1,0),"")</f>
        <v/>
      </c>
      <c r="H884" t="str">
        <f ca="1">IF(AND(Q884,N884=1),OFFSET(Taostats_CSV!$G$1,MATCH(K884&amp;H$1,Taostats_CSV!$X:$X,0)-1,0),"")</f>
        <v/>
      </c>
      <c r="I884" t="str">
        <f ca="1">IF(AND(LEN(K884)=0,LEN(F884)&gt;0),"Income",IF(AND(O884&gt;0,P884&gt;0,C884&lt;&gt;E884),"Trade",IF(AND(NOT(Q884),Taostats_CSV!F884="fee"),'READ ME'!$C$5,"")))</f>
        <v>Income</v>
      </c>
      <c r="J884" t="str">
        <f ca="1">SUBSTITUTE(IF(LEN(I884)=0,Taostats_CSV!F884&amp;" "&amp;Taostats_CSV!J884,IF(I884="Cost","Extrinsic fee","")),"_"," ")</f>
        <v/>
      </c>
      <c r="K884" t="str">
        <f>TRIM(IF(LEN(Taostats_CSV!I884)&gt;0,Taostats_CSV!I884,""))</f>
        <v/>
      </c>
      <c r="L884">
        <f ca="1">IF(Taostats_CSV!E884&lt;&gt;"TAO",IF(LEN(F884)&gt;0,F884,IF(LEN(D884)&gt;0,D884,0))*Taostats_CSV!P884,"")</f>
        <v>3.7143161118412946</v>
      </c>
      <c r="M884" t="str">
        <f t="shared" ca="1" si="93"/>
        <v>USD</v>
      </c>
      <c r="N884">
        <f>COUNTIF(Taostats_CSV!$X:$X,Taostats_CSV!$I884&amp;N$1)</f>
        <v>0</v>
      </c>
      <c r="O884">
        <f>COUNTIF(Taostats_CSV!$X:$X,Taostats_CSV!$I884&amp;O$1)</f>
        <v>0</v>
      </c>
      <c r="P884">
        <f>COUNTIF(Taostats_CSV!$X:$X,Taostats_CSV!$I884&amp;P$1)</f>
        <v>0</v>
      </c>
      <c r="Q884" t="b">
        <f t="shared" si="94"/>
        <v>0</v>
      </c>
      <c r="R884" t="b">
        <f>IF(LEN(K884)&gt;0,COUNTIF($K$3:K884,K884),FALSE)</f>
        <v>0</v>
      </c>
      <c r="S884" t="b">
        <f>IF(Taostats_CSV!A884=Taostats_CSV!$A$2,TRUE,Taostats_CSV!G884+Taostats_CSV!H884+Taostats_CSV!R884=0)</f>
        <v>0</v>
      </c>
      <c r="T884" t="b">
        <f t="shared" si="95"/>
        <v>1</v>
      </c>
      <c r="U884" t="b" cm="1">
        <f t="array" aca="1" ref="U884" ca="1">AND(T884,OR(O884-N884&gt;1,P884&gt;1,ISERROR(A884:P884)))</f>
        <v>0</v>
      </c>
      <c r="W884" t="e">
        <f>MATCH(K884&amp;$W$2,Taostats_CSV!$X$3:$X$1167,0)</f>
        <v>#N/A</v>
      </c>
      <c r="X884" t="e">
        <f t="shared" ca="1" si="90"/>
        <v>#VALUE!</v>
      </c>
      <c r="Y884">
        <f t="shared" ca="1" si="91"/>
        <v>0.28573586600000001</v>
      </c>
      <c r="Z884" t="e">
        <f t="shared" ca="1" si="92"/>
        <v>#VALUE!</v>
      </c>
    </row>
    <row r="885" spans="1:26" x14ac:dyDescent="0.4">
      <c r="A885" t="str">
        <f>MID(Taostats_CSV!C885,6,2)&amp;"/"&amp;MID(Taostats_CSV!C885,9,2)&amp;"/"&amp;LEFT(Taostats_CSV!C885,4)&amp;" "&amp;MID(Taostats_CSV!C885,12,8)</f>
        <v>09/03/2025 23:59:48</v>
      </c>
      <c r="C885" t="str">
        <f ca="1">IF(Q885,OFFSET(Taostats_CSV!$E$1,MATCH(K885&amp;D$1,Taostats_CSV!$X:$X,0)-1,0),IF(Taostats_CSV!F885="fee",IF(VALUE(Taostats_CSV!G885)&gt;0,Taostats_CSV!E885,""),""))</f>
        <v/>
      </c>
      <c r="D885" t="str">
        <f ca="1">IF(Q885,OFFSET(Taostats_CSV!$G$1,MATCH(K885&amp;D$1,Taostats_CSV!$X:$X,0)-1,0),IF(Taostats_CSV!F885="fee",IF(VALUE(Taostats_CSV!G885)&gt;0,Taostats_CSV!G885,""),""))</f>
        <v/>
      </c>
      <c r="E885" t="str">
        <f ca="1">IF(AND(Q885,P885&gt;0),OFFSET(Taostats_CSV!$E$1,MATCH(K885&amp;F$1,Taostats_CSV!$X:$X,0)-1,0),IF(LEN(F885)&gt;0,Taostats_CSV!E885,""))</f>
        <v>SN64</v>
      </c>
      <c r="F885" t="str">
        <f ca="1">TRIM(IF(AND(Q885,P885&gt;0),OFFSET(Taostats_CSV!$H$1,MATCH(K885&amp;F$1,Taostats_CSV!$X:$X,0)-1,0),IF(LEN(Taostats_CSV!H885)&gt;0,Taostats_CSV!H885,Taostats_CSV!R885)))</f>
        <v>0.135841551</v>
      </c>
      <c r="G885" t="str">
        <f ca="1">IF(AND(Q885,N885=1),OFFSET(Taostats_CSV!$E$1,MATCH(K885&amp;H$1,Taostats_CSV!$X:$X,0)-1,0),"")</f>
        <v/>
      </c>
      <c r="H885" t="str">
        <f ca="1">IF(AND(Q885,N885=1),OFFSET(Taostats_CSV!$G$1,MATCH(K885&amp;H$1,Taostats_CSV!$X:$X,0)-1,0),"")</f>
        <v/>
      </c>
      <c r="I885" t="str">
        <f ca="1">IF(AND(LEN(K885)=0,LEN(F885)&gt;0),"Income",IF(AND(O885&gt;0,P885&gt;0,C885&lt;&gt;E885),"Trade",IF(AND(NOT(Q885),Taostats_CSV!F885="fee"),'READ ME'!$C$5,"")))</f>
        <v>Income</v>
      </c>
      <c r="J885" t="str">
        <f ca="1">SUBSTITUTE(IF(LEN(I885)=0,Taostats_CSV!F885&amp;" "&amp;Taostats_CSV!J885,IF(I885="Cost","Extrinsic fee","")),"_"," ")</f>
        <v/>
      </c>
      <c r="K885" t="str">
        <f>TRIM(IF(LEN(Taostats_CSV!I885)&gt;0,Taostats_CSV!I885,""))</f>
        <v/>
      </c>
      <c r="L885">
        <f ca="1">IF(Taostats_CSV!E885&lt;&gt;"TAO",IF(LEN(F885)&gt;0,F885,IF(LEN(D885)&gt;0,D885,0))*Taostats_CSV!P885,"")</f>
        <v>4.7995936652811393</v>
      </c>
      <c r="M885" t="str">
        <f t="shared" ca="1" si="93"/>
        <v>USD</v>
      </c>
      <c r="N885">
        <f>COUNTIF(Taostats_CSV!$X:$X,Taostats_CSV!$I885&amp;N$1)</f>
        <v>0</v>
      </c>
      <c r="O885">
        <f>COUNTIF(Taostats_CSV!$X:$X,Taostats_CSV!$I885&amp;O$1)</f>
        <v>0</v>
      </c>
      <c r="P885">
        <f>COUNTIF(Taostats_CSV!$X:$X,Taostats_CSV!$I885&amp;P$1)</f>
        <v>0</v>
      </c>
      <c r="Q885" t="b">
        <f t="shared" si="94"/>
        <v>0</v>
      </c>
      <c r="R885" t="b">
        <f>IF(LEN(K885)&gt;0,COUNTIF($K$3:K885,K885),FALSE)</f>
        <v>0</v>
      </c>
      <c r="S885" t="b">
        <f>IF(Taostats_CSV!A885=Taostats_CSV!$A$2,TRUE,Taostats_CSV!G885+Taostats_CSV!H885+Taostats_CSV!R885=0)</f>
        <v>0</v>
      </c>
      <c r="T885" t="b">
        <f t="shared" si="95"/>
        <v>1</v>
      </c>
      <c r="U885" t="b" cm="1">
        <f t="array" aca="1" ref="U885" ca="1">AND(T885,OR(O885-N885&gt;1,P885&gt;1,ISERROR(A885:P885)))</f>
        <v>0</v>
      </c>
      <c r="W885" t="e">
        <f>MATCH(K885&amp;$W$2,Taostats_CSV!$X$3:$X$1167,0)</f>
        <v>#N/A</v>
      </c>
      <c r="X885" t="e">
        <f t="shared" ca="1" si="90"/>
        <v>#VALUE!</v>
      </c>
      <c r="Y885">
        <f t="shared" ca="1" si="91"/>
        <v>0.135841551</v>
      </c>
      <c r="Z885" t="e">
        <f t="shared" ca="1" si="92"/>
        <v>#VALUE!</v>
      </c>
    </row>
    <row r="886" spans="1:26" x14ac:dyDescent="0.4">
      <c r="A886" t="str">
        <f>MID(Taostats_CSV!C886,6,2)&amp;"/"&amp;MID(Taostats_CSV!C886,9,2)&amp;"/"&amp;LEFT(Taostats_CSV!C886,4)&amp;" "&amp;MID(Taostats_CSV!C886,12,8)</f>
        <v>09/03/2025 23:59:48</v>
      </c>
      <c r="C886" t="str">
        <f ca="1">IF(Q886,OFFSET(Taostats_CSV!$E$1,MATCH(K886&amp;D$1,Taostats_CSV!$X:$X,0)-1,0),IF(Taostats_CSV!F886="fee",IF(VALUE(Taostats_CSV!G886)&gt;0,Taostats_CSV!E886,""),""))</f>
        <v/>
      </c>
      <c r="D886" t="str">
        <f ca="1">IF(Q886,OFFSET(Taostats_CSV!$G$1,MATCH(K886&amp;D$1,Taostats_CSV!$X:$X,0)-1,0),IF(Taostats_CSV!F886="fee",IF(VALUE(Taostats_CSV!G886)&gt;0,Taostats_CSV!G886,""),""))</f>
        <v/>
      </c>
      <c r="E886" t="str">
        <f ca="1">IF(AND(Q886,P886&gt;0),OFFSET(Taostats_CSV!$E$1,MATCH(K886&amp;F$1,Taostats_CSV!$X:$X,0)-1,0),IF(LEN(F886)&gt;0,Taostats_CSV!E886,""))</f>
        <v>TAO</v>
      </c>
      <c r="F886" t="str">
        <f ca="1">TRIM(IF(AND(Q886,P886&gt;0),OFFSET(Taostats_CSV!$H$1,MATCH(K886&amp;F$1,Taostats_CSV!$X:$X,0)-1,0),IF(LEN(Taostats_CSV!H886)&gt;0,Taostats_CSV!H886,Taostats_CSV!R886)))</f>
        <v>0.009363205</v>
      </c>
      <c r="G886" t="str">
        <f ca="1">IF(AND(Q886,N886=1),OFFSET(Taostats_CSV!$E$1,MATCH(K886&amp;H$1,Taostats_CSV!$X:$X,0)-1,0),"")</f>
        <v/>
      </c>
      <c r="H886" t="str">
        <f ca="1">IF(AND(Q886,N886=1),OFFSET(Taostats_CSV!$G$1,MATCH(K886&amp;H$1,Taostats_CSV!$X:$X,0)-1,0),"")</f>
        <v/>
      </c>
      <c r="I886" t="str">
        <f ca="1">IF(AND(LEN(K886)=0,LEN(F886)&gt;0),"Income",IF(AND(O886&gt;0,P886&gt;0,C886&lt;&gt;E886),"Trade",IF(AND(NOT(Q886),Taostats_CSV!F886="fee"),'READ ME'!$C$5,"")))</f>
        <v>Income</v>
      </c>
      <c r="J886" t="str">
        <f ca="1">SUBSTITUTE(IF(LEN(I886)=0,Taostats_CSV!F886&amp;" "&amp;Taostats_CSV!J886,IF(I886="Cost","Extrinsic fee","")),"_"," ")</f>
        <v/>
      </c>
      <c r="K886" t="str">
        <f>TRIM(IF(LEN(Taostats_CSV!I886)&gt;0,Taostats_CSV!I886,""))</f>
        <v/>
      </c>
      <c r="L886" t="str">
        <f>IF(Taostats_CSV!E886&lt;&gt;"TAO",IF(LEN(F886)&gt;0,F886,IF(LEN(D886)&gt;0,D886,0))*Taostats_CSV!P886,"")</f>
        <v/>
      </c>
      <c r="M886" t="str">
        <f t="shared" si="93"/>
        <v/>
      </c>
      <c r="N886">
        <f>COUNTIF(Taostats_CSV!$X:$X,Taostats_CSV!$I886&amp;N$1)</f>
        <v>0</v>
      </c>
      <c r="O886">
        <f>COUNTIF(Taostats_CSV!$X:$X,Taostats_CSV!$I886&amp;O$1)</f>
        <v>0</v>
      </c>
      <c r="P886">
        <f>COUNTIF(Taostats_CSV!$X:$X,Taostats_CSV!$I886&amp;P$1)</f>
        <v>0</v>
      </c>
      <c r="Q886" t="b">
        <f t="shared" si="94"/>
        <v>0</v>
      </c>
      <c r="R886" t="b">
        <f>IF(LEN(K886)&gt;0,COUNTIF($K$3:K886,K886),FALSE)</f>
        <v>0</v>
      </c>
      <c r="S886" t="b">
        <f>IF(Taostats_CSV!A886=Taostats_CSV!$A$2,TRUE,Taostats_CSV!G886+Taostats_CSV!H886+Taostats_CSV!R886=0)</f>
        <v>0</v>
      </c>
      <c r="T886" t="b">
        <f t="shared" si="95"/>
        <v>1</v>
      </c>
      <c r="U886" t="b" cm="1">
        <f t="array" aca="1" ref="U886" ca="1">AND(T886,OR(O886-N886&gt;1,P886&gt;1,ISERROR(A886:P886)))</f>
        <v>0</v>
      </c>
      <c r="W886" t="e">
        <f>MATCH(K886&amp;$W$2,Taostats_CSV!$X$3:$X$1167,0)</f>
        <v>#N/A</v>
      </c>
      <c r="X886" t="e">
        <f t="shared" ca="1" si="90"/>
        <v>#VALUE!</v>
      </c>
      <c r="Y886">
        <f t="shared" ca="1" si="91"/>
        <v>9.3632049999999994E-3</v>
      </c>
      <c r="Z886" t="e">
        <f t="shared" ca="1" si="92"/>
        <v>#VALUE!</v>
      </c>
    </row>
    <row r="887" spans="1:26" x14ac:dyDescent="0.4">
      <c r="A887" t="str">
        <f>MID(Taostats_CSV!C887,6,2)&amp;"/"&amp;MID(Taostats_CSV!C887,9,2)&amp;"/"&amp;LEFT(Taostats_CSV!C887,4)&amp;" "&amp;MID(Taostats_CSV!C887,12,8)</f>
        <v>09/04/2025 23:59:48</v>
      </c>
      <c r="C887" t="str">
        <f ca="1">IF(Q887,OFFSET(Taostats_CSV!$E$1,MATCH(K887&amp;D$1,Taostats_CSV!$X:$X,0)-1,0),IF(Taostats_CSV!F887="fee",IF(VALUE(Taostats_CSV!G887)&gt;0,Taostats_CSV!E887,""),""))</f>
        <v/>
      </c>
      <c r="D887" t="str">
        <f ca="1">IF(Q887,OFFSET(Taostats_CSV!$G$1,MATCH(K887&amp;D$1,Taostats_CSV!$X:$X,0)-1,0),IF(Taostats_CSV!F887="fee",IF(VALUE(Taostats_CSV!G887)&gt;0,Taostats_CSV!G887,""),""))</f>
        <v/>
      </c>
      <c r="E887" t="str">
        <f ca="1">IF(AND(Q887,P887&gt;0),OFFSET(Taostats_CSV!$E$1,MATCH(K887&amp;F$1,Taostats_CSV!$X:$X,0)-1,0),IF(LEN(F887)&gt;0,Taostats_CSV!E887,""))</f>
        <v>SN3</v>
      </c>
      <c r="F887" t="str">
        <f ca="1">TRIM(IF(AND(Q887,P887&gt;0),OFFSET(Taostats_CSV!$H$1,MATCH(K887&amp;F$1,Taostats_CSV!$X:$X,0)-1,0),IF(LEN(Taostats_CSV!H887)&gt;0,Taostats_CSV!H887,Taostats_CSV!R887)))</f>
        <v>0.491910652</v>
      </c>
      <c r="G887" t="str">
        <f ca="1">IF(AND(Q887,N887=1),OFFSET(Taostats_CSV!$E$1,MATCH(K887&amp;H$1,Taostats_CSV!$X:$X,0)-1,0),"")</f>
        <v/>
      </c>
      <c r="H887" t="str">
        <f ca="1">IF(AND(Q887,N887=1),OFFSET(Taostats_CSV!$G$1,MATCH(K887&amp;H$1,Taostats_CSV!$X:$X,0)-1,0),"")</f>
        <v/>
      </c>
      <c r="I887" t="str">
        <f ca="1">IF(AND(LEN(K887)=0,LEN(F887)&gt;0),"Income",IF(AND(O887&gt;0,P887&gt;0,C887&lt;&gt;E887),"Trade",IF(AND(NOT(Q887),Taostats_CSV!F887="fee"),'READ ME'!$C$5,"")))</f>
        <v>Income</v>
      </c>
      <c r="J887" t="str">
        <f ca="1">SUBSTITUTE(IF(LEN(I887)=0,Taostats_CSV!F887&amp;" "&amp;Taostats_CSV!J887,IF(I887="Cost","Extrinsic fee","")),"_"," ")</f>
        <v/>
      </c>
      <c r="K887" t="str">
        <f>TRIM(IF(LEN(Taostats_CSV!I887)&gt;0,Taostats_CSV!I887,""))</f>
        <v/>
      </c>
      <c r="L887">
        <f ca="1">IF(Taostats_CSV!E887&lt;&gt;"TAO",IF(LEN(F887)&gt;0,F887,IF(LEN(D887)&gt;0,D887,0))*Taostats_CSV!P887,"")</f>
        <v>5.596414928379577</v>
      </c>
      <c r="M887" t="str">
        <f t="shared" ca="1" si="93"/>
        <v>USD</v>
      </c>
      <c r="N887">
        <f>COUNTIF(Taostats_CSV!$X:$X,Taostats_CSV!$I887&amp;N$1)</f>
        <v>0</v>
      </c>
      <c r="O887">
        <f>COUNTIF(Taostats_CSV!$X:$X,Taostats_CSV!$I887&amp;O$1)</f>
        <v>0</v>
      </c>
      <c r="P887">
        <f>COUNTIF(Taostats_CSV!$X:$X,Taostats_CSV!$I887&amp;P$1)</f>
        <v>0</v>
      </c>
      <c r="Q887" t="b">
        <f t="shared" si="94"/>
        <v>0</v>
      </c>
      <c r="R887" t="b">
        <f>IF(LEN(K887)&gt;0,COUNTIF($K$3:K887,K887),FALSE)</f>
        <v>0</v>
      </c>
      <c r="S887" t="b">
        <f>IF(Taostats_CSV!A887=Taostats_CSV!$A$2,TRUE,Taostats_CSV!G887+Taostats_CSV!H887+Taostats_CSV!R887=0)</f>
        <v>0</v>
      </c>
      <c r="T887" t="b">
        <f t="shared" si="95"/>
        <v>1</v>
      </c>
      <c r="U887" t="b" cm="1">
        <f t="array" aca="1" ref="U887" ca="1">AND(T887,OR(O887-N887&gt;1,P887&gt;1,ISERROR(A887:P887)))</f>
        <v>0</v>
      </c>
      <c r="W887" t="e">
        <f>MATCH(K887&amp;$W$2,Taostats_CSV!$X$3:$X$1167,0)</f>
        <v>#N/A</v>
      </c>
      <c r="X887" t="e">
        <f t="shared" ca="1" si="90"/>
        <v>#VALUE!</v>
      </c>
      <c r="Y887">
        <f t="shared" ca="1" si="91"/>
        <v>0.491910652</v>
      </c>
      <c r="Z887" t="e">
        <f t="shared" ca="1" si="92"/>
        <v>#VALUE!</v>
      </c>
    </row>
    <row r="888" spans="1:26" x14ac:dyDescent="0.4">
      <c r="A888" t="str">
        <f>MID(Taostats_CSV!C888,6,2)&amp;"/"&amp;MID(Taostats_CSV!C888,9,2)&amp;"/"&amp;LEFT(Taostats_CSV!C888,4)&amp;" "&amp;MID(Taostats_CSV!C888,12,8)</f>
        <v>09/04/2025 23:59:48</v>
      </c>
      <c r="C888" t="str">
        <f ca="1">IF(Q888,OFFSET(Taostats_CSV!$E$1,MATCH(K888&amp;D$1,Taostats_CSV!$X:$X,0)-1,0),IF(Taostats_CSV!F888="fee",IF(VALUE(Taostats_CSV!G888)&gt;0,Taostats_CSV!E888,""),""))</f>
        <v/>
      </c>
      <c r="D888" t="str">
        <f ca="1">IF(Q888,OFFSET(Taostats_CSV!$G$1,MATCH(K888&amp;D$1,Taostats_CSV!$X:$X,0)-1,0),IF(Taostats_CSV!F888="fee",IF(VALUE(Taostats_CSV!G888)&gt;0,Taostats_CSV!G888,""),""))</f>
        <v/>
      </c>
      <c r="E888" t="str">
        <f ca="1">IF(AND(Q888,P888&gt;0),OFFSET(Taostats_CSV!$E$1,MATCH(K888&amp;F$1,Taostats_CSV!$X:$X,0)-1,0),IF(LEN(F888)&gt;0,Taostats_CSV!E888,""))</f>
        <v>SN4</v>
      </c>
      <c r="F888" t="str">
        <f ca="1">TRIM(IF(AND(Q888,P888&gt;0),OFFSET(Taostats_CSV!$H$1,MATCH(K888&amp;F$1,Taostats_CSV!$X:$X,0)-1,0),IF(LEN(Taostats_CSV!H888)&gt;0,Taostats_CSV!H888,Taostats_CSV!R888)))</f>
        <v>0.442912147</v>
      </c>
      <c r="G888" t="str">
        <f ca="1">IF(AND(Q888,N888=1),OFFSET(Taostats_CSV!$E$1,MATCH(K888&amp;H$1,Taostats_CSV!$X:$X,0)-1,0),"")</f>
        <v/>
      </c>
      <c r="H888" t="str">
        <f ca="1">IF(AND(Q888,N888=1),OFFSET(Taostats_CSV!$G$1,MATCH(K888&amp;H$1,Taostats_CSV!$X:$X,0)-1,0),"")</f>
        <v/>
      </c>
      <c r="I888" t="str">
        <f ca="1">IF(AND(LEN(K888)=0,LEN(F888)&gt;0),"Income",IF(AND(O888&gt;0,P888&gt;0,C888&lt;&gt;E888),"Trade",IF(AND(NOT(Q888),Taostats_CSV!F888="fee"),'READ ME'!$C$5,"")))</f>
        <v>Income</v>
      </c>
      <c r="J888" t="str">
        <f ca="1">SUBSTITUTE(IF(LEN(I888)=0,Taostats_CSV!F888&amp;" "&amp;Taostats_CSV!J888,IF(I888="Cost","Extrinsic fee","")),"_"," ")</f>
        <v/>
      </c>
      <c r="K888" t="str">
        <f>TRIM(IF(LEN(Taostats_CSV!I888)&gt;0,Taostats_CSV!I888,""))</f>
        <v/>
      </c>
      <c r="L888">
        <f ca="1">IF(Taostats_CSV!E888&lt;&gt;"TAO",IF(LEN(F888)&gt;0,F888,IF(LEN(D888)&gt;0,D888,0))*Taostats_CSV!P888,"")</f>
        <v>6.3978536895069285</v>
      </c>
      <c r="M888" t="str">
        <f t="shared" ca="1" si="93"/>
        <v>USD</v>
      </c>
      <c r="N888">
        <f>COUNTIF(Taostats_CSV!$X:$X,Taostats_CSV!$I888&amp;N$1)</f>
        <v>0</v>
      </c>
      <c r="O888">
        <f>COUNTIF(Taostats_CSV!$X:$X,Taostats_CSV!$I888&amp;O$1)</f>
        <v>0</v>
      </c>
      <c r="P888">
        <f>COUNTIF(Taostats_CSV!$X:$X,Taostats_CSV!$I888&amp;P$1)</f>
        <v>0</v>
      </c>
      <c r="Q888" t="b">
        <f t="shared" si="94"/>
        <v>0</v>
      </c>
      <c r="R888" t="b">
        <f>IF(LEN(K888)&gt;0,COUNTIF($K$3:K888,K888),FALSE)</f>
        <v>0</v>
      </c>
      <c r="S888" t="b">
        <f>IF(Taostats_CSV!A888=Taostats_CSV!$A$2,TRUE,Taostats_CSV!G888+Taostats_CSV!H888+Taostats_CSV!R888=0)</f>
        <v>0</v>
      </c>
      <c r="T888" t="b">
        <f t="shared" si="95"/>
        <v>1</v>
      </c>
      <c r="U888" t="b" cm="1">
        <f t="array" aca="1" ref="U888" ca="1">AND(T888,OR(O888-N888&gt;1,P888&gt;1,ISERROR(A888:P888)))</f>
        <v>0</v>
      </c>
      <c r="W888" t="e">
        <f>MATCH(K888&amp;$W$2,Taostats_CSV!$X$3:$X$1167,0)</f>
        <v>#N/A</v>
      </c>
      <c r="X888" t="e">
        <f t="shared" ca="1" si="90"/>
        <v>#VALUE!</v>
      </c>
      <c r="Y888">
        <f t="shared" ca="1" si="91"/>
        <v>0.44291214699999998</v>
      </c>
      <c r="Z888" t="e">
        <f t="shared" ca="1" si="92"/>
        <v>#VALUE!</v>
      </c>
    </row>
    <row r="889" spans="1:26" x14ac:dyDescent="0.4">
      <c r="A889" t="str">
        <f>MID(Taostats_CSV!C889,6,2)&amp;"/"&amp;MID(Taostats_CSV!C889,9,2)&amp;"/"&amp;LEFT(Taostats_CSV!C889,4)&amp;" "&amp;MID(Taostats_CSV!C889,12,8)</f>
        <v>09/04/2025 23:59:48</v>
      </c>
      <c r="C889" t="str">
        <f ca="1">IF(Q889,OFFSET(Taostats_CSV!$E$1,MATCH(K889&amp;D$1,Taostats_CSV!$X:$X,0)-1,0),IF(Taostats_CSV!F889="fee",IF(VALUE(Taostats_CSV!G889)&gt;0,Taostats_CSV!E889,""),""))</f>
        <v/>
      </c>
      <c r="D889" t="str">
        <f ca="1">IF(Q889,OFFSET(Taostats_CSV!$G$1,MATCH(K889&amp;D$1,Taostats_CSV!$X:$X,0)-1,0),IF(Taostats_CSV!F889="fee",IF(VALUE(Taostats_CSV!G889)&gt;0,Taostats_CSV!G889,""),""))</f>
        <v/>
      </c>
      <c r="E889" t="str">
        <f ca="1">IF(AND(Q889,P889&gt;0),OFFSET(Taostats_CSV!$E$1,MATCH(K889&amp;F$1,Taostats_CSV!$X:$X,0)-1,0),IF(LEN(F889)&gt;0,Taostats_CSV!E889,""))</f>
        <v>SN56</v>
      </c>
      <c r="F889" t="str">
        <f ca="1">TRIM(IF(AND(Q889,P889&gt;0),OFFSET(Taostats_CSV!$H$1,MATCH(K889&amp;F$1,Taostats_CSV!$X:$X,0)-1,0),IF(LEN(Taostats_CSV!H889)&gt;0,Taostats_CSV!H889,Taostats_CSV!R889)))</f>
        <v>0.287668018</v>
      </c>
      <c r="G889" t="str">
        <f ca="1">IF(AND(Q889,N889=1),OFFSET(Taostats_CSV!$E$1,MATCH(K889&amp;H$1,Taostats_CSV!$X:$X,0)-1,0),"")</f>
        <v/>
      </c>
      <c r="H889" t="str">
        <f ca="1">IF(AND(Q889,N889=1),OFFSET(Taostats_CSV!$G$1,MATCH(K889&amp;H$1,Taostats_CSV!$X:$X,0)-1,0),"")</f>
        <v/>
      </c>
      <c r="I889" t="str">
        <f ca="1">IF(AND(LEN(K889)=0,LEN(F889)&gt;0),"Income",IF(AND(O889&gt;0,P889&gt;0,C889&lt;&gt;E889),"Trade",IF(AND(NOT(Q889),Taostats_CSV!F889="fee"),'READ ME'!$C$5,"")))</f>
        <v>Income</v>
      </c>
      <c r="J889" t="str">
        <f ca="1">SUBSTITUTE(IF(LEN(I889)=0,Taostats_CSV!F889&amp;" "&amp;Taostats_CSV!J889,IF(I889="Cost","Extrinsic fee","")),"_"," ")</f>
        <v/>
      </c>
      <c r="K889" t="str">
        <f>TRIM(IF(LEN(Taostats_CSV!I889)&gt;0,Taostats_CSV!I889,""))</f>
        <v/>
      </c>
      <c r="L889">
        <f ca="1">IF(Taostats_CSV!E889&lt;&gt;"TAO",IF(LEN(F889)&gt;0,F889,IF(LEN(D889)&gt;0,D889,0))*Taostats_CSV!P889,"")</f>
        <v>3.5474644942050984</v>
      </c>
      <c r="M889" t="str">
        <f t="shared" ca="1" si="93"/>
        <v>USD</v>
      </c>
      <c r="N889">
        <f>COUNTIF(Taostats_CSV!$X:$X,Taostats_CSV!$I889&amp;N$1)</f>
        <v>0</v>
      </c>
      <c r="O889">
        <f>COUNTIF(Taostats_CSV!$X:$X,Taostats_CSV!$I889&amp;O$1)</f>
        <v>0</v>
      </c>
      <c r="P889">
        <f>COUNTIF(Taostats_CSV!$X:$X,Taostats_CSV!$I889&amp;P$1)</f>
        <v>0</v>
      </c>
      <c r="Q889" t="b">
        <f t="shared" si="94"/>
        <v>0</v>
      </c>
      <c r="R889" t="b">
        <f>IF(LEN(K889)&gt;0,COUNTIF($K$3:K889,K889),FALSE)</f>
        <v>0</v>
      </c>
      <c r="S889" t="b">
        <f>IF(Taostats_CSV!A889=Taostats_CSV!$A$2,TRUE,Taostats_CSV!G889+Taostats_CSV!H889+Taostats_CSV!R889=0)</f>
        <v>0</v>
      </c>
      <c r="T889" t="b">
        <f t="shared" si="95"/>
        <v>1</v>
      </c>
      <c r="U889" t="b" cm="1">
        <f t="array" aca="1" ref="U889" ca="1">AND(T889,OR(O889-N889&gt;1,P889&gt;1,ISERROR(A889:P889)))</f>
        <v>0</v>
      </c>
      <c r="W889" t="e">
        <f>MATCH(K889&amp;$W$2,Taostats_CSV!$X$3:$X$1167,0)</f>
        <v>#N/A</v>
      </c>
      <c r="X889" t="e">
        <f t="shared" ca="1" si="90"/>
        <v>#VALUE!</v>
      </c>
      <c r="Y889">
        <f t="shared" ca="1" si="91"/>
        <v>0.28766801800000003</v>
      </c>
      <c r="Z889" t="e">
        <f t="shared" ca="1" si="92"/>
        <v>#VALUE!</v>
      </c>
    </row>
    <row r="890" spans="1:26" x14ac:dyDescent="0.4">
      <c r="A890" t="str">
        <f>MID(Taostats_CSV!C890,6,2)&amp;"/"&amp;MID(Taostats_CSV!C890,9,2)&amp;"/"&amp;LEFT(Taostats_CSV!C890,4)&amp;" "&amp;MID(Taostats_CSV!C890,12,8)</f>
        <v>09/04/2025 23:59:48</v>
      </c>
      <c r="C890" t="str">
        <f ca="1">IF(Q890,OFFSET(Taostats_CSV!$E$1,MATCH(K890&amp;D$1,Taostats_CSV!$X:$X,0)-1,0),IF(Taostats_CSV!F890="fee",IF(VALUE(Taostats_CSV!G890)&gt;0,Taostats_CSV!E890,""),""))</f>
        <v/>
      </c>
      <c r="D890" t="str">
        <f ca="1">IF(Q890,OFFSET(Taostats_CSV!$G$1,MATCH(K890&amp;D$1,Taostats_CSV!$X:$X,0)-1,0),IF(Taostats_CSV!F890="fee",IF(VALUE(Taostats_CSV!G890)&gt;0,Taostats_CSV!G890,""),""))</f>
        <v/>
      </c>
      <c r="E890" t="str">
        <f ca="1">IF(AND(Q890,P890&gt;0),OFFSET(Taostats_CSV!$E$1,MATCH(K890&amp;F$1,Taostats_CSV!$X:$X,0)-1,0),IF(LEN(F890)&gt;0,Taostats_CSV!E890,""))</f>
        <v>SN64</v>
      </c>
      <c r="F890" t="str">
        <f ca="1">TRIM(IF(AND(Q890,P890&gt;0),OFFSET(Taostats_CSV!$H$1,MATCH(K890&amp;F$1,Taostats_CSV!$X:$X,0)-1,0),IF(LEN(Taostats_CSV!H890)&gt;0,Taostats_CSV!H890,Taostats_CSV!R890)))</f>
        <v>0.141506869</v>
      </c>
      <c r="G890" t="str">
        <f ca="1">IF(AND(Q890,N890=1),OFFSET(Taostats_CSV!$E$1,MATCH(K890&amp;H$1,Taostats_CSV!$X:$X,0)-1,0),"")</f>
        <v/>
      </c>
      <c r="H890" t="str">
        <f ca="1">IF(AND(Q890,N890=1),OFFSET(Taostats_CSV!$G$1,MATCH(K890&amp;H$1,Taostats_CSV!$X:$X,0)-1,0),"")</f>
        <v/>
      </c>
      <c r="I890" t="str">
        <f ca="1">IF(AND(LEN(K890)=0,LEN(F890)&gt;0),"Income",IF(AND(O890&gt;0,P890&gt;0,C890&lt;&gt;E890),"Trade",IF(AND(NOT(Q890),Taostats_CSV!F890="fee"),'READ ME'!$C$5,"")))</f>
        <v>Income</v>
      </c>
      <c r="J890" t="str">
        <f ca="1">SUBSTITUTE(IF(LEN(I890)=0,Taostats_CSV!F890&amp;" "&amp;Taostats_CSV!J890,IF(I890="Cost","Extrinsic fee","")),"_"," ")</f>
        <v/>
      </c>
      <c r="K890" t="str">
        <f>TRIM(IF(LEN(Taostats_CSV!I890)&gt;0,Taostats_CSV!I890,""))</f>
        <v/>
      </c>
      <c r="L890">
        <f ca="1">IF(Taostats_CSV!E890&lt;&gt;"TAO",IF(LEN(F890)&gt;0,F890,IF(LEN(D890)&gt;0,D890,0))*Taostats_CSV!P890,"")</f>
        <v>4.8242426485458729</v>
      </c>
      <c r="M890" t="str">
        <f t="shared" ca="1" si="93"/>
        <v>USD</v>
      </c>
      <c r="N890">
        <f>COUNTIF(Taostats_CSV!$X:$X,Taostats_CSV!$I890&amp;N$1)</f>
        <v>0</v>
      </c>
      <c r="O890">
        <f>COUNTIF(Taostats_CSV!$X:$X,Taostats_CSV!$I890&amp;O$1)</f>
        <v>0</v>
      </c>
      <c r="P890">
        <f>COUNTIF(Taostats_CSV!$X:$X,Taostats_CSV!$I890&amp;P$1)</f>
        <v>0</v>
      </c>
      <c r="Q890" t="b">
        <f t="shared" si="94"/>
        <v>0</v>
      </c>
      <c r="R890" t="b">
        <f>IF(LEN(K890)&gt;0,COUNTIF($K$3:K890,K890),FALSE)</f>
        <v>0</v>
      </c>
      <c r="S890" t="b">
        <f>IF(Taostats_CSV!A890=Taostats_CSV!$A$2,TRUE,Taostats_CSV!G890+Taostats_CSV!H890+Taostats_CSV!R890=0)</f>
        <v>0</v>
      </c>
      <c r="T890" t="b">
        <f t="shared" si="95"/>
        <v>1</v>
      </c>
      <c r="U890" t="b" cm="1">
        <f t="array" aca="1" ref="U890" ca="1">AND(T890,OR(O890-N890&gt;1,P890&gt;1,ISERROR(A890:P890)))</f>
        <v>0</v>
      </c>
      <c r="W890" t="e">
        <f>MATCH(K890&amp;$W$2,Taostats_CSV!$X$3:$X$1167,0)</f>
        <v>#N/A</v>
      </c>
      <c r="X890" t="e">
        <f t="shared" ca="1" si="90"/>
        <v>#VALUE!</v>
      </c>
      <c r="Y890">
        <f t="shared" ca="1" si="91"/>
        <v>0.14150686900000001</v>
      </c>
      <c r="Z890" t="e">
        <f t="shared" ca="1" si="92"/>
        <v>#VALUE!</v>
      </c>
    </row>
    <row r="891" spans="1:26" x14ac:dyDescent="0.4">
      <c r="A891" t="str">
        <f>MID(Taostats_CSV!C891,6,2)&amp;"/"&amp;MID(Taostats_CSV!C891,9,2)&amp;"/"&amp;LEFT(Taostats_CSV!C891,4)&amp;" "&amp;MID(Taostats_CSV!C891,12,8)</f>
        <v>09/04/2025 23:59:48</v>
      </c>
      <c r="C891" t="str">
        <f ca="1">IF(Q891,OFFSET(Taostats_CSV!$E$1,MATCH(K891&amp;D$1,Taostats_CSV!$X:$X,0)-1,0),IF(Taostats_CSV!F891="fee",IF(VALUE(Taostats_CSV!G891)&gt;0,Taostats_CSV!E891,""),""))</f>
        <v/>
      </c>
      <c r="D891" t="str">
        <f ca="1">IF(Q891,OFFSET(Taostats_CSV!$G$1,MATCH(K891&amp;D$1,Taostats_CSV!$X:$X,0)-1,0),IF(Taostats_CSV!F891="fee",IF(VALUE(Taostats_CSV!G891)&gt;0,Taostats_CSV!G891,""),""))</f>
        <v/>
      </c>
      <c r="E891" t="str">
        <f ca="1">IF(AND(Q891,P891&gt;0),OFFSET(Taostats_CSV!$E$1,MATCH(K891&amp;F$1,Taostats_CSV!$X:$X,0)-1,0),IF(LEN(F891)&gt;0,Taostats_CSV!E891,""))</f>
        <v>TAO</v>
      </c>
      <c r="F891" t="str">
        <f ca="1">TRIM(IF(AND(Q891,P891&gt;0),OFFSET(Taostats_CSV!$H$1,MATCH(K891&amp;F$1,Taostats_CSV!$X:$X,0)-1,0),IF(LEN(Taostats_CSV!H891)&gt;0,Taostats_CSV!H891,Taostats_CSV!R891)))</f>
        <v>0.009073535</v>
      </c>
      <c r="G891" t="str">
        <f ca="1">IF(AND(Q891,N891=1),OFFSET(Taostats_CSV!$E$1,MATCH(K891&amp;H$1,Taostats_CSV!$X:$X,0)-1,0),"")</f>
        <v/>
      </c>
      <c r="H891" t="str">
        <f ca="1">IF(AND(Q891,N891=1),OFFSET(Taostats_CSV!$G$1,MATCH(K891&amp;H$1,Taostats_CSV!$X:$X,0)-1,0),"")</f>
        <v/>
      </c>
      <c r="I891" t="str">
        <f ca="1">IF(AND(LEN(K891)=0,LEN(F891)&gt;0),"Income",IF(AND(O891&gt;0,P891&gt;0,C891&lt;&gt;E891),"Trade",IF(AND(NOT(Q891),Taostats_CSV!F891="fee"),'READ ME'!$C$5,"")))</f>
        <v>Income</v>
      </c>
      <c r="J891" t="str">
        <f ca="1">SUBSTITUTE(IF(LEN(I891)=0,Taostats_CSV!F891&amp;" "&amp;Taostats_CSV!J891,IF(I891="Cost","Extrinsic fee","")),"_"," ")</f>
        <v/>
      </c>
      <c r="K891" t="str">
        <f>TRIM(IF(LEN(Taostats_CSV!I891)&gt;0,Taostats_CSV!I891,""))</f>
        <v/>
      </c>
      <c r="L891" t="str">
        <f>IF(Taostats_CSV!E891&lt;&gt;"TAO",IF(LEN(F891)&gt;0,F891,IF(LEN(D891)&gt;0,D891,0))*Taostats_CSV!P891,"")</f>
        <v/>
      </c>
      <c r="M891" t="str">
        <f t="shared" si="93"/>
        <v/>
      </c>
      <c r="N891">
        <f>COUNTIF(Taostats_CSV!$X:$X,Taostats_CSV!$I891&amp;N$1)</f>
        <v>0</v>
      </c>
      <c r="O891">
        <f>COUNTIF(Taostats_CSV!$X:$X,Taostats_CSV!$I891&amp;O$1)</f>
        <v>0</v>
      </c>
      <c r="P891">
        <f>COUNTIF(Taostats_CSV!$X:$X,Taostats_CSV!$I891&amp;P$1)</f>
        <v>0</v>
      </c>
      <c r="Q891" t="b">
        <f t="shared" si="94"/>
        <v>0</v>
      </c>
      <c r="R891" t="b">
        <f>IF(LEN(K891)&gt;0,COUNTIF($K$3:K891,K891),FALSE)</f>
        <v>0</v>
      </c>
      <c r="S891" t="b">
        <f>IF(Taostats_CSV!A891=Taostats_CSV!$A$2,TRUE,Taostats_CSV!G891+Taostats_CSV!H891+Taostats_CSV!R891=0)</f>
        <v>0</v>
      </c>
      <c r="T891" t="b">
        <f t="shared" si="95"/>
        <v>1</v>
      </c>
      <c r="U891" t="b" cm="1">
        <f t="array" aca="1" ref="U891" ca="1">AND(T891,OR(O891-N891&gt;1,P891&gt;1,ISERROR(A891:P891)))</f>
        <v>0</v>
      </c>
      <c r="W891" t="e">
        <f>MATCH(K891&amp;$W$2,Taostats_CSV!$X$3:$X$1167,0)</f>
        <v>#N/A</v>
      </c>
      <c r="X891" t="e">
        <f t="shared" ca="1" si="90"/>
        <v>#VALUE!</v>
      </c>
      <c r="Y891">
        <f t="shared" ca="1" si="91"/>
        <v>9.0735350000000006E-3</v>
      </c>
      <c r="Z891" t="e">
        <f t="shared" ca="1" si="92"/>
        <v>#VALUE!</v>
      </c>
    </row>
    <row r="892" spans="1:26" x14ac:dyDescent="0.4">
      <c r="A892" t="str">
        <f>MID(Taostats_CSV!C892,6,2)&amp;"/"&amp;MID(Taostats_CSV!C892,9,2)&amp;"/"&amp;LEFT(Taostats_CSV!C892,4)&amp;" "&amp;MID(Taostats_CSV!C892,12,8)</f>
        <v>09/05/2025 23:59:48</v>
      </c>
      <c r="C892" t="str">
        <f ca="1">IF(Q892,OFFSET(Taostats_CSV!$E$1,MATCH(K892&amp;D$1,Taostats_CSV!$X:$X,0)-1,0),IF(Taostats_CSV!F892="fee",IF(VALUE(Taostats_CSV!G892)&gt;0,Taostats_CSV!E892,""),""))</f>
        <v/>
      </c>
      <c r="D892" t="str">
        <f ca="1">IF(Q892,OFFSET(Taostats_CSV!$G$1,MATCH(K892&amp;D$1,Taostats_CSV!$X:$X,0)-1,0),IF(Taostats_CSV!F892="fee",IF(VALUE(Taostats_CSV!G892)&gt;0,Taostats_CSV!G892,""),""))</f>
        <v/>
      </c>
      <c r="E892" t="str">
        <f ca="1">IF(AND(Q892,P892&gt;0),OFFSET(Taostats_CSV!$E$1,MATCH(K892&amp;F$1,Taostats_CSV!$X:$X,0)-1,0),IF(LEN(F892)&gt;0,Taostats_CSV!E892,""))</f>
        <v>SN3</v>
      </c>
      <c r="F892" t="str">
        <f ca="1">TRIM(IF(AND(Q892,P892&gt;0),OFFSET(Taostats_CSV!$H$1,MATCH(K892&amp;F$1,Taostats_CSV!$X:$X,0)-1,0),IF(LEN(Taostats_CSV!H892)&gt;0,Taostats_CSV!H892,Taostats_CSV!R892)))</f>
        <v>0.507678516</v>
      </c>
      <c r="G892" t="str">
        <f ca="1">IF(AND(Q892,N892=1),OFFSET(Taostats_CSV!$E$1,MATCH(K892&amp;H$1,Taostats_CSV!$X:$X,0)-1,0),"")</f>
        <v/>
      </c>
      <c r="H892" t="str">
        <f ca="1">IF(AND(Q892,N892=1),OFFSET(Taostats_CSV!$G$1,MATCH(K892&amp;H$1,Taostats_CSV!$X:$X,0)-1,0),"")</f>
        <v/>
      </c>
      <c r="I892" t="str">
        <f ca="1">IF(AND(LEN(K892)=0,LEN(F892)&gt;0),"Income",IF(AND(O892&gt;0,P892&gt;0,C892&lt;&gt;E892),"Trade",IF(AND(NOT(Q892),Taostats_CSV!F892="fee"),'READ ME'!$C$5,"")))</f>
        <v>Income</v>
      </c>
      <c r="J892" t="str">
        <f ca="1">SUBSTITUTE(IF(LEN(I892)=0,Taostats_CSV!F892&amp;" "&amp;Taostats_CSV!J892,IF(I892="Cost","Extrinsic fee","")),"_"," ")</f>
        <v/>
      </c>
      <c r="K892" t="str">
        <f>TRIM(IF(LEN(Taostats_CSV!I892)&gt;0,Taostats_CSV!I892,""))</f>
        <v/>
      </c>
      <c r="L892">
        <f ca="1">IF(Taostats_CSV!E892&lt;&gt;"TAO",IF(LEN(F892)&gt;0,F892,IF(LEN(D892)&gt;0,D892,0))*Taostats_CSV!P892,"")</f>
        <v>5.7428953008103001</v>
      </c>
      <c r="M892" t="str">
        <f t="shared" ca="1" si="93"/>
        <v>USD</v>
      </c>
      <c r="N892">
        <f>COUNTIF(Taostats_CSV!$X:$X,Taostats_CSV!$I892&amp;N$1)</f>
        <v>0</v>
      </c>
      <c r="O892">
        <f>COUNTIF(Taostats_CSV!$X:$X,Taostats_CSV!$I892&amp;O$1)</f>
        <v>0</v>
      </c>
      <c r="P892">
        <f>COUNTIF(Taostats_CSV!$X:$X,Taostats_CSV!$I892&amp;P$1)</f>
        <v>0</v>
      </c>
      <c r="Q892" t="b">
        <f t="shared" si="94"/>
        <v>0</v>
      </c>
      <c r="R892" t="b">
        <f>IF(LEN(K892)&gt;0,COUNTIF($K$3:K892,K892),FALSE)</f>
        <v>0</v>
      </c>
      <c r="S892" t="b">
        <f>IF(Taostats_CSV!A892=Taostats_CSV!$A$2,TRUE,Taostats_CSV!G892+Taostats_CSV!H892+Taostats_CSV!R892=0)</f>
        <v>0</v>
      </c>
      <c r="T892" t="b">
        <f t="shared" si="95"/>
        <v>1</v>
      </c>
      <c r="U892" t="b" cm="1">
        <f t="array" aca="1" ref="U892" ca="1">AND(T892,OR(O892-N892&gt;1,P892&gt;1,ISERROR(A892:P892)))</f>
        <v>0</v>
      </c>
      <c r="W892" t="e">
        <f>MATCH(K892&amp;$W$2,Taostats_CSV!$X$3:$X$1167,0)</f>
        <v>#N/A</v>
      </c>
      <c r="X892" t="e">
        <f t="shared" ca="1" si="90"/>
        <v>#VALUE!</v>
      </c>
      <c r="Y892">
        <f t="shared" ca="1" si="91"/>
        <v>0.50767851600000002</v>
      </c>
      <c r="Z892" t="e">
        <f t="shared" ca="1" si="92"/>
        <v>#VALUE!</v>
      </c>
    </row>
    <row r="893" spans="1:26" x14ac:dyDescent="0.4">
      <c r="A893" t="str">
        <f>MID(Taostats_CSV!C893,6,2)&amp;"/"&amp;MID(Taostats_CSV!C893,9,2)&amp;"/"&amp;LEFT(Taostats_CSV!C893,4)&amp;" "&amp;MID(Taostats_CSV!C893,12,8)</f>
        <v>09/05/2025 23:59:48</v>
      </c>
      <c r="C893" t="str">
        <f ca="1">IF(Q893,OFFSET(Taostats_CSV!$E$1,MATCH(K893&amp;D$1,Taostats_CSV!$X:$X,0)-1,0),IF(Taostats_CSV!F893="fee",IF(VALUE(Taostats_CSV!G893)&gt;0,Taostats_CSV!E893,""),""))</f>
        <v/>
      </c>
      <c r="D893" t="str">
        <f ca="1">IF(Q893,OFFSET(Taostats_CSV!$G$1,MATCH(K893&amp;D$1,Taostats_CSV!$X:$X,0)-1,0),IF(Taostats_CSV!F893="fee",IF(VALUE(Taostats_CSV!G893)&gt;0,Taostats_CSV!G893,""),""))</f>
        <v/>
      </c>
      <c r="E893" t="str">
        <f ca="1">IF(AND(Q893,P893&gt;0),OFFSET(Taostats_CSV!$E$1,MATCH(K893&amp;F$1,Taostats_CSV!$X:$X,0)-1,0),IF(LEN(F893)&gt;0,Taostats_CSV!E893,""))</f>
        <v>SN4</v>
      </c>
      <c r="F893" t="str">
        <f ca="1">TRIM(IF(AND(Q893,P893&gt;0),OFFSET(Taostats_CSV!$H$1,MATCH(K893&amp;F$1,Taostats_CSV!$X:$X,0)-1,0),IF(LEN(Taostats_CSV!H893)&gt;0,Taostats_CSV!H893,Taostats_CSV!R893)))</f>
        <v>0.440995978</v>
      </c>
      <c r="G893" t="str">
        <f ca="1">IF(AND(Q893,N893=1),OFFSET(Taostats_CSV!$E$1,MATCH(K893&amp;H$1,Taostats_CSV!$X:$X,0)-1,0),"")</f>
        <v/>
      </c>
      <c r="H893" t="str">
        <f ca="1">IF(AND(Q893,N893=1),OFFSET(Taostats_CSV!$G$1,MATCH(K893&amp;H$1,Taostats_CSV!$X:$X,0)-1,0),"")</f>
        <v/>
      </c>
      <c r="I893" t="str">
        <f ca="1">IF(AND(LEN(K893)=0,LEN(F893)&gt;0),"Income",IF(AND(O893&gt;0,P893&gt;0,C893&lt;&gt;E893),"Trade",IF(AND(NOT(Q893),Taostats_CSV!F893="fee"),'READ ME'!$C$5,"")))</f>
        <v>Income</v>
      </c>
      <c r="J893" t="str">
        <f ca="1">SUBSTITUTE(IF(LEN(I893)=0,Taostats_CSV!F893&amp;" "&amp;Taostats_CSV!J893,IF(I893="Cost","Extrinsic fee","")),"_"," ")</f>
        <v/>
      </c>
      <c r="K893" t="str">
        <f>TRIM(IF(LEN(Taostats_CSV!I893)&gt;0,Taostats_CSV!I893,""))</f>
        <v/>
      </c>
      <c r="L893">
        <f ca="1">IF(Taostats_CSV!E893&lt;&gt;"TAO",IF(LEN(F893)&gt;0,F893,IF(LEN(D893)&gt;0,D893,0))*Taostats_CSV!P893,"")</f>
        <v>6.5066687620685073</v>
      </c>
      <c r="M893" t="str">
        <f t="shared" ca="1" si="93"/>
        <v>USD</v>
      </c>
      <c r="N893">
        <f>COUNTIF(Taostats_CSV!$X:$X,Taostats_CSV!$I893&amp;N$1)</f>
        <v>0</v>
      </c>
      <c r="O893">
        <f>COUNTIF(Taostats_CSV!$X:$X,Taostats_CSV!$I893&amp;O$1)</f>
        <v>0</v>
      </c>
      <c r="P893">
        <f>COUNTIF(Taostats_CSV!$X:$X,Taostats_CSV!$I893&amp;P$1)</f>
        <v>0</v>
      </c>
      <c r="Q893" t="b">
        <f t="shared" si="94"/>
        <v>0</v>
      </c>
      <c r="R893" t="b">
        <f>IF(LEN(K893)&gt;0,COUNTIF($K$3:K893,K893),FALSE)</f>
        <v>0</v>
      </c>
      <c r="S893" t="b">
        <f>IF(Taostats_CSV!A893=Taostats_CSV!$A$2,TRUE,Taostats_CSV!G893+Taostats_CSV!H893+Taostats_CSV!R893=0)</f>
        <v>0</v>
      </c>
      <c r="T893" t="b">
        <f t="shared" si="95"/>
        <v>1</v>
      </c>
      <c r="U893" t="b" cm="1">
        <f t="array" aca="1" ref="U893" ca="1">AND(T893,OR(O893-N893&gt;1,P893&gt;1,ISERROR(A893:P893)))</f>
        <v>0</v>
      </c>
      <c r="W893" t="e">
        <f>MATCH(K893&amp;$W$2,Taostats_CSV!$X$3:$X$1167,0)</f>
        <v>#N/A</v>
      </c>
      <c r="X893" t="e">
        <f t="shared" ca="1" si="90"/>
        <v>#VALUE!</v>
      </c>
      <c r="Y893">
        <f t="shared" ca="1" si="91"/>
        <v>0.44099597800000001</v>
      </c>
      <c r="Z893" t="e">
        <f t="shared" ca="1" si="92"/>
        <v>#VALUE!</v>
      </c>
    </row>
    <row r="894" spans="1:26" x14ac:dyDescent="0.4">
      <c r="A894" t="str">
        <f>MID(Taostats_CSV!C894,6,2)&amp;"/"&amp;MID(Taostats_CSV!C894,9,2)&amp;"/"&amp;LEFT(Taostats_CSV!C894,4)&amp;" "&amp;MID(Taostats_CSV!C894,12,8)</f>
        <v>09/05/2025 23:59:48</v>
      </c>
      <c r="C894" t="str">
        <f ca="1">IF(Q894,OFFSET(Taostats_CSV!$E$1,MATCH(K894&amp;D$1,Taostats_CSV!$X:$X,0)-1,0),IF(Taostats_CSV!F894="fee",IF(VALUE(Taostats_CSV!G894)&gt;0,Taostats_CSV!E894,""),""))</f>
        <v/>
      </c>
      <c r="D894" t="str">
        <f ca="1">IF(Q894,OFFSET(Taostats_CSV!$G$1,MATCH(K894&amp;D$1,Taostats_CSV!$X:$X,0)-1,0),IF(Taostats_CSV!F894="fee",IF(VALUE(Taostats_CSV!G894)&gt;0,Taostats_CSV!G894,""),""))</f>
        <v/>
      </c>
      <c r="E894" t="str">
        <f ca="1">IF(AND(Q894,P894&gt;0),OFFSET(Taostats_CSV!$E$1,MATCH(K894&amp;F$1,Taostats_CSV!$X:$X,0)-1,0),IF(LEN(F894)&gt;0,Taostats_CSV!E894,""))</f>
        <v>SN56</v>
      </c>
      <c r="F894" t="str">
        <f ca="1">TRIM(IF(AND(Q894,P894&gt;0),OFFSET(Taostats_CSV!$H$1,MATCH(K894&amp;F$1,Taostats_CSV!$X:$X,0)-1,0),IF(LEN(Taostats_CSV!H894)&gt;0,Taostats_CSV!H894,Taostats_CSV!R894)))</f>
        <v>0.285826889</v>
      </c>
      <c r="G894" t="str">
        <f ca="1">IF(AND(Q894,N894=1),OFFSET(Taostats_CSV!$E$1,MATCH(K894&amp;H$1,Taostats_CSV!$X:$X,0)-1,0),"")</f>
        <v/>
      </c>
      <c r="H894" t="str">
        <f ca="1">IF(AND(Q894,N894=1),OFFSET(Taostats_CSV!$G$1,MATCH(K894&amp;H$1,Taostats_CSV!$X:$X,0)-1,0),"")</f>
        <v/>
      </c>
      <c r="I894" t="str">
        <f ca="1">IF(AND(LEN(K894)=0,LEN(F894)&gt;0),"Income",IF(AND(O894&gt;0,P894&gt;0,C894&lt;&gt;E894),"Trade",IF(AND(NOT(Q894),Taostats_CSV!F894="fee"),'READ ME'!$C$5,"")))</f>
        <v>Income</v>
      </c>
      <c r="J894" t="str">
        <f ca="1">SUBSTITUTE(IF(LEN(I894)=0,Taostats_CSV!F894&amp;" "&amp;Taostats_CSV!J894,IF(I894="Cost","Extrinsic fee","")),"_"," ")</f>
        <v/>
      </c>
      <c r="K894" t="str">
        <f>TRIM(IF(LEN(Taostats_CSV!I894)&gt;0,Taostats_CSV!I894,""))</f>
        <v/>
      </c>
      <c r="L894">
        <f ca="1">IF(Taostats_CSV!E894&lt;&gt;"TAO",IF(LEN(F894)&gt;0,F894,IF(LEN(D894)&gt;0,D894,0))*Taostats_CSV!P894,"")</f>
        <v>3.7497727226552944</v>
      </c>
      <c r="M894" t="str">
        <f t="shared" ca="1" si="93"/>
        <v>USD</v>
      </c>
      <c r="N894">
        <f>COUNTIF(Taostats_CSV!$X:$X,Taostats_CSV!$I894&amp;N$1)</f>
        <v>0</v>
      </c>
      <c r="O894">
        <f>COUNTIF(Taostats_CSV!$X:$X,Taostats_CSV!$I894&amp;O$1)</f>
        <v>0</v>
      </c>
      <c r="P894">
        <f>COUNTIF(Taostats_CSV!$X:$X,Taostats_CSV!$I894&amp;P$1)</f>
        <v>0</v>
      </c>
      <c r="Q894" t="b">
        <f t="shared" si="94"/>
        <v>0</v>
      </c>
      <c r="R894" t="b">
        <f>IF(LEN(K894)&gt;0,COUNTIF($K$3:K894,K894),FALSE)</f>
        <v>0</v>
      </c>
      <c r="S894" t="b">
        <f>IF(Taostats_CSV!A894=Taostats_CSV!$A$2,TRUE,Taostats_CSV!G894+Taostats_CSV!H894+Taostats_CSV!R894=0)</f>
        <v>0</v>
      </c>
      <c r="T894" t="b">
        <f t="shared" si="95"/>
        <v>1</v>
      </c>
      <c r="U894" t="b" cm="1">
        <f t="array" aca="1" ref="U894" ca="1">AND(T894,OR(O894-N894&gt;1,P894&gt;1,ISERROR(A894:P894)))</f>
        <v>0</v>
      </c>
      <c r="W894" t="e">
        <f>MATCH(K894&amp;$W$2,Taostats_CSV!$X$3:$X$1167,0)</f>
        <v>#N/A</v>
      </c>
      <c r="X894" t="e">
        <f t="shared" ca="1" si="90"/>
        <v>#VALUE!</v>
      </c>
      <c r="Y894">
        <f t="shared" ca="1" si="91"/>
        <v>0.28582688899999997</v>
      </c>
      <c r="Z894" t="e">
        <f t="shared" ca="1" si="92"/>
        <v>#VALUE!</v>
      </c>
    </row>
    <row r="895" spans="1:26" x14ac:dyDescent="0.4">
      <c r="A895" t="str">
        <f>MID(Taostats_CSV!C895,6,2)&amp;"/"&amp;MID(Taostats_CSV!C895,9,2)&amp;"/"&amp;LEFT(Taostats_CSV!C895,4)&amp;" "&amp;MID(Taostats_CSV!C895,12,8)</f>
        <v>09/05/2025 23:59:48</v>
      </c>
      <c r="C895" t="str">
        <f ca="1">IF(Q895,OFFSET(Taostats_CSV!$E$1,MATCH(K895&amp;D$1,Taostats_CSV!$X:$X,0)-1,0),IF(Taostats_CSV!F895="fee",IF(VALUE(Taostats_CSV!G895)&gt;0,Taostats_CSV!E895,""),""))</f>
        <v/>
      </c>
      <c r="D895" t="str">
        <f ca="1">IF(Q895,OFFSET(Taostats_CSV!$G$1,MATCH(K895&amp;D$1,Taostats_CSV!$X:$X,0)-1,0),IF(Taostats_CSV!F895="fee",IF(VALUE(Taostats_CSV!G895)&gt;0,Taostats_CSV!G895,""),""))</f>
        <v/>
      </c>
      <c r="E895" t="str">
        <f ca="1">IF(AND(Q895,P895&gt;0),OFFSET(Taostats_CSV!$E$1,MATCH(K895&amp;F$1,Taostats_CSV!$X:$X,0)-1,0),IF(LEN(F895)&gt;0,Taostats_CSV!E895,""))</f>
        <v>SN64</v>
      </c>
      <c r="F895" t="str">
        <f ca="1">TRIM(IF(AND(Q895,P895&gt;0),OFFSET(Taostats_CSV!$H$1,MATCH(K895&amp;F$1,Taostats_CSV!$X:$X,0)-1,0),IF(LEN(Taostats_CSV!H895)&gt;0,Taostats_CSV!H895,Taostats_CSV!R895)))</f>
        <v>0.141979465</v>
      </c>
      <c r="G895" t="str">
        <f ca="1">IF(AND(Q895,N895=1),OFFSET(Taostats_CSV!$E$1,MATCH(K895&amp;H$1,Taostats_CSV!$X:$X,0)-1,0),"")</f>
        <v/>
      </c>
      <c r="H895" t="str">
        <f ca="1">IF(AND(Q895,N895=1),OFFSET(Taostats_CSV!$G$1,MATCH(K895&amp;H$1,Taostats_CSV!$X:$X,0)-1,0),"")</f>
        <v/>
      </c>
      <c r="I895" t="str">
        <f ca="1">IF(AND(LEN(K895)=0,LEN(F895)&gt;0),"Income",IF(AND(O895&gt;0,P895&gt;0,C895&lt;&gt;E895),"Trade",IF(AND(NOT(Q895),Taostats_CSV!F895="fee"),'READ ME'!$C$5,"")))</f>
        <v>Income</v>
      </c>
      <c r="J895" t="str">
        <f ca="1">SUBSTITUTE(IF(LEN(I895)=0,Taostats_CSV!F895&amp;" "&amp;Taostats_CSV!J895,IF(I895="Cost","Extrinsic fee","")),"_"," ")</f>
        <v/>
      </c>
      <c r="K895" t="str">
        <f>TRIM(IF(LEN(Taostats_CSV!I895)&gt;0,Taostats_CSV!I895,""))</f>
        <v/>
      </c>
      <c r="L895">
        <f ca="1">IF(Taostats_CSV!E895&lt;&gt;"TAO",IF(LEN(F895)&gt;0,F895,IF(LEN(D895)&gt;0,D895,0))*Taostats_CSV!P895,"")</f>
        <v>4.9210258425036244</v>
      </c>
      <c r="M895" t="str">
        <f t="shared" ca="1" si="93"/>
        <v>USD</v>
      </c>
      <c r="N895">
        <f>COUNTIF(Taostats_CSV!$X:$X,Taostats_CSV!$I895&amp;N$1)</f>
        <v>0</v>
      </c>
      <c r="O895">
        <f>COUNTIF(Taostats_CSV!$X:$X,Taostats_CSV!$I895&amp;O$1)</f>
        <v>0</v>
      </c>
      <c r="P895">
        <f>COUNTIF(Taostats_CSV!$X:$X,Taostats_CSV!$I895&amp;P$1)</f>
        <v>0</v>
      </c>
      <c r="Q895" t="b">
        <f t="shared" si="94"/>
        <v>0</v>
      </c>
      <c r="R895" t="b">
        <f>IF(LEN(K895)&gt;0,COUNTIF($K$3:K895,K895),FALSE)</f>
        <v>0</v>
      </c>
      <c r="S895" t="b">
        <f>IF(Taostats_CSV!A895=Taostats_CSV!$A$2,TRUE,Taostats_CSV!G895+Taostats_CSV!H895+Taostats_CSV!R895=0)</f>
        <v>0</v>
      </c>
      <c r="T895" t="b">
        <f t="shared" si="95"/>
        <v>1</v>
      </c>
      <c r="U895" t="b" cm="1">
        <f t="array" aca="1" ref="U895" ca="1">AND(T895,OR(O895-N895&gt;1,P895&gt;1,ISERROR(A895:P895)))</f>
        <v>0</v>
      </c>
      <c r="W895" t="e">
        <f>MATCH(K895&amp;$W$2,Taostats_CSV!$X$3:$X$1167,0)</f>
        <v>#N/A</v>
      </c>
      <c r="X895" t="e">
        <f t="shared" ca="1" si="90"/>
        <v>#VALUE!</v>
      </c>
      <c r="Y895">
        <f t="shared" ca="1" si="91"/>
        <v>0.141979465</v>
      </c>
      <c r="Z895" t="e">
        <f t="shared" ca="1" si="92"/>
        <v>#VALUE!</v>
      </c>
    </row>
    <row r="896" spans="1:26" x14ac:dyDescent="0.4">
      <c r="A896" t="str">
        <f>MID(Taostats_CSV!C896,6,2)&amp;"/"&amp;MID(Taostats_CSV!C896,9,2)&amp;"/"&amp;LEFT(Taostats_CSV!C896,4)&amp;" "&amp;MID(Taostats_CSV!C896,12,8)</f>
        <v>09/05/2025 23:59:48</v>
      </c>
      <c r="C896" t="str">
        <f ca="1">IF(Q896,OFFSET(Taostats_CSV!$E$1,MATCH(K896&amp;D$1,Taostats_CSV!$X:$X,0)-1,0),IF(Taostats_CSV!F896="fee",IF(VALUE(Taostats_CSV!G896)&gt;0,Taostats_CSV!E896,""),""))</f>
        <v/>
      </c>
      <c r="D896" t="str">
        <f ca="1">IF(Q896,OFFSET(Taostats_CSV!$G$1,MATCH(K896&amp;D$1,Taostats_CSV!$X:$X,0)-1,0),IF(Taostats_CSV!F896="fee",IF(VALUE(Taostats_CSV!G896)&gt;0,Taostats_CSV!G896,""),""))</f>
        <v/>
      </c>
      <c r="E896" t="str">
        <f ca="1">IF(AND(Q896,P896&gt;0),OFFSET(Taostats_CSV!$E$1,MATCH(K896&amp;F$1,Taostats_CSV!$X:$X,0)-1,0),IF(LEN(F896)&gt;0,Taostats_CSV!E896,""))</f>
        <v>TAO</v>
      </c>
      <c r="F896" t="str">
        <f ca="1">TRIM(IF(AND(Q896,P896&gt;0),OFFSET(Taostats_CSV!$H$1,MATCH(K896&amp;F$1,Taostats_CSV!$X:$X,0)-1,0),IF(LEN(Taostats_CSV!H896)&gt;0,Taostats_CSV!H896,Taostats_CSV!R896)))</f>
        <v>0.009984831</v>
      </c>
      <c r="G896" t="str">
        <f ca="1">IF(AND(Q896,N896=1),OFFSET(Taostats_CSV!$E$1,MATCH(K896&amp;H$1,Taostats_CSV!$X:$X,0)-1,0),"")</f>
        <v/>
      </c>
      <c r="H896" t="str">
        <f ca="1">IF(AND(Q896,N896=1),OFFSET(Taostats_CSV!$G$1,MATCH(K896&amp;H$1,Taostats_CSV!$X:$X,0)-1,0),"")</f>
        <v/>
      </c>
      <c r="I896" t="str">
        <f ca="1">IF(AND(LEN(K896)=0,LEN(F896)&gt;0),"Income",IF(AND(O896&gt;0,P896&gt;0,C896&lt;&gt;E896),"Trade",IF(AND(NOT(Q896),Taostats_CSV!F896="fee"),'READ ME'!$C$5,"")))</f>
        <v>Income</v>
      </c>
      <c r="J896" t="str">
        <f ca="1">SUBSTITUTE(IF(LEN(I896)=0,Taostats_CSV!F896&amp;" "&amp;Taostats_CSV!J896,IF(I896="Cost","Extrinsic fee","")),"_"," ")</f>
        <v/>
      </c>
      <c r="K896" t="str">
        <f>TRIM(IF(LEN(Taostats_CSV!I896)&gt;0,Taostats_CSV!I896,""))</f>
        <v/>
      </c>
      <c r="L896" t="str">
        <f>IF(Taostats_CSV!E896&lt;&gt;"TAO",IF(LEN(F896)&gt;0,F896,IF(LEN(D896)&gt;0,D896,0))*Taostats_CSV!P896,"")</f>
        <v/>
      </c>
      <c r="M896" t="str">
        <f t="shared" si="93"/>
        <v/>
      </c>
      <c r="N896">
        <f>COUNTIF(Taostats_CSV!$X:$X,Taostats_CSV!$I896&amp;N$1)</f>
        <v>0</v>
      </c>
      <c r="O896">
        <f>COUNTIF(Taostats_CSV!$X:$X,Taostats_CSV!$I896&amp;O$1)</f>
        <v>0</v>
      </c>
      <c r="P896">
        <f>COUNTIF(Taostats_CSV!$X:$X,Taostats_CSV!$I896&amp;P$1)</f>
        <v>0</v>
      </c>
      <c r="Q896" t="b">
        <f t="shared" si="94"/>
        <v>0</v>
      </c>
      <c r="R896" t="b">
        <f>IF(LEN(K896)&gt;0,COUNTIF($K$3:K896,K896),FALSE)</f>
        <v>0</v>
      </c>
      <c r="S896" t="b">
        <f>IF(Taostats_CSV!A896=Taostats_CSV!$A$2,TRUE,Taostats_CSV!G896+Taostats_CSV!H896+Taostats_CSV!R896=0)</f>
        <v>0</v>
      </c>
      <c r="T896" t="b">
        <f t="shared" si="95"/>
        <v>1</v>
      </c>
      <c r="U896" t="b" cm="1">
        <f t="array" aca="1" ref="U896" ca="1">AND(T896,OR(O896-N896&gt;1,P896&gt;1,ISERROR(A896:P896)))</f>
        <v>0</v>
      </c>
      <c r="W896" t="e">
        <f>MATCH(K896&amp;$W$2,Taostats_CSV!$X$3:$X$1167,0)</f>
        <v>#N/A</v>
      </c>
      <c r="X896" t="e">
        <f t="shared" ca="1" si="90"/>
        <v>#VALUE!</v>
      </c>
      <c r="Y896">
        <f t="shared" ca="1" si="91"/>
        <v>9.9848309999999996E-3</v>
      </c>
      <c r="Z896" t="e">
        <f t="shared" ca="1" si="92"/>
        <v>#VALUE!</v>
      </c>
    </row>
    <row r="897" spans="1:26" x14ac:dyDescent="0.4">
      <c r="A897" t="str">
        <f>MID(Taostats_CSV!C897,6,2)&amp;"/"&amp;MID(Taostats_CSV!C897,9,2)&amp;"/"&amp;LEFT(Taostats_CSV!C897,4)&amp;" "&amp;MID(Taostats_CSV!C897,12,8)</f>
        <v>09/06/2025 23:59:48</v>
      </c>
      <c r="C897" t="str">
        <f ca="1">IF(Q897,OFFSET(Taostats_CSV!$E$1,MATCH(K897&amp;D$1,Taostats_CSV!$X:$X,0)-1,0),IF(Taostats_CSV!F897="fee",IF(VALUE(Taostats_CSV!G897)&gt;0,Taostats_CSV!E897,""),""))</f>
        <v/>
      </c>
      <c r="D897" t="str">
        <f ca="1">IF(Q897,OFFSET(Taostats_CSV!$G$1,MATCH(K897&amp;D$1,Taostats_CSV!$X:$X,0)-1,0),IF(Taostats_CSV!F897="fee",IF(VALUE(Taostats_CSV!G897)&gt;0,Taostats_CSV!G897,""),""))</f>
        <v/>
      </c>
      <c r="E897" t="str">
        <f ca="1">IF(AND(Q897,P897&gt;0),OFFSET(Taostats_CSV!$E$1,MATCH(K897&amp;F$1,Taostats_CSV!$X:$X,0)-1,0),IF(LEN(F897)&gt;0,Taostats_CSV!E897,""))</f>
        <v>SN3</v>
      </c>
      <c r="F897" t="str">
        <f ca="1">TRIM(IF(AND(Q897,P897&gt;0),OFFSET(Taostats_CSV!$H$1,MATCH(K897&amp;F$1,Taostats_CSV!$X:$X,0)-1,0),IF(LEN(Taostats_CSV!H897)&gt;0,Taostats_CSV!H897,Taostats_CSV!R897)))</f>
        <v>0.497369914</v>
      </c>
      <c r="G897" t="str">
        <f ca="1">IF(AND(Q897,N897=1),OFFSET(Taostats_CSV!$E$1,MATCH(K897&amp;H$1,Taostats_CSV!$X:$X,0)-1,0),"")</f>
        <v/>
      </c>
      <c r="H897" t="str">
        <f ca="1">IF(AND(Q897,N897=1),OFFSET(Taostats_CSV!$G$1,MATCH(K897&amp;H$1,Taostats_CSV!$X:$X,0)-1,0),"")</f>
        <v/>
      </c>
      <c r="I897" t="str">
        <f ca="1">IF(AND(LEN(K897)=0,LEN(F897)&gt;0),"Income",IF(AND(O897&gt;0,P897&gt;0,C897&lt;&gt;E897),"Trade",IF(AND(NOT(Q897),Taostats_CSV!F897="fee"),'READ ME'!$C$5,"")))</f>
        <v>Income</v>
      </c>
      <c r="J897" t="str">
        <f ca="1">SUBSTITUTE(IF(LEN(I897)=0,Taostats_CSV!F897&amp;" "&amp;Taostats_CSV!J897,IF(I897="Cost","Extrinsic fee","")),"_"," ")</f>
        <v/>
      </c>
      <c r="K897" t="str">
        <f>TRIM(IF(LEN(Taostats_CSV!I897)&gt;0,Taostats_CSV!I897,""))</f>
        <v/>
      </c>
      <c r="L897">
        <f ca="1">IF(Taostats_CSV!E897&lt;&gt;"TAO",IF(LEN(F897)&gt;0,F897,IF(LEN(D897)&gt;0,D897,0))*Taostats_CSV!P897,"")</f>
        <v>5.6499892207560949</v>
      </c>
      <c r="M897" t="str">
        <f t="shared" ca="1" si="93"/>
        <v>USD</v>
      </c>
      <c r="N897">
        <f>COUNTIF(Taostats_CSV!$X:$X,Taostats_CSV!$I897&amp;N$1)</f>
        <v>0</v>
      </c>
      <c r="O897">
        <f>COUNTIF(Taostats_CSV!$X:$X,Taostats_CSV!$I897&amp;O$1)</f>
        <v>0</v>
      </c>
      <c r="P897">
        <f>COUNTIF(Taostats_CSV!$X:$X,Taostats_CSV!$I897&amp;P$1)</f>
        <v>0</v>
      </c>
      <c r="Q897" t="b">
        <f t="shared" si="94"/>
        <v>0</v>
      </c>
      <c r="R897" t="b">
        <f>IF(LEN(K897)&gt;0,COUNTIF($K$3:K897,K897),FALSE)</f>
        <v>0</v>
      </c>
      <c r="S897" t="b">
        <f>IF(Taostats_CSV!A897=Taostats_CSV!$A$2,TRUE,Taostats_CSV!G897+Taostats_CSV!H897+Taostats_CSV!R897=0)</f>
        <v>0</v>
      </c>
      <c r="T897" t="b">
        <f t="shared" si="95"/>
        <v>1</v>
      </c>
      <c r="U897" t="b" cm="1">
        <f t="array" aca="1" ref="U897" ca="1">AND(T897,OR(O897-N897&gt;1,P897&gt;1,ISERROR(A897:P897)))</f>
        <v>0</v>
      </c>
      <c r="W897" t="e">
        <f>MATCH(K897&amp;$W$2,Taostats_CSV!$X$3:$X$1167,0)</f>
        <v>#N/A</v>
      </c>
      <c r="X897" t="e">
        <f t="shared" ca="1" si="90"/>
        <v>#VALUE!</v>
      </c>
      <c r="Y897">
        <f t="shared" ca="1" si="91"/>
        <v>0.49736991400000002</v>
      </c>
      <c r="Z897" t="e">
        <f t="shared" ca="1" si="92"/>
        <v>#VALUE!</v>
      </c>
    </row>
    <row r="898" spans="1:26" x14ac:dyDescent="0.4">
      <c r="A898" t="str">
        <f>MID(Taostats_CSV!C898,6,2)&amp;"/"&amp;MID(Taostats_CSV!C898,9,2)&amp;"/"&amp;LEFT(Taostats_CSV!C898,4)&amp;" "&amp;MID(Taostats_CSV!C898,12,8)</f>
        <v>09/06/2025 23:59:48</v>
      </c>
      <c r="C898" t="str">
        <f ca="1">IF(Q898,OFFSET(Taostats_CSV!$E$1,MATCH(K898&amp;D$1,Taostats_CSV!$X:$X,0)-1,0),IF(Taostats_CSV!F898="fee",IF(VALUE(Taostats_CSV!G898)&gt;0,Taostats_CSV!E898,""),""))</f>
        <v/>
      </c>
      <c r="D898" t="str">
        <f ca="1">IF(Q898,OFFSET(Taostats_CSV!$G$1,MATCH(K898&amp;D$1,Taostats_CSV!$X:$X,0)-1,0),IF(Taostats_CSV!F898="fee",IF(VALUE(Taostats_CSV!G898)&gt;0,Taostats_CSV!G898,""),""))</f>
        <v/>
      </c>
      <c r="E898" t="str">
        <f ca="1">IF(AND(Q898,P898&gt;0),OFFSET(Taostats_CSV!$E$1,MATCH(K898&amp;F$1,Taostats_CSV!$X:$X,0)-1,0),IF(LEN(F898)&gt;0,Taostats_CSV!E898,""))</f>
        <v>SN4</v>
      </c>
      <c r="F898" t="str">
        <f ca="1">TRIM(IF(AND(Q898,P898&gt;0),OFFSET(Taostats_CSV!$H$1,MATCH(K898&amp;F$1,Taostats_CSV!$X:$X,0)-1,0),IF(LEN(Taostats_CSV!H898)&gt;0,Taostats_CSV!H898,Taostats_CSV!R898)))</f>
        <v>0.435209489</v>
      </c>
      <c r="G898" t="str">
        <f ca="1">IF(AND(Q898,N898=1),OFFSET(Taostats_CSV!$E$1,MATCH(K898&amp;H$1,Taostats_CSV!$X:$X,0)-1,0),"")</f>
        <v/>
      </c>
      <c r="H898" t="str">
        <f ca="1">IF(AND(Q898,N898=1),OFFSET(Taostats_CSV!$G$1,MATCH(K898&amp;H$1,Taostats_CSV!$X:$X,0)-1,0),"")</f>
        <v/>
      </c>
      <c r="I898" t="str">
        <f ca="1">IF(AND(LEN(K898)=0,LEN(F898)&gt;0),"Income",IF(AND(O898&gt;0,P898&gt;0,C898&lt;&gt;E898),"Trade",IF(AND(NOT(Q898),Taostats_CSV!F898="fee"),'READ ME'!$C$5,"")))</f>
        <v>Income</v>
      </c>
      <c r="J898" t="str">
        <f ca="1">SUBSTITUTE(IF(LEN(I898)=0,Taostats_CSV!F898&amp;" "&amp;Taostats_CSV!J898,IF(I898="Cost","Extrinsic fee","")),"_"," ")</f>
        <v/>
      </c>
      <c r="K898" t="str">
        <f>TRIM(IF(LEN(Taostats_CSV!I898)&gt;0,Taostats_CSV!I898,""))</f>
        <v/>
      </c>
      <c r="L898">
        <f ca="1">IF(Taostats_CSV!E898&lt;&gt;"TAO",IF(LEN(F898)&gt;0,F898,IF(LEN(D898)&gt;0,D898,0))*Taostats_CSV!P898,"")</f>
        <v>6.4090651610049321</v>
      </c>
      <c r="M898" t="str">
        <f t="shared" ca="1" si="93"/>
        <v>USD</v>
      </c>
      <c r="N898">
        <f>COUNTIF(Taostats_CSV!$X:$X,Taostats_CSV!$I898&amp;N$1)</f>
        <v>0</v>
      </c>
      <c r="O898">
        <f>COUNTIF(Taostats_CSV!$X:$X,Taostats_CSV!$I898&amp;O$1)</f>
        <v>0</v>
      </c>
      <c r="P898">
        <f>COUNTIF(Taostats_CSV!$X:$X,Taostats_CSV!$I898&amp;P$1)</f>
        <v>0</v>
      </c>
      <c r="Q898" t="b">
        <f t="shared" si="94"/>
        <v>0</v>
      </c>
      <c r="R898" t="b">
        <f>IF(LEN(K898)&gt;0,COUNTIF($K$3:K898,K898),FALSE)</f>
        <v>0</v>
      </c>
      <c r="S898" t="b">
        <f>IF(Taostats_CSV!A898=Taostats_CSV!$A$2,TRUE,Taostats_CSV!G898+Taostats_CSV!H898+Taostats_CSV!R898=0)</f>
        <v>0</v>
      </c>
      <c r="T898" t="b">
        <f t="shared" si="95"/>
        <v>1</v>
      </c>
      <c r="U898" t="b" cm="1">
        <f t="array" aca="1" ref="U898" ca="1">AND(T898,OR(O898-N898&gt;1,P898&gt;1,ISERROR(A898:P898)))</f>
        <v>0</v>
      </c>
      <c r="W898" t="e">
        <f>MATCH(K898&amp;$W$2,Taostats_CSV!$X$3:$X$1167,0)</f>
        <v>#N/A</v>
      </c>
      <c r="X898" t="e">
        <f t="shared" ca="1" si="90"/>
        <v>#VALUE!</v>
      </c>
      <c r="Y898">
        <f t="shared" ca="1" si="91"/>
        <v>0.435209489</v>
      </c>
      <c r="Z898" t="e">
        <f t="shared" ca="1" si="92"/>
        <v>#VALUE!</v>
      </c>
    </row>
    <row r="899" spans="1:26" x14ac:dyDescent="0.4">
      <c r="A899" t="str">
        <f>MID(Taostats_CSV!C899,6,2)&amp;"/"&amp;MID(Taostats_CSV!C899,9,2)&amp;"/"&amp;LEFT(Taostats_CSV!C899,4)&amp;" "&amp;MID(Taostats_CSV!C899,12,8)</f>
        <v>09/06/2025 23:59:48</v>
      </c>
      <c r="C899" t="str">
        <f ca="1">IF(Q899,OFFSET(Taostats_CSV!$E$1,MATCH(K899&amp;D$1,Taostats_CSV!$X:$X,0)-1,0),IF(Taostats_CSV!F899="fee",IF(VALUE(Taostats_CSV!G899)&gt;0,Taostats_CSV!E899,""),""))</f>
        <v/>
      </c>
      <c r="D899" t="str">
        <f ca="1">IF(Q899,OFFSET(Taostats_CSV!$G$1,MATCH(K899&amp;D$1,Taostats_CSV!$X:$X,0)-1,0),IF(Taostats_CSV!F899="fee",IF(VALUE(Taostats_CSV!G899)&gt;0,Taostats_CSV!G899,""),""))</f>
        <v/>
      </c>
      <c r="E899" t="str">
        <f ca="1">IF(AND(Q899,P899&gt;0),OFFSET(Taostats_CSV!$E$1,MATCH(K899&amp;F$1,Taostats_CSV!$X:$X,0)-1,0),IF(LEN(F899)&gt;0,Taostats_CSV!E899,""))</f>
        <v>SN56</v>
      </c>
      <c r="F899" t="str">
        <f ca="1">TRIM(IF(AND(Q899,P899&gt;0),OFFSET(Taostats_CSV!$H$1,MATCH(K899&amp;F$1,Taostats_CSV!$X:$X,0)-1,0),IF(LEN(Taostats_CSV!H899)&gt;0,Taostats_CSV!H899,Taostats_CSV!R899)))</f>
        <v>0.279724961</v>
      </c>
      <c r="G899" t="str">
        <f ca="1">IF(AND(Q899,N899=1),OFFSET(Taostats_CSV!$E$1,MATCH(K899&amp;H$1,Taostats_CSV!$X:$X,0)-1,0),"")</f>
        <v/>
      </c>
      <c r="H899" t="str">
        <f ca="1">IF(AND(Q899,N899=1),OFFSET(Taostats_CSV!$G$1,MATCH(K899&amp;H$1,Taostats_CSV!$X:$X,0)-1,0),"")</f>
        <v/>
      </c>
      <c r="I899" t="str">
        <f ca="1">IF(AND(LEN(K899)=0,LEN(F899)&gt;0),"Income",IF(AND(O899&gt;0,P899&gt;0,C899&lt;&gt;E899),"Trade",IF(AND(NOT(Q899),Taostats_CSV!F899="fee"),'READ ME'!$C$5,"")))</f>
        <v>Income</v>
      </c>
      <c r="J899" t="str">
        <f ca="1">SUBSTITUTE(IF(LEN(I899)=0,Taostats_CSV!F899&amp;" "&amp;Taostats_CSV!J899,IF(I899="Cost","Extrinsic fee","")),"_"," ")</f>
        <v/>
      </c>
      <c r="K899" t="str">
        <f>TRIM(IF(LEN(Taostats_CSV!I899)&gt;0,Taostats_CSV!I899,""))</f>
        <v/>
      </c>
      <c r="L899">
        <f ca="1">IF(Taostats_CSV!E899&lt;&gt;"TAO",IF(LEN(F899)&gt;0,F899,IF(LEN(D899)&gt;0,D899,0))*Taostats_CSV!P899,"")</f>
        <v>3.6521226238858291</v>
      </c>
      <c r="M899" t="str">
        <f t="shared" ca="1" si="93"/>
        <v>USD</v>
      </c>
      <c r="N899">
        <f>COUNTIF(Taostats_CSV!$X:$X,Taostats_CSV!$I899&amp;N$1)</f>
        <v>0</v>
      </c>
      <c r="O899">
        <f>COUNTIF(Taostats_CSV!$X:$X,Taostats_CSV!$I899&amp;O$1)</f>
        <v>0</v>
      </c>
      <c r="P899">
        <f>COUNTIF(Taostats_CSV!$X:$X,Taostats_CSV!$I899&amp;P$1)</f>
        <v>0</v>
      </c>
      <c r="Q899" t="b">
        <f t="shared" si="94"/>
        <v>0</v>
      </c>
      <c r="R899" t="b">
        <f>IF(LEN(K899)&gt;0,COUNTIF($K$3:K899,K899),FALSE)</f>
        <v>0</v>
      </c>
      <c r="S899" t="b">
        <f>IF(Taostats_CSV!A899=Taostats_CSV!$A$2,TRUE,Taostats_CSV!G899+Taostats_CSV!H899+Taostats_CSV!R899=0)</f>
        <v>0</v>
      </c>
      <c r="T899" t="b">
        <f t="shared" si="95"/>
        <v>1</v>
      </c>
      <c r="U899" t="b" cm="1">
        <f t="array" aca="1" ref="U899" ca="1">AND(T899,OR(O899-N899&gt;1,P899&gt;1,ISERROR(A899:P899)))</f>
        <v>0</v>
      </c>
      <c r="W899" t="e">
        <f>MATCH(K899&amp;$W$2,Taostats_CSV!$X$3:$X$1167,0)</f>
        <v>#N/A</v>
      </c>
      <c r="X899" t="e">
        <f t="shared" ref="X899:X962" ca="1" si="96">VALUE(D899)</f>
        <v>#VALUE!</v>
      </c>
      <c r="Y899">
        <f t="shared" ref="Y899:Y962" ca="1" si="97">VALUE(F899)</f>
        <v>0.27972496099999999</v>
      </c>
      <c r="Z899" t="e">
        <f t="shared" ref="Z899:Z962" ca="1" si="98">VALUE(H899)</f>
        <v>#VALUE!</v>
      </c>
    </row>
    <row r="900" spans="1:26" x14ac:dyDescent="0.4">
      <c r="A900" t="str">
        <f>MID(Taostats_CSV!C900,6,2)&amp;"/"&amp;MID(Taostats_CSV!C900,9,2)&amp;"/"&amp;LEFT(Taostats_CSV!C900,4)&amp;" "&amp;MID(Taostats_CSV!C900,12,8)</f>
        <v>09/06/2025 23:59:48</v>
      </c>
      <c r="C900" t="str">
        <f ca="1">IF(Q900,OFFSET(Taostats_CSV!$E$1,MATCH(K900&amp;D$1,Taostats_CSV!$X:$X,0)-1,0),IF(Taostats_CSV!F900="fee",IF(VALUE(Taostats_CSV!G900)&gt;0,Taostats_CSV!E900,""),""))</f>
        <v/>
      </c>
      <c r="D900" t="str">
        <f ca="1">IF(Q900,OFFSET(Taostats_CSV!$G$1,MATCH(K900&amp;D$1,Taostats_CSV!$X:$X,0)-1,0),IF(Taostats_CSV!F900="fee",IF(VALUE(Taostats_CSV!G900)&gt;0,Taostats_CSV!G900,""),""))</f>
        <v/>
      </c>
      <c r="E900" t="str">
        <f ca="1">IF(AND(Q900,P900&gt;0),OFFSET(Taostats_CSV!$E$1,MATCH(K900&amp;F$1,Taostats_CSV!$X:$X,0)-1,0),IF(LEN(F900)&gt;0,Taostats_CSV!E900,""))</f>
        <v>SN64</v>
      </c>
      <c r="F900" t="str">
        <f ca="1">TRIM(IF(AND(Q900,P900&gt;0),OFFSET(Taostats_CSV!$H$1,MATCH(K900&amp;F$1,Taostats_CSV!$X:$X,0)-1,0),IF(LEN(Taostats_CSV!H900)&gt;0,Taostats_CSV!H900,Taostats_CSV!R900)))</f>
        <v>0.142520525</v>
      </c>
      <c r="G900" t="str">
        <f ca="1">IF(AND(Q900,N900=1),OFFSET(Taostats_CSV!$E$1,MATCH(K900&amp;H$1,Taostats_CSV!$X:$X,0)-1,0),"")</f>
        <v/>
      </c>
      <c r="H900" t="str">
        <f ca="1">IF(AND(Q900,N900=1),OFFSET(Taostats_CSV!$G$1,MATCH(K900&amp;H$1,Taostats_CSV!$X:$X,0)-1,0),"")</f>
        <v/>
      </c>
      <c r="I900" t="str">
        <f ca="1">IF(AND(LEN(K900)=0,LEN(F900)&gt;0),"Income",IF(AND(O900&gt;0,P900&gt;0,C900&lt;&gt;E900),"Trade",IF(AND(NOT(Q900),Taostats_CSV!F900="fee"),'READ ME'!$C$5,"")))</f>
        <v>Income</v>
      </c>
      <c r="J900" t="str">
        <f ca="1">SUBSTITUTE(IF(LEN(I900)=0,Taostats_CSV!F900&amp;" "&amp;Taostats_CSV!J900,IF(I900="Cost","Extrinsic fee","")),"_"," ")</f>
        <v/>
      </c>
      <c r="K900" t="str">
        <f>TRIM(IF(LEN(Taostats_CSV!I900)&gt;0,Taostats_CSV!I900,""))</f>
        <v/>
      </c>
      <c r="L900">
        <f ca="1">IF(Taostats_CSV!E900&lt;&gt;"TAO",IF(LEN(F900)&gt;0,F900,IF(LEN(D900)&gt;0,D900,0))*Taostats_CSV!P900,"")</f>
        <v>4.8707742560314671</v>
      </c>
      <c r="M900" t="str">
        <f t="shared" ref="M900:M963" ca="1" si="99">IF(LEN(L900)&gt;0,"USD","")</f>
        <v>USD</v>
      </c>
      <c r="N900">
        <f>COUNTIF(Taostats_CSV!$X:$X,Taostats_CSV!$I900&amp;N$1)</f>
        <v>0</v>
      </c>
      <c r="O900">
        <f>COUNTIF(Taostats_CSV!$X:$X,Taostats_CSV!$I900&amp;O$1)</f>
        <v>0</v>
      </c>
      <c r="P900">
        <f>COUNTIF(Taostats_CSV!$X:$X,Taostats_CSV!$I900&amp;P$1)</f>
        <v>0</v>
      </c>
      <c r="Q900" t="b">
        <f t="shared" ref="Q900:Q963" si="100">AND(O900&lt;=1,N900&lt;=1,P900&lt;=1,O900+N900+P900&gt;=2)</f>
        <v>0</v>
      </c>
      <c r="R900" t="b">
        <f>IF(LEN(K900)&gt;0,COUNTIF($K$3:K900,K900),FALSE)</f>
        <v>0</v>
      </c>
      <c r="S900" t="b">
        <f>IF(Taostats_CSV!A900=Taostats_CSV!$A$2,TRUE,Taostats_CSV!G900+Taostats_CSV!H900+Taostats_CSV!R900=0)</f>
        <v>0</v>
      </c>
      <c r="T900" t="b">
        <f t="shared" ref="T900:T963" si="101">AND(NOT(S900),OR(NOT(Q900),R900=1))</f>
        <v>1</v>
      </c>
      <c r="U900" t="b" cm="1">
        <f t="array" aca="1" ref="U900" ca="1">AND(T900,OR(O900-N900&gt;1,P900&gt;1,ISERROR(A900:P900)))</f>
        <v>0</v>
      </c>
      <c r="W900" t="e">
        <f>MATCH(K900&amp;$W$2,Taostats_CSV!$X$3:$X$1167,0)</f>
        <v>#N/A</v>
      </c>
      <c r="X900" t="e">
        <f t="shared" ca="1" si="96"/>
        <v>#VALUE!</v>
      </c>
      <c r="Y900">
        <f t="shared" ca="1" si="97"/>
        <v>0.14252052500000001</v>
      </c>
      <c r="Z900" t="e">
        <f t="shared" ca="1" si="98"/>
        <v>#VALUE!</v>
      </c>
    </row>
    <row r="901" spans="1:26" x14ac:dyDescent="0.4">
      <c r="A901" t="str">
        <f>MID(Taostats_CSV!C901,6,2)&amp;"/"&amp;MID(Taostats_CSV!C901,9,2)&amp;"/"&amp;LEFT(Taostats_CSV!C901,4)&amp;" "&amp;MID(Taostats_CSV!C901,12,8)</f>
        <v>09/06/2025 23:59:48</v>
      </c>
      <c r="C901" t="str">
        <f ca="1">IF(Q901,OFFSET(Taostats_CSV!$E$1,MATCH(K901&amp;D$1,Taostats_CSV!$X:$X,0)-1,0),IF(Taostats_CSV!F901="fee",IF(VALUE(Taostats_CSV!G901)&gt;0,Taostats_CSV!E901,""),""))</f>
        <v/>
      </c>
      <c r="D901" t="str">
        <f ca="1">IF(Q901,OFFSET(Taostats_CSV!$G$1,MATCH(K901&amp;D$1,Taostats_CSV!$X:$X,0)-1,0),IF(Taostats_CSV!F901="fee",IF(VALUE(Taostats_CSV!G901)&gt;0,Taostats_CSV!G901,""),""))</f>
        <v/>
      </c>
      <c r="E901" t="str">
        <f ca="1">IF(AND(Q901,P901&gt;0),OFFSET(Taostats_CSV!$E$1,MATCH(K901&amp;F$1,Taostats_CSV!$X:$X,0)-1,0),IF(LEN(F901)&gt;0,Taostats_CSV!E901,""))</f>
        <v>TAO</v>
      </c>
      <c r="F901" t="str">
        <f ca="1">TRIM(IF(AND(Q901,P901&gt;0),OFFSET(Taostats_CSV!$H$1,MATCH(K901&amp;F$1,Taostats_CSV!$X:$X,0)-1,0),IF(LEN(Taostats_CSV!H901)&gt;0,Taostats_CSV!H901,Taostats_CSV!R901)))</f>
        <v>0.009943554</v>
      </c>
      <c r="G901" t="str">
        <f ca="1">IF(AND(Q901,N901=1),OFFSET(Taostats_CSV!$E$1,MATCH(K901&amp;H$1,Taostats_CSV!$X:$X,0)-1,0),"")</f>
        <v/>
      </c>
      <c r="H901" t="str">
        <f ca="1">IF(AND(Q901,N901=1),OFFSET(Taostats_CSV!$G$1,MATCH(K901&amp;H$1,Taostats_CSV!$X:$X,0)-1,0),"")</f>
        <v/>
      </c>
      <c r="I901" t="str">
        <f ca="1">IF(AND(LEN(K901)=0,LEN(F901)&gt;0),"Income",IF(AND(O901&gt;0,P901&gt;0,C901&lt;&gt;E901),"Trade",IF(AND(NOT(Q901),Taostats_CSV!F901="fee"),'READ ME'!$C$5,"")))</f>
        <v>Income</v>
      </c>
      <c r="J901" t="str">
        <f ca="1">SUBSTITUTE(IF(LEN(I901)=0,Taostats_CSV!F901&amp;" "&amp;Taostats_CSV!J901,IF(I901="Cost","Extrinsic fee","")),"_"," ")</f>
        <v/>
      </c>
      <c r="K901" t="str">
        <f>TRIM(IF(LEN(Taostats_CSV!I901)&gt;0,Taostats_CSV!I901,""))</f>
        <v/>
      </c>
      <c r="L901" t="str">
        <f>IF(Taostats_CSV!E901&lt;&gt;"TAO",IF(LEN(F901)&gt;0,F901,IF(LEN(D901)&gt;0,D901,0))*Taostats_CSV!P901,"")</f>
        <v/>
      </c>
      <c r="M901" t="str">
        <f t="shared" si="99"/>
        <v/>
      </c>
      <c r="N901">
        <f>COUNTIF(Taostats_CSV!$X:$X,Taostats_CSV!$I901&amp;N$1)</f>
        <v>0</v>
      </c>
      <c r="O901">
        <f>COUNTIF(Taostats_CSV!$X:$X,Taostats_CSV!$I901&amp;O$1)</f>
        <v>0</v>
      </c>
      <c r="P901">
        <f>COUNTIF(Taostats_CSV!$X:$X,Taostats_CSV!$I901&amp;P$1)</f>
        <v>0</v>
      </c>
      <c r="Q901" t="b">
        <f t="shared" si="100"/>
        <v>0</v>
      </c>
      <c r="R901" t="b">
        <f>IF(LEN(K901)&gt;0,COUNTIF($K$3:K901,K901),FALSE)</f>
        <v>0</v>
      </c>
      <c r="S901" t="b">
        <f>IF(Taostats_CSV!A901=Taostats_CSV!$A$2,TRUE,Taostats_CSV!G901+Taostats_CSV!H901+Taostats_CSV!R901=0)</f>
        <v>0</v>
      </c>
      <c r="T901" t="b">
        <f t="shared" si="101"/>
        <v>1</v>
      </c>
      <c r="U901" t="b" cm="1">
        <f t="array" aca="1" ref="U901" ca="1">AND(T901,OR(O901-N901&gt;1,P901&gt;1,ISERROR(A901:P901)))</f>
        <v>0</v>
      </c>
      <c r="W901" t="e">
        <f>MATCH(K901&amp;$W$2,Taostats_CSV!$X$3:$X$1167,0)</f>
        <v>#N/A</v>
      </c>
      <c r="X901" t="e">
        <f t="shared" ca="1" si="96"/>
        <v>#VALUE!</v>
      </c>
      <c r="Y901">
        <f t="shared" ca="1" si="97"/>
        <v>9.9435540000000003E-3</v>
      </c>
      <c r="Z901" t="e">
        <f t="shared" ca="1" si="98"/>
        <v>#VALUE!</v>
      </c>
    </row>
    <row r="902" spans="1:26" x14ac:dyDescent="0.4">
      <c r="A902" t="str">
        <f>MID(Taostats_CSV!C902,6,2)&amp;"/"&amp;MID(Taostats_CSV!C902,9,2)&amp;"/"&amp;LEFT(Taostats_CSV!C902,4)&amp;" "&amp;MID(Taostats_CSV!C902,12,8)</f>
        <v>09/07/2025 23:59:48</v>
      </c>
      <c r="C902" t="str">
        <f ca="1">IF(Q902,OFFSET(Taostats_CSV!$E$1,MATCH(K902&amp;D$1,Taostats_CSV!$X:$X,0)-1,0),IF(Taostats_CSV!F902="fee",IF(VALUE(Taostats_CSV!G902)&gt;0,Taostats_CSV!E902,""),""))</f>
        <v/>
      </c>
      <c r="D902" t="str">
        <f ca="1">IF(Q902,OFFSET(Taostats_CSV!$G$1,MATCH(K902&amp;D$1,Taostats_CSV!$X:$X,0)-1,0),IF(Taostats_CSV!F902="fee",IF(VALUE(Taostats_CSV!G902)&gt;0,Taostats_CSV!G902,""),""))</f>
        <v/>
      </c>
      <c r="E902" t="str">
        <f ca="1">IF(AND(Q902,P902&gt;0),OFFSET(Taostats_CSV!$E$1,MATCH(K902&amp;F$1,Taostats_CSV!$X:$X,0)-1,0),IF(LEN(F902)&gt;0,Taostats_CSV!E902,""))</f>
        <v>SN3</v>
      </c>
      <c r="F902" t="str">
        <f ca="1">TRIM(IF(AND(Q902,P902&gt;0),OFFSET(Taostats_CSV!$H$1,MATCH(K902&amp;F$1,Taostats_CSV!$X:$X,0)-1,0),IF(LEN(Taostats_CSV!H902)&gt;0,Taostats_CSV!H902,Taostats_CSV!R902)))</f>
        <v>0.494676569</v>
      </c>
      <c r="G902" t="str">
        <f ca="1">IF(AND(Q902,N902=1),OFFSET(Taostats_CSV!$E$1,MATCH(K902&amp;H$1,Taostats_CSV!$X:$X,0)-1,0),"")</f>
        <v/>
      </c>
      <c r="H902" t="str">
        <f ca="1">IF(AND(Q902,N902=1),OFFSET(Taostats_CSV!$G$1,MATCH(K902&amp;H$1,Taostats_CSV!$X:$X,0)-1,0),"")</f>
        <v/>
      </c>
      <c r="I902" t="str">
        <f ca="1">IF(AND(LEN(K902)=0,LEN(F902)&gt;0),"Income",IF(AND(O902&gt;0,P902&gt;0,C902&lt;&gt;E902),"Trade",IF(AND(NOT(Q902),Taostats_CSV!F902="fee"),'READ ME'!$C$5,"")))</f>
        <v>Income</v>
      </c>
      <c r="J902" t="str">
        <f ca="1">SUBSTITUTE(IF(LEN(I902)=0,Taostats_CSV!F902&amp;" "&amp;Taostats_CSV!J902,IF(I902="Cost","Extrinsic fee","")),"_"," ")</f>
        <v/>
      </c>
      <c r="K902" t="str">
        <f>TRIM(IF(LEN(Taostats_CSV!I902)&gt;0,Taostats_CSV!I902,""))</f>
        <v/>
      </c>
      <c r="L902">
        <f ca="1">IF(Taostats_CSV!E902&lt;&gt;"TAO",IF(LEN(F902)&gt;0,F902,IF(LEN(D902)&gt;0,D902,0))*Taostats_CSV!P902,"")</f>
        <v>5.7735219689883719</v>
      </c>
      <c r="M902" t="str">
        <f t="shared" ca="1" si="99"/>
        <v>USD</v>
      </c>
      <c r="N902">
        <f>COUNTIF(Taostats_CSV!$X:$X,Taostats_CSV!$I902&amp;N$1)</f>
        <v>0</v>
      </c>
      <c r="O902">
        <f>COUNTIF(Taostats_CSV!$X:$X,Taostats_CSV!$I902&amp;O$1)</f>
        <v>0</v>
      </c>
      <c r="P902">
        <f>COUNTIF(Taostats_CSV!$X:$X,Taostats_CSV!$I902&amp;P$1)</f>
        <v>0</v>
      </c>
      <c r="Q902" t="b">
        <f t="shared" si="100"/>
        <v>0</v>
      </c>
      <c r="R902" t="b">
        <f>IF(LEN(K902)&gt;0,COUNTIF($K$3:K902,K902),FALSE)</f>
        <v>0</v>
      </c>
      <c r="S902" t="b">
        <f>IF(Taostats_CSV!A902=Taostats_CSV!$A$2,TRUE,Taostats_CSV!G902+Taostats_CSV!H902+Taostats_CSV!R902=0)</f>
        <v>0</v>
      </c>
      <c r="T902" t="b">
        <f t="shared" si="101"/>
        <v>1</v>
      </c>
      <c r="U902" t="b" cm="1">
        <f t="array" aca="1" ref="U902" ca="1">AND(T902,OR(O902-N902&gt;1,P902&gt;1,ISERROR(A902:P902)))</f>
        <v>0</v>
      </c>
      <c r="W902" t="e">
        <f>MATCH(K902&amp;$W$2,Taostats_CSV!$X$3:$X$1167,0)</f>
        <v>#N/A</v>
      </c>
      <c r="X902" t="e">
        <f t="shared" ca="1" si="96"/>
        <v>#VALUE!</v>
      </c>
      <c r="Y902">
        <f t="shared" ca="1" si="97"/>
        <v>0.49467656900000001</v>
      </c>
      <c r="Z902" t="e">
        <f t="shared" ca="1" si="98"/>
        <v>#VALUE!</v>
      </c>
    </row>
    <row r="903" spans="1:26" x14ac:dyDescent="0.4">
      <c r="A903" t="str">
        <f>MID(Taostats_CSV!C903,6,2)&amp;"/"&amp;MID(Taostats_CSV!C903,9,2)&amp;"/"&amp;LEFT(Taostats_CSV!C903,4)&amp;" "&amp;MID(Taostats_CSV!C903,12,8)</f>
        <v>09/07/2025 23:59:48</v>
      </c>
      <c r="C903" t="str">
        <f ca="1">IF(Q903,OFFSET(Taostats_CSV!$E$1,MATCH(K903&amp;D$1,Taostats_CSV!$X:$X,0)-1,0),IF(Taostats_CSV!F903="fee",IF(VALUE(Taostats_CSV!G903)&gt;0,Taostats_CSV!E903,""),""))</f>
        <v/>
      </c>
      <c r="D903" t="str">
        <f ca="1">IF(Q903,OFFSET(Taostats_CSV!$G$1,MATCH(K903&amp;D$1,Taostats_CSV!$X:$X,0)-1,0),IF(Taostats_CSV!F903="fee",IF(VALUE(Taostats_CSV!G903)&gt;0,Taostats_CSV!G903,""),""))</f>
        <v/>
      </c>
      <c r="E903" t="str">
        <f ca="1">IF(AND(Q903,P903&gt;0),OFFSET(Taostats_CSV!$E$1,MATCH(K903&amp;F$1,Taostats_CSV!$X:$X,0)-1,0),IF(LEN(F903)&gt;0,Taostats_CSV!E903,""))</f>
        <v>SN4</v>
      </c>
      <c r="F903" t="str">
        <f ca="1">TRIM(IF(AND(Q903,P903&gt;0),OFFSET(Taostats_CSV!$H$1,MATCH(K903&amp;F$1,Taostats_CSV!$X:$X,0)-1,0),IF(LEN(Taostats_CSV!H903)&gt;0,Taostats_CSV!H903,Taostats_CSV!R903)))</f>
        <v>0.43456353</v>
      </c>
      <c r="G903" t="str">
        <f ca="1">IF(AND(Q903,N903=1),OFFSET(Taostats_CSV!$E$1,MATCH(K903&amp;H$1,Taostats_CSV!$X:$X,0)-1,0),"")</f>
        <v/>
      </c>
      <c r="H903" t="str">
        <f ca="1">IF(AND(Q903,N903=1),OFFSET(Taostats_CSV!$G$1,MATCH(K903&amp;H$1,Taostats_CSV!$X:$X,0)-1,0),"")</f>
        <v/>
      </c>
      <c r="I903" t="str">
        <f ca="1">IF(AND(LEN(K903)=0,LEN(F903)&gt;0),"Income",IF(AND(O903&gt;0,P903&gt;0,C903&lt;&gt;E903),"Trade",IF(AND(NOT(Q903),Taostats_CSV!F903="fee"),'READ ME'!$C$5,"")))</f>
        <v>Income</v>
      </c>
      <c r="J903" t="str">
        <f ca="1">SUBSTITUTE(IF(LEN(I903)=0,Taostats_CSV!F903&amp;" "&amp;Taostats_CSV!J903,IF(I903="Cost","Extrinsic fee","")),"_"," ")</f>
        <v/>
      </c>
      <c r="K903" t="str">
        <f>TRIM(IF(LEN(Taostats_CSV!I903)&gt;0,Taostats_CSV!I903,""))</f>
        <v/>
      </c>
      <c r="L903">
        <f ca="1">IF(Taostats_CSV!E903&lt;&gt;"TAO",IF(LEN(F903)&gt;0,F903,IF(LEN(D903)&gt;0,D903,0))*Taostats_CSV!P903,"")</f>
        <v>6.5609910812488312</v>
      </c>
      <c r="M903" t="str">
        <f t="shared" ca="1" si="99"/>
        <v>USD</v>
      </c>
      <c r="N903">
        <f>COUNTIF(Taostats_CSV!$X:$X,Taostats_CSV!$I903&amp;N$1)</f>
        <v>0</v>
      </c>
      <c r="O903">
        <f>COUNTIF(Taostats_CSV!$X:$X,Taostats_CSV!$I903&amp;O$1)</f>
        <v>0</v>
      </c>
      <c r="P903">
        <f>COUNTIF(Taostats_CSV!$X:$X,Taostats_CSV!$I903&amp;P$1)</f>
        <v>0</v>
      </c>
      <c r="Q903" t="b">
        <f t="shared" si="100"/>
        <v>0</v>
      </c>
      <c r="R903" t="b">
        <f>IF(LEN(K903)&gt;0,COUNTIF($K$3:K903,K903),FALSE)</f>
        <v>0</v>
      </c>
      <c r="S903" t="b">
        <f>IF(Taostats_CSV!A903=Taostats_CSV!$A$2,TRUE,Taostats_CSV!G903+Taostats_CSV!H903+Taostats_CSV!R903=0)</f>
        <v>0</v>
      </c>
      <c r="T903" t="b">
        <f t="shared" si="101"/>
        <v>1</v>
      </c>
      <c r="U903" t="b" cm="1">
        <f t="array" aca="1" ref="U903" ca="1">AND(T903,OR(O903-N903&gt;1,P903&gt;1,ISERROR(A903:P903)))</f>
        <v>0</v>
      </c>
      <c r="W903" t="e">
        <f>MATCH(K903&amp;$W$2,Taostats_CSV!$X$3:$X$1167,0)</f>
        <v>#N/A</v>
      </c>
      <c r="X903" t="e">
        <f t="shared" ca="1" si="96"/>
        <v>#VALUE!</v>
      </c>
      <c r="Y903">
        <f t="shared" ca="1" si="97"/>
        <v>0.43456352999999998</v>
      </c>
      <c r="Z903" t="e">
        <f t="shared" ca="1" si="98"/>
        <v>#VALUE!</v>
      </c>
    </row>
    <row r="904" spans="1:26" x14ac:dyDescent="0.4">
      <c r="A904" t="str">
        <f>MID(Taostats_CSV!C904,6,2)&amp;"/"&amp;MID(Taostats_CSV!C904,9,2)&amp;"/"&amp;LEFT(Taostats_CSV!C904,4)&amp;" "&amp;MID(Taostats_CSV!C904,12,8)</f>
        <v>09/07/2025 23:59:48</v>
      </c>
      <c r="C904" t="str">
        <f ca="1">IF(Q904,OFFSET(Taostats_CSV!$E$1,MATCH(K904&amp;D$1,Taostats_CSV!$X:$X,0)-1,0),IF(Taostats_CSV!F904="fee",IF(VALUE(Taostats_CSV!G904)&gt;0,Taostats_CSV!E904,""),""))</f>
        <v/>
      </c>
      <c r="D904" t="str">
        <f ca="1">IF(Q904,OFFSET(Taostats_CSV!$G$1,MATCH(K904&amp;D$1,Taostats_CSV!$X:$X,0)-1,0),IF(Taostats_CSV!F904="fee",IF(VALUE(Taostats_CSV!G904)&gt;0,Taostats_CSV!G904,""),""))</f>
        <v/>
      </c>
      <c r="E904" t="str">
        <f ca="1">IF(AND(Q904,P904&gt;0),OFFSET(Taostats_CSV!$E$1,MATCH(K904&amp;F$1,Taostats_CSV!$X:$X,0)-1,0),IF(LEN(F904)&gt;0,Taostats_CSV!E904,""))</f>
        <v>SN56</v>
      </c>
      <c r="F904" t="str">
        <f ca="1">TRIM(IF(AND(Q904,P904&gt;0),OFFSET(Taostats_CSV!$H$1,MATCH(K904&amp;F$1,Taostats_CSV!$X:$X,0)-1,0),IF(LEN(Taostats_CSV!H904)&gt;0,Taostats_CSV!H904,Taostats_CSV!R904)))</f>
        <v>0.272865699</v>
      </c>
      <c r="G904" t="str">
        <f ca="1">IF(AND(Q904,N904=1),OFFSET(Taostats_CSV!$E$1,MATCH(K904&amp;H$1,Taostats_CSV!$X:$X,0)-1,0),"")</f>
        <v/>
      </c>
      <c r="H904" t="str">
        <f ca="1">IF(AND(Q904,N904=1),OFFSET(Taostats_CSV!$G$1,MATCH(K904&amp;H$1,Taostats_CSV!$X:$X,0)-1,0),"")</f>
        <v/>
      </c>
      <c r="I904" t="str">
        <f ca="1">IF(AND(LEN(K904)=0,LEN(F904)&gt;0),"Income",IF(AND(O904&gt;0,P904&gt;0,C904&lt;&gt;E904),"Trade",IF(AND(NOT(Q904),Taostats_CSV!F904="fee"),'READ ME'!$C$5,"")))</f>
        <v>Income</v>
      </c>
      <c r="J904" t="str">
        <f ca="1">SUBSTITUTE(IF(LEN(I904)=0,Taostats_CSV!F904&amp;" "&amp;Taostats_CSV!J904,IF(I904="Cost","Extrinsic fee","")),"_"," ")</f>
        <v/>
      </c>
      <c r="K904" t="str">
        <f>TRIM(IF(LEN(Taostats_CSV!I904)&gt;0,Taostats_CSV!I904,""))</f>
        <v/>
      </c>
      <c r="L904">
        <f ca="1">IF(Taostats_CSV!E904&lt;&gt;"TAO",IF(LEN(F904)&gt;0,F904,IF(LEN(D904)&gt;0,D904,0))*Taostats_CSV!P904,"")</f>
        <v>3.652856740309947</v>
      </c>
      <c r="M904" t="str">
        <f t="shared" ca="1" si="99"/>
        <v>USD</v>
      </c>
      <c r="N904">
        <f>COUNTIF(Taostats_CSV!$X:$X,Taostats_CSV!$I904&amp;N$1)</f>
        <v>0</v>
      </c>
      <c r="O904">
        <f>COUNTIF(Taostats_CSV!$X:$X,Taostats_CSV!$I904&amp;O$1)</f>
        <v>0</v>
      </c>
      <c r="P904">
        <f>COUNTIF(Taostats_CSV!$X:$X,Taostats_CSV!$I904&amp;P$1)</f>
        <v>0</v>
      </c>
      <c r="Q904" t="b">
        <f t="shared" si="100"/>
        <v>0</v>
      </c>
      <c r="R904" t="b">
        <f>IF(LEN(K904)&gt;0,COUNTIF($K$3:K904,K904),FALSE)</f>
        <v>0</v>
      </c>
      <c r="S904" t="b">
        <f>IF(Taostats_CSV!A904=Taostats_CSV!$A$2,TRUE,Taostats_CSV!G904+Taostats_CSV!H904+Taostats_CSV!R904=0)</f>
        <v>0</v>
      </c>
      <c r="T904" t="b">
        <f t="shared" si="101"/>
        <v>1</v>
      </c>
      <c r="U904" t="b" cm="1">
        <f t="array" aca="1" ref="U904" ca="1">AND(T904,OR(O904-N904&gt;1,P904&gt;1,ISERROR(A904:P904)))</f>
        <v>0</v>
      </c>
      <c r="W904" t="e">
        <f>MATCH(K904&amp;$W$2,Taostats_CSV!$X$3:$X$1167,0)</f>
        <v>#N/A</v>
      </c>
      <c r="X904" t="e">
        <f t="shared" ca="1" si="96"/>
        <v>#VALUE!</v>
      </c>
      <c r="Y904">
        <f t="shared" ca="1" si="97"/>
        <v>0.27286569900000002</v>
      </c>
      <c r="Z904" t="e">
        <f t="shared" ca="1" si="98"/>
        <v>#VALUE!</v>
      </c>
    </row>
    <row r="905" spans="1:26" x14ac:dyDescent="0.4">
      <c r="A905" t="str">
        <f>MID(Taostats_CSV!C905,6,2)&amp;"/"&amp;MID(Taostats_CSV!C905,9,2)&amp;"/"&amp;LEFT(Taostats_CSV!C905,4)&amp;" "&amp;MID(Taostats_CSV!C905,12,8)</f>
        <v>09/07/2025 23:59:48</v>
      </c>
      <c r="C905" t="str">
        <f ca="1">IF(Q905,OFFSET(Taostats_CSV!$E$1,MATCH(K905&amp;D$1,Taostats_CSV!$X:$X,0)-1,0),IF(Taostats_CSV!F905="fee",IF(VALUE(Taostats_CSV!G905)&gt;0,Taostats_CSV!E905,""),""))</f>
        <v/>
      </c>
      <c r="D905" t="str">
        <f ca="1">IF(Q905,OFFSET(Taostats_CSV!$G$1,MATCH(K905&amp;D$1,Taostats_CSV!$X:$X,0)-1,0),IF(Taostats_CSV!F905="fee",IF(VALUE(Taostats_CSV!G905)&gt;0,Taostats_CSV!G905,""),""))</f>
        <v/>
      </c>
      <c r="E905" t="str">
        <f ca="1">IF(AND(Q905,P905&gt;0),OFFSET(Taostats_CSV!$E$1,MATCH(K905&amp;F$1,Taostats_CSV!$X:$X,0)-1,0),IF(LEN(F905)&gt;0,Taostats_CSV!E905,""))</f>
        <v>SN64</v>
      </c>
      <c r="F905" t="str">
        <f ca="1">TRIM(IF(AND(Q905,P905&gt;0),OFFSET(Taostats_CSV!$H$1,MATCH(K905&amp;F$1,Taostats_CSV!$X:$X,0)-1,0),IF(LEN(Taostats_CSV!H905)&gt;0,Taostats_CSV!H905,Taostats_CSV!R905)))</f>
        <v>0.143001829</v>
      </c>
      <c r="G905" t="str">
        <f ca="1">IF(AND(Q905,N905=1),OFFSET(Taostats_CSV!$E$1,MATCH(K905&amp;H$1,Taostats_CSV!$X:$X,0)-1,0),"")</f>
        <v/>
      </c>
      <c r="H905" t="str">
        <f ca="1">IF(AND(Q905,N905=1),OFFSET(Taostats_CSV!$G$1,MATCH(K905&amp;H$1,Taostats_CSV!$X:$X,0)-1,0),"")</f>
        <v/>
      </c>
      <c r="I905" t="str">
        <f ca="1">IF(AND(LEN(K905)=0,LEN(F905)&gt;0),"Income",IF(AND(O905&gt;0,P905&gt;0,C905&lt;&gt;E905),"Trade",IF(AND(NOT(Q905),Taostats_CSV!F905="fee"),'READ ME'!$C$5,"")))</f>
        <v>Income</v>
      </c>
      <c r="J905" t="str">
        <f ca="1">SUBSTITUTE(IF(LEN(I905)=0,Taostats_CSV!F905&amp;" "&amp;Taostats_CSV!J905,IF(I905="Cost","Extrinsic fee","")),"_"," ")</f>
        <v/>
      </c>
      <c r="K905" t="str">
        <f>TRIM(IF(LEN(Taostats_CSV!I905)&gt;0,Taostats_CSV!I905,""))</f>
        <v/>
      </c>
      <c r="L905">
        <f ca="1">IF(Taostats_CSV!E905&lt;&gt;"TAO",IF(LEN(F905)&gt;0,F905,IF(LEN(D905)&gt;0,D905,0))*Taostats_CSV!P905,"")</f>
        <v>4.9990892461706569</v>
      </c>
      <c r="M905" t="str">
        <f t="shared" ca="1" si="99"/>
        <v>USD</v>
      </c>
      <c r="N905">
        <f>COUNTIF(Taostats_CSV!$X:$X,Taostats_CSV!$I905&amp;N$1)</f>
        <v>0</v>
      </c>
      <c r="O905">
        <f>COUNTIF(Taostats_CSV!$X:$X,Taostats_CSV!$I905&amp;O$1)</f>
        <v>0</v>
      </c>
      <c r="P905">
        <f>COUNTIF(Taostats_CSV!$X:$X,Taostats_CSV!$I905&amp;P$1)</f>
        <v>0</v>
      </c>
      <c r="Q905" t="b">
        <f t="shared" si="100"/>
        <v>0</v>
      </c>
      <c r="R905" t="b">
        <f>IF(LEN(K905)&gt;0,COUNTIF($K$3:K905,K905),FALSE)</f>
        <v>0</v>
      </c>
      <c r="S905" t="b">
        <f>IF(Taostats_CSV!A905=Taostats_CSV!$A$2,TRUE,Taostats_CSV!G905+Taostats_CSV!H905+Taostats_CSV!R905=0)</f>
        <v>0</v>
      </c>
      <c r="T905" t="b">
        <f t="shared" si="101"/>
        <v>1</v>
      </c>
      <c r="U905" t="b" cm="1">
        <f t="array" aca="1" ref="U905" ca="1">AND(T905,OR(O905-N905&gt;1,P905&gt;1,ISERROR(A905:P905)))</f>
        <v>0</v>
      </c>
      <c r="W905" t="e">
        <f>MATCH(K905&amp;$W$2,Taostats_CSV!$X$3:$X$1167,0)</f>
        <v>#N/A</v>
      </c>
      <c r="X905" t="e">
        <f t="shared" ca="1" si="96"/>
        <v>#VALUE!</v>
      </c>
      <c r="Y905">
        <f t="shared" ca="1" si="97"/>
        <v>0.143001829</v>
      </c>
      <c r="Z905" t="e">
        <f t="shared" ca="1" si="98"/>
        <v>#VALUE!</v>
      </c>
    </row>
    <row r="906" spans="1:26" x14ac:dyDescent="0.4">
      <c r="A906" t="str">
        <f>MID(Taostats_CSV!C906,6,2)&amp;"/"&amp;MID(Taostats_CSV!C906,9,2)&amp;"/"&amp;LEFT(Taostats_CSV!C906,4)&amp;" "&amp;MID(Taostats_CSV!C906,12,8)</f>
        <v>09/07/2025 23:59:48</v>
      </c>
      <c r="C906" t="str">
        <f ca="1">IF(Q906,OFFSET(Taostats_CSV!$E$1,MATCH(K906&amp;D$1,Taostats_CSV!$X:$X,0)-1,0),IF(Taostats_CSV!F906="fee",IF(VALUE(Taostats_CSV!G906)&gt;0,Taostats_CSV!E906,""),""))</f>
        <v/>
      </c>
      <c r="D906" t="str">
        <f ca="1">IF(Q906,OFFSET(Taostats_CSV!$G$1,MATCH(K906&amp;D$1,Taostats_CSV!$X:$X,0)-1,0),IF(Taostats_CSV!F906="fee",IF(VALUE(Taostats_CSV!G906)&gt;0,Taostats_CSV!G906,""),""))</f>
        <v/>
      </c>
      <c r="E906" t="str">
        <f ca="1">IF(AND(Q906,P906&gt;0),OFFSET(Taostats_CSV!$E$1,MATCH(K906&amp;F$1,Taostats_CSV!$X:$X,0)-1,0),IF(LEN(F906)&gt;0,Taostats_CSV!E906,""))</f>
        <v>TAO</v>
      </c>
      <c r="F906" t="str">
        <f ca="1">TRIM(IF(AND(Q906,P906&gt;0),OFFSET(Taostats_CSV!$H$1,MATCH(K906&amp;F$1,Taostats_CSV!$X:$X,0)-1,0),IF(LEN(Taostats_CSV!H906)&gt;0,Taostats_CSV!H906,Taostats_CSV!R906)))</f>
        <v>0.009725085</v>
      </c>
      <c r="G906" t="str">
        <f ca="1">IF(AND(Q906,N906=1),OFFSET(Taostats_CSV!$E$1,MATCH(K906&amp;H$1,Taostats_CSV!$X:$X,0)-1,0),"")</f>
        <v/>
      </c>
      <c r="H906" t="str">
        <f ca="1">IF(AND(Q906,N906=1),OFFSET(Taostats_CSV!$G$1,MATCH(K906&amp;H$1,Taostats_CSV!$X:$X,0)-1,0),"")</f>
        <v/>
      </c>
      <c r="I906" t="str">
        <f ca="1">IF(AND(LEN(K906)=0,LEN(F906)&gt;0),"Income",IF(AND(O906&gt;0,P906&gt;0,C906&lt;&gt;E906),"Trade",IF(AND(NOT(Q906),Taostats_CSV!F906="fee"),'READ ME'!$C$5,"")))</f>
        <v>Income</v>
      </c>
      <c r="J906" t="str">
        <f ca="1">SUBSTITUTE(IF(LEN(I906)=0,Taostats_CSV!F906&amp;" "&amp;Taostats_CSV!J906,IF(I906="Cost","Extrinsic fee","")),"_"," ")</f>
        <v/>
      </c>
      <c r="K906" t="str">
        <f>TRIM(IF(LEN(Taostats_CSV!I906)&gt;0,Taostats_CSV!I906,""))</f>
        <v/>
      </c>
      <c r="L906" t="str">
        <f>IF(Taostats_CSV!E906&lt;&gt;"TAO",IF(LEN(F906)&gt;0,F906,IF(LEN(D906)&gt;0,D906,0))*Taostats_CSV!P906,"")</f>
        <v/>
      </c>
      <c r="M906" t="str">
        <f t="shared" si="99"/>
        <v/>
      </c>
      <c r="N906">
        <f>COUNTIF(Taostats_CSV!$X:$X,Taostats_CSV!$I906&amp;N$1)</f>
        <v>0</v>
      </c>
      <c r="O906">
        <f>COUNTIF(Taostats_CSV!$X:$X,Taostats_CSV!$I906&amp;O$1)</f>
        <v>0</v>
      </c>
      <c r="P906">
        <f>COUNTIF(Taostats_CSV!$X:$X,Taostats_CSV!$I906&amp;P$1)</f>
        <v>0</v>
      </c>
      <c r="Q906" t="b">
        <f t="shared" si="100"/>
        <v>0</v>
      </c>
      <c r="R906" t="b">
        <f>IF(LEN(K906)&gt;0,COUNTIF($K$3:K906,K906),FALSE)</f>
        <v>0</v>
      </c>
      <c r="S906" t="b">
        <f>IF(Taostats_CSV!A906=Taostats_CSV!$A$2,TRUE,Taostats_CSV!G906+Taostats_CSV!H906+Taostats_CSV!R906=0)</f>
        <v>0</v>
      </c>
      <c r="T906" t="b">
        <f t="shared" si="101"/>
        <v>1</v>
      </c>
      <c r="U906" t="b" cm="1">
        <f t="array" aca="1" ref="U906" ca="1">AND(T906,OR(O906-N906&gt;1,P906&gt;1,ISERROR(A906:P906)))</f>
        <v>0</v>
      </c>
      <c r="W906" t="e">
        <f>MATCH(K906&amp;$W$2,Taostats_CSV!$X$3:$X$1167,0)</f>
        <v>#N/A</v>
      </c>
      <c r="X906" t="e">
        <f t="shared" ca="1" si="96"/>
        <v>#VALUE!</v>
      </c>
      <c r="Y906">
        <f t="shared" ca="1" si="97"/>
        <v>9.7250849999999996E-3</v>
      </c>
      <c r="Z906" t="e">
        <f t="shared" ca="1" si="98"/>
        <v>#VALUE!</v>
      </c>
    </row>
    <row r="907" spans="1:26" x14ac:dyDescent="0.4">
      <c r="A907" t="str">
        <f>MID(Taostats_CSV!C907,6,2)&amp;"/"&amp;MID(Taostats_CSV!C907,9,2)&amp;"/"&amp;LEFT(Taostats_CSV!C907,4)&amp;" "&amp;MID(Taostats_CSV!C907,12,8)</f>
        <v>09/08/2025 23:59:48</v>
      </c>
      <c r="C907" t="str">
        <f ca="1">IF(Q907,OFFSET(Taostats_CSV!$E$1,MATCH(K907&amp;D$1,Taostats_CSV!$X:$X,0)-1,0),IF(Taostats_CSV!F907="fee",IF(VALUE(Taostats_CSV!G907)&gt;0,Taostats_CSV!E907,""),""))</f>
        <v/>
      </c>
      <c r="D907" t="str">
        <f ca="1">IF(Q907,OFFSET(Taostats_CSV!$G$1,MATCH(K907&amp;D$1,Taostats_CSV!$X:$X,0)-1,0),IF(Taostats_CSV!F907="fee",IF(VALUE(Taostats_CSV!G907)&gt;0,Taostats_CSV!G907,""),""))</f>
        <v/>
      </c>
      <c r="E907" t="str">
        <f ca="1">IF(AND(Q907,P907&gt;0),OFFSET(Taostats_CSV!$E$1,MATCH(K907&amp;F$1,Taostats_CSV!$X:$X,0)-1,0),IF(LEN(F907)&gt;0,Taostats_CSV!E907,""))</f>
        <v>SN3</v>
      </c>
      <c r="F907" t="str">
        <f ca="1">TRIM(IF(AND(Q907,P907&gt;0),OFFSET(Taostats_CSV!$H$1,MATCH(K907&amp;F$1,Taostats_CSV!$X:$X,0)-1,0),IF(LEN(Taostats_CSV!H907)&gt;0,Taostats_CSV!H907,Taostats_CSV!R907)))</f>
        <v>0.495183319</v>
      </c>
      <c r="G907" t="str">
        <f ca="1">IF(AND(Q907,N907=1),OFFSET(Taostats_CSV!$E$1,MATCH(K907&amp;H$1,Taostats_CSV!$X:$X,0)-1,0),"")</f>
        <v/>
      </c>
      <c r="H907" t="str">
        <f ca="1">IF(AND(Q907,N907=1),OFFSET(Taostats_CSV!$G$1,MATCH(K907&amp;H$1,Taostats_CSV!$X:$X,0)-1,0),"")</f>
        <v/>
      </c>
      <c r="I907" t="str">
        <f ca="1">IF(AND(LEN(K907)=0,LEN(F907)&gt;0),"Income",IF(AND(O907&gt;0,P907&gt;0,C907&lt;&gt;E907),"Trade",IF(AND(NOT(Q907),Taostats_CSV!F907="fee"),'READ ME'!$C$5,"")))</f>
        <v>Income</v>
      </c>
      <c r="J907" t="str">
        <f ca="1">SUBSTITUTE(IF(LEN(I907)=0,Taostats_CSV!F907&amp;" "&amp;Taostats_CSV!J907,IF(I907="Cost","Extrinsic fee","")),"_"," ")</f>
        <v/>
      </c>
      <c r="K907" t="str">
        <f>TRIM(IF(LEN(Taostats_CSV!I907)&gt;0,Taostats_CSV!I907,""))</f>
        <v/>
      </c>
      <c r="L907">
        <f ca="1">IF(Taostats_CSV!E907&lt;&gt;"TAO",IF(LEN(F907)&gt;0,F907,IF(LEN(D907)&gt;0,D907,0))*Taostats_CSV!P907,"")</f>
        <v>5.9700613024231393</v>
      </c>
      <c r="M907" t="str">
        <f t="shared" ca="1" si="99"/>
        <v>USD</v>
      </c>
      <c r="N907">
        <f>COUNTIF(Taostats_CSV!$X:$X,Taostats_CSV!$I907&amp;N$1)</f>
        <v>0</v>
      </c>
      <c r="O907">
        <f>COUNTIF(Taostats_CSV!$X:$X,Taostats_CSV!$I907&amp;O$1)</f>
        <v>0</v>
      </c>
      <c r="P907">
        <f>COUNTIF(Taostats_CSV!$X:$X,Taostats_CSV!$I907&amp;P$1)</f>
        <v>0</v>
      </c>
      <c r="Q907" t="b">
        <f t="shared" si="100"/>
        <v>0</v>
      </c>
      <c r="R907" t="b">
        <f>IF(LEN(K907)&gt;0,COUNTIF($K$3:K907,K907),FALSE)</f>
        <v>0</v>
      </c>
      <c r="S907" t="b">
        <f>IF(Taostats_CSV!A907=Taostats_CSV!$A$2,TRUE,Taostats_CSV!G907+Taostats_CSV!H907+Taostats_CSV!R907=0)</f>
        <v>0</v>
      </c>
      <c r="T907" t="b">
        <f t="shared" si="101"/>
        <v>1</v>
      </c>
      <c r="U907" t="b" cm="1">
        <f t="array" aca="1" ref="U907" ca="1">AND(T907,OR(O907-N907&gt;1,P907&gt;1,ISERROR(A907:P907)))</f>
        <v>0</v>
      </c>
      <c r="W907" t="e">
        <f>MATCH(K907&amp;$W$2,Taostats_CSV!$X$3:$X$1167,0)</f>
        <v>#N/A</v>
      </c>
      <c r="X907" t="e">
        <f t="shared" ca="1" si="96"/>
        <v>#VALUE!</v>
      </c>
      <c r="Y907">
        <f t="shared" ca="1" si="97"/>
        <v>0.49518331900000001</v>
      </c>
      <c r="Z907" t="e">
        <f t="shared" ca="1" si="98"/>
        <v>#VALUE!</v>
      </c>
    </row>
    <row r="908" spans="1:26" x14ac:dyDescent="0.4">
      <c r="A908" t="str">
        <f>MID(Taostats_CSV!C908,6,2)&amp;"/"&amp;MID(Taostats_CSV!C908,9,2)&amp;"/"&amp;LEFT(Taostats_CSV!C908,4)&amp;" "&amp;MID(Taostats_CSV!C908,12,8)</f>
        <v>09/08/2025 23:59:48</v>
      </c>
      <c r="C908" t="str">
        <f ca="1">IF(Q908,OFFSET(Taostats_CSV!$E$1,MATCH(K908&amp;D$1,Taostats_CSV!$X:$X,0)-1,0),IF(Taostats_CSV!F908="fee",IF(VALUE(Taostats_CSV!G908)&gt;0,Taostats_CSV!E908,""),""))</f>
        <v/>
      </c>
      <c r="D908" t="str">
        <f ca="1">IF(Q908,OFFSET(Taostats_CSV!$G$1,MATCH(K908&amp;D$1,Taostats_CSV!$X:$X,0)-1,0),IF(Taostats_CSV!F908="fee",IF(VALUE(Taostats_CSV!G908)&gt;0,Taostats_CSV!G908,""),""))</f>
        <v/>
      </c>
      <c r="E908" t="str">
        <f ca="1">IF(AND(Q908,P908&gt;0),OFFSET(Taostats_CSV!$E$1,MATCH(K908&amp;F$1,Taostats_CSV!$X:$X,0)-1,0),IF(LEN(F908)&gt;0,Taostats_CSV!E908,""))</f>
        <v>SN4</v>
      </c>
      <c r="F908" t="str">
        <f ca="1">TRIM(IF(AND(Q908,P908&gt;0),OFFSET(Taostats_CSV!$H$1,MATCH(K908&amp;F$1,Taostats_CSV!$X:$X,0)-1,0),IF(LEN(Taostats_CSV!H908)&gt;0,Taostats_CSV!H908,Taostats_CSV!R908)))</f>
        <v>0.434519088</v>
      </c>
      <c r="G908" t="str">
        <f ca="1">IF(AND(Q908,N908=1),OFFSET(Taostats_CSV!$E$1,MATCH(K908&amp;H$1,Taostats_CSV!$X:$X,0)-1,0),"")</f>
        <v/>
      </c>
      <c r="H908" t="str">
        <f ca="1">IF(AND(Q908,N908=1),OFFSET(Taostats_CSV!$G$1,MATCH(K908&amp;H$1,Taostats_CSV!$X:$X,0)-1,0),"")</f>
        <v/>
      </c>
      <c r="I908" t="str">
        <f ca="1">IF(AND(LEN(K908)=0,LEN(F908)&gt;0),"Income",IF(AND(O908&gt;0,P908&gt;0,C908&lt;&gt;E908),"Trade",IF(AND(NOT(Q908),Taostats_CSV!F908="fee"),'READ ME'!$C$5,"")))</f>
        <v>Income</v>
      </c>
      <c r="J908" t="str">
        <f ca="1">SUBSTITUTE(IF(LEN(I908)=0,Taostats_CSV!F908&amp;" "&amp;Taostats_CSV!J908,IF(I908="Cost","Extrinsic fee","")),"_"," ")</f>
        <v/>
      </c>
      <c r="K908" t="str">
        <f>TRIM(IF(LEN(Taostats_CSV!I908)&gt;0,Taostats_CSV!I908,""))</f>
        <v/>
      </c>
      <c r="L908">
        <f ca="1">IF(Taostats_CSV!E908&lt;&gt;"TAO",IF(LEN(F908)&gt;0,F908,IF(LEN(D908)&gt;0,D908,0))*Taostats_CSV!P908,"")</f>
        <v>6.8312706212137941</v>
      </c>
      <c r="M908" t="str">
        <f t="shared" ca="1" si="99"/>
        <v>USD</v>
      </c>
      <c r="N908">
        <f>COUNTIF(Taostats_CSV!$X:$X,Taostats_CSV!$I908&amp;N$1)</f>
        <v>0</v>
      </c>
      <c r="O908">
        <f>COUNTIF(Taostats_CSV!$X:$X,Taostats_CSV!$I908&amp;O$1)</f>
        <v>0</v>
      </c>
      <c r="P908">
        <f>COUNTIF(Taostats_CSV!$X:$X,Taostats_CSV!$I908&amp;P$1)</f>
        <v>0</v>
      </c>
      <c r="Q908" t="b">
        <f t="shared" si="100"/>
        <v>0</v>
      </c>
      <c r="R908" t="b">
        <f>IF(LEN(K908)&gt;0,COUNTIF($K$3:K908,K908),FALSE)</f>
        <v>0</v>
      </c>
      <c r="S908" t="b">
        <f>IF(Taostats_CSV!A908=Taostats_CSV!$A$2,TRUE,Taostats_CSV!G908+Taostats_CSV!H908+Taostats_CSV!R908=0)</f>
        <v>0</v>
      </c>
      <c r="T908" t="b">
        <f t="shared" si="101"/>
        <v>1</v>
      </c>
      <c r="U908" t="b" cm="1">
        <f t="array" aca="1" ref="U908" ca="1">AND(T908,OR(O908-N908&gt;1,P908&gt;1,ISERROR(A908:P908)))</f>
        <v>0</v>
      </c>
      <c r="W908" t="e">
        <f>MATCH(K908&amp;$W$2,Taostats_CSV!$X$3:$X$1167,0)</f>
        <v>#N/A</v>
      </c>
      <c r="X908" t="e">
        <f t="shared" ca="1" si="96"/>
        <v>#VALUE!</v>
      </c>
      <c r="Y908">
        <f t="shared" ca="1" si="97"/>
        <v>0.434519088</v>
      </c>
      <c r="Z908" t="e">
        <f t="shared" ca="1" si="98"/>
        <v>#VALUE!</v>
      </c>
    </row>
    <row r="909" spans="1:26" x14ac:dyDescent="0.4">
      <c r="A909" t="str">
        <f>MID(Taostats_CSV!C909,6,2)&amp;"/"&amp;MID(Taostats_CSV!C909,9,2)&amp;"/"&amp;LEFT(Taostats_CSV!C909,4)&amp;" "&amp;MID(Taostats_CSV!C909,12,8)</f>
        <v>09/08/2025 23:59:48</v>
      </c>
      <c r="C909" t="str">
        <f ca="1">IF(Q909,OFFSET(Taostats_CSV!$E$1,MATCH(K909&amp;D$1,Taostats_CSV!$X:$X,0)-1,0),IF(Taostats_CSV!F909="fee",IF(VALUE(Taostats_CSV!G909)&gt;0,Taostats_CSV!E909,""),""))</f>
        <v/>
      </c>
      <c r="D909" t="str">
        <f ca="1">IF(Q909,OFFSET(Taostats_CSV!$G$1,MATCH(K909&amp;D$1,Taostats_CSV!$X:$X,0)-1,0),IF(Taostats_CSV!F909="fee",IF(VALUE(Taostats_CSV!G909)&gt;0,Taostats_CSV!G909,""),""))</f>
        <v/>
      </c>
      <c r="E909" t="str">
        <f ca="1">IF(AND(Q909,P909&gt;0),OFFSET(Taostats_CSV!$E$1,MATCH(K909&amp;F$1,Taostats_CSV!$X:$X,0)-1,0),IF(LEN(F909)&gt;0,Taostats_CSV!E909,""))</f>
        <v>SN56</v>
      </c>
      <c r="F909" t="str">
        <f ca="1">TRIM(IF(AND(Q909,P909&gt;0),OFFSET(Taostats_CSV!$H$1,MATCH(K909&amp;F$1,Taostats_CSV!$X:$X,0)-1,0),IF(LEN(Taostats_CSV!H909)&gt;0,Taostats_CSV!H909,Taostats_CSV!R909)))</f>
        <v>0.279357008</v>
      </c>
      <c r="G909" t="str">
        <f ca="1">IF(AND(Q909,N909=1),OFFSET(Taostats_CSV!$E$1,MATCH(K909&amp;H$1,Taostats_CSV!$X:$X,0)-1,0),"")</f>
        <v/>
      </c>
      <c r="H909" t="str">
        <f ca="1">IF(AND(Q909,N909=1),OFFSET(Taostats_CSV!$G$1,MATCH(K909&amp;H$1,Taostats_CSV!$X:$X,0)-1,0),"")</f>
        <v/>
      </c>
      <c r="I909" t="str">
        <f ca="1">IF(AND(LEN(K909)=0,LEN(F909)&gt;0),"Income",IF(AND(O909&gt;0,P909&gt;0,C909&lt;&gt;E909),"Trade",IF(AND(NOT(Q909),Taostats_CSV!F909="fee"),'READ ME'!$C$5,"")))</f>
        <v>Income</v>
      </c>
      <c r="J909" t="str">
        <f ca="1">SUBSTITUTE(IF(LEN(I909)=0,Taostats_CSV!F909&amp;" "&amp;Taostats_CSV!J909,IF(I909="Cost","Extrinsic fee","")),"_"," ")</f>
        <v/>
      </c>
      <c r="K909" t="str">
        <f>TRIM(IF(LEN(Taostats_CSV!I909)&gt;0,Taostats_CSV!I909,""))</f>
        <v/>
      </c>
      <c r="L909">
        <f ca="1">IF(Taostats_CSV!E909&lt;&gt;"TAO",IF(LEN(F909)&gt;0,F909,IF(LEN(D909)&gt;0,D909,0))*Taostats_CSV!P909,"")</f>
        <v>3.8938685261821573</v>
      </c>
      <c r="M909" t="str">
        <f t="shared" ca="1" si="99"/>
        <v>USD</v>
      </c>
      <c r="N909">
        <f>COUNTIF(Taostats_CSV!$X:$X,Taostats_CSV!$I909&amp;N$1)</f>
        <v>0</v>
      </c>
      <c r="O909">
        <f>COUNTIF(Taostats_CSV!$X:$X,Taostats_CSV!$I909&amp;O$1)</f>
        <v>0</v>
      </c>
      <c r="P909">
        <f>COUNTIF(Taostats_CSV!$X:$X,Taostats_CSV!$I909&amp;P$1)</f>
        <v>0</v>
      </c>
      <c r="Q909" t="b">
        <f t="shared" si="100"/>
        <v>0</v>
      </c>
      <c r="R909" t="b">
        <f>IF(LEN(K909)&gt;0,COUNTIF($K$3:K909,K909),FALSE)</f>
        <v>0</v>
      </c>
      <c r="S909" t="b">
        <f>IF(Taostats_CSV!A909=Taostats_CSV!$A$2,TRUE,Taostats_CSV!G909+Taostats_CSV!H909+Taostats_CSV!R909=0)</f>
        <v>0</v>
      </c>
      <c r="T909" t="b">
        <f t="shared" si="101"/>
        <v>1</v>
      </c>
      <c r="U909" t="b" cm="1">
        <f t="array" aca="1" ref="U909" ca="1">AND(T909,OR(O909-N909&gt;1,P909&gt;1,ISERROR(A909:P909)))</f>
        <v>0</v>
      </c>
      <c r="W909" t="e">
        <f>MATCH(K909&amp;$W$2,Taostats_CSV!$X$3:$X$1167,0)</f>
        <v>#N/A</v>
      </c>
      <c r="X909" t="e">
        <f t="shared" ca="1" si="96"/>
        <v>#VALUE!</v>
      </c>
      <c r="Y909">
        <f t="shared" ca="1" si="97"/>
        <v>0.27935700800000002</v>
      </c>
      <c r="Z909" t="e">
        <f t="shared" ca="1" si="98"/>
        <v>#VALUE!</v>
      </c>
    </row>
    <row r="910" spans="1:26" x14ac:dyDescent="0.4">
      <c r="A910" t="str">
        <f>MID(Taostats_CSV!C910,6,2)&amp;"/"&amp;MID(Taostats_CSV!C910,9,2)&amp;"/"&amp;LEFT(Taostats_CSV!C910,4)&amp;" "&amp;MID(Taostats_CSV!C910,12,8)</f>
        <v>09/08/2025 23:59:48</v>
      </c>
      <c r="C910" t="str">
        <f ca="1">IF(Q910,OFFSET(Taostats_CSV!$E$1,MATCH(K910&amp;D$1,Taostats_CSV!$X:$X,0)-1,0),IF(Taostats_CSV!F910="fee",IF(VALUE(Taostats_CSV!G910)&gt;0,Taostats_CSV!E910,""),""))</f>
        <v/>
      </c>
      <c r="D910" t="str">
        <f ca="1">IF(Q910,OFFSET(Taostats_CSV!$G$1,MATCH(K910&amp;D$1,Taostats_CSV!$X:$X,0)-1,0),IF(Taostats_CSV!F910="fee",IF(VALUE(Taostats_CSV!G910)&gt;0,Taostats_CSV!G910,""),""))</f>
        <v/>
      </c>
      <c r="E910" t="str">
        <f ca="1">IF(AND(Q910,P910&gt;0),OFFSET(Taostats_CSV!$E$1,MATCH(K910&amp;F$1,Taostats_CSV!$X:$X,0)-1,0),IF(LEN(F910)&gt;0,Taostats_CSV!E910,""))</f>
        <v>SN64</v>
      </c>
      <c r="F910" t="str">
        <f ca="1">TRIM(IF(AND(Q910,P910&gt;0),OFFSET(Taostats_CSV!$H$1,MATCH(K910&amp;F$1,Taostats_CSV!$X:$X,0)-1,0),IF(LEN(Taostats_CSV!H910)&gt;0,Taostats_CSV!H910,Taostats_CSV!R910)))</f>
        <v>0.143240157</v>
      </c>
      <c r="G910" t="str">
        <f ca="1">IF(AND(Q910,N910=1),OFFSET(Taostats_CSV!$E$1,MATCH(K910&amp;H$1,Taostats_CSV!$X:$X,0)-1,0),"")</f>
        <v/>
      </c>
      <c r="H910" t="str">
        <f ca="1">IF(AND(Q910,N910=1),OFFSET(Taostats_CSV!$G$1,MATCH(K910&amp;H$1,Taostats_CSV!$X:$X,0)-1,0),"")</f>
        <v/>
      </c>
      <c r="I910" t="str">
        <f ca="1">IF(AND(LEN(K910)=0,LEN(F910)&gt;0),"Income",IF(AND(O910&gt;0,P910&gt;0,C910&lt;&gt;E910),"Trade",IF(AND(NOT(Q910),Taostats_CSV!F910="fee"),'READ ME'!$C$5,"")))</f>
        <v>Income</v>
      </c>
      <c r="J910" t="str">
        <f ca="1">SUBSTITUTE(IF(LEN(I910)=0,Taostats_CSV!F910&amp;" "&amp;Taostats_CSV!J910,IF(I910="Cost","Extrinsic fee","")),"_"," ")</f>
        <v/>
      </c>
      <c r="K910" t="str">
        <f>TRIM(IF(LEN(Taostats_CSV!I910)&gt;0,Taostats_CSV!I910,""))</f>
        <v/>
      </c>
      <c r="L910">
        <f ca="1">IF(Taostats_CSV!E910&lt;&gt;"TAO",IF(LEN(F910)&gt;0,F910,IF(LEN(D910)&gt;0,D910,0))*Taostats_CSV!P910,"")</f>
        <v>5.2023600328877198</v>
      </c>
      <c r="M910" t="str">
        <f t="shared" ca="1" si="99"/>
        <v>USD</v>
      </c>
      <c r="N910">
        <f>COUNTIF(Taostats_CSV!$X:$X,Taostats_CSV!$I910&amp;N$1)</f>
        <v>0</v>
      </c>
      <c r="O910">
        <f>COUNTIF(Taostats_CSV!$X:$X,Taostats_CSV!$I910&amp;O$1)</f>
        <v>0</v>
      </c>
      <c r="P910">
        <f>COUNTIF(Taostats_CSV!$X:$X,Taostats_CSV!$I910&amp;P$1)</f>
        <v>0</v>
      </c>
      <c r="Q910" t="b">
        <f t="shared" si="100"/>
        <v>0</v>
      </c>
      <c r="R910" t="b">
        <f>IF(LEN(K910)&gt;0,COUNTIF($K$3:K910,K910),FALSE)</f>
        <v>0</v>
      </c>
      <c r="S910" t="b">
        <f>IF(Taostats_CSV!A910=Taostats_CSV!$A$2,TRUE,Taostats_CSV!G910+Taostats_CSV!H910+Taostats_CSV!R910=0)</f>
        <v>0</v>
      </c>
      <c r="T910" t="b">
        <f t="shared" si="101"/>
        <v>1</v>
      </c>
      <c r="U910" t="b" cm="1">
        <f t="array" aca="1" ref="U910" ca="1">AND(T910,OR(O910-N910&gt;1,P910&gt;1,ISERROR(A910:P910)))</f>
        <v>0</v>
      </c>
      <c r="W910" t="e">
        <f>MATCH(K910&amp;$W$2,Taostats_CSV!$X$3:$X$1167,0)</f>
        <v>#N/A</v>
      </c>
      <c r="X910" t="e">
        <f t="shared" ca="1" si="96"/>
        <v>#VALUE!</v>
      </c>
      <c r="Y910">
        <f t="shared" ca="1" si="97"/>
        <v>0.14324015700000001</v>
      </c>
      <c r="Z910" t="e">
        <f t="shared" ca="1" si="98"/>
        <v>#VALUE!</v>
      </c>
    </row>
    <row r="911" spans="1:26" x14ac:dyDescent="0.4">
      <c r="A911" t="str">
        <f>MID(Taostats_CSV!C911,6,2)&amp;"/"&amp;MID(Taostats_CSV!C911,9,2)&amp;"/"&amp;LEFT(Taostats_CSV!C911,4)&amp;" "&amp;MID(Taostats_CSV!C911,12,8)</f>
        <v>09/08/2025 23:59:48</v>
      </c>
      <c r="C911" t="str">
        <f ca="1">IF(Q911,OFFSET(Taostats_CSV!$E$1,MATCH(K911&amp;D$1,Taostats_CSV!$X:$X,0)-1,0),IF(Taostats_CSV!F911="fee",IF(VALUE(Taostats_CSV!G911)&gt;0,Taostats_CSV!E911,""),""))</f>
        <v/>
      </c>
      <c r="D911" t="str">
        <f ca="1">IF(Q911,OFFSET(Taostats_CSV!$G$1,MATCH(K911&amp;D$1,Taostats_CSV!$X:$X,0)-1,0),IF(Taostats_CSV!F911="fee",IF(VALUE(Taostats_CSV!G911)&gt;0,Taostats_CSV!G911,""),""))</f>
        <v/>
      </c>
      <c r="E911" t="str">
        <f ca="1">IF(AND(Q911,P911&gt;0),OFFSET(Taostats_CSV!$E$1,MATCH(K911&amp;F$1,Taostats_CSV!$X:$X,0)-1,0),IF(LEN(F911)&gt;0,Taostats_CSV!E911,""))</f>
        <v>TAO</v>
      </c>
      <c r="F911" t="str">
        <f ca="1">TRIM(IF(AND(Q911,P911&gt;0),OFFSET(Taostats_CSV!$H$1,MATCH(K911&amp;F$1,Taostats_CSV!$X:$X,0)-1,0),IF(LEN(Taostats_CSV!H911)&gt;0,Taostats_CSV!H911,Taostats_CSV!R911)))</f>
        <v>0.009413627</v>
      </c>
      <c r="G911" t="str">
        <f ca="1">IF(AND(Q911,N911=1),OFFSET(Taostats_CSV!$E$1,MATCH(K911&amp;H$1,Taostats_CSV!$X:$X,0)-1,0),"")</f>
        <v/>
      </c>
      <c r="H911" t="str">
        <f ca="1">IF(AND(Q911,N911=1),OFFSET(Taostats_CSV!$G$1,MATCH(K911&amp;H$1,Taostats_CSV!$X:$X,0)-1,0),"")</f>
        <v/>
      </c>
      <c r="I911" t="str">
        <f ca="1">IF(AND(LEN(K911)=0,LEN(F911)&gt;0),"Income",IF(AND(O911&gt;0,P911&gt;0,C911&lt;&gt;E911),"Trade",IF(AND(NOT(Q911),Taostats_CSV!F911="fee"),'READ ME'!$C$5,"")))</f>
        <v>Income</v>
      </c>
      <c r="J911" t="str">
        <f ca="1">SUBSTITUTE(IF(LEN(I911)=0,Taostats_CSV!F911&amp;" "&amp;Taostats_CSV!J911,IF(I911="Cost","Extrinsic fee","")),"_"," ")</f>
        <v/>
      </c>
      <c r="K911" t="str">
        <f>TRIM(IF(LEN(Taostats_CSV!I911)&gt;0,Taostats_CSV!I911,""))</f>
        <v/>
      </c>
      <c r="L911" t="str">
        <f>IF(Taostats_CSV!E911&lt;&gt;"TAO",IF(LEN(F911)&gt;0,F911,IF(LEN(D911)&gt;0,D911,0))*Taostats_CSV!P911,"")</f>
        <v/>
      </c>
      <c r="M911" t="str">
        <f t="shared" si="99"/>
        <v/>
      </c>
      <c r="N911">
        <f>COUNTIF(Taostats_CSV!$X:$X,Taostats_CSV!$I911&amp;N$1)</f>
        <v>0</v>
      </c>
      <c r="O911">
        <f>COUNTIF(Taostats_CSV!$X:$X,Taostats_CSV!$I911&amp;O$1)</f>
        <v>0</v>
      </c>
      <c r="P911">
        <f>COUNTIF(Taostats_CSV!$X:$X,Taostats_CSV!$I911&amp;P$1)</f>
        <v>0</v>
      </c>
      <c r="Q911" t="b">
        <f t="shared" si="100"/>
        <v>0</v>
      </c>
      <c r="R911" t="b">
        <f>IF(LEN(K911)&gt;0,COUNTIF($K$3:K911,K911),FALSE)</f>
        <v>0</v>
      </c>
      <c r="S911" t="b">
        <f>IF(Taostats_CSV!A911=Taostats_CSV!$A$2,TRUE,Taostats_CSV!G911+Taostats_CSV!H911+Taostats_CSV!R911=0)</f>
        <v>0</v>
      </c>
      <c r="T911" t="b">
        <f t="shared" si="101"/>
        <v>1</v>
      </c>
      <c r="U911" t="b" cm="1">
        <f t="array" aca="1" ref="U911" ca="1">AND(T911,OR(O911-N911&gt;1,P911&gt;1,ISERROR(A911:P911)))</f>
        <v>0</v>
      </c>
      <c r="W911" t="e">
        <f>MATCH(K911&amp;$W$2,Taostats_CSV!$X$3:$X$1167,0)</f>
        <v>#N/A</v>
      </c>
      <c r="X911" t="e">
        <f t="shared" ca="1" si="96"/>
        <v>#VALUE!</v>
      </c>
      <c r="Y911">
        <f t="shared" ca="1" si="97"/>
        <v>9.4136270000000008E-3</v>
      </c>
      <c r="Z911" t="e">
        <f t="shared" ca="1" si="98"/>
        <v>#VALUE!</v>
      </c>
    </row>
    <row r="912" spans="1:26" x14ac:dyDescent="0.4">
      <c r="A912" t="str">
        <f>MID(Taostats_CSV!C912,6,2)&amp;"/"&amp;MID(Taostats_CSV!C912,9,2)&amp;"/"&amp;LEFT(Taostats_CSV!C912,4)&amp;" "&amp;MID(Taostats_CSV!C912,12,8)</f>
        <v>09/09/2025 23:59:48</v>
      </c>
      <c r="C912" t="str">
        <f ca="1">IF(Q912,OFFSET(Taostats_CSV!$E$1,MATCH(K912&amp;D$1,Taostats_CSV!$X:$X,0)-1,0),IF(Taostats_CSV!F912="fee",IF(VALUE(Taostats_CSV!G912)&gt;0,Taostats_CSV!E912,""),""))</f>
        <v/>
      </c>
      <c r="D912" t="str">
        <f ca="1">IF(Q912,OFFSET(Taostats_CSV!$G$1,MATCH(K912&amp;D$1,Taostats_CSV!$X:$X,0)-1,0),IF(Taostats_CSV!F912="fee",IF(VALUE(Taostats_CSV!G912)&gt;0,Taostats_CSV!G912,""),""))</f>
        <v/>
      </c>
      <c r="E912" t="str">
        <f ca="1">IF(AND(Q912,P912&gt;0),OFFSET(Taostats_CSV!$E$1,MATCH(K912&amp;F$1,Taostats_CSV!$X:$X,0)-1,0),IF(LEN(F912)&gt;0,Taostats_CSV!E912,""))</f>
        <v>SN3</v>
      </c>
      <c r="F912" t="str">
        <f ca="1">TRIM(IF(AND(Q912,P912&gt;0),OFFSET(Taostats_CSV!$H$1,MATCH(K912&amp;F$1,Taostats_CSV!$X:$X,0)-1,0),IF(LEN(Taostats_CSV!H912)&gt;0,Taostats_CSV!H912,Taostats_CSV!R912)))</f>
        <v>0.49602872</v>
      </c>
      <c r="G912" t="str">
        <f ca="1">IF(AND(Q912,N912=1),OFFSET(Taostats_CSV!$E$1,MATCH(K912&amp;H$1,Taostats_CSV!$X:$X,0)-1,0),"")</f>
        <v/>
      </c>
      <c r="H912" t="str">
        <f ca="1">IF(AND(Q912,N912=1),OFFSET(Taostats_CSV!$G$1,MATCH(K912&amp;H$1,Taostats_CSV!$X:$X,0)-1,0),"")</f>
        <v/>
      </c>
      <c r="I912" t="str">
        <f ca="1">IF(AND(LEN(K912)=0,LEN(F912)&gt;0),"Income",IF(AND(O912&gt;0,P912&gt;0,C912&lt;&gt;E912),"Trade",IF(AND(NOT(Q912),Taostats_CSV!F912="fee"),'READ ME'!$C$5,"")))</f>
        <v>Income</v>
      </c>
      <c r="J912" t="str">
        <f ca="1">SUBSTITUTE(IF(LEN(I912)=0,Taostats_CSV!F912&amp;" "&amp;Taostats_CSV!J912,IF(I912="Cost","Extrinsic fee","")),"_"," ")</f>
        <v/>
      </c>
      <c r="K912" t="str">
        <f>TRIM(IF(LEN(Taostats_CSV!I912)&gt;0,Taostats_CSV!I912,""))</f>
        <v/>
      </c>
      <c r="L912">
        <f ca="1">IF(Taostats_CSV!E912&lt;&gt;"TAO",IF(LEN(F912)&gt;0,F912,IF(LEN(D912)&gt;0,D912,0))*Taostats_CSV!P912,"")</f>
        <v>5.8200037912969318</v>
      </c>
      <c r="M912" t="str">
        <f t="shared" ca="1" si="99"/>
        <v>USD</v>
      </c>
      <c r="N912">
        <f>COUNTIF(Taostats_CSV!$X:$X,Taostats_CSV!$I912&amp;N$1)</f>
        <v>0</v>
      </c>
      <c r="O912">
        <f>COUNTIF(Taostats_CSV!$X:$X,Taostats_CSV!$I912&amp;O$1)</f>
        <v>0</v>
      </c>
      <c r="P912">
        <f>COUNTIF(Taostats_CSV!$X:$X,Taostats_CSV!$I912&amp;P$1)</f>
        <v>0</v>
      </c>
      <c r="Q912" t="b">
        <f t="shared" si="100"/>
        <v>0</v>
      </c>
      <c r="R912" t="b">
        <f>IF(LEN(K912)&gt;0,COUNTIF($K$3:K912,K912),FALSE)</f>
        <v>0</v>
      </c>
      <c r="S912" t="b">
        <f>IF(Taostats_CSV!A912=Taostats_CSV!$A$2,TRUE,Taostats_CSV!G912+Taostats_CSV!H912+Taostats_CSV!R912=0)</f>
        <v>0</v>
      </c>
      <c r="T912" t="b">
        <f t="shared" si="101"/>
        <v>1</v>
      </c>
      <c r="U912" t="b" cm="1">
        <f t="array" aca="1" ref="U912" ca="1">AND(T912,OR(O912-N912&gt;1,P912&gt;1,ISERROR(A912:P912)))</f>
        <v>0</v>
      </c>
      <c r="W912" t="e">
        <f>MATCH(K912&amp;$W$2,Taostats_CSV!$X$3:$X$1167,0)</f>
        <v>#N/A</v>
      </c>
      <c r="X912" t="e">
        <f t="shared" ca="1" si="96"/>
        <v>#VALUE!</v>
      </c>
      <c r="Y912">
        <f t="shared" ca="1" si="97"/>
        <v>0.49602871999999998</v>
      </c>
      <c r="Z912" t="e">
        <f t="shared" ca="1" si="98"/>
        <v>#VALUE!</v>
      </c>
    </row>
    <row r="913" spans="1:26" x14ac:dyDescent="0.4">
      <c r="A913" t="str">
        <f>MID(Taostats_CSV!C913,6,2)&amp;"/"&amp;MID(Taostats_CSV!C913,9,2)&amp;"/"&amp;LEFT(Taostats_CSV!C913,4)&amp;" "&amp;MID(Taostats_CSV!C913,12,8)</f>
        <v>09/09/2025 23:59:48</v>
      </c>
      <c r="C913" t="str">
        <f ca="1">IF(Q913,OFFSET(Taostats_CSV!$E$1,MATCH(K913&amp;D$1,Taostats_CSV!$X:$X,0)-1,0),IF(Taostats_CSV!F913="fee",IF(VALUE(Taostats_CSV!G913)&gt;0,Taostats_CSV!E913,""),""))</f>
        <v/>
      </c>
      <c r="D913" t="str">
        <f ca="1">IF(Q913,OFFSET(Taostats_CSV!$G$1,MATCH(K913&amp;D$1,Taostats_CSV!$X:$X,0)-1,0),IF(Taostats_CSV!F913="fee",IF(VALUE(Taostats_CSV!G913)&gt;0,Taostats_CSV!G913,""),""))</f>
        <v/>
      </c>
      <c r="E913" t="str">
        <f ca="1">IF(AND(Q913,P913&gt;0),OFFSET(Taostats_CSV!$E$1,MATCH(K913&amp;F$1,Taostats_CSV!$X:$X,0)-1,0),IF(LEN(F913)&gt;0,Taostats_CSV!E913,""))</f>
        <v>SN4</v>
      </c>
      <c r="F913" t="str">
        <f ca="1">TRIM(IF(AND(Q913,P913&gt;0),OFFSET(Taostats_CSV!$H$1,MATCH(K913&amp;F$1,Taostats_CSV!$X:$X,0)-1,0),IF(LEN(Taostats_CSV!H913)&gt;0,Taostats_CSV!H913,Taostats_CSV!R913)))</f>
        <v>0.434558724</v>
      </c>
      <c r="G913" t="str">
        <f ca="1">IF(AND(Q913,N913=1),OFFSET(Taostats_CSV!$E$1,MATCH(K913&amp;H$1,Taostats_CSV!$X:$X,0)-1,0),"")</f>
        <v/>
      </c>
      <c r="H913" t="str">
        <f ca="1">IF(AND(Q913,N913=1),OFFSET(Taostats_CSV!$G$1,MATCH(K913&amp;H$1,Taostats_CSV!$X:$X,0)-1,0),"")</f>
        <v/>
      </c>
      <c r="I913" t="str">
        <f ca="1">IF(AND(LEN(K913)=0,LEN(F913)&gt;0),"Income",IF(AND(O913&gt;0,P913&gt;0,C913&lt;&gt;E913),"Trade",IF(AND(NOT(Q913),Taostats_CSV!F913="fee"),'READ ME'!$C$5,"")))</f>
        <v>Income</v>
      </c>
      <c r="J913" t="str">
        <f ca="1">SUBSTITUTE(IF(LEN(I913)=0,Taostats_CSV!F913&amp;" "&amp;Taostats_CSV!J913,IF(I913="Cost","Extrinsic fee","")),"_"," ")</f>
        <v/>
      </c>
      <c r="K913" t="str">
        <f>TRIM(IF(LEN(Taostats_CSV!I913)&gt;0,Taostats_CSV!I913,""))</f>
        <v/>
      </c>
      <c r="L913">
        <f ca="1">IF(Taostats_CSV!E913&lt;&gt;"TAO",IF(LEN(F913)&gt;0,F913,IF(LEN(D913)&gt;0,D913,0))*Taostats_CSV!P913,"")</f>
        <v>6.7311475468471871</v>
      </c>
      <c r="M913" t="str">
        <f t="shared" ca="1" si="99"/>
        <v>USD</v>
      </c>
      <c r="N913">
        <f>COUNTIF(Taostats_CSV!$X:$X,Taostats_CSV!$I913&amp;N$1)</f>
        <v>0</v>
      </c>
      <c r="O913">
        <f>COUNTIF(Taostats_CSV!$X:$X,Taostats_CSV!$I913&amp;O$1)</f>
        <v>0</v>
      </c>
      <c r="P913">
        <f>COUNTIF(Taostats_CSV!$X:$X,Taostats_CSV!$I913&amp;P$1)</f>
        <v>0</v>
      </c>
      <c r="Q913" t="b">
        <f t="shared" si="100"/>
        <v>0</v>
      </c>
      <c r="R913" t="b">
        <f>IF(LEN(K913)&gt;0,COUNTIF($K$3:K913,K913),FALSE)</f>
        <v>0</v>
      </c>
      <c r="S913" t="b">
        <f>IF(Taostats_CSV!A913=Taostats_CSV!$A$2,TRUE,Taostats_CSV!G913+Taostats_CSV!H913+Taostats_CSV!R913=0)</f>
        <v>0</v>
      </c>
      <c r="T913" t="b">
        <f t="shared" si="101"/>
        <v>1</v>
      </c>
      <c r="U913" t="b" cm="1">
        <f t="array" aca="1" ref="U913" ca="1">AND(T913,OR(O913-N913&gt;1,P913&gt;1,ISERROR(A913:P913)))</f>
        <v>0</v>
      </c>
      <c r="W913" t="e">
        <f>MATCH(K913&amp;$W$2,Taostats_CSV!$X$3:$X$1167,0)</f>
        <v>#N/A</v>
      </c>
      <c r="X913" t="e">
        <f t="shared" ca="1" si="96"/>
        <v>#VALUE!</v>
      </c>
      <c r="Y913">
        <f t="shared" ca="1" si="97"/>
        <v>0.43455872400000001</v>
      </c>
      <c r="Z913" t="e">
        <f t="shared" ca="1" si="98"/>
        <v>#VALUE!</v>
      </c>
    </row>
    <row r="914" spans="1:26" x14ac:dyDescent="0.4">
      <c r="A914" t="str">
        <f>MID(Taostats_CSV!C914,6,2)&amp;"/"&amp;MID(Taostats_CSV!C914,9,2)&amp;"/"&amp;LEFT(Taostats_CSV!C914,4)&amp;" "&amp;MID(Taostats_CSV!C914,12,8)</f>
        <v>09/09/2025 23:59:48</v>
      </c>
      <c r="C914" t="str">
        <f ca="1">IF(Q914,OFFSET(Taostats_CSV!$E$1,MATCH(K914&amp;D$1,Taostats_CSV!$X:$X,0)-1,0),IF(Taostats_CSV!F914="fee",IF(VALUE(Taostats_CSV!G914)&gt;0,Taostats_CSV!E914,""),""))</f>
        <v/>
      </c>
      <c r="D914" t="str">
        <f ca="1">IF(Q914,OFFSET(Taostats_CSV!$G$1,MATCH(K914&amp;D$1,Taostats_CSV!$X:$X,0)-1,0),IF(Taostats_CSV!F914="fee",IF(VALUE(Taostats_CSV!G914)&gt;0,Taostats_CSV!G914,""),""))</f>
        <v/>
      </c>
      <c r="E914" t="str">
        <f ca="1">IF(AND(Q914,P914&gt;0),OFFSET(Taostats_CSV!$E$1,MATCH(K914&amp;F$1,Taostats_CSV!$X:$X,0)-1,0),IF(LEN(F914)&gt;0,Taostats_CSV!E914,""))</f>
        <v>SN56</v>
      </c>
      <c r="F914" t="str">
        <f ca="1">TRIM(IF(AND(Q914,P914&gt;0),OFFSET(Taostats_CSV!$H$1,MATCH(K914&amp;F$1,Taostats_CSV!$X:$X,0)-1,0),IF(LEN(Taostats_CSV!H914)&gt;0,Taostats_CSV!H914,Taostats_CSV!R914)))</f>
        <v>0.285683869</v>
      </c>
      <c r="G914" t="str">
        <f ca="1">IF(AND(Q914,N914=1),OFFSET(Taostats_CSV!$E$1,MATCH(K914&amp;H$1,Taostats_CSV!$X:$X,0)-1,0),"")</f>
        <v/>
      </c>
      <c r="H914" t="str">
        <f ca="1">IF(AND(Q914,N914=1),OFFSET(Taostats_CSV!$G$1,MATCH(K914&amp;H$1,Taostats_CSV!$X:$X,0)-1,0),"")</f>
        <v/>
      </c>
      <c r="I914" t="str">
        <f ca="1">IF(AND(LEN(K914)=0,LEN(F914)&gt;0),"Income",IF(AND(O914&gt;0,P914&gt;0,C914&lt;&gt;E914),"Trade",IF(AND(NOT(Q914),Taostats_CSV!F914="fee"),'READ ME'!$C$5,"")))</f>
        <v>Income</v>
      </c>
      <c r="J914" t="str">
        <f ca="1">SUBSTITUTE(IF(LEN(I914)=0,Taostats_CSV!F914&amp;" "&amp;Taostats_CSV!J914,IF(I914="Cost","Extrinsic fee","")),"_"," ")</f>
        <v/>
      </c>
      <c r="K914" t="str">
        <f>TRIM(IF(LEN(Taostats_CSV!I914)&gt;0,Taostats_CSV!I914,""))</f>
        <v/>
      </c>
      <c r="L914">
        <f ca="1">IF(Taostats_CSV!E914&lt;&gt;"TAO",IF(LEN(F914)&gt;0,F914,IF(LEN(D914)&gt;0,D914,0))*Taostats_CSV!P914,"")</f>
        <v>3.9322668202574267</v>
      </c>
      <c r="M914" t="str">
        <f t="shared" ca="1" si="99"/>
        <v>USD</v>
      </c>
      <c r="N914">
        <f>COUNTIF(Taostats_CSV!$X:$X,Taostats_CSV!$I914&amp;N$1)</f>
        <v>0</v>
      </c>
      <c r="O914">
        <f>COUNTIF(Taostats_CSV!$X:$X,Taostats_CSV!$I914&amp;O$1)</f>
        <v>0</v>
      </c>
      <c r="P914">
        <f>COUNTIF(Taostats_CSV!$X:$X,Taostats_CSV!$I914&amp;P$1)</f>
        <v>0</v>
      </c>
      <c r="Q914" t="b">
        <f t="shared" si="100"/>
        <v>0</v>
      </c>
      <c r="R914" t="b">
        <f>IF(LEN(K914)&gt;0,COUNTIF($K$3:K914,K914),FALSE)</f>
        <v>0</v>
      </c>
      <c r="S914" t="b">
        <f>IF(Taostats_CSV!A914=Taostats_CSV!$A$2,TRUE,Taostats_CSV!G914+Taostats_CSV!H914+Taostats_CSV!R914=0)</f>
        <v>0</v>
      </c>
      <c r="T914" t="b">
        <f t="shared" si="101"/>
        <v>1</v>
      </c>
      <c r="U914" t="b" cm="1">
        <f t="array" aca="1" ref="U914" ca="1">AND(T914,OR(O914-N914&gt;1,P914&gt;1,ISERROR(A914:P914)))</f>
        <v>0</v>
      </c>
      <c r="W914" t="e">
        <f>MATCH(K914&amp;$W$2,Taostats_CSV!$X$3:$X$1167,0)</f>
        <v>#N/A</v>
      </c>
      <c r="X914" t="e">
        <f t="shared" ca="1" si="96"/>
        <v>#VALUE!</v>
      </c>
      <c r="Y914">
        <f t="shared" ca="1" si="97"/>
        <v>0.28568386899999998</v>
      </c>
      <c r="Z914" t="e">
        <f t="shared" ca="1" si="98"/>
        <v>#VALUE!</v>
      </c>
    </row>
    <row r="915" spans="1:26" x14ac:dyDescent="0.4">
      <c r="A915" t="str">
        <f>MID(Taostats_CSV!C915,6,2)&amp;"/"&amp;MID(Taostats_CSV!C915,9,2)&amp;"/"&amp;LEFT(Taostats_CSV!C915,4)&amp;" "&amp;MID(Taostats_CSV!C915,12,8)</f>
        <v>09/09/2025 23:59:48</v>
      </c>
      <c r="C915" t="str">
        <f ca="1">IF(Q915,OFFSET(Taostats_CSV!$E$1,MATCH(K915&amp;D$1,Taostats_CSV!$X:$X,0)-1,0),IF(Taostats_CSV!F915="fee",IF(VALUE(Taostats_CSV!G915)&gt;0,Taostats_CSV!E915,""),""))</f>
        <v/>
      </c>
      <c r="D915" t="str">
        <f ca="1">IF(Q915,OFFSET(Taostats_CSV!$G$1,MATCH(K915&amp;D$1,Taostats_CSV!$X:$X,0)-1,0),IF(Taostats_CSV!F915="fee",IF(VALUE(Taostats_CSV!G915)&gt;0,Taostats_CSV!G915,""),""))</f>
        <v/>
      </c>
      <c r="E915" t="str">
        <f ca="1">IF(AND(Q915,P915&gt;0),OFFSET(Taostats_CSV!$E$1,MATCH(K915&amp;F$1,Taostats_CSV!$X:$X,0)-1,0),IF(LEN(F915)&gt;0,Taostats_CSV!E915,""))</f>
        <v>SN64</v>
      </c>
      <c r="F915" t="str">
        <f ca="1">TRIM(IF(AND(Q915,P915&gt;0),OFFSET(Taostats_CSV!$H$1,MATCH(K915&amp;F$1,Taostats_CSV!$X:$X,0)-1,0),IF(LEN(Taostats_CSV!H915)&gt;0,Taostats_CSV!H915,Taostats_CSV!R915)))</f>
        <v>0.143033977</v>
      </c>
      <c r="G915" t="str">
        <f ca="1">IF(AND(Q915,N915=1),OFFSET(Taostats_CSV!$E$1,MATCH(K915&amp;H$1,Taostats_CSV!$X:$X,0)-1,0),"")</f>
        <v/>
      </c>
      <c r="H915" t="str">
        <f ca="1">IF(AND(Q915,N915=1),OFFSET(Taostats_CSV!$G$1,MATCH(K915&amp;H$1,Taostats_CSV!$X:$X,0)-1,0),"")</f>
        <v/>
      </c>
      <c r="I915" t="str">
        <f ca="1">IF(AND(LEN(K915)=0,LEN(F915)&gt;0),"Income",IF(AND(O915&gt;0,P915&gt;0,C915&lt;&gt;E915),"Trade",IF(AND(NOT(Q915),Taostats_CSV!F915="fee"),'READ ME'!$C$5,"")))</f>
        <v>Income</v>
      </c>
      <c r="J915" t="str">
        <f ca="1">SUBSTITUTE(IF(LEN(I915)=0,Taostats_CSV!F915&amp;" "&amp;Taostats_CSV!J915,IF(I915="Cost","Extrinsic fee","")),"_"," ")</f>
        <v/>
      </c>
      <c r="K915" t="str">
        <f>TRIM(IF(LEN(Taostats_CSV!I915)&gt;0,Taostats_CSV!I915,""))</f>
        <v/>
      </c>
      <c r="L915">
        <f ca="1">IF(Taostats_CSV!E915&lt;&gt;"TAO",IF(LEN(F915)&gt;0,F915,IF(LEN(D915)&gt;0,D915,0))*Taostats_CSV!P915,"")</f>
        <v>5.0568454379710932</v>
      </c>
      <c r="M915" t="str">
        <f t="shared" ca="1" si="99"/>
        <v>USD</v>
      </c>
      <c r="N915">
        <f>COUNTIF(Taostats_CSV!$X:$X,Taostats_CSV!$I915&amp;N$1)</f>
        <v>0</v>
      </c>
      <c r="O915">
        <f>COUNTIF(Taostats_CSV!$X:$X,Taostats_CSV!$I915&amp;O$1)</f>
        <v>0</v>
      </c>
      <c r="P915">
        <f>COUNTIF(Taostats_CSV!$X:$X,Taostats_CSV!$I915&amp;P$1)</f>
        <v>0</v>
      </c>
      <c r="Q915" t="b">
        <f t="shared" si="100"/>
        <v>0</v>
      </c>
      <c r="R915" t="b">
        <f>IF(LEN(K915)&gt;0,COUNTIF($K$3:K915,K915),FALSE)</f>
        <v>0</v>
      </c>
      <c r="S915" t="b">
        <f>IF(Taostats_CSV!A915=Taostats_CSV!$A$2,TRUE,Taostats_CSV!G915+Taostats_CSV!H915+Taostats_CSV!R915=0)</f>
        <v>0</v>
      </c>
      <c r="T915" t="b">
        <f t="shared" si="101"/>
        <v>1</v>
      </c>
      <c r="U915" t="b" cm="1">
        <f t="array" aca="1" ref="U915" ca="1">AND(T915,OR(O915-N915&gt;1,P915&gt;1,ISERROR(A915:P915)))</f>
        <v>0</v>
      </c>
      <c r="W915" t="e">
        <f>MATCH(K915&amp;$W$2,Taostats_CSV!$X$3:$X$1167,0)</f>
        <v>#N/A</v>
      </c>
      <c r="X915" t="e">
        <f t="shared" ca="1" si="96"/>
        <v>#VALUE!</v>
      </c>
      <c r="Y915">
        <f t="shared" ca="1" si="97"/>
        <v>0.14303397700000001</v>
      </c>
      <c r="Z915" t="e">
        <f t="shared" ca="1" si="98"/>
        <v>#VALUE!</v>
      </c>
    </row>
    <row r="916" spans="1:26" x14ac:dyDescent="0.4">
      <c r="A916" t="str">
        <f>MID(Taostats_CSV!C916,6,2)&amp;"/"&amp;MID(Taostats_CSV!C916,9,2)&amp;"/"&amp;LEFT(Taostats_CSV!C916,4)&amp;" "&amp;MID(Taostats_CSV!C916,12,8)</f>
        <v>09/09/2025 23:59:48</v>
      </c>
      <c r="C916" t="str">
        <f ca="1">IF(Q916,OFFSET(Taostats_CSV!$E$1,MATCH(K916&amp;D$1,Taostats_CSV!$X:$X,0)-1,0),IF(Taostats_CSV!F916="fee",IF(VALUE(Taostats_CSV!G916)&gt;0,Taostats_CSV!E916,""),""))</f>
        <v/>
      </c>
      <c r="D916" t="str">
        <f ca="1">IF(Q916,OFFSET(Taostats_CSV!$G$1,MATCH(K916&amp;D$1,Taostats_CSV!$X:$X,0)-1,0),IF(Taostats_CSV!F916="fee",IF(VALUE(Taostats_CSV!G916)&gt;0,Taostats_CSV!G916,""),""))</f>
        <v/>
      </c>
      <c r="E916" t="str">
        <f ca="1">IF(AND(Q916,P916&gt;0),OFFSET(Taostats_CSV!$E$1,MATCH(K916&amp;F$1,Taostats_CSV!$X:$X,0)-1,0),IF(LEN(F916)&gt;0,Taostats_CSV!E916,""))</f>
        <v>TAO</v>
      </c>
      <c r="F916" t="str">
        <f ca="1">TRIM(IF(AND(Q916,P916&gt;0),OFFSET(Taostats_CSV!$H$1,MATCH(K916&amp;F$1,Taostats_CSV!$X:$X,0)-1,0),IF(LEN(Taostats_CSV!H916)&gt;0,Taostats_CSV!H916,Taostats_CSV!R916)))</f>
        <v>0.009848724</v>
      </c>
      <c r="G916" t="str">
        <f ca="1">IF(AND(Q916,N916=1),OFFSET(Taostats_CSV!$E$1,MATCH(K916&amp;H$1,Taostats_CSV!$X:$X,0)-1,0),"")</f>
        <v/>
      </c>
      <c r="H916" t="str">
        <f ca="1">IF(AND(Q916,N916=1),OFFSET(Taostats_CSV!$G$1,MATCH(K916&amp;H$1,Taostats_CSV!$X:$X,0)-1,0),"")</f>
        <v/>
      </c>
      <c r="I916" t="str">
        <f ca="1">IF(AND(LEN(K916)=0,LEN(F916)&gt;0),"Income",IF(AND(O916&gt;0,P916&gt;0,C916&lt;&gt;E916),"Trade",IF(AND(NOT(Q916),Taostats_CSV!F916="fee"),'READ ME'!$C$5,"")))</f>
        <v>Income</v>
      </c>
      <c r="J916" t="str">
        <f ca="1">SUBSTITUTE(IF(LEN(I916)=0,Taostats_CSV!F916&amp;" "&amp;Taostats_CSV!J916,IF(I916="Cost","Extrinsic fee","")),"_"," ")</f>
        <v/>
      </c>
      <c r="K916" t="str">
        <f>TRIM(IF(LEN(Taostats_CSV!I916)&gt;0,Taostats_CSV!I916,""))</f>
        <v/>
      </c>
      <c r="L916" t="str">
        <f>IF(Taostats_CSV!E916&lt;&gt;"TAO",IF(LEN(F916)&gt;0,F916,IF(LEN(D916)&gt;0,D916,0))*Taostats_CSV!P916,"")</f>
        <v/>
      </c>
      <c r="M916" t="str">
        <f t="shared" si="99"/>
        <v/>
      </c>
      <c r="N916">
        <f>COUNTIF(Taostats_CSV!$X:$X,Taostats_CSV!$I916&amp;N$1)</f>
        <v>0</v>
      </c>
      <c r="O916">
        <f>COUNTIF(Taostats_CSV!$X:$X,Taostats_CSV!$I916&amp;O$1)</f>
        <v>0</v>
      </c>
      <c r="P916">
        <f>COUNTIF(Taostats_CSV!$X:$X,Taostats_CSV!$I916&amp;P$1)</f>
        <v>0</v>
      </c>
      <c r="Q916" t="b">
        <f t="shared" si="100"/>
        <v>0</v>
      </c>
      <c r="R916" t="b">
        <f>IF(LEN(K916)&gt;0,COUNTIF($K$3:K916,K916),FALSE)</f>
        <v>0</v>
      </c>
      <c r="S916" t="b">
        <f>IF(Taostats_CSV!A916=Taostats_CSV!$A$2,TRUE,Taostats_CSV!G916+Taostats_CSV!H916+Taostats_CSV!R916=0)</f>
        <v>0</v>
      </c>
      <c r="T916" t="b">
        <f t="shared" si="101"/>
        <v>1</v>
      </c>
      <c r="U916" t="b" cm="1">
        <f t="array" aca="1" ref="U916" ca="1">AND(T916,OR(O916-N916&gt;1,P916&gt;1,ISERROR(A916:P916)))</f>
        <v>0</v>
      </c>
      <c r="W916" t="e">
        <f>MATCH(K916&amp;$W$2,Taostats_CSV!$X$3:$X$1167,0)</f>
        <v>#N/A</v>
      </c>
      <c r="X916" t="e">
        <f t="shared" ca="1" si="96"/>
        <v>#VALUE!</v>
      </c>
      <c r="Y916">
        <f t="shared" ca="1" si="97"/>
        <v>9.8487239999999997E-3</v>
      </c>
      <c r="Z916" t="e">
        <f t="shared" ca="1" si="98"/>
        <v>#VALUE!</v>
      </c>
    </row>
    <row r="917" spans="1:26" x14ac:dyDescent="0.4">
      <c r="A917" t="str">
        <f>MID(Taostats_CSV!C917,6,2)&amp;"/"&amp;MID(Taostats_CSV!C917,9,2)&amp;"/"&amp;LEFT(Taostats_CSV!C917,4)&amp;" "&amp;MID(Taostats_CSV!C917,12,8)</f>
        <v>09/10/2025 23:59:48</v>
      </c>
      <c r="C917" t="str">
        <f ca="1">IF(Q917,OFFSET(Taostats_CSV!$E$1,MATCH(K917&amp;D$1,Taostats_CSV!$X:$X,0)-1,0),IF(Taostats_CSV!F917="fee",IF(VALUE(Taostats_CSV!G917)&gt;0,Taostats_CSV!E917,""),""))</f>
        <v/>
      </c>
      <c r="D917" t="str">
        <f ca="1">IF(Q917,OFFSET(Taostats_CSV!$G$1,MATCH(K917&amp;D$1,Taostats_CSV!$X:$X,0)-1,0),IF(Taostats_CSV!F917="fee",IF(VALUE(Taostats_CSV!G917)&gt;0,Taostats_CSV!G917,""),""))</f>
        <v/>
      </c>
      <c r="E917" t="str">
        <f ca="1">IF(AND(Q917,P917&gt;0),OFFSET(Taostats_CSV!$E$1,MATCH(K917&amp;F$1,Taostats_CSV!$X:$X,0)-1,0),IF(LEN(F917)&gt;0,Taostats_CSV!E917,""))</f>
        <v>SN3</v>
      </c>
      <c r="F917" t="str">
        <f ca="1">TRIM(IF(AND(Q917,P917&gt;0),OFFSET(Taostats_CSV!$H$1,MATCH(K917&amp;F$1,Taostats_CSV!$X:$X,0)-1,0),IF(LEN(Taostats_CSV!H917)&gt;0,Taostats_CSV!H917,Taostats_CSV!R917)))</f>
        <v>0.494751088</v>
      </c>
      <c r="G917" t="str">
        <f ca="1">IF(AND(Q917,N917=1),OFFSET(Taostats_CSV!$E$1,MATCH(K917&amp;H$1,Taostats_CSV!$X:$X,0)-1,0),"")</f>
        <v/>
      </c>
      <c r="H917" t="str">
        <f ca="1">IF(AND(Q917,N917=1),OFFSET(Taostats_CSV!$G$1,MATCH(K917&amp;H$1,Taostats_CSV!$X:$X,0)-1,0),"")</f>
        <v/>
      </c>
      <c r="I917" t="str">
        <f ca="1">IF(AND(LEN(K917)=0,LEN(F917)&gt;0),"Income",IF(AND(O917&gt;0,P917&gt;0,C917&lt;&gt;E917),"Trade",IF(AND(NOT(Q917),Taostats_CSV!F917="fee"),'READ ME'!$C$5,"")))</f>
        <v>Income</v>
      </c>
      <c r="J917" t="str">
        <f ca="1">SUBSTITUTE(IF(LEN(I917)=0,Taostats_CSV!F917&amp;" "&amp;Taostats_CSV!J917,IF(I917="Cost","Extrinsic fee","")),"_"," ")</f>
        <v/>
      </c>
      <c r="K917" t="str">
        <f>TRIM(IF(LEN(Taostats_CSV!I917)&gt;0,Taostats_CSV!I917,""))</f>
        <v/>
      </c>
      <c r="L917">
        <f ca="1">IF(Taostats_CSV!E917&lt;&gt;"TAO",IF(LEN(F917)&gt;0,F917,IF(LEN(D917)&gt;0,D917,0))*Taostats_CSV!P917,"")</f>
        <v>6.0460622489804621</v>
      </c>
      <c r="M917" t="str">
        <f t="shared" ca="1" si="99"/>
        <v>USD</v>
      </c>
      <c r="N917">
        <f>COUNTIF(Taostats_CSV!$X:$X,Taostats_CSV!$I917&amp;N$1)</f>
        <v>0</v>
      </c>
      <c r="O917">
        <f>COUNTIF(Taostats_CSV!$X:$X,Taostats_CSV!$I917&amp;O$1)</f>
        <v>0</v>
      </c>
      <c r="P917">
        <f>COUNTIF(Taostats_CSV!$X:$X,Taostats_CSV!$I917&amp;P$1)</f>
        <v>0</v>
      </c>
      <c r="Q917" t="b">
        <f t="shared" si="100"/>
        <v>0</v>
      </c>
      <c r="R917" t="b">
        <f>IF(LEN(K917)&gt;0,COUNTIF($K$3:K917,K917),FALSE)</f>
        <v>0</v>
      </c>
      <c r="S917" t="b">
        <f>IF(Taostats_CSV!A917=Taostats_CSV!$A$2,TRUE,Taostats_CSV!G917+Taostats_CSV!H917+Taostats_CSV!R917=0)</f>
        <v>0</v>
      </c>
      <c r="T917" t="b">
        <f t="shared" si="101"/>
        <v>1</v>
      </c>
      <c r="U917" t="b" cm="1">
        <f t="array" aca="1" ref="U917" ca="1">AND(T917,OR(O917-N917&gt;1,P917&gt;1,ISERROR(A917:P917)))</f>
        <v>0</v>
      </c>
      <c r="W917" t="e">
        <f>MATCH(K917&amp;$W$2,Taostats_CSV!$X$3:$X$1167,0)</f>
        <v>#N/A</v>
      </c>
      <c r="X917" t="e">
        <f t="shared" ca="1" si="96"/>
        <v>#VALUE!</v>
      </c>
      <c r="Y917">
        <f t="shared" ca="1" si="97"/>
        <v>0.49475108800000001</v>
      </c>
      <c r="Z917" t="e">
        <f t="shared" ca="1" si="98"/>
        <v>#VALUE!</v>
      </c>
    </row>
    <row r="918" spans="1:26" x14ac:dyDescent="0.4">
      <c r="A918" t="str">
        <f>MID(Taostats_CSV!C918,6,2)&amp;"/"&amp;MID(Taostats_CSV!C918,9,2)&amp;"/"&amp;LEFT(Taostats_CSV!C918,4)&amp;" "&amp;MID(Taostats_CSV!C918,12,8)</f>
        <v>09/10/2025 23:59:48</v>
      </c>
      <c r="C918" t="str">
        <f ca="1">IF(Q918,OFFSET(Taostats_CSV!$E$1,MATCH(K918&amp;D$1,Taostats_CSV!$X:$X,0)-1,0),IF(Taostats_CSV!F918="fee",IF(VALUE(Taostats_CSV!G918)&gt;0,Taostats_CSV!E918,""),""))</f>
        <v/>
      </c>
      <c r="D918" t="str">
        <f ca="1">IF(Q918,OFFSET(Taostats_CSV!$G$1,MATCH(K918&amp;D$1,Taostats_CSV!$X:$X,0)-1,0),IF(Taostats_CSV!F918="fee",IF(VALUE(Taostats_CSV!G918)&gt;0,Taostats_CSV!G918,""),""))</f>
        <v/>
      </c>
      <c r="E918" t="str">
        <f ca="1">IF(AND(Q918,P918&gt;0),OFFSET(Taostats_CSV!$E$1,MATCH(K918&amp;F$1,Taostats_CSV!$X:$X,0)-1,0),IF(LEN(F918)&gt;0,Taostats_CSV!E918,""))</f>
        <v>SN4</v>
      </c>
      <c r="F918" t="str">
        <f ca="1">TRIM(IF(AND(Q918,P918&gt;0),OFFSET(Taostats_CSV!$H$1,MATCH(K918&amp;F$1,Taostats_CSV!$X:$X,0)-1,0),IF(LEN(Taostats_CSV!H918)&gt;0,Taostats_CSV!H918,Taostats_CSV!R918)))</f>
        <v>0.43693748</v>
      </c>
      <c r="G918" t="str">
        <f ca="1">IF(AND(Q918,N918=1),OFFSET(Taostats_CSV!$E$1,MATCH(K918&amp;H$1,Taostats_CSV!$X:$X,0)-1,0),"")</f>
        <v/>
      </c>
      <c r="H918" t="str">
        <f ca="1">IF(AND(Q918,N918=1),OFFSET(Taostats_CSV!$G$1,MATCH(K918&amp;H$1,Taostats_CSV!$X:$X,0)-1,0),"")</f>
        <v/>
      </c>
      <c r="I918" t="str">
        <f ca="1">IF(AND(LEN(K918)=0,LEN(F918)&gt;0),"Income",IF(AND(O918&gt;0,P918&gt;0,C918&lt;&gt;E918),"Trade",IF(AND(NOT(Q918),Taostats_CSV!F918="fee"),'READ ME'!$C$5,"")))</f>
        <v>Income</v>
      </c>
      <c r="J918" t="str">
        <f ca="1">SUBSTITUTE(IF(LEN(I918)=0,Taostats_CSV!F918&amp;" "&amp;Taostats_CSV!J918,IF(I918="Cost","Extrinsic fee","")),"_"," ")</f>
        <v/>
      </c>
      <c r="K918" t="str">
        <f>TRIM(IF(LEN(Taostats_CSV!I918)&gt;0,Taostats_CSV!I918,""))</f>
        <v/>
      </c>
      <c r="L918">
        <f ca="1">IF(Taostats_CSV!E918&lt;&gt;"TAO",IF(LEN(F918)&gt;0,F918,IF(LEN(D918)&gt;0,D918,0))*Taostats_CSV!P918,"")</f>
        <v>7.0416806961285312</v>
      </c>
      <c r="M918" t="str">
        <f t="shared" ca="1" si="99"/>
        <v>USD</v>
      </c>
      <c r="N918">
        <f>COUNTIF(Taostats_CSV!$X:$X,Taostats_CSV!$I918&amp;N$1)</f>
        <v>0</v>
      </c>
      <c r="O918">
        <f>COUNTIF(Taostats_CSV!$X:$X,Taostats_CSV!$I918&amp;O$1)</f>
        <v>0</v>
      </c>
      <c r="P918">
        <f>COUNTIF(Taostats_CSV!$X:$X,Taostats_CSV!$I918&amp;P$1)</f>
        <v>0</v>
      </c>
      <c r="Q918" t="b">
        <f t="shared" si="100"/>
        <v>0</v>
      </c>
      <c r="R918" t="b">
        <f>IF(LEN(K918)&gt;0,COUNTIF($K$3:K918,K918),FALSE)</f>
        <v>0</v>
      </c>
      <c r="S918" t="b">
        <f>IF(Taostats_CSV!A918=Taostats_CSV!$A$2,TRUE,Taostats_CSV!G918+Taostats_CSV!H918+Taostats_CSV!R918=0)</f>
        <v>0</v>
      </c>
      <c r="T918" t="b">
        <f t="shared" si="101"/>
        <v>1</v>
      </c>
      <c r="U918" t="b" cm="1">
        <f t="array" aca="1" ref="U918" ca="1">AND(T918,OR(O918-N918&gt;1,P918&gt;1,ISERROR(A918:P918)))</f>
        <v>0</v>
      </c>
      <c r="W918" t="e">
        <f>MATCH(K918&amp;$W$2,Taostats_CSV!$X$3:$X$1167,0)</f>
        <v>#N/A</v>
      </c>
      <c r="X918" t="e">
        <f t="shared" ca="1" si="96"/>
        <v>#VALUE!</v>
      </c>
      <c r="Y918">
        <f t="shared" ca="1" si="97"/>
        <v>0.43693747999999999</v>
      </c>
      <c r="Z918" t="e">
        <f t="shared" ca="1" si="98"/>
        <v>#VALUE!</v>
      </c>
    </row>
    <row r="919" spans="1:26" x14ac:dyDescent="0.4">
      <c r="A919" t="str">
        <f>MID(Taostats_CSV!C919,6,2)&amp;"/"&amp;MID(Taostats_CSV!C919,9,2)&amp;"/"&amp;LEFT(Taostats_CSV!C919,4)&amp;" "&amp;MID(Taostats_CSV!C919,12,8)</f>
        <v>09/10/2025 23:59:48</v>
      </c>
      <c r="C919" t="str">
        <f ca="1">IF(Q919,OFFSET(Taostats_CSV!$E$1,MATCH(K919&amp;D$1,Taostats_CSV!$X:$X,0)-1,0),IF(Taostats_CSV!F919="fee",IF(VALUE(Taostats_CSV!G919)&gt;0,Taostats_CSV!E919,""),""))</f>
        <v/>
      </c>
      <c r="D919" t="str">
        <f ca="1">IF(Q919,OFFSET(Taostats_CSV!$G$1,MATCH(K919&amp;D$1,Taostats_CSV!$X:$X,0)-1,0),IF(Taostats_CSV!F919="fee",IF(VALUE(Taostats_CSV!G919)&gt;0,Taostats_CSV!G919,""),""))</f>
        <v/>
      </c>
      <c r="E919" t="str">
        <f ca="1">IF(AND(Q919,P919&gt;0),OFFSET(Taostats_CSV!$E$1,MATCH(K919&amp;F$1,Taostats_CSV!$X:$X,0)-1,0),IF(LEN(F919)&gt;0,Taostats_CSV!E919,""))</f>
        <v>SN56</v>
      </c>
      <c r="F919" t="str">
        <f ca="1">TRIM(IF(AND(Q919,P919&gt;0),OFFSET(Taostats_CSV!$H$1,MATCH(K919&amp;F$1,Taostats_CSV!$X:$X,0)-1,0),IF(LEN(Taostats_CSV!H919)&gt;0,Taostats_CSV!H919,Taostats_CSV!R919)))</f>
        <v>0.283008381</v>
      </c>
      <c r="G919" t="str">
        <f ca="1">IF(AND(Q919,N919=1),OFFSET(Taostats_CSV!$E$1,MATCH(K919&amp;H$1,Taostats_CSV!$X:$X,0)-1,0),"")</f>
        <v/>
      </c>
      <c r="H919" t="str">
        <f ca="1">IF(AND(Q919,N919=1),OFFSET(Taostats_CSV!$G$1,MATCH(K919&amp;H$1,Taostats_CSV!$X:$X,0)-1,0),"")</f>
        <v/>
      </c>
      <c r="I919" t="str">
        <f ca="1">IF(AND(LEN(K919)=0,LEN(F919)&gt;0),"Income",IF(AND(O919&gt;0,P919&gt;0,C919&lt;&gt;E919),"Trade",IF(AND(NOT(Q919),Taostats_CSV!F919="fee"),'READ ME'!$C$5,"")))</f>
        <v>Income</v>
      </c>
      <c r="J919" t="str">
        <f ca="1">SUBSTITUTE(IF(LEN(I919)=0,Taostats_CSV!F919&amp;" "&amp;Taostats_CSV!J919,IF(I919="Cost","Extrinsic fee","")),"_"," ")</f>
        <v/>
      </c>
      <c r="K919" t="str">
        <f>TRIM(IF(LEN(Taostats_CSV!I919)&gt;0,Taostats_CSV!I919,""))</f>
        <v/>
      </c>
      <c r="L919">
        <f ca="1">IF(Taostats_CSV!E919&lt;&gt;"TAO",IF(LEN(F919)&gt;0,F919,IF(LEN(D919)&gt;0,D919,0))*Taostats_CSV!P919,"")</f>
        <v>4.0618920277430526</v>
      </c>
      <c r="M919" t="str">
        <f t="shared" ca="1" si="99"/>
        <v>USD</v>
      </c>
      <c r="N919">
        <f>COUNTIF(Taostats_CSV!$X:$X,Taostats_CSV!$I919&amp;N$1)</f>
        <v>0</v>
      </c>
      <c r="O919">
        <f>COUNTIF(Taostats_CSV!$X:$X,Taostats_CSV!$I919&amp;O$1)</f>
        <v>0</v>
      </c>
      <c r="P919">
        <f>COUNTIF(Taostats_CSV!$X:$X,Taostats_CSV!$I919&amp;P$1)</f>
        <v>0</v>
      </c>
      <c r="Q919" t="b">
        <f t="shared" si="100"/>
        <v>0</v>
      </c>
      <c r="R919" t="b">
        <f>IF(LEN(K919)&gt;0,COUNTIF($K$3:K919,K919),FALSE)</f>
        <v>0</v>
      </c>
      <c r="S919" t="b">
        <f>IF(Taostats_CSV!A919=Taostats_CSV!$A$2,TRUE,Taostats_CSV!G919+Taostats_CSV!H919+Taostats_CSV!R919=0)</f>
        <v>0</v>
      </c>
      <c r="T919" t="b">
        <f t="shared" si="101"/>
        <v>1</v>
      </c>
      <c r="U919" t="b" cm="1">
        <f t="array" aca="1" ref="U919" ca="1">AND(T919,OR(O919-N919&gt;1,P919&gt;1,ISERROR(A919:P919)))</f>
        <v>0</v>
      </c>
      <c r="W919" t="e">
        <f>MATCH(K919&amp;$W$2,Taostats_CSV!$X$3:$X$1167,0)</f>
        <v>#N/A</v>
      </c>
      <c r="X919" t="e">
        <f t="shared" ca="1" si="96"/>
        <v>#VALUE!</v>
      </c>
      <c r="Y919">
        <f t="shared" ca="1" si="97"/>
        <v>0.28300838099999998</v>
      </c>
      <c r="Z919" t="e">
        <f t="shared" ca="1" si="98"/>
        <v>#VALUE!</v>
      </c>
    </row>
    <row r="920" spans="1:26" x14ac:dyDescent="0.4">
      <c r="A920" t="str">
        <f>MID(Taostats_CSV!C920,6,2)&amp;"/"&amp;MID(Taostats_CSV!C920,9,2)&amp;"/"&amp;LEFT(Taostats_CSV!C920,4)&amp;" "&amp;MID(Taostats_CSV!C920,12,8)</f>
        <v>09/10/2025 23:59:48</v>
      </c>
      <c r="C920" t="str">
        <f ca="1">IF(Q920,OFFSET(Taostats_CSV!$E$1,MATCH(K920&amp;D$1,Taostats_CSV!$X:$X,0)-1,0),IF(Taostats_CSV!F920="fee",IF(VALUE(Taostats_CSV!G920)&gt;0,Taostats_CSV!E920,""),""))</f>
        <v/>
      </c>
      <c r="D920" t="str">
        <f ca="1">IF(Q920,OFFSET(Taostats_CSV!$G$1,MATCH(K920&amp;D$1,Taostats_CSV!$X:$X,0)-1,0),IF(Taostats_CSV!F920="fee",IF(VALUE(Taostats_CSV!G920)&gt;0,Taostats_CSV!G920,""),""))</f>
        <v/>
      </c>
      <c r="E920" t="str">
        <f ca="1">IF(AND(Q920,P920&gt;0),OFFSET(Taostats_CSV!$E$1,MATCH(K920&amp;F$1,Taostats_CSV!$X:$X,0)-1,0),IF(LEN(F920)&gt;0,Taostats_CSV!E920,""))</f>
        <v>SN64</v>
      </c>
      <c r="F920" t="str">
        <f ca="1">TRIM(IF(AND(Q920,P920&gt;0),OFFSET(Taostats_CSV!$H$1,MATCH(K920&amp;F$1,Taostats_CSV!$X:$X,0)-1,0),IF(LEN(Taostats_CSV!H920)&gt;0,Taostats_CSV!H920,Taostats_CSV!R920)))</f>
        <v>0.149314655</v>
      </c>
      <c r="G920" t="str">
        <f ca="1">IF(AND(Q920,N920=1),OFFSET(Taostats_CSV!$E$1,MATCH(K920&amp;H$1,Taostats_CSV!$X:$X,0)-1,0),"")</f>
        <v/>
      </c>
      <c r="H920" t="str">
        <f ca="1">IF(AND(Q920,N920=1),OFFSET(Taostats_CSV!$G$1,MATCH(K920&amp;H$1,Taostats_CSV!$X:$X,0)-1,0),"")</f>
        <v/>
      </c>
      <c r="I920" t="str">
        <f ca="1">IF(AND(LEN(K920)=0,LEN(F920)&gt;0),"Income",IF(AND(O920&gt;0,P920&gt;0,C920&lt;&gt;E920),"Trade",IF(AND(NOT(Q920),Taostats_CSV!F920="fee"),'READ ME'!$C$5,"")))</f>
        <v>Income</v>
      </c>
      <c r="J920" t="str">
        <f ca="1">SUBSTITUTE(IF(LEN(I920)=0,Taostats_CSV!F920&amp;" "&amp;Taostats_CSV!J920,IF(I920="Cost","Extrinsic fee","")),"_"," ")</f>
        <v/>
      </c>
      <c r="K920" t="str">
        <f>TRIM(IF(LEN(Taostats_CSV!I920)&gt;0,Taostats_CSV!I920,""))</f>
        <v/>
      </c>
      <c r="L920">
        <f ca="1">IF(Taostats_CSV!E920&lt;&gt;"TAO",IF(LEN(F920)&gt;0,F920,IF(LEN(D920)&gt;0,D920,0))*Taostats_CSV!P920,"")</f>
        <v>5.4766426287337469</v>
      </c>
      <c r="M920" t="str">
        <f t="shared" ca="1" si="99"/>
        <v>USD</v>
      </c>
      <c r="N920">
        <f>COUNTIF(Taostats_CSV!$X:$X,Taostats_CSV!$I920&amp;N$1)</f>
        <v>0</v>
      </c>
      <c r="O920">
        <f>COUNTIF(Taostats_CSV!$X:$X,Taostats_CSV!$I920&amp;O$1)</f>
        <v>0</v>
      </c>
      <c r="P920">
        <f>COUNTIF(Taostats_CSV!$X:$X,Taostats_CSV!$I920&amp;P$1)</f>
        <v>0</v>
      </c>
      <c r="Q920" t="b">
        <f t="shared" si="100"/>
        <v>0</v>
      </c>
      <c r="R920" t="b">
        <f>IF(LEN(K920)&gt;0,COUNTIF($K$3:K920,K920),FALSE)</f>
        <v>0</v>
      </c>
      <c r="S920" t="b">
        <f>IF(Taostats_CSV!A920=Taostats_CSV!$A$2,TRUE,Taostats_CSV!G920+Taostats_CSV!H920+Taostats_CSV!R920=0)</f>
        <v>0</v>
      </c>
      <c r="T920" t="b">
        <f t="shared" si="101"/>
        <v>1</v>
      </c>
      <c r="U920" t="b" cm="1">
        <f t="array" aca="1" ref="U920" ca="1">AND(T920,OR(O920-N920&gt;1,P920&gt;1,ISERROR(A920:P920)))</f>
        <v>0</v>
      </c>
      <c r="W920" t="e">
        <f>MATCH(K920&amp;$W$2,Taostats_CSV!$X$3:$X$1167,0)</f>
        <v>#N/A</v>
      </c>
      <c r="X920" t="e">
        <f t="shared" ca="1" si="96"/>
        <v>#VALUE!</v>
      </c>
      <c r="Y920">
        <f t="shared" ca="1" si="97"/>
        <v>0.14931465499999999</v>
      </c>
      <c r="Z920" t="e">
        <f t="shared" ca="1" si="98"/>
        <v>#VALUE!</v>
      </c>
    </row>
    <row r="921" spans="1:26" x14ac:dyDescent="0.4">
      <c r="A921" t="str">
        <f>MID(Taostats_CSV!C921,6,2)&amp;"/"&amp;MID(Taostats_CSV!C921,9,2)&amp;"/"&amp;LEFT(Taostats_CSV!C921,4)&amp;" "&amp;MID(Taostats_CSV!C921,12,8)</f>
        <v>09/10/2025 23:59:48</v>
      </c>
      <c r="C921" t="str">
        <f ca="1">IF(Q921,OFFSET(Taostats_CSV!$E$1,MATCH(K921&amp;D$1,Taostats_CSV!$X:$X,0)-1,0),IF(Taostats_CSV!F921="fee",IF(VALUE(Taostats_CSV!G921)&gt;0,Taostats_CSV!E921,""),""))</f>
        <v/>
      </c>
      <c r="D921" t="str">
        <f ca="1">IF(Q921,OFFSET(Taostats_CSV!$G$1,MATCH(K921&amp;D$1,Taostats_CSV!$X:$X,0)-1,0),IF(Taostats_CSV!F921="fee",IF(VALUE(Taostats_CSV!G921)&gt;0,Taostats_CSV!G921,""),""))</f>
        <v/>
      </c>
      <c r="E921" t="str">
        <f ca="1">IF(AND(Q921,P921&gt;0),OFFSET(Taostats_CSV!$E$1,MATCH(K921&amp;F$1,Taostats_CSV!$X:$X,0)-1,0),IF(LEN(F921)&gt;0,Taostats_CSV!E921,""))</f>
        <v>TAO</v>
      </c>
      <c r="F921" t="str">
        <f ca="1">TRIM(IF(AND(Q921,P921&gt;0),OFFSET(Taostats_CSV!$H$1,MATCH(K921&amp;F$1,Taostats_CSV!$X:$X,0)-1,0),IF(LEN(Taostats_CSV!H921)&gt;0,Taostats_CSV!H921,Taostats_CSV!R921)))</f>
        <v>0.009974931</v>
      </c>
      <c r="G921" t="str">
        <f ca="1">IF(AND(Q921,N921=1),OFFSET(Taostats_CSV!$E$1,MATCH(K921&amp;H$1,Taostats_CSV!$X:$X,0)-1,0),"")</f>
        <v/>
      </c>
      <c r="H921" t="str">
        <f ca="1">IF(AND(Q921,N921=1),OFFSET(Taostats_CSV!$G$1,MATCH(K921&amp;H$1,Taostats_CSV!$X:$X,0)-1,0),"")</f>
        <v/>
      </c>
      <c r="I921" t="str">
        <f ca="1">IF(AND(LEN(K921)=0,LEN(F921)&gt;0),"Income",IF(AND(O921&gt;0,P921&gt;0,C921&lt;&gt;E921),"Trade",IF(AND(NOT(Q921),Taostats_CSV!F921="fee"),'READ ME'!$C$5,"")))</f>
        <v>Income</v>
      </c>
      <c r="J921" t="str">
        <f ca="1">SUBSTITUTE(IF(LEN(I921)=0,Taostats_CSV!F921&amp;" "&amp;Taostats_CSV!J921,IF(I921="Cost","Extrinsic fee","")),"_"," ")</f>
        <v/>
      </c>
      <c r="K921" t="str">
        <f>TRIM(IF(LEN(Taostats_CSV!I921)&gt;0,Taostats_CSV!I921,""))</f>
        <v/>
      </c>
      <c r="L921" t="str">
        <f>IF(Taostats_CSV!E921&lt;&gt;"TAO",IF(LEN(F921)&gt;0,F921,IF(LEN(D921)&gt;0,D921,0))*Taostats_CSV!P921,"")</f>
        <v/>
      </c>
      <c r="M921" t="str">
        <f t="shared" si="99"/>
        <v/>
      </c>
      <c r="N921">
        <f>COUNTIF(Taostats_CSV!$X:$X,Taostats_CSV!$I921&amp;N$1)</f>
        <v>0</v>
      </c>
      <c r="O921">
        <f>COUNTIF(Taostats_CSV!$X:$X,Taostats_CSV!$I921&amp;O$1)</f>
        <v>0</v>
      </c>
      <c r="P921">
        <f>COUNTIF(Taostats_CSV!$X:$X,Taostats_CSV!$I921&amp;P$1)</f>
        <v>0</v>
      </c>
      <c r="Q921" t="b">
        <f t="shared" si="100"/>
        <v>0</v>
      </c>
      <c r="R921" t="b">
        <f>IF(LEN(K921)&gt;0,COUNTIF($K$3:K921,K921),FALSE)</f>
        <v>0</v>
      </c>
      <c r="S921" t="b">
        <f>IF(Taostats_CSV!A921=Taostats_CSV!$A$2,TRUE,Taostats_CSV!G921+Taostats_CSV!H921+Taostats_CSV!R921=0)</f>
        <v>0</v>
      </c>
      <c r="T921" t="b">
        <f t="shared" si="101"/>
        <v>1</v>
      </c>
      <c r="U921" t="b" cm="1">
        <f t="array" aca="1" ref="U921" ca="1">AND(T921,OR(O921-N921&gt;1,P921&gt;1,ISERROR(A921:P921)))</f>
        <v>0</v>
      </c>
      <c r="W921" t="e">
        <f>MATCH(K921&amp;$W$2,Taostats_CSV!$X$3:$X$1167,0)</f>
        <v>#N/A</v>
      </c>
      <c r="X921" t="e">
        <f t="shared" ca="1" si="96"/>
        <v>#VALUE!</v>
      </c>
      <c r="Y921">
        <f t="shared" ca="1" si="97"/>
        <v>9.9749309999999994E-3</v>
      </c>
      <c r="Z921" t="e">
        <f t="shared" ca="1" si="98"/>
        <v>#VALUE!</v>
      </c>
    </row>
    <row r="922" spans="1:26" x14ac:dyDescent="0.4">
      <c r="A922" t="str">
        <f>MID(Taostats_CSV!C922,6,2)&amp;"/"&amp;MID(Taostats_CSV!C922,9,2)&amp;"/"&amp;LEFT(Taostats_CSV!C922,4)&amp;" "&amp;MID(Taostats_CSV!C922,12,8)</f>
        <v>09/11/2025 23:59:48</v>
      </c>
      <c r="C922" t="str">
        <f ca="1">IF(Q922,OFFSET(Taostats_CSV!$E$1,MATCH(K922&amp;D$1,Taostats_CSV!$X:$X,0)-1,0),IF(Taostats_CSV!F922="fee",IF(VALUE(Taostats_CSV!G922)&gt;0,Taostats_CSV!E922,""),""))</f>
        <v/>
      </c>
      <c r="D922" t="str">
        <f ca="1">IF(Q922,OFFSET(Taostats_CSV!$G$1,MATCH(K922&amp;D$1,Taostats_CSV!$X:$X,0)-1,0),IF(Taostats_CSV!F922="fee",IF(VALUE(Taostats_CSV!G922)&gt;0,Taostats_CSV!G922,""),""))</f>
        <v/>
      </c>
      <c r="E922" t="str">
        <f ca="1">IF(AND(Q922,P922&gt;0),OFFSET(Taostats_CSV!$E$1,MATCH(K922&amp;F$1,Taostats_CSV!$X:$X,0)-1,0),IF(LEN(F922)&gt;0,Taostats_CSV!E922,""))</f>
        <v>SN3</v>
      </c>
      <c r="F922" t="str">
        <f ca="1">TRIM(IF(AND(Q922,P922&gt;0),OFFSET(Taostats_CSV!$H$1,MATCH(K922&amp;F$1,Taostats_CSV!$X:$X,0)-1,0),IF(LEN(Taostats_CSV!H922)&gt;0,Taostats_CSV!H922,Taostats_CSV!R922)))</f>
        <v>0.497034804</v>
      </c>
      <c r="G922" t="str">
        <f ca="1">IF(AND(Q922,N922=1),OFFSET(Taostats_CSV!$E$1,MATCH(K922&amp;H$1,Taostats_CSV!$X:$X,0)-1,0),"")</f>
        <v/>
      </c>
      <c r="H922" t="str">
        <f ca="1">IF(AND(Q922,N922=1),OFFSET(Taostats_CSV!$G$1,MATCH(K922&amp;H$1,Taostats_CSV!$X:$X,0)-1,0),"")</f>
        <v/>
      </c>
      <c r="I922" t="str">
        <f ca="1">IF(AND(LEN(K922)=0,LEN(F922)&gt;0),"Income",IF(AND(O922&gt;0,P922&gt;0,C922&lt;&gt;E922),"Trade",IF(AND(NOT(Q922),Taostats_CSV!F922="fee"),'READ ME'!$C$5,"")))</f>
        <v>Income</v>
      </c>
      <c r="J922" t="str">
        <f ca="1">SUBSTITUTE(IF(LEN(I922)=0,Taostats_CSV!F922&amp;" "&amp;Taostats_CSV!J922,IF(I922="Cost","Extrinsic fee","")),"_"," ")</f>
        <v/>
      </c>
      <c r="K922" t="str">
        <f>TRIM(IF(LEN(Taostats_CSV!I922)&gt;0,Taostats_CSV!I922,""))</f>
        <v/>
      </c>
      <c r="L922">
        <f ca="1">IF(Taostats_CSV!E922&lt;&gt;"TAO",IF(LEN(F922)&gt;0,F922,IF(LEN(D922)&gt;0,D922,0))*Taostats_CSV!P922,"")</f>
        <v>6.2480842256601719</v>
      </c>
      <c r="M922" t="str">
        <f t="shared" ca="1" si="99"/>
        <v>USD</v>
      </c>
      <c r="N922">
        <f>COUNTIF(Taostats_CSV!$X:$X,Taostats_CSV!$I922&amp;N$1)</f>
        <v>0</v>
      </c>
      <c r="O922">
        <f>COUNTIF(Taostats_CSV!$X:$X,Taostats_CSV!$I922&amp;O$1)</f>
        <v>0</v>
      </c>
      <c r="P922">
        <f>COUNTIF(Taostats_CSV!$X:$X,Taostats_CSV!$I922&amp;P$1)</f>
        <v>0</v>
      </c>
      <c r="Q922" t="b">
        <f t="shared" si="100"/>
        <v>0</v>
      </c>
      <c r="R922" t="b">
        <f>IF(LEN(K922)&gt;0,COUNTIF($K$3:K922,K922),FALSE)</f>
        <v>0</v>
      </c>
      <c r="S922" t="b">
        <f>IF(Taostats_CSV!A922=Taostats_CSV!$A$2,TRUE,Taostats_CSV!G922+Taostats_CSV!H922+Taostats_CSV!R922=0)</f>
        <v>0</v>
      </c>
      <c r="T922" t="b">
        <f t="shared" si="101"/>
        <v>1</v>
      </c>
      <c r="U922" t="b" cm="1">
        <f t="array" aca="1" ref="U922" ca="1">AND(T922,OR(O922-N922&gt;1,P922&gt;1,ISERROR(A922:P922)))</f>
        <v>0</v>
      </c>
      <c r="W922" t="e">
        <f>MATCH(K922&amp;$W$2,Taostats_CSV!$X$3:$X$1167,0)</f>
        <v>#N/A</v>
      </c>
      <c r="X922" t="e">
        <f t="shared" ca="1" si="96"/>
        <v>#VALUE!</v>
      </c>
      <c r="Y922">
        <f t="shared" ca="1" si="97"/>
        <v>0.497034804</v>
      </c>
      <c r="Z922" t="e">
        <f t="shared" ca="1" si="98"/>
        <v>#VALUE!</v>
      </c>
    </row>
    <row r="923" spans="1:26" x14ac:dyDescent="0.4">
      <c r="A923" t="str">
        <f>MID(Taostats_CSV!C923,6,2)&amp;"/"&amp;MID(Taostats_CSV!C923,9,2)&amp;"/"&amp;LEFT(Taostats_CSV!C923,4)&amp;" "&amp;MID(Taostats_CSV!C923,12,8)</f>
        <v>09/11/2025 23:59:48</v>
      </c>
      <c r="C923" t="str">
        <f ca="1">IF(Q923,OFFSET(Taostats_CSV!$E$1,MATCH(K923&amp;D$1,Taostats_CSV!$X:$X,0)-1,0),IF(Taostats_CSV!F923="fee",IF(VALUE(Taostats_CSV!G923)&gt;0,Taostats_CSV!E923,""),""))</f>
        <v/>
      </c>
      <c r="D923" t="str">
        <f ca="1">IF(Q923,OFFSET(Taostats_CSV!$G$1,MATCH(K923&amp;D$1,Taostats_CSV!$X:$X,0)-1,0),IF(Taostats_CSV!F923="fee",IF(VALUE(Taostats_CSV!G923)&gt;0,Taostats_CSV!G923,""),""))</f>
        <v/>
      </c>
      <c r="E923" t="str">
        <f ca="1">IF(AND(Q923,P923&gt;0),OFFSET(Taostats_CSV!$E$1,MATCH(K923&amp;F$1,Taostats_CSV!$X:$X,0)-1,0),IF(LEN(F923)&gt;0,Taostats_CSV!E923,""))</f>
        <v>SN4</v>
      </c>
      <c r="F923" t="str">
        <f ca="1">TRIM(IF(AND(Q923,P923&gt;0),OFFSET(Taostats_CSV!$H$1,MATCH(K923&amp;F$1,Taostats_CSV!$X:$X,0)-1,0),IF(LEN(Taostats_CSV!H923)&gt;0,Taostats_CSV!H923,Taostats_CSV!R923)))</f>
        <v>0.438293558</v>
      </c>
      <c r="G923" t="str">
        <f ca="1">IF(AND(Q923,N923=1),OFFSET(Taostats_CSV!$E$1,MATCH(K923&amp;H$1,Taostats_CSV!$X:$X,0)-1,0),"")</f>
        <v/>
      </c>
      <c r="H923" t="str">
        <f ca="1">IF(AND(Q923,N923=1),OFFSET(Taostats_CSV!$G$1,MATCH(K923&amp;H$1,Taostats_CSV!$X:$X,0)-1,0),"")</f>
        <v/>
      </c>
      <c r="I923" t="str">
        <f ca="1">IF(AND(LEN(K923)=0,LEN(F923)&gt;0),"Income",IF(AND(O923&gt;0,P923&gt;0,C923&lt;&gt;E923),"Trade",IF(AND(NOT(Q923),Taostats_CSV!F923="fee"),'READ ME'!$C$5,"")))</f>
        <v>Income</v>
      </c>
      <c r="J923" t="str">
        <f ca="1">SUBSTITUTE(IF(LEN(I923)=0,Taostats_CSV!F923&amp;" "&amp;Taostats_CSV!J923,IF(I923="Cost","Extrinsic fee","")),"_"," ")</f>
        <v/>
      </c>
      <c r="K923" t="str">
        <f>TRIM(IF(LEN(Taostats_CSV!I923)&gt;0,Taostats_CSV!I923,""))</f>
        <v/>
      </c>
      <c r="L923">
        <f ca="1">IF(Taostats_CSV!E923&lt;&gt;"TAO",IF(LEN(F923)&gt;0,F923,IF(LEN(D923)&gt;0,D923,0))*Taostats_CSV!P923,"")</f>
        <v>7.2379147393318126</v>
      </c>
      <c r="M923" t="str">
        <f t="shared" ca="1" si="99"/>
        <v>USD</v>
      </c>
      <c r="N923">
        <f>COUNTIF(Taostats_CSV!$X:$X,Taostats_CSV!$I923&amp;N$1)</f>
        <v>0</v>
      </c>
      <c r="O923">
        <f>COUNTIF(Taostats_CSV!$X:$X,Taostats_CSV!$I923&amp;O$1)</f>
        <v>0</v>
      </c>
      <c r="P923">
        <f>COUNTIF(Taostats_CSV!$X:$X,Taostats_CSV!$I923&amp;P$1)</f>
        <v>0</v>
      </c>
      <c r="Q923" t="b">
        <f t="shared" si="100"/>
        <v>0</v>
      </c>
      <c r="R923" t="b">
        <f>IF(LEN(K923)&gt;0,COUNTIF($K$3:K923,K923),FALSE)</f>
        <v>0</v>
      </c>
      <c r="S923" t="b">
        <f>IF(Taostats_CSV!A923=Taostats_CSV!$A$2,TRUE,Taostats_CSV!G923+Taostats_CSV!H923+Taostats_CSV!R923=0)</f>
        <v>0</v>
      </c>
      <c r="T923" t="b">
        <f t="shared" si="101"/>
        <v>1</v>
      </c>
      <c r="U923" t="b" cm="1">
        <f t="array" aca="1" ref="U923" ca="1">AND(T923,OR(O923-N923&gt;1,P923&gt;1,ISERROR(A923:P923)))</f>
        <v>0</v>
      </c>
      <c r="W923" t="e">
        <f>MATCH(K923&amp;$W$2,Taostats_CSV!$X$3:$X$1167,0)</f>
        <v>#N/A</v>
      </c>
      <c r="X923" t="e">
        <f t="shared" ca="1" si="96"/>
        <v>#VALUE!</v>
      </c>
      <c r="Y923">
        <f t="shared" ca="1" si="97"/>
        <v>0.43829355800000003</v>
      </c>
      <c r="Z923" t="e">
        <f t="shared" ca="1" si="98"/>
        <v>#VALUE!</v>
      </c>
    </row>
    <row r="924" spans="1:26" x14ac:dyDescent="0.4">
      <c r="A924" t="str">
        <f>MID(Taostats_CSV!C924,6,2)&amp;"/"&amp;MID(Taostats_CSV!C924,9,2)&amp;"/"&amp;LEFT(Taostats_CSV!C924,4)&amp;" "&amp;MID(Taostats_CSV!C924,12,8)</f>
        <v>09/11/2025 23:59:48</v>
      </c>
      <c r="C924" t="str">
        <f ca="1">IF(Q924,OFFSET(Taostats_CSV!$E$1,MATCH(K924&amp;D$1,Taostats_CSV!$X:$X,0)-1,0),IF(Taostats_CSV!F924="fee",IF(VALUE(Taostats_CSV!G924)&gt;0,Taostats_CSV!E924,""),""))</f>
        <v/>
      </c>
      <c r="D924" t="str">
        <f ca="1">IF(Q924,OFFSET(Taostats_CSV!$G$1,MATCH(K924&amp;D$1,Taostats_CSV!$X:$X,0)-1,0),IF(Taostats_CSV!F924="fee",IF(VALUE(Taostats_CSV!G924)&gt;0,Taostats_CSV!G924,""),""))</f>
        <v/>
      </c>
      <c r="E924" t="str">
        <f ca="1">IF(AND(Q924,P924&gt;0),OFFSET(Taostats_CSV!$E$1,MATCH(K924&amp;F$1,Taostats_CSV!$X:$X,0)-1,0),IF(LEN(F924)&gt;0,Taostats_CSV!E924,""))</f>
        <v>SN56</v>
      </c>
      <c r="F924" t="str">
        <f ca="1">TRIM(IF(AND(Q924,P924&gt;0),OFFSET(Taostats_CSV!$H$1,MATCH(K924&amp;F$1,Taostats_CSV!$X:$X,0)-1,0),IF(LEN(Taostats_CSV!H924)&gt;0,Taostats_CSV!H924,Taostats_CSV!R924)))</f>
        <v>0.281028453</v>
      </c>
      <c r="G924" t="str">
        <f ca="1">IF(AND(Q924,N924=1),OFFSET(Taostats_CSV!$E$1,MATCH(K924&amp;H$1,Taostats_CSV!$X:$X,0)-1,0),"")</f>
        <v/>
      </c>
      <c r="H924" t="str">
        <f ca="1">IF(AND(Q924,N924=1),OFFSET(Taostats_CSV!$G$1,MATCH(K924&amp;H$1,Taostats_CSV!$X:$X,0)-1,0),"")</f>
        <v/>
      </c>
      <c r="I924" t="str">
        <f ca="1">IF(AND(LEN(K924)=0,LEN(F924)&gt;0),"Income",IF(AND(O924&gt;0,P924&gt;0,C924&lt;&gt;E924),"Trade",IF(AND(NOT(Q924),Taostats_CSV!F924="fee"),'READ ME'!$C$5,"")))</f>
        <v>Income</v>
      </c>
      <c r="J924" t="str">
        <f ca="1">SUBSTITUTE(IF(LEN(I924)=0,Taostats_CSV!F924&amp;" "&amp;Taostats_CSV!J924,IF(I924="Cost","Extrinsic fee","")),"_"," ")</f>
        <v/>
      </c>
      <c r="K924" t="str">
        <f>TRIM(IF(LEN(Taostats_CSV!I924)&gt;0,Taostats_CSV!I924,""))</f>
        <v/>
      </c>
      <c r="L924">
        <f ca="1">IF(Taostats_CSV!E924&lt;&gt;"TAO",IF(LEN(F924)&gt;0,F924,IF(LEN(D924)&gt;0,D924,0))*Taostats_CSV!P924,"")</f>
        <v>4.1277851814215527</v>
      </c>
      <c r="M924" t="str">
        <f t="shared" ca="1" si="99"/>
        <v>USD</v>
      </c>
      <c r="N924">
        <f>COUNTIF(Taostats_CSV!$X:$X,Taostats_CSV!$I924&amp;N$1)</f>
        <v>0</v>
      </c>
      <c r="O924">
        <f>COUNTIF(Taostats_CSV!$X:$X,Taostats_CSV!$I924&amp;O$1)</f>
        <v>0</v>
      </c>
      <c r="P924">
        <f>COUNTIF(Taostats_CSV!$X:$X,Taostats_CSV!$I924&amp;P$1)</f>
        <v>0</v>
      </c>
      <c r="Q924" t="b">
        <f t="shared" si="100"/>
        <v>0</v>
      </c>
      <c r="R924" t="b">
        <f>IF(LEN(K924)&gt;0,COUNTIF($K$3:K924,K924),FALSE)</f>
        <v>0</v>
      </c>
      <c r="S924" t="b">
        <f>IF(Taostats_CSV!A924=Taostats_CSV!$A$2,TRUE,Taostats_CSV!G924+Taostats_CSV!H924+Taostats_CSV!R924=0)</f>
        <v>0</v>
      </c>
      <c r="T924" t="b">
        <f t="shared" si="101"/>
        <v>1</v>
      </c>
      <c r="U924" t="b" cm="1">
        <f t="array" aca="1" ref="U924" ca="1">AND(T924,OR(O924-N924&gt;1,P924&gt;1,ISERROR(A924:P924)))</f>
        <v>0</v>
      </c>
      <c r="W924" t="e">
        <f>MATCH(K924&amp;$W$2,Taostats_CSV!$X$3:$X$1167,0)</f>
        <v>#N/A</v>
      </c>
      <c r="X924" t="e">
        <f t="shared" ca="1" si="96"/>
        <v>#VALUE!</v>
      </c>
      <c r="Y924">
        <f t="shared" ca="1" si="97"/>
        <v>0.28102845300000001</v>
      </c>
      <c r="Z924" t="e">
        <f t="shared" ca="1" si="98"/>
        <v>#VALUE!</v>
      </c>
    </row>
    <row r="925" spans="1:26" x14ac:dyDescent="0.4">
      <c r="A925" t="str">
        <f>MID(Taostats_CSV!C925,6,2)&amp;"/"&amp;MID(Taostats_CSV!C925,9,2)&amp;"/"&amp;LEFT(Taostats_CSV!C925,4)&amp;" "&amp;MID(Taostats_CSV!C925,12,8)</f>
        <v>09/11/2025 23:59:48</v>
      </c>
      <c r="C925" t="str">
        <f ca="1">IF(Q925,OFFSET(Taostats_CSV!$E$1,MATCH(K925&amp;D$1,Taostats_CSV!$X:$X,0)-1,0),IF(Taostats_CSV!F925="fee",IF(VALUE(Taostats_CSV!G925)&gt;0,Taostats_CSV!E925,""),""))</f>
        <v/>
      </c>
      <c r="D925" t="str">
        <f ca="1">IF(Q925,OFFSET(Taostats_CSV!$G$1,MATCH(K925&amp;D$1,Taostats_CSV!$X:$X,0)-1,0),IF(Taostats_CSV!F925="fee",IF(VALUE(Taostats_CSV!G925)&gt;0,Taostats_CSV!G925,""),""))</f>
        <v/>
      </c>
      <c r="E925" t="str">
        <f ca="1">IF(AND(Q925,P925&gt;0),OFFSET(Taostats_CSV!$E$1,MATCH(K925&amp;F$1,Taostats_CSV!$X:$X,0)-1,0),IF(LEN(F925)&gt;0,Taostats_CSV!E925,""))</f>
        <v>SN64</v>
      </c>
      <c r="F925" t="str">
        <f ca="1">TRIM(IF(AND(Q925,P925&gt;0),OFFSET(Taostats_CSV!$H$1,MATCH(K925&amp;F$1,Taostats_CSV!$X:$X,0)-1,0),IF(LEN(Taostats_CSV!H925)&gt;0,Taostats_CSV!H925,Taostats_CSV!R925)))</f>
        <v>0.159786582</v>
      </c>
      <c r="G925" t="str">
        <f ca="1">IF(AND(Q925,N925=1),OFFSET(Taostats_CSV!$E$1,MATCH(K925&amp;H$1,Taostats_CSV!$X:$X,0)-1,0),"")</f>
        <v/>
      </c>
      <c r="H925" t="str">
        <f ca="1">IF(AND(Q925,N925=1),OFFSET(Taostats_CSV!$G$1,MATCH(K925&amp;H$1,Taostats_CSV!$X:$X,0)-1,0),"")</f>
        <v/>
      </c>
      <c r="I925" t="str">
        <f ca="1">IF(AND(LEN(K925)=0,LEN(F925)&gt;0),"Income",IF(AND(O925&gt;0,P925&gt;0,C925&lt;&gt;E925),"Trade",IF(AND(NOT(Q925),Taostats_CSV!F925="fee"),'READ ME'!$C$5,"")))</f>
        <v>Income</v>
      </c>
      <c r="J925" t="str">
        <f ca="1">SUBSTITUTE(IF(LEN(I925)=0,Taostats_CSV!F925&amp;" "&amp;Taostats_CSV!J925,IF(I925="Cost","Extrinsic fee","")),"_"," ")</f>
        <v/>
      </c>
      <c r="K925" t="str">
        <f>TRIM(IF(LEN(Taostats_CSV!I925)&gt;0,Taostats_CSV!I925,""))</f>
        <v/>
      </c>
      <c r="L925">
        <f ca="1">IF(Taostats_CSV!E925&lt;&gt;"TAO",IF(LEN(F925)&gt;0,F925,IF(LEN(D925)&gt;0,D925,0))*Taostats_CSV!P925,"")</f>
        <v>6.0264896381729907</v>
      </c>
      <c r="M925" t="str">
        <f t="shared" ca="1" si="99"/>
        <v>USD</v>
      </c>
      <c r="N925">
        <f>COUNTIF(Taostats_CSV!$X:$X,Taostats_CSV!$I925&amp;N$1)</f>
        <v>0</v>
      </c>
      <c r="O925">
        <f>COUNTIF(Taostats_CSV!$X:$X,Taostats_CSV!$I925&amp;O$1)</f>
        <v>0</v>
      </c>
      <c r="P925">
        <f>COUNTIF(Taostats_CSV!$X:$X,Taostats_CSV!$I925&amp;P$1)</f>
        <v>0</v>
      </c>
      <c r="Q925" t="b">
        <f t="shared" si="100"/>
        <v>0</v>
      </c>
      <c r="R925" t="b">
        <f>IF(LEN(K925)&gt;0,COUNTIF($K$3:K925,K925),FALSE)</f>
        <v>0</v>
      </c>
      <c r="S925" t="b">
        <f>IF(Taostats_CSV!A925=Taostats_CSV!$A$2,TRUE,Taostats_CSV!G925+Taostats_CSV!H925+Taostats_CSV!R925=0)</f>
        <v>0</v>
      </c>
      <c r="T925" t="b">
        <f t="shared" si="101"/>
        <v>1</v>
      </c>
      <c r="U925" t="b" cm="1">
        <f t="array" aca="1" ref="U925" ca="1">AND(T925,OR(O925-N925&gt;1,P925&gt;1,ISERROR(A925:P925)))</f>
        <v>0</v>
      </c>
      <c r="W925" t="e">
        <f>MATCH(K925&amp;$W$2,Taostats_CSV!$X$3:$X$1167,0)</f>
        <v>#N/A</v>
      </c>
      <c r="X925" t="e">
        <f t="shared" ca="1" si="96"/>
        <v>#VALUE!</v>
      </c>
      <c r="Y925">
        <f t="shared" ca="1" si="97"/>
        <v>0.15978658200000001</v>
      </c>
      <c r="Z925" t="e">
        <f t="shared" ca="1" si="98"/>
        <v>#VALUE!</v>
      </c>
    </row>
    <row r="926" spans="1:26" x14ac:dyDescent="0.4">
      <c r="A926" t="str">
        <f>MID(Taostats_CSV!C926,6,2)&amp;"/"&amp;MID(Taostats_CSV!C926,9,2)&amp;"/"&amp;LEFT(Taostats_CSV!C926,4)&amp;" "&amp;MID(Taostats_CSV!C926,12,8)</f>
        <v>09/11/2025 23:59:48</v>
      </c>
      <c r="C926" t="str">
        <f ca="1">IF(Q926,OFFSET(Taostats_CSV!$E$1,MATCH(K926&amp;D$1,Taostats_CSV!$X:$X,0)-1,0),IF(Taostats_CSV!F926="fee",IF(VALUE(Taostats_CSV!G926)&gt;0,Taostats_CSV!E926,""),""))</f>
        <v/>
      </c>
      <c r="D926" t="str">
        <f ca="1">IF(Q926,OFFSET(Taostats_CSV!$G$1,MATCH(K926&amp;D$1,Taostats_CSV!$X:$X,0)-1,0),IF(Taostats_CSV!F926="fee",IF(VALUE(Taostats_CSV!G926)&gt;0,Taostats_CSV!G926,""),""))</f>
        <v/>
      </c>
      <c r="E926" t="str">
        <f ca="1">IF(AND(Q926,P926&gt;0),OFFSET(Taostats_CSV!$E$1,MATCH(K926&amp;F$1,Taostats_CSV!$X:$X,0)-1,0),IF(LEN(F926)&gt;0,Taostats_CSV!E926,""))</f>
        <v>TAO</v>
      </c>
      <c r="F926" t="str">
        <f ca="1">TRIM(IF(AND(Q926,P926&gt;0),OFFSET(Taostats_CSV!$H$1,MATCH(K926&amp;F$1,Taostats_CSV!$X:$X,0)-1,0),IF(LEN(Taostats_CSV!H926)&gt;0,Taostats_CSV!H926,Taostats_CSV!R926)))</f>
        <v>0.010425793</v>
      </c>
      <c r="G926" t="str">
        <f ca="1">IF(AND(Q926,N926=1),OFFSET(Taostats_CSV!$E$1,MATCH(K926&amp;H$1,Taostats_CSV!$X:$X,0)-1,0),"")</f>
        <v/>
      </c>
      <c r="H926" t="str">
        <f ca="1">IF(AND(Q926,N926=1),OFFSET(Taostats_CSV!$G$1,MATCH(K926&amp;H$1,Taostats_CSV!$X:$X,0)-1,0),"")</f>
        <v/>
      </c>
      <c r="I926" t="str">
        <f ca="1">IF(AND(LEN(K926)=0,LEN(F926)&gt;0),"Income",IF(AND(O926&gt;0,P926&gt;0,C926&lt;&gt;E926),"Trade",IF(AND(NOT(Q926),Taostats_CSV!F926="fee"),'READ ME'!$C$5,"")))</f>
        <v>Income</v>
      </c>
      <c r="J926" t="str">
        <f ca="1">SUBSTITUTE(IF(LEN(I926)=0,Taostats_CSV!F926&amp;" "&amp;Taostats_CSV!J926,IF(I926="Cost","Extrinsic fee","")),"_"," ")</f>
        <v/>
      </c>
      <c r="K926" t="str">
        <f>TRIM(IF(LEN(Taostats_CSV!I926)&gt;0,Taostats_CSV!I926,""))</f>
        <v/>
      </c>
      <c r="L926" t="str">
        <f>IF(Taostats_CSV!E926&lt;&gt;"TAO",IF(LEN(F926)&gt;0,F926,IF(LEN(D926)&gt;0,D926,0))*Taostats_CSV!P926,"")</f>
        <v/>
      </c>
      <c r="M926" t="str">
        <f t="shared" si="99"/>
        <v/>
      </c>
      <c r="N926">
        <f>COUNTIF(Taostats_CSV!$X:$X,Taostats_CSV!$I926&amp;N$1)</f>
        <v>0</v>
      </c>
      <c r="O926">
        <f>COUNTIF(Taostats_CSV!$X:$X,Taostats_CSV!$I926&amp;O$1)</f>
        <v>0</v>
      </c>
      <c r="P926">
        <f>COUNTIF(Taostats_CSV!$X:$X,Taostats_CSV!$I926&amp;P$1)</f>
        <v>0</v>
      </c>
      <c r="Q926" t="b">
        <f t="shared" si="100"/>
        <v>0</v>
      </c>
      <c r="R926" t="b">
        <f>IF(LEN(K926)&gt;0,COUNTIF($K$3:K926,K926),FALSE)</f>
        <v>0</v>
      </c>
      <c r="S926" t="b">
        <f>IF(Taostats_CSV!A926=Taostats_CSV!$A$2,TRUE,Taostats_CSV!G926+Taostats_CSV!H926+Taostats_CSV!R926=0)</f>
        <v>0</v>
      </c>
      <c r="T926" t="b">
        <f t="shared" si="101"/>
        <v>1</v>
      </c>
      <c r="U926" t="b" cm="1">
        <f t="array" aca="1" ref="U926" ca="1">AND(T926,OR(O926-N926&gt;1,P926&gt;1,ISERROR(A926:P926)))</f>
        <v>0</v>
      </c>
      <c r="W926" t="e">
        <f>MATCH(K926&amp;$W$2,Taostats_CSV!$X$3:$X$1167,0)</f>
        <v>#N/A</v>
      </c>
      <c r="X926" t="e">
        <f t="shared" ca="1" si="96"/>
        <v>#VALUE!</v>
      </c>
      <c r="Y926">
        <f t="shared" ca="1" si="97"/>
        <v>1.0425792999999999E-2</v>
      </c>
      <c r="Z926" t="e">
        <f t="shared" ca="1" si="98"/>
        <v>#VALUE!</v>
      </c>
    </row>
    <row r="927" spans="1:26" x14ac:dyDescent="0.4">
      <c r="A927" t="str">
        <f>MID(Taostats_CSV!C927,6,2)&amp;"/"&amp;MID(Taostats_CSV!C927,9,2)&amp;"/"&amp;LEFT(Taostats_CSV!C927,4)&amp;" "&amp;MID(Taostats_CSV!C927,12,8)</f>
        <v>09/12/2025 23:59:48</v>
      </c>
      <c r="C927" t="str">
        <f ca="1">IF(Q927,OFFSET(Taostats_CSV!$E$1,MATCH(K927&amp;D$1,Taostats_CSV!$X:$X,0)-1,0),IF(Taostats_CSV!F927="fee",IF(VALUE(Taostats_CSV!G927)&gt;0,Taostats_CSV!E927,""),""))</f>
        <v/>
      </c>
      <c r="D927" t="str">
        <f ca="1">IF(Q927,OFFSET(Taostats_CSV!$G$1,MATCH(K927&amp;D$1,Taostats_CSV!$X:$X,0)-1,0),IF(Taostats_CSV!F927="fee",IF(VALUE(Taostats_CSV!G927)&gt;0,Taostats_CSV!G927,""),""))</f>
        <v/>
      </c>
      <c r="E927" t="str">
        <f ca="1">IF(AND(Q927,P927&gt;0),OFFSET(Taostats_CSV!$E$1,MATCH(K927&amp;F$1,Taostats_CSV!$X:$X,0)-1,0),IF(LEN(F927)&gt;0,Taostats_CSV!E927,""))</f>
        <v>SN3</v>
      </c>
      <c r="F927" t="str">
        <f ca="1">TRIM(IF(AND(Q927,P927&gt;0),OFFSET(Taostats_CSV!$H$1,MATCH(K927&amp;F$1,Taostats_CSV!$X:$X,0)-1,0),IF(LEN(Taostats_CSV!H927)&gt;0,Taostats_CSV!H927,Taostats_CSV!R927)))</f>
        <v>0.494276827</v>
      </c>
      <c r="G927" t="str">
        <f ca="1">IF(AND(Q927,N927=1),OFFSET(Taostats_CSV!$E$1,MATCH(K927&amp;H$1,Taostats_CSV!$X:$X,0)-1,0),"")</f>
        <v/>
      </c>
      <c r="H927" t="str">
        <f ca="1">IF(AND(Q927,N927=1),OFFSET(Taostats_CSV!$G$1,MATCH(K927&amp;H$1,Taostats_CSV!$X:$X,0)-1,0),"")</f>
        <v/>
      </c>
      <c r="I927" t="str">
        <f ca="1">IF(AND(LEN(K927)=0,LEN(F927)&gt;0),"Income",IF(AND(O927&gt;0,P927&gt;0,C927&lt;&gt;E927),"Trade",IF(AND(NOT(Q927),Taostats_CSV!F927="fee"),'READ ME'!$C$5,"")))</f>
        <v>Income</v>
      </c>
      <c r="J927" t="str">
        <f ca="1">SUBSTITUTE(IF(LEN(I927)=0,Taostats_CSV!F927&amp;" "&amp;Taostats_CSV!J927,IF(I927="Cost","Extrinsic fee","")),"_"," ")</f>
        <v/>
      </c>
      <c r="K927" t="str">
        <f>TRIM(IF(LEN(Taostats_CSV!I927)&gt;0,Taostats_CSV!I927,""))</f>
        <v/>
      </c>
      <c r="L927">
        <f ca="1">IF(Taostats_CSV!E927&lt;&gt;"TAO",IF(LEN(F927)&gt;0,F927,IF(LEN(D927)&gt;0,D927,0))*Taostats_CSV!P927,"")</f>
        <v>6.4715749417316895</v>
      </c>
      <c r="M927" t="str">
        <f t="shared" ca="1" si="99"/>
        <v>USD</v>
      </c>
      <c r="N927">
        <f>COUNTIF(Taostats_CSV!$X:$X,Taostats_CSV!$I927&amp;N$1)</f>
        <v>0</v>
      </c>
      <c r="O927">
        <f>COUNTIF(Taostats_CSV!$X:$X,Taostats_CSV!$I927&amp;O$1)</f>
        <v>0</v>
      </c>
      <c r="P927">
        <f>COUNTIF(Taostats_CSV!$X:$X,Taostats_CSV!$I927&amp;P$1)</f>
        <v>0</v>
      </c>
      <c r="Q927" t="b">
        <f t="shared" si="100"/>
        <v>0</v>
      </c>
      <c r="R927" t="b">
        <f>IF(LEN(K927)&gt;0,COUNTIF($K$3:K927,K927),FALSE)</f>
        <v>0</v>
      </c>
      <c r="S927" t="b">
        <f>IF(Taostats_CSV!A927=Taostats_CSV!$A$2,TRUE,Taostats_CSV!G927+Taostats_CSV!H927+Taostats_CSV!R927=0)</f>
        <v>0</v>
      </c>
      <c r="T927" t="b">
        <f t="shared" si="101"/>
        <v>1</v>
      </c>
      <c r="U927" t="b" cm="1">
        <f t="array" aca="1" ref="U927" ca="1">AND(T927,OR(O927-N927&gt;1,P927&gt;1,ISERROR(A927:P927)))</f>
        <v>0</v>
      </c>
      <c r="W927" t="e">
        <f>MATCH(K927&amp;$W$2,Taostats_CSV!$X$3:$X$1167,0)</f>
        <v>#N/A</v>
      </c>
      <c r="X927" t="e">
        <f t="shared" ca="1" si="96"/>
        <v>#VALUE!</v>
      </c>
      <c r="Y927">
        <f t="shared" ca="1" si="97"/>
        <v>0.49427682699999997</v>
      </c>
      <c r="Z927" t="e">
        <f t="shared" ca="1" si="98"/>
        <v>#VALUE!</v>
      </c>
    </row>
    <row r="928" spans="1:26" x14ac:dyDescent="0.4">
      <c r="A928" t="str">
        <f>MID(Taostats_CSV!C928,6,2)&amp;"/"&amp;MID(Taostats_CSV!C928,9,2)&amp;"/"&amp;LEFT(Taostats_CSV!C928,4)&amp;" "&amp;MID(Taostats_CSV!C928,12,8)</f>
        <v>09/12/2025 23:59:48</v>
      </c>
      <c r="C928" t="str">
        <f ca="1">IF(Q928,OFFSET(Taostats_CSV!$E$1,MATCH(K928&amp;D$1,Taostats_CSV!$X:$X,0)-1,0),IF(Taostats_CSV!F928="fee",IF(VALUE(Taostats_CSV!G928)&gt;0,Taostats_CSV!E928,""),""))</f>
        <v/>
      </c>
      <c r="D928" t="str">
        <f ca="1">IF(Q928,OFFSET(Taostats_CSV!$G$1,MATCH(K928&amp;D$1,Taostats_CSV!$X:$X,0)-1,0),IF(Taostats_CSV!F928="fee",IF(VALUE(Taostats_CSV!G928)&gt;0,Taostats_CSV!G928,""),""))</f>
        <v/>
      </c>
      <c r="E928" t="str">
        <f ca="1">IF(AND(Q928,P928&gt;0),OFFSET(Taostats_CSV!$E$1,MATCH(K928&amp;F$1,Taostats_CSV!$X:$X,0)-1,0),IF(LEN(F928)&gt;0,Taostats_CSV!E928,""))</f>
        <v>SN4</v>
      </c>
      <c r="F928" t="str">
        <f ca="1">TRIM(IF(AND(Q928,P928&gt;0),OFFSET(Taostats_CSV!$H$1,MATCH(K928&amp;F$1,Taostats_CSV!$X:$X,0)-1,0),IF(LEN(Taostats_CSV!H928)&gt;0,Taostats_CSV!H928,Taostats_CSV!R928)))</f>
        <v>0.439755656</v>
      </c>
      <c r="G928" t="str">
        <f ca="1">IF(AND(Q928,N928=1),OFFSET(Taostats_CSV!$E$1,MATCH(K928&amp;H$1,Taostats_CSV!$X:$X,0)-1,0),"")</f>
        <v/>
      </c>
      <c r="H928" t="str">
        <f ca="1">IF(AND(Q928,N928=1),OFFSET(Taostats_CSV!$G$1,MATCH(K928&amp;H$1,Taostats_CSV!$X:$X,0)-1,0),"")</f>
        <v/>
      </c>
      <c r="I928" t="str">
        <f ca="1">IF(AND(LEN(K928)=0,LEN(F928)&gt;0),"Income",IF(AND(O928&gt;0,P928&gt;0,C928&lt;&gt;E928),"Trade",IF(AND(NOT(Q928),Taostats_CSV!F928="fee"),'READ ME'!$C$5,"")))</f>
        <v>Income</v>
      </c>
      <c r="J928" t="str">
        <f ca="1">SUBSTITUTE(IF(LEN(I928)=0,Taostats_CSV!F928&amp;" "&amp;Taostats_CSV!J928,IF(I928="Cost","Extrinsic fee","")),"_"," ")</f>
        <v/>
      </c>
      <c r="K928" t="str">
        <f>TRIM(IF(LEN(Taostats_CSV!I928)&gt;0,Taostats_CSV!I928,""))</f>
        <v/>
      </c>
      <c r="L928">
        <f ca="1">IF(Taostats_CSV!E928&lt;&gt;"TAO",IF(LEN(F928)&gt;0,F928,IF(LEN(D928)&gt;0,D928,0))*Taostats_CSV!P928,"")</f>
        <v>7.4024710030732601</v>
      </c>
      <c r="M928" t="str">
        <f t="shared" ca="1" si="99"/>
        <v>USD</v>
      </c>
      <c r="N928">
        <f>COUNTIF(Taostats_CSV!$X:$X,Taostats_CSV!$I928&amp;N$1)</f>
        <v>0</v>
      </c>
      <c r="O928">
        <f>COUNTIF(Taostats_CSV!$X:$X,Taostats_CSV!$I928&amp;O$1)</f>
        <v>0</v>
      </c>
      <c r="P928">
        <f>COUNTIF(Taostats_CSV!$X:$X,Taostats_CSV!$I928&amp;P$1)</f>
        <v>0</v>
      </c>
      <c r="Q928" t="b">
        <f t="shared" si="100"/>
        <v>0</v>
      </c>
      <c r="R928" t="b">
        <f>IF(LEN(K928)&gt;0,COUNTIF($K$3:K928,K928),FALSE)</f>
        <v>0</v>
      </c>
      <c r="S928" t="b">
        <f>IF(Taostats_CSV!A928=Taostats_CSV!$A$2,TRUE,Taostats_CSV!G928+Taostats_CSV!H928+Taostats_CSV!R928=0)</f>
        <v>0</v>
      </c>
      <c r="T928" t="b">
        <f t="shared" si="101"/>
        <v>1</v>
      </c>
      <c r="U928" t="b" cm="1">
        <f t="array" aca="1" ref="U928" ca="1">AND(T928,OR(O928-N928&gt;1,P928&gt;1,ISERROR(A928:P928)))</f>
        <v>0</v>
      </c>
      <c r="W928" t="e">
        <f>MATCH(K928&amp;$W$2,Taostats_CSV!$X$3:$X$1167,0)</f>
        <v>#N/A</v>
      </c>
      <c r="X928" t="e">
        <f t="shared" ca="1" si="96"/>
        <v>#VALUE!</v>
      </c>
      <c r="Y928">
        <f t="shared" ca="1" si="97"/>
        <v>0.43975565599999999</v>
      </c>
      <c r="Z928" t="e">
        <f t="shared" ca="1" si="98"/>
        <v>#VALUE!</v>
      </c>
    </row>
    <row r="929" spans="1:26" x14ac:dyDescent="0.4">
      <c r="A929" t="str">
        <f>MID(Taostats_CSV!C929,6,2)&amp;"/"&amp;MID(Taostats_CSV!C929,9,2)&amp;"/"&amp;LEFT(Taostats_CSV!C929,4)&amp;" "&amp;MID(Taostats_CSV!C929,12,8)</f>
        <v>09/12/2025 23:59:48</v>
      </c>
      <c r="C929" t="str">
        <f ca="1">IF(Q929,OFFSET(Taostats_CSV!$E$1,MATCH(K929&amp;D$1,Taostats_CSV!$X:$X,0)-1,0),IF(Taostats_CSV!F929="fee",IF(VALUE(Taostats_CSV!G929)&gt;0,Taostats_CSV!E929,""),""))</f>
        <v/>
      </c>
      <c r="D929" t="str">
        <f ca="1">IF(Q929,OFFSET(Taostats_CSV!$G$1,MATCH(K929&amp;D$1,Taostats_CSV!$X:$X,0)-1,0),IF(Taostats_CSV!F929="fee",IF(VALUE(Taostats_CSV!G929)&gt;0,Taostats_CSV!G929,""),""))</f>
        <v/>
      </c>
      <c r="E929" t="str">
        <f ca="1">IF(AND(Q929,P929&gt;0),OFFSET(Taostats_CSV!$E$1,MATCH(K929&amp;F$1,Taostats_CSV!$X:$X,0)-1,0),IF(LEN(F929)&gt;0,Taostats_CSV!E929,""))</f>
        <v>SN56</v>
      </c>
      <c r="F929" t="str">
        <f ca="1">TRIM(IF(AND(Q929,P929&gt;0),OFFSET(Taostats_CSV!$H$1,MATCH(K929&amp;F$1,Taostats_CSV!$X:$X,0)-1,0),IF(LEN(Taostats_CSV!H929)&gt;0,Taostats_CSV!H929,Taostats_CSV!R929)))</f>
        <v>0.281843204</v>
      </c>
      <c r="G929" t="str">
        <f ca="1">IF(AND(Q929,N929=1),OFFSET(Taostats_CSV!$E$1,MATCH(K929&amp;H$1,Taostats_CSV!$X:$X,0)-1,0),"")</f>
        <v/>
      </c>
      <c r="H929" t="str">
        <f ca="1">IF(AND(Q929,N929=1),OFFSET(Taostats_CSV!$G$1,MATCH(K929&amp;H$1,Taostats_CSV!$X:$X,0)-1,0),"")</f>
        <v/>
      </c>
      <c r="I929" t="str">
        <f ca="1">IF(AND(LEN(K929)=0,LEN(F929)&gt;0),"Income",IF(AND(O929&gt;0,P929&gt;0,C929&lt;&gt;E929),"Trade",IF(AND(NOT(Q929),Taostats_CSV!F929="fee"),'READ ME'!$C$5,"")))</f>
        <v>Income</v>
      </c>
      <c r="J929" t="str">
        <f ca="1">SUBSTITUTE(IF(LEN(I929)=0,Taostats_CSV!F929&amp;" "&amp;Taostats_CSV!J929,IF(I929="Cost","Extrinsic fee","")),"_"," ")</f>
        <v/>
      </c>
      <c r="K929" t="str">
        <f>TRIM(IF(LEN(Taostats_CSV!I929)&gt;0,Taostats_CSV!I929,""))</f>
        <v/>
      </c>
      <c r="L929">
        <f ca="1">IF(Taostats_CSV!E929&lt;&gt;"TAO",IF(LEN(F929)&gt;0,F929,IF(LEN(D929)&gt;0,D929,0))*Taostats_CSV!P929,"")</f>
        <v>4.1919573430531081</v>
      </c>
      <c r="M929" t="str">
        <f t="shared" ca="1" si="99"/>
        <v>USD</v>
      </c>
      <c r="N929">
        <f>COUNTIF(Taostats_CSV!$X:$X,Taostats_CSV!$I929&amp;N$1)</f>
        <v>0</v>
      </c>
      <c r="O929">
        <f>COUNTIF(Taostats_CSV!$X:$X,Taostats_CSV!$I929&amp;O$1)</f>
        <v>0</v>
      </c>
      <c r="P929">
        <f>COUNTIF(Taostats_CSV!$X:$X,Taostats_CSV!$I929&amp;P$1)</f>
        <v>0</v>
      </c>
      <c r="Q929" t="b">
        <f t="shared" si="100"/>
        <v>0</v>
      </c>
      <c r="R929" t="b">
        <f>IF(LEN(K929)&gt;0,COUNTIF($K$3:K929,K929),FALSE)</f>
        <v>0</v>
      </c>
      <c r="S929" t="b">
        <f>IF(Taostats_CSV!A929=Taostats_CSV!$A$2,TRUE,Taostats_CSV!G929+Taostats_CSV!H929+Taostats_CSV!R929=0)</f>
        <v>0</v>
      </c>
      <c r="T929" t="b">
        <f t="shared" si="101"/>
        <v>1</v>
      </c>
      <c r="U929" t="b" cm="1">
        <f t="array" aca="1" ref="U929" ca="1">AND(T929,OR(O929-N929&gt;1,P929&gt;1,ISERROR(A929:P929)))</f>
        <v>0</v>
      </c>
      <c r="W929" t="e">
        <f>MATCH(K929&amp;$W$2,Taostats_CSV!$X$3:$X$1167,0)</f>
        <v>#N/A</v>
      </c>
      <c r="X929" t="e">
        <f t="shared" ca="1" si="96"/>
        <v>#VALUE!</v>
      </c>
      <c r="Y929">
        <f t="shared" ca="1" si="97"/>
        <v>0.28184320400000001</v>
      </c>
      <c r="Z929" t="e">
        <f t="shared" ca="1" si="98"/>
        <v>#VALUE!</v>
      </c>
    </row>
    <row r="930" spans="1:26" x14ac:dyDescent="0.4">
      <c r="A930" t="str">
        <f>MID(Taostats_CSV!C930,6,2)&amp;"/"&amp;MID(Taostats_CSV!C930,9,2)&amp;"/"&amp;LEFT(Taostats_CSV!C930,4)&amp;" "&amp;MID(Taostats_CSV!C930,12,8)</f>
        <v>09/12/2025 23:59:48</v>
      </c>
      <c r="C930" t="str">
        <f ca="1">IF(Q930,OFFSET(Taostats_CSV!$E$1,MATCH(K930&amp;D$1,Taostats_CSV!$X:$X,0)-1,0),IF(Taostats_CSV!F930="fee",IF(VALUE(Taostats_CSV!G930)&gt;0,Taostats_CSV!E930,""),""))</f>
        <v/>
      </c>
      <c r="D930" t="str">
        <f ca="1">IF(Q930,OFFSET(Taostats_CSV!$G$1,MATCH(K930&amp;D$1,Taostats_CSV!$X:$X,0)-1,0),IF(Taostats_CSV!F930="fee",IF(VALUE(Taostats_CSV!G930)&gt;0,Taostats_CSV!G930,""),""))</f>
        <v/>
      </c>
      <c r="E930" t="str">
        <f ca="1">IF(AND(Q930,P930&gt;0),OFFSET(Taostats_CSV!$E$1,MATCH(K930&amp;F$1,Taostats_CSV!$X:$X,0)-1,0),IF(LEN(F930)&gt;0,Taostats_CSV!E930,""))</f>
        <v>SN64</v>
      </c>
      <c r="F930" t="str">
        <f ca="1">TRIM(IF(AND(Q930,P930&gt;0),OFFSET(Taostats_CSV!$H$1,MATCH(K930&amp;F$1,Taostats_CSV!$X:$X,0)-1,0),IF(LEN(Taostats_CSV!H930)&gt;0,Taostats_CSV!H930,Taostats_CSV!R930)))</f>
        <v>0.164084913</v>
      </c>
      <c r="G930" t="str">
        <f ca="1">IF(AND(Q930,N930=1),OFFSET(Taostats_CSV!$E$1,MATCH(K930&amp;H$1,Taostats_CSV!$X:$X,0)-1,0),"")</f>
        <v/>
      </c>
      <c r="H930" t="str">
        <f ca="1">IF(AND(Q930,N930=1),OFFSET(Taostats_CSV!$G$1,MATCH(K930&amp;H$1,Taostats_CSV!$X:$X,0)-1,0),"")</f>
        <v/>
      </c>
      <c r="I930" t="str">
        <f ca="1">IF(AND(LEN(K930)=0,LEN(F930)&gt;0),"Income",IF(AND(O930&gt;0,P930&gt;0,C930&lt;&gt;E930),"Trade",IF(AND(NOT(Q930),Taostats_CSV!F930="fee"),'READ ME'!$C$5,"")))</f>
        <v>Income</v>
      </c>
      <c r="J930" t="str">
        <f ca="1">SUBSTITUTE(IF(LEN(I930)=0,Taostats_CSV!F930&amp;" "&amp;Taostats_CSV!J930,IF(I930="Cost","Extrinsic fee","")),"_"," ")</f>
        <v/>
      </c>
      <c r="K930" t="str">
        <f>TRIM(IF(LEN(Taostats_CSV!I930)&gt;0,Taostats_CSV!I930,""))</f>
        <v/>
      </c>
      <c r="L930">
        <f ca="1">IF(Taostats_CSV!E930&lt;&gt;"TAO",IF(LEN(F930)&gt;0,F930,IF(LEN(D930)&gt;0,D930,0))*Taostats_CSV!P930,"")</f>
        <v>6.2434043029599575</v>
      </c>
      <c r="M930" t="str">
        <f t="shared" ca="1" si="99"/>
        <v>USD</v>
      </c>
      <c r="N930">
        <f>COUNTIF(Taostats_CSV!$X:$X,Taostats_CSV!$I930&amp;N$1)</f>
        <v>0</v>
      </c>
      <c r="O930">
        <f>COUNTIF(Taostats_CSV!$X:$X,Taostats_CSV!$I930&amp;O$1)</f>
        <v>0</v>
      </c>
      <c r="P930">
        <f>COUNTIF(Taostats_CSV!$X:$X,Taostats_CSV!$I930&amp;P$1)</f>
        <v>0</v>
      </c>
      <c r="Q930" t="b">
        <f t="shared" si="100"/>
        <v>0</v>
      </c>
      <c r="R930" t="b">
        <f>IF(LEN(K930)&gt;0,COUNTIF($K$3:K930,K930),FALSE)</f>
        <v>0</v>
      </c>
      <c r="S930" t="b">
        <f>IF(Taostats_CSV!A930=Taostats_CSV!$A$2,TRUE,Taostats_CSV!G930+Taostats_CSV!H930+Taostats_CSV!R930=0)</f>
        <v>0</v>
      </c>
      <c r="T930" t="b">
        <f t="shared" si="101"/>
        <v>1</v>
      </c>
      <c r="U930" t="b" cm="1">
        <f t="array" aca="1" ref="U930" ca="1">AND(T930,OR(O930-N930&gt;1,P930&gt;1,ISERROR(A930:P930)))</f>
        <v>0</v>
      </c>
      <c r="W930" t="e">
        <f>MATCH(K930&amp;$W$2,Taostats_CSV!$X$3:$X$1167,0)</f>
        <v>#N/A</v>
      </c>
      <c r="X930" t="e">
        <f t="shared" ca="1" si="96"/>
        <v>#VALUE!</v>
      </c>
      <c r="Y930">
        <f t="shared" ca="1" si="97"/>
        <v>0.164084913</v>
      </c>
      <c r="Z930" t="e">
        <f t="shared" ca="1" si="98"/>
        <v>#VALUE!</v>
      </c>
    </row>
    <row r="931" spans="1:26" x14ac:dyDescent="0.4">
      <c r="A931" t="str">
        <f>MID(Taostats_CSV!C931,6,2)&amp;"/"&amp;MID(Taostats_CSV!C931,9,2)&amp;"/"&amp;LEFT(Taostats_CSV!C931,4)&amp;" "&amp;MID(Taostats_CSV!C931,12,8)</f>
        <v>09/12/2025 23:59:48</v>
      </c>
      <c r="C931" t="str">
        <f ca="1">IF(Q931,OFFSET(Taostats_CSV!$E$1,MATCH(K931&amp;D$1,Taostats_CSV!$X:$X,0)-1,0),IF(Taostats_CSV!F931="fee",IF(VALUE(Taostats_CSV!G931)&gt;0,Taostats_CSV!E931,""),""))</f>
        <v/>
      </c>
      <c r="D931" t="str">
        <f ca="1">IF(Q931,OFFSET(Taostats_CSV!$G$1,MATCH(K931&amp;D$1,Taostats_CSV!$X:$X,0)-1,0),IF(Taostats_CSV!F931="fee",IF(VALUE(Taostats_CSV!G931)&gt;0,Taostats_CSV!G931,""),""))</f>
        <v/>
      </c>
      <c r="E931" t="str">
        <f ca="1">IF(AND(Q931,P931&gt;0),OFFSET(Taostats_CSV!$E$1,MATCH(K931&amp;F$1,Taostats_CSV!$X:$X,0)-1,0),IF(LEN(F931)&gt;0,Taostats_CSV!E931,""))</f>
        <v>TAO</v>
      </c>
      <c r="F931" t="str">
        <f ca="1">TRIM(IF(AND(Q931,P931&gt;0),OFFSET(Taostats_CSV!$H$1,MATCH(K931&amp;F$1,Taostats_CSV!$X:$X,0)-1,0),IF(LEN(Taostats_CSV!H931)&gt;0,Taostats_CSV!H931,Taostats_CSV!R931)))</f>
        <v>0.0102302</v>
      </c>
      <c r="G931" t="str">
        <f ca="1">IF(AND(Q931,N931=1),OFFSET(Taostats_CSV!$E$1,MATCH(K931&amp;H$1,Taostats_CSV!$X:$X,0)-1,0),"")</f>
        <v/>
      </c>
      <c r="H931" t="str">
        <f ca="1">IF(AND(Q931,N931=1),OFFSET(Taostats_CSV!$G$1,MATCH(K931&amp;H$1,Taostats_CSV!$X:$X,0)-1,0),"")</f>
        <v/>
      </c>
      <c r="I931" t="str">
        <f ca="1">IF(AND(LEN(K931)=0,LEN(F931)&gt;0),"Income",IF(AND(O931&gt;0,P931&gt;0,C931&lt;&gt;E931),"Trade",IF(AND(NOT(Q931),Taostats_CSV!F931="fee"),'READ ME'!$C$5,"")))</f>
        <v>Income</v>
      </c>
      <c r="J931" t="str">
        <f ca="1">SUBSTITUTE(IF(LEN(I931)=0,Taostats_CSV!F931&amp;" "&amp;Taostats_CSV!J931,IF(I931="Cost","Extrinsic fee","")),"_"," ")</f>
        <v/>
      </c>
      <c r="K931" t="str">
        <f>TRIM(IF(LEN(Taostats_CSV!I931)&gt;0,Taostats_CSV!I931,""))</f>
        <v/>
      </c>
      <c r="L931" t="str">
        <f>IF(Taostats_CSV!E931&lt;&gt;"TAO",IF(LEN(F931)&gt;0,F931,IF(LEN(D931)&gt;0,D931,0))*Taostats_CSV!P931,"")</f>
        <v/>
      </c>
      <c r="M931" t="str">
        <f t="shared" si="99"/>
        <v/>
      </c>
      <c r="N931">
        <f>COUNTIF(Taostats_CSV!$X:$X,Taostats_CSV!$I931&amp;N$1)</f>
        <v>0</v>
      </c>
      <c r="O931">
        <f>COUNTIF(Taostats_CSV!$X:$X,Taostats_CSV!$I931&amp;O$1)</f>
        <v>0</v>
      </c>
      <c r="P931">
        <f>COUNTIF(Taostats_CSV!$X:$X,Taostats_CSV!$I931&amp;P$1)</f>
        <v>0</v>
      </c>
      <c r="Q931" t="b">
        <f t="shared" si="100"/>
        <v>0</v>
      </c>
      <c r="R931" t="b">
        <f>IF(LEN(K931)&gt;0,COUNTIF($K$3:K931,K931),FALSE)</f>
        <v>0</v>
      </c>
      <c r="S931" t="b">
        <f>IF(Taostats_CSV!A931=Taostats_CSV!$A$2,TRUE,Taostats_CSV!G931+Taostats_CSV!H931+Taostats_CSV!R931=0)</f>
        <v>0</v>
      </c>
      <c r="T931" t="b">
        <f t="shared" si="101"/>
        <v>1</v>
      </c>
      <c r="U931" t="b" cm="1">
        <f t="array" aca="1" ref="U931" ca="1">AND(T931,OR(O931-N931&gt;1,P931&gt;1,ISERROR(A931:P931)))</f>
        <v>0</v>
      </c>
      <c r="W931" t="e">
        <f>MATCH(K931&amp;$W$2,Taostats_CSV!$X$3:$X$1167,0)</f>
        <v>#N/A</v>
      </c>
      <c r="X931" t="e">
        <f t="shared" ca="1" si="96"/>
        <v>#VALUE!</v>
      </c>
      <c r="Y931">
        <f t="shared" ca="1" si="97"/>
        <v>1.02302E-2</v>
      </c>
      <c r="Z931" t="e">
        <f t="shared" ca="1" si="98"/>
        <v>#VALUE!</v>
      </c>
    </row>
    <row r="932" spans="1:26" x14ac:dyDescent="0.4">
      <c r="A932" t="str">
        <f>MID(Taostats_CSV!C932,6,2)&amp;"/"&amp;MID(Taostats_CSV!C932,9,2)&amp;"/"&amp;LEFT(Taostats_CSV!C932,4)&amp;" "&amp;MID(Taostats_CSV!C932,12,8)</f>
        <v>09/13/2025 23:59:48</v>
      </c>
      <c r="C932" t="str">
        <f ca="1">IF(Q932,OFFSET(Taostats_CSV!$E$1,MATCH(K932&amp;D$1,Taostats_CSV!$X:$X,0)-1,0),IF(Taostats_CSV!F932="fee",IF(VALUE(Taostats_CSV!G932)&gt;0,Taostats_CSV!E932,""),""))</f>
        <v/>
      </c>
      <c r="D932" t="str">
        <f ca="1">IF(Q932,OFFSET(Taostats_CSV!$G$1,MATCH(K932&amp;D$1,Taostats_CSV!$X:$X,0)-1,0),IF(Taostats_CSV!F932="fee",IF(VALUE(Taostats_CSV!G932)&gt;0,Taostats_CSV!G932,""),""))</f>
        <v/>
      </c>
      <c r="E932" t="str">
        <f ca="1">IF(AND(Q932,P932&gt;0),OFFSET(Taostats_CSV!$E$1,MATCH(K932&amp;F$1,Taostats_CSV!$X:$X,0)-1,0),IF(LEN(F932)&gt;0,Taostats_CSV!E932,""))</f>
        <v>SN3</v>
      </c>
      <c r="F932" t="str">
        <f ca="1">TRIM(IF(AND(Q932,P932&gt;0),OFFSET(Taostats_CSV!$H$1,MATCH(K932&amp;F$1,Taostats_CSV!$X:$X,0)-1,0),IF(LEN(Taostats_CSV!H932)&gt;0,Taostats_CSV!H932,Taostats_CSV!R932)))</f>
        <v>0.488373329</v>
      </c>
      <c r="G932" t="str">
        <f ca="1">IF(AND(Q932,N932=1),OFFSET(Taostats_CSV!$E$1,MATCH(K932&amp;H$1,Taostats_CSV!$X:$X,0)-1,0),"")</f>
        <v/>
      </c>
      <c r="H932" t="str">
        <f ca="1">IF(AND(Q932,N932=1),OFFSET(Taostats_CSV!$G$1,MATCH(K932&amp;H$1,Taostats_CSV!$X:$X,0)-1,0),"")</f>
        <v/>
      </c>
      <c r="I932" t="str">
        <f ca="1">IF(AND(LEN(K932)=0,LEN(F932)&gt;0),"Income",IF(AND(O932&gt;0,P932&gt;0,C932&lt;&gt;E932),"Trade",IF(AND(NOT(Q932),Taostats_CSV!F932="fee"),'READ ME'!$C$5,"")))</f>
        <v>Income</v>
      </c>
      <c r="J932" t="str">
        <f ca="1">SUBSTITUTE(IF(LEN(I932)=0,Taostats_CSV!F932&amp;" "&amp;Taostats_CSV!J932,IF(I932="Cost","Extrinsic fee","")),"_"," ")</f>
        <v/>
      </c>
      <c r="K932" t="str">
        <f>TRIM(IF(LEN(Taostats_CSV!I932)&gt;0,Taostats_CSV!I932,""))</f>
        <v/>
      </c>
      <c r="L932">
        <f ca="1">IF(Taostats_CSV!E932&lt;&gt;"TAO",IF(LEN(F932)&gt;0,F932,IF(LEN(D932)&gt;0,D932,0))*Taostats_CSV!P932,"")</f>
        <v>6.2579502054395348</v>
      </c>
      <c r="M932" t="str">
        <f t="shared" ca="1" si="99"/>
        <v>USD</v>
      </c>
      <c r="N932">
        <f>COUNTIF(Taostats_CSV!$X:$X,Taostats_CSV!$I932&amp;N$1)</f>
        <v>0</v>
      </c>
      <c r="O932">
        <f>COUNTIF(Taostats_CSV!$X:$X,Taostats_CSV!$I932&amp;O$1)</f>
        <v>0</v>
      </c>
      <c r="P932">
        <f>COUNTIF(Taostats_CSV!$X:$X,Taostats_CSV!$I932&amp;P$1)</f>
        <v>0</v>
      </c>
      <c r="Q932" t="b">
        <f t="shared" si="100"/>
        <v>0</v>
      </c>
      <c r="R932" t="b">
        <f>IF(LEN(K932)&gt;0,COUNTIF($K$3:K932,K932),FALSE)</f>
        <v>0</v>
      </c>
      <c r="S932" t="b">
        <f>IF(Taostats_CSV!A932=Taostats_CSV!$A$2,TRUE,Taostats_CSV!G932+Taostats_CSV!H932+Taostats_CSV!R932=0)</f>
        <v>0</v>
      </c>
      <c r="T932" t="b">
        <f t="shared" si="101"/>
        <v>1</v>
      </c>
      <c r="U932" t="b" cm="1">
        <f t="array" aca="1" ref="U932" ca="1">AND(T932,OR(O932-N932&gt;1,P932&gt;1,ISERROR(A932:P932)))</f>
        <v>0</v>
      </c>
      <c r="W932" t="e">
        <f>MATCH(K932&amp;$W$2,Taostats_CSV!$X$3:$X$1167,0)</f>
        <v>#N/A</v>
      </c>
      <c r="X932" t="e">
        <f t="shared" ca="1" si="96"/>
        <v>#VALUE!</v>
      </c>
      <c r="Y932">
        <f t="shared" ca="1" si="97"/>
        <v>0.48837332900000002</v>
      </c>
      <c r="Z932" t="e">
        <f t="shared" ca="1" si="98"/>
        <v>#VALUE!</v>
      </c>
    </row>
    <row r="933" spans="1:26" x14ac:dyDescent="0.4">
      <c r="A933" t="str">
        <f>MID(Taostats_CSV!C933,6,2)&amp;"/"&amp;MID(Taostats_CSV!C933,9,2)&amp;"/"&amp;LEFT(Taostats_CSV!C933,4)&amp;" "&amp;MID(Taostats_CSV!C933,12,8)</f>
        <v>09/13/2025 23:59:48</v>
      </c>
      <c r="C933" t="str">
        <f ca="1">IF(Q933,OFFSET(Taostats_CSV!$E$1,MATCH(K933&amp;D$1,Taostats_CSV!$X:$X,0)-1,0),IF(Taostats_CSV!F933="fee",IF(VALUE(Taostats_CSV!G933)&gt;0,Taostats_CSV!E933,""),""))</f>
        <v/>
      </c>
      <c r="D933" t="str">
        <f ca="1">IF(Q933,OFFSET(Taostats_CSV!$G$1,MATCH(K933&amp;D$1,Taostats_CSV!$X:$X,0)-1,0),IF(Taostats_CSV!F933="fee",IF(VALUE(Taostats_CSV!G933)&gt;0,Taostats_CSV!G933,""),""))</f>
        <v/>
      </c>
      <c r="E933" t="str">
        <f ca="1">IF(AND(Q933,P933&gt;0),OFFSET(Taostats_CSV!$E$1,MATCH(K933&amp;F$1,Taostats_CSV!$X:$X,0)-1,0),IF(LEN(F933)&gt;0,Taostats_CSV!E933,""))</f>
        <v>SN4</v>
      </c>
      <c r="F933" t="str">
        <f ca="1">TRIM(IF(AND(Q933,P933&gt;0),OFFSET(Taostats_CSV!$H$1,MATCH(K933&amp;F$1,Taostats_CSV!$X:$X,0)-1,0),IF(LEN(Taostats_CSV!H933)&gt;0,Taostats_CSV!H933,Taostats_CSV!R933)))</f>
        <v>0.434797541</v>
      </c>
      <c r="G933" t="str">
        <f ca="1">IF(AND(Q933,N933=1),OFFSET(Taostats_CSV!$E$1,MATCH(K933&amp;H$1,Taostats_CSV!$X:$X,0)-1,0),"")</f>
        <v/>
      </c>
      <c r="H933" t="str">
        <f ca="1">IF(AND(Q933,N933=1),OFFSET(Taostats_CSV!$G$1,MATCH(K933&amp;H$1,Taostats_CSV!$X:$X,0)-1,0),"")</f>
        <v/>
      </c>
      <c r="I933" t="str">
        <f ca="1">IF(AND(LEN(K933)=0,LEN(F933)&gt;0),"Income",IF(AND(O933&gt;0,P933&gt;0,C933&lt;&gt;E933),"Trade",IF(AND(NOT(Q933),Taostats_CSV!F933="fee"),'READ ME'!$C$5,"")))</f>
        <v>Income</v>
      </c>
      <c r="J933" t="str">
        <f ca="1">SUBSTITUTE(IF(LEN(I933)=0,Taostats_CSV!F933&amp;" "&amp;Taostats_CSV!J933,IF(I933="Cost","Extrinsic fee","")),"_"," ")</f>
        <v/>
      </c>
      <c r="K933" t="str">
        <f>TRIM(IF(LEN(Taostats_CSV!I933)&gt;0,Taostats_CSV!I933,""))</f>
        <v/>
      </c>
      <c r="L933">
        <f ca="1">IF(Taostats_CSV!E933&lt;&gt;"TAO",IF(LEN(F933)&gt;0,F933,IF(LEN(D933)&gt;0,D933,0))*Taostats_CSV!P933,"")</f>
        <v>7.3709754136124683</v>
      </c>
      <c r="M933" t="str">
        <f t="shared" ca="1" si="99"/>
        <v>USD</v>
      </c>
      <c r="N933">
        <f>COUNTIF(Taostats_CSV!$X:$X,Taostats_CSV!$I933&amp;N$1)</f>
        <v>0</v>
      </c>
      <c r="O933">
        <f>COUNTIF(Taostats_CSV!$X:$X,Taostats_CSV!$I933&amp;O$1)</f>
        <v>0</v>
      </c>
      <c r="P933">
        <f>COUNTIF(Taostats_CSV!$X:$X,Taostats_CSV!$I933&amp;P$1)</f>
        <v>0</v>
      </c>
      <c r="Q933" t="b">
        <f t="shared" si="100"/>
        <v>0</v>
      </c>
      <c r="R933" t="b">
        <f>IF(LEN(K933)&gt;0,COUNTIF($K$3:K933,K933),FALSE)</f>
        <v>0</v>
      </c>
      <c r="S933" t="b">
        <f>IF(Taostats_CSV!A933=Taostats_CSV!$A$2,TRUE,Taostats_CSV!G933+Taostats_CSV!H933+Taostats_CSV!R933=0)</f>
        <v>0</v>
      </c>
      <c r="T933" t="b">
        <f t="shared" si="101"/>
        <v>1</v>
      </c>
      <c r="U933" t="b" cm="1">
        <f t="array" aca="1" ref="U933" ca="1">AND(T933,OR(O933-N933&gt;1,P933&gt;1,ISERROR(A933:P933)))</f>
        <v>0</v>
      </c>
      <c r="W933" t="e">
        <f>MATCH(K933&amp;$W$2,Taostats_CSV!$X$3:$X$1167,0)</f>
        <v>#N/A</v>
      </c>
      <c r="X933" t="e">
        <f t="shared" ca="1" si="96"/>
        <v>#VALUE!</v>
      </c>
      <c r="Y933">
        <f t="shared" ca="1" si="97"/>
        <v>0.43479754100000001</v>
      </c>
      <c r="Z933" t="e">
        <f t="shared" ca="1" si="98"/>
        <v>#VALUE!</v>
      </c>
    </row>
    <row r="934" spans="1:26" x14ac:dyDescent="0.4">
      <c r="A934" t="str">
        <f>MID(Taostats_CSV!C934,6,2)&amp;"/"&amp;MID(Taostats_CSV!C934,9,2)&amp;"/"&amp;LEFT(Taostats_CSV!C934,4)&amp;" "&amp;MID(Taostats_CSV!C934,12,8)</f>
        <v>09/13/2025 23:59:48</v>
      </c>
      <c r="C934" t="str">
        <f ca="1">IF(Q934,OFFSET(Taostats_CSV!$E$1,MATCH(K934&amp;D$1,Taostats_CSV!$X:$X,0)-1,0),IF(Taostats_CSV!F934="fee",IF(VALUE(Taostats_CSV!G934)&gt;0,Taostats_CSV!E934,""),""))</f>
        <v/>
      </c>
      <c r="D934" t="str">
        <f ca="1">IF(Q934,OFFSET(Taostats_CSV!$G$1,MATCH(K934&amp;D$1,Taostats_CSV!$X:$X,0)-1,0),IF(Taostats_CSV!F934="fee",IF(VALUE(Taostats_CSV!G934)&gt;0,Taostats_CSV!G934,""),""))</f>
        <v/>
      </c>
      <c r="E934" t="str">
        <f ca="1">IF(AND(Q934,P934&gt;0),OFFSET(Taostats_CSV!$E$1,MATCH(K934&amp;F$1,Taostats_CSV!$X:$X,0)-1,0),IF(LEN(F934)&gt;0,Taostats_CSV!E934,""))</f>
        <v>SN56</v>
      </c>
      <c r="F934" t="str">
        <f ca="1">TRIM(IF(AND(Q934,P934&gt;0),OFFSET(Taostats_CSV!$H$1,MATCH(K934&amp;F$1,Taostats_CSV!$X:$X,0)-1,0),IF(LEN(Taostats_CSV!H934)&gt;0,Taostats_CSV!H934,Taostats_CSV!R934)))</f>
        <v>0.279287005</v>
      </c>
      <c r="G934" t="str">
        <f ca="1">IF(AND(Q934,N934=1),OFFSET(Taostats_CSV!$E$1,MATCH(K934&amp;H$1,Taostats_CSV!$X:$X,0)-1,0),"")</f>
        <v/>
      </c>
      <c r="H934" t="str">
        <f ca="1">IF(AND(Q934,N934=1),OFFSET(Taostats_CSV!$G$1,MATCH(K934&amp;H$1,Taostats_CSV!$X:$X,0)-1,0),"")</f>
        <v/>
      </c>
      <c r="I934" t="str">
        <f ca="1">IF(AND(LEN(K934)=0,LEN(F934)&gt;0),"Income",IF(AND(O934&gt;0,P934&gt;0,C934&lt;&gt;E934),"Trade",IF(AND(NOT(Q934),Taostats_CSV!F934="fee"),'READ ME'!$C$5,"")))</f>
        <v>Income</v>
      </c>
      <c r="J934" t="str">
        <f ca="1">SUBSTITUTE(IF(LEN(I934)=0,Taostats_CSV!F934&amp;" "&amp;Taostats_CSV!J934,IF(I934="Cost","Extrinsic fee","")),"_"," ")</f>
        <v/>
      </c>
      <c r="K934" t="str">
        <f>TRIM(IF(LEN(Taostats_CSV!I934)&gt;0,Taostats_CSV!I934,""))</f>
        <v/>
      </c>
      <c r="L934">
        <f ca="1">IF(Taostats_CSV!E934&lt;&gt;"TAO",IF(LEN(F934)&gt;0,F934,IF(LEN(D934)&gt;0,D934,0))*Taostats_CSV!P934,"")</f>
        <v>4.1945053904649372</v>
      </c>
      <c r="M934" t="str">
        <f t="shared" ca="1" si="99"/>
        <v>USD</v>
      </c>
      <c r="N934">
        <f>COUNTIF(Taostats_CSV!$X:$X,Taostats_CSV!$I934&amp;N$1)</f>
        <v>0</v>
      </c>
      <c r="O934">
        <f>COUNTIF(Taostats_CSV!$X:$X,Taostats_CSV!$I934&amp;O$1)</f>
        <v>0</v>
      </c>
      <c r="P934">
        <f>COUNTIF(Taostats_CSV!$X:$X,Taostats_CSV!$I934&amp;P$1)</f>
        <v>0</v>
      </c>
      <c r="Q934" t="b">
        <f t="shared" si="100"/>
        <v>0</v>
      </c>
      <c r="R934" t="b">
        <f>IF(LEN(K934)&gt;0,COUNTIF($K$3:K934,K934),FALSE)</f>
        <v>0</v>
      </c>
      <c r="S934" t="b">
        <f>IF(Taostats_CSV!A934=Taostats_CSV!$A$2,TRUE,Taostats_CSV!G934+Taostats_CSV!H934+Taostats_CSV!R934=0)</f>
        <v>0</v>
      </c>
      <c r="T934" t="b">
        <f t="shared" si="101"/>
        <v>1</v>
      </c>
      <c r="U934" t="b" cm="1">
        <f t="array" aca="1" ref="U934" ca="1">AND(T934,OR(O934-N934&gt;1,P934&gt;1,ISERROR(A934:P934)))</f>
        <v>0</v>
      </c>
      <c r="W934" t="e">
        <f>MATCH(K934&amp;$W$2,Taostats_CSV!$X$3:$X$1167,0)</f>
        <v>#N/A</v>
      </c>
      <c r="X934" t="e">
        <f t="shared" ca="1" si="96"/>
        <v>#VALUE!</v>
      </c>
      <c r="Y934">
        <f t="shared" ca="1" si="97"/>
        <v>0.27928700499999998</v>
      </c>
      <c r="Z934" t="e">
        <f t="shared" ca="1" si="98"/>
        <v>#VALUE!</v>
      </c>
    </row>
    <row r="935" spans="1:26" x14ac:dyDescent="0.4">
      <c r="A935" t="str">
        <f>MID(Taostats_CSV!C935,6,2)&amp;"/"&amp;MID(Taostats_CSV!C935,9,2)&amp;"/"&amp;LEFT(Taostats_CSV!C935,4)&amp;" "&amp;MID(Taostats_CSV!C935,12,8)</f>
        <v>09/13/2025 23:59:48</v>
      </c>
      <c r="C935" t="str">
        <f ca="1">IF(Q935,OFFSET(Taostats_CSV!$E$1,MATCH(K935&amp;D$1,Taostats_CSV!$X:$X,0)-1,0),IF(Taostats_CSV!F935="fee",IF(VALUE(Taostats_CSV!G935)&gt;0,Taostats_CSV!E935,""),""))</f>
        <v/>
      </c>
      <c r="D935" t="str">
        <f ca="1">IF(Q935,OFFSET(Taostats_CSV!$G$1,MATCH(K935&amp;D$1,Taostats_CSV!$X:$X,0)-1,0),IF(Taostats_CSV!F935="fee",IF(VALUE(Taostats_CSV!G935)&gt;0,Taostats_CSV!G935,""),""))</f>
        <v/>
      </c>
      <c r="E935" t="str">
        <f ca="1">IF(AND(Q935,P935&gt;0),OFFSET(Taostats_CSV!$E$1,MATCH(K935&amp;F$1,Taostats_CSV!$X:$X,0)-1,0),IF(LEN(F935)&gt;0,Taostats_CSV!E935,""))</f>
        <v>SN64</v>
      </c>
      <c r="F935" t="str">
        <f ca="1">TRIM(IF(AND(Q935,P935&gt;0),OFFSET(Taostats_CSV!$H$1,MATCH(K935&amp;F$1,Taostats_CSV!$X:$X,0)-1,0),IF(LEN(Taostats_CSV!H935)&gt;0,Taostats_CSV!H935,Taostats_CSV!R935)))</f>
        <v>0.161103268</v>
      </c>
      <c r="G935" t="str">
        <f ca="1">IF(AND(Q935,N935=1),OFFSET(Taostats_CSV!$E$1,MATCH(K935&amp;H$1,Taostats_CSV!$X:$X,0)-1,0),"")</f>
        <v/>
      </c>
      <c r="H935" t="str">
        <f ca="1">IF(AND(Q935,N935=1),OFFSET(Taostats_CSV!$G$1,MATCH(K935&amp;H$1,Taostats_CSV!$X:$X,0)-1,0),"")</f>
        <v/>
      </c>
      <c r="I935" t="str">
        <f ca="1">IF(AND(LEN(K935)=0,LEN(F935)&gt;0),"Income",IF(AND(O935&gt;0,P935&gt;0,C935&lt;&gt;E935),"Trade",IF(AND(NOT(Q935),Taostats_CSV!F935="fee"),'READ ME'!$C$5,"")))</f>
        <v>Income</v>
      </c>
      <c r="J935" t="str">
        <f ca="1">SUBSTITUTE(IF(LEN(I935)=0,Taostats_CSV!F935&amp;" "&amp;Taostats_CSV!J935,IF(I935="Cost","Extrinsic fee","")),"_"," ")</f>
        <v/>
      </c>
      <c r="K935" t="str">
        <f>TRIM(IF(LEN(Taostats_CSV!I935)&gt;0,Taostats_CSV!I935,""))</f>
        <v/>
      </c>
      <c r="L935">
        <f ca="1">IF(Taostats_CSV!E935&lt;&gt;"TAO",IF(LEN(F935)&gt;0,F935,IF(LEN(D935)&gt;0,D935,0))*Taostats_CSV!P935,"")</f>
        <v>6.2058115405408891</v>
      </c>
      <c r="M935" t="str">
        <f t="shared" ca="1" si="99"/>
        <v>USD</v>
      </c>
      <c r="N935">
        <f>COUNTIF(Taostats_CSV!$X:$X,Taostats_CSV!$I935&amp;N$1)</f>
        <v>0</v>
      </c>
      <c r="O935">
        <f>COUNTIF(Taostats_CSV!$X:$X,Taostats_CSV!$I935&amp;O$1)</f>
        <v>0</v>
      </c>
      <c r="P935">
        <f>COUNTIF(Taostats_CSV!$X:$X,Taostats_CSV!$I935&amp;P$1)</f>
        <v>0</v>
      </c>
      <c r="Q935" t="b">
        <f t="shared" si="100"/>
        <v>0</v>
      </c>
      <c r="R935" t="b">
        <f>IF(LEN(K935)&gt;0,COUNTIF($K$3:K935,K935),FALSE)</f>
        <v>0</v>
      </c>
      <c r="S935" t="b">
        <f>IF(Taostats_CSV!A935=Taostats_CSV!$A$2,TRUE,Taostats_CSV!G935+Taostats_CSV!H935+Taostats_CSV!R935=0)</f>
        <v>0</v>
      </c>
      <c r="T935" t="b">
        <f t="shared" si="101"/>
        <v>1</v>
      </c>
      <c r="U935" t="b" cm="1">
        <f t="array" aca="1" ref="U935" ca="1">AND(T935,OR(O935-N935&gt;1,P935&gt;1,ISERROR(A935:P935)))</f>
        <v>0</v>
      </c>
      <c r="W935" t="e">
        <f>MATCH(K935&amp;$W$2,Taostats_CSV!$X$3:$X$1167,0)</f>
        <v>#N/A</v>
      </c>
      <c r="X935" t="e">
        <f t="shared" ca="1" si="96"/>
        <v>#VALUE!</v>
      </c>
      <c r="Y935">
        <f t="shared" ca="1" si="97"/>
        <v>0.16110326799999999</v>
      </c>
      <c r="Z935" t="e">
        <f t="shared" ca="1" si="98"/>
        <v>#VALUE!</v>
      </c>
    </row>
    <row r="936" spans="1:26" x14ac:dyDescent="0.4">
      <c r="A936" t="str">
        <f>MID(Taostats_CSV!C936,6,2)&amp;"/"&amp;MID(Taostats_CSV!C936,9,2)&amp;"/"&amp;LEFT(Taostats_CSV!C936,4)&amp;" "&amp;MID(Taostats_CSV!C936,12,8)</f>
        <v>09/13/2025 23:59:48</v>
      </c>
      <c r="C936" t="str">
        <f ca="1">IF(Q936,OFFSET(Taostats_CSV!$E$1,MATCH(K936&amp;D$1,Taostats_CSV!$X:$X,0)-1,0),IF(Taostats_CSV!F936="fee",IF(VALUE(Taostats_CSV!G936)&gt;0,Taostats_CSV!E936,""),""))</f>
        <v/>
      </c>
      <c r="D936" t="str">
        <f ca="1">IF(Q936,OFFSET(Taostats_CSV!$G$1,MATCH(K936&amp;D$1,Taostats_CSV!$X:$X,0)-1,0),IF(Taostats_CSV!F936="fee",IF(VALUE(Taostats_CSV!G936)&gt;0,Taostats_CSV!G936,""),""))</f>
        <v/>
      </c>
      <c r="E936" t="str">
        <f ca="1">IF(AND(Q936,P936&gt;0),OFFSET(Taostats_CSV!$E$1,MATCH(K936&amp;F$1,Taostats_CSV!$X:$X,0)-1,0),IF(LEN(F936)&gt;0,Taostats_CSV!E936,""))</f>
        <v>TAO</v>
      </c>
      <c r="F936" t="str">
        <f ca="1">TRIM(IF(AND(Q936,P936&gt;0),OFFSET(Taostats_CSV!$H$1,MATCH(K936&amp;F$1,Taostats_CSV!$X:$X,0)-1,0),IF(LEN(Taostats_CSV!H936)&gt;0,Taostats_CSV!H936,Taostats_CSV!R936)))</f>
        <v>0.010229407</v>
      </c>
      <c r="G936" t="str">
        <f ca="1">IF(AND(Q936,N936=1),OFFSET(Taostats_CSV!$E$1,MATCH(K936&amp;H$1,Taostats_CSV!$X:$X,0)-1,0),"")</f>
        <v/>
      </c>
      <c r="H936" t="str">
        <f ca="1">IF(AND(Q936,N936=1),OFFSET(Taostats_CSV!$G$1,MATCH(K936&amp;H$1,Taostats_CSV!$X:$X,0)-1,0),"")</f>
        <v/>
      </c>
      <c r="I936" t="str">
        <f ca="1">IF(AND(LEN(K936)=0,LEN(F936)&gt;0),"Income",IF(AND(O936&gt;0,P936&gt;0,C936&lt;&gt;E936),"Trade",IF(AND(NOT(Q936),Taostats_CSV!F936="fee"),'READ ME'!$C$5,"")))</f>
        <v>Income</v>
      </c>
      <c r="J936" t="str">
        <f ca="1">SUBSTITUTE(IF(LEN(I936)=0,Taostats_CSV!F936&amp;" "&amp;Taostats_CSV!J936,IF(I936="Cost","Extrinsic fee","")),"_"," ")</f>
        <v/>
      </c>
      <c r="K936" t="str">
        <f>TRIM(IF(LEN(Taostats_CSV!I936)&gt;0,Taostats_CSV!I936,""))</f>
        <v/>
      </c>
      <c r="L936" t="str">
        <f>IF(Taostats_CSV!E936&lt;&gt;"TAO",IF(LEN(F936)&gt;0,F936,IF(LEN(D936)&gt;0,D936,0))*Taostats_CSV!P936,"")</f>
        <v/>
      </c>
      <c r="M936" t="str">
        <f t="shared" si="99"/>
        <v/>
      </c>
      <c r="N936">
        <f>COUNTIF(Taostats_CSV!$X:$X,Taostats_CSV!$I936&amp;N$1)</f>
        <v>0</v>
      </c>
      <c r="O936">
        <f>COUNTIF(Taostats_CSV!$X:$X,Taostats_CSV!$I936&amp;O$1)</f>
        <v>0</v>
      </c>
      <c r="P936">
        <f>COUNTIF(Taostats_CSV!$X:$X,Taostats_CSV!$I936&amp;P$1)</f>
        <v>0</v>
      </c>
      <c r="Q936" t="b">
        <f t="shared" si="100"/>
        <v>0</v>
      </c>
      <c r="R936" t="b">
        <f>IF(LEN(K936)&gt;0,COUNTIF($K$3:K936,K936),FALSE)</f>
        <v>0</v>
      </c>
      <c r="S936" t="b">
        <f>IF(Taostats_CSV!A936=Taostats_CSV!$A$2,TRUE,Taostats_CSV!G936+Taostats_CSV!H936+Taostats_CSV!R936=0)</f>
        <v>0</v>
      </c>
      <c r="T936" t="b">
        <f t="shared" si="101"/>
        <v>1</v>
      </c>
      <c r="U936" t="b" cm="1">
        <f t="array" aca="1" ref="U936" ca="1">AND(T936,OR(O936-N936&gt;1,P936&gt;1,ISERROR(A936:P936)))</f>
        <v>0</v>
      </c>
      <c r="W936" t="e">
        <f>MATCH(K936&amp;$W$2,Taostats_CSV!$X$3:$X$1167,0)</f>
        <v>#N/A</v>
      </c>
      <c r="X936" t="e">
        <f t="shared" ca="1" si="96"/>
        <v>#VALUE!</v>
      </c>
      <c r="Y936">
        <f t="shared" ca="1" si="97"/>
        <v>1.0229406999999999E-2</v>
      </c>
      <c r="Z936" t="e">
        <f t="shared" ca="1" si="98"/>
        <v>#VALUE!</v>
      </c>
    </row>
    <row r="937" spans="1:26" x14ac:dyDescent="0.4">
      <c r="A937" t="str">
        <f>MID(Taostats_CSV!C937,6,2)&amp;"/"&amp;MID(Taostats_CSV!C937,9,2)&amp;"/"&amp;LEFT(Taostats_CSV!C937,4)&amp;" "&amp;MID(Taostats_CSV!C937,12,8)</f>
        <v>09/14/2025 23:59:48</v>
      </c>
      <c r="C937" t="str">
        <f ca="1">IF(Q937,OFFSET(Taostats_CSV!$E$1,MATCH(K937&amp;D$1,Taostats_CSV!$X:$X,0)-1,0),IF(Taostats_CSV!F937="fee",IF(VALUE(Taostats_CSV!G937)&gt;0,Taostats_CSV!E937,""),""))</f>
        <v/>
      </c>
      <c r="D937" t="str">
        <f ca="1">IF(Q937,OFFSET(Taostats_CSV!$G$1,MATCH(K937&amp;D$1,Taostats_CSV!$X:$X,0)-1,0),IF(Taostats_CSV!F937="fee",IF(VALUE(Taostats_CSV!G937)&gt;0,Taostats_CSV!G937,""),""))</f>
        <v/>
      </c>
      <c r="E937" t="str">
        <f ca="1">IF(AND(Q937,P937&gt;0),OFFSET(Taostats_CSV!$E$1,MATCH(K937&amp;F$1,Taostats_CSV!$X:$X,0)-1,0),IF(LEN(F937)&gt;0,Taostats_CSV!E937,""))</f>
        <v>SN3</v>
      </c>
      <c r="F937" t="str">
        <f ca="1">TRIM(IF(AND(Q937,P937&gt;0),OFFSET(Taostats_CSV!$H$1,MATCH(K937&amp;F$1,Taostats_CSV!$X:$X,0)-1,0),IF(LEN(Taostats_CSV!H937)&gt;0,Taostats_CSV!H937,Taostats_CSV!R937)))</f>
        <v>0.487314268</v>
      </c>
      <c r="G937" t="str">
        <f ca="1">IF(AND(Q937,N937=1),OFFSET(Taostats_CSV!$E$1,MATCH(K937&amp;H$1,Taostats_CSV!$X:$X,0)-1,0),"")</f>
        <v/>
      </c>
      <c r="H937" t="str">
        <f ca="1">IF(AND(Q937,N937=1),OFFSET(Taostats_CSV!$G$1,MATCH(K937&amp;H$1,Taostats_CSV!$X:$X,0)-1,0),"")</f>
        <v/>
      </c>
      <c r="I937" t="str">
        <f ca="1">IF(AND(LEN(K937)=0,LEN(F937)&gt;0),"Income",IF(AND(O937&gt;0,P937&gt;0,C937&lt;&gt;E937),"Trade",IF(AND(NOT(Q937),Taostats_CSV!F937="fee"),'READ ME'!$C$5,"")))</f>
        <v>Income</v>
      </c>
      <c r="J937" t="str">
        <f ca="1">SUBSTITUTE(IF(LEN(I937)=0,Taostats_CSV!F937&amp;" "&amp;Taostats_CSV!J937,IF(I937="Cost","Extrinsic fee","")),"_"," ")</f>
        <v/>
      </c>
      <c r="K937" t="str">
        <f>TRIM(IF(LEN(Taostats_CSV!I937)&gt;0,Taostats_CSV!I937,""))</f>
        <v/>
      </c>
      <c r="L937">
        <f ca="1">IF(Taostats_CSV!E937&lt;&gt;"TAO",IF(LEN(F937)&gt;0,F937,IF(LEN(D937)&gt;0,D937,0))*Taostats_CSV!P937,"")</f>
        <v>5.9558556570453813</v>
      </c>
      <c r="M937" t="str">
        <f t="shared" ca="1" si="99"/>
        <v>USD</v>
      </c>
      <c r="N937">
        <f>COUNTIF(Taostats_CSV!$X:$X,Taostats_CSV!$I937&amp;N$1)</f>
        <v>0</v>
      </c>
      <c r="O937">
        <f>COUNTIF(Taostats_CSV!$X:$X,Taostats_CSV!$I937&amp;O$1)</f>
        <v>0</v>
      </c>
      <c r="P937">
        <f>COUNTIF(Taostats_CSV!$X:$X,Taostats_CSV!$I937&amp;P$1)</f>
        <v>0</v>
      </c>
      <c r="Q937" t="b">
        <f t="shared" si="100"/>
        <v>0</v>
      </c>
      <c r="R937" t="b">
        <f>IF(LEN(K937)&gt;0,COUNTIF($K$3:K937,K937),FALSE)</f>
        <v>0</v>
      </c>
      <c r="S937" t="b">
        <f>IF(Taostats_CSV!A937=Taostats_CSV!$A$2,TRUE,Taostats_CSV!G937+Taostats_CSV!H937+Taostats_CSV!R937=0)</f>
        <v>0</v>
      </c>
      <c r="T937" t="b">
        <f t="shared" si="101"/>
        <v>1</v>
      </c>
      <c r="U937" t="b" cm="1">
        <f t="array" aca="1" ref="U937" ca="1">AND(T937,OR(O937-N937&gt;1,P937&gt;1,ISERROR(A937:P937)))</f>
        <v>0</v>
      </c>
      <c r="W937" t="e">
        <f>MATCH(K937&amp;$W$2,Taostats_CSV!$X$3:$X$1167,0)</f>
        <v>#N/A</v>
      </c>
      <c r="X937" t="e">
        <f t="shared" ca="1" si="96"/>
        <v>#VALUE!</v>
      </c>
      <c r="Y937">
        <f t="shared" ca="1" si="97"/>
        <v>0.48731426799999999</v>
      </c>
      <c r="Z937" t="e">
        <f t="shared" ca="1" si="98"/>
        <v>#VALUE!</v>
      </c>
    </row>
    <row r="938" spans="1:26" x14ac:dyDescent="0.4">
      <c r="A938" t="str">
        <f>MID(Taostats_CSV!C938,6,2)&amp;"/"&amp;MID(Taostats_CSV!C938,9,2)&amp;"/"&amp;LEFT(Taostats_CSV!C938,4)&amp;" "&amp;MID(Taostats_CSV!C938,12,8)</f>
        <v>09/14/2025 23:59:48</v>
      </c>
      <c r="C938" t="str">
        <f ca="1">IF(Q938,OFFSET(Taostats_CSV!$E$1,MATCH(K938&amp;D$1,Taostats_CSV!$X:$X,0)-1,0),IF(Taostats_CSV!F938="fee",IF(VALUE(Taostats_CSV!G938)&gt;0,Taostats_CSV!E938,""),""))</f>
        <v/>
      </c>
      <c r="D938" t="str">
        <f ca="1">IF(Q938,OFFSET(Taostats_CSV!$G$1,MATCH(K938&amp;D$1,Taostats_CSV!$X:$X,0)-1,0),IF(Taostats_CSV!F938="fee",IF(VALUE(Taostats_CSV!G938)&gt;0,Taostats_CSV!G938,""),""))</f>
        <v/>
      </c>
      <c r="E938" t="str">
        <f ca="1">IF(AND(Q938,P938&gt;0),OFFSET(Taostats_CSV!$E$1,MATCH(K938&amp;F$1,Taostats_CSV!$X:$X,0)-1,0),IF(LEN(F938)&gt;0,Taostats_CSV!E938,""))</f>
        <v>SN4</v>
      </c>
      <c r="F938" t="str">
        <f ca="1">TRIM(IF(AND(Q938,P938&gt;0),OFFSET(Taostats_CSV!$H$1,MATCH(K938&amp;F$1,Taostats_CSV!$X:$X,0)-1,0),IF(LEN(Taostats_CSV!H938)&gt;0,Taostats_CSV!H938,Taostats_CSV!R938)))</f>
        <v>0.43191724</v>
      </c>
      <c r="G938" t="str">
        <f ca="1">IF(AND(Q938,N938=1),OFFSET(Taostats_CSV!$E$1,MATCH(K938&amp;H$1,Taostats_CSV!$X:$X,0)-1,0),"")</f>
        <v/>
      </c>
      <c r="H938" t="str">
        <f ca="1">IF(AND(Q938,N938=1),OFFSET(Taostats_CSV!$G$1,MATCH(K938&amp;H$1,Taostats_CSV!$X:$X,0)-1,0),"")</f>
        <v/>
      </c>
      <c r="I938" t="str">
        <f ca="1">IF(AND(LEN(K938)=0,LEN(F938)&gt;0),"Income",IF(AND(O938&gt;0,P938&gt;0,C938&lt;&gt;E938),"Trade",IF(AND(NOT(Q938),Taostats_CSV!F938="fee"),'READ ME'!$C$5,"")))</f>
        <v>Income</v>
      </c>
      <c r="J938" t="str">
        <f ca="1">SUBSTITUTE(IF(LEN(I938)=0,Taostats_CSV!F938&amp;" "&amp;Taostats_CSV!J938,IF(I938="Cost","Extrinsic fee","")),"_"," ")</f>
        <v/>
      </c>
      <c r="K938" t="str">
        <f>TRIM(IF(LEN(Taostats_CSV!I938)&gt;0,Taostats_CSV!I938,""))</f>
        <v/>
      </c>
      <c r="L938">
        <f ca="1">IF(Taostats_CSV!E938&lt;&gt;"TAO",IF(LEN(F938)&gt;0,F938,IF(LEN(D938)&gt;0,D938,0))*Taostats_CSV!P938,"")</f>
        <v>7.1322061460154309</v>
      </c>
      <c r="M938" t="str">
        <f t="shared" ca="1" si="99"/>
        <v>USD</v>
      </c>
      <c r="N938">
        <f>COUNTIF(Taostats_CSV!$X:$X,Taostats_CSV!$I938&amp;N$1)</f>
        <v>0</v>
      </c>
      <c r="O938">
        <f>COUNTIF(Taostats_CSV!$X:$X,Taostats_CSV!$I938&amp;O$1)</f>
        <v>0</v>
      </c>
      <c r="P938">
        <f>COUNTIF(Taostats_CSV!$X:$X,Taostats_CSV!$I938&amp;P$1)</f>
        <v>0</v>
      </c>
      <c r="Q938" t="b">
        <f t="shared" si="100"/>
        <v>0</v>
      </c>
      <c r="R938" t="b">
        <f>IF(LEN(K938)&gt;0,COUNTIF($K$3:K938,K938),FALSE)</f>
        <v>0</v>
      </c>
      <c r="S938" t="b">
        <f>IF(Taostats_CSV!A938=Taostats_CSV!$A$2,TRUE,Taostats_CSV!G938+Taostats_CSV!H938+Taostats_CSV!R938=0)</f>
        <v>0</v>
      </c>
      <c r="T938" t="b">
        <f t="shared" si="101"/>
        <v>1</v>
      </c>
      <c r="U938" t="b" cm="1">
        <f t="array" aca="1" ref="U938" ca="1">AND(T938,OR(O938-N938&gt;1,P938&gt;1,ISERROR(A938:P938)))</f>
        <v>0</v>
      </c>
      <c r="W938" t="e">
        <f>MATCH(K938&amp;$W$2,Taostats_CSV!$X$3:$X$1167,0)</f>
        <v>#N/A</v>
      </c>
      <c r="X938" t="e">
        <f t="shared" ca="1" si="96"/>
        <v>#VALUE!</v>
      </c>
      <c r="Y938">
        <f t="shared" ca="1" si="97"/>
        <v>0.43191723999999998</v>
      </c>
      <c r="Z938" t="e">
        <f t="shared" ca="1" si="98"/>
        <v>#VALUE!</v>
      </c>
    </row>
    <row r="939" spans="1:26" x14ac:dyDescent="0.4">
      <c r="A939" t="str">
        <f>MID(Taostats_CSV!C939,6,2)&amp;"/"&amp;MID(Taostats_CSV!C939,9,2)&amp;"/"&amp;LEFT(Taostats_CSV!C939,4)&amp;" "&amp;MID(Taostats_CSV!C939,12,8)</f>
        <v>09/14/2025 23:59:48</v>
      </c>
      <c r="C939" t="str">
        <f ca="1">IF(Q939,OFFSET(Taostats_CSV!$E$1,MATCH(K939&amp;D$1,Taostats_CSV!$X:$X,0)-1,0),IF(Taostats_CSV!F939="fee",IF(VALUE(Taostats_CSV!G939)&gt;0,Taostats_CSV!E939,""),""))</f>
        <v/>
      </c>
      <c r="D939" t="str">
        <f ca="1">IF(Q939,OFFSET(Taostats_CSV!$G$1,MATCH(K939&amp;D$1,Taostats_CSV!$X:$X,0)-1,0),IF(Taostats_CSV!F939="fee",IF(VALUE(Taostats_CSV!G939)&gt;0,Taostats_CSV!G939,""),""))</f>
        <v/>
      </c>
      <c r="E939" t="str">
        <f ca="1">IF(AND(Q939,P939&gt;0),OFFSET(Taostats_CSV!$E$1,MATCH(K939&amp;F$1,Taostats_CSV!$X:$X,0)-1,0),IF(LEN(F939)&gt;0,Taostats_CSV!E939,""))</f>
        <v>SN56</v>
      </c>
      <c r="F939" t="str">
        <f ca="1">TRIM(IF(AND(Q939,P939&gt;0),OFFSET(Taostats_CSV!$H$1,MATCH(K939&amp;F$1,Taostats_CSV!$X:$X,0)-1,0),IF(LEN(Taostats_CSV!H939)&gt;0,Taostats_CSV!H939,Taostats_CSV!R939)))</f>
        <v>0.274786592</v>
      </c>
      <c r="G939" t="str">
        <f ca="1">IF(AND(Q939,N939=1),OFFSET(Taostats_CSV!$E$1,MATCH(K939&amp;H$1,Taostats_CSV!$X:$X,0)-1,0),"")</f>
        <v/>
      </c>
      <c r="H939" t="str">
        <f ca="1">IF(AND(Q939,N939=1),OFFSET(Taostats_CSV!$G$1,MATCH(K939&amp;H$1,Taostats_CSV!$X:$X,0)-1,0),"")</f>
        <v/>
      </c>
      <c r="I939" t="str">
        <f ca="1">IF(AND(LEN(K939)=0,LEN(F939)&gt;0),"Income",IF(AND(O939&gt;0,P939&gt;0,C939&lt;&gt;E939),"Trade",IF(AND(NOT(Q939),Taostats_CSV!F939="fee"),'READ ME'!$C$5,"")))</f>
        <v>Income</v>
      </c>
      <c r="J939" t="str">
        <f ca="1">SUBSTITUTE(IF(LEN(I939)=0,Taostats_CSV!F939&amp;" "&amp;Taostats_CSV!J939,IF(I939="Cost","Extrinsic fee","")),"_"," ")</f>
        <v/>
      </c>
      <c r="K939" t="str">
        <f>TRIM(IF(LEN(Taostats_CSV!I939)&gt;0,Taostats_CSV!I939,""))</f>
        <v/>
      </c>
      <c r="L939">
        <f ca="1">IF(Taostats_CSV!E939&lt;&gt;"TAO",IF(LEN(F939)&gt;0,F939,IF(LEN(D939)&gt;0,D939,0))*Taostats_CSV!P939,"")</f>
        <v>3.9824701325477161</v>
      </c>
      <c r="M939" t="str">
        <f t="shared" ca="1" si="99"/>
        <v>USD</v>
      </c>
      <c r="N939">
        <f>COUNTIF(Taostats_CSV!$X:$X,Taostats_CSV!$I939&amp;N$1)</f>
        <v>0</v>
      </c>
      <c r="O939">
        <f>COUNTIF(Taostats_CSV!$X:$X,Taostats_CSV!$I939&amp;O$1)</f>
        <v>0</v>
      </c>
      <c r="P939">
        <f>COUNTIF(Taostats_CSV!$X:$X,Taostats_CSV!$I939&amp;P$1)</f>
        <v>0</v>
      </c>
      <c r="Q939" t="b">
        <f t="shared" si="100"/>
        <v>0</v>
      </c>
      <c r="R939" t="b">
        <f>IF(LEN(K939)&gt;0,COUNTIF($K$3:K939,K939),FALSE)</f>
        <v>0</v>
      </c>
      <c r="S939" t="b">
        <f>IF(Taostats_CSV!A939=Taostats_CSV!$A$2,TRUE,Taostats_CSV!G939+Taostats_CSV!H939+Taostats_CSV!R939=0)</f>
        <v>0</v>
      </c>
      <c r="T939" t="b">
        <f t="shared" si="101"/>
        <v>1</v>
      </c>
      <c r="U939" t="b" cm="1">
        <f t="array" aca="1" ref="U939" ca="1">AND(T939,OR(O939-N939&gt;1,P939&gt;1,ISERROR(A939:P939)))</f>
        <v>0</v>
      </c>
      <c r="W939" t="e">
        <f>MATCH(K939&amp;$W$2,Taostats_CSV!$X$3:$X$1167,0)</f>
        <v>#N/A</v>
      </c>
      <c r="X939" t="e">
        <f t="shared" ca="1" si="96"/>
        <v>#VALUE!</v>
      </c>
      <c r="Y939">
        <f t="shared" ca="1" si="97"/>
        <v>0.274786592</v>
      </c>
      <c r="Z939" t="e">
        <f t="shared" ca="1" si="98"/>
        <v>#VALUE!</v>
      </c>
    </row>
    <row r="940" spans="1:26" x14ac:dyDescent="0.4">
      <c r="A940" t="str">
        <f>MID(Taostats_CSV!C940,6,2)&amp;"/"&amp;MID(Taostats_CSV!C940,9,2)&amp;"/"&amp;LEFT(Taostats_CSV!C940,4)&amp;" "&amp;MID(Taostats_CSV!C940,12,8)</f>
        <v>09/14/2025 23:59:48</v>
      </c>
      <c r="C940" t="str">
        <f ca="1">IF(Q940,OFFSET(Taostats_CSV!$E$1,MATCH(K940&amp;D$1,Taostats_CSV!$X:$X,0)-1,0),IF(Taostats_CSV!F940="fee",IF(VALUE(Taostats_CSV!G940)&gt;0,Taostats_CSV!E940,""),""))</f>
        <v/>
      </c>
      <c r="D940" t="str">
        <f ca="1">IF(Q940,OFFSET(Taostats_CSV!$G$1,MATCH(K940&amp;D$1,Taostats_CSV!$X:$X,0)-1,0),IF(Taostats_CSV!F940="fee",IF(VALUE(Taostats_CSV!G940)&gt;0,Taostats_CSV!G940,""),""))</f>
        <v/>
      </c>
      <c r="E940" t="str">
        <f ca="1">IF(AND(Q940,P940&gt;0),OFFSET(Taostats_CSV!$E$1,MATCH(K940&amp;F$1,Taostats_CSV!$X:$X,0)-1,0),IF(LEN(F940)&gt;0,Taostats_CSV!E940,""))</f>
        <v>SN64</v>
      </c>
      <c r="F940" t="str">
        <f ca="1">TRIM(IF(AND(Q940,P940&gt;0),OFFSET(Taostats_CSV!$H$1,MATCH(K940&amp;F$1,Taostats_CSV!$X:$X,0)-1,0),IF(LEN(Taostats_CSV!H940)&gt;0,Taostats_CSV!H940,Taostats_CSV!R940)))</f>
        <v>0.147284812</v>
      </c>
      <c r="G940" t="str">
        <f ca="1">IF(AND(Q940,N940=1),OFFSET(Taostats_CSV!$E$1,MATCH(K940&amp;H$1,Taostats_CSV!$X:$X,0)-1,0),"")</f>
        <v/>
      </c>
      <c r="H940" t="str">
        <f ca="1">IF(AND(Q940,N940=1),OFFSET(Taostats_CSV!$G$1,MATCH(K940&amp;H$1,Taostats_CSV!$X:$X,0)-1,0),"")</f>
        <v/>
      </c>
      <c r="I940" t="str">
        <f ca="1">IF(AND(LEN(K940)=0,LEN(F940)&gt;0),"Income",IF(AND(O940&gt;0,P940&gt;0,C940&lt;&gt;E940),"Trade",IF(AND(NOT(Q940),Taostats_CSV!F940="fee"),'READ ME'!$C$5,"")))</f>
        <v>Income</v>
      </c>
      <c r="J940" t="str">
        <f ca="1">SUBSTITUTE(IF(LEN(I940)=0,Taostats_CSV!F940&amp;" "&amp;Taostats_CSV!J940,IF(I940="Cost","Extrinsic fee","")),"_"," ")</f>
        <v/>
      </c>
      <c r="K940" t="str">
        <f>TRIM(IF(LEN(Taostats_CSV!I940)&gt;0,Taostats_CSV!I940,""))</f>
        <v/>
      </c>
      <c r="L940">
        <f ca="1">IF(Taostats_CSV!E940&lt;&gt;"TAO",IF(LEN(F940)&gt;0,F940,IF(LEN(D940)&gt;0,D940,0))*Taostats_CSV!P940,"")</f>
        <v>5.4375830710988362</v>
      </c>
      <c r="M940" t="str">
        <f t="shared" ca="1" si="99"/>
        <v>USD</v>
      </c>
      <c r="N940">
        <f>COUNTIF(Taostats_CSV!$X:$X,Taostats_CSV!$I940&amp;N$1)</f>
        <v>0</v>
      </c>
      <c r="O940">
        <f>COUNTIF(Taostats_CSV!$X:$X,Taostats_CSV!$I940&amp;O$1)</f>
        <v>0</v>
      </c>
      <c r="P940">
        <f>COUNTIF(Taostats_CSV!$X:$X,Taostats_CSV!$I940&amp;P$1)</f>
        <v>0</v>
      </c>
      <c r="Q940" t="b">
        <f t="shared" si="100"/>
        <v>0</v>
      </c>
      <c r="R940" t="b">
        <f>IF(LEN(K940)&gt;0,COUNTIF($K$3:K940,K940),FALSE)</f>
        <v>0</v>
      </c>
      <c r="S940" t="b">
        <f>IF(Taostats_CSV!A940=Taostats_CSV!$A$2,TRUE,Taostats_CSV!G940+Taostats_CSV!H940+Taostats_CSV!R940=0)</f>
        <v>0</v>
      </c>
      <c r="T940" t="b">
        <f t="shared" si="101"/>
        <v>1</v>
      </c>
      <c r="U940" t="b" cm="1">
        <f t="array" aca="1" ref="U940" ca="1">AND(T940,OR(O940-N940&gt;1,P940&gt;1,ISERROR(A940:P940)))</f>
        <v>0</v>
      </c>
      <c r="W940" t="e">
        <f>MATCH(K940&amp;$W$2,Taostats_CSV!$X$3:$X$1167,0)</f>
        <v>#N/A</v>
      </c>
      <c r="X940" t="e">
        <f t="shared" ca="1" si="96"/>
        <v>#VALUE!</v>
      </c>
      <c r="Y940">
        <f t="shared" ca="1" si="97"/>
        <v>0.14728481199999999</v>
      </c>
      <c r="Z940" t="e">
        <f t="shared" ca="1" si="98"/>
        <v>#VALUE!</v>
      </c>
    </row>
    <row r="941" spans="1:26" x14ac:dyDescent="0.4">
      <c r="A941" t="str">
        <f>MID(Taostats_CSV!C941,6,2)&amp;"/"&amp;MID(Taostats_CSV!C941,9,2)&amp;"/"&amp;LEFT(Taostats_CSV!C941,4)&amp;" "&amp;MID(Taostats_CSV!C941,12,8)</f>
        <v>09/14/2025 23:59:48</v>
      </c>
      <c r="C941" t="str">
        <f ca="1">IF(Q941,OFFSET(Taostats_CSV!$E$1,MATCH(K941&amp;D$1,Taostats_CSV!$X:$X,0)-1,0),IF(Taostats_CSV!F941="fee",IF(VALUE(Taostats_CSV!G941)&gt;0,Taostats_CSV!E941,""),""))</f>
        <v/>
      </c>
      <c r="D941" t="str">
        <f ca="1">IF(Q941,OFFSET(Taostats_CSV!$G$1,MATCH(K941&amp;D$1,Taostats_CSV!$X:$X,0)-1,0),IF(Taostats_CSV!F941="fee",IF(VALUE(Taostats_CSV!G941)&gt;0,Taostats_CSV!G941,""),""))</f>
        <v/>
      </c>
      <c r="E941" t="str">
        <f ca="1">IF(AND(Q941,P941&gt;0),OFFSET(Taostats_CSV!$E$1,MATCH(K941&amp;F$1,Taostats_CSV!$X:$X,0)-1,0),IF(LEN(F941)&gt;0,Taostats_CSV!E941,""))</f>
        <v>TAO</v>
      </c>
      <c r="F941" t="str">
        <f ca="1">TRIM(IF(AND(Q941,P941&gt;0),OFFSET(Taostats_CSV!$H$1,MATCH(K941&amp;F$1,Taostats_CSV!$X:$X,0)-1,0),IF(LEN(Taostats_CSV!H941)&gt;0,Taostats_CSV!H941,Taostats_CSV!R941)))</f>
        <v>0.009614779</v>
      </c>
      <c r="G941" t="str">
        <f ca="1">IF(AND(Q941,N941=1),OFFSET(Taostats_CSV!$E$1,MATCH(K941&amp;H$1,Taostats_CSV!$X:$X,0)-1,0),"")</f>
        <v/>
      </c>
      <c r="H941" t="str">
        <f ca="1">IF(AND(Q941,N941=1),OFFSET(Taostats_CSV!$G$1,MATCH(K941&amp;H$1,Taostats_CSV!$X:$X,0)-1,0),"")</f>
        <v/>
      </c>
      <c r="I941" t="str">
        <f ca="1">IF(AND(LEN(K941)=0,LEN(F941)&gt;0),"Income",IF(AND(O941&gt;0,P941&gt;0,C941&lt;&gt;E941),"Trade",IF(AND(NOT(Q941),Taostats_CSV!F941="fee"),'READ ME'!$C$5,"")))</f>
        <v>Income</v>
      </c>
      <c r="J941" t="str">
        <f ca="1">SUBSTITUTE(IF(LEN(I941)=0,Taostats_CSV!F941&amp;" "&amp;Taostats_CSV!J941,IF(I941="Cost","Extrinsic fee","")),"_"," ")</f>
        <v/>
      </c>
      <c r="K941" t="str">
        <f>TRIM(IF(LEN(Taostats_CSV!I941)&gt;0,Taostats_CSV!I941,""))</f>
        <v/>
      </c>
      <c r="L941" t="str">
        <f>IF(Taostats_CSV!E941&lt;&gt;"TAO",IF(LEN(F941)&gt;0,F941,IF(LEN(D941)&gt;0,D941,0))*Taostats_CSV!P941,"")</f>
        <v/>
      </c>
      <c r="M941" t="str">
        <f t="shared" si="99"/>
        <v/>
      </c>
      <c r="N941">
        <f>COUNTIF(Taostats_CSV!$X:$X,Taostats_CSV!$I941&amp;N$1)</f>
        <v>0</v>
      </c>
      <c r="O941">
        <f>COUNTIF(Taostats_CSV!$X:$X,Taostats_CSV!$I941&amp;O$1)</f>
        <v>0</v>
      </c>
      <c r="P941">
        <f>COUNTIF(Taostats_CSV!$X:$X,Taostats_CSV!$I941&amp;P$1)</f>
        <v>0</v>
      </c>
      <c r="Q941" t="b">
        <f t="shared" si="100"/>
        <v>0</v>
      </c>
      <c r="R941" t="b">
        <f>IF(LEN(K941)&gt;0,COUNTIF($K$3:K941,K941),FALSE)</f>
        <v>0</v>
      </c>
      <c r="S941" t="b">
        <f>IF(Taostats_CSV!A941=Taostats_CSV!$A$2,TRUE,Taostats_CSV!G941+Taostats_CSV!H941+Taostats_CSV!R941=0)</f>
        <v>0</v>
      </c>
      <c r="T941" t="b">
        <f t="shared" si="101"/>
        <v>1</v>
      </c>
      <c r="U941" t="b" cm="1">
        <f t="array" aca="1" ref="U941" ca="1">AND(T941,OR(O941-N941&gt;1,P941&gt;1,ISERROR(A941:P941)))</f>
        <v>0</v>
      </c>
      <c r="W941" t="e">
        <f>MATCH(K941&amp;$W$2,Taostats_CSV!$X$3:$X$1167,0)</f>
        <v>#N/A</v>
      </c>
      <c r="X941" t="e">
        <f t="shared" ca="1" si="96"/>
        <v>#VALUE!</v>
      </c>
      <c r="Y941">
        <f t="shared" ca="1" si="97"/>
        <v>9.6147790000000004E-3</v>
      </c>
      <c r="Z941" t="e">
        <f t="shared" ca="1" si="98"/>
        <v>#VALUE!</v>
      </c>
    </row>
    <row r="942" spans="1:26" x14ac:dyDescent="0.4">
      <c r="A942" t="str">
        <f>MID(Taostats_CSV!C942,6,2)&amp;"/"&amp;MID(Taostats_CSV!C942,9,2)&amp;"/"&amp;LEFT(Taostats_CSV!C942,4)&amp;" "&amp;MID(Taostats_CSV!C942,12,8)</f>
        <v>09/15/2025 23:59:48</v>
      </c>
      <c r="C942" t="str">
        <f ca="1">IF(Q942,OFFSET(Taostats_CSV!$E$1,MATCH(K942&amp;D$1,Taostats_CSV!$X:$X,0)-1,0),IF(Taostats_CSV!F942="fee",IF(VALUE(Taostats_CSV!G942)&gt;0,Taostats_CSV!E942,""),""))</f>
        <v/>
      </c>
      <c r="D942" t="str">
        <f ca="1">IF(Q942,OFFSET(Taostats_CSV!$G$1,MATCH(K942&amp;D$1,Taostats_CSV!$X:$X,0)-1,0),IF(Taostats_CSV!F942="fee",IF(VALUE(Taostats_CSV!G942)&gt;0,Taostats_CSV!G942,""),""))</f>
        <v/>
      </c>
      <c r="E942" t="str">
        <f ca="1">IF(AND(Q942,P942&gt;0),OFFSET(Taostats_CSV!$E$1,MATCH(K942&amp;F$1,Taostats_CSV!$X:$X,0)-1,0),IF(LEN(F942)&gt;0,Taostats_CSV!E942,""))</f>
        <v>SN3</v>
      </c>
      <c r="F942" t="str">
        <f ca="1">TRIM(IF(AND(Q942,P942&gt;0),OFFSET(Taostats_CSV!$H$1,MATCH(K942&amp;F$1,Taostats_CSV!$X:$X,0)-1,0),IF(LEN(Taostats_CSV!H942)&gt;0,Taostats_CSV!H942,Taostats_CSV!R942)))</f>
        <v>0.488121747</v>
      </c>
      <c r="G942" t="str">
        <f ca="1">IF(AND(Q942,N942=1),OFFSET(Taostats_CSV!$E$1,MATCH(K942&amp;H$1,Taostats_CSV!$X:$X,0)-1,0),"")</f>
        <v/>
      </c>
      <c r="H942" t="str">
        <f ca="1">IF(AND(Q942,N942=1),OFFSET(Taostats_CSV!$G$1,MATCH(K942&amp;H$1,Taostats_CSV!$X:$X,0)-1,0),"")</f>
        <v/>
      </c>
      <c r="I942" t="str">
        <f ca="1">IF(AND(LEN(K942)=0,LEN(F942)&gt;0),"Income",IF(AND(O942&gt;0,P942&gt;0,C942&lt;&gt;E942),"Trade",IF(AND(NOT(Q942),Taostats_CSV!F942="fee"),'READ ME'!$C$5,"")))</f>
        <v>Income</v>
      </c>
      <c r="J942" t="str">
        <f ca="1">SUBSTITUTE(IF(LEN(I942)=0,Taostats_CSV!F942&amp;" "&amp;Taostats_CSV!J942,IF(I942="Cost","Extrinsic fee","")),"_"," ")</f>
        <v/>
      </c>
      <c r="K942" t="str">
        <f>TRIM(IF(LEN(Taostats_CSV!I942)&gt;0,Taostats_CSV!I942,""))</f>
        <v/>
      </c>
      <c r="L942">
        <f ca="1">IF(Taostats_CSV!E942&lt;&gt;"TAO",IF(LEN(F942)&gt;0,F942,IF(LEN(D942)&gt;0,D942,0))*Taostats_CSV!P942,"")</f>
        <v>5.957445549580477</v>
      </c>
      <c r="M942" t="str">
        <f t="shared" ca="1" si="99"/>
        <v>USD</v>
      </c>
      <c r="N942">
        <f>COUNTIF(Taostats_CSV!$X:$X,Taostats_CSV!$I942&amp;N$1)</f>
        <v>0</v>
      </c>
      <c r="O942">
        <f>COUNTIF(Taostats_CSV!$X:$X,Taostats_CSV!$I942&amp;O$1)</f>
        <v>0</v>
      </c>
      <c r="P942">
        <f>COUNTIF(Taostats_CSV!$X:$X,Taostats_CSV!$I942&amp;P$1)</f>
        <v>0</v>
      </c>
      <c r="Q942" t="b">
        <f t="shared" si="100"/>
        <v>0</v>
      </c>
      <c r="R942" t="b">
        <f>IF(LEN(K942)&gt;0,COUNTIF($K$3:K942,K942),FALSE)</f>
        <v>0</v>
      </c>
      <c r="S942" t="b">
        <f>IF(Taostats_CSV!A942=Taostats_CSV!$A$2,TRUE,Taostats_CSV!G942+Taostats_CSV!H942+Taostats_CSV!R942=0)</f>
        <v>0</v>
      </c>
      <c r="T942" t="b">
        <f t="shared" si="101"/>
        <v>1</v>
      </c>
      <c r="U942" t="b" cm="1">
        <f t="array" aca="1" ref="U942" ca="1">AND(T942,OR(O942-N942&gt;1,P942&gt;1,ISERROR(A942:P942)))</f>
        <v>0</v>
      </c>
      <c r="W942" t="e">
        <f>MATCH(K942&amp;$W$2,Taostats_CSV!$X$3:$X$1167,0)</f>
        <v>#N/A</v>
      </c>
      <c r="X942" t="e">
        <f t="shared" ca="1" si="96"/>
        <v>#VALUE!</v>
      </c>
      <c r="Y942">
        <f t="shared" ca="1" si="97"/>
        <v>0.48812174699999999</v>
      </c>
      <c r="Z942" t="e">
        <f t="shared" ca="1" si="98"/>
        <v>#VALUE!</v>
      </c>
    </row>
    <row r="943" spans="1:26" x14ac:dyDescent="0.4">
      <c r="A943" t="str">
        <f>MID(Taostats_CSV!C943,6,2)&amp;"/"&amp;MID(Taostats_CSV!C943,9,2)&amp;"/"&amp;LEFT(Taostats_CSV!C943,4)&amp;" "&amp;MID(Taostats_CSV!C943,12,8)</f>
        <v>09/15/2025 23:59:48</v>
      </c>
      <c r="C943" t="str">
        <f ca="1">IF(Q943,OFFSET(Taostats_CSV!$E$1,MATCH(K943&amp;D$1,Taostats_CSV!$X:$X,0)-1,0),IF(Taostats_CSV!F943="fee",IF(VALUE(Taostats_CSV!G943)&gt;0,Taostats_CSV!E943,""),""))</f>
        <v/>
      </c>
      <c r="D943" t="str">
        <f ca="1">IF(Q943,OFFSET(Taostats_CSV!$G$1,MATCH(K943&amp;D$1,Taostats_CSV!$X:$X,0)-1,0),IF(Taostats_CSV!F943="fee",IF(VALUE(Taostats_CSV!G943)&gt;0,Taostats_CSV!G943,""),""))</f>
        <v/>
      </c>
      <c r="E943" t="str">
        <f ca="1">IF(AND(Q943,P943&gt;0),OFFSET(Taostats_CSV!$E$1,MATCH(K943&amp;F$1,Taostats_CSV!$X:$X,0)-1,0),IF(LEN(F943)&gt;0,Taostats_CSV!E943,""))</f>
        <v>SN4</v>
      </c>
      <c r="F943" t="str">
        <f ca="1">TRIM(IF(AND(Q943,P943&gt;0),OFFSET(Taostats_CSV!$H$1,MATCH(K943&amp;F$1,Taostats_CSV!$X:$X,0)-1,0),IF(LEN(Taostats_CSV!H943)&gt;0,Taostats_CSV!H943,Taostats_CSV!R943)))</f>
        <v>0.429758862</v>
      </c>
      <c r="G943" t="str">
        <f ca="1">IF(AND(Q943,N943=1),OFFSET(Taostats_CSV!$E$1,MATCH(K943&amp;H$1,Taostats_CSV!$X:$X,0)-1,0),"")</f>
        <v/>
      </c>
      <c r="H943" t="str">
        <f ca="1">IF(AND(Q943,N943=1),OFFSET(Taostats_CSV!$G$1,MATCH(K943&amp;H$1,Taostats_CSV!$X:$X,0)-1,0),"")</f>
        <v/>
      </c>
      <c r="I943" t="str">
        <f ca="1">IF(AND(LEN(K943)=0,LEN(F943)&gt;0),"Income",IF(AND(O943&gt;0,P943&gt;0,C943&lt;&gt;E943),"Trade",IF(AND(NOT(Q943),Taostats_CSV!F943="fee"),'READ ME'!$C$5,"")))</f>
        <v>Income</v>
      </c>
      <c r="J943" t="str">
        <f ca="1">SUBSTITUTE(IF(LEN(I943)=0,Taostats_CSV!F943&amp;" "&amp;Taostats_CSV!J943,IF(I943="Cost","Extrinsic fee","")),"_"," ")</f>
        <v/>
      </c>
      <c r="K943" t="str">
        <f>TRIM(IF(LEN(Taostats_CSV!I943)&gt;0,Taostats_CSV!I943,""))</f>
        <v/>
      </c>
      <c r="L943">
        <f ca="1">IF(Taostats_CSV!E943&lt;&gt;"TAO",IF(LEN(F943)&gt;0,F943,IF(LEN(D943)&gt;0,D943,0))*Taostats_CSV!P943,"")</f>
        <v>6.9779559187584548</v>
      </c>
      <c r="M943" t="str">
        <f t="shared" ca="1" si="99"/>
        <v>USD</v>
      </c>
      <c r="N943">
        <f>COUNTIF(Taostats_CSV!$X:$X,Taostats_CSV!$I943&amp;N$1)</f>
        <v>0</v>
      </c>
      <c r="O943">
        <f>COUNTIF(Taostats_CSV!$X:$X,Taostats_CSV!$I943&amp;O$1)</f>
        <v>0</v>
      </c>
      <c r="P943">
        <f>COUNTIF(Taostats_CSV!$X:$X,Taostats_CSV!$I943&amp;P$1)</f>
        <v>0</v>
      </c>
      <c r="Q943" t="b">
        <f t="shared" si="100"/>
        <v>0</v>
      </c>
      <c r="R943" t="b">
        <f>IF(LEN(K943)&gt;0,COUNTIF($K$3:K943,K943),FALSE)</f>
        <v>0</v>
      </c>
      <c r="S943" t="b">
        <f>IF(Taostats_CSV!A943=Taostats_CSV!$A$2,TRUE,Taostats_CSV!G943+Taostats_CSV!H943+Taostats_CSV!R943=0)</f>
        <v>0</v>
      </c>
      <c r="T943" t="b">
        <f t="shared" si="101"/>
        <v>1</v>
      </c>
      <c r="U943" t="b" cm="1">
        <f t="array" aca="1" ref="U943" ca="1">AND(T943,OR(O943-N943&gt;1,P943&gt;1,ISERROR(A943:P943)))</f>
        <v>0</v>
      </c>
      <c r="W943" t="e">
        <f>MATCH(K943&amp;$W$2,Taostats_CSV!$X$3:$X$1167,0)</f>
        <v>#N/A</v>
      </c>
      <c r="X943" t="e">
        <f t="shared" ca="1" si="96"/>
        <v>#VALUE!</v>
      </c>
      <c r="Y943">
        <f t="shared" ca="1" si="97"/>
        <v>0.42975886200000002</v>
      </c>
      <c r="Z943" t="e">
        <f t="shared" ca="1" si="98"/>
        <v>#VALUE!</v>
      </c>
    </row>
    <row r="944" spans="1:26" x14ac:dyDescent="0.4">
      <c r="A944" t="str">
        <f>MID(Taostats_CSV!C944,6,2)&amp;"/"&amp;MID(Taostats_CSV!C944,9,2)&amp;"/"&amp;LEFT(Taostats_CSV!C944,4)&amp;" "&amp;MID(Taostats_CSV!C944,12,8)</f>
        <v>09/15/2025 23:59:48</v>
      </c>
      <c r="C944" t="str">
        <f ca="1">IF(Q944,OFFSET(Taostats_CSV!$E$1,MATCH(K944&amp;D$1,Taostats_CSV!$X:$X,0)-1,0),IF(Taostats_CSV!F944="fee",IF(VALUE(Taostats_CSV!G944)&gt;0,Taostats_CSV!E944,""),""))</f>
        <v/>
      </c>
      <c r="D944" t="str">
        <f ca="1">IF(Q944,OFFSET(Taostats_CSV!$G$1,MATCH(K944&amp;D$1,Taostats_CSV!$X:$X,0)-1,0),IF(Taostats_CSV!F944="fee",IF(VALUE(Taostats_CSV!G944)&gt;0,Taostats_CSV!G944,""),""))</f>
        <v/>
      </c>
      <c r="E944" t="str">
        <f ca="1">IF(AND(Q944,P944&gt;0),OFFSET(Taostats_CSV!$E$1,MATCH(K944&amp;F$1,Taostats_CSV!$X:$X,0)-1,0),IF(LEN(F944)&gt;0,Taostats_CSV!E944,""))</f>
        <v>SN56</v>
      </c>
      <c r="F944" t="str">
        <f ca="1">TRIM(IF(AND(Q944,P944&gt;0),OFFSET(Taostats_CSV!$H$1,MATCH(K944&amp;F$1,Taostats_CSV!$X:$X,0)-1,0),IF(LEN(Taostats_CSV!H944)&gt;0,Taostats_CSV!H944,Taostats_CSV!R944)))</f>
        <v>0.275434755</v>
      </c>
      <c r="G944" t="str">
        <f ca="1">IF(AND(Q944,N944=1),OFFSET(Taostats_CSV!$E$1,MATCH(K944&amp;H$1,Taostats_CSV!$X:$X,0)-1,0),"")</f>
        <v/>
      </c>
      <c r="H944" t="str">
        <f ca="1">IF(AND(Q944,N944=1),OFFSET(Taostats_CSV!$G$1,MATCH(K944&amp;H$1,Taostats_CSV!$X:$X,0)-1,0),"")</f>
        <v/>
      </c>
      <c r="I944" t="str">
        <f ca="1">IF(AND(LEN(K944)=0,LEN(F944)&gt;0),"Income",IF(AND(O944&gt;0,P944&gt;0,C944&lt;&gt;E944),"Trade",IF(AND(NOT(Q944),Taostats_CSV!F944="fee"),'READ ME'!$C$5,"")))</f>
        <v>Income</v>
      </c>
      <c r="J944" t="str">
        <f ca="1">SUBSTITUTE(IF(LEN(I944)=0,Taostats_CSV!F944&amp;" "&amp;Taostats_CSV!J944,IF(I944="Cost","Extrinsic fee","")),"_"," ")</f>
        <v/>
      </c>
      <c r="K944" t="str">
        <f>TRIM(IF(LEN(Taostats_CSV!I944)&gt;0,Taostats_CSV!I944,""))</f>
        <v/>
      </c>
      <c r="L944">
        <f ca="1">IF(Taostats_CSV!E944&lt;&gt;"TAO",IF(LEN(F944)&gt;0,F944,IF(LEN(D944)&gt;0,D944,0))*Taostats_CSV!P944,"")</f>
        <v>3.9155898581283228</v>
      </c>
      <c r="M944" t="str">
        <f t="shared" ca="1" si="99"/>
        <v>USD</v>
      </c>
      <c r="N944">
        <f>COUNTIF(Taostats_CSV!$X:$X,Taostats_CSV!$I944&amp;N$1)</f>
        <v>0</v>
      </c>
      <c r="O944">
        <f>COUNTIF(Taostats_CSV!$X:$X,Taostats_CSV!$I944&amp;O$1)</f>
        <v>0</v>
      </c>
      <c r="P944">
        <f>COUNTIF(Taostats_CSV!$X:$X,Taostats_CSV!$I944&amp;P$1)</f>
        <v>0</v>
      </c>
      <c r="Q944" t="b">
        <f t="shared" si="100"/>
        <v>0</v>
      </c>
      <c r="R944" t="b">
        <f>IF(LEN(K944)&gt;0,COUNTIF($K$3:K944,K944),FALSE)</f>
        <v>0</v>
      </c>
      <c r="S944" t="b">
        <f>IF(Taostats_CSV!A944=Taostats_CSV!$A$2,TRUE,Taostats_CSV!G944+Taostats_CSV!H944+Taostats_CSV!R944=0)</f>
        <v>0</v>
      </c>
      <c r="T944" t="b">
        <f t="shared" si="101"/>
        <v>1</v>
      </c>
      <c r="U944" t="b" cm="1">
        <f t="array" aca="1" ref="U944" ca="1">AND(T944,OR(O944-N944&gt;1,P944&gt;1,ISERROR(A944:P944)))</f>
        <v>0</v>
      </c>
      <c r="W944" t="e">
        <f>MATCH(K944&amp;$W$2,Taostats_CSV!$X$3:$X$1167,0)</f>
        <v>#N/A</v>
      </c>
      <c r="X944" t="e">
        <f t="shared" ca="1" si="96"/>
        <v>#VALUE!</v>
      </c>
      <c r="Y944">
        <f t="shared" ca="1" si="97"/>
        <v>0.27543475499999998</v>
      </c>
      <c r="Z944" t="e">
        <f t="shared" ca="1" si="98"/>
        <v>#VALUE!</v>
      </c>
    </row>
    <row r="945" spans="1:26" x14ac:dyDescent="0.4">
      <c r="A945" t="str">
        <f>MID(Taostats_CSV!C945,6,2)&amp;"/"&amp;MID(Taostats_CSV!C945,9,2)&amp;"/"&amp;LEFT(Taostats_CSV!C945,4)&amp;" "&amp;MID(Taostats_CSV!C945,12,8)</f>
        <v>09/15/2025 23:59:48</v>
      </c>
      <c r="C945" t="str">
        <f ca="1">IF(Q945,OFFSET(Taostats_CSV!$E$1,MATCH(K945&amp;D$1,Taostats_CSV!$X:$X,0)-1,0),IF(Taostats_CSV!F945="fee",IF(VALUE(Taostats_CSV!G945)&gt;0,Taostats_CSV!E945,""),""))</f>
        <v/>
      </c>
      <c r="D945" t="str">
        <f ca="1">IF(Q945,OFFSET(Taostats_CSV!$G$1,MATCH(K945&amp;D$1,Taostats_CSV!$X:$X,0)-1,0),IF(Taostats_CSV!F945="fee",IF(VALUE(Taostats_CSV!G945)&gt;0,Taostats_CSV!G945,""),""))</f>
        <v/>
      </c>
      <c r="E945" t="str">
        <f ca="1">IF(AND(Q945,P945&gt;0),OFFSET(Taostats_CSV!$E$1,MATCH(K945&amp;F$1,Taostats_CSV!$X:$X,0)-1,0),IF(LEN(F945)&gt;0,Taostats_CSV!E945,""))</f>
        <v>SN64</v>
      </c>
      <c r="F945" t="str">
        <f ca="1">TRIM(IF(AND(Q945,P945&gt;0),OFFSET(Taostats_CSV!$H$1,MATCH(K945&amp;F$1,Taostats_CSV!$X:$X,0)-1,0),IF(LEN(Taostats_CSV!H945)&gt;0,Taostats_CSV!H945,Taostats_CSV!R945)))</f>
        <v>0.143680375</v>
      </c>
      <c r="G945" t="str">
        <f ca="1">IF(AND(Q945,N945=1),OFFSET(Taostats_CSV!$E$1,MATCH(K945&amp;H$1,Taostats_CSV!$X:$X,0)-1,0),"")</f>
        <v/>
      </c>
      <c r="H945" t="str">
        <f ca="1">IF(AND(Q945,N945=1),OFFSET(Taostats_CSV!$G$1,MATCH(K945&amp;H$1,Taostats_CSV!$X:$X,0)-1,0),"")</f>
        <v/>
      </c>
      <c r="I945" t="str">
        <f ca="1">IF(AND(LEN(K945)=0,LEN(F945)&gt;0),"Income",IF(AND(O945&gt;0,P945&gt;0,C945&lt;&gt;E945),"Trade",IF(AND(NOT(Q945),Taostats_CSV!F945="fee"),'READ ME'!$C$5,"")))</f>
        <v>Income</v>
      </c>
      <c r="J945" t="str">
        <f ca="1">SUBSTITUTE(IF(LEN(I945)=0,Taostats_CSV!F945&amp;" "&amp;Taostats_CSV!J945,IF(I945="Cost","Extrinsic fee","")),"_"," ")</f>
        <v/>
      </c>
      <c r="K945" t="str">
        <f>TRIM(IF(LEN(Taostats_CSV!I945)&gt;0,Taostats_CSV!I945,""))</f>
        <v/>
      </c>
      <c r="L945">
        <f ca="1">IF(Taostats_CSV!E945&lt;&gt;"TAO",IF(LEN(F945)&gt;0,F945,IF(LEN(D945)&gt;0,D945,0))*Taostats_CSV!P945,"")</f>
        <v>5.1500182893489361</v>
      </c>
      <c r="M945" t="str">
        <f t="shared" ca="1" si="99"/>
        <v>USD</v>
      </c>
      <c r="N945">
        <f>COUNTIF(Taostats_CSV!$X:$X,Taostats_CSV!$I945&amp;N$1)</f>
        <v>0</v>
      </c>
      <c r="O945">
        <f>COUNTIF(Taostats_CSV!$X:$X,Taostats_CSV!$I945&amp;O$1)</f>
        <v>0</v>
      </c>
      <c r="P945">
        <f>COUNTIF(Taostats_CSV!$X:$X,Taostats_CSV!$I945&amp;P$1)</f>
        <v>0</v>
      </c>
      <c r="Q945" t="b">
        <f t="shared" si="100"/>
        <v>0</v>
      </c>
      <c r="R945" t="b">
        <f>IF(LEN(K945)&gt;0,COUNTIF($K$3:K945,K945),FALSE)</f>
        <v>0</v>
      </c>
      <c r="S945" t="b">
        <f>IF(Taostats_CSV!A945=Taostats_CSV!$A$2,TRUE,Taostats_CSV!G945+Taostats_CSV!H945+Taostats_CSV!R945=0)</f>
        <v>0</v>
      </c>
      <c r="T945" t="b">
        <f t="shared" si="101"/>
        <v>1</v>
      </c>
      <c r="U945" t="b" cm="1">
        <f t="array" aca="1" ref="U945" ca="1">AND(T945,OR(O945-N945&gt;1,P945&gt;1,ISERROR(A945:P945)))</f>
        <v>0</v>
      </c>
      <c r="W945" t="e">
        <f>MATCH(K945&amp;$W$2,Taostats_CSV!$X$3:$X$1167,0)</f>
        <v>#N/A</v>
      </c>
      <c r="X945" t="e">
        <f t="shared" ca="1" si="96"/>
        <v>#VALUE!</v>
      </c>
      <c r="Y945">
        <f t="shared" ca="1" si="97"/>
        <v>0.143680375</v>
      </c>
      <c r="Z945" t="e">
        <f t="shared" ca="1" si="98"/>
        <v>#VALUE!</v>
      </c>
    </row>
    <row r="946" spans="1:26" x14ac:dyDescent="0.4">
      <c r="A946" t="str">
        <f>MID(Taostats_CSV!C946,6,2)&amp;"/"&amp;MID(Taostats_CSV!C946,9,2)&amp;"/"&amp;LEFT(Taostats_CSV!C946,4)&amp;" "&amp;MID(Taostats_CSV!C946,12,8)</f>
        <v>09/15/2025 23:59:48</v>
      </c>
      <c r="C946" t="str">
        <f ca="1">IF(Q946,OFFSET(Taostats_CSV!$E$1,MATCH(K946&amp;D$1,Taostats_CSV!$X:$X,0)-1,0),IF(Taostats_CSV!F946="fee",IF(VALUE(Taostats_CSV!G946)&gt;0,Taostats_CSV!E946,""),""))</f>
        <v/>
      </c>
      <c r="D946" t="str">
        <f ca="1">IF(Q946,OFFSET(Taostats_CSV!$G$1,MATCH(K946&amp;D$1,Taostats_CSV!$X:$X,0)-1,0),IF(Taostats_CSV!F946="fee",IF(VALUE(Taostats_CSV!G946)&gt;0,Taostats_CSV!G946,""),""))</f>
        <v/>
      </c>
      <c r="E946" t="str">
        <f ca="1">IF(AND(Q946,P946&gt;0),OFFSET(Taostats_CSV!$E$1,MATCH(K946&amp;F$1,Taostats_CSV!$X:$X,0)-1,0),IF(LEN(F946)&gt;0,Taostats_CSV!E946,""))</f>
        <v>TAO</v>
      </c>
      <c r="F946" t="str">
        <f ca="1">TRIM(IF(AND(Q946,P946&gt;0),OFFSET(Taostats_CSV!$H$1,MATCH(K946&amp;F$1,Taostats_CSV!$X:$X,0)-1,0),IF(LEN(Taostats_CSV!H946)&gt;0,Taostats_CSV!H946,Taostats_CSV!R946)))</f>
        <v>0.009122775</v>
      </c>
      <c r="G946" t="str">
        <f ca="1">IF(AND(Q946,N946=1),OFFSET(Taostats_CSV!$E$1,MATCH(K946&amp;H$1,Taostats_CSV!$X:$X,0)-1,0),"")</f>
        <v/>
      </c>
      <c r="H946" t="str">
        <f ca="1">IF(AND(Q946,N946=1),OFFSET(Taostats_CSV!$G$1,MATCH(K946&amp;H$1,Taostats_CSV!$X:$X,0)-1,0),"")</f>
        <v/>
      </c>
      <c r="I946" t="str">
        <f ca="1">IF(AND(LEN(K946)=0,LEN(F946)&gt;0),"Income",IF(AND(O946&gt;0,P946&gt;0,C946&lt;&gt;E946),"Trade",IF(AND(NOT(Q946),Taostats_CSV!F946="fee"),'READ ME'!$C$5,"")))</f>
        <v>Income</v>
      </c>
      <c r="J946" t="str">
        <f ca="1">SUBSTITUTE(IF(LEN(I946)=0,Taostats_CSV!F946&amp;" "&amp;Taostats_CSV!J946,IF(I946="Cost","Extrinsic fee","")),"_"," ")</f>
        <v/>
      </c>
      <c r="K946" t="str">
        <f>TRIM(IF(LEN(Taostats_CSV!I946)&gt;0,Taostats_CSV!I946,""))</f>
        <v/>
      </c>
      <c r="L946" t="str">
        <f>IF(Taostats_CSV!E946&lt;&gt;"TAO",IF(LEN(F946)&gt;0,F946,IF(LEN(D946)&gt;0,D946,0))*Taostats_CSV!P946,"")</f>
        <v/>
      </c>
      <c r="M946" t="str">
        <f t="shared" si="99"/>
        <v/>
      </c>
      <c r="N946">
        <f>COUNTIF(Taostats_CSV!$X:$X,Taostats_CSV!$I946&amp;N$1)</f>
        <v>0</v>
      </c>
      <c r="O946">
        <f>COUNTIF(Taostats_CSV!$X:$X,Taostats_CSV!$I946&amp;O$1)</f>
        <v>0</v>
      </c>
      <c r="P946">
        <f>COUNTIF(Taostats_CSV!$X:$X,Taostats_CSV!$I946&amp;P$1)</f>
        <v>0</v>
      </c>
      <c r="Q946" t="b">
        <f t="shared" si="100"/>
        <v>0</v>
      </c>
      <c r="R946" t="b">
        <f>IF(LEN(K946)&gt;0,COUNTIF($K$3:K946,K946),FALSE)</f>
        <v>0</v>
      </c>
      <c r="S946" t="b">
        <f>IF(Taostats_CSV!A946=Taostats_CSV!$A$2,TRUE,Taostats_CSV!G946+Taostats_CSV!H946+Taostats_CSV!R946=0)</f>
        <v>0</v>
      </c>
      <c r="T946" t="b">
        <f t="shared" si="101"/>
        <v>1</v>
      </c>
      <c r="U946" t="b" cm="1">
        <f t="array" aca="1" ref="U946" ca="1">AND(T946,OR(O946-N946&gt;1,P946&gt;1,ISERROR(A946:P946)))</f>
        <v>0</v>
      </c>
      <c r="W946" t="e">
        <f>MATCH(K946&amp;$W$2,Taostats_CSV!$X$3:$X$1167,0)</f>
        <v>#N/A</v>
      </c>
      <c r="X946" t="e">
        <f t="shared" ca="1" si="96"/>
        <v>#VALUE!</v>
      </c>
      <c r="Y946">
        <f t="shared" ca="1" si="97"/>
        <v>9.1227749999999996E-3</v>
      </c>
      <c r="Z946" t="e">
        <f t="shared" ca="1" si="98"/>
        <v>#VALUE!</v>
      </c>
    </row>
    <row r="947" spans="1:26" x14ac:dyDescent="0.4">
      <c r="A947" t="str">
        <f>MID(Taostats_CSV!C947,6,2)&amp;"/"&amp;MID(Taostats_CSV!C947,9,2)&amp;"/"&amp;LEFT(Taostats_CSV!C947,4)&amp;" "&amp;MID(Taostats_CSV!C947,12,8)</f>
        <v>09/16/2025 23:59:48</v>
      </c>
      <c r="C947" t="str">
        <f ca="1">IF(Q947,OFFSET(Taostats_CSV!$E$1,MATCH(K947&amp;D$1,Taostats_CSV!$X:$X,0)-1,0),IF(Taostats_CSV!F947="fee",IF(VALUE(Taostats_CSV!G947)&gt;0,Taostats_CSV!E947,""),""))</f>
        <v/>
      </c>
      <c r="D947" t="str">
        <f ca="1">IF(Q947,OFFSET(Taostats_CSV!$G$1,MATCH(K947&amp;D$1,Taostats_CSV!$X:$X,0)-1,0),IF(Taostats_CSV!F947="fee",IF(VALUE(Taostats_CSV!G947)&gt;0,Taostats_CSV!G947,""),""))</f>
        <v/>
      </c>
      <c r="E947" t="str">
        <f ca="1">IF(AND(Q947,P947&gt;0),OFFSET(Taostats_CSV!$E$1,MATCH(K947&amp;F$1,Taostats_CSV!$X:$X,0)-1,0),IF(LEN(F947)&gt;0,Taostats_CSV!E947,""))</f>
        <v>SN3</v>
      </c>
      <c r="F947" t="str">
        <f ca="1">TRIM(IF(AND(Q947,P947&gt;0),OFFSET(Taostats_CSV!$H$1,MATCH(K947&amp;F$1,Taostats_CSV!$X:$X,0)-1,0),IF(LEN(Taostats_CSV!H947)&gt;0,Taostats_CSV!H947,Taostats_CSV!R947)))</f>
        <v>0.485359954</v>
      </c>
      <c r="G947" t="str">
        <f ca="1">IF(AND(Q947,N947=1),OFFSET(Taostats_CSV!$E$1,MATCH(K947&amp;H$1,Taostats_CSV!$X:$X,0)-1,0),"")</f>
        <v/>
      </c>
      <c r="H947" t="str">
        <f ca="1">IF(AND(Q947,N947=1),OFFSET(Taostats_CSV!$G$1,MATCH(K947&amp;H$1,Taostats_CSV!$X:$X,0)-1,0),"")</f>
        <v/>
      </c>
      <c r="I947" t="str">
        <f ca="1">IF(AND(LEN(K947)=0,LEN(F947)&gt;0),"Income",IF(AND(O947&gt;0,P947&gt;0,C947&lt;&gt;E947),"Trade",IF(AND(NOT(Q947),Taostats_CSV!F947="fee"),'READ ME'!$C$5,"")))</f>
        <v>Income</v>
      </c>
      <c r="J947" t="str">
        <f ca="1">SUBSTITUTE(IF(LEN(I947)=0,Taostats_CSV!F947&amp;" "&amp;Taostats_CSV!J947,IF(I947="Cost","Extrinsic fee","")),"_"," ")</f>
        <v/>
      </c>
      <c r="K947" t="str">
        <f>TRIM(IF(LEN(Taostats_CSV!I947)&gt;0,Taostats_CSV!I947,""))</f>
        <v/>
      </c>
      <c r="L947">
        <f ca="1">IF(Taostats_CSV!E947&lt;&gt;"TAO",IF(LEN(F947)&gt;0,F947,IF(LEN(D947)&gt;0,D947,0))*Taostats_CSV!P947,"")</f>
        <v>5.8640056601799149</v>
      </c>
      <c r="M947" t="str">
        <f t="shared" ca="1" si="99"/>
        <v>USD</v>
      </c>
      <c r="N947">
        <f>COUNTIF(Taostats_CSV!$X:$X,Taostats_CSV!$I947&amp;N$1)</f>
        <v>0</v>
      </c>
      <c r="O947">
        <f>COUNTIF(Taostats_CSV!$X:$X,Taostats_CSV!$I947&amp;O$1)</f>
        <v>0</v>
      </c>
      <c r="P947">
        <f>COUNTIF(Taostats_CSV!$X:$X,Taostats_CSV!$I947&amp;P$1)</f>
        <v>0</v>
      </c>
      <c r="Q947" t="b">
        <f t="shared" si="100"/>
        <v>0</v>
      </c>
      <c r="R947" t="b">
        <f>IF(LEN(K947)&gt;0,COUNTIF($K$3:K947,K947),FALSE)</f>
        <v>0</v>
      </c>
      <c r="S947" t="b">
        <f>IF(Taostats_CSV!A947=Taostats_CSV!$A$2,TRUE,Taostats_CSV!G947+Taostats_CSV!H947+Taostats_CSV!R947=0)</f>
        <v>0</v>
      </c>
      <c r="T947" t="b">
        <f t="shared" si="101"/>
        <v>1</v>
      </c>
      <c r="U947" t="b" cm="1">
        <f t="array" aca="1" ref="U947" ca="1">AND(T947,OR(O947-N947&gt;1,P947&gt;1,ISERROR(A947:P947)))</f>
        <v>0</v>
      </c>
      <c r="W947" t="e">
        <f>MATCH(K947&amp;$W$2,Taostats_CSV!$X$3:$X$1167,0)</f>
        <v>#N/A</v>
      </c>
      <c r="X947" t="e">
        <f t="shared" ca="1" si="96"/>
        <v>#VALUE!</v>
      </c>
      <c r="Y947">
        <f t="shared" ca="1" si="97"/>
        <v>0.48535995399999998</v>
      </c>
      <c r="Z947" t="e">
        <f t="shared" ca="1" si="98"/>
        <v>#VALUE!</v>
      </c>
    </row>
    <row r="948" spans="1:26" x14ac:dyDescent="0.4">
      <c r="A948" t="str">
        <f>MID(Taostats_CSV!C948,6,2)&amp;"/"&amp;MID(Taostats_CSV!C948,9,2)&amp;"/"&amp;LEFT(Taostats_CSV!C948,4)&amp;" "&amp;MID(Taostats_CSV!C948,12,8)</f>
        <v>09/16/2025 23:59:48</v>
      </c>
      <c r="C948" t="str">
        <f ca="1">IF(Q948,OFFSET(Taostats_CSV!$E$1,MATCH(K948&amp;D$1,Taostats_CSV!$X:$X,0)-1,0),IF(Taostats_CSV!F948="fee",IF(VALUE(Taostats_CSV!G948)&gt;0,Taostats_CSV!E948,""),""))</f>
        <v/>
      </c>
      <c r="D948" t="str">
        <f ca="1">IF(Q948,OFFSET(Taostats_CSV!$G$1,MATCH(K948&amp;D$1,Taostats_CSV!$X:$X,0)-1,0),IF(Taostats_CSV!F948="fee",IF(VALUE(Taostats_CSV!G948)&gt;0,Taostats_CSV!G948,""),""))</f>
        <v/>
      </c>
      <c r="E948" t="str">
        <f ca="1">IF(AND(Q948,P948&gt;0),OFFSET(Taostats_CSV!$E$1,MATCH(K948&amp;F$1,Taostats_CSV!$X:$X,0)-1,0),IF(LEN(F948)&gt;0,Taostats_CSV!E948,""))</f>
        <v>SN4</v>
      </c>
      <c r="F948" t="str">
        <f ca="1">TRIM(IF(AND(Q948,P948&gt;0),OFFSET(Taostats_CSV!$H$1,MATCH(K948&amp;F$1,Taostats_CSV!$X:$X,0)-1,0),IF(LEN(Taostats_CSV!H948)&gt;0,Taostats_CSV!H948,Taostats_CSV!R948)))</f>
        <v>0.421291744</v>
      </c>
      <c r="G948" t="str">
        <f ca="1">IF(AND(Q948,N948=1),OFFSET(Taostats_CSV!$E$1,MATCH(K948&amp;H$1,Taostats_CSV!$X:$X,0)-1,0),"")</f>
        <v/>
      </c>
      <c r="H948" t="str">
        <f ca="1">IF(AND(Q948,N948=1),OFFSET(Taostats_CSV!$G$1,MATCH(K948&amp;H$1,Taostats_CSV!$X:$X,0)-1,0),"")</f>
        <v/>
      </c>
      <c r="I948" t="str">
        <f ca="1">IF(AND(LEN(K948)=0,LEN(F948)&gt;0),"Income",IF(AND(O948&gt;0,P948&gt;0,C948&lt;&gt;E948),"Trade",IF(AND(NOT(Q948),Taostats_CSV!F948="fee"),'READ ME'!$C$5,"")))</f>
        <v>Income</v>
      </c>
      <c r="J948" t="str">
        <f ca="1">SUBSTITUTE(IF(LEN(I948)=0,Taostats_CSV!F948&amp;" "&amp;Taostats_CSV!J948,IF(I948="Cost","Extrinsic fee","")),"_"," ")</f>
        <v/>
      </c>
      <c r="K948" t="str">
        <f>TRIM(IF(LEN(Taostats_CSV!I948)&gt;0,Taostats_CSV!I948,""))</f>
        <v/>
      </c>
      <c r="L948">
        <f ca="1">IF(Taostats_CSV!E948&lt;&gt;"TAO",IF(LEN(F948)&gt;0,F948,IF(LEN(D948)&gt;0,D948,0))*Taostats_CSV!P948,"")</f>
        <v>6.8883669581058875</v>
      </c>
      <c r="M948" t="str">
        <f t="shared" ca="1" si="99"/>
        <v>USD</v>
      </c>
      <c r="N948">
        <f>COUNTIF(Taostats_CSV!$X:$X,Taostats_CSV!$I948&amp;N$1)</f>
        <v>0</v>
      </c>
      <c r="O948">
        <f>COUNTIF(Taostats_CSV!$X:$X,Taostats_CSV!$I948&amp;O$1)</f>
        <v>0</v>
      </c>
      <c r="P948">
        <f>COUNTIF(Taostats_CSV!$X:$X,Taostats_CSV!$I948&amp;P$1)</f>
        <v>0</v>
      </c>
      <c r="Q948" t="b">
        <f t="shared" si="100"/>
        <v>0</v>
      </c>
      <c r="R948" t="b">
        <f>IF(LEN(K948)&gt;0,COUNTIF($K$3:K948,K948),FALSE)</f>
        <v>0</v>
      </c>
      <c r="S948" t="b">
        <f>IF(Taostats_CSV!A948=Taostats_CSV!$A$2,TRUE,Taostats_CSV!G948+Taostats_CSV!H948+Taostats_CSV!R948=0)</f>
        <v>0</v>
      </c>
      <c r="T948" t="b">
        <f t="shared" si="101"/>
        <v>1</v>
      </c>
      <c r="U948" t="b" cm="1">
        <f t="array" aca="1" ref="U948" ca="1">AND(T948,OR(O948-N948&gt;1,P948&gt;1,ISERROR(A948:P948)))</f>
        <v>0</v>
      </c>
      <c r="W948" t="e">
        <f>MATCH(K948&amp;$W$2,Taostats_CSV!$X$3:$X$1167,0)</f>
        <v>#N/A</v>
      </c>
      <c r="X948" t="e">
        <f t="shared" ca="1" si="96"/>
        <v>#VALUE!</v>
      </c>
      <c r="Y948">
        <f t="shared" ca="1" si="97"/>
        <v>0.42129174400000002</v>
      </c>
      <c r="Z948" t="e">
        <f t="shared" ca="1" si="98"/>
        <v>#VALUE!</v>
      </c>
    </row>
    <row r="949" spans="1:26" x14ac:dyDescent="0.4">
      <c r="A949" t="str">
        <f>MID(Taostats_CSV!C949,6,2)&amp;"/"&amp;MID(Taostats_CSV!C949,9,2)&amp;"/"&amp;LEFT(Taostats_CSV!C949,4)&amp;" "&amp;MID(Taostats_CSV!C949,12,8)</f>
        <v>09/16/2025 23:59:48</v>
      </c>
      <c r="C949" t="str">
        <f ca="1">IF(Q949,OFFSET(Taostats_CSV!$E$1,MATCH(K949&amp;D$1,Taostats_CSV!$X:$X,0)-1,0),IF(Taostats_CSV!F949="fee",IF(VALUE(Taostats_CSV!G949)&gt;0,Taostats_CSV!E949,""),""))</f>
        <v/>
      </c>
      <c r="D949" t="str">
        <f ca="1">IF(Q949,OFFSET(Taostats_CSV!$G$1,MATCH(K949&amp;D$1,Taostats_CSV!$X:$X,0)-1,0),IF(Taostats_CSV!F949="fee",IF(VALUE(Taostats_CSV!G949)&gt;0,Taostats_CSV!G949,""),""))</f>
        <v/>
      </c>
      <c r="E949" t="str">
        <f ca="1">IF(AND(Q949,P949&gt;0),OFFSET(Taostats_CSV!$E$1,MATCH(K949&amp;F$1,Taostats_CSV!$X:$X,0)-1,0),IF(LEN(F949)&gt;0,Taostats_CSV!E949,""))</f>
        <v>SN56</v>
      </c>
      <c r="F949" t="str">
        <f ca="1">TRIM(IF(AND(Q949,P949&gt;0),OFFSET(Taostats_CSV!$H$1,MATCH(K949&amp;F$1,Taostats_CSV!$X:$X,0)-1,0),IF(LEN(Taostats_CSV!H949)&gt;0,Taostats_CSV!H949,Taostats_CSV!R949)))</f>
        <v>0.281083469</v>
      </c>
      <c r="G949" t="str">
        <f ca="1">IF(AND(Q949,N949=1),OFFSET(Taostats_CSV!$E$1,MATCH(K949&amp;H$1,Taostats_CSV!$X:$X,0)-1,0),"")</f>
        <v/>
      </c>
      <c r="H949" t="str">
        <f ca="1">IF(AND(Q949,N949=1),OFFSET(Taostats_CSV!$G$1,MATCH(K949&amp;H$1,Taostats_CSV!$X:$X,0)-1,0),"")</f>
        <v/>
      </c>
      <c r="I949" t="str">
        <f ca="1">IF(AND(LEN(K949)=0,LEN(F949)&gt;0),"Income",IF(AND(O949&gt;0,P949&gt;0,C949&lt;&gt;E949),"Trade",IF(AND(NOT(Q949),Taostats_CSV!F949="fee"),'READ ME'!$C$5,"")))</f>
        <v>Income</v>
      </c>
      <c r="J949" t="str">
        <f ca="1">SUBSTITUTE(IF(LEN(I949)=0,Taostats_CSV!F949&amp;" "&amp;Taostats_CSV!J949,IF(I949="Cost","Extrinsic fee","")),"_"," ")</f>
        <v/>
      </c>
      <c r="K949" t="str">
        <f>TRIM(IF(LEN(Taostats_CSV!I949)&gt;0,Taostats_CSV!I949,""))</f>
        <v/>
      </c>
      <c r="L949">
        <f ca="1">IF(Taostats_CSV!E949&lt;&gt;"TAO",IF(LEN(F949)&gt;0,F949,IF(LEN(D949)&gt;0,D949,0))*Taostats_CSV!P949,"")</f>
        <v>3.9711953042104686</v>
      </c>
      <c r="M949" t="str">
        <f t="shared" ca="1" si="99"/>
        <v>USD</v>
      </c>
      <c r="N949">
        <f>COUNTIF(Taostats_CSV!$X:$X,Taostats_CSV!$I949&amp;N$1)</f>
        <v>0</v>
      </c>
      <c r="O949">
        <f>COUNTIF(Taostats_CSV!$X:$X,Taostats_CSV!$I949&amp;O$1)</f>
        <v>0</v>
      </c>
      <c r="P949">
        <f>COUNTIF(Taostats_CSV!$X:$X,Taostats_CSV!$I949&amp;P$1)</f>
        <v>0</v>
      </c>
      <c r="Q949" t="b">
        <f t="shared" si="100"/>
        <v>0</v>
      </c>
      <c r="R949" t="b">
        <f>IF(LEN(K949)&gt;0,COUNTIF($K$3:K949,K949),FALSE)</f>
        <v>0</v>
      </c>
      <c r="S949" t="b">
        <f>IF(Taostats_CSV!A949=Taostats_CSV!$A$2,TRUE,Taostats_CSV!G949+Taostats_CSV!H949+Taostats_CSV!R949=0)</f>
        <v>0</v>
      </c>
      <c r="T949" t="b">
        <f t="shared" si="101"/>
        <v>1</v>
      </c>
      <c r="U949" t="b" cm="1">
        <f t="array" aca="1" ref="U949" ca="1">AND(T949,OR(O949-N949&gt;1,P949&gt;1,ISERROR(A949:P949)))</f>
        <v>0</v>
      </c>
      <c r="W949" t="e">
        <f>MATCH(K949&amp;$W$2,Taostats_CSV!$X$3:$X$1167,0)</f>
        <v>#N/A</v>
      </c>
      <c r="X949" t="e">
        <f t="shared" ca="1" si="96"/>
        <v>#VALUE!</v>
      </c>
      <c r="Y949">
        <f t="shared" ca="1" si="97"/>
        <v>0.28108346899999997</v>
      </c>
      <c r="Z949" t="e">
        <f t="shared" ca="1" si="98"/>
        <v>#VALUE!</v>
      </c>
    </row>
    <row r="950" spans="1:26" x14ac:dyDescent="0.4">
      <c r="A950" t="str">
        <f>MID(Taostats_CSV!C950,6,2)&amp;"/"&amp;MID(Taostats_CSV!C950,9,2)&amp;"/"&amp;LEFT(Taostats_CSV!C950,4)&amp;" "&amp;MID(Taostats_CSV!C950,12,8)</f>
        <v>09/16/2025 23:59:48</v>
      </c>
      <c r="C950" t="str">
        <f ca="1">IF(Q950,OFFSET(Taostats_CSV!$E$1,MATCH(K950&amp;D$1,Taostats_CSV!$X:$X,0)-1,0),IF(Taostats_CSV!F950="fee",IF(VALUE(Taostats_CSV!G950)&gt;0,Taostats_CSV!E950,""),""))</f>
        <v/>
      </c>
      <c r="D950" t="str">
        <f ca="1">IF(Q950,OFFSET(Taostats_CSV!$G$1,MATCH(K950&amp;D$1,Taostats_CSV!$X:$X,0)-1,0),IF(Taostats_CSV!F950="fee",IF(VALUE(Taostats_CSV!G950)&gt;0,Taostats_CSV!G950,""),""))</f>
        <v/>
      </c>
      <c r="E950" t="str">
        <f ca="1">IF(AND(Q950,P950&gt;0),OFFSET(Taostats_CSV!$E$1,MATCH(K950&amp;F$1,Taostats_CSV!$X:$X,0)-1,0),IF(LEN(F950)&gt;0,Taostats_CSV!E950,""))</f>
        <v>SN64</v>
      </c>
      <c r="F950" t="str">
        <f ca="1">TRIM(IF(AND(Q950,P950&gt;0),OFFSET(Taostats_CSV!$H$1,MATCH(K950&amp;F$1,Taostats_CSV!$X:$X,0)-1,0),IF(LEN(Taostats_CSV!H950)&gt;0,Taostats_CSV!H950,Taostats_CSV!R950)))</f>
        <v>0.143637452</v>
      </c>
      <c r="G950" t="str">
        <f ca="1">IF(AND(Q950,N950=1),OFFSET(Taostats_CSV!$E$1,MATCH(K950&amp;H$1,Taostats_CSV!$X:$X,0)-1,0),"")</f>
        <v/>
      </c>
      <c r="H950" t="str">
        <f ca="1">IF(AND(Q950,N950=1),OFFSET(Taostats_CSV!$G$1,MATCH(K950&amp;H$1,Taostats_CSV!$X:$X,0)-1,0),"")</f>
        <v/>
      </c>
      <c r="I950" t="str">
        <f ca="1">IF(AND(LEN(K950)=0,LEN(F950)&gt;0),"Income",IF(AND(O950&gt;0,P950&gt;0,C950&lt;&gt;E950),"Trade",IF(AND(NOT(Q950),Taostats_CSV!F950="fee"),'READ ME'!$C$5,"")))</f>
        <v>Income</v>
      </c>
      <c r="J950" t="str">
        <f ca="1">SUBSTITUTE(IF(LEN(I950)=0,Taostats_CSV!F950&amp;" "&amp;Taostats_CSV!J950,IF(I950="Cost","Extrinsic fee","")),"_"," ")</f>
        <v/>
      </c>
      <c r="K950" t="str">
        <f>TRIM(IF(LEN(Taostats_CSV!I950)&gt;0,Taostats_CSV!I950,""))</f>
        <v/>
      </c>
      <c r="L950">
        <f ca="1">IF(Taostats_CSV!E950&lt;&gt;"TAO",IF(LEN(F950)&gt;0,F950,IF(LEN(D950)&gt;0,D950,0))*Taostats_CSV!P950,"")</f>
        <v>5.1325458022845227</v>
      </c>
      <c r="M950" t="str">
        <f t="shared" ca="1" si="99"/>
        <v>USD</v>
      </c>
      <c r="N950">
        <f>COUNTIF(Taostats_CSV!$X:$X,Taostats_CSV!$I950&amp;N$1)</f>
        <v>0</v>
      </c>
      <c r="O950">
        <f>COUNTIF(Taostats_CSV!$X:$X,Taostats_CSV!$I950&amp;O$1)</f>
        <v>0</v>
      </c>
      <c r="P950">
        <f>COUNTIF(Taostats_CSV!$X:$X,Taostats_CSV!$I950&amp;P$1)</f>
        <v>0</v>
      </c>
      <c r="Q950" t="b">
        <f t="shared" si="100"/>
        <v>0</v>
      </c>
      <c r="R950" t="b">
        <f>IF(LEN(K950)&gt;0,COUNTIF($K$3:K950,K950),FALSE)</f>
        <v>0</v>
      </c>
      <c r="S950" t="b">
        <f>IF(Taostats_CSV!A950=Taostats_CSV!$A$2,TRUE,Taostats_CSV!G950+Taostats_CSV!H950+Taostats_CSV!R950=0)</f>
        <v>0</v>
      </c>
      <c r="T950" t="b">
        <f t="shared" si="101"/>
        <v>1</v>
      </c>
      <c r="U950" t="b" cm="1">
        <f t="array" aca="1" ref="U950" ca="1">AND(T950,OR(O950-N950&gt;1,P950&gt;1,ISERROR(A950:P950)))</f>
        <v>0</v>
      </c>
      <c r="W950" t="e">
        <f>MATCH(K950&amp;$W$2,Taostats_CSV!$X$3:$X$1167,0)</f>
        <v>#N/A</v>
      </c>
      <c r="X950" t="e">
        <f t="shared" ca="1" si="96"/>
        <v>#VALUE!</v>
      </c>
      <c r="Y950">
        <f t="shared" ca="1" si="97"/>
        <v>0.143637452</v>
      </c>
      <c r="Z950" t="e">
        <f t="shared" ca="1" si="98"/>
        <v>#VALUE!</v>
      </c>
    </row>
    <row r="951" spans="1:26" x14ac:dyDescent="0.4">
      <c r="A951" t="str">
        <f>MID(Taostats_CSV!C951,6,2)&amp;"/"&amp;MID(Taostats_CSV!C951,9,2)&amp;"/"&amp;LEFT(Taostats_CSV!C951,4)&amp;" "&amp;MID(Taostats_CSV!C951,12,8)</f>
        <v>09/16/2025 23:59:48</v>
      </c>
      <c r="C951" t="str">
        <f ca="1">IF(Q951,OFFSET(Taostats_CSV!$E$1,MATCH(K951&amp;D$1,Taostats_CSV!$X:$X,0)-1,0),IF(Taostats_CSV!F951="fee",IF(VALUE(Taostats_CSV!G951)&gt;0,Taostats_CSV!E951,""),""))</f>
        <v/>
      </c>
      <c r="D951" t="str">
        <f ca="1">IF(Q951,OFFSET(Taostats_CSV!$G$1,MATCH(K951&amp;D$1,Taostats_CSV!$X:$X,0)-1,0),IF(Taostats_CSV!F951="fee",IF(VALUE(Taostats_CSV!G951)&gt;0,Taostats_CSV!G951,""),""))</f>
        <v/>
      </c>
      <c r="E951" t="str">
        <f ca="1">IF(AND(Q951,P951&gt;0),OFFSET(Taostats_CSV!$E$1,MATCH(K951&amp;F$1,Taostats_CSV!$X:$X,0)-1,0),IF(LEN(F951)&gt;0,Taostats_CSV!E951,""))</f>
        <v>TAO</v>
      </c>
      <c r="F951" t="str">
        <f ca="1">TRIM(IF(AND(Q951,P951&gt;0),OFFSET(Taostats_CSV!$H$1,MATCH(K951&amp;F$1,Taostats_CSV!$X:$X,0)-1,0),IF(LEN(Taostats_CSV!H951)&gt;0,Taostats_CSV!H951,Taostats_CSV!R951)))</f>
        <v>0.009300859</v>
      </c>
      <c r="G951" t="str">
        <f ca="1">IF(AND(Q951,N951=1),OFFSET(Taostats_CSV!$E$1,MATCH(K951&amp;H$1,Taostats_CSV!$X:$X,0)-1,0),"")</f>
        <v/>
      </c>
      <c r="H951" t="str">
        <f ca="1">IF(AND(Q951,N951=1),OFFSET(Taostats_CSV!$G$1,MATCH(K951&amp;H$1,Taostats_CSV!$X:$X,0)-1,0),"")</f>
        <v/>
      </c>
      <c r="I951" t="str">
        <f ca="1">IF(AND(LEN(K951)=0,LEN(F951)&gt;0),"Income",IF(AND(O951&gt;0,P951&gt;0,C951&lt;&gt;E951),"Trade",IF(AND(NOT(Q951),Taostats_CSV!F951="fee"),'READ ME'!$C$5,"")))</f>
        <v>Income</v>
      </c>
      <c r="J951" t="str">
        <f ca="1">SUBSTITUTE(IF(LEN(I951)=0,Taostats_CSV!F951&amp;" "&amp;Taostats_CSV!J951,IF(I951="Cost","Extrinsic fee","")),"_"," ")</f>
        <v/>
      </c>
      <c r="K951" t="str">
        <f>TRIM(IF(LEN(Taostats_CSV!I951)&gt;0,Taostats_CSV!I951,""))</f>
        <v/>
      </c>
      <c r="L951" t="str">
        <f>IF(Taostats_CSV!E951&lt;&gt;"TAO",IF(LEN(F951)&gt;0,F951,IF(LEN(D951)&gt;0,D951,0))*Taostats_CSV!P951,"")</f>
        <v/>
      </c>
      <c r="M951" t="str">
        <f t="shared" si="99"/>
        <v/>
      </c>
      <c r="N951">
        <f>COUNTIF(Taostats_CSV!$X:$X,Taostats_CSV!$I951&amp;N$1)</f>
        <v>0</v>
      </c>
      <c r="O951">
        <f>COUNTIF(Taostats_CSV!$X:$X,Taostats_CSV!$I951&amp;O$1)</f>
        <v>0</v>
      </c>
      <c r="P951">
        <f>COUNTIF(Taostats_CSV!$X:$X,Taostats_CSV!$I951&amp;P$1)</f>
        <v>0</v>
      </c>
      <c r="Q951" t="b">
        <f t="shared" si="100"/>
        <v>0</v>
      </c>
      <c r="R951" t="b">
        <f>IF(LEN(K951)&gt;0,COUNTIF($K$3:K951,K951),FALSE)</f>
        <v>0</v>
      </c>
      <c r="S951" t="b">
        <f>IF(Taostats_CSV!A951=Taostats_CSV!$A$2,TRUE,Taostats_CSV!G951+Taostats_CSV!H951+Taostats_CSV!R951=0)</f>
        <v>0</v>
      </c>
      <c r="T951" t="b">
        <f t="shared" si="101"/>
        <v>1</v>
      </c>
      <c r="U951" t="b" cm="1">
        <f t="array" aca="1" ref="U951" ca="1">AND(T951,OR(O951-N951&gt;1,P951&gt;1,ISERROR(A951:P951)))</f>
        <v>0</v>
      </c>
      <c r="W951" t="e">
        <f>MATCH(K951&amp;$W$2,Taostats_CSV!$X$3:$X$1167,0)</f>
        <v>#N/A</v>
      </c>
      <c r="X951" t="e">
        <f t="shared" ca="1" si="96"/>
        <v>#VALUE!</v>
      </c>
      <c r="Y951">
        <f t="shared" ca="1" si="97"/>
        <v>9.3008589999999999E-3</v>
      </c>
      <c r="Z951" t="e">
        <f t="shared" ca="1" si="98"/>
        <v>#VALUE!</v>
      </c>
    </row>
    <row r="952" spans="1:26" x14ac:dyDescent="0.4">
      <c r="A952" t="str">
        <f>MID(Taostats_CSV!C952,6,2)&amp;"/"&amp;MID(Taostats_CSV!C952,9,2)&amp;"/"&amp;LEFT(Taostats_CSV!C952,4)&amp;" "&amp;MID(Taostats_CSV!C952,12,8)</f>
        <v>09/17/2025 23:59:48</v>
      </c>
      <c r="C952" t="str">
        <f ca="1">IF(Q952,OFFSET(Taostats_CSV!$E$1,MATCH(K952&amp;D$1,Taostats_CSV!$X:$X,0)-1,0),IF(Taostats_CSV!F952="fee",IF(VALUE(Taostats_CSV!G952)&gt;0,Taostats_CSV!E952,""),""))</f>
        <v/>
      </c>
      <c r="D952" t="str">
        <f ca="1">IF(Q952,OFFSET(Taostats_CSV!$G$1,MATCH(K952&amp;D$1,Taostats_CSV!$X:$X,0)-1,0),IF(Taostats_CSV!F952="fee",IF(VALUE(Taostats_CSV!G952)&gt;0,Taostats_CSV!G952,""),""))</f>
        <v/>
      </c>
      <c r="E952" t="str">
        <f ca="1">IF(AND(Q952,P952&gt;0),OFFSET(Taostats_CSV!$E$1,MATCH(K952&amp;F$1,Taostats_CSV!$X:$X,0)-1,0),IF(LEN(F952)&gt;0,Taostats_CSV!E952,""))</f>
        <v>SN3</v>
      </c>
      <c r="F952" t="str">
        <f ca="1">TRIM(IF(AND(Q952,P952&gt;0),OFFSET(Taostats_CSV!$H$1,MATCH(K952&amp;F$1,Taostats_CSV!$X:$X,0)-1,0),IF(LEN(Taostats_CSV!H952)&gt;0,Taostats_CSV!H952,Taostats_CSV!R952)))</f>
        <v>0.487776914</v>
      </c>
      <c r="G952" t="str">
        <f ca="1">IF(AND(Q952,N952=1),OFFSET(Taostats_CSV!$E$1,MATCH(K952&amp;H$1,Taostats_CSV!$X:$X,0)-1,0),"")</f>
        <v/>
      </c>
      <c r="H952" t="str">
        <f ca="1">IF(AND(Q952,N952=1),OFFSET(Taostats_CSV!$G$1,MATCH(K952&amp;H$1,Taostats_CSV!$X:$X,0)-1,0),"")</f>
        <v/>
      </c>
      <c r="I952" t="str">
        <f ca="1">IF(AND(LEN(K952)=0,LEN(F952)&gt;0),"Income",IF(AND(O952&gt;0,P952&gt;0,C952&lt;&gt;E952),"Trade",IF(AND(NOT(Q952),Taostats_CSV!F952="fee"),'READ ME'!$C$5,"")))</f>
        <v>Income</v>
      </c>
      <c r="J952" t="str">
        <f ca="1">SUBSTITUTE(IF(LEN(I952)=0,Taostats_CSV!F952&amp;" "&amp;Taostats_CSV!J952,IF(I952="Cost","Extrinsic fee","")),"_"," ")</f>
        <v/>
      </c>
      <c r="K952" t="str">
        <f>TRIM(IF(LEN(Taostats_CSV!I952)&gt;0,Taostats_CSV!I952,""))</f>
        <v/>
      </c>
      <c r="L952">
        <f ca="1">IF(Taostats_CSV!E952&lt;&gt;"TAO",IF(LEN(F952)&gt;0,F952,IF(LEN(D952)&gt;0,D952,0))*Taostats_CSV!P952,"")</f>
        <v>6.1515797887588706</v>
      </c>
      <c r="M952" t="str">
        <f t="shared" ca="1" si="99"/>
        <v>USD</v>
      </c>
      <c r="N952">
        <f>COUNTIF(Taostats_CSV!$X:$X,Taostats_CSV!$I952&amp;N$1)</f>
        <v>0</v>
      </c>
      <c r="O952">
        <f>COUNTIF(Taostats_CSV!$X:$X,Taostats_CSV!$I952&amp;O$1)</f>
        <v>0</v>
      </c>
      <c r="P952">
        <f>COUNTIF(Taostats_CSV!$X:$X,Taostats_CSV!$I952&amp;P$1)</f>
        <v>0</v>
      </c>
      <c r="Q952" t="b">
        <f t="shared" si="100"/>
        <v>0</v>
      </c>
      <c r="R952" t="b">
        <f>IF(LEN(K952)&gt;0,COUNTIF($K$3:K952,K952),FALSE)</f>
        <v>0</v>
      </c>
      <c r="S952" t="b">
        <f>IF(Taostats_CSV!A952=Taostats_CSV!$A$2,TRUE,Taostats_CSV!G952+Taostats_CSV!H952+Taostats_CSV!R952=0)</f>
        <v>0</v>
      </c>
      <c r="T952" t="b">
        <f t="shared" si="101"/>
        <v>1</v>
      </c>
      <c r="U952" t="b" cm="1">
        <f t="array" aca="1" ref="U952" ca="1">AND(T952,OR(O952-N952&gt;1,P952&gt;1,ISERROR(A952:P952)))</f>
        <v>0</v>
      </c>
      <c r="W952" t="e">
        <f>MATCH(K952&amp;$W$2,Taostats_CSV!$X$3:$X$1167,0)</f>
        <v>#N/A</v>
      </c>
      <c r="X952" t="e">
        <f t="shared" ca="1" si="96"/>
        <v>#VALUE!</v>
      </c>
      <c r="Y952">
        <f t="shared" ca="1" si="97"/>
        <v>0.48777691400000001</v>
      </c>
      <c r="Z952" t="e">
        <f t="shared" ca="1" si="98"/>
        <v>#VALUE!</v>
      </c>
    </row>
    <row r="953" spans="1:26" x14ac:dyDescent="0.4">
      <c r="A953" t="str">
        <f>MID(Taostats_CSV!C953,6,2)&amp;"/"&amp;MID(Taostats_CSV!C953,9,2)&amp;"/"&amp;LEFT(Taostats_CSV!C953,4)&amp;" "&amp;MID(Taostats_CSV!C953,12,8)</f>
        <v>09/17/2025 23:59:48</v>
      </c>
      <c r="C953" t="str">
        <f ca="1">IF(Q953,OFFSET(Taostats_CSV!$E$1,MATCH(K953&amp;D$1,Taostats_CSV!$X:$X,0)-1,0),IF(Taostats_CSV!F953="fee",IF(VALUE(Taostats_CSV!G953)&gt;0,Taostats_CSV!E953,""),""))</f>
        <v/>
      </c>
      <c r="D953" t="str">
        <f ca="1">IF(Q953,OFFSET(Taostats_CSV!$G$1,MATCH(K953&amp;D$1,Taostats_CSV!$X:$X,0)-1,0),IF(Taostats_CSV!F953="fee",IF(VALUE(Taostats_CSV!G953)&gt;0,Taostats_CSV!G953,""),""))</f>
        <v/>
      </c>
      <c r="E953" t="str">
        <f ca="1">IF(AND(Q953,P953&gt;0),OFFSET(Taostats_CSV!$E$1,MATCH(K953&amp;F$1,Taostats_CSV!$X:$X,0)-1,0),IF(LEN(F953)&gt;0,Taostats_CSV!E953,""))</f>
        <v>SN4</v>
      </c>
      <c r="F953" t="str">
        <f ca="1">TRIM(IF(AND(Q953,P953&gt;0),OFFSET(Taostats_CSV!$H$1,MATCH(K953&amp;F$1,Taostats_CSV!$X:$X,0)-1,0),IF(LEN(Taostats_CSV!H953)&gt;0,Taostats_CSV!H953,Taostats_CSV!R953)))</f>
        <v>0.419128843</v>
      </c>
      <c r="G953" t="str">
        <f ca="1">IF(AND(Q953,N953=1),OFFSET(Taostats_CSV!$E$1,MATCH(K953&amp;H$1,Taostats_CSV!$X:$X,0)-1,0),"")</f>
        <v/>
      </c>
      <c r="H953" t="str">
        <f ca="1">IF(AND(Q953,N953=1),OFFSET(Taostats_CSV!$G$1,MATCH(K953&amp;H$1,Taostats_CSV!$X:$X,0)-1,0),"")</f>
        <v/>
      </c>
      <c r="I953" t="str">
        <f ca="1">IF(AND(LEN(K953)=0,LEN(F953)&gt;0),"Income",IF(AND(O953&gt;0,P953&gt;0,C953&lt;&gt;E953),"Trade",IF(AND(NOT(Q953),Taostats_CSV!F953="fee"),'READ ME'!$C$5,"")))</f>
        <v>Income</v>
      </c>
      <c r="J953" t="str">
        <f ca="1">SUBSTITUTE(IF(LEN(I953)=0,Taostats_CSV!F953&amp;" "&amp;Taostats_CSV!J953,IF(I953="Cost","Extrinsic fee","")),"_"," ")</f>
        <v/>
      </c>
      <c r="K953" t="str">
        <f>TRIM(IF(LEN(Taostats_CSV!I953)&gt;0,Taostats_CSV!I953,""))</f>
        <v/>
      </c>
      <c r="L953">
        <f ca="1">IF(Taostats_CSV!E953&lt;&gt;"TAO",IF(LEN(F953)&gt;0,F953,IF(LEN(D953)&gt;0,D953,0))*Taostats_CSV!P953,"")</f>
        <v>7.1692870664621244</v>
      </c>
      <c r="M953" t="str">
        <f t="shared" ca="1" si="99"/>
        <v>USD</v>
      </c>
      <c r="N953">
        <f>COUNTIF(Taostats_CSV!$X:$X,Taostats_CSV!$I953&amp;N$1)</f>
        <v>0</v>
      </c>
      <c r="O953">
        <f>COUNTIF(Taostats_CSV!$X:$X,Taostats_CSV!$I953&amp;O$1)</f>
        <v>0</v>
      </c>
      <c r="P953">
        <f>COUNTIF(Taostats_CSV!$X:$X,Taostats_CSV!$I953&amp;P$1)</f>
        <v>0</v>
      </c>
      <c r="Q953" t="b">
        <f t="shared" si="100"/>
        <v>0</v>
      </c>
      <c r="R953" t="b">
        <f>IF(LEN(K953)&gt;0,COUNTIF($K$3:K953,K953),FALSE)</f>
        <v>0</v>
      </c>
      <c r="S953" t="b">
        <f>IF(Taostats_CSV!A953=Taostats_CSV!$A$2,TRUE,Taostats_CSV!G953+Taostats_CSV!H953+Taostats_CSV!R953=0)</f>
        <v>0</v>
      </c>
      <c r="T953" t="b">
        <f t="shared" si="101"/>
        <v>1</v>
      </c>
      <c r="U953" t="b" cm="1">
        <f t="array" aca="1" ref="U953" ca="1">AND(T953,OR(O953-N953&gt;1,P953&gt;1,ISERROR(A953:P953)))</f>
        <v>0</v>
      </c>
      <c r="W953" t="e">
        <f>MATCH(K953&amp;$W$2,Taostats_CSV!$X$3:$X$1167,0)</f>
        <v>#N/A</v>
      </c>
      <c r="X953" t="e">
        <f t="shared" ca="1" si="96"/>
        <v>#VALUE!</v>
      </c>
      <c r="Y953">
        <f t="shared" ca="1" si="97"/>
        <v>0.41912884299999997</v>
      </c>
      <c r="Z953" t="e">
        <f t="shared" ca="1" si="98"/>
        <v>#VALUE!</v>
      </c>
    </row>
    <row r="954" spans="1:26" x14ac:dyDescent="0.4">
      <c r="A954" t="str">
        <f>MID(Taostats_CSV!C954,6,2)&amp;"/"&amp;MID(Taostats_CSV!C954,9,2)&amp;"/"&amp;LEFT(Taostats_CSV!C954,4)&amp;" "&amp;MID(Taostats_CSV!C954,12,8)</f>
        <v>09/17/2025 23:59:48</v>
      </c>
      <c r="C954" t="str">
        <f ca="1">IF(Q954,OFFSET(Taostats_CSV!$E$1,MATCH(K954&amp;D$1,Taostats_CSV!$X:$X,0)-1,0),IF(Taostats_CSV!F954="fee",IF(VALUE(Taostats_CSV!G954)&gt;0,Taostats_CSV!E954,""),""))</f>
        <v/>
      </c>
      <c r="D954" t="str">
        <f ca="1">IF(Q954,OFFSET(Taostats_CSV!$G$1,MATCH(K954&amp;D$1,Taostats_CSV!$X:$X,0)-1,0),IF(Taostats_CSV!F954="fee",IF(VALUE(Taostats_CSV!G954)&gt;0,Taostats_CSV!G954,""),""))</f>
        <v/>
      </c>
      <c r="E954" t="str">
        <f ca="1">IF(AND(Q954,P954&gt;0),OFFSET(Taostats_CSV!$E$1,MATCH(K954&amp;F$1,Taostats_CSV!$X:$X,0)-1,0),IF(LEN(F954)&gt;0,Taostats_CSV!E954,""))</f>
        <v>SN56</v>
      </c>
      <c r="F954" t="str">
        <f ca="1">TRIM(IF(AND(Q954,P954&gt;0),OFFSET(Taostats_CSV!$H$1,MATCH(K954&amp;F$1,Taostats_CSV!$X:$X,0)-1,0),IF(LEN(Taostats_CSV!H954)&gt;0,Taostats_CSV!H954,Taostats_CSV!R954)))</f>
        <v>0.281742729</v>
      </c>
      <c r="G954" t="str">
        <f ca="1">IF(AND(Q954,N954=1),OFFSET(Taostats_CSV!$E$1,MATCH(K954&amp;H$1,Taostats_CSV!$X:$X,0)-1,0),"")</f>
        <v/>
      </c>
      <c r="H954" t="str">
        <f ca="1">IF(AND(Q954,N954=1),OFFSET(Taostats_CSV!$G$1,MATCH(K954&amp;H$1,Taostats_CSV!$X:$X,0)-1,0),"")</f>
        <v/>
      </c>
      <c r="I954" t="str">
        <f ca="1">IF(AND(LEN(K954)=0,LEN(F954)&gt;0),"Income",IF(AND(O954&gt;0,P954&gt;0,C954&lt;&gt;E954),"Trade",IF(AND(NOT(Q954),Taostats_CSV!F954="fee"),'READ ME'!$C$5,"")))</f>
        <v>Income</v>
      </c>
      <c r="J954" t="str">
        <f ca="1">SUBSTITUTE(IF(LEN(I954)=0,Taostats_CSV!F954&amp;" "&amp;Taostats_CSV!J954,IF(I954="Cost","Extrinsic fee","")),"_"," ")</f>
        <v/>
      </c>
      <c r="K954" t="str">
        <f>TRIM(IF(LEN(Taostats_CSV!I954)&gt;0,Taostats_CSV!I954,""))</f>
        <v/>
      </c>
      <c r="L954">
        <f ca="1">IF(Taostats_CSV!E954&lt;&gt;"TAO",IF(LEN(F954)&gt;0,F954,IF(LEN(D954)&gt;0,D954,0))*Taostats_CSV!P954,"")</f>
        <v>4.1559185046627514</v>
      </c>
      <c r="M954" t="str">
        <f t="shared" ca="1" si="99"/>
        <v>USD</v>
      </c>
      <c r="N954">
        <f>COUNTIF(Taostats_CSV!$X:$X,Taostats_CSV!$I954&amp;N$1)</f>
        <v>0</v>
      </c>
      <c r="O954">
        <f>COUNTIF(Taostats_CSV!$X:$X,Taostats_CSV!$I954&amp;O$1)</f>
        <v>0</v>
      </c>
      <c r="P954">
        <f>COUNTIF(Taostats_CSV!$X:$X,Taostats_CSV!$I954&amp;P$1)</f>
        <v>0</v>
      </c>
      <c r="Q954" t="b">
        <f t="shared" si="100"/>
        <v>0</v>
      </c>
      <c r="R954" t="b">
        <f>IF(LEN(K954)&gt;0,COUNTIF($K$3:K954,K954),FALSE)</f>
        <v>0</v>
      </c>
      <c r="S954" t="b">
        <f>IF(Taostats_CSV!A954=Taostats_CSV!$A$2,TRUE,Taostats_CSV!G954+Taostats_CSV!H954+Taostats_CSV!R954=0)</f>
        <v>0</v>
      </c>
      <c r="T954" t="b">
        <f t="shared" si="101"/>
        <v>1</v>
      </c>
      <c r="U954" t="b" cm="1">
        <f t="array" aca="1" ref="U954" ca="1">AND(T954,OR(O954-N954&gt;1,P954&gt;1,ISERROR(A954:P954)))</f>
        <v>0</v>
      </c>
      <c r="W954" t="e">
        <f>MATCH(K954&amp;$W$2,Taostats_CSV!$X$3:$X$1167,0)</f>
        <v>#N/A</v>
      </c>
      <c r="X954" t="e">
        <f t="shared" ca="1" si="96"/>
        <v>#VALUE!</v>
      </c>
      <c r="Y954">
        <f t="shared" ca="1" si="97"/>
        <v>0.28174272900000003</v>
      </c>
      <c r="Z954" t="e">
        <f t="shared" ca="1" si="98"/>
        <v>#VALUE!</v>
      </c>
    </row>
    <row r="955" spans="1:26" x14ac:dyDescent="0.4">
      <c r="A955" t="str">
        <f>MID(Taostats_CSV!C955,6,2)&amp;"/"&amp;MID(Taostats_CSV!C955,9,2)&amp;"/"&amp;LEFT(Taostats_CSV!C955,4)&amp;" "&amp;MID(Taostats_CSV!C955,12,8)</f>
        <v>09/17/2025 23:59:48</v>
      </c>
      <c r="C955" t="str">
        <f ca="1">IF(Q955,OFFSET(Taostats_CSV!$E$1,MATCH(K955&amp;D$1,Taostats_CSV!$X:$X,0)-1,0),IF(Taostats_CSV!F955="fee",IF(VALUE(Taostats_CSV!G955)&gt;0,Taostats_CSV!E955,""),""))</f>
        <v/>
      </c>
      <c r="D955" t="str">
        <f ca="1">IF(Q955,OFFSET(Taostats_CSV!$G$1,MATCH(K955&amp;D$1,Taostats_CSV!$X:$X,0)-1,0),IF(Taostats_CSV!F955="fee",IF(VALUE(Taostats_CSV!G955)&gt;0,Taostats_CSV!G955,""),""))</f>
        <v/>
      </c>
      <c r="E955" t="str">
        <f ca="1">IF(AND(Q955,P955&gt;0),OFFSET(Taostats_CSV!$E$1,MATCH(K955&amp;F$1,Taostats_CSV!$X:$X,0)-1,0),IF(LEN(F955)&gt;0,Taostats_CSV!E955,""))</f>
        <v>SN64</v>
      </c>
      <c r="F955" t="str">
        <f ca="1">TRIM(IF(AND(Q955,P955&gt;0),OFFSET(Taostats_CSV!$H$1,MATCH(K955&amp;F$1,Taostats_CSV!$X:$X,0)-1,0),IF(LEN(Taostats_CSV!H955)&gt;0,Taostats_CSV!H955,Taostats_CSV!R955)))</f>
        <v>0.143118025</v>
      </c>
      <c r="G955" t="str">
        <f ca="1">IF(AND(Q955,N955=1),OFFSET(Taostats_CSV!$E$1,MATCH(K955&amp;H$1,Taostats_CSV!$X:$X,0)-1,0),"")</f>
        <v/>
      </c>
      <c r="H955" t="str">
        <f ca="1">IF(AND(Q955,N955=1),OFFSET(Taostats_CSV!$G$1,MATCH(K955&amp;H$1,Taostats_CSV!$X:$X,0)-1,0),"")</f>
        <v/>
      </c>
      <c r="I955" t="str">
        <f ca="1">IF(AND(LEN(K955)=0,LEN(F955)&gt;0),"Income",IF(AND(O955&gt;0,P955&gt;0,C955&lt;&gt;E955),"Trade",IF(AND(NOT(Q955),Taostats_CSV!F955="fee"),'READ ME'!$C$5,"")))</f>
        <v>Income</v>
      </c>
      <c r="J955" t="str">
        <f ca="1">SUBSTITUTE(IF(LEN(I955)=0,Taostats_CSV!F955&amp;" "&amp;Taostats_CSV!J955,IF(I955="Cost","Extrinsic fee","")),"_"," ")</f>
        <v/>
      </c>
      <c r="K955" t="str">
        <f>TRIM(IF(LEN(Taostats_CSV!I955)&gt;0,Taostats_CSV!I955,""))</f>
        <v/>
      </c>
      <c r="L955">
        <f ca="1">IF(Taostats_CSV!E955&lt;&gt;"TAO",IF(LEN(F955)&gt;0,F955,IF(LEN(D955)&gt;0,D955,0))*Taostats_CSV!P955,"")</f>
        <v>5.3142870966740281</v>
      </c>
      <c r="M955" t="str">
        <f t="shared" ca="1" si="99"/>
        <v>USD</v>
      </c>
      <c r="N955">
        <f>COUNTIF(Taostats_CSV!$X:$X,Taostats_CSV!$I955&amp;N$1)</f>
        <v>0</v>
      </c>
      <c r="O955">
        <f>COUNTIF(Taostats_CSV!$X:$X,Taostats_CSV!$I955&amp;O$1)</f>
        <v>0</v>
      </c>
      <c r="P955">
        <f>COUNTIF(Taostats_CSV!$X:$X,Taostats_CSV!$I955&amp;P$1)</f>
        <v>0</v>
      </c>
      <c r="Q955" t="b">
        <f t="shared" si="100"/>
        <v>0</v>
      </c>
      <c r="R955" t="b">
        <f>IF(LEN(K955)&gt;0,COUNTIF($K$3:K955,K955),FALSE)</f>
        <v>0</v>
      </c>
      <c r="S955" t="b">
        <f>IF(Taostats_CSV!A955=Taostats_CSV!$A$2,TRUE,Taostats_CSV!G955+Taostats_CSV!H955+Taostats_CSV!R955=0)</f>
        <v>0</v>
      </c>
      <c r="T955" t="b">
        <f t="shared" si="101"/>
        <v>1</v>
      </c>
      <c r="U955" t="b" cm="1">
        <f t="array" aca="1" ref="U955" ca="1">AND(T955,OR(O955-N955&gt;1,P955&gt;1,ISERROR(A955:P955)))</f>
        <v>0</v>
      </c>
      <c r="W955" t="e">
        <f>MATCH(K955&amp;$W$2,Taostats_CSV!$X$3:$X$1167,0)</f>
        <v>#N/A</v>
      </c>
      <c r="X955" t="e">
        <f t="shared" ca="1" si="96"/>
        <v>#VALUE!</v>
      </c>
      <c r="Y955">
        <f t="shared" ca="1" si="97"/>
        <v>0.14311802500000001</v>
      </c>
      <c r="Z955" t="e">
        <f t="shared" ca="1" si="98"/>
        <v>#VALUE!</v>
      </c>
    </row>
    <row r="956" spans="1:26" x14ac:dyDescent="0.4">
      <c r="A956" t="str">
        <f>MID(Taostats_CSV!C956,6,2)&amp;"/"&amp;MID(Taostats_CSV!C956,9,2)&amp;"/"&amp;LEFT(Taostats_CSV!C956,4)&amp;" "&amp;MID(Taostats_CSV!C956,12,8)</f>
        <v>09/17/2025 23:59:48</v>
      </c>
      <c r="C956" t="str">
        <f ca="1">IF(Q956,OFFSET(Taostats_CSV!$E$1,MATCH(K956&amp;D$1,Taostats_CSV!$X:$X,0)-1,0),IF(Taostats_CSV!F956="fee",IF(VALUE(Taostats_CSV!G956)&gt;0,Taostats_CSV!E956,""),""))</f>
        <v/>
      </c>
      <c r="D956" t="str">
        <f ca="1">IF(Q956,OFFSET(Taostats_CSV!$G$1,MATCH(K956&amp;D$1,Taostats_CSV!$X:$X,0)-1,0),IF(Taostats_CSV!F956="fee",IF(VALUE(Taostats_CSV!G956)&gt;0,Taostats_CSV!G956,""),""))</f>
        <v/>
      </c>
      <c r="E956" t="str">
        <f ca="1">IF(AND(Q956,P956&gt;0),OFFSET(Taostats_CSV!$E$1,MATCH(K956&amp;F$1,Taostats_CSV!$X:$X,0)-1,0),IF(LEN(F956)&gt;0,Taostats_CSV!E956,""))</f>
        <v>TAO</v>
      </c>
      <c r="F956" t="str">
        <f ca="1">TRIM(IF(AND(Q956,P956&gt;0),OFFSET(Taostats_CSV!$H$1,MATCH(K956&amp;F$1,Taostats_CSV!$X:$X,0)-1,0),IF(LEN(Taostats_CSV!H956)&gt;0,Taostats_CSV!H956,Taostats_CSV!R956)))</f>
        <v>0.009519345</v>
      </c>
      <c r="G956" t="str">
        <f ca="1">IF(AND(Q956,N956=1),OFFSET(Taostats_CSV!$E$1,MATCH(K956&amp;H$1,Taostats_CSV!$X:$X,0)-1,0),"")</f>
        <v/>
      </c>
      <c r="H956" t="str">
        <f ca="1">IF(AND(Q956,N956=1),OFFSET(Taostats_CSV!$G$1,MATCH(K956&amp;H$1,Taostats_CSV!$X:$X,0)-1,0),"")</f>
        <v/>
      </c>
      <c r="I956" t="str">
        <f ca="1">IF(AND(LEN(K956)=0,LEN(F956)&gt;0),"Income",IF(AND(O956&gt;0,P956&gt;0,C956&lt;&gt;E956),"Trade",IF(AND(NOT(Q956),Taostats_CSV!F956="fee"),'READ ME'!$C$5,"")))</f>
        <v>Income</v>
      </c>
      <c r="J956" t="str">
        <f ca="1">SUBSTITUTE(IF(LEN(I956)=0,Taostats_CSV!F956&amp;" "&amp;Taostats_CSV!J956,IF(I956="Cost","Extrinsic fee","")),"_"," ")</f>
        <v/>
      </c>
      <c r="K956" t="str">
        <f>TRIM(IF(LEN(Taostats_CSV!I956)&gt;0,Taostats_CSV!I956,""))</f>
        <v/>
      </c>
      <c r="L956" t="str">
        <f>IF(Taostats_CSV!E956&lt;&gt;"TAO",IF(LEN(F956)&gt;0,F956,IF(LEN(D956)&gt;0,D956,0))*Taostats_CSV!P956,"")</f>
        <v/>
      </c>
      <c r="M956" t="str">
        <f t="shared" si="99"/>
        <v/>
      </c>
      <c r="N956">
        <f>COUNTIF(Taostats_CSV!$X:$X,Taostats_CSV!$I956&amp;N$1)</f>
        <v>0</v>
      </c>
      <c r="O956">
        <f>COUNTIF(Taostats_CSV!$X:$X,Taostats_CSV!$I956&amp;O$1)</f>
        <v>0</v>
      </c>
      <c r="P956">
        <f>COUNTIF(Taostats_CSV!$X:$X,Taostats_CSV!$I956&amp;P$1)</f>
        <v>0</v>
      </c>
      <c r="Q956" t="b">
        <f t="shared" si="100"/>
        <v>0</v>
      </c>
      <c r="R956" t="b">
        <f>IF(LEN(K956)&gt;0,COUNTIF($K$3:K956,K956),FALSE)</f>
        <v>0</v>
      </c>
      <c r="S956" t="b">
        <f>IF(Taostats_CSV!A956=Taostats_CSV!$A$2,TRUE,Taostats_CSV!G956+Taostats_CSV!H956+Taostats_CSV!R956=0)</f>
        <v>0</v>
      </c>
      <c r="T956" t="b">
        <f t="shared" si="101"/>
        <v>1</v>
      </c>
      <c r="U956" t="b" cm="1">
        <f t="array" aca="1" ref="U956" ca="1">AND(T956,OR(O956-N956&gt;1,P956&gt;1,ISERROR(A956:P956)))</f>
        <v>0</v>
      </c>
      <c r="W956" t="e">
        <f>MATCH(K956&amp;$W$2,Taostats_CSV!$X$3:$X$1167,0)</f>
        <v>#N/A</v>
      </c>
      <c r="X956" t="e">
        <f t="shared" ca="1" si="96"/>
        <v>#VALUE!</v>
      </c>
      <c r="Y956">
        <f t="shared" ca="1" si="97"/>
        <v>9.5193450000000002E-3</v>
      </c>
      <c r="Z956" t="e">
        <f t="shared" ca="1" si="98"/>
        <v>#VALUE!</v>
      </c>
    </row>
    <row r="957" spans="1:26" x14ac:dyDescent="0.4">
      <c r="A957" t="str">
        <f>MID(Taostats_CSV!C957,6,2)&amp;"/"&amp;MID(Taostats_CSV!C957,9,2)&amp;"/"&amp;LEFT(Taostats_CSV!C957,4)&amp;" "&amp;MID(Taostats_CSV!C957,12,8)</f>
        <v>09/18/2025 23:59:48</v>
      </c>
      <c r="C957" t="str">
        <f ca="1">IF(Q957,OFFSET(Taostats_CSV!$E$1,MATCH(K957&amp;D$1,Taostats_CSV!$X:$X,0)-1,0),IF(Taostats_CSV!F957="fee",IF(VALUE(Taostats_CSV!G957)&gt;0,Taostats_CSV!E957,""),""))</f>
        <v/>
      </c>
      <c r="D957" t="str">
        <f ca="1">IF(Q957,OFFSET(Taostats_CSV!$G$1,MATCH(K957&amp;D$1,Taostats_CSV!$X:$X,0)-1,0),IF(Taostats_CSV!F957="fee",IF(VALUE(Taostats_CSV!G957)&gt;0,Taostats_CSV!G957,""),""))</f>
        <v/>
      </c>
      <c r="E957" t="str">
        <f ca="1">IF(AND(Q957,P957&gt;0),OFFSET(Taostats_CSV!$E$1,MATCH(K957&amp;F$1,Taostats_CSV!$X:$X,0)-1,0),IF(LEN(F957)&gt;0,Taostats_CSV!E957,""))</f>
        <v>SN3</v>
      </c>
      <c r="F957" t="str">
        <f ca="1">TRIM(IF(AND(Q957,P957&gt;0),OFFSET(Taostats_CSV!$H$1,MATCH(K957&amp;F$1,Taostats_CSV!$X:$X,0)-1,0),IF(LEN(Taostats_CSV!H957)&gt;0,Taostats_CSV!H957,Taostats_CSV!R957)))</f>
        <v>0.462154985</v>
      </c>
      <c r="G957" t="str">
        <f ca="1">IF(AND(Q957,N957=1),OFFSET(Taostats_CSV!$E$1,MATCH(K957&amp;H$1,Taostats_CSV!$X:$X,0)-1,0),"")</f>
        <v/>
      </c>
      <c r="H957" t="str">
        <f ca="1">IF(AND(Q957,N957=1),OFFSET(Taostats_CSV!$G$1,MATCH(K957&amp;H$1,Taostats_CSV!$X:$X,0)-1,0),"")</f>
        <v/>
      </c>
      <c r="I957" t="str">
        <f ca="1">IF(AND(LEN(K957)=0,LEN(F957)&gt;0),"Income",IF(AND(O957&gt;0,P957&gt;0,C957&lt;&gt;E957),"Trade",IF(AND(NOT(Q957),Taostats_CSV!F957="fee"),'READ ME'!$C$5,"")))</f>
        <v>Income</v>
      </c>
      <c r="J957" t="str">
        <f ca="1">SUBSTITUTE(IF(LEN(I957)=0,Taostats_CSV!F957&amp;" "&amp;Taostats_CSV!J957,IF(I957="Cost","Extrinsic fee","")),"_"," ")</f>
        <v/>
      </c>
      <c r="K957" t="str">
        <f>TRIM(IF(LEN(Taostats_CSV!I957)&gt;0,Taostats_CSV!I957,""))</f>
        <v/>
      </c>
      <c r="L957">
        <f ca="1">IF(Taostats_CSV!E957&lt;&gt;"TAO",IF(LEN(F957)&gt;0,F957,IF(LEN(D957)&gt;0,D957,0))*Taostats_CSV!P957,"")</f>
        <v>5.9127398745612005</v>
      </c>
      <c r="M957" t="str">
        <f t="shared" ca="1" si="99"/>
        <v>USD</v>
      </c>
      <c r="N957">
        <f>COUNTIF(Taostats_CSV!$X:$X,Taostats_CSV!$I957&amp;N$1)</f>
        <v>0</v>
      </c>
      <c r="O957">
        <f>COUNTIF(Taostats_CSV!$X:$X,Taostats_CSV!$I957&amp;O$1)</f>
        <v>0</v>
      </c>
      <c r="P957">
        <f>COUNTIF(Taostats_CSV!$X:$X,Taostats_CSV!$I957&amp;P$1)</f>
        <v>0</v>
      </c>
      <c r="Q957" t="b">
        <f t="shared" si="100"/>
        <v>0</v>
      </c>
      <c r="R957" t="b">
        <f>IF(LEN(K957)&gt;0,COUNTIF($K$3:K957,K957),FALSE)</f>
        <v>0</v>
      </c>
      <c r="S957" t="b">
        <f>IF(Taostats_CSV!A957=Taostats_CSV!$A$2,TRUE,Taostats_CSV!G957+Taostats_CSV!H957+Taostats_CSV!R957=0)</f>
        <v>0</v>
      </c>
      <c r="T957" t="b">
        <f t="shared" si="101"/>
        <v>1</v>
      </c>
      <c r="U957" t="b" cm="1">
        <f t="array" aca="1" ref="U957" ca="1">AND(T957,OR(O957-N957&gt;1,P957&gt;1,ISERROR(A957:P957)))</f>
        <v>0</v>
      </c>
      <c r="W957" t="e">
        <f>MATCH(K957&amp;$W$2,Taostats_CSV!$X$3:$X$1167,0)</f>
        <v>#N/A</v>
      </c>
      <c r="X957" t="e">
        <f t="shared" ca="1" si="96"/>
        <v>#VALUE!</v>
      </c>
      <c r="Y957">
        <f t="shared" ca="1" si="97"/>
        <v>0.46215498500000002</v>
      </c>
      <c r="Z957" t="e">
        <f t="shared" ca="1" si="98"/>
        <v>#VALUE!</v>
      </c>
    </row>
    <row r="958" spans="1:26" x14ac:dyDescent="0.4">
      <c r="A958" t="str">
        <f>MID(Taostats_CSV!C958,6,2)&amp;"/"&amp;MID(Taostats_CSV!C958,9,2)&amp;"/"&amp;LEFT(Taostats_CSV!C958,4)&amp;" "&amp;MID(Taostats_CSV!C958,12,8)</f>
        <v>09/18/2025 23:59:48</v>
      </c>
      <c r="C958" t="str">
        <f ca="1">IF(Q958,OFFSET(Taostats_CSV!$E$1,MATCH(K958&amp;D$1,Taostats_CSV!$X:$X,0)-1,0),IF(Taostats_CSV!F958="fee",IF(VALUE(Taostats_CSV!G958)&gt;0,Taostats_CSV!E958,""),""))</f>
        <v/>
      </c>
      <c r="D958" t="str">
        <f ca="1">IF(Q958,OFFSET(Taostats_CSV!$G$1,MATCH(K958&amp;D$1,Taostats_CSV!$X:$X,0)-1,0),IF(Taostats_CSV!F958="fee",IF(VALUE(Taostats_CSV!G958)&gt;0,Taostats_CSV!G958,""),""))</f>
        <v/>
      </c>
      <c r="E958" t="str">
        <f ca="1">IF(AND(Q958,P958&gt;0),OFFSET(Taostats_CSV!$E$1,MATCH(K958&amp;F$1,Taostats_CSV!$X:$X,0)-1,0),IF(LEN(F958)&gt;0,Taostats_CSV!E958,""))</f>
        <v>SN4</v>
      </c>
      <c r="F958" t="str">
        <f ca="1">TRIM(IF(AND(Q958,P958&gt;0),OFFSET(Taostats_CSV!$H$1,MATCH(K958&amp;F$1,Taostats_CSV!$X:$X,0)-1,0),IF(LEN(Taostats_CSV!H958)&gt;0,Taostats_CSV!H958,Taostats_CSV!R958)))</f>
        <v>0.395606392</v>
      </c>
      <c r="G958" t="str">
        <f ca="1">IF(AND(Q958,N958=1),OFFSET(Taostats_CSV!$E$1,MATCH(K958&amp;H$1,Taostats_CSV!$X:$X,0)-1,0),"")</f>
        <v/>
      </c>
      <c r="H958" t="str">
        <f ca="1">IF(AND(Q958,N958=1),OFFSET(Taostats_CSV!$G$1,MATCH(K958&amp;H$1,Taostats_CSV!$X:$X,0)-1,0),"")</f>
        <v/>
      </c>
      <c r="I958" t="str">
        <f ca="1">IF(AND(LEN(K958)=0,LEN(F958)&gt;0),"Income",IF(AND(O958&gt;0,P958&gt;0,C958&lt;&gt;E958),"Trade",IF(AND(NOT(Q958),Taostats_CSV!F958="fee"),'READ ME'!$C$5,"")))</f>
        <v>Income</v>
      </c>
      <c r="J958" t="str">
        <f ca="1">SUBSTITUTE(IF(LEN(I958)=0,Taostats_CSV!F958&amp;" "&amp;Taostats_CSV!J958,IF(I958="Cost","Extrinsic fee","")),"_"," ")</f>
        <v/>
      </c>
      <c r="K958" t="str">
        <f>TRIM(IF(LEN(Taostats_CSV!I958)&gt;0,Taostats_CSV!I958,""))</f>
        <v/>
      </c>
      <c r="L958">
        <f ca="1">IF(Taostats_CSV!E958&lt;&gt;"TAO",IF(LEN(F958)&gt;0,F958,IF(LEN(D958)&gt;0,D958,0))*Taostats_CSV!P958,"")</f>
        <v>6.8608180402802299</v>
      </c>
      <c r="M958" t="str">
        <f t="shared" ca="1" si="99"/>
        <v>USD</v>
      </c>
      <c r="N958">
        <f>COUNTIF(Taostats_CSV!$X:$X,Taostats_CSV!$I958&amp;N$1)</f>
        <v>0</v>
      </c>
      <c r="O958">
        <f>COUNTIF(Taostats_CSV!$X:$X,Taostats_CSV!$I958&amp;O$1)</f>
        <v>0</v>
      </c>
      <c r="P958">
        <f>COUNTIF(Taostats_CSV!$X:$X,Taostats_CSV!$I958&amp;P$1)</f>
        <v>0</v>
      </c>
      <c r="Q958" t="b">
        <f t="shared" si="100"/>
        <v>0</v>
      </c>
      <c r="R958" t="b">
        <f>IF(LEN(K958)&gt;0,COUNTIF($K$3:K958,K958),FALSE)</f>
        <v>0</v>
      </c>
      <c r="S958" t="b">
        <f>IF(Taostats_CSV!A958=Taostats_CSV!$A$2,TRUE,Taostats_CSV!G958+Taostats_CSV!H958+Taostats_CSV!R958=0)</f>
        <v>0</v>
      </c>
      <c r="T958" t="b">
        <f t="shared" si="101"/>
        <v>1</v>
      </c>
      <c r="U958" t="b" cm="1">
        <f t="array" aca="1" ref="U958" ca="1">AND(T958,OR(O958-N958&gt;1,P958&gt;1,ISERROR(A958:P958)))</f>
        <v>0</v>
      </c>
      <c r="W958" t="e">
        <f>MATCH(K958&amp;$W$2,Taostats_CSV!$X$3:$X$1167,0)</f>
        <v>#N/A</v>
      </c>
      <c r="X958" t="e">
        <f t="shared" ca="1" si="96"/>
        <v>#VALUE!</v>
      </c>
      <c r="Y958">
        <f t="shared" ca="1" si="97"/>
        <v>0.39560639199999997</v>
      </c>
      <c r="Z958" t="e">
        <f t="shared" ca="1" si="98"/>
        <v>#VALUE!</v>
      </c>
    </row>
    <row r="959" spans="1:26" x14ac:dyDescent="0.4">
      <c r="A959" t="str">
        <f>MID(Taostats_CSV!C959,6,2)&amp;"/"&amp;MID(Taostats_CSV!C959,9,2)&amp;"/"&amp;LEFT(Taostats_CSV!C959,4)&amp;" "&amp;MID(Taostats_CSV!C959,12,8)</f>
        <v>09/18/2025 23:59:48</v>
      </c>
      <c r="C959" t="str">
        <f ca="1">IF(Q959,OFFSET(Taostats_CSV!$E$1,MATCH(K959&amp;D$1,Taostats_CSV!$X:$X,0)-1,0),IF(Taostats_CSV!F959="fee",IF(VALUE(Taostats_CSV!G959)&gt;0,Taostats_CSV!E959,""),""))</f>
        <v/>
      </c>
      <c r="D959" t="str">
        <f ca="1">IF(Q959,OFFSET(Taostats_CSV!$G$1,MATCH(K959&amp;D$1,Taostats_CSV!$X:$X,0)-1,0),IF(Taostats_CSV!F959="fee",IF(VALUE(Taostats_CSV!G959)&gt;0,Taostats_CSV!G959,""),""))</f>
        <v/>
      </c>
      <c r="E959" t="str">
        <f ca="1">IF(AND(Q959,P959&gt;0),OFFSET(Taostats_CSV!$E$1,MATCH(K959&amp;F$1,Taostats_CSV!$X:$X,0)-1,0),IF(LEN(F959)&gt;0,Taostats_CSV!E959,""))</f>
        <v>SN56</v>
      </c>
      <c r="F959" t="str">
        <f ca="1">TRIM(IF(AND(Q959,P959&gt;0),OFFSET(Taostats_CSV!$H$1,MATCH(K959&amp;F$1,Taostats_CSV!$X:$X,0)-1,0),IF(LEN(Taostats_CSV!H959)&gt;0,Taostats_CSV!H959,Taostats_CSV!R959)))</f>
        <v>0.281887251</v>
      </c>
      <c r="G959" t="str">
        <f ca="1">IF(AND(Q959,N959=1),OFFSET(Taostats_CSV!$E$1,MATCH(K959&amp;H$1,Taostats_CSV!$X:$X,0)-1,0),"")</f>
        <v/>
      </c>
      <c r="H959" t="str">
        <f ca="1">IF(AND(Q959,N959=1),OFFSET(Taostats_CSV!$G$1,MATCH(K959&amp;H$1,Taostats_CSV!$X:$X,0)-1,0),"")</f>
        <v/>
      </c>
      <c r="I959" t="str">
        <f ca="1">IF(AND(LEN(K959)=0,LEN(F959)&gt;0),"Income",IF(AND(O959&gt;0,P959&gt;0,C959&lt;&gt;E959),"Trade",IF(AND(NOT(Q959),Taostats_CSV!F959="fee"),'READ ME'!$C$5,"")))</f>
        <v>Income</v>
      </c>
      <c r="J959" t="str">
        <f ca="1">SUBSTITUTE(IF(LEN(I959)=0,Taostats_CSV!F959&amp;" "&amp;Taostats_CSV!J959,IF(I959="Cost","Extrinsic fee","")),"_"," ")</f>
        <v/>
      </c>
      <c r="K959" t="str">
        <f>TRIM(IF(LEN(Taostats_CSV!I959)&gt;0,Taostats_CSV!I959,""))</f>
        <v/>
      </c>
      <c r="L959">
        <f ca="1">IF(Taostats_CSV!E959&lt;&gt;"TAO",IF(LEN(F959)&gt;0,F959,IF(LEN(D959)&gt;0,D959,0))*Taostats_CSV!P959,"")</f>
        <v>4.2284243615616619</v>
      </c>
      <c r="M959" t="str">
        <f t="shared" ca="1" si="99"/>
        <v>USD</v>
      </c>
      <c r="N959">
        <f>COUNTIF(Taostats_CSV!$X:$X,Taostats_CSV!$I959&amp;N$1)</f>
        <v>0</v>
      </c>
      <c r="O959">
        <f>COUNTIF(Taostats_CSV!$X:$X,Taostats_CSV!$I959&amp;O$1)</f>
        <v>0</v>
      </c>
      <c r="P959">
        <f>COUNTIF(Taostats_CSV!$X:$X,Taostats_CSV!$I959&amp;P$1)</f>
        <v>0</v>
      </c>
      <c r="Q959" t="b">
        <f t="shared" si="100"/>
        <v>0</v>
      </c>
      <c r="R959" t="b">
        <f>IF(LEN(K959)&gt;0,COUNTIF($K$3:K959,K959),FALSE)</f>
        <v>0</v>
      </c>
      <c r="S959" t="b">
        <f>IF(Taostats_CSV!A959=Taostats_CSV!$A$2,TRUE,Taostats_CSV!G959+Taostats_CSV!H959+Taostats_CSV!R959=0)</f>
        <v>0</v>
      </c>
      <c r="T959" t="b">
        <f t="shared" si="101"/>
        <v>1</v>
      </c>
      <c r="U959" t="b" cm="1">
        <f t="array" aca="1" ref="U959" ca="1">AND(T959,OR(O959-N959&gt;1,P959&gt;1,ISERROR(A959:P959)))</f>
        <v>0</v>
      </c>
      <c r="W959" t="e">
        <f>MATCH(K959&amp;$W$2,Taostats_CSV!$X$3:$X$1167,0)</f>
        <v>#N/A</v>
      </c>
      <c r="X959" t="e">
        <f t="shared" ca="1" si="96"/>
        <v>#VALUE!</v>
      </c>
      <c r="Y959">
        <f t="shared" ca="1" si="97"/>
        <v>0.28188725100000001</v>
      </c>
      <c r="Z959" t="e">
        <f t="shared" ca="1" si="98"/>
        <v>#VALUE!</v>
      </c>
    </row>
    <row r="960" spans="1:26" x14ac:dyDescent="0.4">
      <c r="A960" t="str">
        <f>MID(Taostats_CSV!C960,6,2)&amp;"/"&amp;MID(Taostats_CSV!C960,9,2)&amp;"/"&amp;LEFT(Taostats_CSV!C960,4)&amp;" "&amp;MID(Taostats_CSV!C960,12,8)</f>
        <v>09/18/2025 23:59:48</v>
      </c>
      <c r="C960" t="str">
        <f ca="1">IF(Q960,OFFSET(Taostats_CSV!$E$1,MATCH(K960&amp;D$1,Taostats_CSV!$X:$X,0)-1,0),IF(Taostats_CSV!F960="fee",IF(VALUE(Taostats_CSV!G960)&gt;0,Taostats_CSV!E960,""),""))</f>
        <v/>
      </c>
      <c r="D960" t="str">
        <f ca="1">IF(Q960,OFFSET(Taostats_CSV!$G$1,MATCH(K960&amp;D$1,Taostats_CSV!$X:$X,0)-1,0),IF(Taostats_CSV!F960="fee",IF(VALUE(Taostats_CSV!G960)&gt;0,Taostats_CSV!G960,""),""))</f>
        <v/>
      </c>
      <c r="E960" t="str">
        <f ca="1">IF(AND(Q960,P960&gt;0),OFFSET(Taostats_CSV!$E$1,MATCH(K960&amp;F$1,Taostats_CSV!$X:$X,0)-1,0),IF(LEN(F960)&gt;0,Taostats_CSV!E960,""))</f>
        <v>SN64</v>
      </c>
      <c r="F960" t="str">
        <f ca="1">TRIM(IF(AND(Q960,P960&gt;0),OFFSET(Taostats_CSV!$H$1,MATCH(K960&amp;F$1,Taostats_CSV!$X:$X,0)-1,0),IF(LEN(Taostats_CSV!H960)&gt;0,Taostats_CSV!H960,Taostats_CSV!R960)))</f>
        <v>0.149944626</v>
      </c>
      <c r="G960" t="str">
        <f ca="1">IF(AND(Q960,N960=1),OFFSET(Taostats_CSV!$E$1,MATCH(K960&amp;H$1,Taostats_CSV!$X:$X,0)-1,0),"")</f>
        <v/>
      </c>
      <c r="H960" t="str">
        <f ca="1">IF(AND(Q960,N960=1),OFFSET(Taostats_CSV!$G$1,MATCH(K960&amp;H$1,Taostats_CSV!$X:$X,0)-1,0),"")</f>
        <v/>
      </c>
      <c r="I960" t="str">
        <f ca="1">IF(AND(LEN(K960)=0,LEN(F960)&gt;0),"Income",IF(AND(O960&gt;0,P960&gt;0,C960&lt;&gt;E960),"Trade",IF(AND(NOT(Q960),Taostats_CSV!F960="fee"),'READ ME'!$C$5,"")))</f>
        <v>Income</v>
      </c>
      <c r="J960" t="str">
        <f ca="1">SUBSTITUTE(IF(LEN(I960)=0,Taostats_CSV!F960&amp;" "&amp;Taostats_CSV!J960,IF(I960="Cost","Extrinsic fee","")),"_"," ")</f>
        <v/>
      </c>
      <c r="K960" t="str">
        <f>TRIM(IF(LEN(Taostats_CSV!I960)&gt;0,Taostats_CSV!I960,""))</f>
        <v/>
      </c>
      <c r="L960">
        <f ca="1">IF(Taostats_CSV!E960&lt;&gt;"TAO",IF(LEN(F960)&gt;0,F960,IF(LEN(D960)&gt;0,D960,0))*Taostats_CSV!P960,"")</f>
        <v>5.4260855846522436</v>
      </c>
      <c r="M960" t="str">
        <f t="shared" ca="1" si="99"/>
        <v>USD</v>
      </c>
      <c r="N960">
        <f>COUNTIF(Taostats_CSV!$X:$X,Taostats_CSV!$I960&amp;N$1)</f>
        <v>0</v>
      </c>
      <c r="O960">
        <f>COUNTIF(Taostats_CSV!$X:$X,Taostats_CSV!$I960&amp;O$1)</f>
        <v>0</v>
      </c>
      <c r="P960">
        <f>COUNTIF(Taostats_CSV!$X:$X,Taostats_CSV!$I960&amp;P$1)</f>
        <v>0</v>
      </c>
      <c r="Q960" t="b">
        <f t="shared" si="100"/>
        <v>0</v>
      </c>
      <c r="R960" t="b">
        <f>IF(LEN(K960)&gt;0,COUNTIF($K$3:K960,K960),FALSE)</f>
        <v>0</v>
      </c>
      <c r="S960" t="b">
        <f>IF(Taostats_CSV!A960=Taostats_CSV!$A$2,TRUE,Taostats_CSV!G960+Taostats_CSV!H960+Taostats_CSV!R960=0)</f>
        <v>0</v>
      </c>
      <c r="T960" t="b">
        <f t="shared" si="101"/>
        <v>1</v>
      </c>
      <c r="U960" t="b" cm="1">
        <f t="array" aca="1" ref="U960" ca="1">AND(T960,OR(O960-N960&gt;1,P960&gt;1,ISERROR(A960:P960)))</f>
        <v>0</v>
      </c>
      <c r="W960" t="e">
        <f>MATCH(K960&amp;$W$2,Taostats_CSV!$X$3:$X$1167,0)</f>
        <v>#N/A</v>
      </c>
      <c r="X960" t="e">
        <f t="shared" ca="1" si="96"/>
        <v>#VALUE!</v>
      </c>
      <c r="Y960">
        <f t="shared" ca="1" si="97"/>
        <v>0.149944626</v>
      </c>
      <c r="Z960" t="e">
        <f t="shared" ca="1" si="98"/>
        <v>#VALUE!</v>
      </c>
    </row>
    <row r="961" spans="1:26" x14ac:dyDescent="0.4">
      <c r="A961" t="str">
        <f>MID(Taostats_CSV!C961,6,2)&amp;"/"&amp;MID(Taostats_CSV!C961,9,2)&amp;"/"&amp;LEFT(Taostats_CSV!C961,4)&amp;" "&amp;MID(Taostats_CSV!C961,12,8)</f>
        <v>09/18/2025 23:59:48</v>
      </c>
      <c r="C961" t="str">
        <f ca="1">IF(Q961,OFFSET(Taostats_CSV!$E$1,MATCH(K961&amp;D$1,Taostats_CSV!$X:$X,0)-1,0),IF(Taostats_CSV!F961="fee",IF(VALUE(Taostats_CSV!G961)&gt;0,Taostats_CSV!E961,""),""))</f>
        <v/>
      </c>
      <c r="D961" t="str">
        <f ca="1">IF(Q961,OFFSET(Taostats_CSV!$G$1,MATCH(K961&amp;D$1,Taostats_CSV!$X:$X,0)-1,0),IF(Taostats_CSV!F961="fee",IF(VALUE(Taostats_CSV!G961)&gt;0,Taostats_CSV!G961,""),""))</f>
        <v/>
      </c>
      <c r="E961" t="str">
        <f ca="1">IF(AND(Q961,P961&gt;0),OFFSET(Taostats_CSV!$E$1,MATCH(K961&amp;F$1,Taostats_CSV!$X:$X,0)-1,0),IF(LEN(F961)&gt;0,Taostats_CSV!E961,""))</f>
        <v>TAO</v>
      </c>
      <c r="F961" t="str">
        <f ca="1">TRIM(IF(AND(Q961,P961&gt;0),OFFSET(Taostats_CSV!$H$1,MATCH(K961&amp;F$1,Taostats_CSV!$X:$X,0)-1,0),IF(LEN(Taostats_CSV!H961)&gt;0,Taostats_CSV!H961,Taostats_CSV!R961)))</f>
        <v>0.009517904</v>
      </c>
      <c r="G961" t="str">
        <f ca="1">IF(AND(Q961,N961=1),OFFSET(Taostats_CSV!$E$1,MATCH(K961&amp;H$1,Taostats_CSV!$X:$X,0)-1,0),"")</f>
        <v/>
      </c>
      <c r="H961" t="str">
        <f ca="1">IF(AND(Q961,N961=1),OFFSET(Taostats_CSV!$G$1,MATCH(K961&amp;H$1,Taostats_CSV!$X:$X,0)-1,0),"")</f>
        <v/>
      </c>
      <c r="I961" t="str">
        <f ca="1">IF(AND(LEN(K961)=0,LEN(F961)&gt;0),"Income",IF(AND(O961&gt;0,P961&gt;0,C961&lt;&gt;E961),"Trade",IF(AND(NOT(Q961),Taostats_CSV!F961="fee"),'READ ME'!$C$5,"")))</f>
        <v>Income</v>
      </c>
      <c r="J961" t="str">
        <f ca="1">SUBSTITUTE(IF(LEN(I961)=0,Taostats_CSV!F961&amp;" "&amp;Taostats_CSV!J961,IF(I961="Cost","Extrinsic fee","")),"_"," ")</f>
        <v/>
      </c>
      <c r="K961" t="str">
        <f>TRIM(IF(LEN(Taostats_CSV!I961)&gt;0,Taostats_CSV!I961,""))</f>
        <v/>
      </c>
      <c r="L961" t="str">
        <f>IF(Taostats_CSV!E961&lt;&gt;"TAO",IF(LEN(F961)&gt;0,F961,IF(LEN(D961)&gt;0,D961,0))*Taostats_CSV!P961,"")</f>
        <v/>
      </c>
      <c r="M961" t="str">
        <f t="shared" si="99"/>
        <v/>
      </c>
      <c r="N961">
        <f>COUNTIF(Taostats_CSV!$X:$X,Taostats_CSV!$I961&amp;N$1)</f>
        <v>0</v>
      </c>
      <c r="O961">
        <f>COUNTIF(Taostats_CSV!$X:$X,Taostats_CSV!$I961&amp;O$1)</f>
        <v>0</v>
      </c>
      <c r="P961">
        <f>COUNTIF(Taostats_CSV!$X:$X,Taostats_CSV!$I961&amp;P$1)</f>
        <v>0</v>
      </c>
      <c r="Q961" t="b">
        <f t="shared" si="100"/>
        <v>0</v>
      </c>
      <c r="R961" t="b">
        <f>IF(LEN(K961)&gt;0,COUNTIF($K$3:K961,K961),FALSE)</f>
        <v>0</v>
      </c>
      <c r="S961" t="b">
        <f>IF(Taostats_CSV!A961=Taostats_CSV!$A$2,TRUE,Taostats_CSV!G961+Taostats_CSV!H961+Taostats_CSV!R961=0)</f>
        <v>0</v>
      </c>
      <c r="T961" t="b">
        <f t="shared" si="101"/>
        <v>1</v>
      </c>
      <c r="U961" t="b" cm="1">
        <f t="array" aca="1" ref="U961" ca="1">AND(T961,OR(O961-N961&gt;1,P961&gt;1,ISERROR(A961:P961)))</f>
        <v>0</v>
      </c>
      <c r="W961" t="e">
        <f>MATCH(K961&amp;$W$2,Taostats_CSV!$X$3:$X$1167,0)</f>
        <v>#N/A</v>
      </c>
      <c r="X961" t="e">
        <f t="shared" ca="1" si="96"/>
        <v>#VALUE!</v>
      </c>
      <c r="Y961">
        <f t="shared" ca="1" si="97"/>
        <v>9.5179040000000006E-3</v>
      </c>
      <c r="Z961" t="e">
        <f t="shared" ca="1" si="98"/>
        <v>#VALUE!</v>
      </c>
    </row>
    <row r="962" spans="1:26" x14ac:dyDescent="0.4">
      <c r="A962" t="str">
        <f>MID(Taostats_CSV!C962,6,2)&amp;"/"&amp;MID(Taostats_CSV!C962,9,2)&amp;"/"&amp;LEFT(Taostats_CSV!C962,4)&amp;" "&amp;MID(Taostats_CSV!C962,12,8)</f>
        <v>09/19/2025 23:59:48</v>
      </c>
      <c r="C962" t="str">
        <f ca="1">IF(Q962,OFFSET(Taostats_CSV!$E$1,MATCH(K962&amp;D$1,Taostats_CSV!$X:$X,0)-1,0),IF(Taostats_CSV!F962="fee",IF(VALUE(Taostats_CSV!G962)&gt;0,Taostats_CSV!E962,""),""))</f>
        <v/>
      </c>
      <c r="D962" t="str">
        <f ca="1">IF(Q962,OFFSET(Taostats_CSV!$G$1,MATCH(K962&amp;D$1,Taostats_CSV!$X:$X,0)-1,0),IF(Taostats_CSV!F962="fee",IF(VALUE(Taostats_CSV!G962)&gt;0,Taostats_CSV!G962,""),""))</f>
        <v/>
      </c>
      <c r="E962" t="str">
        <f ca="1">IF(AND(Q962,P962&gt;0),OFFSET(Taostats_CSV!$E$1,MATCH(K962&amp;F$1,Taostats_CSV!$X:$X,0)-1,0),IF(LEN(F962)&gt;0,Taostats_CSV!E962,""))</f>
        <v>SN3</v>
      </c>
      <c r="F962" t="str">
        <f ca="1">TRIM(IF(AND(Q962,P962&gt;0),OFFSET(Taostats_CSV!$H$1,MATCH(K962&amp;F$1,Taostats_CSV!$X:$X,0)-1,0),IF(LEN(Taostats_CSV!H962)&gt;0,Taostats_CSV!H962,Taostats_CSV!R962)))</f>
        <v>0.4825279</v>
      </c>
      <c r="G962" t="str">
        <f ca="1">IF(AND(Q962,N962=1),OFFSET(Taostats_CSV!$E$1,MATCH(K962&amp;H$1,Taostats_CSV!$X:$X,0)-1,0),"")</f>
        <v/>
      </c>
      <c r="H962" t="str">
        <f ca="1">IF(AND(Q962,N962=1),OFFSET(Taostats_CSV!$G$1,MATCH(K962&amp;H$1,Taostats_CSV!$X:$X,0)-1,0),"")</f>
        <v/>
      </c>
      <c r="I962" t="str">
        <f ca="1">IF(AND(LEN(K962)=0,LEN(F962)&gt;0),"Income",IF(AND(O962&gt;0,P962&gt;0,C962&lt;&gt;E962),"Trade",IF(AND(NOT(Q962),Taostats_CSV!F962="fee"),'READ ME'!$C$5,"")))</f>
        <v>Income</v>
      </c>
      <c r="J962" t="str">
        <f ca="1">SUBSTITUTE(IF(LEN(I962)=0,Taostats_CSV!F962&amp;" "&amp;Taostats_CSV!J962,IF(I962="Cost","Extrinsic fee","")),"_"," ")</f>
        <v/>
      </c>
      <c r="K962" t="str">
        <f>TRIM(IF(LEN(Taostats_CSV!I962)&gt;0,Taostats_CSV!I962,""))</f>
        <v/>
      </c>
      <c r="L962">
        <f ca="1">IF(Taostats_CSV!E962&lt;&gt;"TAO",IF(LEN(F962)&gt;0,F962,IF(LEN(D962)&gt;0,D962,0))*Taostats_CSV!P962,"")</f>
        <v>5.9043101975656009</v>
      </c>
      <c r="M962" t="str">
        <f t="shared" ca="1" si="99"/>
        <v>USD</v>
      </c>
      <c r="N962">
        <f>COUNTIF(Taostats_CSV!$X:$X,Taostats_CSV!$I962&amp;N$1)</f>
        <v>0</v>
      </c>
      <c r="O962">
        <f>COUNTIF(Taostats_CSV!$X:$X,Taostats_CSV!$I962&amp;O$1)</f>
        <v>0</v>
      </c>
      <c r="P962">
        <f>COUNTIF(Taostats_CSV!$X:$X,Taostats_CSV!$I962&amp;P$1)</f>
        <v>0</v>
      </c>
      <c r="Q962" t="b">
        <f t="shared" si="100"/>
        <v>0</v>
      </c>
      <c r="R962" t="b">
        <f>IF(LEN(K962)&gt;0,COUNTIF($K$3:K962,K962),FALSE)</f>
        <v>0</v>
      </c>
      <c r="S962" t="b">
        <f>IF(Taostats_CSV!A962=Taostats_CSV!$A$2,TRUE,Taostats_CSV!G962+Taostats_CSV!H962+Taostats_CSV!R962=0)</f>
        <v>0</v>
      </c>
      <c r="T962" t="b">
        <f t="shared" si="101"/>
        <v>1</v>
      </c>
      <c r="U962" t="b" cm="1">
        <f t="array" aca="1" ref="U962" ca="1">AND(T962,OR(O962-N962&gt;1,P962&gt;1,ISERROR(A962:P962)))</f>
        <v>0</v>
      </c>
      <c r="W962" t="e">
        <f>MATCH(K962&amp;$W$2,Taostats_CSV!$X$3:$X$1167,0)</f>
        <v>#N/A</v>
      </c>
      <c r="X962" t="e">
        <f t="shared" ca="1" si="96"/>
        <v>#VALUE!</v>
      </c>
      <c r="Y962">
        <f t="shared" ca="1" si="97"/>
        <v>0.48252790000000001</v>
      </c>
      <c r="Z962" t="e">
        <f t="shared" ca="1" si="98"/>
        <v>#VALUE!</v>
      </c>
    </row>
    <row r="963" spans="1:26" x14ac:dyDescent="0.4">
      <c r="A963" t="str">
        <f>MID(Taostats_CSV!C963,6,2)&amp;"/"&amp;MID(Taostats_CSV!C963,9,2)&amp;"/"&amp;LEFT(Taostats_CSV!C963,4)&amp;" "&amp;MID(Taostats_CSV!C963,12,8)</f>
        <v>09/19/2025 23:59:48</v>
      </c>
      <c r="C963" t="str">
        <f ca="1">IF(Q963,OFFSET(Taostats_CSV!$E$1,MATCH(K963&amp;D$1,Taostats_CSV!$X:$X,0)-1,0),IF(Taostats_CSV!F963="fee",IF(VALUE(Taostats_CSV!G963)&gt;0,Taostats_CSV!E963,""),""))</f>
        <v/>
      </c>
      <c r="D963" t="str">
        <f ca="1">IF(Q963,OFFSET(Taostats_CSV!$G$1,MATCH(K963&amp;D$1,Taostats_CSV!$X:$X,0)-1,0),IF(Taostats_CSV!F963="fee",IF(VALUE(Taostats_CSV!G963)&gt;0,Taostats_CSV!G963,""),""))</f>
        <v/>
      </c>
      <c r="E963" t="str">
        <f ca="1">IF(AND(Q963,P963&gt;0),OFFSET(Taostats_CSV!$E$1,MATCH(K963&amp;F$1,Taostats_CSV!$X:$X,0)-1,0),IF(LEN(F963)&gt;0,Taostats_CSV!E963,""))</f>
        <v>SN4</v>
      </c>
      <c r="F963" t="str">
        <f ca="1">TRIM(IF(AND(Q963,P963&gt;0),OFFSET(Taostats_CSV!$H$1,MATCH(K963&amp;F$1,Taostats_CSV!$X:$X,0)-1,0),IF(LEN(Taostats_CSV!H963)&gt;0,Taostats_CSV!H963,Taostats_CSV!R963)))</f>
        <v>0.41373772</v>
      </c>
      <c r="G963" t="str">
        <f ca="1">IF(AND(Q963,N963=1),OFFSET(Taostats_CSV!$E$1,MATCH(K963&amp;H$1,Taostats_CSV!$X:$X,0)-1,0),"")</f>
        <v/>
      </c>
      <c r="H963" t="str">
        <f ca="1">IF(AND(Q963,N963=1),OFFSET(Taostats_CSV!$G$1,MATCH(K963&amp;H$1,Taostats_CSV!$X:$X,0)-1,0),"")</f>
        <v/>
      </c>
      <c r="I963" t="str">
        <f ca="1">IF(AND(LEN(K963)=0,LEN(F963)&gt;0),"Income",IF(AND(O963&gt;0,P963&gt;0,C963&lt;&gt;E963),"Trade",IF(AND(NOT(Q963),Taostats_CSV!F963="fee"),'READ ME'!$C$5,"")))</f>
        <v>Income</v>
      </c>
      <c r="J963" t="str">
        <f ca="1">SUBSTITUTE(IF(LEN(I963)=0,Taostats_CSV!F963&amp;" "&amp;Taostats_CSV!J963,IF(I963="Cost","Extrinsic fee","")),"_"," ")</f>
        <v/>
      </c>
      <c r="K963" t="str">
        <f>TRIM(IF(LEN(Taostats_CSV!I963)&gt;0,Taostats_CSV!I963,""))</f>
        <v/>
      </c>
      <c r="L963">
        <f ca="1">IF(Taostats_CSV!E963&lt;&gt;"TAO",IF(LEN(F963)&gt;0,F963,IF(LEN(D963)&gt;0,D963,0))*Taostats_CSV!P963,"")</f>
        <v>6.8753023995911322</v>
      </c>
      <c r="M963" t="str">
        <f t="shared" ca="1" si="99"/>
        <v>USD</v>
      </c>
      <c r="N963">
        <f>COUNTIF(Taostats_CSV!$X:$X,Taostats_CSV!$I963&amp;N$1)</f>
        <v>0</v>
      </c>
      <c r="O963">
        <f>COUNTIF(Taostats_CSV!$X:$X,Taostats_CSV!$I963&amp;O$1)</f>
        <v>0</v>
      </c>
      <c r="P963">
        <f>COUNTIF(Taostats_CSV!$X:$X,Taostats_CSV!$I963&amp;P$1)</f>
        <v>0</v>
      </c>
      <c r="Q963" t="b">
        <f t="shared" si="100"/>
        <v>0</v>
      </c>
      <c r="R963" t="b">
        <f>IF(LEN(K963)&gt;0,COUNTIF($K$3:K963,K963),FALSE)</f>
        <v>0</v>
      </c>
      <c r="S963" t="b">
        <f>IF(Taostats_CSV!A963=Taostats_CSV!$A$2,TRUE,Taostats_CSV!G963+Taostats_CSV!H963+Taostats_CSV!R963=0)</f>
        <v>0</v>
      </c>
      <c r="T963" t="b">
        <f t="shared" si="101"/>
        <v>1</v>
      </c>
      <c r="U963" t="b" cm="1">
        <f t="array" aca="1" ref="U963" ca="1">AND(T963,OR(O963-N963&gt;1,P963&gt;1,ISERROR(A963:P963)))</f>
        <v>0</v>
      </c>
      <c r="W963" t="e">
        <f>MATCH(K963&amp;$W$2,Taostats_CSV!$X$3:$X$1167,0)</f>
        <v>#N/A</v>
      </c>
      <c r="X963" t="e">
        <f t="shared" ref="X963:X1026" ca="1" si="102">VALUE(D963)</f>
        <v>#VALUE!</v>
      </c>
      <c r="Y963">
        <f t="shared" ref="Y963:Y1026" ca="1" si="103">VALUE(F963)</f>
        <v>0.41373771999999998</v>
      </c>
      <c r="Z963" t="e">
        <f t="shared" ref="Z963:Z1026" ca="1" si="104">VALUE(H963)</f>
        <v>#VALUE!</v>
      </c>
    </row>
    <row r="964" spans="1:26" x14ac:dyDescent="0.4">
      <c r="A964" t="str">
        <f>MID(Taostats_CSV!C964,6,2)&amp;"/"&amp;MID(Taostats_CSV!C964,9,2)&amp;"/"&amp;LEFT(Taostats_CSV!C964,4)&amp;" "&amp;MID(Taostats_CSV!C964,12,8)</f>
        <v>09/19/2025 23:59:48</v>
      </c>
      <c r="C964" t="str">
        <f ca="1">IF(Q964,OFFSET(Taostats_CSV!$E$1,MATCH(K964&amp;D$1,Taostats_CSV!$X:$X,0)-1,0),IF(Taostats_CSV!F964="fee",IF(VALUE(Taostats_CSV!G964)&gt;0,Taostats_CSV!E964,""),""))</f>
        <v/>
      </c>
      <c r="D964" t="str">
        <f ca="1">IF(Q964,OFFSET(Taostats_CSV!$G$1,MATCH(K964&amp;D$1,Taostats_CSV!$X:$X,0)-1,0),IF(Taostats_CSV!F964="fee",IF(VALUE(Taostats_CSV!G964)&gt;0,Taostats_CSV!G964,""),""))</f>
        <v/>
      </c>
      <c r="E964" t="str">
        <f ca="1">IF(AND(Q964,P964&gt;0),OFFSET(Taostats_CSV!$E$1,MATCH(K964&amp;F$1,Taostats_CSV!$X:$X,0)-1,0),IF(LEN(F964)&gt;0,Taostats_CSV!E964,""))</f>
        <v>SN56</v>
      </c>
      <c r="F964" t="str">
        <f ca="1">TRIM(IF(AND(Q964,P964&gt;0),OFFSET(Taostats_CSV!$H$1,MATCH(K964&amp;F$1,Taostats_CSV!$X:$X,0)-1,0),IF(LEN(Taostats_CSV!H964)&gt;0,Taostats_CSV!H964,Taostats_CSV!R964)))</f>
        <v>0.290953813</v>
      </c>
      <c r="G964" t="str">
        <f ca="1">IF(AND(Q964,N964=1),OFFSET(Taostats_CSV!$E$1,MATCH(K964&amp;H$1,Taostats_CSV!$X:$X,0)-1,0),"")</f>
        <v/>
      </c>
      <c r="H964" t="str">
        <f ca="1">IF(AND(Q964,N964=1),OFFSET(Taostats_CSV!$G$1,MATCH(K964&amp;H$1,Taostats_CSV!$X:$X,0)-1,0),"")</f>
        <v/>
      </c>
      <c r="I964" t="str">
        <f ca="1">IF(AND(LEN(K964)=0,LEN(F964)&gt;0),"Income",IF(AND(O964&gt;0,P964&gt;0,C964&lt;&gt;E964),"Trade",IF(AND(NOT(Q964),Taostats_CSV!F964="fee"),'READ ME'!$C$5,"")))</f>
        <v>Income</v>
      </c>
      <c r="J964" t="str">
        <f ca="1">SUBSTITUTE(IF(LEN(I964)=0,Taostats_CSV!F964&amp;" "&amp;Taostats_CSV!J964,IF(I964="Cost","Extrinsic fee","")),"_"," ")</f>
        <v/>
      </c>
      <c r="K964" t="str">
        <f>TRIM(IF(LEN(Taostats_CSV!I964)&gt;0,Taostats_CSV!I964,""))</f>
        <v/>
      </c>
      <c r="L964">
        <f ca="1">IF(Taostats_CSV!E964&lt;&gt;"TAO",IF(LEN(F964)&gt;0,F964,IF(LEN(D964)&gt;0,D964,0))*Taostats_CSV!P964,"")</f>
        <v>4.1469729314562525</v>
      </c>
      <c r="M964" t="str">
        <f t="shared" ref="M964:M1027" ca="1" si="105">IF(LEN(L964)&gt;0,"USD","")</f>
        <v>USD</v>
      </c>
      <c r="N964">
        <f>COUNTIF(Taostats_CSV!$X:$X,Taostats_CSV!$I964&amp;N$1)</f>
        <v>0</v>
      </c>
      <c r="O964">
        <f>COUNTIF(Taostats_CSV!$X:$X,Taostats_CSV!$I964&amp;O$1)</f>
        <v>0</v>
      </c>
      <c r="P964">
        <f>COUNTIF(Taostats_CSV!$X:$X,Taostats_CSV!$I964&amp;P$1)</f>
        <v>0</v>
      </c>
      <c r="Q964" t="b">
        <f t="shared" ref="Q964:Q1027" si="106">AND(O964&lt;=1,N964&lt;=1,P964&lt;=1,O964+N964+P964&gt;=2)</f>
        <v>0</v>
      </c>
      <c r="R964" t="b">
        <f>IF(LEN(K964)&gt;0,COUNTIF($K$3:K964,K964),FALSE)</f>
        <v>0</v>
      </c>
      <c r="S964" t="b">
        <f>IF(Taostats_CSV!A964=Taostats_CSV!$A$2,TRUE,Taostats_CSV!G964+Taostats_CSV!H964+Taostats_CSV!R964=0)</f>
        <v>0</v>
      </c>
      <c r="T964" t="b">
        <f t="shared" ref="T964:T1027" si="107">AND(NOT(S964),OR(NOT(Q964),R964=1))</f>
        <v>1</v>
      </c>
      <c r="U964" t="b" cm="1">
        <f t="array" aca="1" ref="U964" ca="1">AND(T964,OR(O964-N964&gt;1,P964&gt;1,ISERROR(A964:P964)))</f>
        <v>0</v>
      </c>
      <c r="W964" t="e">
        <f>MATCH(K964&amp;$W$2,Taostats_CSV!$X$3:$X$1167,0)</f>
        <v>#N/A</v>
      </c>
      <c r="X964" t="e">
        <f t="shared" ca="1" si="102"/>
        <v>#VALUE!</v>
      </c>
      <c r="Y964">
        <f t="shared" ca="1" si="103"/>
        <v>0.29095381300000001</v>
      </c>
      <c r="Z964" t="e">
        <f t="shared" ca="1" si="104"/>
        <v>#VALUE!</v>
      </c>
    </row>
    <row r="965" spans="1:26" x14ac:dyDescent="0.4">
      <c r="A965" t="str">
        <f>MID(Taostats_CSV!C965,6,2)&amp;"/"&amp;MID(Taostats_CSV!C965,9,2)&amp;"/"&amp;LEFT(Taostats_CSV!C965,4)&amp;" "&amp;MID(Taostats_CSV!C965,12,8)</f>
        <v>09/19/2025 23:59:48</v>
      </c>
      <c r="C965" t="str">
        <f ca="1">IF(Q965,OFFSET(Taostats_CSV!$E$1,MATCH(K965&amp;D$1,Taostats_CSV!$X:$X,0)-1,0),IF(Taostats_CSV!F965="fee",IF(VALUE(Taostats_CSV!G965)&gt;0,Taostats_CSV!E965,""),""))</f>
        <v/>
      </c>
      <c r="D965" t="str">
        <f ca="1">IF(Q965,OFFSET(Taostats_CSV!$G$1,MATCH(K965&amp;D$1,Taostats_CSV!$X:$X,0)-1,0),IF(Taostats_CSV!F965="fee",IF(VALUE(Taostats_CSV!G965)&gt;0,Taostats_CSV!G965,""),""))</f>
        <v/>
      </c>
      <c r="E965" t="str">
        <f ca="1">IF(AND(Q965,P965&gt;0),OFFSET(Taostats_CSV!$E$1,MATCH(K965&amp;F$1,Taostats_CSV!$X:$X,0)-1,0),IF(LEN(F965)&gt;0,Taostats_CSV!E965,""))</f>
        <v>SN64</v>
      </c>
      <c r="F965" t="str">
        <f ca="1">TRIM(IF(AND(Q965,P965&gt;0),OFFSET(Taostats_CSV!$H$1,MATCH(K965&amp;F$1,Taostats_CSV!$X:$X,0)-1,0),IF(LEN(Taostats_CSV!H965)&gt;0,Taostats_CSV!H965,Taostats_CSV!R965)))</f>
        <v>0.148651922</v>
      </c>
      <c r="G965" t="str">
        <f ca="1">IF(AND(Q965,N965=1),OFFSET(Taostats_CSV!$E$1,MATCH(K965&amp;H$1,Taostats_CSV!$X:$X,0)-1,0),"")</f>
        <v/>
      </c>
      <c r="H965" t="str">
        <f ca="1">IF(AND(Q965,N965=1),OFFSET(Taostats_CSV!$G$1,MATCH(K965&amp;H$1,Taostats_CSV!$X:$X,0)-1,0),"")</f>
        <v/>
      </c>
      <c r="I965" t="str">
        <f ca="1">IF(AND(LEN(K965)=0,LEN(F965)&gt;0),"Income",IF(AND(O965&gt;0,P965&gt;0,C965&lt;&gt;E965),"Trade",IF(AND(NOT(Q965),Taostats_CSV!F965="fee"),'READ ME'!$C$5,"")))</f>
        <v>Income</v>
      </c>
      <c r="J965" t="str">
        <f ca="1">SUBSTITUTE(IF(LEN(I965)=0,Taostats_CSV!F965&amp;" "&amp;Taostats_CSV!J965,IF(I965="Cost","Extrinsic fee","")),"_"," ")</f>
        <v/>
      </c>
      <c r="K965" t="str">
        <f>TRIM(IF(LEN(Taostats_CSV!I965)&gt;0,Taostats_CSV!I965,""))</f>
        <v/>
      </c>
      <c r="L965">
        <f ca="1">IF(Taostats_CSV!E965&lt;&gt;"TAO",IF(LEN(F965)&gt;0,F965,IF(LEN(D965)&gt;0,D965,0))*Taostats_CSV!P965,"")</f>
        <v>5.028041932155987</v>
      </c>
      <c r="M965" t="str">
        <f t="shared" ca="1" si="105"/>
        <v>USD</v>
      </c>
      <c r="N965">
        <f>COUNTIF(Taostats_CSV!$X:$X,Taostats_CSV!$I965&amp;N$1)</f>
        <v>0</v>
      </c>
      <c r="O965">
        <f>COUNTIF(Taostats_CSV!$X:$X,Taostats_CSV!$I965&amp;O$1)</f>
        <v>0</v>
      </c>
      <c r="P965">
        <f>COUNTIF(Taostats_CSV!$X:$X,Taostats_CSV!$I965&amp;P$1)</f>
        <v>0</v>
      </c>
      <c r="Q965" t="b">
        <f t="shared" si="106"/>
        <v>0</v>
      </c>
      <c r="R965" t="b">
        <f>IF(LEN(K965)&gt;0,COUNTIF($K$3:K965,K965),FALSE)</f>
        <v>0</v>
      </c>
      <c r="S965" t="b">
        <f>IF(Taostats_CSV!A965=Taostats_CSV!$A$2,TRUE,Taostats_CSV!G965+Taostats_CSV!H965+Taostats_CSV!R965=0)</f>
        <v>0</v>
      </c>
      <c r="T965" t="b">
        <f t="shared" si="107"/>
        <v>1</v>
      </c>
      <c r="U965" t="b" cm="1">
        <f t="array" aca="1" ref="U965" ca="1">AND(T965,OR(O965-N965&gt;1,P965&gt;1,ISERROR(A965:P965)))</f>
        <v>0</v>
      </c>
      <c r="W965" t="e">
        <f>MATCH(K965&amp;$W$2,Taostats_CSV!$X$3:$X$1167,0)</f>
        <v>#N/A</v>
      </c>
      <c r="X965" t="e">
        <f t="shared" ca="1" si="102"/>
        <v>#VALUE!</v>
      </c>
      <c r="Y965">
        <f t="shared" ca="1" si="103"/>
        <v>0.14865192199999999</v>
      </c>
      <c r="Z965" t="e">
        <f t="shared" ca="1" si="104"/>
        <v>#VALUE!</v>
      </c>
    </row>
    <row r="966" spans="1:26" x14ac:dyDescent="0.4">
      <c r="A966" t="str">
        <f>MID(Taostats_CSV!C966,6,2)&amp;"/"&amp;MID(Taostats_CSV!C966,9,2)&amp;"/"&amp;LEFT(Taostats_CSV!C966,4)&amp;" "&amp;MID(Taostats_CSV!C966,12,8)</f>
        <v>09/19/2025 23:59:48</v>
      </c>
      <c r="C966" t="str">
        <f ca="1">IF(Q966,OFFSET(Taostats_CSV!$E$1,MATCH(K966&amp;D$1,Taostats_CSV!$X:$X,0)-1,0),IF(Taostats_CSV!F966="fee",IF(VALUE(Taostats_CSV!G966)&gt;0,Taostats_CSV!E966,""),""))</f>
        <v/>
      </c>
      <c r="D966" t="str">
        <f ca="1">IF(Q966,OFFSET(Taostats_CSV!$G$1,MATCH(K966&amp;D$1,Taostats_CSV!$X:$X,0)-1,0),IF(Taostats_CSV!F966="fee",IF(VALUE(Taostats_CSV!G966)&gt;0,Taostats_CSV!G966,""),""))</f>
        <v/>
      </c>
      <c r="E966" t="str">
        <f ca="1">IF(AND(Q966,P966&gt;0),OFFSET(Taostats_CSV!$E$1,MATCH(K966&amp;F$1,Taostats_CSV!$X:$X,0)-1,0),IF(LEN(F966)&gt;0,Taostats_CSV!E966,""))</f>
        <v>TAO</v>
      </c>
      <c r="F966" t="str">
        <f ca="1">TRIM(IF(AND(Q966,P966&gt;0),OFFSET(Taostats_CSV!$H$1,MATCH(K966&amp;F$1,Taostats_CSV!$X:$X,0)-1,0),IF(LEN(Taostats_CSV!H966)&gt;0,Taostats_CSV!H966,Taostats_CSV!R966)))</f>
        <v>0.009703976</v>
      </c>
      <c r="G966" t="str">
        <f ca="1">IF(AND(Q966,N966=1),OFFSET(Taostats_CSV!$E$1,MATCH(K966&amp;H$1,Taostats_CSV!$X:$X,0)-1,0),"")</f>
        <v/>
      </c>
      <c r="H966" t="str">
        <f ca="1">IF(AND(Q966,N966=1),OFFSET(Taostats_CSV!$G$1,MATCH(K966&amp;H$1,Taostats_CSV!$X:$X,0)-1,0),"")</f>
        <v/>
      </c>
      <c r="I966" t="str">
        <f ca="1">IF(AND(LEN(K966)=0,LEN(F966)&gt;0),"Income",IF(AND(O966&gt;0,P966&gt;0,C966&lt;&gt;E966),"Trade",IF(AND(NOT(Q966),Taostats_CSV!F966="fee"),'READ ME'!$C$5,"")))</f>
        <v>Income</v>
      </c>
      <c r="J966" t="str">
        <f ca="1">SUBSTITUTE(IF(LEN(I966)=0,Taostats_CSV!F966&amp;" "&amp;Taostats_CSV!J966,IF(I966="Cost","Extrinsic fee","")),"_"," ")</f>
        <v/>
      </c>
      <c r="K966" t="str">
        <f>TRIM(IF(LEN(Taostats_CSV!I966)&gt;0,Taostats_CSV!I966,""))</f>
        <v/>
      </c>
      <c r="L966" t="str">
        <f>IF(Taostats_CSV!E966&lt;&gt;"TAO",IF(LEN(F966)&gt;0,F966,IF(LEN(D966)&gt;0,D966,0))*Taostats_CSV!P966,"")</f>
        <v/>
      </c>
      <c r="M966" t="str">
        <f t="shared" si="105"/>
        <v/>
      </c>
      <c r="N966">
        <f>COUNTIF(Taostats_CSV!$X:$X,Taostats_CSV!$I966&amp;N$1)</f>
        <v>0</v>
      </c>
      <c r="O966">
        <f>COUNTIF(Taostats_CSV!$X:$X,Taostats_CSV!$I966&amp;O$1)</f>
        <v>0</v>
      </c>
      <c r="P966">
        <f>COUNTIF(Taostats_CSV!$X:$X,Taostats_CSV!$I966&amp;P$1)</f>
        <v>0</v>
      </c>
      <c r="Q966" t="b">
        <f t="shared" si="106"/>
        <v>0</v>
      </c>
      <c r="R966" t="b">
        <f>IF(LEN(K966)&gt;0,COUNTIF($K$3:K966,K966),FALSE)</f>
        <v>0</v>
      </c>
      <c r="S966" t="b">
        <f>IF(Taostats_CSV!A966=Taostats_CSV!$A$2,TRUE,Taostats_CSV!G966+Taostats_CSV!H966+Taostats_CSV!R966=0)</f>
        <v>0</v>
      </c>
      <c r="T966" t="b">
        <f t="shared" si="107"/>
        <v>1</v>
      </c>
      <c r="U966" t="b" cm="1">
        <f t="array" aca="1" ref="U966" ca="1">AND(T966,OR(O966-N966&gt;1,P966&gt;1,ISERROR(A966:P966)))</f>
        <v>0</v>
      </c>
      <c r="W966" t="e">
        <f>MATCH(K966&amp;$W$2,Taostats_CSV!$X$3:$X$1167,0)</f>
        <v>#N/A</v>
      </c>
      <c r="X966" t="e">
        <f t="shared" ca="1" si="102"/>
        <v>#VALUE!</v>
      </c>
      <c r="Y966">
        <f t="shared" ca="1" si="103"/>
        <v>9.7039759999999996E-3</v>
      </c>
      <c r="Z966" t="e">
        <f t="shared" ca="1" si="104"/>
        <v>#VALUE!</v>
      </c>
    </row>
    <row r="967" spans="1:26" x14ac:dyDescent="0.4">
      <c r="A967" t="str">
        <f>MID(Taostats_CSV!C967,6,2)&amp;"/"&amp;MID(Taostats_CSV!C967,9,2)&amp;"/"&amp;LEFT(Taostats_CSV!C967,4)&amp;" "&amp;MID(Taostats_CSV!C967,12,8)</f>
        <v>09/20/2025 23:59:48</v>
      </c>
      <c r="C967" t="str">
        <f ca="1">IF(Q967,OFFSET(Taostats_CSV!$E$1,MATCH(K967&amp;D$1,Taostats_CSV!$X:$X,0)-1,0),IF(Taostats_CSV!F967="fee",IF(VALUE(Taostats_CSV!G967)&gt;0,Taostats_CSV!E967,""),""))</f>
        <v/>
      </c>
      <c r="D967" t="str">
        <f ca="1">IF(Q967,OFFSET(Taostats_CSV!$G$1,MATCH(K967&amp;D$1,Taostats_CSV!$X:$X,0)-1,0),IF(Taostats_CSV!F967="fee",IF(VALUE(Taostats_CSV!G967)&gt;0,Taostats_CSV!G967,""),""))</f>
        <v/>
      </c>
      <c r="E967" t="str">
        <f ca="1">IF(AND(Q967,P967&gt;0),OFFSET(Taostats_CSV!$E$1,MATCH(K967&amp;F$1,Taostats_CSV!$X:$X,0)-1,0),IF(LEN(F967)&gt;0,Taostats_CSV!E967,""))</f>
        <v>SN3</v>
      </c>
      <c r="F967" t="str">
        <f ca="1">TRIM(IF(AND(Q967,P967&gt;0),OFFSET(Taostats_CSV!$H$1,MATCH(K967&amp;F$1,Taostats_CSV!$X:$X,0)-1,0),IF(LEN(Taostats_CSV!H967)&gt;0,Taostats_CSV!H967,Taostats_CSV!R967)))</f>
        <v>0.479174445</v>
      </c>
      <c r="G967" t="str">
        <f ca="1">IF(AND(Q967,N967=1),OFFSET(Taostats_CSV!$E$1,MATCH(K967&amp;H$1,Taostats_CSV!$X:$X,0)-1,0),"")</f>
        <v/>
      </c>
      <c r="H967" t="str">
        <f ca="1">IF(AND(Q967,N967=1),OFFSET(Taostats_CSV!$G$1,MATCH(K967&amp;H$1,Taostats_CSV!$X:$X,0)-1,0),"")</f>
        <v/>
      </c>
      <c r="I967" t="str">
        <f ca="1">IF(AND(LEN(K967)=0,LEN(F967)&gt;0),"Income",IF(AND(O967&gt;0,P967&gt;0,C967&lt;&gt;E967),"Trade",IF(AND(NOT(Q967),Taostats_CSV!F967="fee"),'READ ME'!$C$5,"")))</f>
        <v>Income</v>
      </c>
      <c r="J967" t="str">
        <f ca="1">SUBSTITUTE(IF(LEN(I967)=0,Taostats_CSV!F967&amp;" "&amp;Taostats_CSV!J967,IF(I967="Cost","Extrinsic fee","")),"_"," ")</f>
        <v/>
      </c>
      <c r="K967" t="str">
        <f>TRIM(IF(LEN(Taostats_CSV!I967)&gt;0,Taostats_CSV!I967,""))</f>
        <v/>
      </c>
      <c r="L967">
        <f ca="1">IF(Taostats_CSV!E967&lt;&gt;"TAO",IF(LEN(F967)&gt;0,F967,IF(LEN(D967)&gt;0,D967,0))*Taostats_CSV!P967,"")</f>
        <v>5.9035677365205812</v>
      </c>
      <c r="M967" t="str">
        <f t="shared" ca="1" si="105"/>
        <v>USD</v>
      </c>
      <c r="N967">
        <f>COUNTIF(Taostats_CSV!$X:$X,Taostats_CSV!$I967&amp;N$1)</f>
        <v>0</v>
      </c>
      <c r="O967">
        <f>COUNTIF(Taostats_CSV!$X:$X,Taostats_CSV!$I967&amp;O$1)</f>
        <v>0</v>
      </c>
      <c r="P967">
        <f>COUNTIF(Taostats_CSV!$X:$X,Taostats_CSV!$I967&amp;P$1)</f>
        <v>0</v>
      </c>
      <c r="Q967" t="b">
        <f t="shared" si="106"/>
        <v>0</v>
      </c>
      <c r="R967" t="b">
        <f>IF(LEN(K967)&gt;0,COUNTIF($K$3:K967,K967),FALSE)</f>
        <v>0</v>
      </c>
      <c r="S967" t="b">
        <f>IF(Taostats_CSV!A967=Taostats_CSV!$A$2,TRUE,Taostats_CSV!G967+Taostats_CSV!H967+Taostats_CSV!R967=0)</f>
        <v>0</v>
      </c>
      <c r="T967" t="b">
        <f t="shared" si="107"/>
        <v>1</v>
      </c>
      <c r="U967" t="b" cm="1">
        <f t="array" aca="1" ref="U967" ca="1">AND(T967,OR(O967-N967&gt;1,P967&gt;1,ISERROR(A967:P967)))</f>
        <v>0</v>
      </c>
      <c r="W967" t="e">
        <f>MATCH(K967&amp;$W$2,Taostats_CSV!$X$3:$X$1167,0)</f>
        <v>#N/A</v>
      </c>
      <c r="X967" t="e">
        <f t="shared" ca="1" si="102"/>
        <v>#VALUE!</v>
      </c>
      <c r="Y967">
        <f t="shared" ca="1" si="103"/>
        <v>0.479174445</v>
      </c>
      <c r="Z967" t="e">
        <f t="shared" ca="1" si="104"/>
        <v>#VALUE!</v>
      </c>
    </row>
    <row r="968" spans="1:26" x14ac:dyDescent="0.4">
      <c r="A968" t="str">
        <f>MID(Taostats_CSV!C968,6,2)&amp;"/"&amp;MID(Taostats_CSV!C968,9,2)&amp;"/"&amp;LEFT(Taostats_CSV!C968,4)&amp;" "&amp;MID(Taostats_CSV!C968,12,8)</f>
        <v>09/20/2025 23:59:48</v>
      </c>
      <c r="C968" t="str">
        <f ca="1">IF(Q968,OFFSET(Taostats_CSV!$E$1,MATCH(K968&amp;D$1,Taostats_CSV!$X:$X,0)-1,0),IF(Taostats_CSV!F968="fee",IF(VALUE(Taostats_CSV!G968)&gt;0,Taostats_CSV!E968,""),""))</f>
        <v/>
      </c>
      <c r="D968" t="str">
        <f ca="1">IF(Q968,OFFSET(Taostats_CSV!$G$1,MATCH(K968&amp;D$1,Taostats_CSV!$X:$X,0)-1,0),IF(Taostats_CSV!F968="fee",IF(VALUE(Taostats_CSV!G968)&gt;0,Taostats_CSV!G968,""),""))</f>
        <v/>
      </c>
      <c r="E968" t="str">
        <f ca="1">IF(AND(Q968,P968&gt;0),OFFSET(Taostats_CSV!$E$1,MATCH(K968&amp;F$1,Taostats_CSV!$X:$X,0)-1,0),IF(LEN(F968)&gt;0,Taostats_CSV!E968,""))</f>
        <v>SN4</v>
      </c>
      <c r="F968" t="str">
        <f ca="1">TRIM(IF(AND(Q968,P968&gt;0),OFFSET(Taostats_CSV!$H$1,MATCH(K968&amp;F$1,Taostats_CSV!$X:$X,0)-1,0),IF(LEN(Taostats_CSV!H968)&gt;0,Taostats_CSV!H968,Taostats_CSV!R968)))</f>
        <v>0.413691581</v>
      </c>
      <c r="G968" t="str">
        <f ca="1">IF(AND(Q968,N968=1),OFFSET(Taostats_CSV!$E$1,MATCH(K968&amp;H$1,Taostats_CSV!$X:$X,0)-1,0),"")</f>
        <v/>
      </c>
      <c r="H968" t="str">
        <f ca="1">IF(AND(Q968,N968=1),OFFSET(Taostats_CSV!$G$1,MATCH(K968&amp;H$1,Taostats_CSV!$X:$X,0)-1,0),"")</f>
        <v/>
      </c>
      <c r="I968" t="str">
        <f ca="1">IF(AND(LEN(K968)=0,LEN(F968)&gt;0),"Income",IF(AND(O968&gt;0,P968&gt;0,C968&lt;&gt;E968),"Trade",IF(AND(NOT(Q968),Taostats_CSV!F968="fee"),'READ ME'!$C$5,"")))</f>
        <v>Income</v>
      </c>
      <c r="J968" t="str">
        <f ca="1">SUBSTITUTE(IF(LEN(I968)=0,Taostats_CSV!F968&amp;" "&amp;Taostats_CSV!J968,IF(I968="Cost","Extrinsic fee","")),"_"," ")</f>
        <v/>
      </c>
      <c r="K968" t="str">
        <f>TRIM(IF(LEN(Taostats_CSV!I968)&gt;0,Taostats_CSV!I968,""))</f>
        <v/>
      </c>
      <c r="L968">
        <f ca="1">IF(Taostats_CSV!E968&lt;&gt;"TAO",IF(LEN(F968)&gt;0,F968,IF(LEN(D968)&gt;0,D968,0))*Taostats_CSV!P968,"")</f>
        <v>6.8579907199161001</v>
      </c>
      <c r="M968" t="str">
        <f t="shared" ca="1" si="105"/>
        <v>USD</v>
      </c>
      <c r="N968">
        <f>COUNTIF(Taostats_CSV!$X:$X,Taostats_CSV!$I968&amp;N$1)</f>
        <v>0</v>
      </c>
      <c r="O968">
        <f>COUNTIF(Taostats_CSV!$X:$X,Taostats_CSV!$I968&amp;O$1)</f>
        <v>0</v>
      </c>
      <c r="P968">
        <f>COUNTIF(Taostats_CSV!$X:$X,Taostats_CSV!$I968&amp;P$1)</f>
        <v>0</v>
      </c>
      <c r="Q968" t="b">
        <f t="shared" si="106"/>
        <v>0</v>
      </c>
      <c r="R968" t="b">
        <f>IF(LEN(K968)&gt;0,COUNTIF($K$3:K968,K968),FALSE)</f>
        <v>0</v>
      </c>
      <c r="S968" t="b">
        <f>IF(Taostats_CSV!A968=Taostats_CSV!$A$2,TRUE,Taostats_CSV!G968+Taostats_CSV!H968+Taostats_CSV!R968=0)</f>
        <v>0</v>
      </c>
      <c r="T968" t="b">
        <f t="shared" si="107"/>
        <v>1</v>
      </c>
      <c r="U968" t="b" cm="1">
        <f t="array" aca="1" ref="U968" ca="1">AND(T968,OR(O968-N968&gt;1,P968&gt;1,ISERROR(A968:P968)))</f>
        <v>0</v>
      </c>
      <c r="W968" t="e">
        <f>MATCH(K968&amp;$W$2,Taostats_CSV!$X$3:$X$1167,0)</f>
        <v>#N/A</v>
      </c>
      <c r="X968" t="e">
        <f t="shared" ca="1" si="102"/>
        <v>#VALUE!</v>
      </c>
      <c r="Y968">
        <f t="shared" ca="1" si="103"/>
        <v>0.41369158099999997</v>
      </c>
      <c r="Z968" t="e">
        <f t="shared" ca="1" si="104"/>
        <v>#VALUE!</v>
      </c>
    </row>
    <row r="969" spans="1:26" x14ac:dyDescent="0.4">
      <c r="A969" t="str">
        <f>MID(Taostats_CSV!C969,6,2)&amp;"/"&amp;MID(Taostats_CSV!C969,9,2)&amp;"/"&amp;LEFT(Taostats_CSV!C969,4)&amp;" "&amp;MID(Taostats_CSV!C969,12,8)</f>
        <v>09/20/2025 23:59:48</v>
      </c>
      <c r="C969" t="str">
        <f ca="1">IF(Q969,OFFSET(Taostats_CSV!$E$1,MATCH(K969&amp;D$1,Taostats_CSV!$X:$X,0)-1,0),IF(Taostats_CSV!F969="fee",IF(VALUE(Taostats_CSV!G969)&gt;0,Taostats_CSV!E969,""),""))</f>
        <v/>
      </c>
      <c r="D969" t="str">
        <f ca="1">IF(Q969,OFFSET(Taostats_CSV!$G$1,MATCH(K969&amp;D$1,Taostats_CSV!$X:$X,0)-1,0),IF(Taostats_CSV!F969="fee",IF(VALUE(Taostats_CSV!G969)&gt;0,Taostats_CSV!G969,""),""))</f>
        <v/>
      </c>
      <c r="E969" t="str">
        <f ca="1">IF(AND(Q969,P969&gt;0),OFFSET(Taostats_CSV!$E$1,MATCH(K969&amp;F$1,Taostats_CSV!$X:$X,0)-1,0),IF(LEN(F969)&gt;0,Taostats_CSV!E969,""))</f>
        <v>SN56</v>
      </c>
      <c r="F969" t="str">
        <f ca="1">TRIM(IF(AND(Q969,P969&gt;0),OFFSET(Taostats_CSV!$H$1,MATCH(K969&amp;F$1,Taostats_CSV!$X:$X,0)-1,0),IF(LEN(Taostats_CSV!H969)&gt;0,Taostats_CSV!H969,Taostats_CSV!R969)))</f>
        <v>0.273429253</v>
      </c>
      <c r="G969" t="str">
        <f ca="1">IF(AND(Q969,N969=1),OFFSET(Taostats_CSV!$E$1,MATCH(K969&amp;H$1,Taostats_CSV!$X:$X,0)-1,0),"")</f>
        <v/>
      </c>
      <c r="H969" t="str">
        <f ca="1">IF(AND(Q969,N969=1),OFFSET(Taostats_CSV!$G$1,MATCH(K969&amp;H$1,Taostats_CSV!$X:$X,0)-1,0),"")</f>
        <v/>
      </c>
      <c r="I969" t="str">
        <f ca="1">IF(AND(LEN(K969)=0,LEN(F969)&gt;0),"Income",IF(AND(O969&gt;0,P969&gt;0,C969&lt;&gt;E969),"Trade",IF(AND(NOT(Q969),Taostats_CSV!F969="fee"),'READ ME'!$C$5,"")))</f>
        <v>Income</v>
      </c>
      <c r="J969" t="str">
        <f ca="1">SUBSTITUTE(IF(LEN(I969)=0,Taostats_CSV!F969&amp;" "&amp;Taostats_CSV!J969,IF(I969="Cost","Extrinsic fee","")),"_"," ")</f>
        <v/>
      </c>
      <c r="K969" t="str">
        <f>TRIM(IF(LEN(Taostats_CSV!I969)&gt;0,Taostats_CSV!I969,""))</f>
        <v/>
      </c>
      <c r="L969">
        <f ca="1">IF(Taostats_CSV!E969&lt;&gt;"TAO",IF(LEN(F969)&gt;0,F969,IF(LEN(D969)&gt;0,D969,0))*Taostats_CSV!P969,"")</f>
        <v>3.8736251771008741</v>
      </c>
      <c r="M969" t="str">
        <f t="shared" ca="1" si="105"/>
        <v>USD</v>
      </c>
      <c r="N969">
        <f>COUNTIF(Taostats_CSV!$X:$X,Taostats_CSV!$I969&amp;N$1)</f>
        <v>0</v>
      </c>
      <c r="O969">
        <f>COUNTIF(Taostats_CSV!$X:$X,Taostats_CSV!$I969&amp;O$1)</f>
        <v>0</v>
      </c>
      <c r="P969">
        <f>COUNTIF(Taostats_CSV!$X:$X,Taostats_CSV!$I969&amp;P$1)</f>
        <v>0</v>
      </c>
      <c r="Q969" t="b">
        <f t="shared" si="106"/>
        <v>0</v>
      </c>
      <c r="R969" t="b">
        <f>IF(LEN(K969)&gt;0,COUNTIF($K$3:K969,K969),FALSE)</f>
        <v>0</v>
      </c>
      <c r="S969" t="b">
        <f>IF(Taostats_CSV!A969=Taostats_CSV!$A$2,TRUE,Taostats_CSV!G969+Taostats_CSV!H969+Taostats_CSV!R969=0)</f>
        <v>0</v>
      </c>
      <c r="T969" t="b">
        <f t="shared" si="107"/>
        <v>1</v>
      </c>
      <c r="U969" t="b" cm="1">
        <f t="array" aca="1" ref="U969" ca="1">AND(T969,OR(O969-N969&gt;1,P969&gt;1,ISERROR(A969:P969)))</f>
        <v>0</v>
      </c>
      <c r="W969" t="e">
        <f>MATCH(K969&amp;$W$2,Taostats_CSV!$X$3:$X$1167,0)</f>
        <v>#N/A</v>
      </c>
      <c r="X969" t="e">
        <f t="shared" ca="1" si="102"/>
        <v>#VALUE!</v>
      </c>
      <c r="Y969">
        <f t="shared" ca="1" si="103"/>
        <v>0.27342925299999998</v>
      </c>
      <c r="Z969" t="e">
        <f t="shared" ca="1" si="104"/>
        <v>#VALUE!</v>
      </c>
    </row>
    <row r="970" spans="1:26" x14ac:dyDescent="0.4">
      <c r="A970" t="str">
        <f>MID(Taostats_CSV!C970,6,2)&amp;"/"&amp;MID(Taostats_CSV!C970,9,2)&amp;"/"&amp;LEFT(Taostats_CSV!C970,4)&amp;" "&amp;MID(Taostats_CSV!C970,12,8)</f>
        <v>09/20/2025 23:59:48</v>
      </c>
      <c r="C970" t="str">
        <f ca="1">IF(Q970,OFFSET(Taostats_CSV!$E$1,MATCH(K970&amp;D$1,Taostats_CSV!$X:$X,0)-1,0),IF(Taostats_CSV!F970="fee",IF(VALUE(Taostats_CSV!G970)&gt;0,Taostats_CSV!E970,""),""))</f>
        <v/>
      </c>
      <c r="D970" t="str">
        <f ca="1">IF(Q970,OFFSET(Taostats_CSV!$G$1,MATCH(K970&amp;D$1,Taostats_CSV!$X:$X,0)-1,0),IF(Taostats_CSV!F970="fee",IF(VALUE(Taostats_CSV!G970)&gt;0,Taostats_CSV!G970,""),""))</f>
        <v/>
      </c>
      <c r="E970" t="str">
        <f ca="1">IF(AND(Q970,P970&gt;0),OFFSET(Taostats_CSV!$E$1,MATCH(K970&amp;F$1,Taostats_CSV!$X:$X,0)-1,0),IF(LEN(F970)&gt;0,Taostats_CSV!E970,""))</f>
        <v>SN64</v>
      </c>
      <c r="F970" t="str">
        <f ca="1">TRIM(IF(AND(Q970,P970&gt;0),OFFSET(Taostats_CSV!$H$1,MATCH(K970&amp;F$1,Taostats_CSV!$X:$X,0)-1,0),IF(LEN(Taostats_CSV!H970)&gt;0,Taostats_CSV!H970,Taostats_CSV!R970)))</f>
        <v>0.147579101</v>
      </c>
      <c r="G970" t="str">
        <f ca="1">IF(AND(Q970,N970=1),OFFSET(Taostats_CSV!$E$1,MATCH(K970&amp;H$1,Taostats_CSV!$X:$X,0)-1,0),"")</f>
        <v/>
      </c>
      <c r="H970" t="str">
        <f ca="1">IF(AND(Q970,N970=1),OFFSET(Taostats_CSV!$G$1,MATCH(K970&amp;H$1,Taostats_CSV!$X:$X,0)-1,0),"")</f>
        <v/>
      </c>
      <c r="I970" t="str">
        <f ca="1">IF(AND(LEN(K970)=0,LEN(F970)&gt;0),"Income",IF(AND(O970&gt;0,P970&gt;0,C970&lt;&gt;E970),"Trade",IF(AND(NOT(Q970),Taostats_CSV!F970="fee"),'READ ME'!$C$5,"")))</f>
        <v>Income</v>
      </c>
      <c r="J970" t="str">
        <f ca="1">SUBSTITUTE(IF(LEN(I970)=0,Taostats_CSV!F970&amp;" "&amp;Taostats_CSV!J970,IF(I970="Cost","Extrinsic fee","")),"_"," ")</f>
        <v/>
      </c>
      <c r="K970" t="str">
        <f>TRIM(IF(LEN(Taostats_CSV!I970)&gt;0,Taostats_CSV!I970,""))</f>
        <v/>
      </c>
      <c r="L970">
        <f ca="1">IF(Taostats_CSV!E970&lt;&gt;"TAO",IF(LEN(F970)&gt;0,F970,IF(LEN(D970)&gt;0,D970,0))*Taostats_CSV!P970,"")</f>
        <v>4.9582769249469454</v>
      </c>
      <c r="M970" t="str">
        <f t="shared" ca="1" si="105"/>
        <v>USD</v>
      </c>
      <c r="N970">
        <f>COUNTIF(Taostats_CSV!$X:$X,Taostats_CSV!$I970&amp;N$1)</f>
        <v>0</v>
      </c>
      <c r="O970">
        <f>COUNTIF(Taostats_CSV!$X:$X,Taostats_CSV!$I970&amp;O$1)</f>
        <v>0</v>
      </c>
      <c r="P970">
        <f>COUNTIF(Taostats_CSV!$X:$X,Taostats_CSV!$I970&amp;P$1)</f>
        <v>0</v>
      </c>
      <c r="Q970" t="b">
        <f t="shared" si="106"/>
        <v>0</v>
      </c>
      <c r="R970" t="b">
        <f>IF(LEN(K970)&gt;0,COUNTIF($K$3:K970,K970),FALSE)</f>
        <v>0</v>
      </c>
      <c r="S970" t="b">
        <f>IF(Taostats_CSV!A970=Taostats_CSV!$A$2,TRUE,Taostats_CSV!G970+Taostats_CSV!H970+Taostats_CSV!R970=0)</f>
        <v>0</v>
      </c>
      <c r="T970" t="b">
        <f t="shared" si="107"/>
        <v>1</v>
      </c>
      <c r="U970" t="b" cm="1">
        <f t="array" aca="1" ref="U970" ca="1">AND(T970,OR(O970-N970&gt;1,P970&gt;1,ISERROR(A970:P970)))</f>
        <v>0</v>
      </c>
      <c r="W970" t="e">
        <f>MATCH(K970&amp;$W$2,Taostats_CSV!$X$3:$X$1167,0)</f>
        <v>#N/A</v>
      </c>
      <c r="X970" t="e">
        <f t="shared" ca="1" si="102"/>
        <v>#VALUE!</v>
      </c>
      <c r="Y970">
        <f t="shared" ca="1" si="103"/>
        <v>0.14757910099999999</v>
      </c>
      <c r="Z970" t="e">
        <f t="shared" ca="1" si="104"/>
        <v>#VALUE!</v>
      </c>
    </row>
    <row r="971" spans="1:26" x14ac:dyDescent="0.4">
      <c r="A971" t="str">
        <f>MID(Taostats_CSV!C971,6,2)&amp;"/"&amp;MID(Taostats_CSV!C971,9,2)&amp;"/"&amp;LEFT(Taostats_CSV!C971,4)&amp;" "&amp;MID(Taostats_CSV!C971,12,8)</f>
        <v>09/20/2025 23:59:48</v>
      </c>
      <c r="C971" t="str">
        <f ca="1">IF(Q971,OFFSET(Taostats_CSV!$E$1,MATCH(K971&amp;D$1,Taostats_CSV!$X:$X,0)-1,0),IF(Taostats_CSV!F971="fee",IF(VALUE(Taostats_CSV!G971)&gt;0,Taostats_CSV!E971,""),""))</f>
        <v/>
      </c>
      <c r="D971" t="str">
        <f ca="1">IF(Q971,OFFSET(Taostats_CSV!$G$1,MATCH(K971&amp;D$1,Taostats_CSV!$X:$X,0)-1,0),IF(Taostats_CSV!F971="fee",IF(VALUE(Taostats_CSV!G971)&gt;0,Taostats_CSV!G971,""),""))</f>
        <v/>
      </c>
      <c r="E971" t="str">
        <f ca="1">IF(AND(Q971,P971&gt;0),OFFSET(Taostats_CSV!$E$1,MATCH(K971&amp;F$1,Taostats_CSV!$X:$X,0)-1,0),IF(LEN(F971)&gt;0,Taostats_CSV!E971,""))</f>
        <v>TAO</v>
      </c>
      <c r="F971" t="str">
        <f ca="1">TRIM(IF(AND(Q971,P971&gt;0),OFFSET(Taostats_CSV!$H$1,MATCH(K971&amp;F$1,Taostats_CSV!$X:$X,0)-1,0),IF(LEN(Taostats_CSV!H971)&gt;0,Taostats_CSV!H971,Taostats_CSV!R971)))</f>
        <v>0.009689514</v>
      </c>
      <c r="G971" t="str">
        <f ca="1">IF(AND(Q971,N971=1),OFFSET(Taostats_CSV!$E$1,MATCH(K971&amp;H$1,Taostats_CSV!$X:$X,0)-1,0),"")</f>
        <v/>
      </c>
      <c r="H971" t="str">
        <f ca="1">IF(AND(Q971,N971=1),OFFSET(Taostats_CSV!$G$1,MATCH(K971&amp;H$1,Taostats_CSV!$X:$X,0)-1,0),"")</f>
        <v/>
      </c>
      <c r="I971" t="str">
        <f ca="1">IF(AND(LEN(K971)=0,LEN(F971)&gt;0),"Income",IF(AND(O971&gt;0,P971&gt;0,C971&lt;&gt;E971),"Trade",IF(AND(NOT(Q971),Taostats_CSV!F971="fee"),'READ ME'!$C$5,"")))</f>
        <v>Income</v>
      </c>
      <c r="J971" t="str">
        <f ca="1">SUBSTITUTE(IF(LEN(I971)=0,Taostats_CSV!F971&amp;" "&amp;Taostats_CSV!J971,IF(I971="Cost","Extrinsic fee","")),"_"," ")</f>
        <v/>
      </c>
      <c r="K971" t="str">
        <f>TRIM(IF(LEN(Taostats_CSV!I971)&gt;0,Taostats_CSV!I971,""))</f>
        <v/>
      </c>
      <c r="L971" t="str">
        <f>IF(Taostats_CSV!E971&lt;&gt;"TAO",IF(LEN(F971)&gt;0,F971,IF(LEN(D971)&gt;0,D971,0))*Taostats_CSV!P971,"")</f>
        <v/>
      </c>
      <c r="M971" t="str">
        <f t="shared" si="105"/>
        <v/>
      </c>
      <c r="N971">
        <f>COUNTIF(Taostats_CSV!$X:$X,Taostats_CSV!$I971&amp;N$1)</f>
        <v>0</v>
      </c>
      <c r="O971">
        <f>COUNTIF(Taostats_CSV!$X:$X,Taostats_CSV!$I971&amp;O$1)</f>
        <v>0</v>
      </c>
      <c r="P971">
        <f>COUNTIF(Taostats_CSV!$X:$X,Taostats_CSV!$I971&amp;P$1)</f>
        <v>0</v>
      </c>
      <c r="Q971" t="b">
        <f t="shared" si="106"/>
        <v>0</v>
      </c>
      <c r="R971" t="b">
        <f>IF(LEN(K971)&gt;0,COUNTIF($K$3:K971,K971),FALSE)</f>
        <v>0</v>
      </c>
      <c r="S971" t="b">
        <f>IF(Taostats_CSV!A971=Taostats_CSV!$A$2,TRUE,Taostats_CSV!G971+Taostats_CSV!H971+Taostats_CSV!R971=0)</f>
        <v>0</v>
      </c>
      <c r="T971" t="b">
        <f t="shared" si="107"/>
        <v>1</v>
      </c>
      <c r="U971" t="b" cm="1">
        <f t="array" aca="1" ref="U971" ca="1">AND(T971,OR(O971-N971&gt;1,P971&gt;1,ISERROR(A971:P971)))</f>
        <v>0</v>
      </c>
      <c r="W971" t="e">
        <f>MATCH(K971&amp;$W$2,Taostats_CSV!$X$3:$X$1167,0)</f>
        <v>#N/A</v>
      </c>
      <c r="X971" t="e">
        <f t="shared" ca="1" si="102"/>
        <v>#VALUE!</v>
      </c>
      <c r="Y971">
        <f t="shared" ca="1" si="103"/>
        <v>9.6895139999999998E-3</v>
      </c>
      <c r="Z971" t="e">
        <f t="shared" ca="1" si="104"/>
        <v>#VALUE!</v>
      </c>
    </row>
    <row r="972" spans="1:26" x14ac:dyDescent="0.4">
      <c r="A972" t="str">
        <f>MID(Taostats_CSV!C972,6,2)&amp;"/"&amp;MID(Taostats_CSV!C972,9,2)&amp;"/"&amp;LEFT(Taostats_CSV!C972,4)&amp;" "&amp;MID(Taostats_CSV!C972,12,8)</f>
        <v>09/21/2025 23:59:48</v>
      </c>
      <c r="C972" t="str">
        <f ca="1">IF(Q972,OFFSET(Taostats_CSV!$E$1,MATCH(K972&amp;D$1,Taostats_CSV!$X:$X,0)-1,0),IF(Taostats_CSV!F972="fee",IF(VALUE(Taostats_CSV!G972)&gt;0,Taostats_CSV!E972,""),""))</f>
        <v/>
      </c>
      <c r="D972" t="str">
        <f ca="1">IF(Q972,OFFSET(Taostats_CSV!$G$1,MATCH(K972&amp;D$1,Taostats_CSV!$X:$X,0)-1,0),IF(Taostats_CSV!F972="fee",IF(VALUE(Taostats_CSV!G972)&gt;0,Taostats_CSV!G972,""),""))</f>
        <v/>
      </c>
      <c r="E972" t="str">
        <f ca="1">IF(AND(Q972,P972&gt;0),OFFSET(Taostats_CSV!$E$1,MATCH(K972&amp;F$1,Taostats_CSV!$X:$X,0)-1,0),IF(LEN(F972)&gt;0,Taostats_CSV!E972,""))</f>
        <v>SN3</v>
      </c>
      <c r="F972" t="str">
        <f ca="1">TRIM(IF(AND(Q972,P972&gt;0),OFFSET(Taostats_CSV!$H$1,MATCH(K972&amp;F$1,Taostats_CSV!$X:$X,0)-1,0),IF(LEN(Taostats_CSV!H972)&gt;0,Taostats_CSV!H972,Taostats_CSV!R972)))</f>
        <v>0.478574583</v>
      </c>
      <c r="G972" t="str">
        <f ca="1">IF(AND(Q972,N972=1),OFFSET(Taostats_CSV!$E$1,MATCH(K972&amp;H$1,Taostats_CSV!$X:$X,0)-1,0),"")</f>
        <v/>
      </c>
      <c r="H972" t="str">
        <f ca="1">IF(AND(Q972,N972=1),OFFSET(Taostats_CSV!$G$1,MATCH(K972&amp;H$1,Taostats_CSV!$X:$X,0)-1,0),"")</f>
        <v/>
      </c>
      <c r="I972" t="str">
        <f ca="1">IF(AND(LEN(K972)=0,LEN(F972)&gt;0),"Income",IF(AND(O972&gt;0,P972&gt;0,C972&lt;&gt;E972),"Trade",IF(AND(NOT(Q972),Taostats_CSV!F972="fee"),'READ ME'!$C$5,"")))</f>
        <v>Income</v>
      </c>
      <c r="J972" t="str">
        <f ca="1">SUBSTITUTE(IF(LEN(I972)=0,Taostats_CSV!F972&amp;" "&amp;Taostats_CSV!J972,IF(I972="Cost","Extrinsic fee","")),"_"," ")</f>
        <v/>
      </c>
      <c r="K972" t="str">
        <f>TRIM(IF(LEN(Taostats_CSV!I972)&gt;0,Taostats_CSV!I972,""))</f>
        <v/>
      </c>
      <c r="L972">
        <f ca="1">IF(Taostats_CSV!E972&lt;&gt;"TAO",IF(LEN(F972)&gt;0,F972,IF(LEN(D972)&gt;0,D972,0))*Taostats_CSV!P972,"")</f>
        <v>5.722339649748327</v>
      </c>
      <c r="M972" t="str">
        <f t="shared" ca="1" si="105"/>
        <v>USD</v>
      </c>
      <c r="N972">
        <f>COUNTIF(Taostats_CSV!$X:$X,Taostats_CSV!$I972&amp;N$1)</f>
        <v>0</v>
      </c>
      <c r="O972">
        <f>COUNTIF(Taostats_CSV!$X:$X,Taostats_CSV!$I972&amp;O$1)</f>
        <v>0</v>
      </c>
      <c r="P972">
        <f>COUNTIF(Taostats_CSV!$X:$X,Taostats_CSV!$I972&amp;P$1)</f>
        <v>0</v>
      </c>
      <c r="Q972" t="b">
        <f t="shared" si="106"/>
        <v>0</v>
      </c>
      <c r="R972" t="b">
        <f>IF(LEN(K972)&gt;0,COUNTIF($K$3:K972,K972),FALSE)</f>
        <v>0</v>
      </c>
      <c r="S972" t="b">
        <f>IF(Taostats_CSV!A972=Taostats_CSV!$A$2,TRUE,Taostats_CSV!G972+Taostats_CSV!H972+Taostats_CSV!R972=0)</f>
        <v>0</v>
      </c>
      <c r="T972" t="b">
        <f t="shared" si="107"/>
        <v>1</v>
      </c>
      <c r="U972" t="b" cm="1">
        <f t="array" aca="1" ref="U972" ca="1">AND(T972,OR(O972-N972&gt;1,P972&gt;1,ISERROR(A972:P972)))</f>
        <v>0</v>
      </c>
      <c r="W972" t="e">
        <f>MATCH(K972&amp;$W$2,Taostats_CSV!$X$3:$X$1167,0)</f>
        <v>#N/A</v>
      </c>
      <c r="X972" t="e">
        <f t="shared" ca="1" si="102"/>
        <v>#VALUE!</v>
      </c>
      <c r="Y972">
        <f t="shared" ca="1" si="103"/>
        <v>0.478574583</v>
      </c>
      <c r="Z972" t="e">
        <f t="shared" ca="1" si="104"/>
        <v>#VALUE!</v>
      </c>
    </row>
    <row r="973" spans="1:26" x14ac:dyDescent="0.4">
      <c r="A973" t="str">
        <f>MID(Taostats_CSV!C973,6,2)&amp;"/"&amp;MID(Taostats_CSV!C973,9,2)&amp;"/"&amp;LEFT(Taostats_CSV!C973,4)&amp;" "&amp;MID(Taostats_CSV!C973,12,8)</f>
        <v>09/21/2025 23:59:48</v>
      </c>
      <c r="C973" t="str">
        <f ca="1">IF(Q973,OFFSET(Taostats_CSV!$E$1,MATCH(K973&amp;D$1,Taostats_CSV!$X:$X,0)-1,0),IF(Taostats_CSV!F973="fee",IF(VALUE(Taostats_CSV!G973)&gt;0,Taostats_CSV!E973,""),""))</f>
        <v/>
      </c>
      <c r="D973" t="str">
        <f ca="1">IF(Q973,OFFSET(Taostats_CSV!$G$1,MATCH(K973&amp;D$1,Taostats_CSV!$X:$X,0)-1,0),IF(Taostats_CSV!F973="fee",IF(VALUE(Taostats_CSV!G973)&gt;0,Taostats_CSV!G973,""),""))</f>
        <v/>
      </c>
      <c r="E973" t="str">
        <f ca="1">IF(AND(Q973,P973&gt;0),OFFSET(Taostats_CSV!$E$1,MATCH(K973&amp;F$1,Taostats_CSV!$X:$X,0)-1,0),IF(LEN(F973)&gt;0,Taostats_CSV!E973,""))</f>
        <v>SN4</v>
      </c>
      <c r="F973" t="str">
        <f ca="1">TRIM(IF(AND(Q973,P973&gt;0),OFFSET(Taostats_CSV!$H$1,MATCH(K973&amp;F$1,Taostats_CSV!$X:$X,0)-1,0),IF(LEN(Taostats_CSV!H973)&gt;0,Taostats_CSV!H973,Taostats_CSV!R973)))</f>
        <v>0.414131097</v>
      </c>
      <c r="G973" t="str">
        <f ca="1">IF(AND(Q973,N973=1),OFFSET(Taostats_CSV!$E$1,MATCH(K973&amp;H$1,Taostats_CSV!$X:$X,0)-1,0),"")</f>
        <v/>
      </c>
      <c r="H973" t="str">
        <f ca="1">IF(AND(Q973,N973=1),OFFSET(Taostats_CSV!$G$1,MATCH(K973&amp;H$1,Taostats_CSV!$X:$X,0)-1,0),"")</f>
        <v/>
      </c>
      <c r="I973" t="str">
        <f ca="1">IF(AND(LEN(K973)=0,LEN(F973)&gt;0),"Income",IF(AND(O973&gt;0,P973&gt;0,C973&lt;&gt;E973),"Trade",IF(AND(NOT(Q973),Taostats_CSV!F973="fee"),'READ ME'!$C$5,"")))</f>
        <v>Income</v>
      </c>
      <c r="J973" t="str">
        <f ca="1">SUBSTITUTE(IF(LEN(I973)=0,Taostats_CSV!F973&amp;" "&amp;Taostats_CSV!J973,IF(I973="Cost","Extrinsic fee","")),"_"," ")</f>
        <v/>
      </c>
      <c r="K973" t="str">
        <f>TRIM(IF(LEN(Taostats_CSV!I973)&gt;0,Taostats_CSV!I973,""))</f>
        <v/>
      </c>
      <c r="L973">
        <f ca="1">IF(Taostats_CSV!E973&lt;&gt;"TAO",IF(LEN(F973)&gt;0,F973,IF(LEN(D973)&gt;0,D973,0))*Taostats_CSV!P973,"")</f>
        <v>6.6724884188182125</v>
      </c>
      <c r="M973" t="str">
        <f t="shared" ca="1" si="105"/>
        <v>USD</v>
      </c>
      <c r="N973">
        <f>COUNTIF(Taostats_CSV!$X:$X,Taostats_CSV!$I973&amp;N$1)</f>
        <v>0</v>
      </c>
      <c r="O973">
        <f>COUNTIF(Taostats_CSV!$X:$X,Taostats_CSV!$I973&amp;O$1)</f>
        <v>0</v>
      </c>
      <c r="P973">
        <f>COUNTIF(Taostats_CSV!$X:$X,Taostats_CSV!$I973&amp;P$1)</f>
        <v>0</v>
      </c>
      <c r="Q973" t="b">
        <f t="shared" si="106"/>
        <v>0</v>
      </c>
      <c r="R973" t="b">
        <f>IF(LEN(K973)&gt;0,COUNTIF($K$3:K973,K973),FALSE)</f>
        <v>0</v>
      </c>
      <c r="S973" t="b">
        <f>IF(Taostats_CSV!A973=Taostats_CSV!$A$2,TRUE,Taostats_CSV!G973+Taostats_CSV!H973+Taostats_CSV!R973=0)</f>
        <v>0</v>
      </c>
      <c r="T973" t="b">
        <f t="shared" si="107"/>
        <v>1</v>
      </c>
      <c r="U973" t="b" cm="1">
        <f t="array" aca="1" ref="U973" ca="1">AND(T973,OR(O973-N973&gt;1,P973&gt;1,ISERROR(A973:P973)))</f>
        <v>0</v>
      </c>
      <c r="W973" t="e">
        <f>MATCH(K973&amp;$W$2,Taostats_CSV!$X$3:$X$1167,0)</f>
        <v>#N/A</v>
      </c>
      <c r="X973" t="e">
        <f t="shared" ca="1" si="102"/>
        <v>#VALUE!</v>
      </c>
      <c r="Y973">
        <f t="shared" ca="1" si="103"/>
        <v>0.414131097</v>
      </c>
      <c r="Z973" t="e">
        <f t="shared" ca="1" si="104"/>
        <v>#VALUE!</v>
      </c>
    </row>
    <row r="974" spans="1:26" x14ac:dyDescent="0.4">
      <c r="A974" t="str">
        <f>MID(Taostats_CSV!C974,6,2)&amp;"/"&amp;MID(Taostats_CSV!C974,9,2)&amp;"/"&amp;LEFT(Taostats_CSV!C974,4)&amp;" "&amp;MID(Taostats_CSV!C974,12,8)</f>
        <v>09/21/2025 23:59:48</v>
      </c>
      <c r="C974" t="str">
        <f ca="1">IF(Q974,OFFSET(Taostats_CSV!$E$1,MATCH(K974&amp;D$1,Taostats_CSV!$X:$X,0)-1,0),IF(Taostats_CSV!F974="fee",IF(VALUE(Taostats_CSV!G974)&gt;0,Taostats_CSV!E974,""),""))</f>
        <v/>
      </c>
      <c r="D974" t="str">
        <f ca="1">IF(Q974,OFFSET(Taostats_CSV!$G$1,MATCH(K974&amp;D$1,Taostats_CSV!$X:$X,0)-1,0),IF(Taostats_CSV!F974="fee",IF(VALUE(Taostats_CSV!G974)&gt;0,Taostats_CSV!G974,""),""))</f>
        <v/>
      </c>
      <c r="E974" t="str">
        <f ca="1">IF(AND(Q974,P974&gt;0),OFFSET(Taostats_CSV!$E$1,MATCH(K974&amp;F$1,Taostats_CSV!$X:$X,0)-1,0),IF(LEN(F974)&gt;0,Taostats_CSV!E974,""))</f>
        <v>SN56</v>
      </c>
      <c r="F974" t="str">
        <f ca="1">TRIM(IF(AND(Q974,P974&gt;0),OFFSET(Taostats_CSV!$H$1,MATCH(K974&amp;F$1,Taostats_CSV!$X:$X,0)-1,0),IF(LEN(Taostats_CSV!H974)&gt;0,Taostats_CSV!H974,Taostats_CSV!R974)))</f>
        <v>0.287749937</v>
      </c>
      <c r="G974" t="str">
        <f ca="1">IF(AND(Q974,N974=1),OFFSET(Taostats_CSV!$E$1,MATCH(K974&amp;H$1,Taostats_CSV!$X:$X,0)-1,0),"")</f>
        <v/>
      </c>
      <c r="H974" t="str">
        <f ca="1">IF(AND(Q974,N974=1),OFFSET(Taostats_CSV!$G$1,MATCH(K974&amp;H$1,Taostats_CSV!$X:$X,0)-1,0),"")</f>
        <v/>
      </c>
      <c r="I974" t="str">
        <f ca="1">IF(AND(LEN(K974)=0,LEN(F974)&gt;0),"Income",IF(AND(O974&gt;0,P974&gt;0,C974&lt;&gt;E974),"Trade",IF(AND(NOT(Q974),Taostats_CSV!F974="fee"),'READ ME'!$C$5,"")))</f>
        <v>Income</v>
      </c>
      <c r="J974" t="str">
        <f ca="1">SUBSTITUTE(IF(LEN(I974)=0,Taostats_CSV!F974&amp;" "&amp;Taostats_CSV!J974,IF(I974="Cost","Extrinsic fee","")),"_"," ")</f>
        <v/>
      </c>
      <c r="K974" t="str">
        <f>TRIM(IF(LEN(Taostats_CSV!I974)&gt;0,Taostats_CSV!I974,""))</f>
        <v/>
      </c>
      <c r="L974">
        <f ca="1">IF(Taostats_CSV!E974&lt;&gt;"TAO",IF(LEN(F974)&gt;0,F974,IF(LEN(D974)&gt;0,D974,0))*Taostats_CSV!P974,"")</f>
        <v>3.9716461270361796</v>
      </c>
      <c r="M974" t="str">
        <f t="shared" ca="1" si="105"/>
        <v>USD</v>
      </c>
      <c r="N974">
        <f>COUNTIF(Taostats_CSV!$X:$X,Taostats_CSV!$I974&amp;N$1)</f>
        <v>0</v>
      </c>
      <c r="O974">
        <f>COUNTIF(Taostats_CSV!$X:$X,Taostats_CSV!$I974&amp;O$1)</f>
        <v>0</v>
      </c>
      <c r="P974">
        <f>COUNTIF(Taostats_CSV!$X:$X,Taostats_CSV!$I974&amp;P$1)</f>
        <v>0</v>
      </c>
      <c r="Q974" t="b">
        <f t="shared" si="106"/>
        <v>0</v>
      </c>
      <c r="R974" t="b">
        <f>IF(LEN(K974)&gt;0,COUNTIF($K$3:K974,K974),FALSE)</f>
        <v>0</v>
      </c>
      <c r="S974" t="b">
        <f>IF(Taostats_CSV!A974=Taostats_CSV!$A$2,TRUE,Taostats_CSV!G974+Taostats_CSV!H974+Taostats_CSV!R974=0)</f>
        <v>0</v>
      </c>
      <c r="T974" t="b">
        <f t="shared" si="107"/>
        <v>1</v>
      </c>
      <c r="U974" t="b" cm="1">
        <f t="array" aca="1" ref="U974" ca="1">AND(T974,OR(O974-N974&gt;1,P974&gt;1,ISERROR(A974:P974)))</f>
        <v>0</v>
      </c>
      <c r="W974" t="e">
        <f>MATCH(K974&amp;$W$2,Taostats_CSV!$X$3:$X$1167,0)</f>
        <v>#N/A</v>
      </c>
      <c r="X974" t="e">
        <f t="shared" ca="1" si="102"/>
        <v>#VALUE!</v>
      </c>
      <c r="Y974">
        <f t="shared" ca="1" si="103"/>
        <v>0.28774993700000001</v>
      </c>
      <c r="Z974" t="e">
        <f t="shared" ca="1" si="104"/>
        <v>#VALUE!</v>
      </c>
    </row>
    <row r="975" spans="1:26" x14ac:dyDescent="0.4">
      <c r="A975" t="str">
        <f>MID(Taostats_CSV!C975,6,2)&amp;"/"&amp;MID(Taostats_CSV!C975,9,2)&amp;"/"&amp;LEFT(Taostats_CSV!C975,4)&amp;" "&amp;MID(Taostats_CSV!C975,12,8)</f>
        <v>09/21/2025 23:59:48</v>
      </c>
      <c r="C975" t="str">
        <f ca="1">IF(Q975,OFFSET(Taostats_CSV!$E$1,MATCH(K975&amp;D$1,Taostats_CSV!$X:$X,0)-1,0),IF(Taostats_CSV!F975="fee",IF(VALUE(Taostats_CSV!G975)&gt;0,Taostats_CSV!E975,""),""))</f>
        <v/>
      </c>
      <c r="D975" t="str">
        <f ca="1">IF(Q975,OFFSET(Taostats_CSV!$G$1,MATCH(K975&amp;D$1,Taostats_CSV!$X:$X,0)-1,0),IF(Taostats_CSV!F975="fee",IF(VALUE(Taostats_CSV!G975)&gt;0,Taostats_CSV!G975,""),""))</f>
        <v/>
      </c>
      <c r="E975" t="str">
        <f ca="1">IF(AND(Q975,P975&gt;0),OFFSET(Taostats_CSV!$E$1,MATCH(K975&amp;F$1,Taostats_CSV!$X:$X,0)-1,0),IF(LEN(F975)&gt;0,Taostats_CSV!E975,""))</f>
        <v>SN64</v>
      </c>
      <c r="F975" t="str">
        <f ca="1">TRIM(IF(AND(Q975,P975&gt;0),OFFSET(Taostats_CSV!$H$1,MATCH(K975&amp;F$1,Taostats_CSV!$X:$X,0)-1,0),IF(LEN(Taostats_CSV!H975)&gt;0,Taostats_CSV!H975,Taostats_CSV!R975)))</f>
        <v>0.140494328</v>
      </c>
      <c r="G975" t="str">
        <f ca="1">IF(AND(Q975,N975=1),OFFSET(Taostats_CSV!$E$1,MATCH(K975&amp;H$1,Taostats_CSV!$X:$X,0)-1,0),"")</f>
        <v/>
      </c>
      <c r="H975" t="str">
        <f ca="1">IF(AND(Q975,N975=1),OFFSET(Taostats_CSV!$G$1,MATCH(K975&amp;H$1,Taostats_CSV!$X:$X,0)-1,0),"")</f>
        <v/>
      </c>
      <c r="I975" t="str">
        <f ca="1">IF(AND(LEN(K975)=0,LEN(F975)&gt;0),"Income",IF(AND(O975&gt;0,P975&gt;0,C975&lt;&gt;E975),"Trade",IF(AND(NOT(Q975),Taostats_CSV!F975="fee"),'READ ME'!$C$5,"")))</f>
        <v>Income</v>
      </c>
      <c r="J975" t="str">
        <f ca="1">SUBSTITUTE(IF(LEN(I975)=0,Taostats_CSV!F975&amp;" "&amp;Taostats_CSV!J975,IF(I975="Cost","Extrinsic fee","")),"_"," ")</f>
        <v/>
      </c>
      <c r="K975" t="str">
        <f>TRIM(IF(LEN(Taostats_CSV!I975)&gt;0,Taostats_CSV!I975,""))</f>
        <v/>
      </c>
      <c r="L975">
        <f ca="1">IF(Taostats_CSV!E975&lt;&gt;"TAO",IF(LEN(F975)&gt;0,F975,IF(LEN(D975)&gt;0,D975,0))*Taostats_CSV!P975,"")</f>
        <v>4.5769681222653249</v>
      </c>
      <c r="M975" t="str">
        <f t="shared" ca="1" si="105"/>
        <v>USD</v>
      </c>
      <c r="N975">
        <f>COUNTIF(Taostats_CSV!$X:$X,Taostats_CSV!$I975&amp;N$1)</f>
        <v>0</v>
      </c>
      <c r="O975">
        <f>COUNTIF(Taostats_CSV!$X:$X,Taostats_CSV!$I975&amp;O$1)</f>
        <v>0</v>
      </c>
      <c r="P975">
        <f>COUNTIF(Taostats_CSV!$X:$X,Taostats_CSV!$I975&amp;P$1)</f>
        <v>0</v>
      </c>
      <c r="Q975" t="b">
        <f t="shared" si="106"/>
        <v>0</v>
      </c>
      <c r="R975" t="b">
        <f>IF(LEN(K975)&gt;0,COUNTIF($K$3:K975,K975),FALSE)</f>
        <v>0</v>
      </c>
      <c r="S975" t="b">
        <f>IF(Taostats_CSV!A975=Taostats_CSV!$A$2,TRUE,Taostats_CSV!G975+Taostats_CSV!H975+Taostats_CSV!R975=0)</f>
        <v>0</v>
      </c>
      <c r="T975" t="b">
        <f t="shared" si="107"/>
        <v>1</v>
      </c>
      <c r="U975" t="b" cm="1">
        <f t="array" aca="1" ref="U975" ca="1">AND(T975,OR(O975-N975&gt;1,P975&gt;1,ISERROR(A975:P975)))</f>
        <v>0</v>
      </c>
      <c r="W975" t="e">
        <f>MATCH(K975&amp;$W$2,Taostats_CSV!$X$3:$X$1167,0)</f>
        <v>#N/A</v>
      </c>
      <c r="X975" t="e">
        <f t="shared" ca="1" si="102"/>
        <v>#VALUE!</v>
      </c>
      <c r="Y975">
        <f t="shared" ca="1" si="103"/>
        <v>0.140494328</v>
      </c>
      <c r="Z975" t="e">
        <f t="shared" ca="1" si="104"/>
        <v>#VALUE!</v>
      </c>
    </row>
    <row r="976" spans="1:26" x14ac:dyDescent="0.4">
      <c r="A976" t="str">
        <f>MID(Taostats_CSV!C976,6,2)&amp;"/"&amp;MID(Taostats_CSV!C976,9,2)&amp;"/"&amp;LEFT(Taostats_CSV!C976,4)&amp;" "&amp;MID(Taostats_CSV!C976,12,8)</f>
        <v>09/21/2025 23:59:48</v>
      </c>
      <c r="C976" t="str">
        <f ca="1">IF(Q976,OFFSET(Taostats_CSV!$E$1,MATCH(K976&amp;D$1,Taostats_CSV!$X:$X,0)-1,0),IF(Taostats_CSV!F976="fee",IF(VALUE(Taostats_CSV!G976)&gt;0,Taostats_CSV!E976,""),""))</f>
        <v/>
      </c>
      <c r="D976" t="str">
        <f ca="1">IF(Q976,OFFSET(Taostats_CSV!$G$1,MATCH(K976&amp;D$1,Taostats_CSV!$X:$X,0)-1,0),IF(Taostats_CSV!F976="fee",IF(VALUE(Taostats_CSV!G976)&gt;0,Taostats_CSV!G976,""),""))</f>
        <v/>
      </c>
      <c r="E976" t="str">
        <f ca="1">IF(AND(Q976,P976&gt;0),OFFSET(Taostats_CSV!$E$1,MATCH(K976&amp;F$1,Taostats_CSV!$X:$X,0)-1,0),IF(LEN(F976)&gt;0,Taostats_CSV!E976,""))</f>
        <v>TAO</v>
      </c>
      <c r="F976" t="str">
        <f ca="1">TRIM(IF(AND(Q976,P976&gt;0),OFFSET(Taostats_CSV!$H$1,MATCH(K976&amp;F$1,Taostats_CSV!$X:$X,0)-1,0),IF(LEN(Taostats_CSV!H976)&gt;0,Taostats_CSV!H976,Taostats_CSV!R976)))</f>
        <v>0.009684655</v>
      </c>
      <c r="G976" t="str">
        <f ca="1">IF(AND(Q976,N976=1),OFFSET(Taostats_CSV!$E$1,MATCH(K976&amp;H$1,Taostats_CSV!$X:$X,0)-1,0),"")</f>
        <v/>
      </c>
      <c r="H976" t="str">
        <f ca="1">IF(AND(Q976,N976=1),OFFSET(Taostats_CSV!$G$1,MATCH(K976&amp;H$1,Taostats_CSV!$X:$X,0)-1,0),"")</f>
        <v/>
      </c>
      <c r="I976" t="str">
        <f ca="1">IF(AND(LEN(K976)=0,LEN(F976)&gt;0),"Income",IF(AND(O976&gt;0,P976&gt;0,C976&lt;&gt;E976),"Trade",IF(AND(NOT(Q976),Taostats_CSV!F976="fee"),'READ ME'!$C$5,"")))</f>
        <v>Income</v>
      </c>
      <c r="J976" t="str">
        <f ca="1">SUBSTITUTE(IF(LEN(I976)=0,Taostats_CSV!F976&amp;" "&amp;Taostats_CSV!J976,IF(I976="Cost","Extrinsic fee","")),"_"," ")</f>
        <v/>
      </c>
      <c r="K976" t="str">
        <f>TRIM(IF(LEN(Taostats_CSV!I976)&gt;0,Taostats_CSV!I976,""))</f>
        <v/>
      </c>
      <c r="L976" t="str">
        <f>IF(Taostats_CSV!E976&lt;&gt;"TAO",IF(LEN(F976)&gt;0,F976,IF(LEN(D976)&gt;0,D976,0))*Taostats_CSV!P976,"")</f>
        <v/>
      </c>
      <c r="M976" t="str">
        <f t="shared" si="105"/>
        <v/>
      </c>
      <c r="N976">
        <f>COUNTIF(Taostats_CSV!$X:$X,Taostats_CSV!$I976&amp;N$1)</f>
        <v>0</v>
      </c>
      <c r="O976">
        <f>COUNTIF(Taostats_CSV!$X:$X,Taostats_CSV!$I976&amp;O$1)</f>
        <v>0</v>
      </c>
      <c r="P976">
        <f>COUNTIF(Taostats_CSV!$X:$X,Taostats_CSV!$I976&amp;P$1)</f>
        <v>0</v>
      </c>
      <c r="Q976" t="b">
        <f t="shared" si="106"/>
        <v>0</v>
      </c>
      <c r="R976" t="b">
        <f>IF(LEN(K976)&gt;0,COUNTIF($K$3:K976,K976),FALSE)</f>
        <v>0</v>
      </c>
      <c r="S976" t="b">
        <f>IF(Taostats_CSV!A976=Taostats_CSV!$A$2,TRUE,Taostats_CSV!G976+Taostats_CSV!H976+Taostats_CSV!R976=0)</f>
        <v>0</v>
      </c>
      <c r="T976" t="b">
        <f t="shared" si="107"/>
        <v>1</v>
      </c>
      <c r="U976" t="b" cm="1">
        <f t="array" aca="1" ref="U976" ca="1">AND(T976,OR(O976-N976&gt;1,P976&gt;1,ISERROR(A976:P976)))</f>
        <v>0</v>
      </c>
      <c r="W976" t="e">
        <f>MATCH(K976&amp;$W$2,Taostats_CSV!$X$3:$X$1167,0)</f>
        <v>#N/A</v>
      </c>
      <c r="X976" t="e">
        <f t="shared" ca="1" si="102"/>
        <v>#VALUE!</v>
      </c>
      <c r="Y976">
        <f t="shared" ca="1" si="103"/>
        <v>9.6846550000000003E-3</v>
      </c>
      <c r="Z976" t="e">
        <f t="shared" ca="1" si="104"/>
        <v>#VALUE!</v>
      </c>
    </row>
    <row r="977" spans="1:26" x14ac:dyDescent="0.4">
      <c r="A977" t="str">
        <f>MID(Taostats_CSV!C977,6,2)&amp;"/"&amp;MID(Taostats_CSV!C977,9,2)&amp;"/"&amp;LEFT(Taostats_CSV!C977,4)&amp;" "&amp;MID(Taostats_CSV!C977,12,8)</f>
        <v>09/22/2025 23:59:48</v>
      </c>
      <c r="C977" t="str">
        <f ca="1">IF(Q977,OFFSET(Taostats_CSV!$E$1,MATCH(K977&amp;D$1,Taostats_CSV!$X:$X,0)-1,0),IF(Taostats_CSV!F977="fee",IF(VALUE(Taostats_CSV!G977)&gt;0,Taostats_CSV!E977,""),""))</f>
        <v/>
      </c>
      <c r="D977" t="str">
        <f ca="1">IF(Q977,OFFSET(Taostats_CSV!$G$1,MATCH(K977&amp;D$1,Taostats_CSV!$X:$X,0)-1,0),IF(Taostats_CSV!F977="fee",IF(VALUE(Taostats_CSV!G977)&gt;0,Taostats_CSV!G977,""),""))</f>
        <v/>
      </c>
      <c r="E977" t="str">
        <f ca="1">IF(AND(Q977,P977&gt;0),OFFSET(Taostats_CSV!$E$1,MATCH(K977&amp;F$1,Taostats_CSV!$X:$X,0)-1,0),IF(LEN(F977)&gt;0,Taostats_CSV!E977,""))</f>
        <v>SN3</v>
      </c>
      <c r="F977" t="str">
        <f ca="1">TRIM(IF(AND(Q977,P977&gt;0),OFFSET(Taostats_CSV!$H$1,MATCH(K977&amp;F$1,Taostats_CSV!$X:$X,0)-1,0),IF(LEN(Taostats_CSV!H977)&gt;0,Taostats_CSV!H977,Taostats_CSV!R977)))</f>
        <v>0.480644021</v>
      </c>
      <c r="G977" t="str">
        <f ca="1">IF(AND(Q977,N977=1),OFFSET(Taostats_CSV!$E$1,MATCH(K977&amp;H$1,Taostats_CSV!$X:$X,0)-1,0),"")</f>
        <v/>
      </c>
      <c r="H977" t="str">
        <f ca="1">IF(AND(Q977,N977=1),OFFSET(Taostats_CSV!$G$1,MATCH(K977&amp;H$1,Taostats_CSV!$X:$X,0)-1,0),"")</f>
        <v/>
      </c>
      <c r="I977" t="str">
        <f ca="1">IF(AND(LEN(K977)=0,LEN(F977)&gt;0),"Income",IF(AND(O977&gt;0,P977&gt;0,C977&lt;&gt;E977),"Trade",IF(AND(NOT(Q977),Taostats_CSV!F977="fee"),'READ ME'!$C$5,"")))</f>
        <v>Income</v>
      </c>
      <c r="J977" t="str">
        <f ca="1">SUBSTITUTE(IF(LEN(I977)=0,Taostats_CSV!F977&amp;" "&amp;Taostats_CSV!J977,IF(I977="Cost","Extrinsic fee","")),"_"," ")</f>
        <v/>
      </c>
      <c r="K977" t="str">
        <f>TRIM(IF(LEN(Taostats_CSV!I977)&gt;0,Taostats_CSV!I977,""))</f>
        <v/>
      </c>
      <c r="L977">
        <f ca="1">IF(Taostats_CSV!E977&lt;&gt;"TAO",IF(LEN(F977)&gt;0,F977,IF(LEN(D977)&gt;0,D977,0))*Taostats_CSV!P977,"")</f>
        <v>5.4239411602358736</v>
      </c>
      <c r="M977" t="str">
        <f t="shared" ca="1" si="105"/>
        <v>USD</v>
      </c>
      <c r="N977">
        <f>COUNTIF(Taostats_CSV!$X:$X,Taostats_CSV!$I977&amp;N$1)</f>
        <v>0</v>
      </c>
      <c r="O977">
        <f>COUNTIF(Taostats_CSV!$X:$X,Taostats_CSV!$I977&amp;O$1)</f>
        <v>0</v>
      </c>
      <c r="P977">
        <f>COUNTIF(Taostats_CSV!$X:$X,Taostats_CSV!$I977&amp;P$1)</f>
        <v>0</v>
      </c>
      <c r="Q977" t="b">
        <f t="shared" si="106"/>
        <v>0</v>
      </c>
      <c r="R977" t="b">
        <f>IF(LEN(K977)&gt;0,COUNTIF($K$3:K977,K977),FALSE)</f>
        <v>0</v>
      </c>
      <c r="S977" t="b">
        <f>IF(Taostats_CSV!A977=Taostats_CSV!$A$2,TRUE,Taostats_CSV!G977+Taostats_CSV!H977+Taostats_CSV!R977=0)</f>
        <v>0</v>
      </c>
      <c r="T977" t="b">
        <f t="shared" si="107"/>
        <v>1</v>
      </c>
      <c r="U977" t="b" cm="1">
        <f t="array" aca="1" ref="U977" ca="1">AND(T977,OR(O977-N977&gt;1,P977&gt;1,ISERROR(A977:P977)))</f>
        <v>0</v>
      </c>
      <c r="W977" t="e">
        <f>MATCH(K977&amp;$W$2,Taostats_CSV!$X$3:$X$1167,0)</f>
        <v>#N/A</v>
      </c>
      <c r="X977" t="e">
        <f t="shared" ca="1" si="102"/>
        <v>#VALUE!</v>
      </c>
      <c r="Y977">
        <f t="shared" ca="1" si="103"/>
        <v>0.48064402099999998</v>
      </c>
      <c r="Z977" t="e">
        <f t="shared" ca="1" si="104"/>
        <v>#VALUE!</v>
      </c>
    </row>
    <row r="978" spans="1:26" x14ac:dyDescent="0.4">
      <c r="A978" t="str">
        <f>MID(Taostats_CSV!C978,6,2)&amp;"/"&amp;MID(Taostats_CSV!C978,9,2)&amp;"/"&amp;LEFT(Taostats_CSV!C978,4)&amp;" "&amp;MID(Taostats_CSV!C978,12,8)</f>
        <v>09/22/2025 23:59:48</v>
      </c>
      <c r="C978" t="str">
        <f ca="1">IF(Q978,OFFSET(Taostats_CSV!$E$1,MATCH(K978&amp;D$1,Taostats_CSV!$X:$X,0)-1,0),IF(Taostats_CSV!F978="fee",IF(VALUE(Taostats_CSV!G978)&gt;0,Taostats_CSV!E978,""),""))</f>
        <v/>
      </c>
      <c r="D978" t="str">
        <f ca="1">IF(Q978,OFFSET(Taostats_CSV!$G$1,MATCH(K978&amp;D$1,Taostats_CSV!$X:$X,0)-1,0),IF(Taostats_CSV!F978="fee",IF(VALUE(Taostats_CSV!G978)&gt;0,Taostats_CSV!G978,""),""))</f>
        <v/>
      </c>
      <c r="E978" t="str">
        <f ca="1">IF(AND(Q978,P978&gt;0),OFFSET(Taostats_CSV!$E$1,MATCH(K978&amp;F$1,Taostats_CSV!$X:$X,0)-1,0),IF(LEN(F978)&gt;0,Taostats_CSV!E978,""))</f>
        <v>SN4</v>
      </c>
      <c r="F978" t="str">
        <f ca="1">TRIM(IF(AND(Q978,P978&gt;0),OFFSET(Taostats_CSV!$H$1,MATCH(K978&amp;F$1,Taostats_CSV!$X:$X,0)-1,0),IF(LEN(Taostats_CSV!H978)&gt;0,Taostats_CSV!H978,Taostats_CSV!R978)))</f>
        <v>0.416399051</v>
      </c>
      <c r="G978" t="str">
        <f ca="1">IF(AND(Q978,N978=1),OFFSET(Taostats_CSV!$E$1,MATCH(K978&amp;H$1,Taostats_CSV!$X:$X,0)-1,0),"")</f>
        <v/>
      </c>
      <c r="H978" t="str">
        <f ca="1">IF(AND(Q978,N978=1),OFFSET(Taostats_CSV!$G$1,MATCH(K978&amp;H$1,Taostats_CSV!$X:$X,0)-1,0),"")</f>
        <v/>
      </c>
      <c r="I978" t="str">
        <f ca="1">IF(AND(LEN(K978)=0,LEN(F978)&gt;0),"Income",IF(AND(O978&gt;0,P978&gt;0,C978&lt;&gt;E978),"Trade",IF(AND(NOT(Q978),Taostats_CSV!F978="fee"),'READ ME'!$C$5,"")))</f>
        <v>Income</v>
      </c>
      <c r="J978" t="str">
        <f ca="1">SUBSTITUTE(IF(LEN(I978)=0,Taostats_CSV!F978&amp;" "&amp;Taostats_CSV!J978,IF(I978="Cost","Extrinsic fee","")),"_"," ")</f>
        <v/>
      </c>
      <c r="K978" t="str">
        <f>TRIM(IF(LEN(Taostats_CSV!I978)&gt;0,Taostats_CSV!I978,""))</f>
        <v/>
      </c>
      <c r="L978">
        <f ca="1">IF(Taostats_CSV!E978&lt;&gt;"TAO",IF(LEN(F978)&gt;0,F978,IF(LEN(D978)&gt;0,D978,0))*Taostats_CSV!P978,"")</f>
        <v>6.3261524270575888</v>
      </c>
      <c r="M978" t="str">
        <f t="shared" ca="1" si="105"/>
        <v>USD</v>
      </c>
      <c r="N978">
        <f>COUNTIF(Taostats_CSV!$X:$X,Taostats_CSV!$I978&amp;N$1)</f>
        <v>0</v>
      </c>
      <c r="O978">
        <f>COUNTIF(Taostats_CSV!$X:$X,Taostats_CSV!$I978&amp;O$1)</f>
        <v>0</v>
      </c>
      <c r="P978">
        <f>COUNTIF(Taostats_CSV!$X:$X,Taostats_CSV!$I978&amp;P$1)</f>
        <v>0</v>
      </c>
      <c r="Q978" t="b">
        <f t="shared" si="106"/>
        <v>0</v>
      </c>
      <c r="R978" t="b">
        <f>IF(LEN(K978)&gt;0,COUNTIF($K$3:K978,K978),FALSE)</f>
        <v>0</v>
      </c>
      <c r="S978" t="b">
        <f>IF(Taostats_CSV!A978=Taostats_CSV!$A$2,TRUE,Taostats_CSV!G978+Taostats_CSV!H978+Taostats_CSV!R978=0)</f>
        <v>0</v>
      </c>
      <c r="T978" t="b">
        <f t="shared" si="107"/>
        <v>1</v>
      </c>
      <c r="U978" t="b" cm="1">
        <f t="array" aca="1" ref="U978" ca="1">AND(T978,OR(O978-N978&gt;1,P978&gt;1,ISERROR(A978:P978)))</f>
        <v>0</v>
      </c>
      <c r="W978" t="e">
        <f>MATCH(K978&amp;$W$2,Taostats_CSV!$X$3:$X$1167,0)</f>
        <v>#N/A</v>
      </c>
      <c r="X978" t="e">
        <f t="shared" ca="1" si="102"/>
        <v>#VALUE!</v>
      </c>
      <c r="Y978">
        <f t="shared" ca="1" si="103"/>
        <v>0.41639905100000002</v>
      </c>
      <c r="Z978" t="e">
        <f t="shared" ca="1" si="104"/>
        <v>#VALUE!</v>
      </c>
    </row>
    <row r="979" spans="1:26" x14ac:dyDescent="0.4">
      <c r="A979" t="str">
        <f>MID(Taostats_CSV!C979,6,2)&amp;"/"&amp;MID(Taostats_CSV!C979,9,2)&amp;"/"&amp;LEFT(Taostats_CSV!C979,4)&amp;" "&amp;MID(Taostats_CSV!C979,12,8)</f>
        <v>09/22/2025 23:59:48</v>
      </c>
      <c r="C979" t="str">
        <f ca="1">IF(Q979,OFFSET(Taostats_CSV!$E$1,MATCH(K979&amp;D$1,Taostats_CSV!$X:$X,0)-1,0),IF(Taostats_CSV!F979="fee",IF(VALUE(Taostats_CSV!G979)&gt;0,Taostats_CSV!E979,""),""))</f>
        <v/>
      </c>
      <c r="D979" t="str">
        <f ca="1">IF(Q979,OFFSET(Taostats_CSV!$G$1,MATCH(K979&amp;D$1,Taostats_CSV!$X:$X,0)-1,0),IF(Taostats_CSV!F979="fee",IF(VALUE(Taostats_CSV!G979)&gt;0,Taostats_CSV!G979,""),""))</f>
        <v/>
      </c>
      <c r="E979" t="str">
        <f ca="1">IF(AND(Q979,P979&gt;0),OFFSET(Taostats_CSV!$E$1,MATCH(K979&amp;F$1,Taostats_CSV!$X:$X,0)-1,0),IF(LEN(F979)&gt;0,Taostats_CSV!E979,""))</f>
        <v>SN56</v>
      </c>
      <c r="F979" t="str">
        <f ca="1">TRIM(IF(AND(Q979,P979&gt;0),OFFSET(Taostats_CSV!$H$1,MATCH(K979&amp;F$1,Taostats_CSV!$X:$X,0)-1,0),IF(LEN(Taostats_CSV!H979)&gt;0,Taostats_CSV!H979,Taostats_CSV!R979)))</f>
        <v>0.283563716</v>
      </c>
      <c r="G979" t="str">
        <f ca="1">IF(AND(Q979,N979=1),OFFSET(Taostats_CSV!$E$1,MATCH(K979&amp;H$1,Taostats_CSV!$X:$X,0)-1,0),"")</f>
        <v/>
      </c>
      <c r="H979" t="str">
        <f ca="1">IF(AND(Q979,N979=1),OFFSET(Taostats_CSV!$G$1,MATCH(K979&amp;H$1,Taostats_CSV!$X:$X,0)-1,0),"")</f>
        <v/>
      </c>
      <c r="I979" t="str">
        <f ca="1">IF(AND(LEN(K979)=0,LEN(F979)&gt;0),"Income",IF(AND(O979&gt;0,P979&gt;0,C979&lt;&gt;E979),"Trade",IF(AND(NOT(Q979),Taostats_CSV!F979="fee"),'READ ME'!$C$5,"")))</f>
        <v>Income</v>
      </c>
      <c r="J979" t="str">
        <f ca="1">SUBSTITUTE(IF(LEN(I979)=0,Taostats_CSV!F979&amp;" "&amp;Taostats_CSV!J979,IF(I979="Cost","Extrinsic fee","")),"_"," ")</f>
        <v/>
      </c>
      <c r="K979" t="str">
        <f>TRIM(IF(LEN(Taostats_CSV!I979)&gt;0,Taostats_CSV!I979,""))</f>
        <v/>
      </c>
      <c r="L979">
        <f ca="1">IF(Taostats_CSV!E979&lt;&gt;"TAO",IF(LEN(F979)&gt;0,F979,IF(LEN(D979)&gt;0,D979,0))*Taostats_CSV!P979,"")</f>
        <v>3.6460628682310157</v>
      </c>
      <c r="M979" t="str">
        <f t="shared" ca="1" si="105"/>
        <v>USD</v>
      </c>
      <c r="N979">
        <f>COUNTIF(Taostats_CSV!$X:$X,Taostats_CSV!$I979&amp;N$1)</f>
        <v>0</v>
      </c>
      <c r="O979">
        <f>COUNTIF(Taostats_CSV!$X:$X,Taostats_CSV!$I979&amp;O$1)</f>
        <v>0</v>
      </c>
      <c r="P979">
        <f>COUNTIF(Taostats_CSV!$X:$X,Taostats_CSV!$I979&amp;P$1)</f>
        <v>0</v>
      </c>
      <c r="Q979" t="b">
        <f t="shared" si="106"/>
        <v>0</v>
      </c>
      <c r="R979" t="b">
        <f>IF(LEN(K979)&gt;0,COUNTIF($K$3:K979,K979),FALSE)</f>
        <v>0</v>
      </c>
      <c r="S979" t="b">
        <f>IF(Taostats_CSV!A979=Taostats_CSV!$A$2,TRUE,Taostats_CSV!G979+Taostats_CSV!H979+Taostats_CSV!R979=0)</f>
        <v>0</v>
      </c>
      <c r="T979" t="b">
        <f t="shared" si="107"/>
        <v>1</v>
      </c>
      <c r="U979" t="b" cm="1">
        <f t="array" aca="1" ref="U979" ca="1">AND(T979,OR(O979-N979&gt;1,P979&gt;1,ISERROR(A979:P979)))</f>
        <v>0</v>
      </c>
      <c r="W979" t="e">
        <f>MATCH(K979&amp;$W$2,Taostats_CSV!$X$3:$X$1167,0)</f>
        <v>#N/A</v>
      </c>
      <c r="X979" t="e">
        <f t="shared" ca="1" si="102"/>
        <v>#VALUE!</v>
      </c>
      <c r="Y979">
        <f t="shared" ca="1" si="103"/>
        <v>0.28356371600000002</v>
      </c>
      <c r="Z979" t="e">
        <f t="shared" ca="1" si="104"/>
        <v>#VALUE!</v>
      </c>
    </row>
    <row r="980" spans="1:26" x14ac:dyDescent="0.4">
      <c r="A980" t="str">
        <f>MID(Taostats_CSV!C980,6,2)&amp;"/"&amp;MID(Taostats_CSV!C980,9,2)&amp;"/"&amp;LEFT(Taostats_CSV!C980,4)&amp;" "&amp;MID(Taostats_CSV!C980,12,8)</f>
        <v>09/22/2025 23:59:48</v>
      </c>
      <c r="C980" t="str">
        <f ca="1">IF(Q980,OFFSET(Taostats_CSV!$E$1,MATCH(K980&amp;D$1,Taostats_CSV!$X:$X,0)-1,0),IF(Taostats_CSV!F980="fee",IF(VALUE(Taostats_CSV!G980)&gt;0,Taostats_CSV!E980,""),""))</f>
        <v/>
      </c>
      <c r="D980" t="str">
        <f ca="1">IF(Q980,OFFSET(Taostats_CSV!$G$1,MATCH(K980&amp;D$1,Taostats_CSV!$X:$X,0)-1,0),IF(Taostats_CSV!F980="fee",IF(VALUE(Taostats_CSV!G980)&gt;0,Taostats_CSV!G980,""),""))</f>
        <v/>
      </c>
      <c r="E980" t="str">
        <f ca="1">IF(AND(Q980,P980&gt;0),OFFSET(Taostats_CSV!$E$1,MATCH(K980&amp;F$1,Taostats_CSV!$X:$X,0)-1,0),IF(LEN(F980)&gt;0,Taostats_CSV!E980,""))</f>
        <v>SN64</v>
      </c>
      <c r="F980" t="str">
        <f ca="1">TRIM(IF(AND(Q980,P980&gt;0),OFFSET(Taostats_CSV!$H$1,MATCH(K980&amp;F$1,Taostats_CSV!$X:$X,0)-1,0),IF(LEN(Taostats_CSV!H980)&gt;0,Taostats_CSV!H980,Taostats_CSV!R980)))</f>
        <v>0.149963031</v>
      </c>
      <c r="G980" t="str">
        <f ca="1">IF(AND(Q980,N980=1),OFFSET(Taostats_CSV!$E$1,MATCH(K980&amp;H$1,Taostats_CSV!$X:$X,0)-1,0),"")</f>
        <v/>
      </c>
      <c r="H980" t="str">
        <f ca="1">IF(AND(Q980,N980=1),OFFSET(Taostats_CSV!$G$1,MATCH(K980&amp;H$1,Taostats_CSV!$X:$X,0)-1,0),"")</f>
        <v/>
      </c>
      <c r="I980" t="str">
        <f ca="1">IF(AND(LEN(K980)=0,LEN(F980)&gt;0),"Income",IF(AND(O980&gt;0,P980&gt;0,C980&lt;&gt;E980),"Trade",IF(AND(NOT(Q980),Taostats_CSV!F980="fee"),'READ ME'!$C$5,"")))</f>
        <v>Income</v>
      </c>
      <c r="J980" t="str">
        <f ca="1">SUBSTITUTE(IF(LEN(I980)=0,Taostats_CSV!F980&amp;" "&amp;Taostats_CSV!J980,IF(I980="Cost","Extrinsic fee","")),"_"," ")</f>
        <v/>
      </c>
      <c r="K980" t="str">
        <f>TRIM(IF(LEN(Taostats_CSV!I980)&gt;0,Taostats_CSV!I980,""))</f>
        <v/>
      </c>
      <c r="L980">
        <f ca="1">IF(Taostats_CSV!E980&lt;&gt;"TAO",IF(LEN(F980)&gt;0,F980,IF(LEN(D980)&gt;0,D980,0))*Taostats_CSV!P980,"")</f>
        <v>4.574455204107811</v>
      </c>
      <c r="M980" t="str">
        <f t="shared" ca="1" si="105"/>
        <v>USD</v>
      </c>
      <c r="N980">
        <f>COUNTIF(Taostats_CSV!$X:$X,Taostats_CSV!$I980&amp;N$1)</f>
        <v>0</v>
      </c>
      <c r="O980">
        <f>COUNTIF(Taostats_CSV!$X:$X,Taostats_CSV!$I980&amp;O$1)</f>
        <v>0</v>
      </c>
      <c r="P980">
        <f>COUNTIF(Taostats_CSV!$X:$X,Taostats_CSV!$I980&amp;P$1)</f>
        <v>0</v>
      </c>
      <c r="Q980" t="b">
        <f t="shared" si="106"/>
        <v>0</v>
      </c>
      <c r="R980" t="b">
        <f>IF(LEN(K980)&gt;0,COUNTIF($K$3:K980,K980),FALSE)</f>
        <v>0</v>
      </c>
      <c r="S980" t="b">
        <f>IF(Taostats_CSV!A980=Taostats_CSV!$A$2,TRUE,Taostats_CSV!G980+Taostats_CSV!H980+Taostats_CSV!R980=0)</f>
        <v>0</v>
      </c>
      <c r="T980" t="b">
        <f t="shared" si="107"/>
        <v>1</v>
      </c>
      <c r="U980" t="b" cm="1">
        <f t="array" aca="1" ref="U980" ca="1">AND(T980,OR(O980-N980&gt;1,P980&gt;1,ISERROR(A980:P980)))</f>
        <v>0</v>
      </c>
      <c r="W980" t="e">
        <f>MATCH(K980&amp;$W$2,Taostats_CSV!$X$3:$X$1167,0)</f>
        <v>#N/A</v>
      </c>
      <c r="X980" t="e">
        <f t="shared" ca="1" si="102"/>
        <v>#VALUE!</v>
      </c>
      <c r="Y980">
        <f t="shared" ca="1" si="103"/>
        <v>0.149963031</v>
      </c>
      <c r="Z980" t="e">
        <f t="shared" ca="1" si="104"/>
        <v>#VALUE!</v>
      </c>
    </row>
    <row r="981" spans="1:26" x14ac:dyDescent="0.4">
      <c r="A981" t="str">
        <f>MID(Taostats_CSV!C981,6,2)&amp;"/"&amp;MID(Taostats_CSV!C981,9,2)&amp;"/"&amp;LEFT(Taostats_CSV!C981,4)&amp;" "&amp;MID(Taostats_CSV!C981,12,8)</f>
        <v>09/22/2025 23:59:48</v>
      </c>
      <c r="C981" t="str">
        <f ca="1">IF(Q981,OFFSET(Taostats_CSV!$E$1,MATCH(K981&amp;D$1,Taostats_CSV!$X:$X,0)-1,0),IF(Taostats_CSV!F981="fee",IF(VALUE(Taostats_CSV!G981)&gt;0,Taostats_CSV!E981,""),""))</f>
        <v/>
      </c>
      <c r="D981" t="str">
        <f ca="1">IF(Q981,OFFSET(Taostats_CSV!$G$1,MATCH(K981&amp;D$1,Taostats_CSV!$X:$X,0)-1,0),IF(Taostats_CSV!F981="fee",IF(VALUE(Taostats_CSV!G981)&gt;0,Taostats_CSV!G981,""),""))</f>
        <v/>
      </c>
      <c r="E981" t="str">
        <f ca="1">IF(AND(Q981,P981&gt;0),OFFSET(Taostats_CSV!$E$1,MATCH(K981&amp;F$1,Taostats_CSV!$X:$X,0)-1,0),IF(LEN(F981)&gt;0,Taostats_CSV!E981,""))</f>
        <v>TAO</v>
      </c>
      <c r="F981" t="str">
        <f ca="1">TRIM(IF(AND(Q981,P981&gt;0),OFFSET(Taostats_CSV!$H$1,MATCH(K981&amp;F$1,Taostats_CSV!$X:$X,0)-1,0),IF(LEN(Taostats_CSV!H981)&gt;0,Taostats_CSV!H981,Taostats_CSV!R981)))</f>
        <v>0.009753892</v>
      </c>
      <c r="G981" t="str">
        <f ca="1">IF(AND(Q981,N981=1),OFFSET(Taostats_CSV!$E$1,MATCH(K981&amp;H$1,Taostats_CSV!$X:$X,0)-1,0),"")</f>
        <v/>
      </c>
      <c r="H981" t="str">
        <f ca="1">IF(AND(Q981,N981=1),OFFSET(Taostats_CSV!$G$1,MATCH(K981&amp;H$1,Taostats_CSV!$X:$X,0)-1,0),"")</f>
        <v/>
      </c>
      <c r="I981" t="str">
        <f ca="1">IF(AND(LEN(K981)=0,LEN(F981)&gt;0),"Income",IF(AND(O981&gt;0,P981&gt;0,C981&lt;&gt;E981),"Trade",IF(AND(NOT(Q981),Taostats_CSV!F981="fee"),'READ ME'!$C$5,"")))</f>
        <v>Income</v>
      </c>
      <c r="J981" t="str">
        <f ca="1">SUBSTITUTE(IF(LEN(I981)=0,Taostats_CSV!F981&amp;" "&amp;Taostats_CSV!J981,IF(I981="Cost","Extrinsic fee","")),"_"," ")</f>
        <v/>
      </c>
      <c r="K981" t="str">
        <f>TRIM(IF(LEN(Taostats_CSV!I981)&gt;0,Taostats_CSV!I981,""))</f>
        <v/>
      </c>
      <c r="L981" t="str">
        <f>IF(Taostats_CSV!E981&lt;&gt;"TAO",IF(LEN(F981)&gt;0,F981,IF(LEN(D981)&gt;0,D981,0))*Taostats_CSV!P981,"")</f>
        <v/>
      </c>
      <c r="M981" t="str">
        <f t="shared" si="105"/>
        <v/>
      </c>
      <c r="N981">
        <f>COUNTIF(Taostats_CSV!$X:$X,Taostats_CSV!$I981&amp;N$1)</f>
        <v>0</v>
      </c>
      <c r="O981">
        <f>COUNTIF(Taostats_CSV!$X:$X,Taostats_CSV!$I981&amp;O$1)</f>
        <v>0</v>
      </c>
      <c r="P981">
        <f>COUNTIF(Taostats_CSV!$X:$X,Taostats_CSV!$I981&amp;P$1)</f>
        <v>0</v>
      </c>
      <c r="Q981" t="b">
        <f t="shared" si="106"/>
        <v>0</v>
      </c>
      <c r="R981" t="b">
        <f>IF(LEN(K981)&gt;0,COUNTIF($K$3:K981,K981),FALSE)</f>
        <v>0</v>
      </c>
      <c r="S981" t="b">
        <f>IF(Taostats_CSV!A981=Taostats_CSV!$A$2,TRUE,Taostats_CSV!G981+Taostats_CSV!H981+Taostats_CSV!R981=0)</f>
        <v>0</v>
      </c>
      <c r="T981" t="b">
        <f t="shared" si="107"/>
        <v>1</v>
      </c>
      <c r="U981" t="b" cm="1">
        <f t="array" aca="1" ref="U981" ca="1">AND(T981,OR(O981-N981&gt;1,P981&gt;1,ISERROR(A981:P981)))</f>
        <v>0</v>
      </c>
      <c r="W981" t="e">
        <f>MATCH(K981&amp;$W$2,Taostats_CSV!$X$3:$X$1167,0)</f>
        <v>#N/A</v>
      </c>
      <c r="X981" t="e">
        <f t="shared" ca="1" si="102"/>
        <v>#VALUE!</v>
      </c>
      <c r="Y981">
        <f t="shared" ca="1" si="103"/>
        <v>9.7538920000000001E-3</v>
      </c>
      <c r="Z981" t="e">
        <f t="shared" ca="1" si="104"/>
        <v>#VALUE!</v>
      </c>
    </row>
    <row r="982" spans="1:26" x14ac:dyDescent="0.4">
      <c r="A982" t="str">
        <f>MID(Taostats_CSV!C982,6,2)&amp;"/"&amp;MID(Taostats_CSV!C982,9,2)&amp;"/"&amp;LEFT(Taostats_CSV!C982,4)&amp;" "&amp;MID(Taostats_CSV!C982,12,8)</f>
        <v>09/23/2025 23:59:48</v>
      </c>
      <c r="C982" t="str">
        <f ca="1">IF(Q982,OFFSET(Taostats_CSV!$E$1,MATCH(K982&amp;D$1,Taostats_CSV!$X:$X,0)-1,0),IF(Taostats_CSV!F982="fee",IF(VALUE(Taostats_CSV!G982)&gt;0,Taostats_CSV!E982,""),""))</f>
        <v/>
      </c>
      <c r="D982" t="str">
        <f ca="1">IF(Q982,OFFSET(Taostats_CSV!$G$1,MATCH(K982&amp;D$1,Taostats_CSV!$X:$X,0)-1,0),IF(Taostats_CSV!F982="fee",IF(VALUE(Taostats_CSV!G982)&gt;0,Taostats_CSV!G982,""),""))</f>
        <v/>
      </c>
      <c r="E982" t="str">
        <f ca="1">IF(AND(Q982,P982&gt;0),OFFSET(Taostats_CSV!$E$1,MATCH(K982&amp;F$1,Taostats_CSV!$X:$X,0)-1,0),IF(LEN(F982)&gt;0,Taostats_CSV!E982,""))</f>
        <v>SN3</v>
      </c>
      <c r="F982" t="str">
        <f ca="1">TRIM(IF(AND(Q982,P982&gt;0),OFFSET(Taostats_CSV!$H$1,MATCH(K982&amp;F$1,Taostats_CSV!$X:$X,0)-1,0),IF(LEN(Taostats_CSV!H982)&gt;0,Taostats_CSV!H982,Taostats_CSV!R982)))</f>
        <v>0.480801511</v>
      </c>
      <c r="G982" t="str">
        <f ca="1">IF(AND(Q982,N982=1),OFFSET(Taostats_CSV!$E$1,MATCH(K982&amp;H$1,Taostats_CSV!$X:$X,0)-1,0),"")</f>
        <v/>
      </c>
      <c r="H982" t="str">
        <f ca="1">IF(AND(Q982,N982=1),OFFSET(Taostats_CSV!$G$1,MATCH(K982&amp;H$1,Taostats_CSV!$X:$X,0)-1,0),"")</f>
        <v/>
      </c>
      <c r="I982" t="str">
        <f ca="1">IF(AND(LEN(K982)=0,LEN(F982)&gt;0),"Income",IF(AND(O982&gt;0,P982&gt;0,C982&lt;&gt;E982),"Trade",IF(AND(NOT(Q982),Taostats_CSV!F982="fee"),'READ ME'!$C$5,"")))</f>
        <v>Income</v>
      </c>
      <c r="J982" t="str">
        <f ca="1">SUBSTITUTE(IF(LEN(I982)=0,Taostats_CSV!F982&amp;" "&amp;Taostats_CSV!J982,IF(I982="Cost","Extrinsic fee","")),"_"," ")</f>
        <v/>
      </c>
      <c r="K982" t="str">
        <f>TRIM(IF(LEN(Taostats_CSV!I982)&gt;0,Taostats_CSV!I982,""))</f>
        <v/>
      </c>
      <c r="L982">
        <f ca="1">IF(Taostats_CSV!E982&lt;&gt;"TAO",IF(LEN(F982)&gt;0,F982,IF(LEN(D982)&gt;0,D982,0))*Taostats_CSV!P982,"")</f>
        <v>5.2497071379010949</v>
      </c>
      <c r="M982" t="str">
        <f t="shared" ca="1" si="105"/>
        <v>USD</v>
      </c>
      <c r="N982">
        <f>COUNTIF(Taostats_CSV!$X:$X,Taostats_CSV!$I982&amp;N$1)</f>
        <v>0</v>
      </c>
      <c r="O982">
        <f>COUNTIF(Taostats_CSV!$X:$X,Taostats_CSV!$I982&amp;O$1)</f>
        <v>0</v>
      </c>
      <c r="P982">
        <f>COUNTIF(Taostats_CSV!$X:$X,Taostats_CSV!$I982&amp;P$1)</f>
        <v>0</v>
      </c>
      <c r="Q982" t="b">
        <f t="shared" si="106"/>
        <v>0</v>
      </c>
      <c r="R982" t="b">
        <f>IF(LEN(K982)&gt;0,COUNTIF($K$3:K982,K982),FALSE)</f>
        <v>0</v>
      </c>
      <c r="S982" t="b">
        <f>IF(Taostats_CSV!A982=Taostats_CSV!$A$2,TRUE,Taostats_CSV!G982+Taostats_CSV!H982+Taostats_CSV!R982=0)</f>
        <v>0</v>
      </c>
      <c r="T982" t="b">
        <f t="shared" si="107"/>
        <v>1</v>
      </c>
      <c r="U982" t="b" cm="1">
        <f t="array" aca="1" ref="U982" ca="1">AND(T982,OR(O982-N982&gt;1,P982&gt;1,ISERROR(A982:P982)))</f>
        <v>0</v>
      </c>
      <c r="W982" t="e">
        <f>MATCH(K982&amp;$W$2,Taostats_CSV!$X$3:$X$1167,0)</f>
        <v>#N/A</v>
      </c>
      <c r="X982" t="e">
        <f t="shared" ca="1" si="102"/>
        <v>#VALUE!</v>
      </c>
      <c r="Y982">
        <f t="shared" ca="1" si="103"/>
        <v>0.48080151100000001</v>
      </c>
      <c r="Z982" t="e">
        <f t="shared" ca="1" si="104"/>
        <v>#VALUE!</v>
      </c>
    </row>
    <row r="983" spans="1:26" x14ac:dyDescent="0.4">
      <c r="A983" t="str">
        <f>MID(Taostats_CSV!C983,6,2)&amp;"/"&amp;MID(Taostats_CSV!C983,9,2)&amp;"/"&amp;LEFT(Taostats_CSV!C983,4)&amp;" "&amp;MID(Taostats_CSV!C983,12,8)</f>
        <v>09/23/2025 23:59:48</v>
      </c>
      <c r="C983" t="str">
        <f ca="1">IF(Q983,OFFSET(Taostats_CSV!$E$1,MATCH(K983&amp;D$1,Taostats_CSV!$X:$X,0)-1,0),IF(Taostats_CSV!F983="fee",IF(VALUE(Taostats_CSV!G983)&gt;0,Taostats_CSV!E983,""),""))</f>
        <v/>
      </c>
      <c r="D983" t="str">
        <f ca="1">IF(Q983,OFFSET(Taostats_CSV!$G$1,MATCH(K983&amp;D$1,Taostats_CSV!$X:$X,0)-1,0),IF(Taostats_CSV!F983="fee",IF(VALUE(Taostats_CSV!G983)&gt;0,Taostats_CSV!G983,""),""))</f>
        <v/>
      </c>
      <c r="E983" t="str">
        <f ca="1">IF(AND(Q983,P983&gt;0),OFFSET(Taostats_CSV!$E$1,MATCH(K983&amp;F$1,Taostats_CSV!$X:$X,0)-1,0),IF(LEN(F983)&gt;0,Taostats_CSV!E983,""))</f>
        <v>SN4</v>
      </c>
      <c r="F983" t="str">
        <f ca="1">TRIM(IF(AND(Q983,P983&gt;0),OFFSET(Taostats_CSV!$H$1,MATCH(K983&amp;F$1,Taostats_CSV!$X:$X,0)-1,0),IF(LEN(Taostats_CSV!H983)&gt;0,Taostats_CSV!H983,Taostats_CSV!R983)))</f>
        <v>0.419559514</v>
      </c>
      <c r="G983" t="str">
        <f ca="1">IF(AND(Q983,N983=1),OFFSET(Taostats_CSV!$E$1,MATCH(K983&amp;H$1,Taostats_CSV!$X:$X,0)-1,0),"")</f>
        <v/>
      </c>
      <c r="H983" t="str">
        <f ca="1">IF(AND(Q983,N983=1),OFFSET(Taostats_CSV!$G$1,MATCH(K983&amp;H$1,Taostats_CSV!$X:$X,0)-1,0),"")</f>
        <v/>
      </c>
      <c r="I983" t="str">
        <f ca="1">IF(AND(LEN(K983)=0,LEN(F983)&gt;0),"Income",IF(AND(O983&gt;0,P983&gt;0,C983&lt;&gt;E983),"Trade",IF(AND(NOT(Q983),Taostats_CSV!F983="fee"),'READ ME'!$C$5,"")))</f>
        <v>Income</v>
      </c>
      <c r="J983" t="str">
        <f ca="1">SUBSTITUTE(IF(LEN(I983)=0,Taostats_CSV!F983&amp;" "&amp;Taostats_CSV!J983,IF(I983="Cost","Extrinsic fee","")),"_"," ")</f>
        <v/>
      </c>
      <c r="K983" t="str">
        <f>TRIM(IF(LEN(Taostats_CSV!I983)&gt;0,Taostats_CSV!I983,""))</f>
        <v/>
      </c>
      <c r="L983">
        <f ca="1">IF(Taostats_CSV!E983&lt;&gt;"TAO",IF(LEN(F983)&gt;0,F983,IF(LEN(D983)&gt;0,D983,0))*Taostats_CSV!P983,"")</f>
        <v>6.1846194934964922</v>
      </c>
      <c r="M983" t="str">
        <f t="shared" ca="1" si="105"/>
        <v>USD</v>
      </c>
      <c r="N983">
        <f>COUNTIF(Taostats_CSV!$X:$X,Taostats_CSV!$I983&amp;N$1)</f>
        <v>0</v>
      </c>
      <c r="O983">
        <f>COUNTIF(Taostats_CSV!$X:$X,Taostats_CSV!$I983&amp;O$1)</f>
        <v>0</v>
      </c>
      <c r="P983">
        <f>COUNTIF(Taostats_CSV!$X:$X,Taostats_CSV!$I983&amp;P$1)</f>
        <v>0</v>
      </c>
      <c r="Q983" t="b">
        <f t="shared" si="106"/>
        <v>0</v>
      </c>
      <c r="R983" t="b">
        <f>IF(LEN(K983)&gt;0,COUNTIF($K$3:K983,K983),FALSE)</f>
        <v>0</v>
      </c>
      <c r="S983" t="b">
        <f>IF(Taostats_CSV!A983=Taostats_CSV!$A$2,TRUE,Taostats_CSV!G983+Taostats_CSV!H983+Taostats_CSV!R983=0)</f>
        <v>0</v>
      </c>
      <c r="T983" t="b">
        <f t="shared" si="107"/>
        <v>1</v>
      </c>
      <c r="U983" t="b" cm="1">
        <f t="array" aca="1" ref="U983" ca="1">AND(T983,OR(O983-N983&gt;1,P983&gt;1,ISERROR(A983:P983)))</f>
        <v>0</v>
      </c>
      <c r="W983" t="e">
        <f>MATCH(K983&amp;$W$2,Taostats_CSV!$X$3:$X$1167,0)</f>
        <v>#N/A</v>
      </c>
      <c r="X983" t="e">
        <f t="shared" ca="1" si="102"/>
        <v>#VALUE!</v>
      </c>
      <c r="Y983">
        <f t="shared" ca="1" si="103"/>
        <v>0.41955951400000002</v>
      </c>
      <c r="Z983" t="e">
        <f t="shared" ca="1" si="104"/>
        <v>#VALUE!</v>
      </c>
    </row>
    <row r="984" spans="1:26" x14ac:dyDescent="0.4">
      <c r="A984" t="str">
        <f>MID(Taostats_CSV!C984,6,2)&amp;"/"&amp;MID(Taostats_CSV!C984,9,2)&amp;"/"&amp;LEFT(Taostats_CSV!C984,4)&amp;" "&amp;MID(Taostats_CSV!C984,12,8)</f>
        <v>09/23/2025 23:59:48</v>
      </c>
      <c r="C984" t="str">
        <f ca="1">IF(Q984,OFFSET(Taostats_CSV!$E$1,MATCH(K984&amp;D$1,Taostats_CSV!$X:$X,0)-1,0),IF(Taostats_CSV!F984="fee",IF(VALUE(Taostats_CSV!G984)&gt;0,Taostats_CSV!E984,""),""))</f>
        <v/>
      </c>
      <c r="D984" t="str">
        <f ca="1">IF(Q984,OFFSET(Taostats_CSV!$G$1,MATCH(K984&amp;D$1,Taostats_CSV!$X:$X,0)-1,0),IF(Taostats_CSV!F984="fee",IF(VALUE(Taostats_CSV!G984)&gt;0,Taostats_CSV!G984,""),""))</f>
        <v/>
      </c>
      <c r="E984" t="str">
        <f ca="1">IF(AND(Q984,P984&gt;0),OFFSET(Taostats_CSV!$E$1,MATCH(K984&amp;F$1,Taostats_CSV!$X:$X,0)-1,0),IF(LEN(F984)&gt;0,Taostats_CSV!E984,""))</f>
        <v>SN56</v>
      </c>
      <c r="F984" t="str">
        <f ca="1">TRIM(IF(AND(Q984,P984&gt;0),OFFSET(Taostats_CSV!$H$1,MATCH(K984&amp;F$1,Taostats_CSV!$X:$X,0)-1,0),IF(LEN(Taostats_CSV!H984)&gt;0,Taostats_CSV!H984,Taostats_CSV!R984)))</f>
        <v>0.287631193</v>
      </c>
      <c r="G984" t="str">
        <f ca="1">IF(AND(Q984,N984=1),OFFSET(Taostats_CSV!$E$1,MATCH(K984&amp;H$1,Taostats_CSV!$X:$X,0)-1,0),"")</f>
        <v/>
      </c>
      <c r="H984" t="str">
        <f ca="1">IF(AND(Q984,N984=1),OFFSET(Taostats_CSV!$G$1,MATCH(K984&amp;H$1,Taostats_CSV!$X:$X,0)-1,0),"")</f>
        <v/>
      </c>
      <c r="I984" t="str">
        <f ca="1">IF(AND(LEN(K984)=0,LEN(F984)&gt;0),"Income",IF(AND(O984&gt;0,P984&gt;0,C984&lt;&gt;E984),"Trade",IF(AND(NOT(Q984),Taostats_CSV!F984="fee"),'READ ME'!$C$5,"")))</f>
        <v>Income</v>
      </c>
      <c r="J984" t="str">
        <f ca="1">SUBSTITUTE(IF(LEN(I984)=0,Taostats_CSV!F984&amp;" "&amp;Taostats_CSV!J984,IF(I984="Cost","Extrinsic fee","")),"_"," ")</f>
        <v/>
      </c>
      <c r="K984" t="str">
        <f>TRIM(IF(LEN(Taostats_CSV!I984)&gt;0,Taostats_CSV!I984,""))</f>
        <v/>
      </c>
      <c r="L984">
        <f ca="1">IF(Taostats_CSV!E984&lt;&gt;"TAO",IF(LEN(F984)&gt;0,F984,IF(LEN(D984)&gt;0,D984,0))*Taostats_CSV!P984,"")</f>
        <v>3.5775680635614706</v>
      </c>
      <c r="M984" t="str">
        <f t="shared" ca="1" si="105"/>
        <v>USD</v>
      </c>
      <c r="N984">
        <f>COUNTIF(Taostats_CSV!$X:$X,Taostats_CSV!$I984&amp;N$1)</f>
        <v>0</v>
      </c>
      <c r="O984">
        <f>COUNTIF(Taostats_CSV!$X:$X,Taostats_CSV!$I984&amp;O$1)</f>
        <v>0</v>
      </c>
      <c r="P984">
        <f>COUNTIF(Taostats_CSV!$X:$X,Taostats_CSV!$I984&amp;P$1)</f>
        <v>0</v>
      </c>
      <c r="Q984" t="b">
        <f t="shared" si="106"/>
        <v>0</v>
      </c>
      <c r="R984" t="b">
        <f>IF(LEN(K984)&gt;0,COUNTIF($K$3:K984,K984),FALSE)</f>
        <v>0</v>
      </c>
      <c r="S984" t="b">
        <f>IF(Taostats_CSV!A984=Taostats_CSV!$A$2,TRUE,Taostats_CSV!G984+Taostats_CSV!H984+Taostats_CSV!R984=0)</f>
        <v>0</v>
      </c>
      <c r="T984" t="b">
        <f t="shared" si="107"/>
        <v>1</v>
      </c>
      <c r="U984" t="b" cm="1">
        <f t="array" aca="1" ref="U984" ca="1">AND(T984,OR(O984-N984&gt;1,P984&gt;1,ISERROR(A984:P984)))</f>
        <v>0</v>
      </c>
      <c r="W984" t="e">
        <f>MATCH(K984&amp;$W$2,Taostats_CSV!$X$3:$X$1167,0)</f>
        <v>#N/A</v>
      </c>
      <c r="X984" t="e">
        <f t="shared" ca="1" si="102"/>
        <v>#VALUE!</v>
      </c>
      <c r="Y984">
        <f t="shared" ca="1" si="103"/>
        <v>0.28763119300000001</v>
      </c>
      <c r="Z984" t="e">
        <f t="shared" ca="1" si="104"/>
        <v>#VALUE!</v>
      </c>
    </row>
    <row r="985" spans="1:26" x14ac:dyDescent="0.4">
      <c r="A985" t="str">
        <f>MID(Taostats_CSV!C985,6,2)&amp;"/"&amp;MID(Taostats_CSV!C985,9,2)&amp;"/"&amp;LEFT(Taostats_CSV!C985,4)&amp;" "&amp;MID(Taostats_CSV!C985,12,8)</f>
        <v>09/23/2025 23:59:48</v>
      </c>
      <c r="C985" t="str">
        <f ca="1">IF(Q985,OFFSET(Taostats_CSV!$E$1,MATCH(K985&amp;D$1,Taostats_CSV!$X:$X,0)-1,0),IF(Taostats_CSV!F985="fee",IF(VALUE(Taostats_CSV!G985)&gt;0,Taostats_CSV!E985,""),""))</f>
        <v/>
      </c>
      <c r="D985" t="str">
        <f ca="1">IF(Q985,OFFSET(Taostats_CSV!$G$1,MATCH(K985&amp;D$1,Taostats_CSV!$X:$X,0)-1,0),IF(Taostats_CSV!F985="fee",IF(VALUE(Taostats_CSV!G985)&gt;0,Taostats_CSV!G985,""),""))</f>
        <v/>
      </c>
      <c r="E985" t="str">
        <f ca="1">IF(AND(Q985,P985&gt;0),OFFSET(Taostats_CSV!$E$1,MATCH(K985&amp;F$1,Taostats_CSV!$X:$X,0)-1,0),IF(LEN(F985)&gt;0,Taostats_CSV!E985,""))</f>
        <v>SN64</v>
      </c>
      <c r="F985" t="str">
        <f ca="1">TRIM(IF(AND(Q985,P985&gt;0),OFFSET(Taostats_CSV!$H$1,MATCH(K985&amp;F$1,Taostats_CSV!$X:$X,0)-1,0),IF(LEN(Taostats_CSV!H985)&gt;0,Taostats_CSV!H985,Taostats_CSV!R985)))</f>
        <v>0.148729108</v>
      </c>
      <c r="G985" t="str">
        <f ca="1">IF(AND(Q985,N985=1),OFFSET(Taostats_CSV!$E$1,MATCH(K985&amp;H$1,Taostats_CSV!$X:$X,0)-1,0),"")</f>
        <v/>
      </c>
      <c r="H985" t="str">
        <f ca="1">IF(AND(Q985,N985=1),OFFSET(Taostats_CSV!$G$1,MATCH(K985&amp;H$1,Taostats_CSV!$X:$X,0)-1,0),"")</f>
        <v/>
      </c>
      <c r="I985" t="str">
        <f ca="1">IF(AND(LEN(K985)=0,LEN(F985)&gt;0),"Income",IF(AND(O985&gt;0,P985&gt;0,C985&lt;&gt;E985),"Trade",IF(AND(NOT(Q985),Taostats_CSV!F985="fee"),'READ ME'!$C$5,"")))</f>
        <v>Income</v>
      </c>
      <c r="J985" t="str">
        <f ca="1">SUBSTITUTE(IF(LEN(I985)=0,Taostats_CSV!F985&amp;" "&amp;Taostats_CSV!J985,IF(I985="Cost","Extrinsic fee","")),"_"," ")</f>
        <v/>
      </c>
      <c r="K985" t="str">
        <f>TRIM(IF(LEN(Taostats_CSV!I985)&gt;0,Taostats_CSV!I985,""))</f>
        <v/>
      </c>
      <c r="L985">
        <f ca="1">IF(Taostats_CSV!E985&lt;&gt;"TAO",IF(LEN(F985)&gt;0,F985,IF(LEN(D985)&gt;0,D985,0))*Taostats_CSV!P985,"")</f>
        <v>4.3924226952028604</v>
      </c>
      <c r="M985" t="str">
        <f t="shared" ca="1" si="105"/>
        <v>USD</v>
      </c>
      <c r="N985">
        <f>COUNTIF(Taostats_CSV!$X:$X,Taostats_CSV!$I985&amp;N$1)</f>
        <v>0</v>
      </c>
      <c r="O985">
        <f>COUNTIF(Taostats_CSV!$X:$X,Taostats_CSV!$I985&amp;O$1)</f>
        <v>0</v>
      </c>
      <c r="P985">
        <f>COUNTIF(Taostats_CSV!$X:$X,Taostats_CSV!$I985&amp;P$1)</f>
        <v>0</v>
      </c>
      <c r="Q985" t="b">
        <f t="shared" si="106"/>
        <v>0</v>
      </c>
      <c r="R985" t="b">
        <f>IF(LEN(K985)&gt;0,COUNTIF($K$3:K985,K985),FALSE)</f>
        <v>0</v>
      </c>
      <c r="S985" t="b">
        <f>IF(Taostats_CSV!A985=Taostats_CSV!$A$2,TRUE,Taostats_CSV!G985+Taostats_CSV!H985+Taostats_CSV!R985=0)</f>
        <v>0</v>
      </c>
      <c r="T985" t="b">
        <f t="shared" si="107"/>
        <v>1</v>
      </c>
      <c r="U985" t="b" cm="1">
        <f t="array" aca="1" ref="U985" ca="1">AND(T985,OR(O985-N985&gt;1,P985&gt;1,ISERROR(A985:P985)))</f>
        <v>0</v>
      </c>
      <c r="W985" t="e">
        <f>MATCH(K985&amp;$W$2,Taostats_CSV!$X$3:$X$1167,0)</f>
        <v>#N/A</v>
      </c>
      <c r="X985" t="e">
        <f t="shared" ca="1" si="102"/>
        <v>#VALUE!</v>
      </c>
      <c r="Y985">
        <f t="shared" ca="1" si="103"/>
        <v>0.148729108</v>
      </c>
      <c r="Z985" t="e">
        <f t="shared" ca="1" si="104"/>
        <v>#VALUE!</v>
      </c>
    </row>
    <row r="986" spans="1:26" x14ac:dyDescent="0.4">
      <c r="A986" t="str">
        <f>MID(Taostats_CSV!C986,6,2)&amp;"/"&amp;MID(Taostats_CSV!C986,9,2)&amp;"/"&amp;LEFT(Taostats_CSV!C986,4)&amp;" "&amp;MID(Taostats_CSV!C986,12,8)</f>
        <v>09/23/2025 23:59:48</v>
      </c>
      <c r="C986" t="str">
        <f ca="1">IF(Q986,OFFSET(Taostats_CSV!$E$1,MATCH(K986&amp;D$1,Taostats_CSV!$X:$X,0)-1,0),IF(Taostats_CSV!F986="fee",IF(VALUE(Taostats_CSV!G986)&gt;0,Taostats_CSV!E986,""),""))</f>
        <v/>
      </c>
      <c r="D986" t="str">
        <f ca="1">IF(Q986,OFFSET(Taostats_CSV!$G$1,MATCH(K986&amp;D$1,Taostats_CSV!$X:$X,0)-1,0),IF(Taostats_CSV!F986="fee",IF(VALUE(Taostats_CSV!G986)&gt;0,Taostats_CSV!G986,""),""))</f>
        <v/>
      </c>
      <c r="E986" t="str">
        <f ca="1">IF(AND(Q986,P986&gt;0),OFFSET(Taostats_CSV!$E$1,MATCH(K986&amp;F$1,Taostats_CSV!$X:$X,0)-1,0),IF(LEN(F986)&gt;0,Taostats_CSV!E986,""))</f>
        <v>TAO</v>
      </c>
      <c r="F986" t="str">
        <f ca="1">TRIM(IF(AND(Q986,P986&gt;0),OFFSET(Taostats_CSV!$H$1,MATCH(K986&amp;F$1,Taostats_CSV!$X:$X,0)-1,0),IF(LEN(Taostats_CSV!H986)&gt;0,Taostats_CSV!H986,Taostats_CSV!R986)))</f>
        <v>0.009746942</v>
      </c>
      <c r="G986" t="str">
        <f ca="1">IF(AND(Q986,N986=1),OFFSET(Taostats_CSV!$E$1,MATCH(K986&amp;H$1,Taostats_CSV!$X:$X,0)-1,0),"")</f>
        <v/>
      </c>
      <c r="H986" t="str">
        <f ca="1">IF(AND(Q986,N986=1),OFFSET(Taostats_CSV!$G$1,MATCH(K986&amp;H$1,Taostats_CSV!$X:$X,0)-1,0),"")</f>
        <v/>
      </c>
      <c r="I986" t="str">
        <f ca="1">IF(AND(LEN(K986)=0,LEN(F986)&gt;0),"Income",IF(AND(O986&gt;0,P986&gt;0,C986&lt;&gt;E986),"Trade",IF(AND(NOT(Q986),Taostats_CSV!F986="fee"),'READ ME'!$C$5,"")))</f>
        <v>Income</v>
      </c>
      <c r="J986" t="str">
        <f ca="1">SUBSTITUTE(IF(LEN(I986)=0,Taostats_CSV!F986&amp;" "&amp;Taostats_CSV!J986,IF(I986="Cost","Extrinsic fee","")),"_"," ")</f>
        <v/>
      </c>
      <c r="K986" t="str">
        <f>TRIM(IF(LEN(Taostats_CSV!I986)&gt;0,Taostats_CSV!I986,""))</f>
        <v/>
      </c>
      <c r="L986" t="str">
        <f>IF(Taostats_CSV!E986&lt;&gt;"TAO",IF(LEN(F986)&gt;0,F986,IF(LEN(D986)&gt;0,D986,0))*Taostats_CSV!P986,"")</f>
        <v/>
      </c>
      <c r="M986" t="str">
        <f t="shared" si="105"/>
        <v/>
      </c>
      <c r="N986">
        <f>COUNTIF(Taostats_CSV!$X:$X,Taostats_CSV!$I986&amp;N$1)</f>
        <v>0</v>
      </c>
      <c r="O986">
        <f>COUNTIF(Taostats_CSV!$X:$X,Taostats_CSV!$I986&amp;O$1)</f>
        <v>0</v>
      </c>
      <c r="P986">
        <f>COUNTIF(Taostats_CSV!$X:$X,Taostats_CSV!$I986&amp;P$1)</f>
        <v>0</v>
      </c>
      <c r="Q986" t="b">
        <f t="shared" si="106"/>
        <v>0</v>
      </c>
      <c r="R986" t="b">
        <f>IF(LEN(K986)&gt;0,COUNTIF($K$3:K986,K986),FALSE)</f>
        <v>0</v>
      </c>
      <c r="S986" t="b">
        <f>IF(Taostats_CSV!A986=Taostats_CSV!$A$2,TRUE,Taostats_CSV!G986+Taostats_CSV!H986+Taostats_CSV!R986=0)</f>
        <v>0</v>
      </c>
      <c r="T986" t="b">
        <f t="shared" si="107"/>
        <v>1</v>
      </c>
      <c r="U986" t="b" cm="1">
        <f t="array" aca="1" ref="U986" ca="1">AND(T986,OR(O986-N986&gt;1,P986&gt;1,ISERROR(A986:P986)))</f>
        <v>0</v>
      </c>
      <c r="W986" t="e">
        <f>MATCH(K986&amp;$W$2,Taostats_CSV!$X$3:$X$1167,0)</f>
        <v>#N/A</v>
      </c>
      <c r="X986" t="e">
        <f t="shared" ca="1" si="102"/>
        <v>#VALUE!</v>
      </c>
      <c r="Y986">
        <f t="shared" ca="1" si="103"/>
        <v>9.7469419999999998E-3</v>
      </c>
      <c r="Z986" t="e">
        <f t="shared" ca="1" si="104"/>
        <v>#VALUE!</v>
      </c>
    </row>
    <row r="987" spans="1:26" x14ac:dyDescent="0.4">
      <c r="A987" t="str">
        <f>MID(Taostats_CSV!C987,6,2)&amp;"/"&amp;MID(Taostats_CSV!C987,9,2)&amp;"/"&amp;LEFT(Taostats_CSV!C987,4)&amp;" "&amp;MID(Taostats_CSV!C987,12,8)</f>
        <v>09/24/2025 23:59:48</v>
      </c>
      <c r="C987" t="str">
        <f ca="1">IF(Q987,OFFSET(Taostats_CSV!$E$1,MATCH(K987&amp;D$1,Taostats_CSV!$X:$X,0)-1,0),IF(Taostats_CSV!F987="fee",IF(VALUE(Taostats_CSV!G987)&gt;0,Taostats_CSV!E987,""),""))</f>
        <v/>
      </c>
      <c r="D987" t="str">
        <f ca="1">IF(Q987,OFFSET(Taostats_CSV!$G$1,MATCH(K987&amp;D$1,Taostats_CSV!$X:$X,0)-1,0),IF(Taostats_CSV!F987="fee",IF(VALUE(Taostats_CSV!G987)&gt;0,Taostats_CSV!G987,""),""))</f>
        <v/>
      </c>
      <c r="E987" t="str">
        <f ca="1">IF(AND(Q987,P987&gt;0),OFFSET(Taostats_CSV!$E$1,MATCH(K987&amp;F$1,Taostats_CSV!$X:$X,0)-1,0),IF(LEN(F987)&gt;0,Taostats_CSV!E987,""))</f>
        <v>SN3</v>
      </c>
      <c r="F987" t="str">
        <f ca="1">TRIM(IF(AND(Q987,P987&gt;0),OFFSET(Taostats_CSV!$H$1,MATCH(K987&amp;F$1,Taostats_CSV!$X:$X,0)-1,0),IF(LEN(Taostats_CSV!H987)&gt;0,Taostats_CSV!H987,Taostats_CSV!R987)))</f>
        <v>0.483044846</v>
      </c>
      <c r="G987" t="str">
        <f ca="1">IF(AND(Q987,N987=1),OFFSET(Taostats_CSV!$E$1,MATCH(K987&amp;H$1,Taostats_CSV!$X:$X,0)-1,0),"")</f>
        <v/>
      </c>
      <c r="H987" t="str">
        <f ca="1">IF(AND(Q987,N987=1),OFFSET(Taostats_CSV!$G$1,MATCH(K987&amp;H$1,Taostats_CSV!$X:$X,0)-1,0),"")</f>
        <v/>
      </c>
      <c r="I987" t="str">
        <f ca="1">IF(AND(LEN(K987)=0,LEN(F987)&gt;0),"Income",IF(AND(O987&gt;0,P987&gt;0,C987&lt;&gt;E987),"Trade",IF(AND(NOT(Q987),Taostats_CSV!F987="fee"),'READ ME'!$C$5,"")))</f>
        <v>Income</v>
      </c>
      <c r="J987" t="str">
        <f ca="1">SUBSTITUTE(IF(LEN(I987)=0,Taostats_CSV!F987&amp;" "&amp;Taostats_CSV!J987,IF(I987="Cost","Extrinsic fee","")),"_"," ")</f>
        <v/>
      </c>
      <c r="K987" t="str">
        <f>TRIM(IF(LEN(Taostats_CSV!I987)&gt;0,Taostats_CSV!I987,""))</f>
        <v/>
      </c>
      <c r="L987">
        <f ca="1">IF(Taostats_CSV!E987&lt;&gt;"TAO",IF(LEN(F987)&gt;0,F987,IF(LEN(D987)&gt;0,D987,0))*Taostats_CSV!P987,"")</f>
        <v>5.2157634060118498</v>
      </c>
      <c r="M987" t="str">
        <f t="shared" ca="1" si="105"/>
        <v>USD</v>
      </c>
      <c r="N987">
        <f>COUNTIF(Taostats_CSV!$X:$X,Taostats_CSV!$I987&amp;N$1)</f>
        <v>0</v>
      </c>
      <c r="O987">
        <f>COUNTIF(Taostats_CSV!$X:$X,Taostats_CSV!$I987&amp;O$1)</f>
        <v>0</v>
      </c>
      <c r="P987">
        <f>COUNTIF(Taostats_CSV!$X:$X,Taostats_CSV!$I987&amp;P$1)</f>
        <v>0</v>
      </c>
      <c r="Q987" t="b">
        <f t="shared" si="106"/>
        <v>0</v>
      </c>
      <c r="R987" t="b">
        <f>IF(LEN(K987)&gt;0,COUNTIF($K$3:K987,K987),FALSE)</f>
        <v>0</v>
      </c>
      <c r="S987" t="b">
        <f>IF(Taostats_CSV!A987=Taostats_CSV!$A$2,TRUE,Taostats_CSV!G987+Taostats_CSV!H987+Taostats_CSV!R987=0)</f>
        <v>0</v>
      </c>
      <c r="T987" t="b">
        <f t="shared" si="107"/>
        <v>1</v>
      </c>
      <c r="U987" t="b" cm="1">
        <f t="array" aca="1" ref="U987" ca="1">AND(T987,OR(O987-N987&gt;1,P987&gt;1,ISERROR(A987:P987)))</f>
        <v>0</v>
      </c>
      <c r="W987" t="e">
        <f>MATCH(K987&amp;$W$2,Taostats_CSV!$X$3:$X$1167,0)</f>
        <v>#N/A</v>
      </c>
      <c r="X987" t="e">
        <f t="shared" ca="1" si="102"/>
        <v>#VALUE!</v>
      </c>
      <c r="Y987">
        <f t="shared" ca="1" si="103"/>
        <v>0.48304484600000003</v>
      </c>
      <c r="Z987" t="e">
        <f t="shared" ca="1" si="104"/>
        <v>#VALUE!</v>
      </c>
    </row>
    <row r="988" spans="1:26" x14ac:dyDescent="0.4">
      <c r="A988" t="str">
        <f>MID(Taostats_CSV!C988,6,2)&amp;"/"&amp;MID(Taostats_CSV!C988,9,2)&amp;"/"&amp;LEFT(Taostats_CSV!C988,4)&amp;" "&amp;MID(Taostats_CSV!C988,12,8)</f>
        <v>09/24/2025 23:59:48</v>
      </c>
      <c r="C988" t="str">
        <f ca="1">IF(Q988,OFFSET(Taostats_CSV!$E$1,MATCH(K988&amp;D$1,Taostats_CSV!$X:$X,0)-1,0),IF(Taostats_CSV!F988="fee",IF(VALUE(Taostats_CSV!G988)&gt;0,Taostats_CSV!E988,""),""))</f>
        <v/>
      </c>
      <c r="D988" t="str">
        <f ca="1">IF(Q988,OFFSET(Taostats_CSV!$G$1,MATCH(K988&amp;D$1,Taostats_CSV!$X:$X,0)-1,0),IF(Taostats_CSV!F988="fee",IF(VALUE(Taostats_CSV!G988)&gt;0,Taostats_CSV!G988,""),""))</f>
        <v/>
      </c>
      <c r="E988" t="str">
        <f ca="1">IF(AND(Q988,P988&gt;0),OFFSET(Taostats_CSV!$E$1,MATCH(K988&amp;F$1,Taostats_CSV!$X:$X,0)-1,0),IF(LEN(F988)&gt;0,Taostats_CSV!E988,""))</f>
        <v>SN4</v>
      </c>
      <c r="F988" t="str">
        <f ca="1">TRIM(IF(AND(Q988,P988&gt;0),OFFSET(Taostats_CSV!$H$1,MATCH(K988&amp;F$1,Taostats_CSV!$X:$X,0)-1,0),IF(LEN(Taostats_CSV!H988)&gt;0,Taostats_CSV!H988,Taostats_CSV!R988)))</f>
        <v>0.420049206</v>
      </c>
      <c r="G988" t="str">
        <f ca="1">IF(AND(Q988,N988=1),OFFSET(Taostats_CSV!$E$1,MATCH(K988&amp;H$1,Taostats_CSV!$X:$X,0)-1,0),"")</f>
        <v/>
      </c>
      <c r="H988" t="str">
        <f ca="1">IF(AND(Q988,N988=1),OFFSET(Taostats_CSV!$G$1,MATCH(K988&amp;H$1,Taostats_CSV!$X:$X,0)-1,0),"")</f>
        <v/>
      </c>
      <c r="I988" t="str">
        <f ca="1">IF(AND(LEN(K988)=0,LEN(F988)&gt;0),"Income",IF(AND(O988&gt;0,P988&gt;0,C988&lt;&gt;E988),"Trade",IF(AND(NOT(Q988),Taostats_CSV!F988="fee"),'READ ME'!$C$5,"")))</f>
        <v>Income</v>
      </c>
      <c r="J988" t="str">
        <f ca="1">SUBSTITUTE(IF(LEN(I988)=0,Taostats_CSV!F988&amp;" "&amp;Taostats_CSV!J988,IF(I988="Cost","Extrinsic fee","")),"_"," ")</f>
        <v/>
      </c>
      <c r="K988" t="str">
        <f>TRIM(IF(LEN(Taostats_CSV!I988)&gt;0,Taostats_CSV!I988,""))</f>
        <v/>
      </c>
      <c r="L988">
        <f ca="1">IF(Taostats_CSV!E988&lt;&gt;"TAO",IF(LEN(F988)&gt;0,F988,IF(LEN(D988)&gt;0,D988,0))*Taostats_CSV!P988,"")</f>
        <v>6.1782641624653563</v>
      </c>
      <c r="M988" t="str">
        <f t="shared" ca="1" si="105"/>
        <v>USD</v>
      </c>
      <c r="N988">
        <f>COUNTIF(Taostats_CSV!$X:$X,Taostats_CSV!$I988&amp;N$1)</f>
        <v>0</v>
      </c>
      <c r="O988">
        <f>COUNTIF(Taostats_CSV!$X:$X,Taostats_CSV!$I988&amp;O$1)</f>
        <v>0</v>
      </c>
      <c r="P988">
        <f>COUNTIF(Taostats_CSV!$X:$X,Taostats_CSV!$I988&amp;P$1)</f>
        <v>0</v>
      </c>
      <c r="Q988" t="b">
        <f t="shared" si="106"/>
        <v>0</v>
      </c>
      <c r="R988" t="b">
        <f>IF(LEN(K988)&gt;0,COUNTIF($K$3:K988,K988),FALSE)</f>
        <v>0</v>
      </c>
      <c r="S988" t="b">
        <f>IF(Taostats_CSV!A988=Taostats_CSV!$A$2,TRUE,Taostats_CSV!G988+Taostats_CSV!H988+Taostats_CSV!R988=0)</f>
        <v>0</v>
      </c>
      <c r="T988" t="b">
        <f t="shared" si="107"/>
        <v>1</v>
      </c>
      <c r="U988" t="b" cm="1">
        <f t="array" aca="1" ref="U988" ca="1">AND(T988,OR(O988-N988&gt;1,P988&gt;1,ISERROR(A988:P988)))</f>
        <v>0</v>
      </c>
      <c r="W988" t="e">
        <f>MATCH(K988&amp;$W$2,Taostats_CSV!$X$3:$X$1167,0)</f>
        <v>#N/A</v>
      </c>
      <c r="X988" t="e">
        <f t="shared" ca="1" si="102"/>
        <v>#VALUE!</v>
      </c>
      <c r="Y988">
        <f t="shared" ca="1" si="103"/>
        <v>0.42004920600000001</v>
      </c>
      <c r="Z988" t="e">
        <f t="shared" ca="1" si="104"/>
        <v>#VALUE!</v>
      </c>
    </row>
    <row r="989" spans="1:26" x14ac:dyDescent="0.4">
      <c r="A989" t="str">
        <f>MID(Taostats_CSV!C989,6,2)&amp;"/"&amp;MID(Taostats_CSV!C989,9,2)&amp;"/"&amp;LEFT(Taostats_CSV!C989,4)&amp;" "&amp;MID(Taostats_CSV!C989,12,8)</f>
        <v>09/24/2025 23:59:48</v>
      </c>
      <c r="C989" t="str">
        <f ca="1">IF(Q989,OFFSET(Taostats_CSV!$E$1,MATCH(K989&amp;D$1,Taostats_CSV!$X:$X,0)-1,0),IF(Taostats_CSV!F989="fee",IF(VALUE(Taostats_CSV!G989)&gt;0,Taostats_CSV!E989,""),""))</f>
        <v/>
      </c>
      <c r="D989" t="str">
        <f ca="1">IF(Q989,OFFSET(Taostats_CSV!$G$1,MATCH(K989&amp;D$1,Taostats_CSV!$X:$X,0)-1,0),IF(Taostats_CSV!F989="fee",IF(VALUE(Taostats_CSV!G989)&gt;0,Taostats_CSV!G989,""),""))</f>
        <v/>
      </c>
      <c r="E989" t="str">
        <f ca="1">IF(AND(Q989,P989&gt;0),OFFSET(Taostats_CSV!$E$1,MATCH(K989&amp;F$1,Taostats_CSV!$X:$X,0)-1,0),IF(LEN(F989)&gt;0,Taostats_CSV!E989,""))</f>
        <v>SN56</v>
      </c>
      <c r="F989" t="str">
        <f ca="1">TRIM(IF(AND(Q989,P989&gt;0),OFFSET(Taostats_CSV!$H$1,MATCH(K989&amp;F$1,Taostats_CSV!$X:$X,0)-1,0),IF(LEN(Taostats_CSV!H989)&gt;0,Taostats_CSV!H989,Taostats_CSV!R989)))</f>
        <v>0.292039113</v>
      </c>
      <c r="G989" t="str">
        <f ca="1">IF(AND(Q989,N989=1),OFFSET(Taostats_CSV!$E$1,MATCH(K989&amp;H$1,Taostats_CSV!$X:$X,0)-1,0),"")</f>
        <v/>
      </c>
      <c r="H989" t="str">
        <f ca="1">IF(AND(Q989,N989=1),OFFSET(Taostats_CSV!$G$1,MATCH(K989&amp;H$1,Taostats_CSV!$X:$X,0)-1,0),"")</f>
        <v/>
      </c>
      <c r="I989" t="str">
        <f ca="1">IF(AND(LEN(K989)=0,LEN(F989)&gt;0),"Income",IF(AND(O989&gt;0,P989&gt;0,C989&lt;&gt;E989),"Trade",IF(AND(NOT(Q989),Taostats_CSV!F989="fee"),'READ ME'!$C$5,"")))</f>
        <v>Income</v>
      </c>
      <c r="J989" t="str">
        <f ca="1">SUBSTITUTE(IF(LEN(I989)=0,Taostats_CSV!F989&amp;" "&amp;Taostats_CSV!J989,IF(I989="Cost","Extrinsic fee","")),"_"," ")</f>
        <v/>
      </c>
      <c r="K989" t="str">
        <f>TRIM(IF(LEN(Taostats_CSV!I989)&gt;0,Taostats_CSV!I989,""))</f>
        <v/>
      </c>
      <c r="L989">
        <f ca="1">IF(Taostats_CSV!E989&lt;&gt;"TAO",IF(LEN(F989)&gt;0,F989,IF(LEN(D989)&gt;0,D989,0))*Taostats_CSV!P989,"")</f>
        <v>3.6366972449963559</v>
      </c>
      <c r="M989" t="str">
        <f t="shared" ca="1" si="105"/>
        <v>USD</v>
      </c>
      <c r="N989">
        <f>COUNTIF(Taostats_CSV!$X:$X,Taostats_CSV!$I989&amp;N$1)</f>
        <v>0</v>
      </c>
      <c r="O989">
        <f>COUNTIF(Taostats_CSV!$X:$X,Taostats_CSV!$I989&amp;O$1)</f>
        <v>0</v>
      </c>
      <c r="P989">
        <f>COUNTIF(Taostats_CSV!$X:$X,Taostats_CSV!$I989&amp;P$1)</f>
        <v>0</v>
      </c>
      <c r="Q989" t="b">
        <f t="shared" si="106"/>
        <v>0</v>
      </c>
      <c r="R989" t="b">
        <f>IF(LEN(K989)&gt;0,COUNTIF($K$3:K989,K989),FALSE)</f>
        <v>0</v>
      </c>
      <c r="S989" t="b">
        <f>IF(Taostats_CSV!A989=Taostats_CSV!$A$2,TRUE,Taostats_CSV!G989+Taostats_CSV!H989+Taostats_CSV!R989=0)</f>
        <v>0</v>
      </c>
      <c r="T989" t="b">
        <f t="shared" si="107"/>
        <v>1</v>
      </c>
      <c r="U989" t="b" cm="1">
        <f t="array" aca="1" ref="U989" ca="1">AND(T989,OR(O989-N989&gt;1,P989&gt;1,ISERROR(A989:P989)))</f>
        <v>0</v>
      </c>
      <c r="W989" t="e">
        <f>MATCH(K989&amp;$W$2,Taostats_CSV!$X$3:$X$1167,0)</f>
        <v>#N/A</v>
      </c>
      <c r="X989" t="e">
        <f t="shared" ca="1" si="102"/>
        <v>#VALUE!</v>
      </c>
      <c r="Y989">
        <f t="shared" ca="1" si="103"/>
        <v>0.29203911300000002</v>
      </c>
      <c r="Z989" t="e">
        <f t="shared" ca="1" si="104"/>
        <v>#VALUE!</v>
      </c>
    </row>
    <row r="990" spans="1:26" x14ac:dyDescent="0.4">
      <c r="A990" t="str">
        <f>MID(Taostats_CSV!C990,6,2)&amp;"/"&amp;MID(Taostats_CSV!C990,9,2)&amp;"/"&amp;LEFT(Taostats_CSV!C990,4)&amp;" "&amp;MID(Taostats_CSV!C990,12,8)</f>
        <v>09/24/2025 23:59:48</v>
      </c>
      <c r="C990" t="str">
        <f ca="1">IF(Q990,OFFSET(Taostats_CSV!$E$1,MATCH(K990&amp;D$1,Taostats_CSV!$X:$X,0)-1,0),IF(Taostats_CSV!F990="fee",IF(VALUE(Taostats_CSV!G990)&gt;0,Taostats_CSV!E990,""),""))</f>
        <v/>
      </c>
      <c r="D990" t="str">
        <f ca="1">IF(Q990,OFFSET(Taostats_CSV!$G$1,MATCH(K990&amp;D$1,Taostats_CSV!$X:$X,0)-1,0),IF(Taostats_CSV!F990="fee",IF(VALUE(Taostats_CSV!G990)&gt;0,Taostats_CSV!G990,""),""))</f>
        <v/>
      </c>
      <c r="E990" t="str">
        <f ca="1">IF(AND(Q990,P990&gt;0),OFFSET(Taostats_CSV!$E$1,MATCH(K990&amp;F$1,Taostats_CSV!$X:$X,0)-1,0),IF(LEN(F990)&gt;0,Taostats_CSV!E990,""))</f>
        <v>SN64</v>
      </c>
      <c r="F990" t="str">
        <f ca="1">TRIM(IF(AND(Q990,P990&gt;0),OFFSET(Taostats_CSV!$H$1,MATCH(K990&amp;F$1,Taostats_CSV!$X:$X,0)-1,0),IF(LEN(Taostats_CSV!H990)&gt;0,Taostats_CSV!H990,Taostats_CSV!R990)))</f>
        <v>0.147114632</v>
      </c>
      <c r="G990" t="str">
        <f ca="1">IF(AND(Q990,N990=1),OFFSET(Taostats_CSV!$E$1,MATCH(K990&amp;H$1,Taostats_CSV!$X:$X,0)-1,0),"")</f>
        <v/>
      </c>
      <c r="H990" t="str">
        <f ca="1">IF(AND(Q990,N990=1),OFFSET(Taostats_CSV!$G$1,MATCH(K990&amp;H$1,Taostats_CSV!$X:$X,0)-1,0),"")</f>
        <v/>
      </c>
      <c r="I990" t="str">
        <f ca="1">IF(AND(LEN(K990)=0,LEN(F990)&gt;0),"Income",IF(AND(O990&gt;0,P990&gt;0,C990&lt;&gt;E990),"Trade",IF(AND(NOT(Q990),Taostats_CSV!F990="fee"),'READ ME'!$C$5,"")))</f>
        <v>Income</v>
      </c>
      <c r="J990" t="str">
        <f ca="1">SUBSTITUTE(IF(LEN(I990)=0,Taostats_CSV!F990&amp;" "&amp;Taostats_CSV!J990,IF(I990="Cost","Extrinsic fee","")),"_"," ")</f>
        <v/>
      </c>
      <c r="K990" t="str">
        <f>TRIM(IF(LEN(Taostats_CSV!I990)&gt;0,Taostats_CSV!I990,""))</f>
        <v/>
      </c>
      <c r="L990">
        <f ca="1">IF(Taostats_CSV!E990&lt;&gt;"TAO",IF(LEN(F990)&gt;0,F990,IF(LEN(D990)&gt;0,D990,0))*Taostats_CSV!P990,"")</f>
        <v>4.3309091124494126</v>
      </c>
      <c r="M990" t="str">
        <f t="shared" ca="1" si="105"/>
        <v>USD</v>
      </c>
      <c r="N990">
        <f>COUNTIF(Taostats_CSV!$X:$X,Taostats_CSV!$I990&amp;N$1)</f>
        <v>0</v>
      </c>
      <c r="O990">
        <f>COUNTIF(Taostats_CSV!$X:$X,Taostats_CSV!$I990&amp;O$1)</f>
        <v>0</v>
      </c>
      <c r="P990">
        <f>COUNTIF(Taostats_CSV!$X:$X,Taostats_CSV!$I990&amp;P$1)</f>
        <v>0</v>
      </c>
      <c r="Q990" t="b">
        <f t="shared" si="106"/>
        <v>0</v>
      </c>
      <c r="R990" t="b">
        <f>IF(LEN(K990)&gt;0,COUNTIF($K$3:K990,K990),FALSE)</f>
        <v>0</v>
      </c>
      <c r="S990" t="b">
        <f>IF(Taostats_CSV!A990=Taostats_CSV!$A$2,TRUE,Taostats_CSV!G990+Taostats_CSV!H990+Taostats_CSV!R990=0)</f>
        <v>0</v>
      </c>
      <c r="T990" t="b">
        <f t="shared" si="107"/>
        <v>1</v>
      </c>
      <c r="U990" t="b" cm="1">
        <f t="array" aca="1" ref="U990" ca="1">AND(T990,OR(O990-N990&gt;1,P990&gt;1,ISERROR(A990:P990)))</f>
        <v>0</v>
      </c>
      <c r="W990" t="e">
        <f>MATCH(K990&amp;$W$2,Taostats_CSV!$X$3:$X$1167,0)</f>
        <v>#N/A</v>
      </c>
      <c r="X990" t="e">
        <f t="shared" ca="1" si="102"/>
        <v>#VALUE!</v>
      </c>
      <c r="Y990">
        <f t="shared" ca="1" si="103"/>
        <v>0.147114632</v>
      </c>
      <c r="Z990" t="e">
        <f t="shared" ca="1" si="104"/>
        <v>#VALUE!</v>
      </c>
    </row>
    <row r="991" spans="1:26" x14ac:dyDescent="0.4">
      <c r="A991" t="str">
        <f>MID(Taostats_CSV!C991,6,2)&amp;"/"&amp;MID(Taostats_CSV!C991,9,2)&amp;"/"&amp;LEFT(Taostats_CSV!C991,4)&amp;" "&amp;MID(Taostats_CSV!C991,12,8)</f>
        <v>09/24/2025 23:59:48</v>
      </c>
      <c r="C991" t="str">
        <f ca="1">IF(Q991,OFFSET(Taostats_CSV!$E$1,MATCH(K991&amp;D$1,Taostats_CSV!$X:$X,0)-1,0),IF(Taostats_CSV!F991="fee",IF(VALUE(Taostats_CSV!G991)&gt;0,Taostats_CSV!E991,""),""))</f>
        <v/>
      </c>
      <c r="D991" t="str">
        <f ca="1">IF(Q991,OFFSET(Taostats_CSV!$G$1,MATCH(K991&amp;D$1,Taostats_CSV!$X:$X,0)-1,0),IF(Taostats_CSV!F991="fee",IF(VALUE(Taostats_CSV!G991)&gt;0,Taostats_CSV!G991,""),""))</f>
        <v/>
      </c>
      <c r="E991" t="str">
        <f ca="1">IF(AND(Q991,P991&gt;0),OFFSET(Taostats_CSV!$E$1,MATCH(K991&amp;F$1,Taostats_CSV!$X:$X,0)-1,0),IF(LEN(F991)&gt;0,Taostats_CSV!E991,""))</f>
        <v>TAO</v>
      </c>
      <c r="F991" t="str">
        <f ca="1">TRIM(IF(AND(Q991,P991&gt;0),OFFSET(Taostats_CSV!$H$1,MATCH(K991&amp;F$1,Taostats_CSV!$X:$X,0)-1,0),IF(LEN(Taostats_CSV!H991)&gt;0,Taostats_CSV!H991,Taostats_CSV!R991)))</f>
        <v>0.009333171</v>
      </c>
      <c r="G991" t="str">
        <f ca="1">IF(AND(Q991,N991=1),OFFSET(Taostats_CSV!$E$1,MATCH(K991&amp;H$1,Taostats_CSV!$X:$X,0)-1,0),"")</f>
        <v/>
      </c>
      <c r="H991" t="str">
        <f ca="1">IF(AND(Q991,N991=1),OFFSET(Taostats_CSV!$G$1,MATCH(K991&amp;H$1,Taostats_CSV!$X:$X,0)-1,0),"")</f>
        <v/>
      </c>
      <c r="I991" t="str">
        <f ca="1">IF(AND(LEN(K991)=0,LEN(F991)&gt;0),"Income",IF(AND(O991&gt;0,P991&gt;0,C991&lt;&gt;E991),"Trade",IF(AND(NOT(Q991),Taostats_CSV!F991="fee"),'READ ME'!$C$5,"")))</f>
        <v>Income</v>
      </c>
      <c r="J991" t="str">
        <f ca="1">SUBSTITUTE(IF(LEN(I991)=0,Taostats_CSV!F991&amp;" "&amp;Taostats_CSV!J991,IF(I991="Cost","Extrinsic fee","")),"_"," ")</f>
        <v/>
      </c>
      <c r="K991" t="str">
        <f>TRIM(IF(LEN(Taostats_CSV!I991)&gt;0,Taostats_CSV!I991,""))</f>
        <v/>
      </c>
      <c r="L991" t="str">
        <f>IF(Taostats_CSV!E991&lt;&gt;"TAO",IF(LEN(F991)&gt;0,F991,IF(LEN(D991)&gt;0,D991,0))*Taostats_CSV!P991,"")</f>
        <v/>
      </c>
      <c r="M991" t="str">
        <f t="shared" si="105"/>
        <v/>
      </c>
      <c r="N991">
        <f>COUNTIF(Taostats_CSV!$X:$X,Taostats_CSV!$I991&amp;N$1)</f>
        <v>0</v>
      </c>
      <c r="O991">
        <f>COUNTIF(Taostats_CSV!$X:$X,Taostats_CSV!$I991&amp;O$1)</f>
        <v>0</v>
      </c>
      <c r="P991">
        <f>COUNTIF(Taostats_CSV!$X:$X,Taostats_CSV!$I991&amp;P$1)</f>
        <v>0</v>
      </c>
      <c r="Q991" t="b">
        <f t="shared" si="106"/>
        <v>0</v>
      </c>
      <c r="R991" t="b">
        <f>IF(LEN(K991)&gt;0,COUNTIF($K$3:K991,K991),FALSE)</f>
        <v>0</v>
      </c>
      <c r="S991" t="b">
        <f>IF(Taostats_CSV!A991=Taostats_CSV!$A$2,TRUE,Taostats_CSV!G991+Taostats_CSV!H991+Taostats_CSV!R991=0)</f>
        <v>0</v>
      </c>
      <c r="T991" t="b">
        <f t="shared" si="107"/>
        <v>1</v>
      </c>
      <c r="U991" t="b" cm="1">
        <f t="array" aca="1" ref="U991" ca="1">AND(T991,OR(O991-N991&gt;1,P991&gt;1,ISERROR(A991:P991)))</f>
        <v>0</v>
      </c>
      <c r="W991" t="e">
        <f>MATCH(K991&amp;$W$2,Taostats_CSV!$X$3:$X$1167,0)</f>
        <v>#N/A</v>
      </c>
      <c r="X991" t="e">
        <f t="shared" ca="1" si="102"/>
        <v>#VALUE!</v>
      </c>
      <c r="Y991">
        <f t="shared" ca="1" si="103"/>
        <v>9.3331709999999995E-3</v>
      </c>
      <c r="Z991" t="e">
        <f t="shared" ca="1" si="104"/>
        <v>#VALUE!</v>
      </c>
    </row>
    <row r="992" spans="1:26" x14ac:dyDescent="0.4">
      <c r="A992" t="str">
        <f>MID(Taostats_CSV!C992,6,2)&amp;"/"&amp;MID(Taostats_CSV!C992,9,2)&amp;"/"&amp;LEFT(Taostats_CSV!C992,4)&amp;" "&amp;MID(Taostats_CSV!C992,12,8)</f>
        <v>09/25/2025 23:59:48</v>
      </c>
      <c r="C992" t="str">
        <f ca="1">IF(Q992,OFFSET(Taostats_CSV!$E$1,MATCH(K992&amp;D$1,Taostats_CSV!$X:$X,0)-1,0),IF(Taostats_CSV!F992="fee",IF(VALUE(Taostats_CSV!G992)&gt;0,Taostats_CSV!E992,""),""))</f>
        <v/>
      </c>
      <c r="D992" t="str">
        <f ca="1">IF(Q992,OFFSET(Taostats_CSV!$G$1,MATCH(K992&amp;D$1,Taostats_CSV!$X:$X,0)-1,0),IF(Taostats_CSV!F992="fee",IF(VALUE(Taostats_CSV!G992)&gt;0,Taostats_CSV!G992,""),""))</f>
        <v/>
      </c>
      <c r="E992" t="str">
        <f ca="1">IF(AND(Q992,P992&gt;0),OFFSET(Taostats_CSV!$E$1,MATCH(K992&amp;F$1,Taostats_CSV!$X:$X,0)-1,0),IF(LEN(F992)&gt;0,Taostats_CSV!E992,""))</f>
        <v>SN3</v>
      </c>
      <c r="F992" t="str">
        <f ca="1">TRIM(IF(AND(Q992,P992&gt;0),OFFSET(Taostats_CSV!$H$1,MATCH(K992&amp;F$1,Taostats_CSV!$X:$X,0)-1,0),IF(LEN(Taostats_CSV!H992)&gt;0,Taostats_CSV!H992,Taostats_CSV!R992)))</f>
        <v>0.483734046</v>
      </c>
      <c r="G992" t="str">
        <f ca="1">IF(AND(Q992,N992=1),OFFSET(Taostats_CSV!$E$1,MATCH(K992&amp;H$1,Taostats_CSV!$X:$X,0)-1,0),"")</f>
        <v/>
      </c>
      <c r="H992" t="str">
        <f ca="1">IF(AND(Q992,N992=1),OFFSET(Taostats_CSV!$G$1,MATCH(K992&amp;H$1,Taostats_CSV!$X:$X,0)-1,0),"")</f>
        <v/>
      </c>
      <c r="I992" t="str">
        <f ca="1">IF(AND(LEN(K992)=0,LEN(F992)&gt;0),"Income",IF(AND(O992&gt;0,P992&gt;0,C992&lt;&gt;E992),"Trade",IF(AND(NOT(Q992),Taostats_CSV!F992="fee"),'READ ME'!$C$5,"")))</f>
        <v>Income</v>
      </c>
      <c r="J992" t="str">
        <f ca="1">SUBSTITUTE(IF(LEN(I992)=0,Taostats_CSV!F992&amp;" "&amp;Taostats_CSV!J992,IF(I992="Cost","Extrinsic fee","")),"_"," ")</f>
        <v/>
      </c>
      <c r="K992" t="str">
        <f>TRIM(IF(LEN(Taostats_CSV!I992)&gt;0,Taostats_CSV!I992,""))</f>
        <v/>
      </c>
      <c r="L992">
        <f ca="1">IF(Taostats_CSV!E992&lt;&gt;"TAO",IF(LEN(F992)&gt;0,F992,IF(LEN(D992)&gt;0,D992,0))*Taostats_CSV!P992,"")</f>
        <v>4.9590810758201895</v>
      </c>
      <c r="M992" t="str">
        <f t="shared" ca="1" si="105"/>
        <v>USD</v>
      </c>
      <c r="N992">
        <f>COUNTIF(Taostats_CSV!$X:$X,Taostats_CSV!$I992&amp;N$1)</f>
        <v>0</v>
      </c>
      <c r="O992">
        <f>COUNTIF(Taostats_CSV!$X:$X,Taostats_CSV!$I992&amp;O$1)</f>
        <v>0</v>
      </c>
      <c r="P992">
        <f>COUNTIF(Taostats_CSV!$X:$X,Taostats_CSV!$I992&amp;P$1)</f>
        <v>0</v>
      </c>
      <c r="Q992" t="b">
        <f t="shared" si="106"/>
        <v>0</v>
      </c>
      <c r="R992" t="b">
        <f>IF(LEN(K992)&gt;0,COUNTIF($K$3:K992,K992),FALSE)</f>
        <v>0</v>
      </c>
      <c r="S992" t="b">
        <f>IF(Taostats_CSV!A992=Taostats_CSV!$A$2,TRUE,Taostats_CSV!G992+Taostats_CSV!H992+Taostats_CSV!R992=0)</f>
        <v>0</v>
      </c>
      <c r="T992" t="b">
        <f t="shared" si="107"/>
        <v>1</v>
      </c>
      <c r="U992" t="b" cm="1">
        <f t="array" aca="1" ref="U992" ca="1">AND(T992,OR(O992-N992&gt;1,P992&gt;1,ISERROR(A992:P992)))</f>
        <v>0</v>
      </c>
      <c r="W992" t="e">
        <f>MATCH(K992&amp;$W$2,Taostats_CSV!$X$3:$X$1167,0)</f>
        <v>#N/A</v>
      </c>
      <c r="X992" t="e">
        <f t="shared" ca="1" si="102"/>
        <v>#VALUE!</v>
      </c>
      <c r="Y992">
        <f t="shared" ca="1" si="103"/>
        <v>0.48373404599999997</v>
      </c>
      <c r="Z992" t="e">
        <f t="shared" ca="1" si="104"/>
        <v>#VALUE!</v>
      </c>
    </row>
    <row r="993" spans="1:26" x14ac:dyDescent="0.4">
      <c r="A993" t="str">
        <f>MID(Taostats_CSV!C993,6,2)&amp;"/"&amp;MID(Taostats_CSV!C993,9,2)&amp;"/"&amp;LEFT(Taostats_CSV!C993,4)&amp;" "&amp;MID(Taostats_CSV!C993,12,8)</f>
        <v>09/25/2025 23:59:48</v>
      </c>
      <c r="C993" t="str">
        <f ca="1">IF(Q993,OFFSET(Taostats_CSV!$E$1,MATCH(K993&amp;D$1,Taostats_CSV!$X:$X,0)-1,0),IF(Taostats_CSV!F993="fee",IF(VALUE(Taostats_CSV!G993)&gt;0,Taostats_CSV!E993,""),""))</f>
        <v/>
      </c>
      <c r="D993" t="str">
        <f ca="1">IF(Q993,OFFSET(Taostats_CSV!$G$1,MATCH(K993&amp;D$1,Taostats_CSV!$X:$X,0)-1,0),IF(Taostats_CSV!F993="fee",IF(VALUE(Taostats_CSV!G993)&gt;0,Taostats_CSV!G993,""),""))</f>
        <v/>
      </c>
      <c r="E993" t="str">
        <f ca="1">IF(AND(Q993,P993&gt;0),OFFSET(Taostats_CSV!$E$1,MATCH(K993&amp;F$1,Taostats_CSV!$X:$X,0)-1,0),IF(LEN(F993)&gt;0,Taostats_CSV!E993,""))</f>
        <v>SN4</v>
      </c>
      <c r="F993" t="str">
        <f ca="1">TRIM(IF(AND(Q993,P993&gt;0),OFFSET(Taostats_CSV!$H$1,MATCH(K993&amp;F$1,Taostats_CSV!$X:$X,0)-1,0),IF(LEN(Taostats_CSV!H993)&gt;0,Taostats_CSV!H993,Taostats_CSV!R993)))</f>
        <v>0.424503051</v>
      </c>
      <c r="G993" t="str">
        <f ca="1">IF(AND(Q993,N993=1),OFFSET(Taostats_CSV!$E$1,MATCH(K993&amp;H$1,Taostats_CSV!$X:$X,0)-1,0),"")</f>
        <v/>
      </c>
      <c r="H993" t="str">
        <f ca="1">IF(AND(Q993,N993=1),OFFSET(Taostats_CSV!$G$1,MATCH(K993&amp;H$1,Taostats_CSV!$X:$X,0)-1,0),"")</f>
        <v/>
      </c>
      <c r="I993" t="str">
        <f ca="1">IF(AND(LEN(K993)=0,LEN(F993)&gt;0),"Income",IF(AND(O993&gt;0,P993&gt;0,C993&lt;&gt;E993),"Trade",IF(AND(NOT(Q993),Taostats_CSV!F993="fee"),'READ ME'!$C$5,"")))</f>
        <v>Income</v>
      </c>
      <c r="J993" t="str">
        <f ca="1">SUBSTITUTE(IF(LEN(I993)=0,Taostats_CSV!F993&amp;" "&amp;Taostats_CSV!J993,IF(I993="Cost","Extrinsic fee","")),"_"," ")</f>
        <v/>
      </c>
      <c r="K993" t="str">
        <f>TRIM(IF(LEN(Taostats_CSV!I993)&gt;0,Taostats_CSV!I993,""))</f>
        <v/>
      </c>
      <c r="L993">
        <f ca="1">IF(Taostats_CSV!E993&lt;&gt;"TAO",IF(LEN(F993)&gt;0,F993,IF(LEN(D993)&gt;0,D993,0))*Taostats_CSV!P993,"")</f>
        <v>5.9486544690755032</v>
      </c>
      <c r="M993" t="str">
        <f t="shared" ca="1" si="105"/>
        <v>USD</v>
      </c>
      <c r="N993">
        <f>COUNTIF(Taostats_CSV!$X:$X,Taostats_CSV!$I993&amp;N$1)</f>
        <v>0</v>
      </c>
      <c r="O993">
        <f>COUNTIF(Taostats_CSV!$X:$X,Taostats_CSV!$I993&amp;O$1)</f>
        <v>0</v>
      </c>
      <c r="P993">
        <f>COUNTIF(Taostats_CSV!$X:$X,Taostats_CSV!$I993&amp;P$1)</f>
        <v>0</v>
      </c>
      <c r="Q993" t="b">
        <f t="shared" si="106"/>
        <v>0</v>
      </c>
      <c r="R993" t="b">
        <f>IF(LEN(K993)&gt;0,COUNTIF($K$3:K993,K993),FALSE)</f>
        <v>0</v>
      </c>
      <c r="S993" t="b">
        <f>IF(Taostats_CSV!A993=Taostats_CSV!$A$2,TRUE,Taostats_CSV!G993+Taostats_CSV!H993+Taostats_CSV!R993=0)</f>
        <v>0</v>
      </c>
      <c r="T993" t="b">
        <f t="shared" si="107"/>
        <v>1</v>
      </c>
      <c r="U993" t="b" cm="1">
        <f t="array" aca="1" ref="U993" ca="1">AND(T993,OR(O993-N993&gt;1,P993&gt;1,ISERROR(A993:P993)))</f>
        <v>0</v>
      </c>
      <c r="W993" t="e">
        <f>MATCH(K993&amp;$W$2,Taostats_CSV!$X$3:$X$1167,0)</f>
        <v>#N/A</v>
      </c>
      <c r="X993" t="e">
        <f t="shared" ca="1" si="102"/>
        <v>#VALUE!</v>
      </c>
      <c r="Y993">
        <f t="shared" ca="1" si="103"/>
        <v>0.42450305100000002</v>
      </c>
      <c r="Z993" t="e">
        <f t="shared" ca="1" si="104"/>
        <v>#VALUE!</v>
      </c>
    </row>
    <row r="994" spans="1:26" x14ac:dyDescent="0.4">
      <c r="A994" t="str">
        <f>MID(Taostats_CSV!C994,6,2)&amp;"/"&amp;MID(Taostats_CSV!C994,9,2)&amp;"/"&amp;LEFT(Taostats_CSV!C994,4)&amp;" "&amp;MID(Taostats_CSV!C994,12,8)</f>
        <v>09/25/2025 23:59:48</v>
      </c>
      <c r="C994" t="str">
        <f ca="1">IF(Q994,OFFSET(Taostats_CSV!$E$1,MATCH(K994&amp;D$1,Taostats_CSV!$X:$X,0)-1,0),IF(Taostats_CSV!F994="fee",IF(VALUE(Taostats_CSV!G994)&gt;0,Taostats_CSV!E994,""),""))</f>
        <v/>
      </c>
      <c r="D994" t="str">
        <f ca="1">IF(Q994,OFFSET(Taostats_CSV!$G$1,MATCH(K994&amp;D$1,Taostats_CSV!$X:$X,0)-1,0),IF(Taostats_CSV!F994="fee",IF(VALUE(Taostats_CSV!G994)&gt;0,Taostats_CSV!G994,""),""))</f>
        <v/>
      </c>
      <c r="E994" t="str">
        <f ca="1">IF(AND(Q994,P994&gt;0),OFFSET(Taostats_CSV!$E$1,MATCH(K994&amp;F$1,Taostats_CSV!$X:$X,0)-1,0),IF(LEN(F994)&gt;0,Taostats_CSV!E994,""))</f>
        <v>SN56</v>
      </c>
      <c r="F994" t="str">
        <f ca="1">TRIM(IF(AND(Q994,P994&gt;0),OFFSET(Taostats_CSV!$H$1,MATCH(K994&amp;F$1,Taostats_CSV!$X:$X,0)-1,0),IF(LEN(Taostats_CSV!H994)&gt;0,Taostats_CSV!H994,Taostats_CSV!R994)))</f>
        <v>0.294854896</v>
      </c>
      <c r="G994" t="str">
        <f ca="1">IF(AND(Q994,N994=1),OFFSET(Taostats_CSV!$E$1,MATCH(K994&amp;H$1,Taostats_CSV!$X:$X,0)-1,0),"")</f>
        <v/>
      </c>
      <c r="H994" t="str">
        <f ca="1">IF(AND(Q994,N994=1),OFFSET(Taostats_CSV!$G$1,MATCH(K994&amp;H$1,Taostats_CSV!$X:$X,0)-1,0),"")</f>
        <v/>
      </c>
      <c r="I994" t="str">
        <f ca="1">IF(AND(LEN(K994)=0,LEN(F994)&gt;0),"Income",IF(AND(O994&gt;0,P994&gt;0,C994&lt;&gt;E994),"Trade",IF(AND(NOT(Q994),Taostats_CSV!F994="fee"),'READ ME'!$C$5,"")))</f>
        <v>Income</v>
      </c>
      <c r="J994" t="str">
        <f ca="1">SUBSTITUTE(IF(LEN(I994)=0,Taostats_CSV!F994&amp;" "&amp;Taostats_CSV!J994,IF(I994="Cost","Extrinsic fee","")),"_"," ")</f>
        <v/>
      </c>
      <c r="K994" t="str">
        <f>TRIM(IF(LEN(Taostats_CSV!I994)&gt;0,Taostats_CSV!I994,""))</f>
        <v/>
      </c>
      <c r="L994">
        <f ca="1">IF(Taostats_CSV!E994&lt;&gt;"TAO",IF(LEN(F994)&gt;0,F994,IF(LEN(D994)&gt;0,D994,0))*Taostats_CSV!P994,"")</f>
        <v>3.4571641100408974</v>
      </c>
      <c r="M994" t="str">
        <f t="shared" ca="1" si="105"/>
        <v>USD</v>
      </c>
      <c r="N994">
        <f>COUNTIF(Taostats_CSV!$X:$X,Taostats_CSV!$I994&amp;N$1)</f>
        <v>0</v>
      </c>
      <c r="O994">
        <f>COUNTIF(Taostats_CSV!$X:$X,Taostats_CSV!$I994&amp;O$1)</f>
        <v>0</v>
      </c>
      <c r="P994">
        <f>COUNTIF(Taostats_CSV!$X:$X,Taostats_CSV!$I994&amp;P$1)</f>
        <v>0</v>
      </c>
      <c r="Q994" t="b">
        <f t="shared" si="106"/>
        <v>0</v>
      </c>
      <c r="R994" t="b">
        <f>IF(LEN(K994)&gt;0,COUNTIF($K$3:K994,K994),FALSE)</f>
        <v>0</v>
      </c>
      <c r="S994" t="b">
        <f>IF(Taostats_CSV!A994=Taostats_CSV!$A$2,TRUE,Taostats_CSV!G994+Taostats_CSV!H994+Taostats_CSV!R994=0)</f>
        <v>0</v>
      </c>
      <c r="T994" t="b">
        <f t="shared" si="107"/>
        <v>1</v>
      </c>
      <c r="U994" t="b" cm="1">
        <f t="array" aca="1" ref="U994" ca="1">AND(T994,OR(O994-N994&gt;1,P994&gt;1,ISERROR(A994:P994)))</f>
        <v>0</v>
      </c>
      <c r="W994" t="e">
        <f>MATCH(K994&amp;$W$2,Taostats_CSV!$X$3:$X$1167,0)</f>
        <v>#N/A</v>
      </c>
      <c r="X994" t="e">
        <f t="shared" ca="1" si="102"/>
        <v>#VALUE!</v>
      </c>
      <c r="Y994">
        <f t="shared" ca="1" si="103"/>
        <v>0.29485489599999998</v>
      </c>
      <c r="Z994" t="e">
        <f t="shared" ca="1" si="104"/>
        <v>#VALUE!</v>
      </c>
    </row>
    <row r="995" spans="1:26" x14ac:dyDescent="0.4">
      <c r="A995" t="str">
        <f>MID(Taostats_CSV!C995,6,2)&amp;"/"&amp;MID(Taostats_CSV!C995,9,2)&amp;"/"&amp;LEFT(Taostats_CSV!C995,4)&amp;" "&amp;MID(Taostats_CSV!C995,12,8)</f>
        <v>09/25/2025 23:59:48</v>
      </c>
      <c r="C995" t="str">
        <f ca="1">IF(Q995,OFFSET(Taostats_CSV!$E$1,MATCH(K995&amp;D$1,Taostats_CSV!$X:$X,0)-1,0),IF(Taostats_CSV!F995="fee",IF(VALUE(Taostats_CSV!G995)&gt;0,Taostats_CSV!E995,""),""))</f>
        <v/>
      </c>
      <c r="D995" t="str">
        <f ca="1">IF(Q995,OFFSET(Taostats_CSV!$G$1,MATCH(K995&amp;D$1,Taostats_CSV!$X:$X,0)-1,0),IF(Taostats_CSV!F995="fee",IF(VALUE(Taostats_CSV!G995)&gt;0,Taostats_CSV!G995,""),""))</f>
        <v/>
      </c>
      <c r="E995" t="str">
        <f ca="1">IF(AND(Q995,P995&gt;0),OFFSET(Taostats_CSV!$E$1,MATCH(K995&amp;F$1,Taostats_CSV!$X:$X,0)-1,0),IF(LEN(F995)&gt;0,Taostats_CSV!E995,""))</f>
        <v>SN64</v>
      </c>
      <c r="F995" t="str">
        <f ca="1">TRIM(IF(AND(Q995,P995&gt;0),OFFSET(Taostats_CSV!$H$1,MATCH(K995&amp;F$1,Taostats_CSV!$X:$X,0)-1,0),IF(LEN(Taostats_CSV!H995)&gt;0,Taostats_CSV!H995,Taostats_CSV!R995)))</f>
        <v>0.149808058</v>
      </c>
      <c r="G995" t="str">
        <f ca="1">IF(AND(Q995,N995=1),OFFSET(Taostats_CSV!$E$1,MATCH(K995&amp;H$1,Taostats_CSV!$X:$X,0)-1,0),"")</f>
        <v/>
      </c>
      <c r="H995" t="str">
        <f ca="1">IF(AND(Q995,N995=1),OFFSET(Taostats_CSV!$G$1,MATCH(K995&amp;H$1,Taostats_CSV!$X:$X,0)-1,0),"")</f>
        <v/>
      </c>
      <c r="I995" t="str">
        <f ca="1">IF(AND(LEN(K995)=0,LEN(F995)&gt;0),"Income",IF(AND(O995&gt;0,P995&gt;0,C995&lt;&gt;E995),"Trade",IF(AND(NOT(Q995),Taostats_CSV!F995="fee"),'READ ME'!$C$5,"")))</f>
        <v>Income</v>
      </c>
      <c r="J995" t="str">
        <f ca="1">SUBSTITUTE(IF(LEN(I995)=0,Taostats_CSV!F995&amp;" "&amp;Taostats_CSV!J995,IF(I995="Cost","Extrinsic fee","")),"_"," ")</f>
        <v/>
      </c>
      <c r="K995" t="str">
        <f>TRIM(IF(LEN(Taostats_CSV!I995)&gt;0,Taostats_CSV!I995,""))</f>
        <v/>
      </c>
      <c r="L995">
        <f ca="1">IF(Taostats_CSV!E995&lt;&gt;"TAO",IF(LEN(F995)&gt;0,F995,IF(LEN(D995)&gt;0,D995,0))*Taostats_CSV!P995,"")</f>
        <v>4.1034387670555024</v>
      </c>
      <c r="M995" t="str">
        <f t="shared" ca="1" si="105"/>
        <v>USD</v>
      </c>
      <c r="N995">
        <f>COUNTIF(Taostats_CSV!$X:$X,Taostats_CSV!$I995&amp;N$1)</f>
        <v>0</v>
      </c>
      <c r="O995">
        <f>COUNTIF(Taostats_CSV!$X:$X,Taostats_CSV!$I995&amp;O$1)</f>
        <v>0</v>
      </c>
      <c r="P995">
        <f>COUNTIF(Taostats_CSV!$X:$X,Taostats_CSV!$I995&amp;P$1)</f>
        <v>0</v>
      </c>
      <c r="Q995" t="b">
        <f t="shared" si="106"/>
        <v>0</v>
      </c>
      <c r="R995" t="b">
        <f>IF(LEN(K995)&gt;0,COUNTIF($K$3:K995,K995),FALSE)</f>
        <v>0</v>
      </c>
      <c r="S995" t="b">
        <f>IF(Taostats_CSV!A995=Taostats_CSV!$A$2,TRUE,Taostats_CSV!G995+Taostats_CSV!H995+Taostats_CSV!R995=0)</f>
        <v>0</v>
      </c>
      <c r="T995" t="b">
        <f t="shared" si="107"/>
        <v>1</v>
      </c>
      <c r="U995" t="b" cm="1">
        <f t="array" aca="1" ref="U995" ca="1">AND(T995,OR(O995-N995&gt;1,P995&gt;1,ISERROR(A995:P995)))</f>
        <v>0</v>
      </c>
      <c r="W995" t="e">
        <f>MATCH(K995&amp;$W$2,Taostats_CSV!$X$3:$X$1167,0)</f>
        <v>#N/A</v>
      </c>
      <c r="X995" t="e">
        <f t="shared" ca="1" si="102"/>
        <v>#VALUE!</v>
      </c>
      <c r="Y995">
        <f t="shared" ca="1" si="103"/>
        <v>0.14980805799999999</v>
      </c>
      <c r="Z995" t="e">
        <f t="shared" ca="1" si="104"/>
        <v>#VALUE!</v>
      </c>
    </row>
    <row r="996" spans="1:26" x14ac:dyDescent="0.4">
      <c r="A996" t="str">
        <f>MID(Taostats_CSV!C996,6,2)&amp;"/"&amp;MID(Taostats_CSV!C996,9,2)&amp;"/"&amp;LEFT(Taostats_CSV!C996,4)&amp;" "&amp;MID(Taostats_CSV!C996,12,8)</f>
        <v>09/25/2025 23:59:48</v>
      </c>
      <c r="C996" t="str">
        <f ca="1">IF(Q996,OFFSET(Taostats_CSV!$E$1,MATCH(K996&amp;D$1,Taostats_CSV!$X:$X,0)-1,0),IF(Taostats_CSV!F996="fee",IF(VALUE(Taostats_CSV!G996)&gt;0,Taostats_CSV!E996,""),""))</f>
        <v/>
      </c>
      <c r="D996" t="str">
        <f ca="1">IF(Q996,OFFSET(Taostats_CSV!$G$1,MATCH(K996&amp;D$1,Taostats_CSV!$X:$X,0)-1,0),IF(Taostats_CSV!F996="fee",IF(VALUE(Taostats_CSV!G996)&gt;0,Taostats_CSV!G996,""),""))</f>
        <v/>
      </c>
      <c r="E996" t="str">
        <f ca="1">IF(AND(Q996,P996&gt;0),OFFSET(Taostats_CSV!$E$1,MATCH(K996&amp;F$1,Taostats_CSV!$X:$X,0)-1,0),IF(LEN(F996)&gt;0,Taostats_CSV!E996,""))</f>
        <v>TAO</v>
      </c>
      <c r="F996" t="str">
        <f ca="1">TRIM(IF(AND(Q996,P996&gt;0),OFFSET(Taostats_CSV!$H$1,MATCH(K996&amp;F$1,Taostats_CSV!$X:$X,0)-1,0),IF(LEN(Taostats_CSV!H996)&gt;0,Taostats_CSV!H996,Taostats_CSV!R996)))</f>
        <v>0.009694675</v>
      </c>
      <c r="G996" t="str">
        <f ca="1">IF(AND(Q996,N996=1),OFFSET(Taostats_CSV!$E$1,MATCH(K996&amp;H$1,Taostats_CSV!$X:$X,0)-1,0),"")</f>
        <v/>
      </c>
      <c r="H996" t="str">
        <f ca="1">IF(AND(Q996,N996=1),OFFSET(Taostats_CSV!$G$1,MATCH(K996&amp;H$1,Taostats_CSV!$X:$X,0)-1,0),"")</f>
        <v/>
      </c>
      <c r="I996" t="str">
        <f ca="1">IF(AND(LEN(K996)=0,LEN(F996)&gt;0),"Income",IF(AND(O996&gt;0,P996&gt;0,C996&lt;&gt;E996),"Trade",IF(AND(NOT(Q996),Taostats_CSV!F996="fee"),'READ ME'!$C$5,"")))</f>
        <v>Income</v>
      </c>
      <c r="J996" t="str">
        <f ca="1">SUBSTITUTE(IF(LEN(I996)=0,Taostats_CSV!F996&amp;" "&amp;Taostats_CSV!J996,IF(I996="Cost","Extrinsic fee","")),"_"," ")</f>
        <v/>
      </c>
      <c r="K996" t="str">
        <f>TRIM(IF(LEN(Taostats_CSV!I996)&gt;0,Taostats_CSV!I996,""))</f>
        <v/>
      </c>
      <c r="L996" t="str">
        <f>IF(Taostats_CSV!E996&lt;&gt;"TAO",IF(LEN(F996)&gt;0,F996,IF(LEN(D996)&gt;0,D996,0))*Taostats_CSV!P996,"")</f>
        <v/>
      </c>
      <c r="M996" t="str">
        <f t="shared" si="105"/>
        <v/>
      </c>
      <c r="N996">
        <f>COUNTIF(Taostats_CSV!$X:$X,Taostats_CSV!$I996&amp;N$1)</f>
        <v>0</v>
      </c>
      <c r="O996">
        <f>COUNTIF(Taostats_CSV!$X:$X,Taostats_CSV!$I996&amp;O$1)</f>
        <v>0</v>
      </c>
      <c r="P996">
        <f>COUNTIF(Taostats_CSV!$X:$X,Taostats_CSV!$I996&amp;P$1)</f>
        <v>0</v>
      </c>
      <c r="Q996" t="b">
        <f t="shared" si="106"/>
        <v>0</v>
      </c>
      <c r="R996" t="b">
        <f>IF(LEN(K996)&gt;0,COUNTIF($K$3:K996,K996),FALSE)</f>
        <v>0</v>
      </c>
      <c r="S996" t="b">
        <f>IF(Taostats_CSV!A996=Taostats_CSV!$A$2,TRUE,Taostats_CSV!G996+Taostats_CSV!H996+Taostats_CSV!R996=0)</f>
        <v>0</v>
      </c>
      <c r="T996" t="b">
        <f t="shared" si="107"/>
        <v>1</v>
      </c>
      <c r="U996" t="b" cm="1">
        <f t="array" aca="1" ref="U996" ca="1">AND(T996,OR(O996-N996&gt;1,P996&gt;1,ISERROR(A996:P996)))</f>
        <v>0</v>
      </c>
      <c r="W996" t="e">
        <f>MATCH(K996&amp;$W$2,Taostats_CSV!$X$3:$X$1167,0)</f>
        <v>#N/A</v>
      </c>
      <c r="X996" t="e">
        <f t="shared" ca="1" si="102"/>
        <v>#VALUE!</v>
      </c>
      <c r="Y996">
        <f t="shared" ca="1" si="103"/>
        <v>9.6946749999999998E-3</v>
      </c>
      <c r="Z996" t="e">
        <f t="shared" ca="1" si="104"/>
        <v>#VALUE!</v>
      </c>
    </row>
    <row r="997" spans="1:26" x14ac:dyDescent="0.4">
      <c r="A997" t="str">
        <f>MID(Taostats_CSV!C997,6,2)&amp;"/"&amp;MID(Taostats_CSV!C997,9,2)&amp;"/"&amp;LEFT(Taostats_CSV!C997,4)&amp;" "&amp;MID(Taostats_CSV!C997,12,8)</f>
        <v>09/26/2025 23:59:48</v>
      </c>
      <c r="C997" t="str">
        <f ca="1">IF(Q997,OFFSET(Taostats_CSV!$E$1,MATCH(K997&amp;D$1,Taostats_CSV!$X:$X,0)-1,0),IF(Taostats_CSV!F997="fee",IF(VALUE(Taostats_CSV!G997)&gt;0,Taostats_CSV!E997,""),""))</f>
        <v/>
      </c>
      <c r="D997" t="str">
        <f ca="1">IF(Q997,OFFSET(Taostats_CSV!$G$1,MATCH(K997&amp;D$1,Taostats_CSV!$X:$X,0)-1,0),IF(Taostats_CSV!F997="fee",IF(VALUE(Taostats_CSV!G997)&gt;0,Taostats_CSV!G997,""),""))</f>
        <v/>
      </c>
      <c r="E997" t="str">
        <f ca="1">IF(AND(Q997,P997&gt;0),OFFSET(Taostats_CSV!$E$1,MATCH(K997&amp;F$1,Taostats_CSV!$X:$X,0)-1,0),IF(LEN(F997)&gt;0,Taostats_CSV!E997,""))</f>
        <v>SN3</v>
      </c>
      <c r="F997" t="str">
        <f ca="1">TRIM(IF(AND(Q997,P997&gt;0),OFFSET(Taostats_CSV!$H$1,MATCH(K997&amp;F$1,Taostats_CSV!$X:$X,0)-1,0),IF(LEN(Taostats_CSV!H997)&gt;0,Taostats_CSV!H997,Taostats_CSV!R997)))</f>
        <v>0.48501805</v>
      </c>
      <c r="G997" t="str">
        <f ca="1">IF(AND(Q997,N997=1),OFFSET(Taostats_CSV!$E$1,MATCH(K997&amp;H$1,Taostats_CSV!$X:$X,0)-1,0),"")</f>
        <v/>
      </c>
      <c r="H997" t="str">
        <f ca="1">IF(AND(Q997,N997=1),OFFSET(Taostats_CSV!$G$1,MATCH(K997&amp;H$1,Taostats_CSV!$X:$X,0)-1,0),"")</f>
        <v/>
      </c>
      <c r="I997" t="str">
        <f ca="1">IF(AND(LEN(K997)=0,LEN(F997)&gt;0),"Income",IF(AND(O997&gt;0,P997&gt;0,C997&lt;&gt;E997),"Trade",IF(AND(NOT(Q997),Taostats_CSV!F997="fee"),'READ ME'!$C$5,"")))</f>
        <v>Income</v>
      </c>
      <c r="J997" t="str">
        <f ca="1">SUBSTITUTE(IF(LEN(I997)=0,Taostats_CSV!F997&amp;" "&amp;Taostats_CSV!J997,IF(I997="Cost","Extrinsic fee","")),"_"," ")</f>
        <v/>
      </c>
      <c r="K997" t="str">
        <f>TRIM(IF(LEN(Taostats_CSV!I997)&gt;0,Taostats_CSV!I997,""))</f>
        <v/>
      </c>
      <c r="L997">
        <f ca="1">IF(Taostats_CSV!E997&lt;&gt;"TAO",IF(LEN(F997)&gt;0,F997,IF(LEN(D997)&gt;0,D997,0))*Taostats_CSV!P997,"")</f>
        <v>5.02051260007216</v>
      </c>
      <c r="M997" t="str">
        <f t="shared" ca="1" si="105"/>
        <v>USD</v>
      </c>
      <c r="N997">
        <f>COUNTIF(Taostats_CSV!$X:$X,Taostats_CSV!$I997&amp;N$1)</f>
        <v>0</v>
      </c>
      <c r="O997">
        <f>COUNTIF(Taostats_CSV!$X:$X,Taostats_CSV!$I997&amp;O$1)</f>
        <v>0</v>
      </c>
      <c r="P997">
        <f>COUNTIF(Taostats_CSV!$X:$X,Taostats_CSV!$I997&amp;P$1)</f>
        <v>0</v>
      </c>
      <c r="Q997" t="b">
        <f t="shared" si="106"/>
        <v>0</v>
      </c>
      <c r="R997" t="b">
        <f>IF(LEN(K997)&gt;0,COUNTIF($K$3:K997,K997),FALSE)</f>
        <v>0</v>
      </c>
      <c r="S997" t="b">
        <f>IF(Taostats_CSV!A997=Taostats_CSV!$A$2,TRUE,Taostats_CSV!G997+Taostats_CSV!H997+Taostats_CSV!R997=0)</f>
        <v>0</v>
      </c>
      <c r="T997" t="b">
        <f t="shared" si="107"/>
        <v>1</v>
      </c>
      <c r="U997" t="b" cm="1">
        <f t="array" aca="1" ref="U997" ca="1">AND(T997,OR(O997-N997&gt;1,P997&gt;1,ISERROR(A997:P997)))</f>
        <v>0</v>
      </c>
      <c r="W997" t="e">
        <f>MATCH(K997&amp;$W$2,Taostats_CSV!$X$3:$X$1167,0)</f>
        <v>#N/A</v>
      </c>
      <c r="X997" t="e">
        <f t="shared" ca="1" si="102"/>
        <v>#VALUE!</v>
      </c>
      <c r="Y997">
        <f t="shared" ca="1" si="103"/>
        <v>0.48501804999999998</v>
      </c>
      <c r="Z997" t="e">
        <f t="shared" ca="1" si="104"/>
        <v>#VALUE!</v>
      </c>
    </row>
    <row r="998" spans="1:26" x14ac:dyDescent="0.4">
      <c r="A998" t="str">
        <f>MID(Taostats_CSV!C998,6,2)&amp;"/"&amp;MID(Taostats_CSV!C998,9,2)&amp;"/"&amp;LEFT(Taostats_CSV!C998,4)&amp;" "&amp;MID(Taostats_CSV!C998,12,8)</f>
        <v>09/26/2025 23:59:48</v>
      </c>
      <c r="C998" t="str">
        <f ca="1">IF(Q998,OFFSET(Taostats_CSV!$E$1,MATCH(K998&amp;D$1,Taostats_CSV!$X:$X,0)-1,0),IF(Taostats_CSV!F998="fee",IF(VALUE(Taostats_CSV!G998)&gt;0,Taostats_CSV!E998,""),""))</f>
        <v/>
      </c>
      <c r="D998" t="str">
        <f ca="1">IF(Q998,OFFSET(Taostats_CSV!$G$1,MATCH(K998&amp;D$1,Taostats_CSV!$X:$X,0)-1,0),IF(Taostats_CSV!F998="fee",IF(VALUE(Taostats_CSV!G998)&gt;0,Taostats_CSV!G998,""),""))</f>
        <v/>
      </c>
      <c r="E998" t="str">
        <f ca="1">IF(AND(Q998,P998&gt;0),OFFSET(Taostats_CSV!$E$1,MATCH(K998&amp;F$1,Taostats_CSV!$X:$X,0)-1,0),IF(LEN(F998)&gt;0,Taostats_CSV!E998,""))</f>
        <v>SN4</v>
      </c>
      <c r="F998" t="str">
        <f ca="1">TRIM(IF(AND(Q998,P998&gt;0),OFFSET(Taostats_CSV!$H$1,MATCH(K998&amp;F$1,Taostats_CSV!$X:$X,0)-1,0),IF(LEN(Taostats_CSV!H998)&gt;0,Taostats_CSV!H998,Taostats_CSV!R998)))</f>
        <v>0.425341145</v>
      </c>
      <c r="G998" t="str">
        <f ca="1">IF(AND(Q998,N998=1),OFFSET(Taostats_CSV!$E$1,MATCH(K998&amp;H$1,Taostats_CSV!$X:$X,0)-1,0),"")</f>
        <v/>
      </c>
      <c r="H998" t="str">
        <f ca="1">IF(AND(Q998,N998=1),OFFSET(Taostats_CSV!$G$1,MATCH(K998&amp;H$1,Taostats_CSV!$X:$X,0)-1,0),"")</f>
        <v/>
      </c>
      <c r="I998" t="str">
        <f ca="1">IF(AND(LEN(K998)=0,LEN(F998)&gt;0),"Income",IF(AND(O998&gt;0,P998&gt;0,C998&lt;&gt;E998),"Trade",IF(AND(NOT(Q998),Taostats_CSV!F998="fee"),'READ ME'!$C$5,"")))</f>
        <v>Income</v>
      </c>
      <c r="J998" t="str">
        <f ca="1">SUBSTITUTE(IF(LEN(I998)=0,Taostats_CSV!F998&amp;" "&amp;Taostats_CSV!J998,IF(I998="Cost","Extrinsic fee","")),"_"," ")</f>
        <v/>
      </c>
      <c r="K998" t="str">
        <f>TRIM(IF(LEN(Taostats_CSV!I998)&gt;0,Taostats_CSV!I998,""))</f>
        <v/>
      </c>
      <c r="L998">
        <f ca="1">IF(Taostats_CSV!E998&lt;&gt;"TAO",IF(LEN(F998)&gt;0,F998,IF(LEN(D998)&gt;0,D998,0))*Taostats_CSV!P998,"")</f>
        <v>6.017171030233162</v>
      </c>
      <c r="M998" t="str">
        <f t="shared" ca="1" si="105"/>
        <v>USD</v>
      </c>
      <c r="N998">
        <f>COUNTIF(Taostats_CSV!$X:$X,Taostats_CSV!$I998&amp;N$1)</f>
        <v>0</v>
      </c>
      <c r="O998">
        <f>COUNTIF(Taostats_CSV!$X:$X,Taostats_CSV!$I998&amp;O$1)</f>
        <v>0</v>
      </c>
      <c r="P998">
        <f>COUNTIF(Taostats_CSV!$X:$X,Taostats_CSV!$I998&amp;P$1)</f>
        <v>0</v>
      </c>
      <c r="Q998" t="b">
        <f t="shared" si="106"/>
        <v>0</v>
      </c>
      <c r="R998" t="b">
        <f>IF(LEN(K998)&gt;0,COUNTIF($K$3:K998,K998),FALSE)</f>
        <v>0</v>
      </c>
      <c r="S998" t="b">
        <f>IF(Taostats_CSV!A998=Taostats_CSV!$A$2,TRUE,Taostats_CSV!G998+Taostats_CSV!H998+Taostats_CSV!R998=0)</f>
        <v>0</v>
      </c>
      <c r="T998" t="b">
        <f t="shared" si="107"/>
        <v>1</v>
      </c>
      <c r="U998" t="b" cm="1">
        <f t="array" aca="1" ref="U998" ca="1">AND(T998,OR(O998-N998&gt;1,P998&gt;1,ISERROR(A998:P998)))</f>
        <v>0</v>
      </c>
      <c r="W998" t="e">
        <f>MATCH(K998&amp;$W$2,Taostats_CSV!$X$3:$X$1167,0)</f>
        <v>#N/A</v>
      </c>
      <c r="X998" t="e">
        <f t="shared" ca="1" si="102"/>
        <v>#VALUE!</v>
      </c>
      <c r="Y998">
        <f t="shared" ca="1" si="103"/>
        <v>0.42534114499999998</v>
      </c>
      <c r="Z998" t="e">
        <f t="shared" ca="1" si="104"/>
        <v>#VALUE!</v>
      </c>
    </row>
    <row r="999" spans="1:26" x14ac:dyDescent="0.4">
      <c r="A999" t="str">
        <f>MID(Taostats_CSV!C999,6,2)&amp;"/"&amp;MID(Taostats_CSV!C999,9,2)&amp;"/"&amp;LEFT(Taostats_CSV!C999,4)&amp;" "&amp;MID(Taostats_CSV!C999,12,8)</f>
        <v>09/26/2025 23:59:48</v>
      </c>
      <c r="C999" t="str">
        <f ca="1">IF(Q999,OFFSET(Taostats_CSV!$E$1,MATCH(K999&amp;D$1,Taostats_CSV!$X:$X,0)-1,0),IF(Taostats_CSV!F999="fee",IF(VALUE(Taostats_CSV!G999)&gt;0,Taostats_CSV!E999,""),""))</f>
        <v/>
      </c>
      <c r="D999" t="str">
        <f ca="1">IF(Q999,OFFSET(Taostats_CSV!$G$1,MATCH(K999&amp;D$1,Taostats_CSV!$X:$X,0)-1,0),IF(Taostats_CSV!F999="fee",IF(VALUE(Taostats_CSV!G999)&gt;0,Taostats_CSV!G999,""),""))</f>
        <v/>
      </c>
      <c r="E999" t="str">
        <f ca="1">IF(AND(Q999,P999&gt;0),OFFSET(Taostats_CSV!$E$1,MATCH(K999&amp;F$1,Taostats_CSV!$X:$X,0)-1,0),IF(LEN(F999)&gt;0,Taostats_CSV!E999,""))</f>
        <v>SN56</v>
      </c>
      <c r="F999" t="str">
        <f ca="1">TRIM(IF(AND(Q999,P999&gt;0),OFFSET(Taostats_CSV!$H$1,MATCH(K999&amp;F$1,Taostats_CSV!$X:$X,0)-1,0),IF(LEN(Taostats_CSV!H999)&gt;0,Taostats_CSV!H999,Taostats_CSV!R999)))</f>
        <v>0.291395916</v>
      </c>
      <c r="G999" t="str">
        <f ca="1">IF(AND(Q999,N999=1),OFFSET(Taostats_CSV!$E$1,MATCH(K999&amp;H$1,Taostats_CSV!$X:$X,0)-1,0),"")</f>
        <v/>
      </c>
      <c r="H999" t="str">
        <f ca="1">IF(AND(Q999,N999=1),OFFSET(Taostats_CSV!$G$1,MATCH(K999&amp;H$1,Taostats_CSV!$X:$X,0)-1,0),"")</f>
        <v/>
      </c>
      <c r="I999" t="str">
        <f ca="1">IF(AND(LEN(K999)=0,LEN(F999)&gt;0),"Income",IF(AND(O999&gt;0,P999&gt;0,C999&lt;&gt;E999),"Trade",IF(AND(NOT(Q999),Taostats_CSV!F999="fee"),'READ ME'!$C$5,"")))</f>
        <v>Income</v>
      </c>
      <c r="J999" t="str">
        <f ca="1">SUBSTITUTE(IF(LEN(I999)=0,Taostats_CSV!F999&amp;" "&amp;Taostats_CSV!J999,IF(I999="Cost","Extrinsic fee","")),"_"," ")</f>
        <v/>
      </c>
      <c r="K999" t="str">
        <f>TRIM(IF(LEN(Taostats_CSV!I999)&gt;0,Taostats_CSV!I999,""))</f>
        <v/>
      </c>
      <c r="L999">
        <f ca="1">IF(Taostats_CSV!E999&lt;&gt;"TAO",IF(LEN(F999)&gt;0,F999,IF(LEN(D999)&gt;0,D999,0))*Taostats_CSV!P999,"")</f>
        <v>3.4306419339944041</v>
      </c>
      <c r="M999" t="str">
        <f t="shared" ca="1" si="105"/>
        <v>USD</v>
      </c>
      <c r="N999">
        <f>COUNTIF(Taostats_CSV!$X:$X,Taostats_CSV!$I999&amp;N$1)</f>
        <v>0</v>
      </c>
      <c r="O999">
        <f>COUNTIF(Taostats_CSV!$X:$X,Taostats_CSV!$I999&amp;O$1)</f>
        <v>0</v>
      </c>
      <c r="P999">
        <f>COUNTIF(Taostats_CSV!$X:$X,Taostats_CSV!$I999&amp;P$1)</f>
        <v>0</v>
      </c>
      <c r="Q999" t="b">
        <f t="shared" si="106"/>
        <v>0</v>
      </c>
      <c r="R999" t="b">
        <f>IF(LEN(K999)&gt;0,COUNTIF($K$3:K999,K999),FALSE)</f>
        <v>0</v>
      </c>
      <c r="S999" t="b">
        <f>IF(Taostats_CSV!A999=Taostats_CSV!$A$2,TRUE,Taostats_CSV!G999+Taostats_CSV!H999+Taostats_CSV!R999=0)</f>
        <v>0</v>
      </c>
      <c r="T999" t="b">
        <f t="shared" si="107"/>
        <v>1</v>
      </c>
      <c r="U999" t="b" cm="1">
        <f t="array" aca="1" ref="U999" ca="1">AND(T999,OR(O999-N999&gt;1,P999&gt;1,ISERROR(A999:P999)))</f>
        <v>0</v>
      </c>
      <c r="W999" t="e">
        <f>MATCH(K999&amp;$W$2,Taostats_CSV!$X$3:$X$1167,0)</f>
        <v>#N/A</v>
      </c>
      <c r="X999" t="e">
        <f t="shared" ca="1" si="102"/>
        <v>#VALUE!</v>
      </c>
      <c r="Y999">
        <f t="shared" ca="1" si="103"/>
        <v>0.29139591599999998</v>
      </c>
      <c r="Z999" t="e">
        <f t="shared" ca="1" si="104"/>
        <v>#VALUE!</v>
      </c>
    </row>
    <row r="1000" spans="1:26" x14ac:dyDescent="0.4">
      <c r="A1000" t="str">
        <f>MID(Taostats_CSV!C1000,6,2)&amp;"/"&amp;MID(Taostats_CSV!C1000,9,2)&amp;"/"&amp;LEFT(Taostats_CSV!C1000,4)&amp;" "&amp;MID(Taostats_CSV!C1000,12,8)</f>
        <v>09/26/2025 23:59:48</v>
      </c>
      <c r="C1000" t="str">
        <f ca="1">IF(Q1000,OFFSET(Taostats_CSV!$E$1,MATCH(K1000&amp;D$1,Taostats_CSV!$X:$X,0)-1,0),IF(Taostats_CSV!F1000="fee",IF(VALUE(Taostats_CSV!G1000)&gt;0,Taostats_CSV!E1000,""),""))</f>
        <v/>
      </c>
      <c r="D1000" t="str">
        <f ca="1">IF(Q1000,OFFSET(Taostats_CSV!$G$1,MATCH(K1000&amp;D$1,Taostats_CSV!$X:$X,0)-1,0),IF(Taostats_CSV!F1000="fee",IF(VALUE(Taostats_CSV!G1000)&gt;0,Taostats_CSV!G1000,""),""))</f>
        <v/>
      </c>
      <c r="E1000" t="str">
        <f ca="1">IF(AND(Q1000,P1000&gt;0),OFFSET(Taostats_CSV!$E$1,MATCH(K1000&amp;F$1,Taostats_CSV!$X:$X,0)-1,0),IF(LEN(F1000)&gt;0,Taostats_CSV!E1000,""))</f>
        <v>SN64</v>
      </c>
      <c r="F1000" t="str">
        <f ca="1">TRIM(IF(AND(Q1000,P1000&gt;0),OFFSET(Taostats_CSV!$H$1,MATCH(K1000&amp;F$1,Taostats_CSV!$X:$X,0)-1,0),IF(LEN(Taostats_CSV!H1000)&gt;0,Taostats_CSV!H1000,Taostats_CSV!R1000)))</f>
        <v>0.151130395</v>
      </c>
      <c r="G1000" t="str">
        <f ca="1">IF(AND(Q1000,N1000=1),OFFSET(Taostats_CSV!$E$1,MATCH(K1000&amp;H$1,Taostats_CSV!$X:$X,0)-1,0),"")</f>
        <v/>
      </c>
      <c r="H1000" t="str">
        <f ca="1">IF(AND(Q1000,N1000=1),OFFSET(Taostats_CSV!$G$1,MATCH(K1000&amp;H$1,Taostats_CSV!$X:$X,0)-1,0),"")</f>
        <v/>
      </c>
      <c r="I1000" t="str">
        <f ca="1">IF(AND(LEN(K1000)=0,LEN(F1000)&gt;0),"Income",IF(AND(O1000&gt;0,P1000&gt;0,C1000&lt;&gt;E1000),"Trade",IF(AND(NOT(Q1000),Taostats_CSV!F1000="fee"),'READ ME'!$C$5,"")))</f>
        <v>Income</v>
      </c>
      <c r="J1000" t="str">
        <f ca="1">SUBSTITUTE(IF(LEN(I1000)=0,Taostats_CSV!F1000&amp;" "&amp;Taostats_CSV!J1000,IF(I1000="Cost","Extrinsic fee","")),"_"," ")</f>
        <v/>
      </c>
      <c r="K1000" t="str">
        <f>TRIM(IF(LEN(Taostats_CSV!I1000)&gt;0,Taostats_CSV!I1000,""))</f>
        <v/>
      </c>
      <c r="L1000">
        <f ca="1">IF(Taostats_CSV!E1000&lt;&gt;"TAO",IF(LEN(F1000)&gt;0,F1000,IF(LEN(D1000)&gt;0,D1000,0))*Taostats_CSV!P1000,"")</f>
        <v>4.1703186358169795</v>
      </c>
      <c r="M1000" t="str">
        <f t="shared" ca="1" si="105"/>
        <v>USD</v>
      </c>
      <c r="N1000">
        <f>COUNTIF(Taostats_CSV!$X:$X,Taostats_CSV!$I1000&amp;N$1)</f>
        <v>0</v>
      </c>
      <c r="O1000">
        <f>COUNTIF(Taostats_CSV!$X:$X,Taostats_CSV!$I1000&amp;O$1)</f>
        <v>0</v>
      </c>
      <c r="P1000">
        <f>COUNTIF(Taostats_CSV!$X:$X,Taostats_CSV!$I1000&amp;P$1)</f>
        <v>0</v>
      </c>
      <c r="Q1000" t="b">
        <f t="shared" si="106"/>
        <v>0</v>
      </c>
      <c r="R1000" t="b">
        <f>IF(LEN(K1000)&gt;0,COUNTIF($K$3:K1000,K1000),FALSE)</f>
        <v>0</v>
      </c>
      <c r="S1000" t="b">
        <f>IF(Taostats_CSV!A1000=Taostats_CSV!$A$2,TRUE,Taostats_CSV!G1000+Taostats_CSV!H1000+Taostats_CSV!R1000=0)</f>
        <v>0</v>
      </c>
      <c r="T1000" t="b">
        <f t="shared" si="107"/>
        <v>1</v>
      </c>
      <c r="U1000" t="b" cm="1">
        <f t="array" aca="1" ref="U1000" ca="1">AND(T1000,OR(O1000-N1000&gt;1,P1000&gt;1,ISERROR(A1000:P1000)))</f>
        <v>0</v>
      </c>
      <c r="W1000" t="e">
        <f>MATCH(K1000&amp;$W$2,Taostats_CSV!$X$3:$X$1167,0)</f>
        <v>#N/A</v>
      </c>
      <c r="X1000" t="e">
        <f t="shared" ca="1" si="102"/>
        <v>#VALUE!</v>
      </c>
      <c r="Y1000">
        <f t="shared" ca="1" si="103"/>
        <v>0.151130395</v>
      </c>
      <c r="Z1000" t="e">
        <f t="shared" ca="1" si="104"/>
        <v>#VALUE!</v>
      </c>
    </row>
    <row r="1001" spans="1:26" x14ac:dyDescent="0.4">
      <c r="A1001" t="str">
        <f>MID(Taostats_CSV!C1001,6,2)&amp;"/"&amp;MID(Taostats_CSV!C1001,9,2)&amp;"/"&amp;LEFT(Taostats_CSV!C1001,4)&amp;" "&amp;MID(Taostats_CSV!C1001,12,8)</f>
        <v>09/26/2025 23:59:48</v>
      </c>
      <c r="C1001" t="str">
        <f ca="1">IF(Q1001,OFFSET(Taostats_CSV!$E$1,MATCH(K1001&amp;D$1,Taostats_CSV!$X:$X,0)-1,0),IF(Taostats_CSV!F1001="fee",IF(VALUE(Taostats_CSV!G1001)&gt;0,Taostats_CSV!E1001,""),""))</f>
        <v/>
      </c>
      <c r="D1001" t="str">
        <f ca="1">IF(Q1001,OFFSET(Taostats_CSV!$G$1,MATCH(K1001&amp;D$1,Taostats_CSV!$X:$X,0)-1,0),IF(Taostats_CSV!F1001="fee",IF(VALUE(Taostats_CSV!G1001)&gt;0,Taostats_CSV!G1001,""),""))</f>
        <v/>
      </c>
      <c r="E1001" t="str">
        <f ca="1">IF(AND(Q1001,P1001&gt;0),OFFSET(Taostats_CSV!$E$1,MATCH(K1001&amp;F$1,Taostats_CSV!$X:$X,0)-1,0),IF(LEN(F1001)&gt;0,Taostats_CSV!E1001,""))</f>
        <v>TAO</v>
      </c>
      <c r="F1001" t="str">
        <f ca="1">TRIM(IF(AND(Q1001,P1001&gt;0),OFFSET(Taostats_CSV!$H$1,MATCH(K1001&amp;F$1,Taostats_CSV!$X:$X,0)-1,0),IF(LEN(Taostats_CSV!H1001)&gt;0,Taostats_CSV!H1001,Taostats_CSV!R1001)))</f>
        <v>0.009777805</v>
      </c>
      <c r="G1001" t="str">
        <f ca="1">IF(AND(Q1001,N1001=1),OFFSET(Taostats_CSV!$E$1,MATCH(K1001&amp;H$1,Taostats_CSV!$X:$X,0)-1,0),"")</f>
        <v/>
      </c>
      <c r="H1001" t="str">
        <f ca="1">IF(AND(Q1001,N1001=1),OFFSET(Taostats_CSV!$G$1,MATCH(K1001&amp;H$1,Taostats_CSV!$X:$X,0)-1,0),"")</f>
        <v/>
      </c>
      <c r="I1001" t="str">
        <f ca="1">IF(AND(LEN(K1001)=0,LEN(F1001)&gt;0),"Income",IF(AND(O1001&gt;0,P1001&gt;0,C1001&lt;&gt;E1001),"Trade",IF(AND(NOT(Q1001),Taostats_CSV!F1001="fee"),'READ ME'!$C$5,"")))</f>
        <v>Income</v>
      </c>
      <c r="J1001" t="str">
        <f ca="1">SUBSTITUTE(IF(LEN(I1001)=0,Taostats_CSV!F1001&amp;" "&amp;Taostats_CSV!J1001,IF(I1001="Cost","Extrinsic fee","")),"_"," ")</f>
        <v/>
      </c>
      <c r="K1001" t="str">
        <f>TRIM(IF(LEN(Taostats_CSV!I1001)&gt;0,Taostats_CSV!I1001,""))</f>
        <v/>
      </c>
      <c r="L1001" t="str">
        <f>IF(Taostats_CSV!E1001&lt;&gt;"TAO",IF(LEN(F1001)&gt;0,F1001,IF(LEN(D1001)&gt;0,D1001,0))*Taostats_CSV!P1001,"")</f>
        <v/>
      </c>
      <c r="M1001" t="str">
        <f t="shared" si="105"/>
        <v/>
      </c>
      <c r="N1001">
        <f>COUNTIF(Taostats_CSV!$X:$X,Taostats_CSV!$I1001&amp;N$1)</f>
        <v>0</v>
      </c>
      <c r="O1001">
        <f>COUNTIF(Taostats_CSV!$X:$X,Taostats_CSV!$I1001&amp;O$1)</f>
        <v>0</v>
      </c>
      <c r="P1001">
        <f>COUNTIF(Taostats_CSV!$X:$X,Taostats_CSV!$I1001&amp;P$1)</f>
        <v>0</v>
      </c>
      <c r="Q1001" t="b">
        <f t="shared" si="106"/>
        <v>0</v>
      </c>
      <c r="R1001" t="b">
        <f>IF(LEN(K1001)&gt;0,COUNTIF($K$3:K1001,K1001),FALSE)</f>
        <v>0</v>
      </c>
      <c r="S1001" t="b">
        <f>IF(Taostats_CSV!A1001=Taostats_CSV!$A$2,TRUE,Taostats_CSV!G1001+Taostats_CSV!H1001+Taostats_CSV!R1001=0)</f>
        <v>0</v>
      </c>
      <c r="T1001" t="b">
        <f t="shared" si="107"/>
        <v>1</v>
      </c>
      <c r="U1001" t="b" cm="1">
        <f t="array" aca="1" ref="U1001" ca="1">AND(T1001,OR(O1001-N1001&gt;1,P1001&gt;1,ISERROR(A1001:P1001)))</f>
        <v>0</v>
      </c>
      <c r="W1001" t="e">
        <f>MATCH(K1001&amp;$W$2,Taostats_CSV!$X$3:$X$1167,0)</f>
        <v>#N/A</v>
      </c>
      <c r="X1001" t="e">
        <f t="shared" ca="1" si="102"/>
        <v>#VALUE!</v>
      </c>
      <c r="Y1001">
        <f t="shared" ca="1" si="103"/>
        <v>9.7778050000000005E-3</v>
      </c>
      <c r="Z1001" t="e">
        <f t="shared" ca="1" si="104"/>
        <v>#VALUE!</v>
      </c>
    </row>
    <row r="1002" spans="1:26" x14ac:dyDescent="0.4">
      <c r="A1002" t="str">
        <f>MID(Taostats_CSV!C1002,6,2)&amp;"/"&amp;MID(Taostats_CSV!C1002,9,2)&amp;"/"&amp;LEFT(Taostats_CSV!C1002,4)&amp;" "&amp;MID(Taostats_CSV!C1002,12,8)</f>
        <v>09/27/2025 23:59:48</v>
      </c>
      <c r="C1002" t="str">
        <f ca="1">IF(Q1002,OFFSET(Taostats_CSV!$E$1,MATCH(K1002&amp;D$1,Taostats_CSV!$X:$X,0)-1,0),IF(Taostats_CSV!F1002="fee",IF(VALUE(Taostats_CSV!G1002)&gt;0,Taostats_CSV!E1002,""),""))</f>
        <v/>
      </c>
      <c r="D1002" t="str">
        <f ca="1">IF(Q1002,OFFSET(Taostats_CSV!$G$1,MATCH(K1002&amp;D$1,Taostats_CSV!$X:$X,0)-1,0),IF(Taostats_CSV!F1002="fee",IF(VALUE(Taostats_CSV!G1002)&gt;0,Taostats_CSV!G1002,""),""))</f>
        <v/>
      </c>
      <c r="E1002" t="str">
        <f ca="1">IF(AND(Q1002,P1002&gt;0),OFFSET(Taostats_CSV!$E$1,MATCH(K1002&amp;F$1,Taostats_CSV!$X:$X,0)-1,0),IF(LEN(F1002)&gt;0,Taostats_CSV!E1002,""))</f>
        <v>SN3</v>
      </c>
      <c r="F1002" t="str">
        <f ca="1">TRIM(IF(AND(Q1002,P1002&gt;0),OFFSET(Taostats_CSV!$H$1,MATCH(K1002&amp;F$1,Taostats_CSV!$X:$X,0)-1,0),IF(LEN(Taostats_CSV!H1002)&gt;0,Taostats_CSV!H1002,Taostats_CSV!R1002)))</f>
        <v>0.489355892</v>
      </c>
      <c r="G1002" t="str">
        <f ca="1">IF(AND(Q1002,N1002=1),OFFSET(Taostats_CSV!$E$1,MATCH(K1002&amp;H$1,Taostats_CSV!$X:$X,0)-1,0),"")</f>
        <v/>
      </c>
      <c r="H1002" t="str">
        <f ca="1">IF(AND(Q1002,N1002=1),OFFSET(Taostats_CSV!$G$1,MATCH(K1002&amp;H$1,Taostats_CSV!$X:$X,0)-1,0),"")</f>
        <v/>
      </c>
      <c r="I1002" t="str">
        <f ca="1">IF(AND(LEN(K1002)=0,LEN(F1002)&gt;0),"Income",IF(AND(O1002&gt;0,P1002&gt;0,C1002&lt;&gt;E1002),"Trade",IF(AND(NOT(Q1002),Taostats_CSV!F1002="fee"),'READ ME'!$C$5,"")))</f>
        <v>Income</v>
      </c>
      <c r="J1002" t="str">
        <f ca="1">SUBSTITUTE(IF(LEN(I1002)=0,Taostats_CSV!F1002&amp;" "&amp;Taostats_CSV!J1002,IF(I1002="Cost","Extrinsic fee","")),"_"," ")</f>
        <v/>
      </c>
      <c r="K1002" t="str">
        <f>TRIM(IF(LEN(Taostats_CSV!I1002)&gt;0,Taostats_CSV!I1002,""))</f>
        <v/>
      </c>
      <c r="L1002">
        <f ca="1">IF(Taostats_CSV!E1002&lt;&gt;"TAO",IF(LEN(F1002)&gt;0,F1002,IF(LEN(D1002)&gt;0,D1002,0))*Taostats_CSV!P1002,"")</f>
        <v>4.9463048357512758</v>
      </c>
      <c r="M1002" t="str">
        <f t="shared" ca="1" si="105"/>
        <v>USD</v>
      </c>
      <c r="N1002">
        <f>COUNTIF(Taostats_CSV!$X:$X,Taostats_CSV!$I1002&amp;N$1)</f>
        <v>0</v>
      </c>
      <c r="O1002">
        <f>COUNTIF(Taostats_CSV!$X:$X,Taostats_CSV!$I1002&amp;O$1)</f>
        <v>0</v>
      </c>
      <c r="P1002">
        <f>COUNTIF(Taostats_CSV!$X:$X,Taostats_CSV!$I1002&amp;P$1)</f>
        <v>0</v>
      </c>
      <c r="Q1002" t="b">
        <f t="shared" si="106"/>
        <v>0</v>
      </c>
      <c r="R1002" t="b">
        <f>IF(LEN(K1002)&gt;0,COUNTIF($K$3:K1002,K1002),FALSE)</f>
        <v>0</v>
      </c>
      <c r="S1002" t="b">
        <f>IF(Taostats_CSV!A1002=Taostats_CSV!$A$2,TRUE,Taostats_CSV!G1002+Taostats_CSV!H1002+Taostats_CSV!R1002=0)</f>
        <v>0</v>
      </c>
      <c r="T1002" t="b">
        <f t="shared" si="107"/>
        <v>1</v>
      </c>
      <c r="U1002" t="b" cm="1">
        <f t="array" aca="1" ref="U1002" ca="1">AND(T1002,OR(O1002-N1002&gt;1,P1002&gt;1,ISERROR(A1002:P1002)))</f>
        <v>0</v>
      </c>
      <c r="W1002" t="e">
        <f>MATCH(K1002&amp;$W$2,Taostats_CSV!$X$3:$X$1167,0)</f>
        <v>#N/A</v>
      </c>
      <c r="X1002" t="e">
        <f t="shared" ca="1" si="102"/>
        <v>#VALUE!</v>
      </c>
      <c r="Y1002">
        <f t="shared" ca="1" si="103"/>
        <v>0.48935589200000001</v>
      </c>
      <c r="Z1002" t="e">
        <f t="shared" ca="1" si="104"/>
        <v>#VALUE!</v>
      </c>
    </row>
    <row r="1003" spans="1:26" x14ac:dyDescent="0.4">
      <c r="A1003" t="str">
        <f>MID(Taostats_CSV!C1003,6,2)&amp;"/"&amp;MID(Taostats_CSV!C1003,9,2)&amp;"/"&amp;LEFT(Taostats_CSV!C1003,4)&amp;" "&amp;MID(Taostats_CSV!C1003,12,8)</f>
        <v>09/27/2025 23:59:48</v>
      </c>
      <c r="C1003" t="str">
        <f ca="1">IF(Q1003,OFFSET(Taostats_CSV!$E$1,MATCH(K1003&amp;D$1,Taostats_CSV!$X:$X,0)-1,0),IF(Taostats_CSV!F1003="fee",IF(VALUE(Taostats_CSV!G1003)&gt;0,Taostats_CSV!E1003,""),""))</f>
        <v/>
      </c>
      <c r="D1003" t="str">
        <f ca="1">IF(Q1003,OFFSET(Taostats_CSV!$G$1,MATCH(K1003&amp;D$1,Taostats_CSV!$X:$X,0)-1,0),IF(Taostats_CSV!F1003="fee",IF(VALUE(Taostats_CSV!G1003)&gt;0,Taostats_CSV!G1003,""),""))</f>
        <v/>
      </c>
      <c r="E1003" t="str">
        <f ca="1">IF(AND(Q1003,P1003&gt;0),OFFSET(Taostats_CSV!$E$1,MATCH(K1003&amp;F$1,Taostats_CSV!$X:$X,0)-1,0),IF(LEN(F1003)&gt;0,Taostats_CSV!E1003,""))</f>
        <v>SN4</v>
      </c>
      <c r="F1003" t="str">
        <f ca="1">TRIM(IF(AND(Q1003,P1003&gt;0),OFFSET(Taostats_CSV!$H$1,MATCH(K1003&amp;F$1,Taostats_CSV!$X:$X,0)-1,0),IF(LEN(Taostats_CSV!H1003)&gt;0,Taostats_CSV!H1003,Taostats_CSV!R1003)))</f>
        <v>0.41481759</v>
      </c>
      <c r="G1003" t="str">
        <f ca="1">IF(AND(Q1003,N1003=1),OFFSET(Taostats_CSV!$E$1,MATCH(K1003&amp;H$1,Taostats_CSV!$X:$X,0)-1,0),"")</f>
        <v/>
      </c>
      <c r="H1003" t="str">
        <f ca="1">IF(AND(Q1003,N1003=1),OFFSET(Taostats_CSV!$G$1,MATCH(K1003&amp;H$1,Taostats_CSV!$X:$X,0)-1,0),"")</f>
        <v/>
      </c>
      <c r="I1003" t="str">
        <f ca="1">IF(AND(LEN(K1003)=0,LEN(F1003)&gt;0),"Income",IF(AND(O1003&gt;0,P1003&gt;0,C1003&lt;&gt;E1003),"Trade",IF(AND(NOT(Q1003),Taostats_CSV!F1003="fee"),'READ ME'!$C$5,"")))</f>
        <v>Income</v>
      </c>
      <c r="J1003" t="str">
        <f ca="1">SUBSTITUTE(IF(LEN(I1003)=0,Taostats_CSV!F1003&amp;" "&amp;Taostats_CSV!J1003,IF(I1003="Cost","Extrinsic fee","")),"_"," ")</f>
        <v/>
      </c>
      <c r="K1003" t="str">
        <f>TRIM(IF(LEN(Taostats_CSV!I1003)&gt;0,Taostats_CSV!I1003,""))</f>
        <v/>
      </c>
      <c r="L1003">
        <f ca="1">IF(Taostats_CSV!E1003&lt;&gt;"TAO",IF(LEN(F1003)&gt;0,F1003,IF(LEN(D1003)&gt;0,D1003,0))*Taostats_CSV!P1003,"")</f>
        <v>5.9618419694925908</v>
      </c>
      <c r="M1003" t="str">
        <f t="shared" ca="1" si="105"/>
        <v>USD</v>
      </c>
      <c r="N1003">
        <f>COUNTIF(Taostats_CSV!$X:$X,Taostats_CSV!$I1003&amp;N$1)</f>
        <v>0</v>
      </c>
      <c r="O1003">
        <f>COUNTIF(Taostats_CSV!$X:$X,Taostats_CSV!$I1003&amp;O$1)</f>
        <v>0</v>
      </c>
      <c r="P1003">
        <f>COUNTIF(Taostats_CSV!$X:$X,Taostats_CSV!$I1003&amp;P$1)</f>
        <v>0</v>
      </c>
      <c r="Q1003" t="b">
        <f t="shared" si="106"/>
        <v>0</v>
      </c>
      <c r="R1003" t="b">
        <f>IF(LEN(K1003)&gt;0,COUNTIF($K$3:K1003,K1003),FALSE)</f>
        <v>0</v>
      </c>
      <c r="S1003" t="b">
        <f>IF(Taostats_CSV!A1003=Taostats_CSV!$A$2,TRUE,Taostats_CSV!G1003+Taostats_CSV!H1003+Taostats_CSV!R1003=0)</f>
        <v>0</v>
      </c>
      <c r="T1003" t="b">
        <f t="shared" si="107"/>
        <v>1</v>
      </c>
      <c r="U1003" t="b" cm="1">
        <f t="array" aca="1" ref="U1003" ca="1">AND(T1003,OR(O1003-N1003&gt;1,P1003&gt;1,ISERROR(A1003:P1003)))</f>
        <v>0</v>
      </c>
      <c r="W1003" t="e">
        <f>MATCH(K1003&amp;$W$2,Taostats_CSV!$X$3:$X$1167,0)</f>
        <v>#N/A</v>
      </c>
      <c r="X1003" t="e">
        <f t="shared" ca="1" si="102"/>
        <v>#VALUE!</v>
      </c>
      <c r="Y1003">
        <f t="shared" ca="1" si="103"/>
        <v>0.41481759000000001</v>
      </c>
      <c r="Z1003" t="e">
        <f t="shared" ca="1" si="104"/>
        <v>#VALUE!</v>
      </c>
    </row>
    <row r="1004" spans="1:26" x14ac:dyDescent="0.4">
      <c r="A1004" t="str">
        <f>MID(Taostats_CSV!C1004,6,2)&amp;"/"&amp;MID(Taostats_CSV!C1004,9,2)&amp;"/"&amp;LEFT(Taostats_CSV!C1004,4)&amp;" "&amp;MID(Taostats_CSV!C1004,12,8)</f>
        <v>09/27/2025 23:59:48</v>
      </c>
      <c r="C1004" t="str">
        <f ca="1">IF(Q1004,OFFSET(Taostats_CSV!$E$1,MATCH(K1004&amp;D$1,Taostats_CSV!$X:$X,0)-1,0),IF(Taostats_CSV!F1004="fee",IF(VALUE(Taostats_CSV!G1004)&gt;0,Taostats_CSV!E1004,""),""))</f>
        <v/>
      </c>
      <c r="D1004" t="str">
        <f ca="1">IF(Q1004,OFFSET(Taostats_CSV!$G$1,MATCH(K1004&amp;D$1,Taostats_CSV!$X:$X,0)-1,0),IF(Taostats_CSV!F1004="fee",IF(VALUE(Taostats_CSV!G1004)&gt;0,Taostats_CSV!G1004,""),""))</f>
        <v/>
      </c>
      <c r="E1004" t="str">
        <f ca="1">IF(AND(Q1004,P1004&gt;0),OFFSET(Taostats_CSV!$E$1,MATCH(K1004&amp;F$1,Taostats_CSV!$X:$X,0)-1,0),IF(LEN(F1004)&gt;0,Taostats_CSV!E1004,""))</f>
        <v>SN56</v>
      </c>
      <c r="F1004" t="str">
        <f ca="1">TRIM(IF(AND(Q1004,P1004&gt;0),OFFSET(Taostats_CSV!$H$1,MATCH(K1004&amp;F$1,Taostats_CSV!$X:$X,0)-1,0),IF(LEN(Taostats_CSV!H1004)&gt;0,Taostats_CSV!H1004,Taostats_CSV!R1004)))</f>
        <v>0.285574571</v>
      </c>
      <c r="G1004" t="str">
        <f ca="1">IF(AND(Q1004,N1004=1),OFFSET(Taostats_CSV!$E$1,MATCH(K1004&amp;H$1,Taostats_CSV!$X:$X,0)-1,0),"")</f>
        <v/>
      </c>
      <c r="H1004" t="str">
        <f ca="1">IF(AND(Q1004,N1004=1),OFFSET(Taostats_CSV!$G$1,MATCH(K1004&amp;H$1,Taostats_CSV!$X:$X,0)-1,0),"")</f>
        <v/>
      </c>
      <c r="I1004" t="str">
        <f ca="1">IF(AND(LEN(K1004)=0,LEN(F1004)&gt;0),"Income",IF(AND(O1004&gt;0,P1004&gt;0,C1004&lt;&gt;E1004),"Trade",IF(AND(NOT(Q1004),Taostats_CSV!F1004="fee"),'READ ME'!$C$5,"")))</f>
        <v>Income</v>
      </c>
      <c r="J1004" t="str">
        <f ca="1">SUBSTITUTE(IF(LEN(I1004)=0,Taostats_CSV!F1004&amp;" "&amp;Taostats_CSV!J1004,IF(I1004="Cost","Extrinsic fee","")),"_"," ")</f>
        <v/>
      </c>
      <c r="K1004" t="str">
        <f>TRIM(IF(LEN(Taostats_CSV!I1004)&gt;0,Taostats_CSV!I1004,""))</f>
        <v/>
      </c>
      <c r="L1004">
        <f ca="1">IF(Taostats_CSV!E1004&lt;&gt;"TAO",IF(LEN(F1004)&gt;0,F1004,IF(LEN(D1004)&gt;0,D1004,0))*Taostats_CSV!P1004,"")</f>
        <v>3.3123086659216088</v>
      </c>
      <c r="M1004" t="str">
        <f t="shared" ca="1" si="105"/>
        <v>USD</v>
      </c>
      <c r="N1004">
        <f>COUNTIF(Taostats_CSV!$X:$X,Taostats_CSV!$I1004&amp;N$1)</f>
        <v>0</v>
      </c>
      <c r="O1004">
        <f>COUNTIF(Taostats_CSV!$X:$X,Taostats_CSV!$I1004&amp;O$1)</f>
        <v>0</v>
      </c>
      <c r="P1004">
        <f>COUNTIF(Taostats_CSV!$X:$X,Taostats_CSV!$I1004&amp;P$1)</f>
        <v>0</v>
      </c>
      <c r="Q1004" t="b">
        <f t="shared" si="106"/>
        <v>0</v>
      </c>
      <c r="R1004" t="b">
        <f>IF(LEN(K1004)&gt;0,COUNTIF($K$3:K1004,K1004),FALSE)</f>
        <v>0</v>
      </c>
      <c r="S1004" t="b">
        <f>IF(Taostats_CSV!A1004=Taostats_CSV!$A$2,TRUE,Taostats_CSV!G1004+Taostats_CSV!H1004+Taostats_CSV!R1004=0)</f>
        <v>0</v>
      </c>
      <c r="T1004" t="b">
        <f t="shared" si="107"/>
        <v>1</v>
      </c>
      <c r="U1004" t="b" cm="1">
        <f t="array" aca="1" ref="U1004" ca="1">AND(T1004,OR(O1004-N1004&gt;1,P1004&gt;1,ISERROR(A1004:P1004)))</f>
        <v>0</v>
      </c>
      <c r="W1004" t="e">
        <f>MATCH(K1004&amp;$W$2,Taostats_CSV!$X$3:$X$1167,0)</f>
        <v>#N/A</v>
      </c>
      <c r="X1004" t="e">
        <f t="shared" ca="1" si="102"/>
        <v>#VALUE!</v>
      </c>
      <c r="Y1004">
        <f t="shared" ca="1" si="103"/>
        <v>0.285574571</v>
      </c>
      <c r="Z1004" t="e">
        <f t="shared" ca="1" si="104"/>
        <v>#VALUE!</v>
      </c>
    </row>
    <row r="1005" spans="1:26" x14ac:dyDescent="0.4">
      <c r="A1005" t="str">
        <f>MID(Taostats_CSV!C1005,6,2)&amp;"/"&amp;MID(Taostats_CSV!C1005,9,2)&amp;"/"&amp;LEFT(Taostats_CSV!C1005,4)&amp;" "&amp;MID(Taostats_CSV!C1005,12,8)</f>
        <v>09/27/2025 23:59:48</v>
      </c>
      <c r="C1005" t="str">
        <f ca="1">IF(Q1005,OFFSET(Taostats_CSV!$E$1,MATCH(K1005&amp;D$1,Taostats_CSV!$X:$X,0)-1,0),IF(Taostats_CSV!F1005="fee",IF(VALUE(Taostats_CSV!G1005)&gt;0,Taostats_CSV!E1005,""),""))</f>
        <v/>
      </c>
      <c r="D1005" t="str">
        <f ca="1">IF(Q1005,OFFSET(Taostats_CSV!$G$1,MATCH(K1005&amp;D$1,Taostats_CSV!$X:$X,0)-1,0),IF(Taostats_CSV!F1005="fee",IF(VALUE(Taostats_CSV!G1005)&gt;0,Taostats_CSV!G1005,""),""))</f>
        <v/>
      </c>
      <c r="E1005" t="str">
        <f ca="1">IF(AND(Q1005,P1005&gt;0),OFFSET(Taostats_CSV!$E$1,MATCH(K1005&amp;F$1,Taostats_CSV!$X:$X,0)-1,0),IF(LEN(F1005)&gt;0,Taostats_CSV!E1005,""))</f>
        <v>SN64</v>
      </c>
      <c r="F1005" t="str">
        <f ca="1">TRIM(IF(AND(Q1005,P1005&gt;0),OFFSET(Taostats_CSV!$H$1,MATCH(K1005&amp;F$1,Taostats_CSV!$X:$X,0)-1,0),IF(LEN(Taostats_CSV!H1005)&gt;0,Taostats_CSV!H1005,Taostats_CSV!R1005)))</f>
        <v>0.151415836</v>
      </c>
      <c r="G1005" t="str">
        <f ca="1">IF(AND(Q1005,N1005=1),OFFSET(Taostats_CSV!$E$1,MATCH(K1005&amp;H$1,Taostats_CSV!$X:$X,0)-1,0),"")</f>
        <v/>
      </c>
      <c r="H1005" t="str">
        <f ca="1">IF(AND(Q1005,N1005=1),OFFSET(Taostats_CSV!$G$1,MATCH(K1005&amp;H$1,Taostats_CSV!$X:$X,0)-1,0),"")</f>
        <v/>
      </c>
      <c r="I1005" t="str">
        <f ca="1">IF(AND(LEN(K1005)=0,LEN(F1005)&gt;0),"Income",IF(AND(O1005&gt;0,P1005&gt;0,C1005&lt;&gt;E1005),"Trade",IF(AND(NOT(Q1005),Taostats_CSV!F1005="fee"),'READ ME'!$C$5,"")))</f>
        <v>Income</v>
      </c>
      <c r="J1005" t="str">
        <f ca="1">SUBSTITUTE(IF(LEN(I1005)=0,Taostats_CSV!F1005&amp;" "&amp;Taostats_CSV!J1005,IF(I1005="Cost","Extrinsic fee","")),"_"," ")</f>
        <v/>
      </c>
      <c r="K1005" t="str">
        <f>TRIM(IF(LEN(Taostats_CSV!I1005)&gt;0,Taostats_CSV!I1005,""))</f>
        <v/>
      </c>
      <c r="L1005">
        <f ca="1">IF(Taostats_CSV!E1005&lt;&gt;"TAO",IF(LEN(F1005)&gt;0,F1005,IF(LEN(D1005)&gt;0,D1005,0))*Taostats_CSV!P1005,"")</f>
        <v>4.1299743226306482</v>
      </c>
      <c r="M1005" t="str">
        <f t="shared" ca="1" si="105"/>
        <v>USD</v>
      </c>
      <c r="N1005">
        <f>COUNTIF(Taostats_CSV!$X:$X,Taostats_CSV!$I1005&amp;N$1)</f>
        <v>0</v>
      </c>
      <c r="O1005">
        <f>COUNTIF(Taostats_CSV!$X:$X,Taostats_CSV!$I1005&amp;O$1)</f>
        <v>0</v>
      </c>
      <c r="P1005">
        <f>COUNTIF(Taostats_CSV!$X:$X,Taostats_CSV!$I1005&amp;P$1)</f>
        <v>0</v>
      </c>
      <c r="Q1005" t="b">
        <f t="shared" si="106"/>
        <v>0</v>
      </c>
      <c r="R1005" t="b">
        <f>IF(LEN(K1005)&gt;0,COUNTIF($K$3:K1005,K1005),FALSE)</f>
        <v>0</v>
      </c>
      <c r="S1005" t="b">
        <f>IF(Taostats_CSV!A1005=Taostats_CSV!$A$2,TRUE,Taostats_CSV!G1005+Taostats_CSV!H1005+Taostats_CSV!R1005=0)</f>
        <v>0</v>
      </c>
      <c r="T1005" t="b">
        <f t="shared" si="107"/>
        <v>1</v>
      </c>
      <c r="U1005" t="b" cm="1">
        <f t="array" aca="1" ref="U1005" ca="1">AND(T1005,OR(O1005-N1005&gt;1,P1005&gt;1,ISERROR(A1005:P1005)))</f>
        <v>0</v>
      </c>
      <c r="W1005" t="e">
        <f>MATCH(K1005&amp;$W$2,Taostats_CSV!$X$3:$X$1167,0)</f>
        <v>#N/A</v>
      </c>
      <c r="X1005" t="e">
        <f t="shared" ca="1" si="102"/>
        <v>#VALUE!</v>
      </c>
      <c r="Y1005">
        <f t="shared" ca="1" si="103"/>
        <v>0.151415836</v>
      </c>
      <c r="Z1005" t="e">
        <f t="shared" ca="1" si="104"/>
        <v>#VALUE!</v>
      </c>
    </row>
    <row r="1006" spans="1:26" x14ac:dyDescent="0.4">
      <c r="A1006" t="str">
        <f>MID(Taostats_CSV!C1006,6,2)&amp;"/"&amp;MID(Taostats_CSV!C1006,9,2)&amp;"/"&amp;LEFT(Taostats_CSV!C1006,4)&amp;" "&amp;MID(Taostats_CSV!C1006,12,8)</f>
        <v>09/27/2025 23:59:48</v>
      </c>
      <c r="C1006" t="str">
        <f ca="1">IF(Q1006,OFFSET(Taostats_CSV!$E$1,MATCH(K1006&amp;D$1,Taostats_CSV!$X:$X,0)-1,0),IF(Taostats_CSV!F1006="fee",IF(VALUE(Taostats_CSV!G1006)&gt;0,Taostats_CSV!E1006,""),""))</f>
        <v/>
      </c>
      <c r="D1006" t="str">
        <f ca="1">IF(Q1006,OFFSET(Taostats_CSV!$G$1,MATCH(K1006&amp;D$1,Taostats_CSV!$X:$X,0)-1,0),IF(Taostats_CSV!F1006="fee",IF(VALUE(Taostats_CSV!G1006)&gt;0,Taostats_CSV!G1006,""),""))</f>
        <v/>
      </c>
      <c r="E1006" t="str">
        <f ca="1">IF(AND(Q1006,P1006&gt;0),OFFSET(Taostats_CSV!$E$1,MATCH(K1006&amp;F$1,Taostats_CSV!$X:$X,0)-1,0),IF(LEN(F1006)&gt;0,Taostats_CSV!E1006,""))</f>
        <v>TAO</v>
      </c>
      <c r="F1006" t="str">
        <f ca="1">TRIM(IF(AND(Q1006,P1006&gt;0),OFFSET(Taostats_CSV!$H$1,MATCH(K1006&amp;F$1,Taostats_CSV!$X:$X,0)-1,0),IF(LEN(Taostats_CSV!H1006)&gt;0,Taostats_CSV!H1006,Taostats_CSV!R1006)))</f>
        <v>0.009980024</v>
      </c>
      <c r="G1006" t="str">
        <f ca="1">IF(AND(Q1006,N1006=1),OFFSET(Taostats_CSV!$E$1,MATCH(K1006&amp;H$1,Taostats_CSV!$X:$X,0)-1,0),"")</f>
        <v/>
      </c>
      <c r="H1006" t="str">
        <f ca="1">IF(AND(Q1006,N1006=1),OFFSET(Taostats_CSV!$G$1,MATCH(K1006&amp;H$1,Taostats_CSV!$X:$X,0)-1,0),"")</f>
        <v/>
      </c>
      <c r="I1006" t="str">
        <f ca="1">IF(AND(LEN(K1006)=0,LEN(F1006)&gt;0),"Income",IF(AND(O1006&gt;0,P1006&gt;0,C1006&lt;&gt;E1006),"Trade",IF(AND(NOT(Q1006),Taostats_CSV!F1006="fee"),'READ ME'!$C$5,"")))</f>
        <v>Income</v>
      </c>
      <c r="J1006" t="str">
        <f ca="1">SUBSTITUTE(IF(LEN(I1006)=0,Taostats_CSV!F1006&amp;" "&amp;Taostats_CSV!J1006,IF(I1006="Cost","Extrinsic fee","")),"_"," ")</f>
        <v/>
      </c>
      <c r="K1006" t="str">
        <f>TRIM(IF(LEN(Taostats_CSV!I1006)&gt;0,Taostats_CSV!I1006,""))</f>
        <v/>
      </c>
      <c r="L1006" t="str">
        <f>IF(Taostats_CSV!E1006&lt;&gt;"TAO",IF(LEN(F1006)&gt;0,F1006,IF(LEN(D1006)&gt;0,D1006,0))*Taostats_CSV!P1006,"")</f>
        <v/>
      </c>
      <c r="M1006" t="str">
        <f t="shared" si="105"/>
        <v/>
      </c>
      <c r="N1006">
        <f>COUNTIF(Taostats_CSV!$X:$X,Taostats_CSV!$I1006&amp;N$1)</f>
        <v>0</v>
      </c>
      <c r="O1006">
        <f>COUNTIF(Taostats_CSV!$X:$X,Taostats_CSV!$I1006&amp;O$1)</f>
        <v>0</v>
      </c>
      <c r="P1006">
        <f>COUNTIF(Taostats_CSV!$X:$X,Taostats_CSV!$I1006&amp;P$1)</f>
        <v>0</v>
      </c>
      <c r="Q1006" t="b">
        <f t="shared" si="106"/>
        <v>0</v>
      </c>
      <c r="R1006" t="b">
        <f>IF(LEN(K1006)&gt;0,COUNTIF($K$3:K1006,K1006),FALSE)</f>
        <v>0</v>
      </c>
      <c r="S1006" t="b">
        <f>IF(Taostats_CSV!A1006=Taostats_CSV!$A$2,TRUE,Taostats_CSV!G1006+Taostats_CSV!H1006+Taostats_CSV!R1006=0)</f>
        <v>0</v>
      </c>
      <c r="T1006" t="b">
        <f t="shared" si="107"/>
        <v>1</v>
      </c>
      <c r="U1006" t="b" cm="1">
        <f t="array" aca="1" ref="U1006" ca="1">AND(T1006,OR(O1006-N1006&gt;1,P1006&gt;1,ISERROR(A1006:P1006)))</f>
        <v>0</v>
      </c>
      <c r="W1006" t="e">
        <f>MATCH(K1006&amp;$W$2,Taostats_CSV!$X$3:$X$1167,0)</f>
        <v>#N/A</v>
      </c>
      <c r="X1006" t="e">
        <f t="shared" ca="1" si="102"/>
        <v>#VALUE!</v>
      </c>
      <c r="Y1006">
        <f t="shared" ca="1" si="103"/>
        <v>9.9800240000000005E-3</v>
      </c>
      <c r="Z1006" t="e">
        <f t="shared" ca="1" si="104"/>
        <v>#VALUE!</v>
      </c>
    </row>
    <row r="1007" spans="1:26" x14ac:dyDescent="0.4">
      <c r="A1007" t="str">
        <f>MID(Taostats_CSV!C1007,6,2)&amp;"/"&amp;MID(Taostats_CSV!C1007,9,2)&amp;"/"&amp;LEFT(Taostats_CSV!C1007,4)&amp;" "&amp;MID(Taostats_CSV!C1007,12,8)</f>
        <v>09/28/2025 23:59:48</v>
      </c>
      <c r="C1007" t="str">
        <f ca="1">IF(Q1007,OFFSET(Taostats_CSV!$E$1,MATCH(K1007&amp;D$1,Taostats_CSV!$X:$X,0)-1,0),IF(Taostats_CSV!F1007="fee",IF(VALUE(Taostats_CSV!G1007)&gt;0,Taostats_CSV!E1007,""),""))</f>
        <v/>
      </c>
      <c r="D1007" t="str">
        <f ca="1">IF(Q1007,OFFSET(Taostats_CSV!$G$1,MATCH(K1007&amp;D$1,Taostats_CSV!$X:$X,0)-1,0),IF(Taostats_CSV!F1007="fee",IF(VALUE(Taostats_CSV!G1007)&gt;0,Taostats_CSV!G1007,""),""))</f>
        <v/>
      </c>
      <c r="E1007" t="str">
        <f ca="1">IF(AND(Q1007,P1007&gt;0),OFFSET(Taostats_CSV!$E$1,MATCH(K1007&amp;F$1,Taostats_CSV!$X:$X,0)-1,0),IF(LEN(F1007)&gt;0,Taostats_CSV!E1007,""))</f>
        <v>SN3</v>
      </c>
      <c r="F1007" t="str">
        <f ca="1">TRIM(IF(AND(Q1007,P1007&gt;0),OFFSET(Taostats_CSV!$H$1,MATCH(K1007&amp;F$1,Taostats_CSV!$X:$X,0)-1,0),IF(LEN(Taostats_CSV!H1007)&gt;0,Taostats_CSV!H1007,Taostats_CSV!R1007)))</f>
        <v>0.515199262</v>
      </c>
      <c r="G1007" t="str">
        <f ca="1">IF(AND(Q1007,N1007=1),OFFSET(Taostats_CSV!$E$1,MATCH(K1007&amp;H$1,Taostats_CSV!$X:$X,0)-1,0),"")</f>
        <v/>
      </c>
      <c r="H1007" t="str">
        <f ca="1">IF(AND(Q1007,N1007=1),OFFSET(Taostats_CSV!$G$1,MATCH(K1007&amp;H$1,Taostats_CSV!$X:$X,0)-1,0),"")</f>
        <v/>
      </c>
      <c r="I1007" t="str">
        <f ca="1">IF(AND(LEN(K1007)=0,LEN(F1007)&gt;0),"Income",IF(AND(O1007&gt;0,P1007&gt;0,C1007&lt;&gt;E1007),"Trade",IF(AND(NOT(Q1007),Taostats_CSV!F1007="fee"),'READ ME'!$C$5,"")))</f>
        <v>Income</v>
      </c>
      <c r="J1007" t="str">
        <f ca="1">SUBSTITUTE(IF(LEN(I1007)=0,Taostats_CSV!F1007&amp;" "&amp;Taostats_CSV!J1007,IF(I1007="Cost","Extrinsic fee","")),"_"," ")</f>
        <v/>
      </c>
      <c r="K1007" t="str">
        <f>TRIM(IF(LEN(Taostats_CSV!I1007)&gt;0,Taostats_CSV!I1007,""))</f>
        <v/>
      </c>
      <c r="L1007">
        <f ca="1">IF(Taostats_CSV!E1007&lt;&gt;"TAO",IF(LEN(F1007)&gt;0,F1007,IF(LEN(D1007)&gt;0,D1007,0))*Taostats_CSV!P1007,"")</f>
        <v>4.9380497722605492</v>
      </c>
      <c r="M1007" t="str">
        <f t="shared" ca="1" si="105"/>
        <v>USD</v>
      </c>
      <c r="N1007">
        <f>COUNTIF(Taostats_CSV!$X:$X,Taostats_CSV!$I1007&amp;N$1)</f>
        <v>0</v>
      </c>
      <c r="O1007">
        <f>COUNTIF(Taostats_CSV!$X:$X,Taostats_CSV!$I1007&amp;O$1)</f>
        <v>0</v>
      </c>
      <c r="P1007">
        <f>COUNTIF(Taostats_CSV!$X:$X,Taostats_CSV!$I1007&amp;P$1)</f>
        <v>0</v>
      </c>
      <c r="Q1007" t="b">
        <f t="shared" si="106"/>
        <v>0</v>
      </c>
      <c r="R1007" t="b">
        <f>IF(LEN(K1007)&gt;0,COUNTIF($K$3:K1007,K1007),FALSE)</f>
        <v>0</v>
      </c>
      <c r="S1007" t="b">
        <f>IF(Taostats_CSV!A1007=Taostats_CSV!$A$2,TRUE,Taostats_CSV!G1007+Taostats_CSV!H1007+Taostats_CSV!R1007=0)</f>
        <v>0</v>
      </c>
      <c r="T1007" t="b">
        <f t="shared" si="107"/>
        <v>1</v>
      </c>
      <c r="U1007" t="b" cm="1">
        <f t="array" aca="1" ref="U1007" ca="1">AND(T1007,OR(O1007-N1007&gt;1,P1007&gt;1,ISERROR(A1007:P1007)))</f>
        <v>0</v>
      </c>
      <c r="W1007" t="e">
        <f>MATCH(K1007&amp;$W$2,Taostats_CSV!$X$3:$X$1167,0)</f>
        <v>#N/A</v>
      </c>
      <c r="X1007" t="e">
        <f t="shared" ca="1" si="102"/>
        <v>#VALUE!</v>
      </c>
      <c r="Y1007">
        <f t="shared" ca="1" si="103"/>
        <v>0.51519926199999999</v>
      </c>
      <c r="Z1007" t="e">
        <f t="shared" ca="1" si="104"/>
        <v>#VALUE!</v>
      </c>
    </row>
    <row r="1008" spans="1:26" x14ac:dyDescent="0.4">
      <c r="A1008" t="str">
        <f>MID(Taostats_CSV!C1008,6,2)&amp;"/"&amp;MID(Taostats_CSV!C1008,9,2)&amp;"/"&amp;LEFT(Taostats_CSV!C1008,4)&amp;" "&amp;MID(Taostats_CSV!C1008,12,8)</f>
        <v>09/28/2025 23:59:48</v>
      </c>
      <c r="C1008" t="str">
        <f ca="1">IF(Q1008,OFFSET(Taostats_CSV!$E$1,MATCH(K1008&amp;D$1,Taostats_CSV!$X:$X,0)-1,0),IF(Taostats_CSV!F1008="fee",IF(VALUE(Taostats_CSV!G1008)&gt;0,Taostats_CSV!E1008,""),""))</f>
        <v/>
      </c>
      <c r="D1008" t="str">
        <f ca="1">IF(Q1008,OFFSET(Taostats_CSV!$G$1,MATCH(K1008&amp;D$1,Taostats_CSV!$X:$X,0)-1,0),IF(Taostats_CSV!F1008="fee",IF(VALUE(Taostats_CSV!G1008)&gt;0,Taostats_CSV!G1008,""),""))</f>
        <v/>
      </c>
      <c r="E1008" t="str">
        <f ca="1">IF(AND(Q1008,P1008&gt;0),OFFSET(Taostats_CSV!$E$1,MATCH(K1008&amp;F$1,Taostats_CSV!$X:$X,0)-1,0),IF(LEN(F1008)&gt;0,Taostats_CSV!E1008,""))</f>
        <v>SN4</v>
      </c>
      <c r="F1008" t="str">
        <f ca="1">TRIM(IF(AND(Q1008,P1008&gt;0),OFFSET(Taostats_CSV!$H$1,MATCH(K1008&amp;F$1,Taostats_CSV!$X:$X,0)-1,0),IF(LEN(Taostats_CSV!H1008)&gt;0,Taostats_CSV!H1008,Taostats_CSV!R1008)))</f>
        <v>0.412742392</v>
      </c>
      <c r="G1008" t="str">
        <f ca="1">IF(AND(Q1008,N1008=1),OFFSET(Taostats_CSV!$E$1,MATCH(K1008&amp;H$1,Taostats_CSV!$X:$X,0)-1,0),"")</f>
        <v/>
      </c>
      <c r="H1008" t="str">
        <f ca="1">IF(AND(Q1008,N1008=1),OFFSET(Taostats_CSV!$G$1,MATCH(K1008&amp;H$1,Taostats_CSV!$X:$X,0)-1,0),"")</f>
        <v/>
      </c>
      <c r="I1008" t="str">
        <f ca="1">IF(AND(LEN(K1008)=0,LEN(F1008)&gt;0),"Income",IF(AND(O1008&gt;0,P1008&gt;0,C1008&lt;&gt;E1008),"Trade",IF(AND(NOT(Q1008),Taostats_CSV!F1008="fee"),'READ ME'!$C$5,"")))</f>
        <v>Income</v>
      </c>
      <c r="J1008" t="str">
        <f ca="1">SUBSTITUTE(IF(LEN(I1008)=0,Taostats_CSV!F1008&amp;" "&amp;Taostats_CSV!J1008,IF(I1008="Cost","Extrinsic fee","")),"_"," ")</f>
        <v/>
      </c>
      <c r="K1008" t="str">
        <f>TRIM(IF(LEN(Taostats_CSV!I1008)&gt;0,Taostats_CSV!I1008,""))</f>
        <v/>
      </c>
      <c r="L1008">
        <f ca="1">IF(Taostats_CSV!E1008&lt;&gt;"TAO",IF(LEN(F1008)&gt;0,F1008,IF(LEN(D1008)&gt;0,D1008,0))*Taostats_CSV!P1008,"")</f>
        <v>6.0464970883610381</v>
      </c>
      <c r="M1008" t="str">
        <f t="shared" ca="1" si="105"/>
        <v>USD</v>
      </c>
      <c r="N1008">
        <f>COUNTIF(Taostats_CSV!$X:$X,Taostats_CSV!$I1008&amp;N$1)</f>
        <v>0</v>
      </c>
      <c r="O1008">
        <f>COUNTIF(Taostats_CSV!$X:$X,Taostats_CSV!$I1008&amp;O$1)</f>
        <v>0</v>
      </c>
      <c r="P1008">
        <f>COUNTIF(Taostats_CSV!$X:$X,Taostats_CSV!$I1008&amp;P$1)</f>
        <v>0</v>
      </c>
      <c r="Q1008" t="b">
        <f t="shared" si="106"/>
        <v>0</v>
      </c>
      <c r="R1008" t="b">
        <f>IF(LEN(K1008)&gt;0,COUNTIF($K$3:K1008,K1008),FALSE)</f>
        <v>0</v>
      </c>
      <c r="S1008" t="b">
        <f>IF(Taostats_CSV!A1008=Taostats_CSV!$A$2,TRUE,Taostats_CSV!G1008+Taostats_CSV!H1008+Taostats_CSV!R1008=0)</f>
        <v>0</v>
      </c>
      <c r="T1008" t="b">
        <f t="shared" si="107"/>
        <v>1</v>
      </c>
      <c r="U1008" t="b" cm="1">
        <f t="array" aca="1" ref="U1008" ca="1">AND(T1008,OR(O1008-N1008&gt;1,P1008&gt;1,ISERROR(A1008:P1008)))</f>
        <v>0</v>
      </c>
      <c r="W1008" t="e">
        <f>MATCH(K1008&amp;$W$2,Taostats_CSV!$X$3:$X$1167,0)</f>
        <v>#N/A</v>
      </c>
      <c r="X1008" t="e">
        <f t="shared" ca="1" si="102"/>
        <v>#VALUE!</v>
      </c>
      <c r="Y1008">
        <f t="shared" ca="1" si="103"/>
        <v>0.41274239200000001</v>
      </c>
      <c r="Z1008" t="e">
        <f t="shared" ca="1" si="104"/>
        <v>#VALUE!</v>
      </c>
    </row>
    <row r="1009" spans="1:26" x14ac:dyDescent="0.4">
      <c r="A1009" t="str">
        <f>MID(Taostats_CSV!C1009,6,2)&amp;"/"&amp;MID(Taostats_CSV!C1009,9,2)&amp;"/"&amp;LEFT(Taostats_CSV!C1009,4)&amp;" "&amp;MID(Taostats_CSV!C1009,12,8)</f>
        <v>09/28/2025 23:59:48</v>
      </c>
      <c r="C1009" t="str">
        <f ca="1">IF(Q1009,OFFSET(Taostats_CSV!$E$1,MATCH(K1009&amp;D$1,Taostats_CSV!$X:$X,0)-1,0),IF(Taostats_CSV!F1009="fee",IF(VALUE(Taostats_CSV!G1009)&gt;0,Taostats_CSV!E1009,""),""))</f>
        <v/>
      </c>
      <c r="D1009" t="str">
        <f ca="1">IF(Q1009,OFFSET(Taostats_CSV!$G$1,MATCH(K1009&amp;D$1,Taostats_CSV!$X:$X,0)-1,0),IF(Taostats_CSV!F1009="fee",IF(VALUE(Taostats_CSV!G1009)&gt;0,Taostats_CSV!G1009,""),""))</f>
        <v/>
      </c>
      <c r="E1009" t="str">
        <f ca="1">IF(AND(Q1009,P1009&gt;0),OFFSET(Taostats_CSV!$E$1,MATCH(K1009&amp;F$1,Taostats_CSV!$X:$X,0)-1,0),IF(LEN(F1009)&gt;0,Taostats_CSV!E1009,""))</f>
        <v>SN56</v>
      </c>
      <c r="F1009" t="str">
        <f ca="1">TRIM(IF(AND(Q1009,P1009&gt;0),OFFSET(Taostats_CSV!$H$1,MATCH(K1009&amp;F$1,Taostats_CSV!$X:$X,0)-1,0),IF(LEN(Taostats_CSV!H1009)&gt;0,Taostats_CSV!H1009,Taostats_CSV!R1009)))</f>
        <v>0.304338153</v>
      </c>
      <c r="G1009" t="str">
        <f ca="1">IF(AND(Q1009,N1009=1),OFFSET(Taostats_CSV!$E$1,MATCH(K1009&amp;H$1,Taostats_CSV!$X:$X,0)-1,0),"")</f>
        <v/>
      </c>
      <c r="H1009" t="str">
        <f ca="1">IF(AND(Q1009,N1009=1),OFFSET(Taostats_CSV!$G$1,MATCH(K1009&amp;H$1,Taostats_CSV!$X:$X,0)-1,0),"")</f>
        <v/>
      </c>
      <c r="I1009" t="str">
        <f ca="1">IF(AND(LEN(K1009)=0,LEN(F1009)&gt;0),"Income",IF(AND(O1009&gt;0,P1009&gt;0,C1009&lt;&gt;E1009),"Trade",IF(AND(NOT(Q1009),Taostats_CSV!F1009="fee"),'READ ME'!$C$5,"")))</f>
        <v>Income</v>
      </c>
      <c r="J1009" t="str">
        <f ca="1">SUBSTITUTE(IF(LEN(I1009)=0,Taostats_CSV!F1009&amp;" "&amp;Taostats_CSV!J1009,IF(I1009="Cost","Extrinsic fee","")),"_"," ")</f>
        <v/>
      </c>
      <c r="K1009" t="str">
        <f>TRIM(IF(LEN(Taostats_CSV!I1009)&gt;0,Taostats_CSV!I1009,""))</f>
        <v/>
      </c>
      <c r="L1009">
        <f ca="1">IF(Taostats_CSV!E1009&lt;&gt;"TAO",IF(LEN(F1009)&gt;0,F1009,IF(LEN(D1009)&gt;0,D1009,0))*Taostats_CSV!P1009,"")</f>
        <v>3.5993980678809541</v>
      </c>
      <c r="M1009" t="str">
        <f t="shared" ca="1" si="105"/>
        <v>USD</v>
      </c>
      <c r="N1009">
        <f>COUNTIF(Taostats_CSV!$X:$X,Taostats_CSV!$I1009&amp;N$1)</f>
        <v>0</v>
      </c>
      <c r="O1009">
        <f>COUNTIF(Taostats_CSV!$X:$X,Taostats_CSV!$I1009&amp;O$1)</f>
        <v>0</v>
      </c>
      <c r="P1009">
        <f>COUNTIF(Taostats_CSV!$X:$X,Taostats_CSV!$I1009&amp;P$1)</f>
        <v>0</v>
      </c>
      <c r="Q1009" t="b">
        <f t="shared" si="106"/>
        <v>0</v>
      </c>
      <c r="R1009" t="b">
        <f>IF(LEN(K1009)&gt;0,COUNTIF($K$3:K1009,K1009),FALSE)</f>
        <v>0</v>
      </c>
      <c r="S1009" t="b">
        <f>IF(Taostats_CSV!A1009=Taostats_CSV!$A$2,TRUE,Taostats_CSV!G1009+Taostats_CSV!H1009+Taostats_CSV!R1009=0)</f>
        <v>0</v>
      </c>
      <c r="T1009" t="b">
        <f t="shared" si="107"/>
        <v>1</v>
      </c>
      <c r="U1009" t="b" cm="1">
        <f t="array" aca="1" ref="U1009" ca="1">AND(T1009,OR(O1009-N1009&gt;1,P1009&gt;1,ISERROR(A1009:P1009)))</f>
        <v>0</v>
      </c>
      <c r="W1009" t="e">
        <f>MATCH(K1009&amp;$W$2,Taostats_CSV!$X$3:$X$1167,0)</f>
        <v>#N/A</v>
      </c>
      <c r="X1009" t="e">
        <f t="shared" ca="1" si="102"/>
        <v>#VALUE!</v>
      </c>
      <c r="Y1009">
        <f t="shared" ca="1" si="103"/>
        <v>0.304338153</v>
      </c>
      <c r="Z1009" t="e">
        <f t="shared" ca="1" si="104"/>
        <v>#VALUE!</v>
      </c>
    </row>
    <row r="1010" spans="1:26" x14ac:dyDescent="0.4">
      <c r="A1010" t="str">
        <f>MID(Taostats_CSV!C1010,6,2)&amp;"/"&amp;MID(Taostats_CSV!C1010,9,2)&amp;"/"&amp;LEFT(Taostats_CSV!C1010,4)&amp;" "&amp;MID(Taostats_CSV!C1010,12,8)</f>
        <v>09/28/2025 23:59:48</v>
      </c>
      <c r="C1010" t="str">
        <f ca="1">IF(Q1010,OFFSET(Taostats_CSV!$E$1,MATCH(K1010&amp;D$1,Taostats_CSV!$X:$X,0)-1,0),IF(Taostats_CSV!F1010="fee",IF(VALUE(Taostats_CSV!G1010)&gt;0,Taostats_CSV!E1010,""),""))</f>
        <v/>
      </c>
      <c r="D1010" t="str">
        <f ca="1">IF(Q1010,OFFSET(Taostats_CSV!$G$1,MATCH(K1010&amp;D$1,Taostats_CSV!$X:$X,0)-1,0),IF(Taostats_CSV!F1010="fee",IF(VALUE(Taostats_CSV!G1010)&gt;0,Taostats_CSV!G1010,""),""))</f>
        <v/>
      </c>
      <c r="E1010" t="str">
        <f ca="1">IF(AND(Q1010,P1010&gt;0),OFFSET(Taostats_CSV!$E$1,MATCH(K1010&amp;F$1,Taostats_CSV!$X:$X,0)-1,0),IF(LEN(F1010)&gt;0,Taostats_CSV!E1010,""))</f>
        <v>SN64</v>
      </c>
      <c r="F1010" t="str">
        <f ca="1">TRIM(IF(AND(Q1010,P1010&gt;0),OFFSET(Taostats_CSV!$H$1,MATCH(K1010&amp;F$1,Taostats_CSV!$X:$X,0)-1,0),IF(LEN(Taostats_CSV!H1010)&gt;0,Taostats_CSV!H1010,Taostats_CSV!R1010)))</f>
        <v>0.15138639</v>
      </c>
      <c r="G1010" t="str">
        <f ca="1">IF(AND(Q1010,N1010=1),OFFSET(Taostats_CSV!$E$1,MATCH(K1010&amp;H$1,Taostats_CSV!$X:$X,0)-1,0),"")</f>
        <v/>
      </c>
      <c r="H1010" t="str">
        <f ca="1">IF(AND(Q1010,N1010=1),OFFSET(Taostats_CSV!$G$1,MATCH(K1010&amp;H$1,Taostats_CSV!$X:$X,0)-1,0),"")</f>
        <v/>
      </c>
      <c r="I1010" t="str">
        <f ca="1">IF(AND(LEN(K1010)=0,LEN(F1010)&gt;0),"Income",IF(AND(O1010&gt;0,P1010&gt;0,C1010&lt;&gt;E1010),"Trade",IF(AND(NOT(Q1010),Taostats_CSV!F1010="fee"),'READ ME'!$C$5,"")))</f>
        <v>Income</v>
      </c>
      <c r="J1010" t="str">
        <f ca="1">SUBSTITUTE(IF(LEN(I1010)=0,Taostats_CSV!F1010&amp;" "&amp;Taostats_CSV!J1010,IF(I1010="Cost","Extrinsic fee","")),"_"," ")</f>
        <v/>
      </c>
      <c r="K1010" t="str">
        <f>TRIM(IF(LEN(Taostats_CSV!I1010)&gt;0,Taostats_CSV!I1010,""))</f>
        <v/>
      </c>
      <c r="L1010">
        <f ca="1">IF(Taostats_CSV!E1010&lt;&gt;"TAO",IF(LEN(F1010)&gt;0,F1010,IF(LEN(D1010)&gt;0,D1010,0))*Taostats_CSV!P1010,"")</f>
        <v>4.2213608999655863</v>
      </c>
      <c r="M1010" t="str">
        <f t="shared" ca="1" si="105"/>
        <v>USD</v>
      </c>
      <c r="N1010">
        <f>COUNTIF(Taostats_CSV!$X:$X,Taostats_CSV!$I1010&amp;N$1)</f>
        <v>0</v>
      </c>
      <c r="O1010">
        <f>COUNTIF(Taostats_CSV!$X:$X,Taostats_CSV!$I1010&amp;O$1)</f>
        <v>0</v>
      </c>
      <c r="P1010">
        <f>COUNTIF(Taostats_CSV!$X:$X,Taostats_CSV!$I1010&amp;P$1)</f>
        <v>0</v>
      </c>
      <c r="Q1010" t="b">
        <f t="shared" si="106"/>
        <v>0</v>
      </c>
      <c r="R1010" t="b">
        <f>IF(LEN(K1010)&gt;0,COUNTIF($K$3:K1010,K1010),FALSE)</f>
        <v>0</v>
      </c>
      <c r="S1010" t="b">
        <f>IF(Taostats_CSV!A1010=Taostats_CSV!$A$2,TRUE,Taostats_CSV!G1010+Taostats_CSV!H1010+Taostats_CSV!R1010=0)</f>
        <v>0</v>
      </c>
      <c r="T1010" t="b">
        <f t="shared" si="107"/>
        <v>1</v>
      </c>
      <c r="U1010" t="b" cm="1">
        <f t="array" aca="1" ref="U1010" ca="1">AND(T1010,OR(O1010-N1010&gt;1,P1010&gt;1,ISERROR(A1010:P1010)))</f>
        <v>0</v>
      </c>
      <c r="W1010" t="e">
        <f>MATCH(K1010&amp;$W$2,Taostats_CSV!$X$3:$X$1167,0)</f>
        <v>#N/A</v>
      </c>
      <c r="X1010" t="e">
        <f t="shared" ca="1" si="102"/>
        <v>#VALUE!</v>
      </c>
      <c r="Y1010">
        <f t="shared" ca="1" si="103"/>
        <v>0.15138639000000001</v>
      </c>
      <c r="Z1010" t="e">
        <f t="shared" ca="1" si="104"/>
        <v>#VALUE!</v>
      </c>
    </row>
    <row r="1011" spans="1:26" x14ac:dyDescent="0.4">
      <c r="A1011" t="str">
        <f>MID(Taostats_CSV!C1011,6,2)&amp;"/"&amp;MID(Taostats_CSV!C1011,9,2)&amp;"/"&amp;LEFT(Taostats_CSV!C1011,4)&amp;" "&amp;MID(Taostats_CSV!C1011,12,8)</f>
        <v>09/28/2025 23:59:48</v>
      </c>
      <c r="C1011" t="str">
        <f ca="1">IF(Q1011,OFFSET(Taostats_CSV!$E$1,MATCH(K1011&amp;D$1,Taostats_CSV!$X:$X,0)-1,0),IF(Taostats_CSV!F1011="fee",IF(VALUE(Taostats_CSV!G1011)&gt;0,Taostats_CSV!E1011,""),""))</f>
        <v/>
      </c>
      <c r="D1011" t="str">
        <f ca="1">IF(Q1011,OFFSET(Taostats_CSV!$G$1,MATCH(K1011&amp;D$1,Taostats_CSV!$X:$X,0)-1,0),IF(Taostats_CSV!F1011="fee",IF(VALUE(Taostats_CSV!G1011)&gt;0,Taostats_CSV!G1011,""),""))</f>
        <v/>
      </c>
      <c r="E1011" t="str">
        <f ca="1">IF(AND(Q1011,P1011&gt;0),OFFSET(Taostats_CSV!$E$1,MATCH(K1011&amp;F$1,Taostats_CSV!$X:$X,0)-1,0),IF(LEN(F1011)&gt;0,Taostats_CSV!E1011,""))</f>
        <v>TAO</v>
      </c>
      <c r="F1011" t="str">
        <f ca="1">TRIM(IF(AND(Q1011,P1011&gt;0),OFFSET(Taostats_CSV!$H$1,MATCH(K1011&amp;F$1,Taostats_CSV!$X:$X,0)-1,0),IF(LEN(Taostats_CSV!H1011)&gt;0,Taostats_CSV!H1011,Taostats_CSV!R1011)))</f>
        <v>0.009878908</v>
      </c>
      <c r="G1011" t="str">
        <f ca="1">IF(AND(Q1011,N1011=1),OFFSET(Taostats_CSV!$E$1,MATCH(K1011&amp;H$1,Taostats_CSV!$X:$X,0)-1,0),"")</f>
        <v/>
      </c>
      <c r="H1011" t="str">
        <f ca="1">IF(AND(Q1011,N1011=1),OFFSET(Taostats_CSV!$G$1,MATCH(K1011&amp;H$1,Taostats_CSV!$X:$X,0)-1,0),"")</f>
        <v/>
      </c>
      <c r="I1011" t="str">
        <f ca="1">IF(AND(LEN(K1011)=0,LEN(F1011)&gt;0),"Income",IF(AND(O1011&gt;0,P1011&gt;0,C1011&lt;&gt;E1011),"Trade",IF(AND(NOT(Q1011),Taostats_CSV!F1011="fee"),'READ ME'!$C$5,"")))</f>
        <v>Income</v>
      </c>
      <c r="J1011" t="str">
        <f ca="1">SUBSTITUTE(IF(LEN(I1011)=0,Taostats_CSV!F1011&amp;" "&amp;Taostats_CSV!J1011,IF(I1011="Cost","Extrinsic fee","")),"_"," ")</f>
        <v/>
      </c>
      <c r="K1011" t="str">
        <f>TRIM(IF(LEN(Taostats_CSV!I1011)&gt;0,Taostats_CSV!I1011,""))</f>
        <v/>
      </c>
      <c r="L1011" t="str">
        <f>IF(Taostats_CSV!E1011&lt;&gt;"TAO",IF(LEN(F1011)&gt;0,F1011,IF(LEN(D1011)&gt;0,D1011,0))*Taostats_CSV!P1011,"")</f>
        <v/>
      </c>
      <c r="M1011" t="str">
        <f t="shared" si="105"/>
        <v/>
      </c>
      <c r="N1011">
        <f>COUNTIF(Taostats_CSV!$X:$X,Taostats_CSV!$I1011&amp;N$1)</f>
        <v>0</v>
      </c>
      <c r="O1011">
        <f>COUNTIF(Taostats_CSV!$X:$X,Taostats_CSV!$I1011&amp;O$1)</f>
        <v>0</v>
      </c>
      <c r="P1011">
        <f>COUNTIF(Taostats_CSV!$X:$X,Taostats_CSV!$I1011&amp;P$1)</f>
        <v>0</v>
      </c>
      <c r="Q1011" t="b">
        <f t="shared" si="106"/>
        <v>0</v>
      </c>
      <c r="R1011" t="b">
        <f>IF(LEN(K1011)&gt;0,COUNTIF($K$3:K1011,K1011),FALSE)</f>
        <v>0</v>
      </c>
      <c r="S1011" t="b">
        <f>IF(Taostats_CSV!A1011=Taostats_CSV!$A$2,TRUE,Taostats_CSV!G1011+Taostats_CSV!H1011+Taostats_CSV!R1011=0)</f>
        <v>0</v>
      </c>
      <c r="T1011" t="b">
        <f t="shared" si="107"/>
        <v>1</v>
      </c>
      <c r="U1011" t="b" cm="1">
        <f t="array" aca="1" ref="U1011" ca="1">AND(T1011,OR(O1011-N1011&gt;1,P1011&gt;1,ISERROR(A1011:P1011)))</f>
        <v>0</v>
      </c>
      <c r="W1011" t="e">
        <f>MATCH(K1011&amp;$W$2,Taostats_CSV!$X$3:$X$1167,0)</f>
        <v>#N/A</v>
      </c>
      <c r="X1011" t="e">
        <f t="shared" ca="1" si="102"/>
        <v>#VALUE!</v>
      </c>
      <c r="Y1011">
        <f t="shared" ca="1" si="103"/>
        <v>9.8789080000000005E-3</v>
      </c>
      <c r="Z1011" t="e">
        <f t="shared" ca="1" si="104"/>
        <v>#VALUE!</v>
      </c>
    </row>
    <row r="1012" spans="1:26" x14ac:dyDescent="0.4">
      <c r="A1012" t="str">
        <f>MID(Taostats_CSV!C1012,6,2)&amp;"/"&amp;MID(Taostats_CSV!C1012,9,2)&amp;"/"&amp;LEFT(Taostats_CSV!C1012,4)&amp;" "&amp;MID(Taostats_CSV!C1012,12,8)</f>
        <v>09/29/2025 23:59:48</v>
      </c>
      <c r="C1012" t="str">
        <f ca="1">IF(Q1012,OFFSET(Taostats_CSV!$E$1,MATCH(K1012&amp;D$1,Taostats_CSV!$X:$X,0)-1,0),IF(Taostats_CSV!F1012="fee",IF(VALUE(Taostats_CSV!G1012)&gt;0,Taostats_CSV!E1012,""),""))</f>
        <v/>
      </c>
      <c r="D1012" t="str">
        <f ca="1">IF(Q1012,OFFSET(Taostats_CSV!$G$1,MATCH(K1012&amp;D$1,Taostats_CSV!$X:$X,0)-1,0),IF(Taostats_CSV!F1012="fee",IF(VALUE(Taostats_CSV!G1012)&gt;0,Taostats_CSV!G1012,""),""))</f>
        <v/>
      </c>
      <c r="E1012" t="str">
        <f ca="1">IF(AND(Q1012,P1012&gt;0),OFFSET(Taostats_CSV!$E$1,MATCH(K1012&amp;F$1,Taostats_CSV!$X:$X,0)-1,0),IF(LEN(F1012)&gt;0,Taostats_CSV!E1012,""))</f>
        <v>SN3</v>
      </c>
      <c r="F1012" t="str">
        <f ca="1">TRIM(IF(AND(Q1012,P1012&gt;0),OFFSET(Taostats_CSV!$H$1,MATCH(K1012&amp;F$1,Taostats_CSV!$X:$X,0)-1,0),IF(LEN(Taostats_CSV!H1012)&gt;0,Taostats_CSV!H1012,Taostats_CSV!R1012)))</f>
        <v>0.520586488</v>
      </c>
      <c r="G1012" t="str">
        <f ca="1">IF(AND(Q1012,N1012=1),OFFSET(Taostats_CSV!$E$1,MATCH(K1012&amp;H$1,Taostats_CSV!$X:$X,0)-1,0),"")</f>
        <v/>
      </c>
      <c r="H1012" t="str">
        <f ca="1">IF(AND(Q1012,N1012=1),OFFSET(Taostats_CSV!$G$1,MATCH(K1012&amp;H$1,Taostats_CSV!$X:$X,0)-1,0),"")</f>
        <v/>
      </c>
      <c r="I1012" t="str">
        <f ca="1">IF(AND(LEN(K1012)=0,LEN(F1012)&gt;0),"Income",IF(AND(O1012&gt;0,P1012&gt;0,C1012&lt;&gt;E1012),"Trade",IF(AND(NOT(Q1012),Taostats_CSV!F1012="fee"),'READ ME'!$C$5,"")))</f>
        <v>Income</v>
      </c>
      <c r="J1012" t="str">
        <f ca="1">SUBSTITUTE(IF(LEN(I1012)=0,Taostats_CSV!F1012&amp;" "&amp;Taostats_CSV!J1012,IF(I1012="Cost","Extrinsic fee","")),"_"," ")</f>
        <v/>
      </c>
      <c r="K1012" t="str">
        <f>TRIM(IF(LEN(Taostats_CSV!I1012)&gt;0,Taostats_CSV!I1012,""))</f>
        <v/>
      </c>
      <c r="L1012">
        <f ca="1">IF(Taostats_CSV!E1012&lt;&gt;"TAO",IF(LEN(F1012)&gt;0,F1012,IF(LEN(D1012)&gt;0,D1012,0))*Taostats_CSV!P1012,"")</f>
        <v>5.0214526917283093</v>
      </c>
      <c r="M1012" t="str">
        <f t="shared" ca="1" si="105"/>
        <v>USD</v>
      </c>
      <c r="N1012">
        <f>COUNTIF(Taostats_CSV!$X:$X,Taostats_CSV!$I1012&amp;N$1)</f>
        <v>0</v>
      </c>
      <c r="O1012">
        <f>COUNTIF(Taostats_CSV!$X:$X,Taostats_CSV!$I1012&amp;O$1)</f>
        <v>0</v>
      </c>
      <c r="P1012">
        <f>COUNTIF(Taostats_CSV!$X:$X,Taostats_CSV!$I1012&amp;P$1)</f>
        <v>0</v>
      </c>
      <c r="Q1012" t="b">
        <f t="shared" si="106"/>
        <v>0</v>
      </c>
      <c r="R1012" t="b">
        <f>IF(LEN(K1012)&gt;0,COUNTIF($K$3:K1012,K1012),FALSE)</f>
        <v>0</v>
      </c>
      <c r="S1012" t="b">
        <f>IF(Taostats_CSV!A1012=Taostats_CSV!$A$2,TRUE,Taostats_CSV!G1012+Taostats_CSV!H1012+Taostats_CSV!R1012=0)</f>
        <v>0</v>
      </c>
      <c r="T1012" t="b">
        <f t="shared" si="107"/>
        <v>1</v>
      </c>
      <c r="U1012" t="b" cm="1">
        <f t="array" aca="1" ref="U1012" ca="1">AND(T1012,OR(O1012-N1012&gt;1,P1012&gt;1,ISERROR(A1012:P1012)))</f>
        <v>0</v>
      </c>
      <c r="W1012" t="e">
        <f>MATCH(K1012&amp;$W$2,Taostats_CSV!$X$3:$X$1167,0)</f>
        <v>#N/A</v>
      </c>
      <c r="X1012" t="e">
        <f t="shared" ca="1" si="102"/>
        <v>#VALUE!</v>
      </c>
      <c r="Y1012">
        <f t="shared" ca="1" si="103"/>
        <v>0.52058648799999996</v>
      </c>
      <c r="Z1012" t="e">
        <f t="shared" ca="1" si="104"/>
        <v>#VALUE!</v>
      </c>
    </row>
    <row r="1013" spans="1:26" x14ac:dyDescent="0.4">
      <c r="A1013" t="str">
        <f>MID(Taostats_CSV!C1013,6,2)&amp;"/"&amp;MID(Taostats_CSV!C1013,9,2)&amp;"/"&amp;LEFT(Taostats_CSV!C1013,4)&amp;" "&amp;MID(Taostats_CSV!C1013,12,8)</f>
        <v>09/29/2025 23:59:48</v>
      </c>
      <c r="C1013" t="str">
        <f ca="1">IF(Q1013,OFFSET(Taostats_CSV!$E$1,MATCH(K1013&amp;D$1,Taostats_CSV!$X:$X,0)-1,0),IF(Taostats_CSV!F1013="fee",IF(VALUE(Taostats_CSV!G1013)&gt;0,Taostats_CSV!E1013,""),""))</f>
        <v/>
      </c>
      <c r="D1013" t="str">
        <f ca="1">IF(Q1013,OFFSET(Taostats_CSV!$G$1,MATCH(K1013&amp;D$1,Taostats_CSV!$X:$X,0)-1,0),IF(Taostats_CSV!F1013="fee",IF(VALUE(Taostats_CSV!G1013)&gt;0,Taostats_CSV!G1013,""),""))</f>
        <v/>
      </c>
      <c r="E1013" t="str">
        <f ca="1">IF(AND(Q1013,P1013&gt;0),OFFSET(Taostats_CSV!$E$1,MATCH(K1013&amp;F$1,Taostats_CSV!$X:$X,0)-1,0),IF(LEN(F1013)&gt;0,Taostats_CSV!E1013,""))</f>
        <v>SN4</v>
      </c>
      <c r="F1013" t="str">
        <f ca="1">TRIM(IF(AND(Q1013,P1013&gt;0),OFFSET(Taostats_CSV!$H$1,MATCH(K1013&amp;F$1,Taostats_CSV!$X:$X,0)-1,0),IF(LEN(Taostats_CSV!H1013)&gt;0,Taostats_CSV!H1013,Taostats_CSV!R1013)))</f>
        <v>0.406269682</v>
      </c>
      <c r="G1013" t="str">
        <f ca="1">IF(AND(Q1013,N1013=1),OFFSET(Taostats_CSV!$E$1,MATCH(K1013&amp;H$1,Taostats_CSV!$X:$X,0)-1,0),"")</f>
        <v/>
      </c>
      <c r="H1013" t="str">
        <f ca="1">IF(AND(Q1013,N1013=1),OFFSET(Taostats_CSV!$G$1,MATCH(K1013&amp;H$1,Taostats_CSV!$X:$X,0)-1,0),"")</f>
        <v/>
      </c>
      <c r="I1013" t="str">
        <f ca="1">IF(AND(LEN(K1013)=0,LEN(F1013)&gt;0),"Income",IF(AND(O1013&gt;0,P1013&gt;0,C1013&lt;&gt;E1013),"Trade",IF(AND(NOT(Q1013),Taostats_CSV!F1013="fee"),'READ ME'!$C$5,"")))</f>
        <v>Income</v>
      </c>
      <c r="J1013" t="str">
        <f ca="1">SUBSTITUTE(IF(LEN(I1013)=0,Taostats_CSV!F1013&amp;" "&amp;Taostats_CSV!J1013,IF(I1013="Cost","Extrinsic fee","")),"_"," ")</f>
        <v/>
      </c>
      <c r="K1013" t="str">
        <f>TRIM(IF(LEN(Taostats_CSV!I1013)&gt;0,Taostats_CSV!I1013,""))</f>
        <v/>
      </c>
      <c r="L1013">
        <f ca="1">IF(Taostats_CSV!E1013&lt;&gt;"TAO",IF(LEN(F1013)&gt;0,F1013,IF(LEN(D1013)&gt;0,D1013,0))*Taostats_CSV!P1013,"")</f>
        <v>6.0132715801536527</v>
      </c>
      <c r="M1013" t="str">
        <f t="shared" ca="1" si="105"/>
        <v>USD</v>
      </c>
      <c r="N1013">
        <f>COUNTIF(Taostats_CSV!$X:$X,Taostats_CSV!$I1013&amp;N$1)</f>
        <v>0</v>
      </c>
      <c r="O1013">
        <f>COUNTIF(Taostats_CSV!$X:$X,Taostats_CSV!$I1013&amp;O$1)</f>
        <v>0</v>
      </c>
      <c r="P1013">
        <f>COUNTIF(Taostats_CSV!$X:$X,Taostats_CSV!$I1013&amp;P$1)</f>
        <v>0</v>
      </c>
      <c r="Q1013" t="b">
        <f t="shared" si="106"/>
        <v>0</v>
      </c>
      <c r="R1013" t="b">
        <f>IF(LEN(K1013)&gt;0,COUNTIF($K$3:K1013,K1013),FALSE)</f>
        <v>0</v>
      </c>
      <c r="S1013" t="b">
        <f>IF(Taostats_CSV!A1013=Taostats_CSV!$A$2,TRUE,Taostats_CSV!G1013+Taostats_CSV!H1013+Taostats_CSV!R1013=0)</f>
        <v>0</v>
      </c>
      <c r="T1013" t="b">
        <f t="shared" si="107"/>
        <v>1</v>
      </c>
      <c r="U1013" t="b" cm="1">
        <f t="array" aca="1" ref="U1013" ca="1">AND(T1013,OR(O1013-N1013&gt;1,P1013&gt;1,ISERROR(A1013:P1013)))</f>
        <v>0</v>
      </c>
      <c r="W1013" t="e">
        <f>MATCH(K1013&amp;$W$2,Taostats_CSV!$X$3:$X$1167,0)</f>
        <v>#N/A</v>
      </c>
      <c r="X1013" t="e">
        <f t="shared" ca="1" si="102"/>
        <v>#VALUE!</v>
      </c>
      <c r="Y1013">
        <f t="shared" ca="1" si="103"/>
        <v>0.40626968200000002</v>
      </c>
      <c r="Z1013" t="e">
        <f t="shared" ca="1" si="104"/>
        <v>#VALUE!</v>
      </c>
    </row>
    <row r="1014" spans="1:26" x14ac:dyDescent="0.4">
      <c r="A1014" t="str">
        <f>MID(Taostats_CSV!C1014,6,2)&amp;"/"&amp;MID(Taostats_CSV!C1014,9,2)&amp;"/"&amp;LEFT(Taostats_CSV!C1014,4)&amp;" "&amp;MID(Taostats_CSV!C1014,12,8)</f>
        <v>09/29/2025 23:59:48</v>
      </c>
      <c r="C1014" t="str">
        <f ca="1">IF(Q1014,OFFSET(Taostats_CSV!$E$1,MATCH(K1014&amp;D$1,Taostats_CSV!$X:$X,0)-1,0),IF(Taostats_CSV!F1014="fee",IF(VALUE(Taostats_CSV!G1014)&gt;0,Taostats_CSV!E1014,""),""))</f>
        <v/>
      </c>
      <c r="D1014" t="str">
        <f ca="1">IF(Q1014,OFFSET(Taostats_CSV!$G$1,MATCH(K1014&amp;D$1,Taostats_CSV!$X:$X,0)-1,0),IF(Taostats_CSV!F1014="fee",IF(VALUE(Taostats_CSV!G1014)&gt;0,Taostats_CSV!G1014,""),""))</f>
        <v/>
      </c>
      <c r="E1014" t="str">
        <f ca="1">IF(AND(Q1014,P1014&gt;0),OFFSET(Taostats_CSV!$E$1,MATCH(K1014&amp;F$1,Taostats_CSV!$X:$X,0)-1,0),IF(LEN(F1014)&gt;0,Taostats_CSV!E1014,""))</f>
        <v>SN56</v>
      </c>
      <c r="F1014" t="str">
        <f ca="1">TRIM(IF(AND(Q1014,P1014&gt;0),OFFSET(Taostats_CSV!$H$1,MATCH(K1014&amp;F$1,Taostats_CSV!$X:$X,0)-1,0),IF(LEN(Taostats_CSV!H1014)&gt;0,Taostats_CSV!H1014,Taostats_CSV!R1014)))</f>
        <v>0.3214354</v>
      </c>
      <c r="G1014" t="str">
        <f ca="1">IF(AND(Q1014,N1014=1),OFFSET(Taostats_CSV!$E$1,MATCH(K1014&amp;H$1,Taostats_CSV!$X:$X,0)-1,0),"")</f>
        <v/>
      </c>
      <c r="H1014" t="str">
        <f ca="1">IF(AND(Q1014,N1014=1),OFFSET(Taostats_CSV!$G$1,MATCH(K1014&amp;H$1,Taostats_CSV!$X:$X,0)-1,0),"")</f>
        <v/>
      </c>
      <c r="I1014" t="str">
        <f ca="1">IF(AND(LEN(K1014)=0,LEN(F1014)&gt;0),"Income",IF(AND(O1014&gt;0,P1014&gt;0,C1014&lt;&gt;E1014),"Trade",IF(AND(NOT(Q1014),Taostats_CSV!F1014="fee"),'READ ME'!$C$5,"")))</f>
        <v>Income</v>
      </c>
      <c r="J1014" t="str">
        <f ca="1">SUBSTITUTE(IF(LEN(I1014)=0,Taostats_CSV!F1014&amp;" "&amp;Taostats_CSV!J1014,IF(I1014="Cost","Extrinsic fee","")),"_"," ")</f>
        <v/>
      </c>
      <c r="K1014" t="str">
        <f>TRIM(IF(LEN(Taostats_CSV!I1014)&gt;0,Taostats_CSV!I1014,""))</f>
        <v/>
      </c>
      <c r="L1014">
        <f ca="1">IF(Taostats_CSV!E1014&lt;&gt;"TAO",IF(LEN(F1014)&gt;0,F1014,IF(LEN(D1014)&gt;0,D1014,0))*Taostats_CSV!P1014,"")</f>
        <v>3.954103864506048</v>
      </c>
      <c r="M1014" t="str">
        <f t="shared" ca="1" si="105"/>
        <v>USD</v>
      </c>
      <c r="N1014">
        <f>COUNTIF(Taostats_CSV!$X:$X,Taostats_CSV!$I1014&amp;N$1)</f>
        <v>0</v>
      </c>
      <c r="O1014">
        <f>COUNTIF(Taostats_CSV!$X:$X,Taostats_CSV!$I1014&amp;O$1)</f>
        <v>0</v>
      </c>
      <c r="P1014">
        <f>COUNTIF(Taostats_CSV!$X:$X,Taostats_CSV!$I1014&amp;P$1)</f>
        <v>0</v>
      </c>
      <c r="Q1014" t="b">
        <f t="shared" si="106"/>
        <v>0</v>
      </c>
      <c r="R1014" t="b">
        <f>IF(LEN(K1014)&gt;0,COUNTIF($K$3:K1014,K1014),FALSE)</f>
        <v>0</v>
      </c>
      <c r="S1014" t="b">
        <f>IF(Taostats_CSV!A1014=Taostats_CSV!$A$2,TRUE,Taostats_CSV!G1014+Taostats_CSV!H1014+Taostats_CSV!R1014=0)</f>
        <v>0</v>
      </c>
      <c r="T1014" t="b">
        <f t="shared" si="107"/>
        <v>1</v>
      </c>
      <c r="U1014" t="b" cm="1">
        <f t="array" aca="1" ref="U1014" ca="1">AND(T1014,OR(O1014-N1014&gt;1,P1014&gt;1,ISERROR(A1014:P1014)))</f>
        <v>0</v>
      </c>
      <c r="W1014" t="e">
        <f>MATCH(K1014&amp;$W$2,Taostats_CSV!$X$3:$X$1167,0)</f>
        <v>#N/A</v>
      </c>
      <c r="X1014" t="e">
        <f t="shared" ca="1" si="102"/>
        <v>#VALUE!</v>
      </c>
      <c r="Y1014">
        <f t="shared" ca="1" si="103"/>
        <v>0.32143539999999998</v>
      </c>
      <c r="Z1014" t="e">
        <f t="shared" ca="1" si="104"/>
        <v>#VALUE!</v>
      </c>
    </row>
    <row r="1015" spans="1:26" x14ac:dyDescent="0.4">
      <c r="A1015" t="str">
        <f>MID(Taostats_CSV!C1015,6,2)&amp;"/"&amp;MID(Taostats_CSV!C1015,9,2)&amp;"/"&amp;LEFT(Taostats_CSV!C1015,4)&amp;" "&amp;MID(Taostats_CSV!C1015,12,8)</f>
        <v>09/29/2025 23:59:48</v>
      </c>
      <c r="C1015" t="str">
        <f ca="1">IF(Q1015,OFFSET(Taostats_CSV!$E$1,MATCH(K1015&amp;D$1,Taostats_CSV!$X:$X,0)-1,0),IF(Taostats_CSV!F1015="fee",IF(VALUE(Taostats_CSV!G1015)&gt;0,Taostats_CSV!E1015,""),""))</f>
        <v/>
      </c>
      <c r="D1015" t="str">
        <f ca="1">IF(Q1015,OFFSET(Taostats_CSV!$G$1,MATCH(K1015&amp;D$1,Taostats_CSV!$X:$X,0)-1,0),IF(Taostats_CSV!F1015="fee",IF(VALUE(Taostats_CSV!G1015)&gt;0,Taostats_CSV!G1015,""),""))</f>
        <v/>
      </c>
      <c r="E1015" t="str">
        <f ca="1">IF(AND(Q1015,P1015&gt;0),OFFSET(Taostats_CSV!$E$1,MATCH(K1015&amp;F$1,Taostats_CSV!$X:$X,0)-1,0),IF(LEN(F1015)&gt;0,Taostats_CSV!E1015,""))</f>
        <v>SN64</v>
      </c>
      <c r="F1015" t="str">
        <f ca="1">TRIM(IF(AND(Q1015,P1015&gt;0),OFFSET(Taostats_CSV!$H$1,MATCH(K1015&amp;F$1,Taostats_CSV!$X:$X,0)-1,0),IF(LEN(Taostats_CSV!H1015)&gt;0,Taostats_CSV!H1015,Taostats_CSV!R1015)))</f>
        <v>0.153372729</v>
      </c>
      <c r="G1015" t="str">
        <f ca="1">IF(AND(Q1015,N1015=1),OFFSET(Taostats_CSV!$E$1,MATCH(K1015&amp;H$1,Taostats_CSV!$X:$X,0)-1,0),"")</f>
        <v/>
      </c>
      <c r="H1015" t="str">
        <f ca="1">IF(AND(Q1015,N1015=1),OFFSET(Taostats_CSV!$G$1,MATCH(K1015&amp;H$1,Taostats_CSV!$X:$X,0)-1,0),"")</f>
        <v/>
      </c>
      <c r="I1015" t="str">
        <f ca="1">IF(AND(LEN(K1015)=0,LEN(F1015)&gt;0),"Income",IF(AND(O1015&gt;0,P1015&gt;0,C1015&lt;&gt;E1015),"Trade",IF(AND(NOT(Q1015),Taostats_CSV!F1015="fee"),'READ ME'!$C$5,"")))</f>
        <v>Income</v>
      </c>
      <c r="J1015" t="str">
        <f ca="1">SUBSTITUTE(IF(LEN(I1015)=0,Taostats_CSV!F1015&amp;" "&amp;Taostats_CSV!J1015,IF(I1015="Cost","Extrinsic fee","")),"_"," ")</f>
        <v/>
      </c>
      <c r="K1015" t="str">
        <f>TRIM(IF(LEN(Taostats_CSV!I1015)&gt;0,Taostats_CSV!I1015,""))</f>
        <v/>
      </c>
      <c r="L1015">
        <f ca="1">IF(Taostats_CSV!E1015&lt;&gt;"TAO",IF(LEN(F1015)&gt;0,F1015,IF(LEN(D1015)&gt;0,D1015,0))*Taostats_CSV!P1015,"")</f>
        <v>4.220414421479</v>
      </c>
      <c r="M1015" t="str">
        <f t="shared" ca="1" si="105"/>
        <v>USD</v>
      </c>
      <c r="N1015">
        <f>COUNTIF(Taostats_CSV!$X:$X,Taostats_CSV!$I1015&amp;N$1)</f>
        <v>0</v>
      </c>
      <c r="O1015">
        <f>COUNTIF(Taostats_CSV!$X:$X,Taostats_CSV!$I1015&amp;O$1)</f>
        <v>0</v>
      </c>
      <c r="P1015">
        <f>COUNTIF(Taostats_CSV!$X:$X,Taostats_CSV!$I1015&amp;P$1)</f>
        <v>0</v>
      </c>
      <c r="Q1015" t="b">
        <f t="shared" si="106"/>
        <v>0</v>
      </c>
      <c r="R1015" t="b">
        <f>IF(LEN(K1015)&gt;0,COUNTIF($K$3:K1015,K1015),FALSE)</f>
        <v>0</v>
      </c>
      <c r="S1015" t="b">
        <f>IF(Taostats_CSV!A1015=Taostats_CSV!$A$2,TRUE,Taostats_CSV!G1015+Taostats_CSV!H1015+Taostats_CSV!R1015=0)</f>
        <v>0</v>
      </c>
      <c r="T1015" t="b">
        <f t="shared" si="107"/>
        <v>1</v>
      </c>
      <c r="U1015" t="b" cm="1">
        <f t="array" aca="1" ref="U1015" ca="1">AND(T1015,OR(O1015-N1015&gt;1,P1015&gt;1,ISERROR(A1015:P1015)))</f>
        <v>0</v>
      </c>
      <c r="W1015" t="e">
        <f>MATCH(K1015&amp;$W$2,Taostats_CSV!$X$3:$X$1167,0)</f>
        <v>#N/A</v>
      </c>
      <c r="X1015" t="e">
        <f t="shared" ca="1" si="102"/>
        <v>#VALUE!</v>
      </c>
      <c r="Y1015">
        <f t="shared" ca="1" si="103"/>
        <v>0.15337272900000001</v>
      </c>
      <c r="Z1015" t="e">
        <f t="shared" ca="1" si="104"/>
        <v>#VALUE!</v>
      </c>
    </row>
    <row r="1016" spans="1:26" x14ac:dyDescent="0.4">
      <c r="A1016" t="str">
        <f>MID(Taostats_CSV!C1016,6,2)&amp;"/"&amp;MID(Taostats_CSV!C1016,9,2)&amp;"/"&amp;LEFT(Taostats_CSV!C1016,4)&amp;" "&amp;MID(Taostats_CSV!C1016,12,8)</f>
        <v>09/29/2025 23:59:48</v>
      </c>
      <c r="C1016" t="str">
        <f ca="1">IF(Q1016,OFFSET(Taostats_CSV!$E$1,MATCH(K1016&amp;D$1,Taostats_CSV!$X:$X,0)-1,0),IF(Taostats_CSV!F1016="fee",IF(VALUE(Taostats_CSV!G1016)&gt;0,Taostats_CSV!E1016,""),""))</f>
        <v/>
      </c>
      <c r="D1016" t="str">
        <f ca="1">IF(Q1016,OFFSET(Taostats_CSV!$G$1,MATCH(K1016&amp;D$1,Taostats_CSV!$X:$X,0)-1,0),IF(Taostats_CSV!F1016="fee",IF(VALUE(Taostats_CSV!G1016)&gt;0,Taostats_CSV!G1016,""),""))</f>
        <v/>
      </c>
      <c r="E1016" t="str">
        <f ca="1">IF(AND(Q1016,P1016&gt;0),OFFSET(Taostats_CSV!$E$1,MATCH(K1016&amp;F$1,Taostats_CSV!$X:$X,0)-1,0),IF(LEN(F1016)&gt;0,Taostats_CSV!E1016,""))</f>
        <v>TAO</v>
      </c>
      <c r="F1016" t="str">
        <f ca="1">TRIM(IF(AND(Q1016,P1016&gt;0),OFFSET(Taostats_CSV!$H$1,MATCH(K1016&amp;F$1,Taostats_CSV!$X:$X,0)-1,0),IF(LEN(Taostats_CSV!H1016)&gt;0,Taostats_CSV!H1016,Taostats_CSV!R1016)))</f>
        <v>0.009530983</v>
      </c>
      <c r="G1016" t="str">
        <f ca="1">IF(AND(Q1016,N1016=1),OFFSET(Taostats_CSV!$E$1,MATCH(K1016&amp;H$1,Taostats_CSV!$X:$X,0)-1,0),"")</f>
        <v/>
      </c>
      <c r="H1016" t="str">
        <f ca="1">IF(AND(Q1016,N1016=1),OFFSET(Taostats_CSV!$G$1,MATCH(K1016&amp;H$1,Taostats_CSV!$X:$X,0)-1,0),"")</f>
        <v/>
      </c>
      <c r="I1016" t="str">
        <f ca="1">IF(AND(LEN(K1016)=0,LEN(F1016)&gt;0),"Income",IF(AND(O1016&gt;0,P1016&gt;0,C1016&lt;&gt;E1016),"Trade",IF(AND(NOT(Q1016),Taostats_CSV!F1016="fee"),'READ ME'!$C$5,"")))</f>
        <v>Income</v>
      </c>
      <c r="J1016" t="str">
        <f ca="1">SUBSTITUTE(IF(LEN(I1016)=0,Taostats_CSV!F1016&amp;" "&amp;Taostats_CSV!J1016,IF(I1016="Cost","Extrinsic fee","")),"_"," ")</f>
        <v/>
      </c>
      <c r="K1016" t="str">
        <f>TRIM(IF(LEN(Taostats_CSV!I1016)&gt;0,Taostats_CSV!I1016,""))</f>
        <v/>
      </c>
      <c r="L1016" t="str">
        <f>IF(Taostats_CSV!E1016&lt;&gt;"TAO",IF(LEN(F1016)&gt;0,F1016,IF(LEN(D1016)&gt;0,D1016,0))*Taostats_CSV!P1016,"")</f>
        <v/>
      </c>
      <c r="M1016" t="str">
        <f t="shared" si="105"/>
        <v/>
      </c>
      <c r="N1016">
        <f>COUNTIF(Taostats_CSV!$X:$X,Taostats_CSV!$I1016&amp;N$1)</f>
        <v>0</v>
      </c>
      <c r="O1016">
        <f>COUNTIF(Taostats_CSV!$X:$X,Taostats_CSV!$I1016&amp;O$1)</f>
        <v>0</v>
      </c>
      <c r="P1016">
        <f>COUNTIF(Taostats_CSV!$X:$X,Taostats_CSV!$I1016&amp;P$1)</f>
        <v>0</v>
      </c>
      <c r="Q1016" t="b">
        <f t="shared" si="106"/>
        <v>0</v>
      </c>
      <c r="R1016" t="b">
        <f>IF(LEN(K1016)&gt;0,COUNTIF($K$3:K1016,K1016),FALSE)</f>
        <v>0</v>
      </c>
      <c r="S1016" t="b">
        <f>IF(Taostats_CSV!A1016=Taostats_CSV!$A$2,TRUE,Taostats_CSV!G1016+Taostats_CSV!H1016+Taostats_CSV!R1016=0)</f>
        <v>0</v>
      </c>
      <c r="T1016" t="b">
        <f t="shared" si="107"/>
        <v>1</v>
      </c>
      <c r="U1016" t="b" cm="1">
        <f t="array" aca="1" ref="U1016" ca="1">AND(T1016,OR(O1016-N1016&gt;1,P1016&gt;1,ISERROR(A1016:P1016)))</f>
        <v>0</v>
      </c>
      <c r="W1016" t="e">
        <f>MATCH(K1016&amp;$W$2,Taostats_CSV!$X$3:$X$1167,0)</f>
        <v>#N/A</v>
      </c>
      <c r="X1016" t="e">
        <f t="shared" ca="1" si="102"/>
        <v>#VALUE!</v>
      </c>
      <c r="Y1016">
        <f t="shared" ca="1" si="103"/>
        <v>9.5309829999999998E-3</v>
      </c>
      <c r="Z1016" t="e">
        <f t="shared" ca="1" si="104"/>
        <v>#VALUE!</v>
      </c>
    </row>
    <row r="1017" spans="1:26" x14ac:dyDescent="0.4">
      <c r="A1017" t="str">
        <f>MID(Taostats_CSV!C1017,6,2)&amp;"/"&amp;MID(Taostats_CSV!C1017,9,2)&amp;"/"&amp;LEFT(Taostats_CSV!C1017,4)&amp;" "&amp;MID(Taostats_CSV!C1017,12,8)</f>
        <v>09/30/2025 23:59:48</v>
      </c>
      <c r="C1017" t="str">
        <f ca="1">IF(Q1017,OFFSET(Taostats_CSV!$E$1,MATCH(K1017&amp;D$1,Taostats_CSV!$X:$X,0)-1,0),IF(Taostats_CSV!F1017="fee",IF(VALUE(Taostats_CSV!G1017)&gt;0,Taostats_CSV!E1017,""),""))</f>
        <v/>
      </c>
      <c r="D1017" t="str">
        <f ca="1">IF(Q1017,OFFSET(Taostats_CSV!$G$1,MATCH(K1017&amp;D$1,Taostats_CSV!$X:$X,0)-1,0),IF(Taostats_CSV!F1017="fee",IF(VALUE(Taostats_CSV!G1017)&gt;0,Taostats_CSV!G1017,""),""))</f>
        <v/>
      </c>
      <c r="E1017" t="str">
        <f ca="1">IF(AND(Q1017,P1017&gt;0),OFFSET(Taostats_CSV!$E$1,MATCH(K1017&amp;F$1,Taostats_CSV!$X:$X,0)-1,0),IF(LEN(F1017)&gt;0,Taostats_CSV!E1017,""))</f>
        <v>SN3</v>
      </c>
      <c r="F1017" t="str">
        <f ca="1">TRIM(IF(AND(Q1017,P1017&gt;0),OFFSET(Taostats_CSV!$H$1,MATCH(K1017&amp;F$1,Taostats_CSV!$X:$X,0)-1,0),IF(LEN(Taostats_CSV!H1017)&gt;0,Taostats_CSV!H1017,Taostats_CSV!R1017)))</f>
        <v>0.524684156</v>
      </c>
      <c r="G1017" t="str">
        <f ca="1">IF(AND(Q1017,N1017=1),OFFSET(Taostats_CSV!$E$1,MATCH(K1017&amp;H$1,Taostats_CSV!$X:$X,0)-1,0),"")</f>
        <v/>
      </c>
      <c r="H1017" t="str">
        <f ca="1">IF(AND(Q1017,N1017=1),OFFSET(Taostats_CSV!$G$1,MATCH(K1017&amp;H$1,Taostats_CSV!$X:$X,0)-1,0),"")</f>
        <v/>
      </c>
      <c r="I1017" t="str">
        <f ca="1">IF(AND(LEN(K1017)=0,LEN(F1017)&gt;0),"Income",IF(AND(O1017&gt;0,P1017&gt;0,C1017&lt;&gt;E1017),"Trade",IF(AND(NOT(Q1017),Taostats_CSV!F1017="fee"),'READ ME'!$C$5,"")))</f>
        <v>Income</v>
      </c>
      <c r="J1017" t="str">
        <f ca="1">SUBSTITUTE(IF(LEN(I1017)=0,Taostats_CSV!F1017&amp;" "&amp;Taostats_CSV!J1017,IF(I1017="Cost","Extrinsic fee","")),"_"," ")</f>
        <v/>
      </c>
      <c r="K1017" t="str">
        <f>TRIM(IF(LEN(Taostats_CSV!I1017)&gt;0,Taostats_CSV!I1017,""))</f>
        <v/>
      </c>
      <c r="L1017">
        <f ca="1">IF(Taostats_CSV!E1017&lt;&gt;"TAO",IF(LEN(F1017)&gt;0,F1017,IF(LEN(D1017)&gt;0,D1017,0))*Taostats_CSV!P1017,"")</f>
        <v>4.907198917807678</v>
      </c>
      <c r="M1017" t="str">
        <f t="shared" ca="1" si="105"/>
        <v>USD</v>
      </c>
      <c r="N1017">
        <f>COUNTIF(Taostats_CSV!$X:$X,Taostats_CSV!$I1017&amp;N$1)</f>
        <v>0</v>
      </c>
      <c r="O1017">
        <f>COUNTIF(Taostats_CSV!$X:$X,Taostats_CSV!$I1017&amp;O$1)</f>
        <v>0</v>
      </c>
      <c r="P1017">
        <f>COUNTIF(Taostats_CSV!$X:$X,Taostats_CSV!$I1017&amp;P$1)</f>
        <v>0</v>
      </c>
      <c r="Q1017" t="b">
        <f t="shared" si="106"/>
        <v>0</v>
      </c>
      <c r="R1017" t="b">
        <f>IF(LEN(K1017)&gt;0,COUNTIF($K$3:K1017,K1017),FALSE)</f>
        <v>0</v>
      </c>
      <c r="S1017" t="b">
        <f>IF(Taostats_CSV!A1017=Taostats_CSV!$A$2,TRUE,Taostats_CSV!G1017+Taostats_CSV!H1017+Taostats_CSV!R1017=0)</f>
        <v>0</v>
      </c>
      <c r="T1017" t="b">
        <f t="shared" si="107"/>
        <v>1</v>
      </c>
      <c r="U1017" t="b" cm="1">
        <f t="array" aca="1" ref="U1017" ca="1">AND(T1017,OR(O1017-N1017&gt;1,P1017&gt;1,ISERROR(A1017:P1017)))</f>
        <v>0</v>
      </c>
      <c r="W1017" t="e">
        <f>MATCH(K1017&amp;$W$2,Taostats_CSV!$X$3:$X$1167,0)</f>
        <v>#N/A</v>
      </c>
      <c r="X1017" t="e">
        <f t="shared" ca="1" si="102"/>
        <v>#VALUE!</v>
      </c>
      <c r="Y1017">
        <f t="shared" ca="1" si="103"/>
        <v>0.52468415599999996</v>
      </c>
      <c r="Z1017" t="e">
        <f t="shared" ca="1" si="104"/>
        <v>#VALUE!</v>
      </c>
    </row>
    <row r="1018" spans="1:26" x14ac:dyDescent="0.4">
      <c r="A1018" t="str">
        <f>MID(Taostats_CSV!C1018,6,2)&amp;"/"&amp;MID(Taostats_CSV!C1018,9,2)&amp;"/"&amp;LEFT(Taostats_CSV!C1018,4)&amp;" "&amp;MID(Taostats_CSV!C1018,12,8)</f>
        <v>09/30/2025 23:59:48</v>
      </c>
      <c r="C1018" t="str">
        <f ca="1">IF(Q1018,OFFSET(Taostats_CSV!$E$1,MATCH(K1018&amp;D$1,Taostats_CSV!$X:$X,0)-1,0),IF(Taostats_CSV!F1018="fee",IF(VALUE(Taostats_CSV!G1018)&gt;0,Taostats_CSV!E1018,""),""))</f>
        <v/>
      </c>
      <c r="D1018" t="str">
        <f ca="1">IF(Q1018,OFFSET(Taostats_CSV!$G$1,MATCH(K1018&amp;D$1,Taostats_CSV!$X:$X,0)-1,0),IF(Taostats_CSV!F1018="fee",IF(VALUE(Taostats_CSV!G1018)&gt;0,Taostats_CSV!G1018,""),""))</f>
        <v/>
      </c>
      <c r="E1018" t="str">
        <f ca="1">IF(AND(Q1018,P1018&gt;0),OFFSET(Taostats_CSV!$E$1,MATCH(K1018&amp;F$1,Taostats_CSV!$X:$X,0)-1,0),IF(LEN(F1018)&gt;0,Taostats_CSV!E1018,""))</f>
        <v>SN4</v>
      </c>
      <c r="F1018" t="str">
        <f ca="1">TRIM(IF(AND(Q1018,P1018&gt;0),OFFSET(Taostats_CSV!$H$1,MATCH(K1018&amp;F$1,Taostats_CSV!$X:$X,0)-1,0),IF(LEN(Taostats_CSV!H1018)&gt;0,Taostats_CSV!H1018,Taostats_CSV!R1018)))</f>
        <v>0.40620934</v>
      </c>
      <c r="G1018" t="str">
        <f ca="1">IF(AND(Q1018,N1018=1),OFFSET(Taostats_CSV!$E$1,MATCH(K1018&amp;H$1,Taostats_CSV!$X:$X,0)-1,0),"")</f>
        <v/>
      </c>
      <c r="H1018" t="str">
        <f ca="1">IF(AND(Q1018,N1018=1),OFFSET(Taostats_CSV!$G$1,MATCH(K1018&amp;H$1,Taostats_CSV!$X:$X,0)-1,0),"")</f>
        <v/>
      </c>
      <c r="I1018" t="str">
        <f ca="1">IF(AND(LEN(K1018)=0,LEN(F1018)&gt;0),"Income",IF(AND(O1018&gt;0,P1018&gt;0,C1018&lt;&gt;E1018),"Trade",IF(AND(NOT(Q1018),Taostats_CSV!F1018="fee"),'READ ME'!$C$5,"")))</f>
        <v>Income</v>
      </c>
      <c r="J1018" t="str">
        <f ca="1">SUBSTITUTE(IF(LEN(I1018)=0,Taostats_CSV!F1018&amp;" "&amp;Taostats_CSV!J1018,IF(I1018="Cost","Extrinsic fee","")),"_"," ")</f>
        <v/>
      </c>
      <c r="K1018" t="str">
        <f>TRIM(IF(LEN(Taostats_CSV!I1018)&gt;0,Taostats_CSV!I1018,""))</f>
        <v/>
      </c>
      <c r="L1018">
        <f ca="1">IF(Taostats_CSV!E1018&lt;&gt;"TAO",IF(LEN(F1018)&gt;0,F1018,IF(LEN(D1018)&gt;0,D1018,0))*Taostats_CSV!P1018,"")</f>
        <v>5.8259729885448293</v>
      </c>
      <c r="M1018" t="str">
        <f t="shared" ca="1" si="105"/>
        <v>USD</v>
      </c>
      <c r="N1018">
        <f>COUNTIF(Taostats_CSV!$X:$X,Taostats_CSV!$I1018&amp;N$1)</f>
        <v>0</v>
      </c>
      <c r="O1018">
        <f>COUNTIF(Taostats_CSV!$X:$X,Taostats_CSV!$I1018&amp;O$1)</f>
        <v>0</v>
      </c>
      <c r="P1018">
        <f>COUNTIF(Taostats_CSV!$X:$X,Taostats_CSV!$I1018&amp;P$1)</f>
        <v>0</v>
      </c>
      <c r="Q1018" t="b">
        <f t="shared" si="106"/>
        <v>0</v>
      </c>
      <c r="R1018" t="b">
        <f>IF(LEN(K1018)&gt;0,COUNTIF($K$3:K1018,K1018),FALSE)</f>
        <v>0</v>
      </c>
      <c r="S1018" t="b">
        <f>IF(Taostats_CSV!A1018=Taostats_CSV!$A$2,TRUE,Taostats_CSV!G1018+Taostats_CSV!H1018+Taostats_CSV!R1018=0)</f>
        <v>0</v>
      </c>
      <c r="T1018" t="b">
        <f t="shared" si="107"/>
        <v>1</v>
      </c>
      <c r="U1018" t="b" cm="1">
        <f t="array" aca="1" ref="U1018" ca="1">AND(T1018,OR(O1018-N1018&gt;1,P1018&gt;1,ISERROR(A1018:P1018)))</f>
        <v>0</v>
      </c>
      <c r="W1018" t="e">
        <f>MATCH(K1018&amp;$W$2,Taostats_CSV!$X$3:$X$1167,0)</f>
        <v>#N/A</v>
      </c>
      <c r="X1018" t="e">
        <f t="shared" ca="1" si="102"/>
        <v>#VALUE!</v>
      </c>
      <c r="Y1018">
        <f t="shared" ca="1" si="103"/>
        <v>0.40620933999999997</v>
      </c>
      <c r="Z1018" t="e">
        <f t="shared" ca="1" si="104"/>
        <v>#VALUE!</v>
      </c>
    </row>
    <row r="1019" spans="1:26" x14ac:dyDescent="0.4">
      <c r="A1019" t="str">
        <f>MID(Taostats_CSV!C1019,6,2)&amp;"/"&amp;MID(Taostats_CSV!C1019,9,2)&amp;"/"&amp;LEFT(Taostats_CSV!C1019,4)&amp;" "&amp;MID(Taostats_CSV!C1019,12,8)</f>
        <v>09/30/2025 23:59:48</v>
      </c>
      <c r="C1019" t="str">
        <f ca="1">IF(Q1019,OFFSET(Taostats_CSV!$E$1,MATCH(K1019&amp;D$1,Taostats_CSV!$X:$X,0)-1,0),IF(Taostats_CSV!F1019="fee",IF(VALUE(Taostats_CSV!G1019)&gt;0,Taostats_CSV!E1019,""),""))</f>
        <v/>
      </c>
      <c r="D1019" t="str">
        <f ca="1">IF(Q1019,OFFSET(Taostats_CSV!$G$1,MATCH(K1019&amp;D$1,Taostats_CSV!$X:$X,0)-1,0),IF(Taostats_CSV!F1019="fee",IF(VALUE(Taostats_CSV!G1019)&gt;0,Taostats_CSV!G1019,""),""))</f>
        <v/>
      </c>
      <c r="E1019" t="str">
        <f ca="1">IF(AND(Q1019,P1019&gt;0),OFFSET(Taostats_CSV!$E$1,MATCH(K1019&amp;F$1,Taostats_CSV!$X:$X,0)-1,0),IF(LEN(F1019)&gt;0,Taostats_CSV!E1019,""))</f>
        <v>SN56</v>
      </c>
      <c r="F1019" t="str">
        <f ca="1">TRIM(IF(AND(Q1019,P1019&gt;0),OFFSET(Taostats_CSV!$H$1,MATCH(K1019&amp;F$1,Taostats_CSV!$X:$X,0)-1,0),IF(LEN(Taostats_CSV!H1019)&gt;0,Taostats_CSV!H1019,Taostats_CSV!R1019)))</f>
        <v>0.29995112</v>
      </c>
      <c r="G1019" t="str">
        <f ca="1">IF(AND(Q1019,N1019=1),OFFSET(Taostats_CSV!$E$1,MATCH(K1019&amp;H$1,Taostats_CSV!$X:$X,0)-1,0),"")</f>
        <v/>
      </c>
      <c r="H1019" t="str">
        <f ca="1">IF(AND(Q1019,N1019=1),OFFSET(Taostats_CSV!$G$1,MATCH(K1019&amp;H$1,Taostats_CSV!$X:$X,0)-1,0),"")</f>
        <v/>
      </c>
      <c r="I1019" t="str">
        <f ca="1">IF(AND(LEN(K1019)=0,LEN(F1019)&gt;0),"Income",IF(AND(O1019&gt;0,P1019&gt;0,C1019&lt;&gt;E1019),"Trade",IF(AND(NOT(Q1019),Taostats_CSV!F1019="fee"),'READ ME'!$C$5,"")))</f>
        <v>Income</v>
      </c>
      <c r="J1019" t="str">
        <f ca="1">SUBSTITUTE(IF(LEN(I1019)=0,Taostats_CSV!F1019&amp;" "&amp;Taostats_CSV!J1019,IF(I1019="Cost","Extrinsic fee","")),"_"," ")</f>
        <v/>
      </c>
      <c r="K1019" t="str">
        <f>TRIM(IF(LEN(Taostats_CSV!I1019)&gt;0,Taostats_CSV!I1019,""))</f>
        <v/>
      </c>
      <c r="L1019">
        <f ca="1">IF(Taostats_CSV!E1019&lt;&gt;"TAO",IF(LEN(F1019)&gt;0,F1019,IF(LEN(D1019)&gt;0,D1019,0))*Taostats_CSV!P1019,"")</f>
        <v>3.3977133484778852</v>
      </c>
      <c r="M1019" t="str">
        <f t="shared" ca="1" si="105"/>
        <v>USD</v>
      </c>
      <c r="N1019">
        <f>COUNTIF(Taostats_CSV!$X:$X,Taostats_CSV!$I1019&amp;N$1)</f>
        <v>0</v>
      </c>
      <c r="O1019">
        <f>COUNTIF(Taostats_CSV!$X:$X,Taostats_CSV!$I1019&amp;O$1)</f>
        <v>0</v>
      </c>
      <c r="P1019">
        <f>COUNTIF(Taostats_CSV!$X:$X,Taostats_CSV!$I1019&amp;P$1)</f>
        <v>0</v>
      </c>
      <c r="Q1019" t="b">
        <f t="shared" si="106"/>
        <v>0</v>
      </c>
      <c r="R1019" t="b">
        <f>IF(LEN(K1019)&gt;0,COUNTIF($K$3:K1019,K1019),FALSE)</f>
        <v>0</v>
      </c>
      <c r="S1019" t="b">
        <f>IF(Taostats_CSV!A1019=Taostats_CSV!$A$2,TRUE,Taostats_CSV!G1019+Taostats_CSV!H1019+Taostats_CSV!R1019=0)</f>
        <v>0</v>
      </c>
      <c r="T1019" t="b">
        <f t="shared" si="107"/>
        <v>1</v>
      </c>
      <c r="U1019" t="b" cm="1">
        <f t="array" aca="1" ref="U1019" ca="1">AND(T1019,OR(O1019-N1019&gt;1,P1019&gt;1,ISERROR(A1019:P1019)))</f>
        <v>0</v>
      </c>
      <c r="W1019" t="e">
        <f>MATCH(K1019&amp;$W$2,Taostats_CSV!$X$3:$X$1167,0)</f>
        <v>#N/A</v>
      </c>
      <c r="X1019" t="e">
        <f t="shared" ca="1" si="102"/>
        <v>#VALUE!</v>
      </c>
      <c r="Y1019">
        <f t="shared" ca="1" si="103"/>
        <v>0.29995112000000002</v>
      </c>
      <c r="Z1019" t="e">
        <f t="shared" ca="1" si="104"/>
        <v>#VALUE!</v>
      </c>
    </row>
    <row r="1020" spans="1:26" x14ac:dyDescent="0.4">
      <c r="A1020" t="str">
        <f>MID(Taostats_CSV!C1020,6,2)&amp;"/"&amp;MID(Taostats_CSV!C1020,9,2)&amp;"/"&amp;LEFT(Taostats_CSV!C1020,4)&amp;" "&amp;MID(Taostats_CSV!C1020,12,8)</f>
        <v>09/30/2025 23:59:48</v>
      </c>
      <c r="C1020" t="str">
        <f ca="1">IF(Q1020,OFFSET(Taostats_CSV!$E$1,MATCH(K1020&amp;D$1,Taostats_CSV!$X:$X,0)-1,0),IF(Taostats_CSV!F1020="fee",IF(VALUE(Taostats_CSV!G1020)&gt;0,Taostats_CSV!E1020,""),""))</f>
        <v/>
      </c>
      <c r="D1020" t="str">
        <f ca="1">IF(Q1020,OFFSET(Taostats_CSV!$G$1,MATCH(K1020&amp;D$1,Taostats_CSV!$X:$X,0)-1,0),IF(Taostats_CSV!F1020="fee",IF(VALUE(Taostats_CSV!G1020)&gt;0,Taostats_CSV!G1020,""),""))</f>
        <v/>
      </c>
      <c r="E1020" t="str">
        <f ca="1">IF(AND(Q1020,P1020&gt;0),OFFSET(Taostats_CSV!$E$1,MATCH(K1020&amp;F$1,Taostats_CSV!$X:$X,0)-1,0),IF(LEN(F1020)&gt;0,Taostats_CSV!E1020,""))</f>
        <v>SN64</v>
      </c>
      <c r="F1020" t="str">
        <f ca="1">TRIM(IF(AND(Q1020,P1020&gt;0),OFFSET(Taostats_CSV!$H$1,MATCH(K1020&amp;F$1,Taostats_CSV!$X:$X,0)-1,0),IF(LEN(Taostats_CSV!H1020)&gt;0,Taostats_CSV!H1020,Taostats_CSV!R1020)))</f>
        <v>0.154861997</v>
      </c>
      <c r="G1020" t="str">
        <f ca="1">IF(AND(Q1020,N1020=1),OFFSET(Taostats_CSV!$E$1,MATCH(K1020&amp;H$1,Taostats_CSV!$X:$X,0)-1,0),"")</f>
        <v/>
      </c>
      <c r="H1020" t="str">
        <f ca="1">IF(AND(Q1020,N1020=1),OFFSET(Taostats_CSV!$G$1,MATCH(K1020&amp;H$1,Taostats_CSV!$X:$X,0)-1,0),"")</f>
        <v/>
      </c>
      <c r="I1020" t="str">
        <f ca="1">IF(AND(LEN(K1020)=0,LEN(F1020)&gt;0),"Income",IF(AND(O1020&gt;0,P1020&gt;0,C1020&lt;&gt;E1020),"Trade",IF(AND(NOT(Q1020),Taostats_CSV!F1020="fee"),'READ ME'!$C$5,"")))</f>
        <v>Income</v>
      </c>
      <c r="J1020" t="str">
        <f ca="1">SUBSTITUTE(IF(LEN(I1020)=0,Taostats_CSV!F1020&amp;" "&amp;Taostats_CSV!J1020,IF(I1020="Cost","Extrinsic fee","")),"_"," ")</f>
        <v/>
      </c>
      <c r="K1020" t="str">
        <f>TRIM(IF(LEN(Taostats_CSV!I1020)&gt;0,Taostats_CSV!I1020,""))</f>
        <v/>
      </c>
      <c r="L1020">
        <f ca="1">IF(Taostats_CSV!E1020&lt;&gt;"TAO",IF(LEN(F1020)&gt;0,F1020,IF(LEN(D1020)&gt;0,D1020,0))*Taostats_CSV!P1020,"")</f>
        <v>4.0763739067755917</v>
      </c>
      <c r="M1020" t="str">
        <f t="shared" ca="1" si="105"/>
        <v>USD</v>
      </c>
      <c r="N1020">
        <f>COUNTIF(Taostats_CSV!$X:$X,Taostats_CSV!$I1020&amp;N$1)</f>
        <v>0</v>
      </c>
      <c r="O1020">
        <f>COUNTIF(Taostats_CSV!$X:$X,Taostats_CSV!$I1020&amp;O$1)</f>
        <v>0</v>
      </c>
      <c r="P1020">
        <f>COUNTIF(Taostats_CSV!$X:$X,Taostats_CSV!$I1020&amp;P$1)</f>
        <v>0</v>
      </c>
      <c r="Q1020" t="b">
        <f t="shared" si="106"/>
        <v>0</v>
      </c>
      <c r="R1020" t="b">
        <f>IF(LEN(K1020)&gt;0,COUNTIF($K$3:K1020,K1020),FALSE)</f>
        <v>0</v>
      </c>
      <c r="S1020" t="b">
        <f>IF(Taostats_CSV!A1020=Taostats_CSV!$A$2,TRUE,Taostats_CSV!G1020+Taostats_CSV!H1020+Taostats_CSV!R1020=0)</f>
        <v>0</v>
      </c>
      <c r="T1020" t="b">
        <f t="shared" si="107"/>
        <v>1</v>
      </c>
      <c r="U1020" t="b" cm="1">
        <f t="array" aca="1" ref="U1020" ca="1">AND(T1020,OR(O1020-N1020&gt;1,P1020&gt;1,ISERROR(A1020:P1020)))</f>
        <v>0</v>
      </c>
      <c r="W1020" t="e">
        <f>MATCH(K1020&amp;$W$2,Taostats_CSV!$X$3:$X$1167,0)</f>
        <v>#N/A</v>
      </c>
      <c r="X1020" t="e">
        <f t="shared" ca="1" si="102"/>
        <v>#VALUE!</v>
      </c>
      <c r="Y1020">
        <f t="shared" ca="1" si="103"/>
        <v>0.154861997</v>
      </c>
      <c r="Z1020" t="e">
        <f t="shared" ca="1" si="104"/>
        <v>#VALUE!</v>
      </c>
    </row>
    <row r="1021" spans="1:26" x14ac:dyDescent="0.4">
      <c r="A1021" t="str">
        <f>MID(Taostats_CSV!C1021,6,2)&amp;"/"&amp;MID(Taostats_CSV!C1021,9,2)&amp;"/"&amp;LEFT(Taostats_CSV!C1021,4)&amp;" "&amp;MID(Taostats_CSV!C1021,12,8)</f>
        <v>09/30/2025 23:59:48</v>
      </c>
      <c r="C1021" t="str">
        <f ca="1">IF(Q1021,OFFSET(Taostats_CSV!$E$1,MATCH(K1021&amp;D$1,Taostats_CSV!$X:$X,0)-1,0),IF(Taostats_CSV!F1021="fee",IF(VALUE(Taostats_CSV!G1021)&gt;0,Taostats_CSV!E1021,""),""))</f>
        <v/>
      </c>
      <c r="D1021" t="str">
        <f ca="1">IF(Q1021,OFFSET(Taostats_CSV!$G$1,MATCH(K1021&amp;D$1,Taostats_CSV!$X:$X,0)-1,0),IF(Taostats_CSV!F1021="fee",IF(VALUE(Taostats_CSV!G1021)&gt;0,Taostats_CSV!G1021,""),""))</f>
        <v/>
      </c>
      <c r="E1021" t="str">
        <f ca="1">IF(AND(Q1021,P1021&gt;0),OFFSET(Taostats_CSV!$E$1,MATCH(K1021&amp;F$1,Taostats_CSV!$X:$X,0)-1,0),IF(LEN(F1021)&gt;0,Taostats_CSV!E1021,""))</f>
        <v>TAO</v>
      </c>
      <c r="F1021" t="str">
        <f ca="1">TRIM(IF(AND(Q1021,P1021&gt;0),OFFSET(Taostats_CSV!$H$1,MATCH(K1021&amp;F$1,Taostats_CSV!$X:$X,0)-1,0),IF(LEN(Taostats_CSV!H1021)&gt;0,Taostats_CSV!H1021,Taostats_CSV!R1021)))</f>
        <v>0.009231496</v>
      </c>
      <c r="G1021" t="str">
        <f ca="1">IF(AND(Q1021,N1021=1),OFFSET(Taostats_CSV!$E$1,MATCH(K1021&amp;H$1,Taostats_CSV!$X:$X,0)-1,0),"")</f>
        <v/>
      </c>
      <c r="H1021" t="str">
        <f ca="1">IF(AND(Q1021,N1021=1),OFFSET(Taostats_CSV!$G$1,MATCH(K1021&amp;H$1,Taostats_CSV!$X:$X,0)-1,0),"")</f>
        <v/>
      </c>
      <c r="I1021" t="str">
        <f ca="1">IF(AND(LEN(K1021)=0,LEN(F1021)&gt;0),"Income",IF(AND(O1021&gt;0,P1021&gt;0,C1021&lt;&gt;E1021),"Trade",IF(AND(NOT(Q1021),Taostats_CSV!F1021="fee"),'READ ME'!$C$5,"")))</f>
        <v>Income</v>
      </c>
      <c r="J1021" t="str">
        <f ca="1">SUBSTITUTE(IF(LEN(I1021)=0,Taostats_CSV!F1021&amp;" "&amp;Taostats_CSV!J1021,IF(I1021="Cost","Extrinsic fee","")),"_"," ")</f>
        <v/>
      </c>
      <c r="K1021" t="str">
        <f>TRIM(IF(LEN(Taostats_CSV!I1021)&gt;0,Taostats_CSV!I1021,""))</f>
        <v/>
      </c>
      <c r="L1021" t="str">
        <f>IF(Taostats_CSV!E1021&lt;&gt;"TAO",IF(LEN(F1021)&gt;0,F1021,IF(LEN(D1021)&gt;0,D1021,0))*Taostats_CSV!P1021,"")</f>
        <v/>
      </c>
      <c r="M1021" t="str">
        <f t="shared" si="105"/>
        <v/>
      </c>
      <c r="N1021">
        <f>COUNTIF(Taostats_CSV!$X:$X,Taostats_CSV!$I1021&amp;N$1)</f>
        <v>0</v>
      </c>
      <c r="O1021">
        <f>COUNTIF(Taostats_CSV!$X:$X,Taostats_CSV!$I1021&amp;O$1)</f>
        <v>0</v>
      </c>
      <c r="P1021">
        <f>COUNTIF(Taostats_CSV!$X:$X,Taostats_CSV!$I1021&amp;P$1)</f>
        <v>0</v>
      </c>
      <c r="Q1021" t="b">
        <f t="shared" si="106"/>
        <v>0</v>
      </c>
      <c r="R1021" t="b">
        <f>IF(LEN(K1021)&gt;0,COUNTIF($K$3:K1021,K1021),FALSE)</f>
        <v>0</v>
      </c>
      <c r="S1021" t="b">
        <f>IF(Taostats_CSV!A1021=Taostats_CSV!$A$2,TRUE,Taostats_CSV!G1021+Taostats_CSV!H1021+Taostats_CSV!R1021=0)</f>
        <v>0</v>
      </c>
      <c r="T1021" t="b">
        <f t="shared" si="107"/>
        <v>1</v>
      </c>
      <c r="U1021" t="b" cm="1">
        <f t="array" aca="1" ref="U1021" ca="1">AND(T1021,OR(O1021-N1021&gt;1,P1021&gt;1,ISERROR(A1021:P1021)))</f>
        <v>0</v>
      </c>
      <c r="W1021" t="e">
        <f>MATCH(K1021&amp;$W$2,Taostats_CSV!$X$3:$X$1167,0)</f>
        <v>#N/A</v>
      </c>
      <c r="X1021" t="e">
        <f t="shared" ca="1" si="102"/>
        <v>#VALUE!</v>
      </c>
      <c r="Y1021">
        <f t="shared" ca="1" si="103"/>
        <v>9.2314960000000005E-3</v>
      </c>
      <c r="Z1021" t="e">
        <f t="shared" ca="1" si="104"/>
        <v>#VALUE!</v>
      </c>
    </row>
    <row r="1022" spans="1:26" x14ac:dyDescent="0.4">
      <c r="A1022" t="str">
        <f>MID(Taostats_CSV!C1022,6,2)&amp;"/"&amp;MID(Taostats_CSV!C1022,9,2)&amp;"/"&amp;LEFT(Taostats_CSV!C1022,4)&amp;" "&amp;MID(Taostats_CSV!C1022,12,8)</f>
        <v>10/01/2025 23:59:48</v>
      </c>
      <c r="C1022" t="str">
        <f ca="1">IF(Q1022,OFFSET(Taostats_CSV!$E$1,MATCH(K1022&amp;D$1,Taostats_CSV!$X:$X,0)-1,0),IF(Taostats_CSV!F1022="fee",IF(VALUE(Taostats_CSV!G1022)&gt;0,Taostats_CSV!E1022,""),""))</f>
        <v/>
      </c>
      <c r="D1022" t="str">
        <f ca="1">IF(Q1022,OFFSET(Taostats_CSV!$G$1,MATCH(K1022&amp;D$1,Taostats_CSV!$X:$X,0)-1,0),IF(Taostats_CSV!F1022="fee",IF(VALUE(Taostats_CSV!G1022)&gt;0,Taostats_CSV!G1022,""),""))</f>
        <v/>
      </c>
      <c r="E1022" t="str">
        <f ca="1">IF(AND(Q1022,P1022&gt;0),OFFSET(Taostats_CSV!$E$1,MATCH(K1022&amp;F$1,Taostats_CSV!$X:$X,0)-1,0),IF(LEN(F1022)&gt;0,Taostats_CSV!E1022,""))</f>
        <v>SN3</v>
      </c>
      <c r="F1022" t="str">
        <f ca="1">TRIM(IF(AND(Q1022,P1022&gt;0),OFFSET(Taostats_CSV!$H$1,MATCH(K1022&amp;F$1,Taostats_CSV!$X:$X,0)-1,0),IF(LEN(Taostats_CSV!H1022)&gt;0,Taostats_CSV!H1022,Taostats_CSV!R1022)))</f>
        <v>0.52305855</v>
      </c>
      <c r="G1022" t="str">
        <f ca="1">IF(AND(Q1022,N1022=1),OFFSET(Taostats_CSV!$E$1,MATCH(K1022&amp;H$1,Taostats_CSV!$X:$X,0)-1,0),"")</f>
        <v/>
      </c>
      <c r="H1022" t="str">
        <f ca="1">IF(AND(Q1022,N1022=1),OFFSET(Taostats_CSV!$G$1,MATCH(K1022&amp;H$1,Taostats_CSV!$X:$X,0)-1,0),"")</f>
        <v/>
      </c>
      <c r="I1022" t="str">
        <f ca="1">IF(AND(LEN(K1022)=0,LEN(F1022)&gt;0),"Income",IF(AND(O1022&gt;0,P1022&gt;0,C1022&lt;&gt;E1022),"Trade",IF(AND(NOT(Q1022),Taostats_CSV!F1022="fee"),'READ ME'!$C$5,"")))</f>
        <v>Income</v>
      </c>
      <c r="J1022" t="str">
        <f ca="1">SUBSTITUTE(IF(LEN(I1022)=0,Taostats_CSV!F1022&amp;" "&amp;Taostats_CSV!J1022,IF(I1022="Cost","Extrinsic fee","")),"_"," ")</f>
        <v/>
      </c>
      <c r="K1022" t="str">
        <f>TRIM(IF(LEN(Taostats_CSV!I1022)&gt;0,Taostats_CSV!I1022,""))</f>
        <v/>
      </c>
      <c r="L1022">
        <f ca="1">IF(Taostats_CSV!E1022&lt;&gt;"TAO",IF(LEN(F1022)&gt;0,F1022,IF(LEN(D1022)&gt;0,D1022,0))*Taostats_CSV!P1022,"")</f>
        <v>5.1373334510787725</v>
      </c>
      <c r="M1022" t="str">
        <f t="shared" ca="1" si="105"/>
        <v>USD</v>
      </c>
      <c r="N1022">
        <f>COUNTIF(Taostats_CSV!$X:$X,Taostats_CSV!$I1022&amp;N$1)</f>
        <v>0</v>
      </c>
      <c r="O1022">
        <f>COUNTIF(Taostats_CSV!$X:$X,Taostats_CSV!$I1022&amp;O$1)</f>
        <v>0</v>
      </c>
      <c r="P1022">
        <f>COUNTIF(Taostats_CSV!$X:$X,Taostats_CSV!$I1022&amp;P$1)</f>
        <v>0</v>
      </c>
      <c r="Q1022" t="b">
        <f t="shared" si="106"/>
        <v>0</v>
      </c>
      <c r="R1022" t="b">
        <f>IF(LEN(K1022)&gt;0,COUNTIF($K$3:K1022,K1022),FALSE)</f>
        <v>0</v>
      </c>
      <c r="S1022" t="b">
        <f>IF(Taostats_CSV!A1022=Taostats_CSV!$A$2,TRUE,Taostats_CSV!G1022+Taostats_CSV!H1022+Taostats_CSV!R1022=0)</f>
        <v>0</v>
      </c>
      <c r="T1022" t="b">
        <f t="shared" si="107"/>
        <v>1</v>
      </c>
      <c r="U1022" t="b" cm="1">
        <f t="array" aca="1" ref="U1022" ca="1">AND(T1022,OR(O1022-N1022&gt;1,P1022&gt;1,ISERROR(A1022:P1022)))</f>
        <v>0</v>
      </c>
      <c r="W1022" t="e">
        <f>MATCH(K1022&amp;$W$2,Taostats_CSV!$X$3:$X$1167,0)</f>
        <v>#N/A</v>
      </c>
      <c r="X1022" t="e">
        <f t="shared" ca="1" si="102"/>
        <v>#VALUE!</v>
      </c>
      <c r="Y1022">
        <f t="shared" ca="1" si="103"/>
        <v>0.52305855000000001</v>
      </c>
      <c r="Z1022" t="e">
        <f t="shared" ca="1" si="104"/>
        <v>#VALUE!</v>
      </c>
    </row>
    <row r="1023" spans="1:26" x14ac:dyDescent="0.4">
      <c r="A1023" t="str">
        <f>MID(Taostats_CSV!C1023,6,2)&amp;"/"&amp;MID(Taostats_CSV!C1023,9,2)&amp;"/"&amp;LEFT(Taostats_CSV!C1023,4)&amp;" "&amp;MID(Taostats_CSV!C1023,12,8)</f>
        <v>10/01/2025 23:59:48</v>
      </c>
      <c r="C1023" t="str">
        <f ca="1">IF(Q1023,OFFSET(Taostats_CSV!$E$1,MATCH(K1023&amp;D$1,Taostats_CSV!$X:$X,0)-1,0),IF(Taostats_CSV!F1023="fee",IF(VALUE(Taostats_CSV!G1023)&gt;0,Taostats_CSV!E1023,""),""))</f>
        <v/>
      </c>
      <c r="D1023" t="str">
        <f ca="1">IF(Q1023,OFFSET(Taostats_CSV!$G$1,MATCH(K1023&amp;D$1,Taostats_CSV!$X:$X,0)-1,0),IF(Taostats_CSV!F1023="fee",IF(VALUE(Taostats_CSV!G1023)&gt;0,Taostats_CSV!G1023,""),""))</f>
        <v/>
      </c>
      <c r="E1023" t="str">
        <f ca="1">IF(AND(Q1023,P1023&gt;0),OFFSET(Taostats_CSV!$E$1,MATCH(K1023&amp;F$1,Taostats_CSV!$X:$X,0)-1,0),IF(LEN(F1023)&gt;0,Taostats_CSV!E1023,""))</f>
        <v>SN4</v>
      </c>
      <c r="F1023" t="str">
        <f ca="1">TRIM(IF(AND(Q1023,P1023&gt;0),OFFSET(Taostats_CSV!$H$1,MATCH(K1023&amp;F$1,Taostats_CSV!$X:$X,0)-1,0),IF(LEN(Taostats_CSV!H1023)&gt;0,Taostats_CSV!H1023,Taostats_CSV!R1023)))</f>
        <v>0.403553811</v>
      </c>
      <c r="G1023" t="str">
        <f ca="1">IF(AND(Q1023,N1023=1),OFFSET(Taostats_CSV!$E$1,MATCH(K1023&amp;H$1,Taostats_CSV!$X:$X,0)-1,0),"")</f>
        <v/>
      </c>
      <c r="H1023" t="str">
        <f ca="1">IF(AND(Q1023,N1023=1),OFFSET(Taostats_CSV!$G$1,MATCH(K1023&amp;H$1,Taostats_CSV!$X:$X,0)-1,0),"")</f>
        <v/>
      </c>
      <c r="I1023" t="str">
        <f ca="1">IF(AND(LEN(K1023)=0,LEN(F1023)&gt;0),"Income",IF(AND(O1023&gt;0,P1023&gt;0,C1023&lt;&gt;E1023),"Trade",IF(AND(NOT(Q1023),Taostats_CSV!F1023="fee"),'READ ME'!$C$5,"")))</f>
        <v>Income</v>
      </c>
      <c r="J1023" t="str">
        <f ca="1">SUBSTITUTE(IF(LEN(I1023)=0,Taostats_CSV!F1023&amp;" "&amp;Taostats_CSV!J1023,IF(I1023="Cost","Extrinsic fee","")),"_"," ")</f>
        <v/>
      </c>
      <c r="K1023" t="str">
        <f>TRIM(IF(LEN(Taostats_CSV!I1023)&gt;0,Taostats_CSV!I1023,""))</f>
        <v/>
      </c>
      <c r="L1023">
        <f ca="1">IF(Taostats_CSV!E1023&lt;&gt;"TAO",IF(LEN(F1023)&gt;0,F1023,IF(LEN(D1023)&gt;0,D1023,0))*Taostats_CSV!P1023,"")</f>
        <v>6.1165626230168728</v>
      </c>
      <c r="M1023" t="str">
        <f t="shared" ca="1" si="105"/>
        <v>USD</v>
      </c>
      <c r="N1023">
        <f>COUNTIF(Taostats_CSV!$X:$X,Taostats_CSV!$I1023&amp;N$1)</f>
        <v>0</v>
      </c>
      <c r="O1023">
        <f>COUNTIF(Taostats_CSV!$X:$X,Taostats_CSV!$I1023&amp;O$1)</f>
        <v>0</v>
      </c>
      <c r="P1023">
        <f>COUNTIF(Taostats_CSV!$X:$X,Taostats_CSV!$I1023&amp;P$1)</f>
        <v>0</v>
      </c>
      <c r="Q1023" t="b">
        <f t="shared" si="106"/>
        <v>0</v>
      </c>
      <c r="R1023" t="b">
        <f>IF(LEN(K1023)&gt;0,COUNTIF($K$3:K1023,K1023),FALSE)</f>
        <v>0</v>
      </c>
      <c r="S1023" t="b">
        <f>IF(Taostats_CSV!A1023=Taostats_CSV!$A$2,TRUE,Taostats_CSV!G1023+Taostats_CSV!H1023+Taostats_CSV!R1023=0)</f>
        <v>0</v>
      </c>
      <c r="T1023" t="b">
        <f t="shared" si="107"/>
        <v>1</v>
      </c>
      <c r="U1023" t="b" cm="1">
        <f t="array" aca="1" ref="U1023" ca="1">AND(T1023,OR(O1023-N1023&gt;1,P1023&gt;1,ISERROR(A1023:P1023)))</f>
        <v>0</v>
      </c>
      <c r="W1023" t="e">
        <f>MATCH(K1023&amp;$W$2,Taostats_CSV!$X$3:$X$1167,0)</f>
        <v>#N/A</v>
      </c>
      <c r="X1023" t="e">
        <f t="shared" ca="1" si="102"/>
        <v>#VALUE!</v>
      </c>
      <c r="Y1023">
        <f t="shared" ca="1" si="103"/>
        <v>0.40355381099999998</v>
      </c>
      <c r="Z1023" t="e">
        <f t="shared" ca="1" si="104"/>
        <v>#VALUE!</v>
      </c>
    </row>
    <row r="1024" spans="1:26" x14ac:dyDescent="0.4">
      <c r="A1024" t="str">
        <f>MID(Taostats_CSV!C1024,6,2)&amp;"/"&amp;MID(Taostats_CSV!C1024,9,2)&amp;"/"&amp;LEFT(Taostats_CSV!C1024,4)&amp;" "&amp;MID(Taostats_CSV!C1024,12,8)</f>
        <v>10/01/2025 23:59:48</v>
      </c>
      <c r="C1024" t="str">
        <f ca="1">IF(Q1024,OFFSET(Taostats_CSV!$E$1,MATCH(K1024&amp;D$1,Taostats_CSV!$X:$X,0)-1,0),IF(Taostats_CSV!F1024="fee",IF(VALUE(Taostats_CSV!G1024)&gt;0,Taostats_CSV!E1024,""),""))</f>
        <v/>
      </c>
      <c r="D1024" t="str">
        <f ca="1">IF(Q1024,OFFSET(Taostats_CSV!$G$1,MATCH(K1024&amp;D$1,Taostats_CSV!$X:$X,0)-1,0),IF(Taostats_CSV!F1024="fee",IF(VALUE(Taostats_CSV!G1024)&gt;0,Taostats_CSV!G1024,""),""))</f>
        <v/>
      </c>
      <c r="E1024" t="str">
        <f ca="1">IF(AND(Q1024,P1024&gt;0),OFFSET(Taostats_CSV!$E$1,MATCH(K1024&amp;F$1,Taostats_CSV!$X:$X,0)-1,0),IF(LEN(F1024)&gt;0,Taostats_CSV!E1024,""))</f>
        <v>SN56</v>
      </c>
      <c r="F1024" t="str">
        <f ca="1">TRIM(IF(AND(Q1024,P1024&gt;0),OFFSET(Taostats_CSV!$H$1,MATCH(K1024&amp;F$1,Taostats_CSV!$X:$X,0)-1,0),IF(LEN(Taostats_CSV!H1024)&gt;0,Taostats_CSV!H1024,Taostats_CSV!R1024)))</f>
        <v>0.29632108</v>
      </c>
      <c r="G1024" t="str">
        <f ca="1">IF(AND(Q1024,N1024=1),OFFSET(Taostats_CSV!$E$1,MATCH(K1024&amp;H$1,Taostats_CSV!$X:$X,0)-1,0),"")</f>
        <v/>
      </c>
      <c r="H1024" t="str">
        <f ca="1">IF(AND(Q1024,N1024=1),OFFSET(Taostats_CSV!$G$1,MATCH(K1024&amp;H$1,Taostats_CSV!$X:$X,0)-1,0),"")</f>
        <v/>
      </c>
      <c r="I1024" t="str">
        <f ca="1">IF(AND(LEN(K1024)=0,LEN(F1024)&gt;0),"Income",IF(AND(O1024&gt;0,P1024&gt;0,C1024&lt;&gt;E1024),"Trade",IF(AND(NOT(Q1024),Taostats_CSV!F1024="fee"),'READ ME'!$C$5,"")))</f>
        <v>Income</v>
      </c>
      <c r="J1024" t="str">
        <f ca="1">SUBSTITUTE(IF(LEN(I1024)=0,Taostats_CSV!F1024&amp;" "&amp;Taostats_CSV!J1024,IF(I1024="Cost","Extrinsic fee","")),"_"," ")</f>
        <v/>
      </c>
      <c r="K1024" t="str">
        <f>TRIM(IF(LEN(Taostats_CSV!I1024)&gt;0,Taostats_CSV!I1024,""))</f>
        <v/>
      </c>
      <c r="L1024">
        <f ca="1">IF(Taostats_CSV!E1024&lt;&gt;"TAO",IF(LEN(F1024)&gt;0,F1024,IF(LEN(D1024)&gt;0,D1024,0))*Taostats_CSV!P1024,"")</f>
        <v>3.5568563916643106</v>
      </c>
      <c r="M1024" t="str">
        <f t="shared" ca="1" si="105"/>
        <v>USD</v>
      </c>
      <c r="N1024">
        <f>COUNTIF(Taostats_CSV!$X:$X,Taostats_CSV!$I1024&amp;N$1)</f>
        <v>0</v>
      </c>
      <c r="O1024">
        <f>COUNTIF(Taostats_CSV!$X:$X,Taostats_CSV!$I1024&amp;O$1)</f>
        <v>0</v>
      </c>
      <c r="P1024">
        <f>COUNTIF(Taostats_CSV!$X:$X,Taostats_CSV!$I1024&amp;P$1)</f>
        <v>0</v>
      </c>
      <c r="Q1024" t="b">
        <f t="shared" si="106"/>
        <v>0</v>
      </c>
      <c r="R1024" t="b">
        <f>IF(LEN(K1024)&gt;0,COUNTIF($K$3:K1024,K1024),FALSE)</f>
        <v>0</v>
      </c>
      <c r="S1024" t="b">
        <f>IF(Taostats_CSV!A1024=Taostats_CSV!$A$2,TRUE,Taostats_CSV!G1024+Taostats_CSV!H1024+Taostats_CSV!R1024=0)</f>
        <v>0</v>
      </c>
      <c r="T1024" t="b">
        <f t="shared" si="107"/>
        <v>1</v>
      </c>
      <c r="U1024" t="b" cm="1">
        <f t="array" aca="1" ref="U1024" ca="1">AND(T1024,OR(O1024-N1024&gt;1,P1024&gt;1,ISERROR(A1024:P1024)))</f>
        <v>0</v>
      </c>
      <c r="W1024" t="e">
        <f>MATCH(K1024&amp;$W$2,Taostats_CSV!$X$3:$X$1167,0)</f>
        <v>#N/A</v>
      </c>
      <c r="X1024" t="e">
        <f t="shared" ca="1" si="102"/>
        <v>#VALUE!</v>
      </c>
      <c r="Y1024">
        <f t="shared" ca="1" si="103"/>
        <v>0.29632108000000001</v>
      </c>
      <c r="Z1024" t="e">
        <f t="shared" ca="1" si="104"/>
        <v>#VALUE!</v>
      </c>
    </row>
    <row r="1025" spans="1:26" x14ac:dyDescent="0.4">
      <c r="A1025" t="str">
        <f>MID(Taostats_CSV!C1025,6,2)&amp;"/"&amp;MID(Taostats_CSV!C1025,9,2)&amp;"/"&amp;LEFT(Taostats_CSV!C1025,4)&amp;" "&amp;MID(Taostats_CSV!C1025,12,8)</f>
        <v>10/01/2025 23:59:48</v>
      </c>
      <c r="C1025" t="str">
        <f ca="1">IF(Q1025,OFFSET(Taostats_CSV!$E$1,MATCH(K1025&amp;D$1,Taostats_CSV!$X:$X,0)-1,0),IF(Taostats_CSV!F1025="fee",IF(VALUE(Taostats_CSV!G1025)&gt;0,Taostats_CSV!E1025,""),""))</f>
        <v/>
      </c>
      <c r="D1025" t="str">
        <f ca="1">IF(Q1025,OFFSET(Taostats_CSV!$G$1,MATCH(K1025&amp;D$1,Taostats_CSV!$X:$X,0)-1,0),IF(Taostats_CSV!F1025="fee",IF(VALUE(Taostats_CSV!G1025)&gt;0,Taostats_CSV!G1025,""),""))</f>
        <v/>
      </c>
      <c r="E1025" t="str">
        <f ca="1">IF(AND(Q1025,P1025&gt;0),OFFSET(Taostats_CSV!$E$1,MATCH(K1025&amp;F$1,Taostats_CSV!$X:$X,0)-1,0),IF(LEN(F1025)&gt;0,Taostats_CSV!E1025,""))</f>
        <v>SN64</v>
      </c>
      <c r="F1025" t="str">
        <f ca="1">TRIM(IF(AND(Q1025,P1025&gt;0),OFFSET(Taostats_CSV!$H$1,MATCH(K1025&amp;F$1,Taostats_CSV!$X:$X,0)-1,0),IF(LEN(Taostats_CSV!H1025)&gt;0,Taostats_CSV!H1025,Taostats_CSV!R1025)))</f>
        <v>0.154561816</v>
      </c>
      <c r="G1025" t="str">
        <f ca="1">IF(AND(Q1025,N1025=1),OFFSET(Taostats_CSV!$E$1,MATCH(K1025&amp;H$1,Taostats_CSV!$X:$X,0)-1,0),"")</f>
        <v/>
      </c>
      <c r="H1025" t="str">
        <f ca="1">IF(AND(Q1025,N1025=1),OFFSET(Taostats_CSV!$G$1,MATCH(K1025&amp;H$1,Taostats_CSV!$X:$X,0)-1,0),"")</f>
        <v/>
      </c>
      <c r="I1025" t="str">
        <f ca="1">IF(AND(LEN(K1025)=0,LEN(F1025)&gt;0),"Income",IF(AND(O1025&gt;0,P1025&gt;0,C1025&lt;&gt;E1025),"Trade",IF(AND(NOT(Q1025),Taostats_CSV!F1025="fee"),'READ ME'!$C$5,"")))</f>
        <v>Income</v>
      </c>
      <c r="J1025" t="str">
        <f ca="1">SUBSTITUTE(IF(LEN(I1025)=0,Taostats_CSV!F1025&amp;" "&amp;Taostats_CSV!J1025,IF(I1025="Cost","Extrinsic fee","")),"_"," ")</f>
        <v/>
      </c>
      <c r="K1025" t="str">
        <f>TRIM(IF(LEN(Taostats_CSV!I1025)&gt;0,Taostats_CSV!I1025,""))</f>
        <v/>
      </c>
      <c r="L1025">
        <f ca="1">IF(Taostats_CSV!E1025&lt;&gt;"TAO",IF(LEN(F1025)&gt;0,F1025,IF(LEN(D1025)&gt;0,D1025,0))*Taostats_CSV!P1025,"")</f>
        <v>4.2659492013431306</v>
      </c>
      <c r="M1025" t="str">
        <f t="shared" ca="1" si="105"/>
        <v>USD</v>
      </c>
      <c r="N1025">
        <f>COUNTIF(Taostats_CSV!$X:$X,Taostats_CSV!$I1025&amp;N$1)</f>
        <v>0</v>
      </c>
      <c r="O1025">
        <f>COUNTIF(Taostats_CSV!$X:$X,Taostats_CSV!$I1025&amp;O$1)</f>
        <v>0</v>
      </c>
      <c r="P1025">
        <f>COUNTIF(Taostats_CSV!$X:$X,Taostats_CSV!$I1025&amp;P$1)</f>
        <v>0</v>
      </c>
      <c r="Q1025" t="b">
        <f t="shared" si="106"/>
        <v>0</v>
      </c>
      <c r="R1025" t="b">
        <f>IF(LEN(K1025)&gt;0,COUNTIF($K$3:K1025,K1025),FALSE)</f>
        <v>0</v>
      </c>
      <c r="S1025" t="b">
        <f>IF(Taostats_CSV!A1025=Taostats_CSV!$A$2,TRUE,Taostats_CSV!G1025+Taostats_CSV!H1025+Taostats_CSV!R1025=0)</f>
        <v>0</v>
      </c>
      <c r="T1025" t="b">
        <f t="shared" si="107"/>
        <v>1</v>
      </c>
      <c r="U1025" t="b" cm="1">
        <f t="array" aca="1" ref="U1025" ca="1">AND(T1025,OR(O1025-N1025&gt;1,P1025&gt;1,ISERROR(A1025:P1025)))</f>
        <v>0</v>
      </c>
      <c r="W1025" t="e">
        <f>MATCH(K1025&amp;$W$2,Taostats_CSV!$X$3:$X$1167,0)</f>
        <v>#N/A</v>
      </c>
      <c r="X1025" t="e">
        <f t="shared" ca="1" si="102"/>
        <v>#VALUE!</v>
      </c>
      <c r="Y1025">
        <f t="shared" ca="1" si="103"/>
        <v>0.15456181599999999</v>
      </c>
      <c r="Z1025" t="e">
        <f t="shared" ca="1" si="104"/>
        <v>#VALUE!</v>
      </c>
    </row>
    <row r="1026" spans="1:26" x14ac:dyDescent="0.4">
      <c r="A1026" t="str">
        <f>MID(Taostats_CSV!C1026,6,2)&amp;"/"&amp;MID(Taostats_CSV!C1026,9,2)&amp;"/"&amp;LEFT(Taostats_CSV!C1026,4)&amp;" "&amp;MID(Taostats_CSV!C1026,12,8)</f>
        <v>10/01/2025 23:59:48</v>
      </c>
      <c r="C1026" t="str">
        <f ca="1">IF(Q1026,OFFSET(Taostats_CSV!$E$1,MATCH(K1026&amp;D$1,Taostats_CSV!$X:$X,0)-1,0),IF(Taostats_CSV!F1026="fee",IF(VALUE(Taostats_CSV!G1026)&gt;0,Taostats_CSV!E1026,""),""))</f>
        <v/>
      </c>
      <c r="D1026" t="str">
        <f ca="1">IF(Q1026,OFFSET(Taostats_CSV!$G$1,MATCH(K1026&amp;D$1,Taostats_CSV!$X:$X,0)-1,0),IF(Taostats_CSV!F1026="fee",IF(VALUE(Taostats_CSV!G1026)&gt;0,Taostats_CSV!G1026,""),""))</f>
        <v/>
      </c>
      <c r="E1026" t="str">
        <f ca="1">IF(AND(Q1026,P1026&gt;0),OFFSET(Taostats_CSV!$E$1,MATCH(K1026&amp;F$1,Taostats_CSV!$X:$X,0)-1,0),IF(LEN(F1026)&gt;0,Taostats_CSV!E1026,""))</f>
        <v>TAO</v>
      </c>
      <c r="F1026" t="str">
        <f ca="1">TRIM(IF(AND(Q1026,P1026&gt;0),OFFSET(Taostats_CSV!$H$1,MATCH(K1026&amp;F$1,Taostats_CSV!$X:$X,0)-1,0),IF(LEN(Taostats_CSV!H1026)&gt;0,Taostats_CSV!H1026,Taostats_CSV!R1026)))</f>
        <v>0.009913218</v>
      </c>
      <c r="G1026" t="str">
        <f ca="1">IF(AND(Q1026,N1026=1),OFFSET(Taostats_CSV!$E$1,MATCH(K1026&amp;H$1,Taostats_CSV!$X:$X,0)-1,0),"")</f>
        <v/>
      </c>
      <c r="H1026" t="str">
        <f ca="1">IF(AND(Q1026,N1026=1),OFFSET(Taostats_CSV!$G$1,MATCH(K1026&amp;H$1,Taostats_CSV!$X:$X,0)-1,0),"")</f>
        <v/>
      </c>
      <c r="I1026" t="str">
        <f ca="1">IF(AND(LEN(K1026)=0,LEN(F1026)&gt;0),"Income",IF(AND(O1026&gt;0,P1026&gt;0,C1026&lt;&gt;E1026),"Trade",IF(AND(NOT(Q1026),Taostats_CSV!F1026="fee"),'READ ME'!$C$5,"")))</f>
        <v>Income</v>
      </c>
      <c r="J1026" t="str">
        <f ca="1">SUBSTITUTE(IF(LEN(I1026)=0,Taostats_CSV!F1026&amp;" "&amp;Taostats_CSV!J1026,IF(I1026="Cost","Extrinsic fee","")),"_"," ")</f>
        <v/>
      </c>
      <c r="K1026" t="str">
        <f>TRIM(IF(LEN(Taostats_CSV!I1026)&gt;0,Taostats_CSV!I1026,""))</f>
        <v/>
      </c>
      <c r="L1026" t="str">
        <f>IF(Taostats_CSV!E1026&lt;&gt;"TAO",IF(LEN(F1026)&gt;0,F1026,IF(LEN(D1026)&gt;0,D1026,0))*Taostats_CSV!P1026,"")</f>
        <v/>
      </c>
      <c r="M1026" t="str">
        <f t="shared" si="105"/>
        <v/>
      </c>
      <c r="N1026">
        <f>COUNTIF(Taostats_CSV!$X:$X,Taostats_CSV!$I1026&amp;N$1)</f>
        <v>0</v>
      </c>
      <c r="O1026">
        <f>COUNTIF(Taostats_CSV!$X:$X,Taostats_CSV!$I1026&amp;O$1)</f>
        <v>0</v>
      </c>
      <c r="P1026">
        <f>COUNTIF(Taostats_CSV!$X:$X,Taostats_CSV!$I1026&amp;P$1)</f>
        <v>0</v>
      </c>
      <c r="Q1026" t="b">
        <f t="shared" si="106"/>
        <v>0</v>
      </c>
      <c r="R1026" t="b">
        <f>IF(LEN(K1026)&gt;0,COUNTIF($K$3:K1026,K1026),FALSE)</f>
        <v>0</v>
      </c>
      <c r="S1026" t="b">
        <f>IF(Taostats_CSV!A1026=Taostats_CSV!$A$2,TRUE,Taostats_CSV!G1026+Taostats_CSV!H1026+Taostats_CSV!R1026=0)</f>
        <v>0</v>
      </c>
      <c r="T1026" t="b">
        <f t="shared" si="107"/>
        <v>1</v>
      </c>
      <c r="U1026" t="b" cm="1">
        <f t="array" aca="1" ref="U1026" ca="1">AND(T1026,OR(O1026-N1026&gt;1,P1026&gt;1,ISERROR(A1026:P1026)))</f>
        <v>0</v>
      </c>
      <c r="W1026" t="e">
        <f>MATCH(K1026&amp;$W$2,Taostats_CSV!$X$3:$X$1167,0)</f>
        <v>#N/A</v>
      </c>
      <c r="X1026" t="e">
        <f t="shared" ca="1" si="102"/>
        <v>#VALUE!</v>
      </c>
      <c r="Y1026">
        <f t="shared" ca="1" si="103"/>
        <v>9.9132179999999997E-3</v>
      </c>
      <c r="Z1026" t="e">
        <f t="shared" ca="1" si="104"/>
        <v>#VALUE!</v>
      </c>
    </row>
    <row r="1027" spans="1:26" x14ac:dyDescent="0.4">
      <c r="A1027" t="str">
        <f>MID(Taostats_CSV!C1027,6,2)&amp;"/"&amp;MID(Taostats_CSV!C1027,9,2)&amp;"/"&amp;LEFT(Taostats_CSV!C1027,4)&amp;" "&amp;MID(Taostats_CSV!C1027,12,8)</f>
        <v>10/02/2025 23:59:48</v>
      </c>
      <c r="C1027" t="str">
        <f ca="1">IF(Q1027,OFFSET(Taostats_CSV!$E$1,MATCH(K1027&amp;D$1,Taostats_CSV!$X:$X,0)-1,0),IF(Taostats_CSV!F1027="fee",IF(VALUE(Taostats_CSV!G1027)&gt;0,Taostats_CSV!E1027,""),""))</f>
        <v/>
      </c>
      <c r="D1027" t="str">
        <f ca="1">IF(Q1027,OFFSET(Taostats_CSV!$G$1,MATCH(K1027&amp;D$1,Taostats_CSV!$X:$X,0)-1,0),IF(Taostats_CSV!F1027="fee",IF(VALUE(Taostats_CSV!G1027)&gt;0,Taostats_CSV!G1027,""),""))</f>
        <v/>
      </c>
      <c r="E1027" t="str">
        <f ca="1">IF(AND(Q1027,P1027&gt;0),OFFSET(Taostats_CSV!$E$1,MATCH(K1027&amp;F$1,Taostats_CSV!$X:$X,0)-1,0),IF(LEN(F1027)&gt;0,Taostats_CSV!E1027,""))</f>
        <v>SN3</v>
      </c>
      <c r="F1027" t="str">
        <f ca="1">TRIM(IF(AND(Q1027,P1027&gt;0),OFFSET(Taostats_CSV!$H$1,MATCH(K1027&amp;F$1,Taostats_CSV!$X:$X,0)-1,0),IF(LEN(Taostats_CSV!H1027)&gt;0,Taostats_CSV!H1027,Taostats_CSV!R1027)))</f>
        <v>0.523023155</v>
      </c>
      <c r="G1027" t="str">
        <f ca="1">IF(AND(Q1027,N1027=1),OFFSET(Taostats_CSV!$E$1,MATCH(K1027&amp;H$1,Taostats_CSV!$X:$X,0)-1,0),"")</f>
        <v/>
      </c>
      <c r="H1027" t="str">
        <f ca="1">IF(AND(Q1027,N1027=1),OFFSET(Taostats_CSV!$G$1,MATCH(K1027&amp;H$1,Taostats_CSV!$X:$X,0)-1,0),"")</f>
        <v/>
      </c>
      <c r="I1027" t="str">
        <f ca="1">IF(AND(LEN(K1027)=0,LEN(F1027)&gt;0),"Income",IF(AND(O1027&gt;0,P1027&gt;0,C1027&lt;&gt;E1027),"Trade",IF(AND(NOT(Q1027),Taostats_CSV!F1027="fee"),'READ ME'!$C$5,"")))</f>
        <v>Income</v>
      </c>
      <c r="J1027" t="str">
        <f ca="1">SUBSTITUTE(IF(LEN(I1027)=0,Taostats_CSV!F1027&amp;" "&amp;Taostats_CSV!J1027,IF(I1027="Cost","Extrinsic fee","")),"_"," ")</f>
        <v/>
      </c>
      <c r="K1027" t="str">
        <f>TRIM(IF(LEN(Taostats_CSV!I1027)&gt;0,Taostats_CSV!I1027,""))</f>
        <v/>
      </c>
      <c r="L1027">
        <f ca="1">IF(Taostats_CSV!E1027&lt;&gt;"TAO",IF(LEN(F1027)&gt;0,F1027,IF(LEN(D1027)&gt;0,D1027,0))*Taostats_CSV!P1027,"")</f>
        <v>5.1952876909210675</v>
      </c>
      <c r="M1027" t="str">
        <f t="shared" ca="1" si="105"/>
        <v>USD</v>
      </c>
      <c r="N1027">
        <f>COUNTIF(Taostats_CSV!$X:$X,Taostats_CSV!$I1027&amp;N$1)</f>
        <v>0</v>
      </c>
      <c r="O1027">
        <f>COUNTIF(Taostats_CSV!$X:$X,Taostats_CSV!$I1027&amp;O$1)</f>
        <v>0</v>
      </c>
      <c r="P1027">
        <f>COUNTIF(Taostats_CSV!$X:$X,Taostats_CSV!$I1027&amp;P$1)</f>
        <v>0</v>
      </c>
      <c r="Q1027" t="b">
        <f t="shared" si="106"/>
        <v>0</v>
      </c>
      <c r="R1027" t="b">
        <f>IF(LEN(K1027)&gt;0,COUNTIF($K$3:K1027,K1027),FALSE)</f>
        <v>0</v>
      </c>
      <c r="S1027" t="b">
        <f>IF(Taostats_CSV!A1027=Taostats_CSV!$A$2,TRUE,Taostats_CSV!G1027+Taostats_CSV!H1027+Taostats_CSV!R1027=0)</f>
        <v>0</v>
      </c>
      <c r="T1027" t="b">
        <f t="shared" si="107"/>
        <v>1</v>
      </c>
      <c r="U1027" t="b" cm="1">
        <f t="array" aca="1" ref="U1027" ca="1">AND(T1027,OR(O1027-N1027&gt;1,P1027&gt;1,ISERROR(A1027:P1027)))</f>
        <v>0</v>
      </c>
      <c r="W1027" t="e">
        <f>MATCH(K1027&amp;$W$2,Taostats_CSV!$X$3:$X$1167,0)</f>
        <v>#N/A</v>
      </c>
      <c r="X1027" t="e">
        <f t="shared" ref="X1027:X1090" ca="1" si="108">VALUE(D1027)</f>
        <v>#VALUE!</v>
      </c>
      <c r="Y1027">
        <f t="shared" ref="Y1027:Y1090" ca="1" si="109">VALUE(F1027)</f>
        <v>0.52302315499999996</v>
      </c>
      <c r="Z1027" t="e">
        <f t="shared" ref="Z1027:Z1090" ca="1" si="110">VALUE(H1027)</f>
        <v>#VALUE!</v>
      </c>
    </row>
    <row r="1028" spans="1:26" x14ac:dyDescent="0.4">
      <c r="A1028" t="str">
        <f>MID(Taostats_CSV!C1028,6,2)&amp;"/"&amp;MID(Taostats_CSV!C1028,9,2)&amp;"/"&amp;LEFT(Taostats_CSV!C1028,4)&amp;" "&amp;MID(Taostats_CSV!C1028,12,8)</f>
        <v>10/02/2025 23:59:48</v>
      </c>
      <c r="C1028" t="str">
        <f ca="1">IF(Q1028,OFFSET(Taostats_CSV!$E$1,MATCH(K1028&amp;D$1,Taostats_CSV!$X:$X,0)-1,0),IF(Taostats_CSV!F1028="fee",IF(VALUE(Taostats_CSV!G1028)&gt;0,Taostats_CSV!E1028,""),""))</f>
        <v/>
      </c>
      <c r="D1028" t="str">
        <f ca="1">IF(Q1028,OFFSET(Taostats_CSV!$G$1,MATCH(K1028&amp;D$1,Taostats_CSV!$X:$X,0)-1,0),IF(Taostats_CSV!F1028="fee",IF(VALUE(Taostats_CSV!G1028)&gt;0,Taostats_CSV!G1028,""),""))</f>
        <v/>
      </c>
      <c r="E1028" t="str">
        <f ca="1">IF(AND(Q1028,P1028&gt;0),OFFSET(Taostats_CSV!$E$1,MATCH(K1028&amp;F$1,Taostats_CSV!$X:$X,0)-1,0),IF(LEN(F1028)&gt;0,Taostats_CSV!E1028,""))</f>
        <v>SN4</v>
      </c>
      <c r="F1028" t="str">
        <f ca="1">TRIM(IF(AND(Q1028,P1028&gt;0),OFFSET(Taostats_CSV!$H$1,MATCH(K1028&amp;F$1,Taostats_CSV!$X:$X,0)-1,0),IF(LEN(Taostats_CSV!H1028)&gt;0,Taostats_CSV!H1028,Taostats_CSV!R1028)))</f>
        <v>0.401505158</v>
      </c>
      <c r="G1028" t="str">
        <f ca="1">IF(AND(Q1028,N1028=1),OFFSET(Taostats_CSV!$E$1,MATCH(K1028&amp;H$1,Taostats_CSV!$X:$X,0)-1,0),"")</f>
        <v/>
      </c>
      <c r="H1028" t="str">
        <f ca="1">IF(AND(Q1028,N1028=1),OFFSET(Taostats_CSV!$G$1,MATCH(K1028&amp;H$1,Taostats_CSV!$X:$X,0)-1,0),"")</f>
        <v/>
      </c>
      <c r="I1028" t="str">
        <f ca="1">IF(AND(LEN(K1028)=0,LEN(F1028)&gt;0),"Income",IF(AND(O1028&gt;0,P1028&gt;0,C1028&lt;&gt;E1028),"Trade",IF(AND(NOT(Q1028),Taostats_CSV!F1028="fee"),'READ ME'!$C$5,"")))</f>
        <v>Income</v>
      </c>
      <c r="J1028" t="str">
        <f ca="1">SUBSTITUTE(IF(LEN(I1028)=0,Taostats_CSV!F1028&amp;" "&amp;Taostats_CSV!J1028,IF(I1028="Cost","Extrinsic fee","")),"_"," ")</f>
        <v/>
      </c>
      <c r="K1028" t="str">
        <f>TRIM(IF(LEN(Taostats_CSV!I1028)&gt;0,Taostats_CSV!I1028,""))</f>
        <v/>
      </c>
      <c r="L1028">
        <f ca="1">IF(Taostats_CSV!E1028&lt;&gt;"TAO",IF(LEN(F1028)&gt;0,F1028,IF(LEN(D1028)&gt;0,D1028,0))*Taostats_CSV!P1028,"")</f>
        <v>6.1935181329188156</v>
      </c>
      <c r="M1028" t="str">
        <f t="shared" ref="M1028:M1091" ca="1" si="111">IF(LEN(L1028)&gt;0,"USD","")</f>
        <v>USD</v>
      </c>
      <c r="N1028">
        <f>COUNTIF(Taostats_CSV!$X:$X,Taostats_CSV!$I1028&amp;N$1)</f>
        <v>0</v>
      </c>
      <c r="O1028">
        <f>COUNTIF(Taostats_CSV!$X:$X,Taostats_CSV!$I1028&amp;O$1)</f>
        <v>0</v>
      </c>
      <c r="P1028">
        <f>COUNTIF(Taostats_CSV!$X:$X,Taostats_CSV!$I1028&amp;P$1)</f>
        <v>0</v>
      </c>
      <c r="Q1028" t="b">
        <f t="shared" ref="Q1028:Q1091" si="112">AND(O1028&lt;=1,N1028&lt;=1,P1028&lt;=1,O1028+N1028+P1028&gt;=2)</f>
        <v>0</v>
      </c>
      <c r="R1028" t="b">
        <f>IF(LEN(K1028)&gt;0,COUNTIF($K$3:K1028,K1028),FALSE)</f>
        <v>0</v>
      </c>
      <c r="S1028" t="b">
        <f>IF(Taostats_CSV!A1028=Taostats_CSV!$A$2,TRUE,Taostats_CSV!G1028+Taostats_CSV!H1028+Taostats_CSV!R1028=0)</f>
        <v>0</v>
      </c>
      <c r="T1028" t="b">
        <f t="shared" ref="T1028:T1091" si="113">AND(NOT(S1028),OR(NOT(Q1028),R1028=1))</f>
        <v>1</v>
      </c>
      <c r="U1028" t="b" cm="1">
        <f t="array" aca="1" ref="U1028" ca="1">AND(T1028,OR(O1028-N1028&gt;1,P1028&gt;1,ISERROR(A1028:P1028)))</f>
        <v>0</v>
      </c>
      <c r="W1028" t="e">
        <f>MATCH(K1028&amp;$W$2,Taostats_CSV!$X$3:$X$1167,0)</f>
        <v>#N/A</v>
      </c>
      <c r="X1028" t="e">
        <f t="shared" ca="1" si="108"/>
        <v>#VALUE!</v>
      </c>
      <c r="Y1028">
        <f t="shared" ca="1" si="109"/>
        <v>0.40150515799999997</v>
      </c>
      <c r="Z1028" t="e">
        <f t="shared" ca="1" si="110"/>
        <v>#VALUE!</v>
      </c>
    </row>
    <row r="1029" spans="1:26" x14ac:dyDescent="0.4">
      <c r="A1029" t="str">
        <f>MID(Taostats_CSV!C1029,6,2)&amp;"/"&amp;MID(Taostats_CSV!C1029,9,2)&amp;"/"&amp;LEFT(Taostats_CSV!C1029,4)&amp;" "&amp;MID(Taostats_CSV!C1029,12,8)</f>
        <v>10/02/2025 23:59:48</v>
      </c>
      <c r="C1029" t="str">
        <f ca="1">IF(Q1029,OFFSET(Taostats_CSV!$E$1,MATCH(K1029&amp;D$1,Taostats_CSV!$X:$X,0)-1,0),IF(Taostats_CSV!F1029="fee",IF(VALUE(Taostats_CSV!G1029)&gt;0,Taostats_CSV!E1029,""),""))</f>
        <v/>
      </c>
      <c r="D1029" t="str">
        <f ca="1">IF(Q1029,OFFSET(Taostats_CSV!$G$1,MATCH(K1029&amp;D$1,Taostats_CSV!$X:$X,0)-1,0),IF(Taostats_CSV!F1029="fee",IF(VALUE(Taostats_CSV!G1029)&gt;0,Taostats_CSV!G1029,""),""))</f>
        <v/>
      </c>
      <c r="E1029" t="str">
        <f ca="1">IF(AND(Q1029,P1029&gt;0),OFFSET(Taostats_CSV!$E$1,MATCH(K1029&amp;F$1,Taostats_CSV!$X:$X,0)-1,0),IF(LEN(F1029)&gt;0,Taostats_CSV!E1029,""))</f>
        <v>SN56</v>
      </c>
      <c r="F1029" t="str">
        <f ca="1">TRIM(IF(AND(Q1029,P1029&gt;0),OFFSET(Taostats_CSV!$H$1,MATCH(K1029&amp;F$1,Taostats_CSV!$X:$X,0)-1,0),IF(LEN(Taostats_CSV!H1029)&gt;0,Taostats_CSV!H1029,Taostats_CSV!R1029)))</f>
        <v>0.304376622</v>
      </c>
      <c r="G1029" t="str">
        <f ca="1">IF(AND(Q1029,N1029=1),OFFSET(Taostats_CSV!$E$1,MATCH(K1029&amp;H$1,Taostats_CSV!$X:$X,0)-1,0),"")</f>
        <v/>
      </c>
      <c r="H1029" t="str">
        <f ca="1">IF(AND(Q1029,N1029=1),OFFSET(Taostats_CSV!$G$1,MATCH(K1029&amp;H$1,Taostats_CSV!$X:$X,0)-1,0),"")</f>
        <v/>
      </c>
      <c r="I1029" t="str">
        <f ca="1">IF(AND(LEN(K1029)=0,LEN(F1029)&gt;0),"Income",IF(AND(O1029&gt;0,P1029&gt;0,C1029&lt;&gt;E1029),"Trade",IF(AND(NOT(Q1029),Taostats_CSV!F1029="fee"),'READ ME'!$C$5,"")))</f>
        <v>Income</v>
      </c>
      <c r="J1029" t="str">
        <f ca="1">SUBSTITUTE(IF(LEN(I1029)=0,Taostats_CSV!F1029&amp;" "&amp;Taostats_CSV!J1029,IF(I1029="Cost","Extrinsic fee","")),"_"," ")</f>
        <v/>
      </c>
      <c r="K1029" t="str">
        <f>TRIM(IF(LEN(Taostats_CSV!I1029)&gt;0,Taostats_CSV!I1029,""))</f>
        <v/>
      </c>
      <c r="L1029">
        <f ca="1">IF(Taostats_CSV!E1029&lt;&gt;"TAO",IF(LEN(F1029)&gt;0,F1029,IF(LEN(D1029)&gt;0,D1029,0))*Taostats_CSV!P1029,"")</f>
        <v>3.7135140608856285</v>
      </c>
      <c r="M1029" t="str">
        <f t="shared" ca="1" si="111"/>
        <v>USD</v>
      </c>
      <c r="N1029">
        <f>COUNTIF(Taostats_CSV!$X:$X,Taostats_CSV!$I1029&amp;N$1)</f>
        <v>0</v>
      </c>
      <c r="O1029">
        <f>COUNTIF(Taostats_CSV!$X:$X,Taostats_CSV!$I1029&amp;O$1)</f>
        <v>0</v>
      </c>
      <c r="P1029">
        <f>COUNTIF(Taostats_CSV!$X:$X,Taostats_CSV!$I1029&amp;P$1)</f>
        <v>0</v>
      </c>
      <c r="Q1029" t="b">
        <f t="shared" si="112"/>
        <v>0</v>
      </c>
      <c r="R1029" t="b">
        <f>IF(LEN(K1029)&gt;0,COUNTIF($K$3:K1029,K1029),FALSE)</f>
        <v>0</v>
      </c>
      <c r="S1029" t="b">
        <f>IF(Taostats_CSV!A1029=Taostats_CSV!$A$2,TRUE,Taostats_CSV!G1029+Taostats_CSV!H1029+Taostats_CSV!R1029=0)</f>
        <v>0</v>
      </c>
      <c r="T1029" t="b">
        <f t="shared" si="113"/>
        <v>1</v>
      </c>
      <c r="U1029" t="b" cm="1">
        <f t="array" aca="1" ref="U1029" ca="1">AND(T1029,OR(O1029-N1029&gt;1,P1029&gt;1,ISERROR(A1029:P1029)))</f>
        <v>0</v>
      </c>
      <c r="W1029" t="e">
        <f>MATCH(K1029&amp;$W$2,Taostats_CSV!$X$3:$X$1167,0)</f>
        <v>#N/A</v>
      </c>
      <c r="X1029" t="e">
        <f t="shared" ca="1" si="108"/>
        <v>#VALUE!</v>
      </c>
      <c r="Y1029">
        <f t="shared" ca="1" si="109"/>
        <v>0.30437662199999999</v>
      </c>
      <c r="Z1029" t="e">
        <f t="shared" ca="1" si="110"/>
        <v>#VALUE!</v>
      </c>
    </row>
    <row r="1030" spans="1:26" x14ac:dyDescent="0.4">
      <c r="A1030" t="str">
        <f>MID(Taostats_CSV!C1030,6,2)&amp;"/"&amp;MID(Taostats_CSV!C1030,9,2)&amp;"/"&amp;LEFT(Taostats_CSV!C1030,4)&amp;" "&amp;MID(Taostats_CSV!C1030,12,8)</f>
        <v>10/02/2025 23:59:48</v>
      </c>
      <c r="C1030" t="str">
        <f ca="1">IF(Q1030,OFFSET(Taostats_CSV!$E$1,MATCH(K1030&amp;D$1,Taostats_CSV!$X:$X,0)-1,0),IF(Taostats_CSV!F1030="fee",IF(VALUE(Taostats_CSV!G1030)&gt;0,Taostats_CSV!E1030,""),""))</f>
        <v/>
      </c>
      <c r="D1030" t="str">
        <f ca="1">IF(Q1030,OFFSET(Taostats_CSV!$G$1,MATCH(K1030&amp;D$1,Taostats_CSV!$X:$X,0)-1,0),IF(Taostats_CSV!F1030="fee",IF(VALUE(Taostats_CSV!G1030)&gt;0,Taostats_CSV!G1030,""),""))</f>
        <v/>
      </c>
      <c r="E1030" t="str">
        <f ca="1">IF(AND(Q1030,P1030&gt;0),OFFSET(Taostats_CSV!$E$1,MATCH(K1030&amp;F$1,Taostats_CSV!$X:$X,0)-1,0),IF(LEN(F1030)&gt;0,Taostats_CSV!E1030,""))</f>
        <v>SN64</v>
      </c>
      <c r="F1030" t="str">
        <f ca="1">TRIM(IF(AND(Q1030,P1030&gt;0),OFFSET(Taostats_CSV!$H$1,MATCH(K1030&amp;F$1,Taostats_CSV!$X:$X,0)-1,0),IF(LEN(Taostats_CSV!H1030)&gt;0,Taostats_CSV!H1030,Taostats_CSV!R1030)))</f>
        <v>0.157138653</v>
      </c>
      <c r="G1030" t="str">
        <f ca="1">IF(AND(Q1030,N1030=1),OFFSET(Taostats_CSV!$E$1,MATCH(K1030&amp;H$1,Taostats_CSV!$X:$X,0)-1,0),"")</f>
        <v/>
      </c>
      <c r="H1030" t="str">
        <f ca="1">IF(AND(Q1030,N1030=1),OFFSET(Taostats_CSV!$G$1,MATCH(K1030&amp;H$1,Taostats_CSV!$X:$X,0)-1,0),"")</f>
        <v/>
      </c>
      <c r="I1030" t="str">
        <f ca="1">IF(AND(LEN(K1030)=0,LEN(F1030)&gt;0),"Income",IF(AND(O1030&gt;0,P1030&gt;0,C1030&lt;&gt;E1030),"Trade",IF(AND(NOT(Q1030),Taostats_CSV!F1030="fee"),'READ ME'!$C$5,"")))</f>
        <v>Income</v>
      </c>
      <c r="J1030" t="str">
        <f ca="1">SUBSTITUTE(IF(LEN(I1030)=0,Taostats_CSV!F1030&amp;" "&amp;Taostats_CSV!J1030,IF(I1030="Cost","Extrinsic fee","")),"_"," ")</f>
        <v/>
      </c>
      <c r="K1030" t="str">
        <f>TRIM(IF(LEN(Taostats_CSV!I1030)&gt;0,Taostats_CSV!I1030,""))</f>
        <v/>
      </c>
      <c r="L1030">
        <f ca="1">IF(Taostats_CSV!E1030&lt;&gt;"TAO",IF(LEN(F1030)&gt;0,F1030,IF(LEN(D1030)&gt;0,D1030,0))*Taostats_CSV!P1030,"")</f>
        <v>4.3569536060942733</v>
      </c>
      <c r="M1030" t="str">
        <f t="shared" ca="1" si="111"/>
        <v>USD</v>
      </c>
      <c r="N1030">
        <f>COUNTIF(Taostats_CSV!$X:$X,Taostats_CSV!$I1030&amp;N$1)</f>
        <v>0</v>
      </c>
      <c r="O1030">
        <f>COUNTIF(Taostats_CSV!$X:$X,Taostats_CSV!$I1030&amp;O$1)</f>
        <v>0</v>
      </c>
      <c r="P1030">
        <f>COUNTIF(Taostats_CSV!$X:$X,Taostats_CSV!$I1030&amp;P$1)</f>
        <v>0</v>
      </c>
      <c r="Q1030" t="b">
        <f t="shared" si="112"/>
        <v>0</v>
      </c>
      <c r="R1030" t="b">
        <f>IF(LEN(K1030)&gt;0,COUNTIF($K$3:K1030,K1030),FALSE)</f>
        <v>0</v>
      </c>
      <c r="S1030" t="b">
        <f>IF(Taostats_CSV!A1030=Taostats_CSV!$A$2,TRUE,Taostats_CSV!G1030+Taostats_CSV!H1030+Taostats_CSV!R1030=0)</f>
        <v>0</v>
      </c>
      <c r="T1030" t="b">
        <f t="shared" si="113"/>
        <v>1</v>
      </c>
      <c r="U1030" t="b" cm="1">
        <f t="array" aca="1" ref="U1030" ca="1">AND(T1030,OR(O1030-N1030&gt;1,P1030&gt;1,ISERROR(A1030:P1030)))</f>
        <v>0</v>
      </c>
      <c r="W1030" t="e">
        <f>MATCH(K1030&amp;$W$2,Taostats_CSV!$X$3:$X$1167,0)</f>
        <v>#N/A</v>
      </c>
      <c r="X1030" t="e">
        <f t="shared" ca="1" si="108"/>
        <v>#VALUE!</v>
      </c>
      <c r="Y1030">
        <f t="shared" ca="1" si="109"/>
        <v>0.15713865299999999</v>
      </c>
      <c r="Z1030" t="e">
        <f t="shared" ca="1" si="110"/>
        <v>#VALUE!</v>
      </c>
    </row>
    <row r="1031" spans="1:26" x14ac:dyDescent="0.4">
      <c r="A1031" t="str">
        <f>MID(Taostats_CSV!C1031,6,2)&amp;"/"&amp;MID(Taostats_CSV!C1031,9,2)&amp;"/"&amp;LEFT(Taostats_CSV!C1031,4)&amp;" "&amp;MID(Taostats_CSV!C1031,12,8)</f>
        <v>10/02/2025 23:59:48</v>
      </c>
      <c r="C1031" t="str">
        <f ca="1">IF(Q1031,OFFSET(Taostats_CSV!$E$1,MATCH(K1031&amp;D$1,Taostats_CSV!$X:$X,0)-1,0),IF(Taostats_CSV!F1031="fee",IF(VALUE(Taostats_CSV!G1031)&gt;0,Taostats_CSV!E1031,""),""))</f>
        <v/>
      </c>
      <c r="D1031" t="str">
        <f ca="1">IF(Q1031,OFFSET(Taostats_CSV!$G$1,MATCH(K1031&amp;D$1,Taostats_CSV!$X:$X,0)-1,0),IF(Taostats_CSV!F1031="fee",IF(VALUE(Taostats_CSV!G1031)&gt;0,Taostats_CSV!G1031,""),""))</f>
        <v/>
      </c>
      <c r="E1031" t="str">
        <f ca="1">IF(AND(Q1031,P1031&gt;0),OFFSET(Taostats_CSV!$E$1,MATCH(K1031&amp;F$1,Taostats_CSV!$X:$X,0)-1,0),IF(LEN(F1031)&gt;0,Taostats_CSV!E1031,""))</f>
        <v>TAO</v>
      </c>
      <c r="F1031" t="str">
        <f ca="1">TRIM(IF(AND(Q1031,P1031&gt;0),OFFSET(Taostats_CSV!$H$1,MATCH(K1031&amp;F$1,Taostats_CSV!$X:$X,0)-1,0),IF(LEN(Taostats_CSV!H1031)&gt;0,Taostats_CSV!H1031,Taostats_CSV!R1031)))</f>
        <v>0.01020987</v>
      </c>
      <c r="G1031" t="str">
        <f ca="1">IF(AND(Q1031,N1031=1),OFFSET(Taostats_CSV!$E$1,MATCH(K1031&amp;H$1,Taostats_CSV!$X:$X,0)-1,0),"")</f>
        <v/>
      </c>
      <c r="H1031" t="str">
        <f ca="1">IF(AND(Q1031,N1031=1),OFFSET(Taostats_CSV!$G$1,MATCH(K1031&amp;H$1,Taostats_CSV!$X:$X,0)-1,0),"")</f>
        <v/>
      </c>
      <c r="I1031" t="str">
        <f ca="1">IF(AND(LEN(K1031)=0,LEN(F1031)&gt;0),"Income",IF(AND(O1031&gt;0,P1031&gt;0,C1031&lt;&gt;E1031),"Trade",IF(AND(NOT(Q1031),Taostats_CSV!F1031="fee"),'READ ME'!$C$5,"")))</f>
        <v>Income</v>
      </c>
      <c r="J1031" t="str">
        <f ca="1">SUBSTITUTE(IF(LEN(I1031)=0,Taostats_CSV!F1031&amp;" "&amp;Taostats_CSV!J1031,IF(I1031="Cost","Extrinsic fee","")),"_"," ")</f>
        <v/>
      </c>
      <c r="K1031" t="str">
        <f>TRIM(IF(LEN(Taostats_CSV!I1031)&gt;0,Taostats_CSV!I1031,""))</f>
        <v/>
      </c>
      <c r="L1031" t="str">
        <f>IF(Taostats_CSV!E1031&lt;&gt;"TAO",IF(LEN(F1031)&gt;0,F1031,IF(LEN(D1031)&gt;0,D1031,0))*Taostats_CSV!P1031,"")</f>
        <v/>
      </c>
      <c r="M1031" t="str">
        <f t="shared" si="111"/>
        <v/>
      </c>
      <c r="N1031">
        <f>COUNTIF(Taostats_CSV!$X:$X,Taostats_CSV!$I1031&amp;N$1)</f>
        <v>0</v>
      </c>
      <c r="O1031">
        <f>COUNTIF(Taostats_CSV!$X:$X,Taostats_CSV!$I1031&amp;O$1)</f>
        <v>0</v>
      </c>
      <c r="P1031">
        <f>COUNTIF(Taostats_CSV!$X:$X,Taostats_CSV!$I1031&amp;P$1)</f>
        <v>0</v>
      </c>
      <c r="Q1031" t="b">
        <f t="shared" si="112"/>
        <v>0</v>
      </c>
      <c r="R1031" t="b">
        <f>IF(LEN(K1031)&gt;0,COUNTIF($K$3:K1031,K1031),FALSE)</f>
        <v>0</v>
      </c>
      <c r="S1031" t="b">
        <f>IF(Taostats_CSV!A1031=Taostats_CSV!$A$2,TRUE,Taostats_CSV!G1031+Taostats_CSV!H1031+Taostats_CSV!R1031=0)</f>
        <v>0</v>
      </c>
      <c r="T1031" t="b">
        <f t="shared" si="113"/>
        <v>1</v>
      </c>
      <c r="U1031" t="b" cm="1">
        <f t="array" aca="1" ref="U1031" ca="1">AND(T1031,OR(O1031-N1031&gt;1,P1031&gt;1,ISERROR(A1031:P1031)))</f>
        <v>0</v>
      </c>
      <c r="W1031" t="e">
        <f>MATCH(K1031&amp;$W$2,Taostats_CSV!$X$3:$X$1167,0)</f>
        <v>#N/A</v>
      </c>
      <c r="X1031" t="e">
        <f t="shared" ca="1" si="108"/>
        <v>#VALUE!</v>
      </c>
      <c r="Y1031">
        <f t="shared" ca="1" si="109"/>
        <v>1.0209869999999999E-2</v>
      </c>
      <c r="Z1031" t="e">
        <f t="shared" ca="1" si="110"/>
        <v>#VALUE!</v>
      </c>
    </row>
    <row r="1032" spans="1:26" x14ac:dyDescent="0.4">
      <c r="A1032" t="str">
        <f>MID(Taostats_CSV!C1032,6,2)&amp;"/"&amp;MID(Taostats_CSV!C1032,9,2)&amp;"/"&amp;LEFT(Taostats_CSV!C1032,4)&amp;" "&amp;MID(Taostats_CSV!C1032,12,8)</f>
        <v>10/03/2025 23:59:48</v>
      </c>
      <c r="C1032" t="str">
        <f ca="1">IF(Q1032,OFFSET(Taostats_CSV!$E$1,MATCH(K1032&amp;D$1,Taostats_CSV!$X:$X,0)-1,0),IF(Taostats_CSV!F1032="fee",IF(VALUE(Taostats_CSV!G1032)&gt;0,Taostats_CSV!E1032,""),""))</f>
        <v/>
      </c>
      <c r="D1032" t="str">
        <f ca="1">IF(Q1032,OFFSET(Taostats_CSV!$G$1,MATCH(K1032&amp;D$1,Taostats_CSV!$X:$X,0)-1,0),IF(Taostats_CSV!F1032="fee",IF(VALUE(Taostats_CSV!G1032)&gt;0,Taostats_CSV!G1032,""),""))</f>
        <v/>
      </c>
      <c r="E1032" t="str">
        <f ca="1">IF(AND(Q1032,P1032&gt;0),OFFSET(Taostats_CSV!$E$1,MATCH(K1032&amp;F$1,Taostats_CSV!$X:$X,0)-1,0),IF(LEN(F1032)&gt;0,Taostats_CSV!E1032,""))</f>
        <v>SN3</v>
      </c>
      <c r="F1032" t="str">
        <f ca="1">TRIM(IF(AND(Q1032,P1032&gt;0),OFFSET(Taostats_CSV!$H$1,MATCH(K1032&amp;F$1,Taostats_CSV!$X:$X,0)-1,0),IF(LEN(Taostats_CSV!H1032)&gt;0,Taostats_CSV!H1032,Taostats_CSV!R1032)))</f>
        <v>0.524154932</v>
      </c>
      <c r="G1032" t="str">
        <f ca="1">IF(AND(Q1032,N1032=1),OFFSET(Taostats_CSV!$E$1,MATCH(K1032&amp;H$1,Taostats_CSV!$X:$X,0)-1,0),"")</f>
        <v/>
      </c>
      <c r="H1032" t="str">
        <f ca="1">IF(AND(Q1032,N1032=1),OFFSET(Taostats_CSV!$G$1,MATCH(K1032&amp;H$1,Taostats_CSV!$X:$X,0)-1,0),"")</f>
        <v/>
      </c>
      <c r="I1032" t="str">
        <f ca="1">IF(AND(LEN(K1032)=0,LEN(F1032)&gt;0),"Income",IF(AND(O1032&gt;0,P1032&gt;0,C1032&lt;&gt;E1032),"Trade",IF(AND(NOT(Q1032),Taostats_CSV!F1032="fee"),'READ ME'!$C$5,"")))</f>
        <v>Income</v>
      </c>
      <c r="J1032" t="str">
        <f ca="1">SUBSTITUTE(IF(LEN(I1032)=0,Taostats_CSV!F1032&amp;" "&amp;Taostats_CSV!J1032,IF(I1032="Cost","Extrinsic fee","")),"_"," ")</f>
        <v/>
      </c>
      <c r="K1032" t="str">
        <f>TRIM(IF(LEN(Taostats_CSV!I1032)&gt;0,Taostats_CSV!I1032,""))</f>
        <v/>
      </c>
      <c r="L1032">
        <f ca="1">IF(Taostats_CSV!E1032&lt;&gt;"TAO",IF(LEN(F1032)&gt;0,F1032,IF(LEN(D1032)&gt;0,D1032,0))*Taostats_CSV!P1032,"")</f>
        <v>5.136022280525804</v>
      </c>
      <c r="M1032" t="str">
        <f t="shared" ca="1" si="111"/>
        <v>USD</v>
      </c>
      <c r="N1032">
        <f>COUNTIF(Taostats_CSV!$X:$X,Taostats_CSV!$I1032&amp;N$1)</f>
        <v>0</v>
      </c>
      <c r="O1032">
        <f>COUNTIF(Taostats_CSV!$X:$X,Taostats_CSV!$I1032&amp;O$1)</f>
        <v>0</v>
      </c>
      <c r="P1032">
        <f>COUNTIF(Taostats_CSV!$X:$X,Taostats_CSV!$I1032&amp;P$1)</f>
        <v>0</v>
      </c>
      <c r="Q1032" t="b">
        <f t="shared" si="112"/>
        <v>0</v>
      </c>
      <c r="R1032" t="b">
        <f>IF(LEN(K1032)&gt;0,COUNTIF($K$3:K1032,K1032),FALSE)</f>
        <v>0</v>
      </c>
      <c r="S1032" t="b">
        <f>IF(Taostats_CSV!A1032=Taostats_CSV!$A$2,TRUE,Taostats_CSV!G1032+Taostats_CSV!H1032+Taostats_CSV!R1032=0)</f>
        <v>0</v>
      </c>
      <c r="T1032" t="b">
        <f t="shared" si="113"/>
        <v>1</v>
      </c>
      <c r="U1032" t="b" cm="1">
        <f t="array" aca="1" ref="U1032" ca="1">AND(T1032,OR(O1032-N1032&gt;1,P1032&gt;1,ISERROR(A1032:P1032)))</f>
        <v>0</v>
      </c>
      <c r="W1032" t="e">
        <f>MATCH(K1032&amp;$W$2,Taostats_CSV!$X$3:$X$1167,0)</f>
        <v>#N/A</v>
      </c>
      <c r="X1032" t="e">
        <f t="shared" ca="1" si="108"/>
        <v>#VALUE!</v>
      </c>
      <c r="Y1032">
        <f t="shared" ca="1" si="109"/>
        <v>0.52415493199999996</v>
      </c>
      <c r="Z1032" t="e">
        <f t="shared" ca="1" si="110"/>
        <v>#VALUE!</v>
      </c>
    </row>
    <row r="1033" spans="1:26" x14ac:dyDescent="0.4">
      <c r="A1033" t="str">
        <f>MID(Taostats_CSV!C1033,6,2)&amp;"/"&amp;MID(Taostats_CSV!C1033,9,2)&amp;"/"&amp;LEFT(Taostats_CSV!C1033,4)&amp;" "&amp;MID(Taostats_CSV!C1033,12,8)</f>
        <v>10/03/2025 23:59:48</v>
      </c>
      <c r="C1033" t="str">
        <f ca="1">IF(Q1033,OFFSET(Taostats_CSV!$E$1,MATCH(K1033&amp;D$1,Taostats_CSV!$X:$X,0)-1,0),IF(Taostats_CSV!F1033="fee",IF(VALUE(Taostats_CSV!G1033)&gt;0,Taostats_CSV!E1033,""),""))</f>
        <v/>
      </c>
      <c r="D1033" t="str">
        <f ca="1">IF(Q1033,OFFSET(Taostats_CSV!$G$1,MATCH(K1033&amp;D$1,Taostats_CSV!$X:$X,0)-1,0),IF(Taostats_CSV!F1033="fee",IF(VALUE(Taostats_CSV!G1033)&gt;0,Taostats_CSV!G1033,""),""))</f>
        <v/>
      </c>
      <c r="E1033" t="str">
        <f ca="1">IF(AND(Q1033,P1033&gt;0),OFFSET(Taostats_CSV!$E$1,MATCH(K1033&amp;F$1,Taostats_CSV!$X:$X,0)-1,0),IF(LEN(F1033)&gt;0,Taostats_CSV!E1033,""))</f>
        <v>SN4</v>
      </c>
      <c r="F1033" t="str">
        <f ca="1">TRIM(IF(AND(Q1033,P1033&gt;0),OFFSET(Taostats_CSV!$H$1,MATCH(K1033&amp;F$1,Taostats_CSV!$X:$X,0)-1,0),IF(LEN(Taostats_CSV!H1033)&gt;0,Taostats_CSV!H1033,Taostats_CSV!R1033)))</f>
        <v>0.402309605</v>
      </c>
      <c r="G1033" t="str">
        <f ca="1">IF(AND(Q1033,N1033=1),OFFSET(Taostats_CSV!$E$1,MATCH(K1033&amp;H$1,Taostats_CSV!$X:$X,0)-1,0),"")</f>
        <v/>
      </c>
      <c r="H1033" t="str">
        <f ca="1">IF(AND(Q1033,N1033=1),OFFSET(Taostats_CSV!$G$1,MATCH(K1033&amp;H$1,Taostats_CSV!$X:$X,0)-1,0),"")</f>
        <v/>
      </c>
      <c r="I1033" t="str">
        <f ca="1">IF(AND(LEN(K1033)=0,LEN(F1033)&gt;0),"Income",IF(AND(O1033&gt;0,P1033&gt;0,C1033&lt;&gt;E1033),"Trade",IF(AND(NOT(Q1033),Taostats_CSV!F1033="fee"),'READ ME'!$C$5,"")))</f>
        <v>Income</v>
      </c>
      <c r="J1033" t="str">
        <f ca="1">SUBSTITUTE(IF(LEN(I1033)=0,Taostats_CSV!F1033&amp;" "&amp;Taostats_CSV!J1033,IF(I1033="Cost","Extrinsic fee","")),"_"," ")</f>
        <v/>
      </c>
      <c r="K1033" t="str">
        <f>TRIM(IF(LEN(Taostats_CSV!I1033)&gt;0,Taostats_CSV!I1033,""))</f>
        <v/>
      </c>
      <c r="L1033">
        <f ca="1">IF(Taostats_CSV!E1033&lt;&gt;"TAO",IF(LEN(F1033)&gt;0,F1033,IF(LEN(D1033)&gt;0,D1033,0))*Taostats_CSV!P1033,"")</f>
        <v>6.1757540926327614</v>
      </c>
      <c r="M1033" t="str">
        <f t="shared" ca="1" si="111"/>
        <v>USD</v>
      </c>
      <c r="N1033">
        <f>COUNTIF(Taostats_CSV!$X:$X,Taostats_CSV!$I1033&amp;N$1)</f>
        <v>0</v>
      </c>
      <c r="O1033">
        <f>COUNTIF(Taostats_CSV!$X:$X,Taostats_CSV!$I1033&amp;O$1)</f>
        <v>0</v>
      </c>
      <c r="P1033">
        <f>COUNTIF(Taostats_CSV!$X:$X,Taostats_CSV!$I1033&amp;P$1)</f>
        <v>0</v>
      </c>
      <c r="Q1033" t="b">
        <f t="shared" si="112"/>
        <v>0</v>
      </c>
      <c r="R1033" t="b">
        <f>IF(LEN(K1033)&gt;0,COUNTIF($K$3:K1033,K1033),FALSE)</f>
        <v>0</v>
      </c>
      <c r="S1033" t="b">
        <f>IF(Taostats_CSV!A1033=Taostats_CSV!$A$2,TRUE,Taostats_CSV!G1033+Taostats_CSV!H1033+Taostats_CSV!R1033=0)</f>
        <v>0</v>
      </c>
      <c r="T1033" t="b">
        <f t="shared" si="113"/>
        <v>1</v>
      </c>
      <c r="U1033" t="b" cm="1">
        <f t="array" aca="1" ref="U1033" ca="1">AND(T1033,OR(O1033-N1033&gt;1,P1033&gt;1,ISERROR(A1033:P1033)))</f>
        <v>0</v>
      </c>
      <c r="W1033" t="e">
        <f>MATCH(K1033&amp;$W$2,Taostats_CSV!$X$3:$X$1167,0)</f>
        <v>#N/A</v>
      </c>
      <c r="X1033" t="e">
        <f t="shared" ca="1" si="108"/>
        <v>#VALUE!</v>
      </c>
      <c r="Y1033">
        <f t="shared" ca="1" si="109"/>
        <v>0.40230960500000001</v>
      </c>
      <c r="Z1033" t="e">
        <f t="shared" ca="1" si="110"/>
        <v>#VALUE!</v>
      </c>
    </row>
    <row r="1034" spans="1:26" x14ac:dyDescent="0.4">
      <c r="A1034" t="str">
        <f>MID(Taostats_CSV!C1034,6,2)&amp;"/"&amp;MID(Taostats_CSV!C1034,9,2)&amp;"/"&amp;LEFT(Taostats_CSV!C1034,4)&amp;" "&amp;MID(Taostats_CSV!C1034,12,8)</f>
        <v>10/03/2025 23:59:48</v>
      </c>
      <c r="C1034" t="str">
        <f ca="1">IF(Q1034,OFFSET(Taostats_CSV!$E$1,MATCH(K1034&amp;D$1,Taostats_CSV!$X:$X,0)-1,0),IF(Taostats_CSV!F1034="fee",IF(VALUE(Taostats_CSV!G1034)&gt;0,Taostats_CSV!E1034,""),""))</f>
        <v/>
      </c>
      <c r="D1034" t="str">
        <f ca="1">IF(Q1034,OFFSET(Taostats_CSV!$G$1,MATCH(K1034&amp;D$1,Taostats_CSV!$X:$X,0)-1,0),IF(Taostats_CSV!F1034="fee",IF(VALUE(Taostats_CSV!G1034)&gt;0,Taostats_CSV!G1034,""),""))</f>
        <v/>
      </c>
      <c r="E1034" t="str">
        <f ca="1">IF(AND(Q1034,P1034&gt;0),OFFSET(Taostats_CSV!$E$1,MATCH(K1034&amp;F$1,Taostats_CSV!$X:$X,0)-1,0),IF(LEN(F1034)&gt;0,Taostats_CSV!E1034,""))</f>
        <v>SN56</v>
      </c>
      <c r="F1034" t="str">
        <f ca="1">TRIM(IF(AND(Q1034,P1034&gt;0),OFFSET(Taostats_CSV!$H$1,MATCH(K1034&amp;F$1,Taostats_CSV!$X:$X,0)-1,0),IF(LEN(Taostats_CSV!H1034)&gt;0,Taostats_CSV!H1034,Taostats_CSV!R1034)))</f>
        <v>0.337547834</v>
      </c>
      <c r="G1034" t="str">
        <f ca="1">IF(AND(Q1034,N1034=1),OFFSET(Taostats_CSV!$E$1,MATCH(K1034&amp;H$1,Taostats_CSV!$X:$X,0)-1,0),"")</f>
        <v/>
      </c>
      <c r="H1034" t="str">
        <f ca="1">IF(AND(Q1034,N1034=1),OFFSET(Taostats_CSV!$G$1,MATCH(K1034&amp;H$1,Taostats_CSV!$X:$X,0)-1,0),"")</f>
        <v/>
      </c>
      <c r="I1034" t="str">
        <f ca="1">IF(AND(LEN(K1034)=0,LEN(F1034)&gt;0),"Income",IF(AND(O1034&gt;0,P1034&gt;0,C1034&lt;&gt;E1034),"Trade",IF(AND(NOT(Q1034),Taostats_CSV!F1034="fee"),'READ ME'!$C$5,"")))</f>
        <v>Income</v>
      </c>
      <c r="J1034" t="str">
        <f ca="1">SUBSTITUTE(IF(LEN(I1034)=0,Taostats_CSV!F1034&amp;" "&amp;Taostats_CSV!J1034,IF(I1034="Cost","Extrinsic fee","")),"_"," ")</f>
        <v/>
      </c>
      <c r="K1034" t="str">
        <f>TRIM(IF(LEN(Taostats_CSV!I1034)&gt;0,Taostats_CSV!I1034,""))</f>
        <v/>
      </c>
      <c r="L1034">
        <f ca="1">IF(Taostats_CSV!E1034&lt;&gt;"TAO",IF(LEN(F1034)&gt;0,F1034,IF(LEN(D1034)&gt;0,D1034,0))*Taostats_CSV!P1034,"")</f>
        <v>4.0922557309896064</v>
      </c>
      <c r="M1034" t="str">
        <f t="shared" ca="1" si="111"/>
        <v>USD</v>
      </c>
      <c r="N1034">
        <f>COUNTIF(Taostats_CSV!$X:$X,Taostats_CSV!$I1034&amp;N$1)</f>
        <v>0</v>
      </c>
      <c r="O1034">
        <f>COUNTIF(Taostats_CSV!$X:$X,Taostats_CSV!$I1034&amp;O$1)</f>
        <v>0</v>
      </c>
      <c r="P1034">
        <f>COUNTIF(Taostats_CSV!$X:$X,Taostats_CSV!$I1034&amp;P$1)</f>
        <v>0</v>
      </c>
      <c r="Q1034" t="b">
        <f t="shared" si="112"/>
        <v>0</v>
      </c>
      <c r="R1034" t="b">
        <f>IF(LEN(K1034)&gt;0,COUNTIF($K$3:K1034,K1034),FALSE)</f>
        <v>0</v>
      </c>
      <c r="S1034" t="b">
        <f>IF(Taostats_CSV!A1034=Taostats_CSV!$A$2,TRUE,Taostats_CSV!G1034+Taostats_CSV!H1034+Taostats_CSV!R1034=0)</f>
        <v>0</v>
      </c>
      <c r="T1034" t="b">
        <f t="shared" si="113"/>
        <v>1</v>
      </c>
      <c r="U1034" t="b" cm="1">
        <f t="array" aca="1" ref="U1034" ca="1">AND(T1034,OR(O1034-N1034&gt;1,P1034&gt;1,ISERROR(A1034:P1034)))</f>
        <v>0</v>
      </c>
      <c r="W1034" t="e">
        <f>MATCH(K1034&amp;$W$2,Taostats_CSV!$X$3:$X$1167,0)</f>
        <v>#N/A</v>
      </c>
      <c r="X1034" t="e">
        <f t="shared" ca="1" si="108"/>
        <v>#VALUE!</v>
      </c>
      <c r="Y1034">
        <f t="shared" ca="1" si="109"/>
        <v>0.33754783399999999</v>
      </c>
      <c r="Z1034" t="e">
        <f t="shared" ca="1" si="110"/>
        <v>#VALUE!</v>
      </c>
    </row>
    <row r="1035" spans="1:26" x14ac:dyDescent="0.4">
      <c r="A1035" t="str">
        <f>MID(Taostats_CSV!C1035,6,2)&amp;"/"&amp;MID(Taostats_CSV!C1035,9,2)&amp;"/"&amp;LEFT(Taostats_CSV!C1035,4)&amp;" "&amp;MID(Taostats_CSV!C1035,12,8)</f>
        <v>10/03/2025 23:59:48</v>
      </c>
      <c r="C1035" t="str">
        <f ca="1">IF(Q1035,OFFSET(Taostats_CSV!$E$1,MATCH(K1035&amp;D$1,Taostats_CSV!$X:$X,0)-1,0),IF(Taostats_CSV!F1035="fee",IF(VALUE(Taostats_CSV!G1035)&gt;0,Taostats_CSV!E1035,""),""))</f>
        <v/>
      </c>
      <c r="D1035" t="str">
        <f ca="1">IF(Q1035,OFFSET(Taostats_CSV!$G$1,MATCH(K1035&amp;D$1,Taostats_CSV!$X:$X,0)-1,0),IF(Taostats_CSV!F1035="fee",IF(VALUE(Taostats_CSV!G1035)&gt;0,Taostats_CSV!G1035,""),""))</f>
        <v/>
      </c>
      <c r="E1035" t="str">
        <f ca="1">IF(AND(Q1035,P1035&gt;0),OFFSET(Taostats_CSV!$E$1,MATCH(K1035&amp;F$1,Taostats_CSV!$X:$X,0)-1,0),IF(LEN(F1035)&gt;0,Taostats_CSV!E1035,""))</f>
        <v>SN64</v>
      </c>
      <c r="F1035" t="str">
        <f ca="1">TRIM(IF(AND(Q1035,P1035&gt;0),OFFSET(Taostats_CSV!$H$1,MATCH(K1035&amp;F$1,Taostats_CSV!$X:$X,0)-1,0),IF(LEN(Taostats_CSV!H1035)&gt;0,Taostats_CSV!H1035,Taostats_CSV!R1035)))</f>
        <v>0.163567342</v>
      </c>
      <c r="G1035" t="str">
        <f ca="1">IF(AND(Q1035,N1035=1),OFFSET(Taostats_CSV!$E$1,MATCH(K1035&amp;H$1,Taostats_CSV!$X:$X,0)-1,0),"")</f>
        <v/>
      </c>
      <c r="H1035" t="str">
        <f ca="1">IF(AND(Q1035,N1035=1),OFFSET(Taostats_CSV!$G$1,MATCH(K1035&amp;H$1,Taostats_CSV!$X:$X,0)-1,0),"")</f>
        <v/>
      </c>
      <c r="I1035" t="str">
        <f ca="1">IF(AND(LEN(K1035)=0,LEN(F1035)&gt;0),"Income",IF(AND(O1035&gt;0,P1035&gt;0,C1035&lt;&gt;E1035),"Trade",IF(AND(NOT(Q1035),Taostats_CSV!F1035="fee"),'READ ME'!$C$5,"")))</f>
        <v>Income</v>
      </c>
      <c r="J1035" t="str">
        <f ca="1">SUBSTITUTE(IF(LEN(I1035)=0,Taostats_CSV!F1035&amp;" "&amp;Taostats_CSV!J1035,IF(I1035="Cost","Extrinsic fee","")),"_"," ")</f>
        <v/>
      </c>
      <c r="K1035" t="str">
        <f>TRIM(IF(LEN(Taostats_CSV!I1035)&gt;0,Taostats_CSV!I1035,""))</f>
        <v/>
      </c>
      <c r="L1035">
        <f ca="1">IF(Taostats_CSV!E1035&lt;&gt;"TAO",IF(LEN(F1035)&gt;0,F1035,IF(LEN(D1035)&gt;0,D1035,0))*Taostats_CSV!P1035,"")</f>
        <v>4.428834024803292</v>
      </c>
      <c r="M1035" t="str">
        <f t="shared" ca="1" si="111"/>
        <v>USD</v>
      </c>
      <c r="N1035">
        <f>COUNTIF(Taostats_CSV!$X:$X,Taostats_CSV!$I1035&amp;N$1)</f>
        <v>0</v>
      </c>
      <c r="O1035">
        <f>COUNTIF(Taostats_CSV!$X:$X,Taostats_CSV!$I1035&amp;O$1)</f>
        <v>0</v>
      </c>
      <c r="P1035">
        <f>COUNTIF(Taostats_CSV!$X:$X,Taostats_CSV!$I1035&amp;P$1)</f>
        <v>0</v>
      </c>
      <c r="Q1035" t="b">
        <f t="shared" si="112"/>
        <v>0</v>
      </c>
      <c r="R1035" t="b">
        <f>IF(LEN(K1035)&gt;0,COUNTIF($K$3:K1035,K1035),FALSE)</f>
        <v>0</v>
      </c>
      <c r="S1035" t="b">
        <f>IF(Taostats_CSV!A1035=Taostats_CSV!$A$2,TRUE,Taostats_CSV!G1035+Taostats_CSV!H1035+Taostats_CSV!R1035=0)</f>
        <v>0</v>
      </c>
      <c r="T1035" t="b">
        <f t="shared" si="113"/>
        <v>1</v>
      </c>
      <c r="U1035" t="b" cm="1">
        <f t="array" aca="1" ref="U1035" ca="1">AND(T1035,OR(O1035-N1035&gt;1,P1035&gt;1,ISERROR(A1035:P1035)))</f>
        <v>0</v>
      </c>
      <c r="W1035" t="e">
        <f>MATCH(K1035&amp;$W$2,Taostats_CSV!$X$3:$X$1167,0)</f>
        <v>#N/A</v>
      </c>
      <c r="X1035" t="e">
        <f t="shared" ca="1" si="108"/>
        <v>#VALUE!</v>
      </c>
      <c r="Y1035">
        <f t="shared" ca="1" si="109"/>
        <v>0.163567342</v>
      </c>
      <c r="Z1035" t="e">
        <f t="shared" ca="1" si="110"/>
        <v>#VALUE!</v>
      </c>
    </row>
    <row r="1036" spans="1:26" x14ac:dyDescent="0.4">
      <c r="A1036" t="str">
        <f>MID(Taostats_CSV!C1036,6,2)&amp;"/"&amp;MID(Taostats_CSV!C1036,9,2)&amp;"/"&amp;LEFT(Taostats_CSV!C1036,4)&amp;" "&amp;MID(Taostats_CSV!C1036,12,8)</f>
        <v>10/03/2025 23:59:48</v>
      </c>
      <c r="C1036" t="str">
        <f ca="1">IF(Q1036,OFFSET(Taostats_CSV!$E$1,MATCH(K1036&amp;D$1,Taostats_CSV!$X:$X,0)-1,0),IF(Taostats_CSV!F1036="fee",IF(VALUE(Taostats_CSV!G1036)&gt;0,Taostats_CSV!E1036,""),""))</f>
        <v/>
      </c>
      <c r="D1036" t="str">
        <f ca="1">IF(Q1036,OFFSET(Taostats_CSV!$G$1,MATCH(K1036&amp;D$1,Taostats_CSV!$X:$X,0)-1,0),IF(Taostats_CSV!F1036="fee",IF(VALUE(Taostats_CSV!G1036)&gt;0,Taostats_CSV!G1036,""),""))</f>
        <v/>
      </c>
      <c r="E1036" t="str">
        <f ca="1">IF(AND(Q1036,P1036&gt;0),OFFSET(Taostats_CSV!$E$1,MATCH(K1036&amp;F$1,Taostats_CSV!$X:$X,0)-1,0),IF(LEN(F1036)&gt;0,Taostats_CSV!E1036,""))</f>
        <v>TAO</v>
      </c>
      <c r="F1036" t="str">
        <f ca="1">TRIM(IF(AND(Q1036,P1036&gt;0),OFFSET(Taostats_CSV!$H$1,MATCH(K1036&amp;F$1,Taostats_CSV!$X:$X,0)-1,0),IF(LEN(Taostats_CSV!H1036)&gt;0,Taostats_CSV!H1036,Taostats_CSV!R1036)))</f>
        <v>0.010046005</v>
      </c>
      <c r="G1036" t="str">
        <f ca="1">IF(AND(Q1036,N1036=1),OFFSET(Taostats_CSV!$E$1,MATCH(K1036&amp;H$1,Taostats_CSV!$X:$X,0)-1,0),"")</f>
        <v/>
      </c>
      <c r="H1036" t="str">
        <f ca="1">IF(AND(Q1036,N1036=1),OFFSET(Taostats_CSV!$G$1,MATCH(K1036&amp;H$1,Taostats_CSV!$X:$X,0)-1,0),"")</f>
        <v/>
      </c>
      <c r="I1036" t="str">
        <f ca="1">IF(AND(LEN(K1036)=0,LEN(F1036)&gt;0),"Income",IF(AND(O1036&gt;0,P1036&gt;0,C1036&lt;&gt;E1036),"Trade",IF(AND(NOT(Q1036),Taostats_CSV!F1036="fee"),'READ ME'!$C$5,"")))</f>
        <v>Income</v>
      </c>
      <c r="J1036" t="str">
        <f ca="1">SUBSTITUTE(IF(LEN(I1036)=0,Taostats_CSV!F1036&amp;" "&amp;Taostats_CSV!J1036,IF(I1036="Cost","Extrinsic fee","")),"_"," ")</f>
        <v/>
      </c>
      <c r="K1036" t="str">
        <f>TRIM(IF(LEN(Taostats_CSV!I1036)&gt;0,Taostats_CSV!I1036,""))</f>
        <v/>
      </c>
      <c r="L1036" t="str">
        <f>IF(Taostats_CSV!E1036&lt;&gt;"TAO",IF(LEN(F1036)&gt;0,F1036,IF(LEN(D1036)&gt;0,D1036,0))*Taostats_CSV!P1036,"")</f>
        <v/>
      </c>
      <c r="M1036" t="str">
        <f t="shared" si="111"/>
        <v/>
      </c>
      <c r="N1036">
        <f>COUNTIF(Taostats_CSV!$X:$X,Taostats_CSV!$I1036&amp;N$1)</f>
        <v>0</v>
      </c>
      <c r="O1036">
        <f>COUNTIF(Taostats_CSV!$X:$X,Taostats_CSV!$I1036&amp;O$1)</f>
        <v>0</v>
      </c>
      <c r="P1036">
        <f>COUNTIF(Taostats_CSV!$X:$X,Taostats_CSV!$I1036&amp;P$1)</f>
        <v>0</v>
      </c>
      <c r="Q1036" t="b">
        <f t="shared" si="112"/>
        <v>0</v>
      </c>
      <c r="R1036" t="b">
        <f>IF(LEN(K1036)&gt;0,COUNTIF($K$3:K1036,K1036),FALSE)</f>
        <v>0</v>
      </c>
      <c r="S1036" t="b">
        <f>IF(Taostats_CSV!A1036=Taostats_CSV!$A$2,TRUE,Taostats_CSV!G1036+Taostats_CSV!H1036+Taostats_CSV!R1036=0)</f>
        <v>0</v>
      </c>
      <c r="T1036" t="b">
        <f t="shared" si="113"/>
        <v>1</v>
      </c>
      <c r="U1036" t="b" cm="1">
        <f t="array" aca="1" ref="U1036" ca="1">AND(T1036,OR(O1036-N1036&gt;1,P1036&gt;1,ISERROR(A1036:P1036)))</f>
        <v>0</v>
      </c>
      <c r="W1036" t="e">
        <f>MATCH(K1036&amp;$W$2,Taostats_CSV!$X$3:$X$1167,0)</f>
        <v>#N/A</v>
      </c>
      <c r="X1036" t="e">
        <f t="shared" ca="1" si="108"/>
        <v>#VALUE!</v>
      </c>
      <c r="Y1036">
        <f t="shared" ca="1" si="109"/>
        <v>1.0046005E-2</v>
      </c>
      <c r="Z1036" t="e">
        <f t="shared" ca="1" si="110"/>
        <v>#VALUE!</v>
      </c>
    </row>
    <row r="1037" spans="1:26" x14ac:dyDescent="0.4">
      <c r="A1037" t="str">
        <f>MID(Taostats_CSV!C1037,6,2)&amp;"/"&amp;MID(Taostats_CSV!C1037,9,2)&amp;"/"&amp;LEFT(Taostats_CSV!C1037,4)&amp;" "&amp;MID(Taostats_CSV!C1037,12,8)</f>
        <v>10/04/2025 23:59:48</v>
      </c>
      <c r="C1037" t="str">
        <f ca="1">IF(Q1037,OFFSET(Taostats_CSV!$E$1,MATCH(K1037&amp;D$1,Taostats_CSV!$X:$X,0)-1,0),IF(Taostats_CSV!F1037="fee",IF(VALUE(Taostats_CSV!G1037)&gt;0,Taostats_CSV!E1037,""),""))</f>
        <v/>
      </c>
      <c r="D1037" t="str">
        <f ca="1">IF(Q1037,OFFSET(Taostats_CSV!$G$1,MATCH(K1037&amp;D$1,Taostats_CSV!$X:$X,0)-1,0),IF(Taostats_CSV!F1037="fee",IF(VALUE(Taostats_CSV!G1037)&gt;0,Taostats_CSV!G1037,""),""))</f>
        <v/>
      </c>
      <c r="E1037" t="str">
        <f ca="1">IF(AND(Q1037,P1037&gt;0),OFFSET(Taostats_CSV!$E$1,MATCH(K1037&amp;F$1,Taostats_CSV!$X:$X,0)-1,0),IF(LEN(F1037)&gt;0,Taostats_CSV!E1037,""))</f>
        <v>SN3</v>
      </c>
      <c r="F1037" t="str">
        <f ca="1">TRIM(IF(AND(Q1037,P1037&gt;0),OFFSET(Taostats_CSV!$H$1,MATCH(K1037&amp;F$1,Taostats_CSV!$X:$X,0)-1,0),IF(LEN(Taostats_CSV!H1037)&gt;0,Taostats_CSV!H1037,Taostats_CSV!R1037)))</f>
        <v>0.525060332</v>
      </c>
      <c r="G1037" t="str">
        <f ca="1">IF(AND(Q1037,N1037=1),OFFSET(Taostats_CSV!$E$1,MATCH(K1037&amp;H$1,Taostats_CSV!$X:$X,0)-1,0),"")</f>
        <v/>
      </c>
      <c r="H1037" t="str">
        <f ca="1">IF(AND(Q1037,N1037=1),OFFSET(Taostats_CSV!$G$1,MATCH(K1037&amp;H$1,Taostats_CSV!$X:$X,0)-1,0),"")</f>
        <v/>
      </c>
      <c r="I1037" t="str">
        <f ca="1">IF(AND(LEN(K1037)=0,LEN(F1037)&gt;0),"Income",IF(AND(O1037&gt;0,P1037&gt;0,C1037&lt;&gt;E1037),"Trade",IF(AND(NOT(Q1037),Taostats_CSV!F1037="fee"),'READ ME'!$C$5,"")))</f>
        <v>Income</v>
      </c>
      <c r="J1037" t="str">
        <f ca="1">SUBSTITUTE(IF(LEN(I1037)=0,Taostats_CSV!F1037&amp;" "&amp;Taostats_CSV!J1037,IF(I1037="Cost","Extrinsic fee","")),"_"," ")</f>
        <v/>
      </c>
      <c r="K1037" t="str">
        <f>TRIM(IF(LEN(Taostats_CSV!I1037)&gt;0,Taostats_CSV!I1037,""))</f>
        <v/>
      </c>
      <c r="L1037">
        <f ca="1">IF(Taostats_CSV!E1037&lt;&gt;"TAO",IF(LEN(F1037)&gt;0,F1037,IF(LEN(D1037)&gt;0,D1037,0))*Taostats_CSV!P1037,"")</f>
        <v>5.06616243645193</v>
      </c>
      <c r="M1037" t="str">
        <f t="shared" ca="1" si="111"/>
        <v>USD</v>
      </c>
      <c r="N1037">
        <f>COUNTIF(Taostats_CSV!$X:$X,Taostats_CSV!$I1037&amp;N$1)</f>
        <v>0</v>
      </c>
      <c r="O1037">
        <f>COUNTIF(Taostats_CSV!$X:$X,Taostats_CSV!$I1037&amp;O$1)</f>
        <v>0</v>
      </c>
      <c r="P1037">
        <f>COUNTIF(Taostats_CSV!$X:$X,Taostats_CSV!$I1037&amp;P$1)</f>
        <v>0</v>
      </c>
      <c r="Q1037" t="b">
        <f t="shared" si="112"/>
        <v>0</v>
      </c>
      <c r="R1037" t="b">
        <f>IF(LEN(K1037)&gt;0,COUNTIF($K$3:K1037,K1037),FALSE)</f>
        <v>0</v>
      </c>
      <c r="S1037" t="b">
        <f>IF(Taostats_CSV!A1037=Taostats_CSV!$A$2,TRUE,Taostats_CSV!G1037+Taostats_CSV!H1037+Taostats_CSV!R1037=0)</f>
        <v>0</v>
      </c>
      <c r="T1037" t="b">
        <f t="shared" si="113"/>
        <v>1</v>
      </c>
      <c r="U1037" t="b" cm="1">
        <f t="array" aca="1" ref="U1037" ca="1">AND(T1037,OR(O1037-N1037&gt;1,P1037&gt;1,ISERROR(A1037:P1037)))</f>
        <v>0</v>
      </c>
      <c r="W1037" t="e">
        <f>MATCH(K1037&amp;$W$2,Taostats_CSV!$X$3:$X$1167,0)</f>
        <v>#N/A</v>
      </c>
      <c r="X1037" t="e">
        <f t="shared" ca="1" si="108"/>
        <v>#VALUE!</v>
      </c>
      <c r="Y1037">
        <f t="shared" ca="1" si="109"/>
        <v>0.52506033200000002</v>
      </c>
      <c r="Z1037" t="e">
        <f t="shared" ca="1" si="110"/>
        <v>#VALUE!</v>
      </c>
    </row>
    <row r="1038" spans="1:26" x14ac:dyDescent="0.4">
      <c r="A1038" t="str">
        <f>MID(Taostats_CSV!C1038,6,2)&amp;"/"&amp;MID(Taostats_CSV!C1038,9,2)&amp;"/"&amp;LEFT(Taostats_CSV!C1038,4)&amp;" "&amp;MID(Taostats_CSV!C1038,12,8)</f>
        <v>10/04/2025 23:59:48</v>
      </c>
      <c r="C1038" t="str">
        <f ca="1">IF(Q1038,OFFSET(Taostats_CSV!$E$1,MATCH(K1038&amp;D$1,Taostats_CSV!$X:$X,0)-1,0),IF(Taostats_CSV!F1038="fee",IF(VALUE(Taostats_CSV!G1038)&gt;0,Taostats_CSV!E1038,""),""))</f>
        <v/>
      </c>
      <c r="D1038" t="str">
        <f ca="1">IF(Q1038,OFFSET(Taostats_CSV!$G$1,MATCH(K1038&amp;D$1,Taostats_CSV!$X:$X,0)-1,0),IF(Taostats_CSV!F1038="fee",IF(VALUE(Taostats_CSV!G1038)&gt;0,Taostats_CSV!G1038,""),""))</f>
        <v/>
      </c>
      <c r="E1038" t="str">
        <f ca="1">IF(AND(Q1038,P1038&gt;0),OFFSET(Taostats_CSV!$E$1,MATCH(K1038&amp;F$1,Taostats_CSV!$X:$X,0)-1,0),IF(LEN(F1038)&gt;0,Taostats_CSV!E1038,""))</f>
        <v>SN4</v>
      </c>
      <c r="F1038" t="str">
        <f ca="1">TRIM(IF(AND(Q1038,P1038&gt;0),OFFSET(Taostats_CSV!$H$1,MATCH(K1038&amp;F$1,Taostats_CSV!$X:$X,0)-1,0),IF(LEN(Taostats_CSV!H1038)&gt;0,Taostats_CSV!H1038,Taostats_CSV!R1038)))</f>
        <v>0.403037599</v>
      </c>
      <c r="G1038" t="str">
        <f ca="1">IF(AND(Q1038,N1038=1),OFFSET(Taostats_CSV!$E$1,MATCH(K1038&amp;H$1,Taostats_CSV!$X:$X,0)-1,0),"")</f>
        <v/>
      </c>
      <c r="H1038" t="str">
        <f ca="1">IF(AND(Q1038,N1038=1),OFFSET(Taostats_CSV!$G$1,MATCH(K1038&amp;H$1,Taostats_CSV!$X:$X,0)-1,0),"")</f>
        <v/>
      </c>
      <c r="I1038" t="str">
        <f ca="1">IF(AND(LEN(K1038)=0,LEN(F1038)&gt;0),"Income",IF(AND(O1038&gt;0,P1038&gt;0,C1038&lt;&gt;E1038),"Trade",IF(AND(NOT(Q1038),Taostats_CSV!F1038="fee"),'READ ME'!$C$5,"")))</f>
        <v>Income</v>
      </c>
      <c r="J1038" t="str">
        <f ca="1">SUBSTITUTE(IF(LEN(I1038)=0,Taostats_CSV!F1038&amp;" "&amp;Taostats_CSV!J1038,IF(I1038="Cost","Extrinsic fee","")),"_"," ")</f>
        <v/>
      </c>
      <c r="K1038" t="str">
        <f>TRIM(IF(LEN(Taostats_CSV!I1038)&gt;0,Taostats_CSV!I1038,""))</f>
        <v/>
      </c>
      <c r="L1038">
        <f ca="1">IF(Taostats_CSV!E1038&lt;&gt;"TAO",IF(LEN(F1038)&gt;0,F1038,IF(LEN(D1038)&gt;0,D1038,0))*Taostats_CSV!P1038,"")</f>
        <v>5.9672365984351732</v>
      </c>
      <c r="M1038" t="str">
        <f t="shared" ca="1" si="111"/>
        <v>USD</v>
      </c>
      <c r="N1038">
        <f>COUNTIF(Taostats_CSV!$X:$X,Taostats_CSV!$I1038&amp;N$1)</f>
        <v>0</v>
      </c>
      <c r="O1038">
        <f>COUNTIF(Taostats_CSV!$X:$X,Taostats_CSV!$I1038&amp;O$1)</f>
        <v>0</v>
      </c>
      <c r="P1038">
        <f>COUNTIF(Taostats_CSV!$X:$X,Taostats_CSV!$I1038&amp;P$1)</f>
        <v>0</v>
      </c>
      <c r="Q1038" t="b">
        <f t="shared" si="112"/>
        <v>0</v>
      </c>
      <c r="R1038" t="b">
        <f>IF(LEN(K1038)&gt;0,COUNTIF($K$3:K1038,K1038),FALSE)</f>
        <v>0</v>
      </c>
      <c r="S1038" t="b">
        <f>IF(Taostats_CSV!A1038=Taostats_CSV!$A$2,TRUE,Taostats_CSV!G1038+Taostats_CSV!H1038+Taostats_CSV!R1038=0)</f>
        <v>0</v>
      </c>
      <c r="T1038" t="b">
        <f t="shared" si="113"/>
        <v>1</v>
      </c>
      <c r="U1038" t="b" cm="1">
        <f t="array" aca="1" ref="U1038" ca="1">AND(T1038,OR(O1038-N1038&gt;1,P1038&gt;1,ISERROR(A1038:P1038)))</f>
        <v>0</v>
      </c>
      <c r="W1038" t="e">
        <f>MATCH(K1038&amp;$W$2,Taostats_CSV!$X$3:$X$1167,0)</f>
        <v>#N/A</v>
      </c>
      <c r="X1038" t="e">
        <f t="shared" ca="1" si="108"/>
        <v>#VALUE!</v>
      </c>
      <c r="Y1038">
        <f t="shared" ca="1" si="109"/>
        <v>0.40303759900000002</v>
      </c>
      <c r="Z1038" t="e">
        <f t="shared" ca="1" si="110"/>
        <v>#VALUE!</v>
      </c>
    </row>
    <row r="1039" spans="1:26" x14ac:dyDescent="0.4">
      <c r="A1039" t="str">
        <f>MID(Taostats_CSV!C1039,6,2)&amp;"/"&amp;MID(Taostats_CSV!C1039,9,2)&amp;"/"&amp;LEFT(Taostats_CSV!C1039,4)&amp;" "&amp;MID(Taostats_CSV!C1039,12,8)</f>
        <v>10/04/2025 23:59:48</v>
      </c>
      <c r="C1039" t="str">
        <f ca="1">IF(Q1039,OFFSET(Taostats_CSV!$E$1,MATCH(K1039&amp;D$1,Taostats_CSV!$X:$X,0)-1,0),IF(Taostats_CSV!F1039="fee",IF(VALUE(Taostats_CSV!G1039)&gt;0,Taostats_CSV!E1039,""),""))</f>
        <v/>
      </c>
      <c r="D1039" t="str">
        <f ca="1">IF(Q1039,OFFSET(Taostats_CSV!$G$1,MATCH(K1039&amp;D$1,Taostats_CSV!$X:$X,0)-1,0),IF(Taostats_CSV!F1039="fee",IF(VALUE(Taostats_CSV!G1039)&gt;0,Taostats_CSV!G1039,""),""))</f>
        <v/>
      </c>
      <c r="E1039" t="str">
        <f ca="1">IF(AND(Q1039,P1039&gt;0),OFFSET(Taostats_CSV!$E$1,MATCH(K1039&amp;F$1,Taostats_CSV!$X:$X,0)-1,0),IF(LEN(F1039)&gt;0,Taostats_CSV!E1039,""))</f>
        <v>SN56</v>
      </c>
      <c r="F1039" t="str">
        <f ca="1">TRIM(IF(AND(Q1039,P1039&gt;0),OFFSET(Taostats_CSV!$H$1,MATCH(K1039&amp;F$1,Taostats_CSV!$X:$X,0)-1,0),IF(LEN(Taostats_CSV!H1039)&gt;0,Taostats_CSV!H1039,Taostats_CSV!R1039)))</f>
        <v>0.359596366</v>
      </c>
      <c r="G1039" t="str">
        <f ca="1">IF(AND(Q1039,N1039=1),OFFSET(Taostats_CSV!$E$1,MATCH(K1039&amp;H$1,Taostats_CSV!$X:$X,0)-1,0),"")</f>
        <v/>
      </c>
      <c r="H1039" t="str">
        <f ca="1">IF(AND(Q1039,N1039=1),OFFSET(Taostats_CSV!$G$1,MATCH(K1039&amp;H$1,Taostats_CSV!$X:$X,0)-1,0),"")</f>
        <v/>
      </c>
      <c r="I1039" t="str">
        <f ca="1">IF(AND(LEN(K1039)=0,LEN(F1039)&gt;0),"Income",IF(AND(O1039&gt;0,P1039&gt;0,C1039&lt;&gt;E1039),"Trade",IF(AND(NOT(Q1039),Taostats_CSV!F1039="fee"),'READ ME'!$C$5,"")))</f>
        <v>Income</v>
      </c>
      <c r="J1039" t="str">
        <f ca="1">SUBSTITUTE(IF(LEN(I1039)=0,Taostats_CSV!F1039&amp;" "&amp;Taostats_CSV!J1039,IF(I1039="Cost","Extrinsic fee","")),"_"," ")</f>
        <v/>
      </c>
      <c r="K1039" t="str">
        <f>TRIM(IF(LEN(Taostats_CSV!I1039)&gt;0,Taostats_CSV!I1039,""))</f>
        <v/>
      </c>
      <c r="L1039">
        <f ca="1">IF(Taostats_CSV!E1039&lt;&gt;"TAO",IF(LEN(F1039)&gt;0,F1039,IF(LEN(D1039)&gt;0,D1039,0))*Taostats_CSV!P1039,"")</f>
        <v>4.1266004885952006</v>
      </c>
      <c r="M1039" t="str">
        <f t="shared" ca="1" si="111"/>
        <v>USD</v>
      </c>
      <c r="N1039">
        <f>COUNTIF(Taostats_CSV!$X:$X,Taostats_CSV!$I1039&amp;N$1)</f>
        <v>0</v>
      </c>
      <c r="O1039">
        <f>COUNTIF(Taostats_CSV!$X:$X,Taostats_CSV!$I1039&amp;O$1)</f>
        <v>0</v>
      </c>
      <c r="P1039">
        <f>COUNTIF(Taostats_CSV!$X:$X,Taostats_CSV!$I1039&amp;P$1)</f>
        <v>0</v>
      </c>
      <c r="Q1039" t="b">
        <f t="shared" si="112"/>
        <v>0</v>
      </c>
      <c r="R1039" t="b">
        <f>IF(LEN(K1039)&gt;0,COUNTIF($K$3:K1039,K1039),FALSE)</f>
        <v>0</v>
      </c>
      <c r="S1039" t="b">
        <f>IF(Taostats_CSV!A1039=Taostats_CSV!$A$2,TRUE,Taostats_CSV!G1039+Taostats_CSV!H1039+Taostats_CSV!R1039=0)</f>
        <v>0</v>
      </c>
      <c r="T1039" t="b">
        <f t="shared" si="113"/>
        <v>1</v>
      </c>
      <c r="U1039" t="b" cm="1">
        <f t="array" aca="1" ref="U1039" ca="1">AND(T1039,OR(O1039-N1039&gt;1,P1039&gt;1,ISERROR(A1039:P1039)))</f>
        <v>0</v>
      </c>
      <c r="W1039" t="e">
        <f>MATCH(K1039&amp;$W$2,Taostats_CSV!$X$3:$X$1167,0)</f>
        <v>#N/A</v>
      </c>
      <c r="X1039" t="e">
        <f t="shared" ca="1" si="108"/>
        <v>#VALUE!</v>
      </c>
      <c r="Y1039">
        <f t="shared" ca="1" si="109"/>
        <v>0.359596366</v>
      </c>
      <c r="Z1039" t="e">
        <f t="shared" ca="1" si="110"/>
        <v>#VALUE!</v>
      </c>
    </row>
    <row r="1040" spans="1:26" x14ac:dyDescent="0.4">
      <c r="A1040" t="str">
        <f>MID(Taostats_CSV!C1040,6,2)&amp;"/"&amp;MID(Taostats_CSV!C1040,9,2)&amp;"/"&amp;LEFT(Taostats_CSV!C1040,4)&amp;" "&amp;MID(Taostats_CSV!C1040,12,8)</f>
        <v>10/04/2025 23:59:48</v>
      </c>
      <c r="C1040" t="str">
        <f ca="1">IF(Q1040,OFFSET(Taostats_CSV!$E$1,MATCH(K1040&amp;D$1,Taostats_CSV!$X:$X,0)-1,0),IF(Taostats_CSV!F1040="fee",IF(VALUE(Taostats_CSV!G1040)&gt;0,Taostats_CSV!E1040,""),""))</f>
        <v/>
      </c>
      <c r="D1040" t="str">
        <f ca="1">IF(Q1040,OFFSET(Taostats_CSV!$G$1,MATCH(K1040&amp;D$1,Taostats_CSV!$X:$X,0)-1,0),IF(Taostats_CSV!F1040="fee",IF(VALUE(Taostats_CSV!G1040)&gt;0,Taostats_CSV!G1040,""),""))</f>
        <v/>
      </c>
      <c r="E1040" t="str">
        <f ca="1">IF(AND(Q1040,P1040&gt;0),OFFSET(Taostats_CSV!$E$1,MATCH(K1040&amp;F$1,Taostats_CSV!$X:$X,0)-1,0),IF(LEN(F1040)&gt;0,Taostats_CSV!E1040,""))</f>
        <v>SN64</v>
      </c>
      <c r="F1040" t="str">
        <f ca="1">TRIM(IF(AND(Q1040,P1040&gt;0),OFFSET(Taostats_CSV!$H$1,MATCH(K1040&amp;F$1,Taostats_CSV!$X:$X,0)-1,0),IF(LEN(Taostats_CSV!H1040)&gt;0,Taostats_CSV!H1040,Taostats_CSV!R1040)))</f>
        <v>0.167702147</v>
      </c>
      <c r="G1040" t="str">
        <f ca="1">IF(AND(Q1040,N1040=1),OFFSET(Taostats_CSV!$E$1,MATCH(K1040&amp;H$1,Taostats_CSV!$X:$X,0)-1,0),"")</f>
        <v/>
      </c>
      <c r="H1040" t="str">
        <f ca="1">IF(AND(Q1040,N1040=1),OFFSET(Taostats_CSV!$G$1,MATCH(K1040&amp;H$1,Taostats_CSV!$X:$X,0)-1,0),"")</f>
        <v/>
      </c>
      <c r="I1040" t="str">
        <f ca="1">IF(AND(LEN(K1040)=0,LEN(F1040)&gt;0),"Income",IF(AND(O1040&gt;0,P1040&gt;0,C1040&lt;&gt;E1040),"Trade",IF(AND(NOT(Q1040),Taostats_CSV!F1040="fee"),'READ ME'!$C$5,"")))</f>
        <v>Income</v>
      </c>
      <c r="J1040" t="str">
        <f ca="1">SUBSTITUTE(IF(LEN(I1040)=0,Taostats_CSV!F1040&amp;" "&amp;Taostats_CSV!J1040,IF(I1040="Cost","Extrinsic fee","")),"_"," ")</f>
        <v/>
      </c>
      <c r="K1040" t="str">
        <f>TRIM(IF(LEN(Taostats_CSV!I1040)&gt;0,Taostats_CSV!I1040,""))</f>
        <v/>
      </c>
      <c r="L1040">
        <f ca="1">IF(Taostats_CSV!E1040&lt;&gt;"TAO",IF(LEN(F1040)&gt;0,F1040,IF(LEN(D1040)&gt;0,D1040,0))*Taostats_CSV!P1040,"")</f>
        <v>4.3499652998730935</v>
      </c>
      <c r="M1040" t="str">
        <f t="shared" ca="1" si="111"/>
        <v>USD</v>
      </c>
      <c r="N1040">
        <f>COUNTIF(Taostats_CSV!$X:$X,Taostats_CSV!$I1040&amp;N$1)</f>
        <v>0</v>
      </c>
      <c r="O1040">
        <f>COUNTIF(Taostats_CSV!$X:$X,Taostats_CSV!$I1040&amp;O$1)</f>
        <v>0</v>
      </c>
      <c r="P1040">
        <f>COUNTIF(Taostats_CSV!$X:$X,Taostats_CSV!$I1040&amp;P$1)</f>
        <v>0</v>
      </c>
      <c r="Q1040" t="b">
        <f t="shared" si="112"/>
        <v>0</v>
      </c>
      <c r="R1040" t="b">
        <f>IF(LEN(K1040)&gt;0,COUNTIF($K$3:K1040,K1040),FALSE)</f>
        <v>0</v>
      </c>
      <c r="S1040" t="b">
        <f>IF(Taostats_CSV!A1040=Taostats_CSV!$A$2,TRUE,Taostats_CSV!G1040+Taostats_CSV!H1040+Taostats_CSV!R1040=0)</f>
        <v>0</v>
      </c>
      <c r="T1040" t="b">
        <f t="shared" si="113"/>
        <v>1</v>
      </c>
      <c r="U1040" t="b" cm="1">
        <f t="array" aca="1" ref="U1040" ca="1">AND(T1040,OR(O1040-N1040&gt;1,P1040&gt;1,ISERROR(A1040:P1040)))</f>
        <v>0</v>
      </c>
      <c r="W1040" t="e">
        <f>MATCH(K1040&amp;$W$2,Taostats_CSV!$X$3:$X$1167,0)</f>
        <v>#N/A</v>
      </c>
      <c r="X1040" t="e">
        <f t="shared" ca="1" si="108"/>
        <v>#VALUE!</v>
      </c>
      <c r="Y1040">
        <f t="shared" ca="1" si="109"/>
        <v>0.167702147</v>
      </c>
      <c r="Z1040" t="e">
        <f t="shared" ca="1" si="110"/>
        <v>#VALUE!</v>
      </c>
    </row>
    <row r="1041" spans="1:26" x14ac:dyDescent="0.4">
      <c r="A1041" t="str">
        <f>MID(Taostats_CSV!C1041,6,2)&amp;"/"&amp;MID(Taostats_CSV!C1041,9,2)&amp;"/"&amp;LEFT(Taostats_CSV!C1041,4)&amp;" "&amp;MID(Taostats_CSV!C1041,12,8)</f>
        <v>10/04/2025 23:59:48</v>
      </c>
      <c r="C1041" t="str">
        <f ca="1">IF(Q1041,OFFSET(Taostats_CSV!$E$1,MATCH(K1041&amp;D$1,Taostats_CSV!$X:$X,0)-1,0),IF(Taostats_CSV!F1041="fee",IF(VALUE(Taostats_CSV!G1041)&gt;0,Taostats_CSV!E1041,""),""))</f>
        <v/>
      </c>
      <c r="D1041" t="str">
        <f ca="1">IF(Q1041,OFFSET(Taostats_CSV!$G$1,MATCH(K1041&amp;D$1,Taostats_CSV!$X:$X,0)-1,0),IF(Taostats_CSV!F1041="fee",IF(VALUE(Taostats_CSV!G1041)&gt;0,Taostats_CSV!G1041,""),""))</f>
        <v/>
      </c>
      <c r="E1041" t="str">
        <f ca="1">IF(AND(Q1041,P1041&gt;0),OFFSET(Taostats_CSV!$E$1,MATCH(K1041&amp;F$1,Taostats_CSV!$X:$X,0)-1,0),IF(LEN(F1041)&gt;0,Taostats_CSV!E1041,""))</f>
        <v>TAO</v>
      </c>
      <c r="F1041" t="str">
        <f ca="1">TRIM(IF(AND(Q1041,P1041&gt;0),OFFSET(Taostats_CSV!$H$1,MATCH(K1041&amp;F$1,Taostats_CSV!$X:$X,0)-1,0),IF(LEN(Taostats_CSV!H1041)&gt;0,Taostats_CSV!H1041,Taostats_CSV!R1041)))</f>
        <v>0.009667621</v>
      </c>
      <c r="G1041" t="str">
        <f ca="1">IF(AND(Q1041,N1041=1),OFFSET(Taostats_CSV!$E$1,MATCH(K1041&amp;H$1,Taostats_CSV!$X:$X,0)-1,0),"")</f>
        <v/>
      </c>
      <c r="H1041" t="str">
        <f ca="1">IF(AND(Q1041,N1041=1),OFFSET(Taostats_CSV!$G$1,MATCH(K1041&amp;H$1,Taostats_CSV!$X:$X,0)-1,0),"")</f>
        <v/>
      </c>
      <c r="I1041" t="str">
        <f ca="1">IF(AND(LEN(K1041)=0,LEN(F1041)&gt;0),"Income",IF(AND(O1041&gt;0,P1041&gt;0,C1041&lt;&gt;E1041),"Trade",IF(AND(NOT(Q1041),Taostats_CSV!F1041="fee"),'READ ME'!$C$5,"")))</f>
        <v>Income</v>
      </c>
      <c r="J1041" t="str">
        <f ca="1">SUBSTITUTE(IF(LEN(I1041)=0,Taostats_CSV!F1041&amp;" "&amp;Taostats_CSV!J1041,IF(I1041="Cost","Extrinsic fee","")),"_"," ")</f>
        <v/>
      </c>
      <c r="K1041" t="str">
        <f>TRIM(IF(LEN(Taostats_CSV!I1041)&gt;0,Taostats_CSV!I1041,""))</f>
        <v/>
      </c>
      <c r="L1041" t="str">
        <f>IF(Taostats_CSV!E1041&lt;&gt;"TAO",IF(LEN(F1041)&gt;0,F1041,IF(LEN(D1041)&gt;0,D1041,0))*Taostats_CSV!P1041,"")</f>
        <v/>
      </c>
      <c r="M1041" t="str">
        <f t="shared" si="111"/>
        <v/>
      </c>
      <c r="N1041">
        <f>COUNTIF(Taostats_CSV!$X:$X,Taostats_CSV!$I1041&amp;N$1)</f>
        <v>0</v>
      </c>
      <c r="O1041">
        <f>COUNTIF(Taostats_CSV!$X:$X,Taostats_CSV!$I1041&amp;O$1)</f>
        <v>0</v>
      </c>
      <c r="P1041">
        <f>COUNTIF(Taostats_CSV!$X:$X,Taostats_CSV!$I1041&amp;P$1)</f>
        <v>0</v>
      </c>
      <c r="Q1041" t="b">
        <f t="shared" si="112"/>
        <v>0</v>
      </c>
      <c r="R1041" t="b">
        <f>IF(LEN(K1041)&gt;0,COUNTIF($K$3:K1041,K1041),FALSE)</f>
        <v>0</v>
      </c>
      <c r="S1041" t="b">
        <f>IF(Taostats_CSV!A1041=Taostats_CSV!$A$2,TRUE,Taostats_CSV!G1041+Taostats_CSV!H1041+Taostats_CSV!R1041=0)</f>
        <v>0</v>
      </c>
      <c r="T1041" t="b">
        <f t="shared" si="113"/>
        <v>1</v>
      </c>
      <c r="U1041" t="b" cm="1">
        <f t="array" aca="1" ref="U1041" ca="1">AND(T1041,OR(O1041-N1041&gt;1,P1041&gt;1,ISERROR(A1041:P1041)))</f>
        <v>0</v>
      </c>
      <c r="W1041" t="e">
        <f>MATCH(K1041&amp;$W$2,Taostats_CSV!$X$3:$X$1167,0)</f>
        <v>#N/A</v>
      </c>
      <c r="X1041" t="e">
        <f t="shared" ca="1" si="108"/>
        <v>#VALUE!</v>
      </c>
      <c r="Y1041">
        <f t="shared" ca="1" si="109"/>
        <v>9.6676209999999995E-3</v>
      </c>
      <c r="Z1041" t="e">
        <f t="shared" ca="1" si="110"/>
        <v>#VALUE!</v>
      </c>
    </row>
    <row r="1042" spans="1:26" x14ac:dyDescent="0.4">
      <c r="A1042" t="str">
        <f>MID(Taostats_CSV!C1042,6,2)&amp;"/"&amp;MID(Taostats_CSV!C1042,9,2)&amp;"/"&amp;LEFT(Taostats_CSV!C1042,4)&amp;" "&amp;MID(Taostats_CSV!C1042,12,8)</f>
        <v>10/05/2025 23:59:48</v>
      </c>
      <c r="C1042" t="str">
        <f ca="1">IF(Q1042,OFFSET(Taostats_CSV!$E$1,MATCH(K1042&amp;D$1,Taostats_CSV!$X:$X,0)-1,0),IF(Taostats_CSV!F1042="fee",IF(VALUE(Taostats_CSV!G1042)&gt;0,Taostats_CSV!E1042,""),""))</f>
        <v/>
      </c>
      <c r="D1042" t="str">
        <f ca="1">IF(Q1042,OFFSET(Taostats_CSV!$G$1,MATCH(K1042&amp;D$1,Taostats_CSV!$X:$X,0)-1,0),IF(Taostats_CSV!F1042="fee",IF(VALUE(Taostats_CSV!G1042)&gt;0,Taostats_CSV!G1042,""),""))</f>
        <v/>
      </c>
      <c r="E1042" t="str">
        <f ca="1">IF(AND(Q1042,P1042&gt;0),OFFSET(Taostats_CSV!$E$1,MATCH(K1042&amp;F$1,Taostats_CSV!$X:$X,0)-1,0),IF(LEN(F1042)&gt;0,Taostats_CSV!E1042,""))</f>
        <v>SN3</v>
      </c>
      <c r="F1042" t="str">
        <f ca="1">TRIM(IF(AND(Q1042,P1042&gt;0),OFFSET(Taostats_CSV!$H$1,MATCH(K1042&amp;F$1,Taostats_CSV!$X:$X,0)-1,0),IF(LEN(Taostats_CSV!H1042)&gt;0,Taostats_CSV!H1042,Taostats_CSV!R1042)))</f>
        <v>0.498064419</v>
      </c>
      <c r="G1042" t="str">
        <f ca="1">IF(AND(Q1042,N1042=1),OFFSET(Taostats_CSV!$E$1,MATCH(K1042&amp;H$1,Taostats_CSV!$X:$X,0)-1,0),"")</f>
        <v/>
      </c>
      <c r="H1042" t="str">
        <f ca="1">IF(AND(Q1042,N1042=1),OFFSET(Taostats_CSV!$G$1,MATCH(K1042&amp;H$1,Taostats_CSV!$X:$X,0)-1,0),"")</f>
        <v/>
      </c>
      <c r="I1042" t="str">
        <f ca="1">IF(AND(LEN(K1042)=0,LEN(F1042)&gt;0),"Income",IF(AND(O1042&gt;0,P1042&gt;0,C1042&lt;&gt;E1042),"Trade",IF(AND(NOT(Q1042),Taostats_CSV!F1042="fee"),'READ ME'!$C$5,"")))</f>
        <v>Income</v>
      </c>
      <c r="J1042" t="str">
        <f ca="1">SUBSTITUTE(IF(LEN(I1042)=0,Taostats_CSV!F1042&amp;" "&amp;Taostats_CSV!J1042,IF(I1042="Cost","Extrinsic fee","")),"_"," ")</f>
        <v/>
      </c>
      <c r="K1042" t="str">
        <f>TRIM(IF(LEN(Taostats_CSV!I1042)&gt;0,Taostats_CSV!I1042,""))</f>
        <v/>
      </c>
      <c r="L1042">
        <f ca="1">IF(Taostats_CSV!E1042&lt;&gt;"TAO",IF(LEN(F1042)&gt;0,F1042,IF(LEN(D1042)&gt;0,D1042,0))*Taostats_CSV!P1042,"")</f>
        <v>4.7509896610918956</v>
      </c>
      <c r="M1042" t="str">
        <f t="shared" ca="1" si="111"/>
        <v>USD</v>
      </c>
      <c r="N1042">
        <f>COUNTIF(Taostats_CSV!$X:$X,Taostats_CSV!$I1042&amp;N$1)</f>
        <v>0</v>
      </c>
      <c r="O1042">
        <f>COUNTIF(Taostats_CSV!$X:$X,Taostats_CSV!$I1042&amp;O$1)</f>
        <v>0</v>
      </c>
      <c r="P1042">
        <f>COUNTIF(Taostats_CSV!$X:$X,Taostats_CSV!$I1042&amp;P$1)</f>
        <v>0</v>
      </c>
      <c r="Q1042" t="b">
        <f t="shared" si="112"/>
        <v>0</v>
      </c>
      <c r="R1042" t="b">
        <f>IF(LEN(K1042)&gt;0,COUNTIF($K$3:K1042,K1042),FALSE)</f>
        <v>0</v>
      </c>
      <c r="S1042" t="b">
        <f>IF(Taostats_CSV!A1042=Taostats_CSV!$A$2,TRUE,Taostats_CSV!G1042+Taostats_CSV!H1042+Taostats_CSV!R1042=0)</f>
        <v>0</v>
      </c>
      <c r="T1042" t="b">
        <f t="shared" si="113"/>
        <v>1</v>
      </c>
      <c r="U1042" t="b" cm="1">
        <f t="array" aca="1" ref="U1042" ca="1">AND(T1042,OR(O1042-N1042&gt;1,P1042&gt;1,ISERROR(A1042:P1042)))</f>
        <v>0</v>
      </c>
      <c r="W1042" t="e">
        <f>MATCH(K1042&amp;$W$2,Taostats_CSV!$X$3:$X$1167,0)</f>
        <v>#N/A</v>
      </c>
      <c r="X1042" t="e">
        <f t="shared" ca="1" si="108"/>
        <v>#VALUE!</v>
      </c>
      <c r="Y1042">
        <f t="shared" ca="1" si="109"/>
        <v>0.49806441899999998</v>
      </c>
      <c r="Z1042" t="e">
        <f t="shared" ca="1" si="110"/>
        <v>#VALUE!</v>
      </c>
    </row>
    <row r="1043" spans="1:26" x14ac:dyDescent="0.4">
      <c r="A1043" t="str">
        <f>MID(Taostats_CSV!C1043,6,2)&amp;"/"&amp;MID(Taostats_CSV!C1043,9,2)&amp;"/"&amp;LEFT(Taostats_CSV!C1043,4)&amp;" "&amp;MID(Taostats_CSV!C1043,12,8)</f>
        <v>10/05/2025 23:59:48</v>
      </c>
      <c r="C1043" t="str">
        <f ca="1">IF(Q1043,OFFSET(Taostats_CSV!$E$1,MATCH(K1043&amp;D$1,Taostats_CSV!$X:$X,0)-1,0),IF(Taostats_CSV!F1043="fee",IF(VALUE(Taostats_CSV!G1043)&gt;0,Taostats_CSV!E1043,""),""))</f>
        <v/>
      </c>
      <c r="D1043" t="str">
        <f ca="1">IF(Q1043,OFFSET(Taostats_CSV!$G$1,MATCH(K1043&amp;D$1,Taostats_CSV!$X:$X,0)-1,0),IF(Taostats_CSV!F1043="fee",IF(VALUE(Taostats_CSV!G1043)&gt;0,Taostats_CSV!G1043,""),""))</f>
        <v/>
      </c>
      <c r="E1043" t="str">
        <f ca="1">IF(AND(Q1043,P1043&gt;0),OFFSET(Taostats_CSV!$E$1,MATCH(K1043&amp;F$1,Taostats_CSV!$X:$X,0)-1,0),IF(LEN(F1043)&gt;0,Taostats_CSV!E1043,""))</f>
        <v>SN4</v>
      </c>
      <c r="F1043" t="str">
        <f ca="1">TRIM(IF(AND(Q1043,P1043&gt;0),OFFSET(Taostats_CSV!$H$1,MATCH(K1043&amp;F$1,Taostats_CSV!$X:$X,0)-1,0),IF(LEN(Taostats_CSV!H1043)&gt;0,Taostats_CSV!H1043,Taostats_CSV!R1043)))</f>
        <v>0.389008695</v>
      </c>
      <c r="G1043" t="str">
        <f ca="1">IF(AND(Q1043,N1043=1),OFFSET(Taostats_CSV!$E$1,MATCH(K1043&amp;H$1,Taostats_CSV!$X:$X,0)-1,0),"")</f>
        <v/>
      </c>
      <c r="H1043" t="str">
        <f ca="1">IF(AND(Q1043,N1043=1),OFFSET(Taostats_CSV!$G$1,MATCH(K1043&amp;H$1,Taostats_CSV!$X:$X,0)-1,0),"")</f>
        <v/>
      </c>
      <c r="I1043" t="str">
        <f ca="1">IF(AND(LEN(K1043)=0,LEN(F1043)&gt;0),"Income",IF(AND(O1043&gt;0,P1043&gt;0,C1043&lt;&gt;E1043),"Trade",IF(AND(NOT(Q1043),Taostats_CSV!F1043="fee"),'READ ME'!$C$5,"")))</f>
        <v>Income</v>
      </c>
      <c r="J1043" t="str">
        <f ca="1">SUBSTITUTE(IF(LEN(I1043)=0,Taostats_CSV!F1043&amp;" "&amp;Taostats_CSV!J1043,IF(I1043="Cost","Extrinsic fee","")),"_"," ")</f>
        <v/>
      </c>
      <c r="K1043" t="str">
        <f>TRIM(IF(LEN(Taostats_CSV!I1043)&gt;0,Taostats_CSV!I1043,""))</f>
        <v/>
      </c>
      <c r="L1043">
        <f ca="1">IF(Taostats_CSV!E1043&lt;&gt;"TAO",IF(LEN(F1043)&gt;0,F1043,IF(LEN(D1043)&gt;0,D1043,0))*Taostats_CSV!P1043,"")</f>
        <v>5.699977764865463</v>
      </c>
      <c r="M1043" t="str">
        <f t="shared" ca="1" si="111"/>
        <v>USD</v>
      </c>
      <c r="N1043">
        <f>COUNTIF(Taostats_CSV!$X:$X,Taostats_CSV!$I1043&amp;N$1)</f>
        <v>0</v>
      </c>
      <c r="O1043">
        <f>COUNTIF(Taostats_CSV!$X:$X,Taostats_CSV!$I1043&amp;O$1)</f>
        <v>0</v>
      </c>
      <c r="P1043">
        <f>COUNTIF(Taostats_CSV!$X:$X,Taostats_CSV!$I1043&amp;P$1)</f>
        <v>0</v>
      </c>
      <c r="Q1043" t="b">
        <f t="shared" si="112"/>
        <v>0</v>
      </c>
      <c r="R1043" t="b">
        <f>IF(LEN(K1043)&gt;0,COUNTIF($K$3:K1043,K1043),FALSE)</f>
        <v>0</v>
      </c>
      <c r="S1043" t="b">
        <f>IF(Taostats_CSV!A1043=Taostats_CSV!$A$2,TRUE,Taostats_CSV!G1043+Taostats_CSV!H1043+Taostats_CSV!R1043=0)</f>
        <v>0</v>
      </c>
      <c r="T1043" t="b">
        <f t="shared" si="113"/>
        <v>1</v>
      </c>
      <c r="U1043" t="b" cm="1">
        <f t="array" aca="1" ref="U1043" ca="1">AND(T1043,OR(O1043-N1043&gt;1,P1043&gt;1,ISERROR(A1043:P1043)))</f>
        <v>0</v>
      </c>
      <c r="W1043" t="e">
        <f>MATCH(K1043&amp;$W$2,Taostats_CSV!$X$3:$X$1167,0)</f>
        <v>#N/A</v>
      </c>
      <c r="X1043" t="e">
        <f t="shared" ca="1" si="108"/>
        <v>#VALUE!</v>
      </c>
      <c r="Y1043">
        <f t="shared" ca="1" si="109"/>
        <v>0.38900869500000002</v>
      </c>
      <c r="Z1043" t="e">
        <f t="shared" ca="1" si="110"/>
        <v>#VALUE!</v>
      </c>
    </row>
    <row r="1044" spans="1:26" x14ac:dyDescent="0.4">
      <c r="A1044" t="str">
        <f>MID(Taostats_CSV!C1044,6,2)&amp;"/"&amp;MID(Taostats_CSV!C1044,9,2)&amp;"/"&amp;LEFT(Taostats_CSV!C1044,4)&amp;" "&amp;MID(Taostats_CSV!C1044,12,8)</f>
        <v>10/05/2025 23:59:48</v>
      </c>
      <c r="C1044" t="str">
        <f ca="1">IF(Q1044,OFFSET(Taostats_CSV!$E$1,MATCH(K1044&amp;D$1,Taostats_CSV!$X:$X,0)-1,0),IF(Taostats_CSV!F1044="fee",IF(VALUE(Taostats_CSV!G1044)&gt;0,Taostats_CSV!E1044,""),""))</f>
        <v/>
      </c>
      <c r="D1044" t="str">
        <f ca="1">IF(Q1044,OFFSET(Taostats_CSV!$G$1,MATCH(K1044&amp;D$1,Taostats_CSV!$X:$X,0)-1,0),IF(Taostats_CSV!F1044="fee",IF(VALUE(Taostats_CSV!G1044)&gt;0,Taostats_CSV!G1044,""),""))</f>
        <v/>
      </c>
      <c r="E1044" t="str">
        <f ca="1">IF(AND(Q1044,P1044&gt;0),OFFSET(Taostats_CSV!$E$1,MATCH(K1044&amp;F$1,Taostats_CSV!$X:$X,0)-1,0),IF(LEN(F1044)&gt;0,Taostats_CSV!E1044,""))</f>
        <v>SN56</v>
      </c>
      <c r="F1044" t="str">
        <f ca="1">TRIM(IF(AND(Q1044,P1044&gt;0),OFFSET(Taostats_CSV!$H$1,MATCH(K1044&amp;F$1,Taostats_CSV!$X:$X,0)-1,0),IF(LEN(Taostats_CSV!H1044)&gt;0,Taostats_CSV!H1044,Taostats_CSV!R1044)))</f>
        <v>0.296579962</v>
      </c>
      <c r="G1044" t="str">
        <f ca="1">IF(AND(Q1044,N1044=1),OFFSET(Taostats_CSV!$E$1,MATCH(K1044&amp;H$1,Taostats_CSV!$X:$X,0)-1,0),"")</f>
        <v/>
      </c>
      <c r="H1044" t="str">
        <f ca="1">IF(AND(Q1044,N1044=1),OFFSET(Taostats_CSV!$G$1,MATCH(K1044&amp;H$1,Taostats_CSV!$X:$X,0)-1,0),"")</f>
        <v/>
      </c>
      <c r="I1044" t="str">
        <f ca="1">IF(AND(LEN(K1044)=0,LEN(F1044)&gt;0),"Income",IF(AND(O1044&gt;0,P1044&gt;0,C1044&lt;&gt;E1044),"Trade",IF(AND(NOT(Q1044),Taostats_CSV!F1044="fee"),'READ ME'!$C$5,"")))</f>
        <v>Income</v>
      </c>
      <c r="J1044" t="str">
        <f ca="1">SUBSTITUTE(IF(LEN(I1044)=0,Taostats_CSV!F1044&amp;" "&amp;Taostats_CSV!J1044,IF(I1044="Cost","Extrinsic fee","")),"_"," ")</f>
        <v/>
      </c>
      <c r="K1044" t="str">
        <f>TRIM(IF(LEN(Taostats_CSV!I1044)&gt;0,Taostats_CSV!I1044,""))</f>
        <v/>
      </c>
      <c r="L1044">
        <f ca="1">IF(Taostats_CSV!E1044&lt;&gt;"TAO",IF(LEN(F1044)&gt;0,F1044,IF(LEN(D1044)&gt;0,D1044,0))*Taostats_CSV!P1044,"")</f>
        <v>3.3644032001748467</v>
      </c>
      <c r="M1044" t="str">
        <f t="shared" ca="1" si="111"/>
        <v>USD</v>
      </c>
      <c r="N1044">
        <f>COUNTIF(Taostats_CSV!$X:$X,Taostats_CSV!$I1044&amp;N$1)</f>
        <v>0</v>
      </c>
      <c r="O1044">
        <f>COUNTIF(Taostats_CSV!$X:$X,Taostats_CSV!$I1044&amp;O$1)</f>
        <v>0</v>
      </c>
      <c r="P1044">
        <f>COUNTIF(Taostats_CSV!$X:$X,Taostats_CSV!$I1044&amp;P$1)</f>
        <v>0</v>
      </c>
      <c r="Q1044" t="b">
        <f t="shared" si="112"/>
        <v>0</v>
      </c>
      <c r="R1044" t="b">
        <f>IF(LEN(K1044)&gt;0,COUNTIF($K$3:K1044,K1044),FALSE)</f>
        <v>0</v>
      </c>
      <c r="S1044" t="b">
        <f>IF(Taostats_CSV!A1044=Taostats_CSV!$A$2,TRUE,Taostats_CSV!G1044+Taostats_CSV!H1044+Taostats_CSV!R1044=0)</f>
        <v>0</v>
      </c>
      <c r="T1044" t="b">
        <f t="shared" si="113"/>
        <v>1</v>
      </c>
      <c r="U1044" t="b" cm="1">
        <f t="array" aca="1" ref="U1044" ca="1">AND(T1044,OR(O1044-N1044&gt;1,P1044&gt;1,ISERROR(A1044:P1044)))</f>
        <v>0</v>
      </c>
      <c r="W1044" t="e">
        <f>MATCH(K1044&amp;$W$2,Taostats_CSV!$X$3:$X$1167,0)</f>
        <v>#N/A</v>
      </c>
      <c r="X1044" t="e">
        <f t="shared" ca="1" si="108"/>
        <v>#VALUE!</v>
      </c>
      <c r="Y1044">
        <f t="shared" ca="1" si="109"/>
        <v>0.29657996199999997</v>
      </c>
      <c r="Z1044" t="e">
        <f t="shared" ca="1" si="110"/>
        <v>#VALUE!</v>
      </c>
    </row>
    <row r="1045" spans="1:26" x14ac:dyDescent="0.4">
      <c r="A1045" t="str">
        <f>MID(Taostats_CSV!C1045,6,2)&amp;"/"&amp;MID(Taostats_CSV!C1045,9,2)&amp;"/"&amp;LEFT(Taostats_CSV!C1045,4)&amp;" "&amp;MID(Taostats_CSV!C1045,12,8)</f>
        <v>10/05/2025 23:59:48</v>
      </c>
      <c r="C1045" t="str">
        <f ca="1">IF(Q1045,OFFSET(Taostats_CSV!$E$1,MATCH(K1045&amp;D$1,Taostats_CSV!$X:$X,0)-1,0),IF(Taostats_CSV!F1045="fee",IF(VALUE(Taostats_CSV!G1045)&gt;0,Taostats_CSV!E1045,""),""))</f>
        <v/>
      </c>
      <c r="D1045" t="str">
        <f ca="1">IF(Q1045,OFFSET(Taostats_CSV!$G$1,MATCH(K1045&amp;D$1,Taostats_CSV!$X:$X,0)-1,0),IF(Taostats_CSV!F1045="fee",IF(VALUE(Taostats_CSV!G1045)&gt;0,Taostats_CSV!G1045,""),""))</f>
        <v/>
      </c>
      <c r="E1045" t="str">
        <f ca="1">IF(AND(Q1045,P1045&gt;0),OFFSET(Taostats_CSV!$E$1,MATCH(K1045&amp;F$1,Taostats_CSV!$X:$X,0)-1,0),IF(LEN(F1045)&gt;0,Taostats_CSV!E1045,""))</f>
        <v>SN64</v>
      </c>
      <c r="F1045" t="str">
        <f ca="1">TRIM(IF(AND(Q1045,P1045&gt;0),OFFSET(Taostats_CSV!$H$1,MATCH(K1045&amp;F$1,Taostats_CSV!$X:$X,0)-1,0),IF(LEN(Taostats_CSV!H1045)&gt;0,Taostats_CSV!H1045,Taostats_CSV!R1045)))</f>
        <v>0.156891542</v>
      </c>
      <c r="G1045" t="str">
        <f ca="1">IF(AND(Q1045,N1045=1),OFFSET(Taostats_CSV!$E$1,MATCH(K1045&amp;H$1,Taostats_CSV!$X:$X,0)-1,0),"")</f>
        <v/>
      </c>
      <c r="H1045" t="str">
        <f ca="1">IF(AND(Q1045,N1045=1),OFFSET(Taostats_CSV!$G$1,MATCH(K1045&amp;H$1,Taostats_CSV!$X:$X,0)-1,0),"")</f>
        <v/>
      </c>
      <c r="I1045" t="str">
        <f ca="1">IF(AND(LEN(K1045)=0,LEN(F1045)&gt;0),"Income",IF(AND(O1045&gt;0,P1045&gt;0,C1045&lt;&gt;E1045),"Trade",IF(AND(NOT(Q1045),Taostats_CSV!F1045="fee"),'READ ME'!$C$5,"")))</f>
        <v>Income</v>
      </c>
      <c r="J1045" t="str">
        <f ca="1">SUBSTITUTE(IF(LEN(I1045)=0,Taostats_CSV!F1045&amp;" "&amp;Taostats_CSV!J1045,IF(I1045="Cost","Extrinsic fee","")),"_"," ")</f>
        <v/>
      </c>
      <c r="K1045" t="str">
        <f>TRIM(IF(LEN(Taostats_CSV!I1045)&gt;0,Taostats_CSV!I1045,""))</f>
        <v/>
      </c>
      <c r="L1045">
        <f ca="1">IF(Taostats_CSV!E1045&lt;&gt;"TAO",IF(LEN(F1045)&gt;0,F1045,IF(LEN(D1045)&gt;0,D1045,0))*Taostats_CSV!P1045,"")</f>
        <v>4.0222249204538443</v>
      </c>
      <c r="M1045" t="str">
        <f t="shared" ca="1" si="111"/>
        <v>USD</v>
      </c>
      <c r="N1045">
        <f>COUNTIF(Taostats_CSV!$X:$X,Taostats_CSV!$I1045&amp;N$1)</f>
        <v>0</v>
      </c>
      <c r="O1045">
        <f>COUNTIF(Taostats_CSV!$X:$X,Taostats_CSV!$I1045&amp;O$1)</f>
        <v>0</v>
      </c>
      <c r="P1045">
        <f>COUNTIF(Taostats_CSV!$X:$X,Taostats_CSV!$I1045&amp;P$1)</f>
        <v>0</v>
      </c>
      <c r="Q1045" t="b">
        <f t="shared" si="112"/>
        <v>0</v>
      </c>
      <c r="R1045" t="b">
        <f>IF(LEN(K1045)&gt;0,COUNTIF($K$3:K1045,K1045),FALSE)</f>
        <v>0</v>
      </c>
      <c r="S1045" t="b">
        <f>IF(Taostats_CSV!A1045=Taostats_CSV!$A$2,TRUE,Taostats_CSV!G1045+Taostats_CSV!H1045+Taostats_CSV!R1045=0)</f>
        <v>0</v>
      </c>
      <c r="T1045" t="b">
        <f t="shared" si="113"/>
        <v>1</v>
      </c>
      <c r="U1045" t="b" cm="1">
        <f t="array" aca="1" ref="U1045" ca="1">AND(T1045,OR(O1045-N1045&gt;1,P1045&gt;1,ISERROR(A1045:P1045)))</f>
        <v>0</v>
      </c>
      <c r="W1045" t="e">
        <f>MATCH(K1045&amp;$W$2,Taostats_CSV!$X$3:$X$1167,0)</f>
        <v>#N/A</v>
      </c>
      <c r="X1045" t="e">
        <f t="shared" ca="1" si="108"/>
        <v>#VALUE!</v>
      </c>
      <c r="Y1045">
        <f t="shared" ca="1" si="109"/>
        <v>0.15689154199999999</v>
      </c>
      <c r="Z1045" t="e">
        <f t="shared" ca="1" si="110"/>
        <v>#VALUE!</v>
      </c>
    </row>
    <row r="1046" spans="1:26" x14ac:dyDescent="0.4">
      <c r="A1046" t="str">
        <f>MID(Taostats_CSV!C1046,6,2)&amp;"/"&amp;MID(Taostats_CSV!C1046,9,2)&amp;"/"&amp;LEFT(Taostats_CSV!C1046,4)&amp;" "&amp;MID(Taostats_CSV!C1046,12,8)</f>
        <v>10/05/2025 23:59:48</v>
      </c>
      <c r="C1046" t="str">
        <f ca="1">IF(Q1046,OFFSET(Taostats_CSV!$E$1,MATCH(K1046&amp;D$1,Taostats_CSV!$X:$X,0)-1,0),IF(Taostats_CSV!F1046="fee",IF(VALUE(Taostats_CSV!G1046)&gt;0,Taostats_CSV!E1046,""),""))</f>
        <v/>
      </c>
      <c r="D1046" t="str">
        <f ca="1">IF(Q1046,OFFSET(Taostats_CSV!$G$1,MATCH(K1046&amp;D$1,Taostats_CSV!$X:$X,0)-1,0),IF(Taostats_CSV!F1046="fee",IF(VALUE(Taostats_CSV!G1046)&gt;0,Taostats_CSV!G1046,""),""))</f>
        <v/>
      </c>
      <c r="E1046" t="str">
        <f ca="1">IF(AND(Q1046,P1046&gt;0),OFFSET(Taostats_CSV!$E$1,MATCH(K1046&amp;F$1,Taostats_CSV!$X:$X,0)-1,0),IF(LEN(F1046)&gt;0,Taostats_CSV!E1046,""))</f>
        <v>TAO</v>
      </c>
      <c r="F1046" t="str">
        <f ca="1">TRIM(IF(AND(Q1046,P1046&gt;0),OFFSET(Taostats_CSV!$H$1,MATCH(K1046&amp;F$1,Taostats_CSV!$X:$X,0)-1,0),IF(LEN(Taostats_CSV!H1046)&gt;0,Taostats_CSV!H1046,Taostats_CSV!R1046)))</f>
        <v>0.009117213</v>
      </c>
      <c r="G1046" t="str">
        <f ca="1">IF(AND(Q1046,N1046=1),OFFSET(Taostats_CSV!$E$1,MATCH(K1046&amp;H$1,Taostats_CSV!$X:$X,0)-1,0),"")</f>
        <v/>
      </c>
      <c r="H1046" t="str">
        <f ca="1">IF(AND(Q1046,N1046=1),OFFSET(Taostats_CSV!$G$1,MATCH(K1046&amp;H$1,Taostats_CSV!$X:$X,0)-1,0),"")</f>
        <v/>
      </c>
      <c r="I1046" t="str">
        <f ca="1">IF(AND(LEN(K1046)=0,LEN(F1046)&gt;0),"Income",IF(AND(O1046&gt;0,P1046&gt;0,C1046&lt;&gt;E1046),"Trade",IF(AND(NOT(Q1046),Taostats_CSV!F1046="fee"),'READ ME'!$C$5,"")))</f>
        <v>Income</v>
      </c>
      <c r="J1046" t="str">
        <f ca="1">SUBSTITUTE(IF(LEN(I1046)=0,Taostats_CSV!F1046&amp;" "&amp;Taostats_CSV!J1046,IF(I1046="Cost","Extrinsic fee","")),"_"," ")</f>
        <v/>
      </c>
      <c r="K1046" t="str">
        <f>TRIM(IF(LEN(Taostats_CSV!I1046)&gt;0,Taostats_CSV!I1046,""))</f>
        <v/>
      </c>
      <c r="L1046" t="str">
        <f>IF(Taostats_CSV!E1046&lt;&gt;"TAO",IF(LEN(F1046)&gt;0,F1046,IF(LEN(D1046)&gt;0,D1046,0))*Taostats_CSV!P1046,"")</f>
        <v/>
      </c>
      <c r="M1046" t="str">
        <f t="shared" si="111"/>
        <v/>
      </c>
      <c r="N1046">
        <f>COUNTIF(Taostats_CSV!$X:$X,Taostats_CSV!$I1046&amp;N$1)</f>
        <v>0</v>
      </c>
      <c r="O1046">
        <f>COUNTIF(Taostats_CSV!$X:$X,Taostats_CSV!$I1046&amp;O$1)</f>
        <v>0</v>
      </c>
      <c r="P1046">
        <f>COUNTIF(Taostats_CSV!$X:$X,Taostats_CSV!$I1046&amp;P$1)</f>
        <v>0</v>
      </c>
      <c r="Q1046" t="b">
        <f t="shared" si="112"/>
        <v>0</v>
      </c>
      <c r="R1046" t="b">
        <f>IF(LEN(K1046)&gt;0,COUNTIF($K$3:K1046,K1046),FALSE)</f>
        <v>0</v>
      </c>
      <c r="S1046" t="b">
        <f>IF(Taostats_CSV!A1046=Taostats_CSV!$A$2,TRUE,Taostats_CSV!G1046+Taostats_CSV!H1046+Taostats_CSV!R1046=0)</f>
        <v>0</v>
      </c>
      <c r="T1046" t="b">
        <f t="shared" si="113"/>
        <v>1</v>
      </c>
      <c r="U1046" t="b" cm="1">
        <f t="array" aca="1" ref="U1046" ca="1">AND(T1046,OR(O1046-N1046&gt;1,P1046&gt;1,ISERROR(A1046:P1046)))</f>
        <v>0</v>
      </c>
      <c r="W1046" t="e">
        <f>MATCH(K1046&amp;$W$2,Taostats_CSV!$X$3:$X$1167,0)</f>
        <v>#N/A</v>
      </c>
      <c r="X1046" t="e">
        <f t="shared" ca="1" si="108"/>
        <v>#VALUE!</v>
      </c>
      <c r="Y1046">
        <f t="shared" ca="1" si="109"/>
        <v>9.1172130000000007E-3</v>
      </c>
      <c r="Z1046" t="e">
        <f t="shared" ca="1" si="110"/>
        <v>#VALUE!</v>
      </c>
    </row>
    <row r="1047" spans="1:26" x14ac:dyDescent="0.4">
      <c r="A1047" t="str">
        <f>MID(Taostats_CSV!C1047,6,2)&amp;"/"&amp;MID(Taostats_CSV!C1047,9,2)&amp;"/"&amp;LEFT(Taostats_CSV!C1047,4)&amp;" "&amp;MID(Taostats_CSV!C1047,12,8)</f>
        <v>10/06/2025 23:59:48</v>
      </c>
      <c r="C1047" t="str">
        <f ca="1">IF(Q1047,OFFSET(Taostats_CSV!$E$1,MATCH(K1047&amp;D$1,Taostats_CSV!$X:$X,0)-1,0),IF(Taostats_CSV!F1047="fee",IF(VALUE(Taostats_CSV!G1047)&gt;0,Taostats_CSV!E1047,""),""))</f>
        <v/>
      </c>
      <c r="D1047" t="str">
        <f ca="1">IF(Q1047,OFFSET(Taostats_CSV!$G$1,MATCH(K1047&amp;D$1,Taostats_CSV!$X:$X,0)-1,0),IF(Taostats_CSV!F1047="fee",IF(VALUE(Taostats_CSV!G1047)&gt;0,Taostats_CSV!G1047,""),""))</f>
        <v/>
      </c>
      <c r="E1047" t="str">
        <f ca="1">IF(AND(Q1047,P1047&gt;0),OFFSET(Taostats_CSV!$E$1,MATCH(K1047&amp;F$1,Taostats_CSV!$X:$X,0)-1,0),IF(LEN(F1047)&gt;0,Taostats_CSV!E1047,""))</f>
        <v>SN3</v>
      </c>
      <c r="F1047" t="str">
        <f ca="1">TRIM(IF(AND(Q1047,P1047&gt;0),OFFSET(Taostats_CSV!$H$1,MATCH(K1047&amp;F$1,Taostats_CSV!$X:$X,0)-1,0),IF(LEN(Taostats_CSV!H1047)&gt;0,Taostats_CSV!H1047,Taostats_CSV!R1047)))</f>
        <v>0.531135718</v>
      </c>
      <c r="G1047" t="str">
        <f ca="1">IF(AND(Q1047,N1047=1),OFFSET(Taostats_CSV!$E$1,MATCH(K1047&amp;H$1,Taostats_CSV!$X:$X,0)-1,0),"")</f>
        <v/>
      </c>
      <c r="H1047" t="str">
        <f ca="1">IF(AND(Q1047,N1047=1),OFFSET(Taostats_CSV!$G$1,MATCH(K1047&amp;H$1,Taostats_CSV!$X:$X,0)-1,0),"")</f>
        <v/>
      </c>
      <c r="I1047" t="str">
        <f ca="1">IF(AND(LEN(K1047)=0,LEN(F1047)&gt;0),"Income",IF(AND(O1047&gt;0,P1047&gt;0,C1047&lt;&gt;E1047),"Trade",IF(AND(NOT(Q1047),Taostats_CSV!F1047="fee"),'READ ME'!$C$5,"")))</f>
        <v>Income</v>
      </c>
      <c r="J1047" t="str">
        <f ca="1">SUBSTITUTE(IF(LEN(I1047)=0,Taostats_CSV!F1047&amp;" "&amp;Taostats_CSV!J1047,IF(I1047="Cost","Extrinsic fee","")),"_"," ")</f>
        <v/>
      </c>
      <c r="K1047" t="str">
        <f>TRIM(IF(LEN(Taostats_CSV!I1047)&gt;0,Taostats_CSV!I1047,""))</f>
        <v/>
      </c>
      <c r="L1047">
        <f ca="1">IF(Taostats_CSV!E1047&lt;&gt;"TAO",IF(LEN(F1047)&gt;0,F1047,IF(LEN(D1047)&gt;0,D1047,0))*Taostats_CSV!P1047,"")</f>
        <v>5.4096700466663989</v>
      </c>
      <c r="M1047" t="str">
        <f t="shared" ca="1" si="111"/>
        <v>USD</v>
      </c>
      <c r="N1047">
        <f>COUNTIF(Taostats_CSV!$X:$X,Taostats_CSV!$I1047&amp;N$1)</f>
        <v>0</v>
      </c>
      <c r="O1047">
        <f>COUNTIF(Taostats_CSV!$X:$X,Taostats_CSV!$I1047&amp;O$1)</f>
        <v>0</v>
      </c>
      <c r="P1047">
        <f>COUNTIF(Taostats_CSV!$X:$X,Taostats_CSV!$I1047&amp;P$1)</f>
        <v>0</v>
      </c>
      <c r="Q1047" t="b">
        <f t="shared" si="112"/>
        <v>0</v>
      </c>
      <c r="R1047" t="b">
        <f>IF(LEN(K1047)&gt;0,COUNTIF($K$3:K1047,K1047),FALSE)</f>
        <v>0</v>
      </c>
      <c r="S1047" t="b">
        <f>IF(Taostats_CSV!A1047=Taostats_CSV!$A$2,TRUE,Taostats_CSV!G1047+Taostats_CSV!H1047+Taostats_CSV!R1047=0)</f>
        <v>0</v>
      </c>
      <c r="T1047" t="b">
        <f t="shared" si="113"/>
        <v>1</v>
      </c>
      <c r="U1047" t="b" cm="1">
        <f t="array" aca="1" ref="U1047" ca="1">AND(T1047,OR(O1047-N1047&gt;1,P1047&gt;1,ISERROR(A1047:P1047)))</f>
        <v>0</v>
      </c>
      <c r="W1047" t="e">
        <f>MATCH(K1047&amp;$W$2,Taostats_CSV!$X$3:$X$1167,0)</f>
        <v>#N/A</v>
      </c>
      <c r="X1047" t="e">
        <f t="shared" ca="1" si="108"/>
        <v>#VALUE!</v>
      </c>
      <c r="Y1047">
        <f t="shared" ca="1" si="109"/>
        <v>0.53113571800000003</v>
      </c>
      <c r="Z1047" t="e">
        <f t="shared" ca="1" si="110"/>
        <v>#VALUE!</v>
      </c>
    </row>
    <row r="1048" spans="1:26" x14ac:dyDescent="0.4">
      <c r="A1048" t="str">
        <f>MID(Taostats_CSV!C1048,6,2)&amp;"/"&amp;MID(Taostats_CSV!C1048,9,2)&amp;"/"&amp;LEFT(Taostats_CSV!C1048,4)&amp;" "&amp;MID(Taostats_CSV!C1048,12,8)</f>
        <v>10/06/2025 23:59:48</v>
      </c>
      <c r="C1048" t="str">
        <f ca="1">IF(Q1048,OFFSET(Taostats_CSV!$E$1,MATCH(K1048&amp;D$1,Taostats_CSV!$X:$X,0)-1,0),IF(Taostats_CSV!F1048="fee",IF(VALUE(Taostats_CSV!G1048)&gt;0,Taostats_CSV!E1048,""),""))</f>
        <v/>
      </c>
      <c r="D1048" t="str">
        <f ca="1">IF(Q1048,OFFSET(Taostats_CSV!$G$1,MATCH(K1048&amp;D$1,Taostats_CSV!$X:$X,0)-1,0),IF(Taostats_CSV!F1048="fee",IF(VALUE(Taostats_CSV!G1048)&gt;0,Taostats_CSV!G1048,""),""))</f>
        <v/>
      </c>
      <c r="E1048" t="str">
        <f ca="1">IF(AND(Q1048,P1048&gt;0),OFFSET(Taostats_CSV!$E$1,MATCH(K1048&amp;F$1,Taostats_CSV!$X:$X,0)-1,0),IF(LEN(F1048)&gt;0,Taostats_CSV!E1048,""))</f>
        <v>SN4</v>
      </c>
      <c r="F1048" t="str">
        <f ca="1">TRIM(IF(AND(Q1048,P1048&gt;0),OFFSET(Taostats_CSV!$H$1,MATCH(K1048&amp;F$1,Taostats_CSV!$X:$X,0)-1,0),IF(LEN(Taostats_CSV!H1048)&gt;0,Taostats_CSV!H1048,Taostats_CSV!R1048)))</f>
        <v>0.413135395</v>
      </c>
      <c r="G1048" t="str">
        <f ca="1">IF(AND(Q1048,N1048=1),OFFSET(Taostats_CSV!$E$1,MATCH(K1048&amp;H$1,Taostats_CSV!$X:$X,0)-1,0),"")</f>
        <v/>
      </c>
      <c r="H1048" t="str">
        <f ca="1">IF(AND(Q1048,N1048=1),OFFSET(Taostats_CSV!$G$1,MATCH(K1048&amp;H$1,Taostats_CSV!$X:$X,0)-1,0),"")</f>
        <v/>
      </c>
      <c r="I1048" t="str">
        <f ca="1">IF(AND(LEN(K1048)=0,LEN(F1048)&gt;0),"Income",IF(AND(O1048&gt;0,P1048&gt;0,C1048&lt;&gt;E1048),"Trade",IF(AND(NOT(Q1048),Taostats_CSV!F1048="fee"),'READ ME'!$C$5,"")))</f>
        <v>Income</v>
      </c>
      <c r="J1048" t="str">
        <f ca="1">SUBSTITUTE(IF(LEN(I1048)=0,Taostats_CSV!F1048&amp;" "&amp;Taostats_CSV!J1048,IF(I1048="Cost","Extrinsic fee","")),"_"," ")</f>
        <v/>
      </c>
      <c r="K1048" t="str">
        <f>TRIM(IF(LEN(Taostats_CSV!I1048)&gt;0,Taostats_CSV!I1048,""))</f>
        <v/>
      </c>
      <c r="L1048">
        <f ca="1">IF(Taostats_CSV!E1048&lt;&gt;"TAO",IF(LEN(F1048)&gt;0,F1048,IF(LEN(D1048)&gt;0,D1048,0))*Taostats_CSV!P1048,"")</f>
        <v>6.4447328231216661</v>
      </c>
      <c r="M1048" t="str">
        <f t="shared" ca="1" si="111"/>
        <v>USD</v>
      </c>
      <c r="N1048">
        <f>COUNTIF(Taostats_CSV!$X:$X,Taostats_CSV!$I1048&amp;N$1)</f>
        <v>0</v>
      </c>
      <c r="O1048">
        <f>COUNTIF(Taostats_CSV!$X:$X,Taostats_CSV!$I1048&amp;O$1)</f>
        <v>0</v>
      </c>
      <c r="P1048">
        <f>COUNTIF(Taostats_CSV!$X:$X,Taostats_CSV!$I1048&amp;P$1)</f>
        <v>0</v>
      </c>
      <c r="Q1048" t="b">
        <f t="shared" si="112"/>
        <v>0</v>
      </c>
      <c r="R1048" t="b">
        <f>IF(LEN(K1048)&gt;0,COUNTIF($K$3:K1048,K1048),FALSE)</f>
        <v>0</v>
      </c>
      <c r="S1048" t="b">
        <f>IF(Taostats_CSV!A1048=Taostats_CSV!$A$2,TRUE,Taostats_CSV!G1048+Taostats_CSV!H1048+Taostats_CSV!R1048=0)</f>
        <v>0</v>
      </c>
      <c r="T1048" t="b">
        <f t="shared" si="113"/>
        <v>1</v>
      </c>
      <c r="U1048" t="b" cm="1">
        <f t="array" aca="1" ref="U1048" ca="1">AND(T1048,OR(O1048-N1048&gt;1,P1048&gt;1,ISERROR(A1048:P1048)))</f>
        <v>0</v>
      </c>
      <c r="W1048" t="e">
        <f>MATCH(K1048&amp;$W$2,Taostats_CSV!$X$3:$X$1167,0)</f>
        <v>#N/A</v>
      </c>
      <c r="X1048" t="e">
        <f t="shared" ca="1" si="108"/>
        <v>#VALUE!</v>
      </c>
      <c r="Y1048">
        <f t="shared" ca="1" si="109"/>
        <v>0.41313539500000002</v>
      </c>
      <c r="Z1048" t="e">
        <f t="shared" ca="1" si="110"/>
        <v>#VALUE!</v>
      </c>
    </row>
    <row r="1049" spans="1:26" x14ac:dyDescent="0.4">
      <c r="A1049" t="str">
        <f>MID(Taostats_CSV!C1049,6,2)&amp;"/"&amp;MID(Taostats_CSV!C1049,9,2)&amp;"/"&amp;LEFT(Taostats_CSV!C1049,4)&amp;" "&amp;MID(Taostats_CSV!C1049,12,8)</f>
        <v>10/06/2025 23:59:48</v>
      </c>
      <c r="C1049" t="str">
        <f ca="1">IF(Q1049,OFFSET(Taostats_CSV!$E$1,MATCH(K1049&amp;D$1,Taostats_CSV!$X:$X,0)-1,0),IF(Taostats_CSV!F1049="fee",IF(VALUE(Taostats_CSV!G1049)&gt;0,Taostats_CSV!E1049,""),""))</f>
        <v/>
      </c>
      <c r="D1049" t="str">
        <f ca="1">IF(Q1049,OFFSET(Taostats_CSV!$G$1,MATCH(K1049&amp;D$1,Taostats_CSV!$X:$X,0)-1,0),IF(Taostats_CSV!F1049="fee",IF(VALUE(Taostats_CSV!G1049)&gt;0,Taostats_CSV!G1049,""),""))</f>
        <v/>
      </c>
      <c r="E1049" t="str">
        <f ca="1">IF(AND(Q1049,P1049&gt;0),OFFSET(Taostats_CSV!$E$1,MATCH(K1049&amp;F$1,Taostats_CSV!$X:$X,0)-1,0),IF(LEN(F1049)&gt;0,Taostats_CSV!E1049,""))</f>
        <v>SN56</v>
      </c>
      <c r="F1049" t="str">
        <f ca="1">TRIM(IF(AND(Q1049,P1049&gt;0),OFFSET(Taostats_CSV!$H$1,MATCH(K1049&amp;F$1,Taostats_CSV!$X:$X,0)-1,0),IF(LEN(Taostats_CSV!H1049)&gt;0,Taostats_CSV!H1049,Taostats_CSV!R1049)))</f>
        <v>0.367227713</v>
      </c>
      <c r="G1049" t="str">
        <f ca="1">IF(AND(Q1049,N1049=1),OFFSET(Taostats_CSV!$E$1,MATCH(K1049&amp;H$1,Taostats_CSV!$X:$X,0)-1,0),"")</f>
        <v/>
      </c>
      <c r="H1049" t="str">
        <f ca="1">IF(AND(Q1049,N1049=1),OFFSET(Taostats_CSV!$G$1,MATCH(K1049&amp;H$1,Taostats_CSV!$X:$X,0)-1,0),"")</f>
        <v/>
      </c>
      <c r="I1049" t="str">
        <f ca="1">IF(AND(LEN(K1049)=0,LEN(F1049)&gt;0),"Income",IF(AND(O1049&gt;0,P1049&gt;0,C1049&lt;&gt;E1049),"Trade",IF(AND(NOT(Q1049),Taostats_CSV!F1049="fee"),'READ ME'!$C$5,"")))</f>
        <v>Income</v>
      </c>
      <c r="J1049" t="str">
        <f ca="1">SUBSTITUTE(IF(LEN(I1049)=0,Taostats_CSV!F1049&amp;" "&amp;Taostats_CSV!J1049,IF(I1049="Cost","Extrinsic fee","")),"_"," ")</f>
        <v/>
      </c>
      <c r="K1049" t="str">
        <f>TRIM(IF(LEN(Taostats_CSV!I1049)&gt;0,Taostats_CSV!I1049,""))</f>
        <v/>
      </c>
      <c r="L1049">
        <f ca="1">IF(Taostats_CSV!E1049&lt;&gt;"TAO",IF(LEN(F1049)&gt;0,F1049,IF(LEN(D1049)&gt;0,D1049,0))*Taostats_CSV!P1049,"")</f>
        <v>4.3797751686769084</v>
      </c>
      <c r="M1049" t="str">
        <f t="shared" ca="1" si="111"/>
        <v>USD</v>
      </c>
      <c r="N1049">
        <f>COUNTIF(Taostats_CSV!$X:$X,Taostats_CSV!$I1049&amp;N$1)</f>
        <v>0</v>
      </c>
      <c r="O1049">
        <f>COUNTIF(Taostats_CSV!$X:$X,Taostats_CSV!$I1049&amp;O$1)</f>
        <v>0</v>
      </c>
      <c r="P1049">
        <f>COUNTIF(Taostats_CSV!$X:$X,Taostats_CSV!$I1049&amp;P$1)</f>
        <v>0</v>
      </c>
      <c r="Q1049" t="b">
        <f t="shared" si="112"/>
        <v>0</v>
      </c>
      <c r="R1049" t="b">
        <f>IF(LEN(K1049)&gt;0,COUNTIF($K$3:K1049,K1049),FALSE)</f>
        <v>0</v>
      </c>
      <c r="S1049" t="b">
        <f>IF(Taostats_CSV!A1049=Taostats_CSV!$A$2,TRUE,Taostats_CSV!G1049+Taostats_CSV!H1049+Taostats_CSV!R1049=0)</f>
        <v>0</v>
      </c>
      <c r="T1049" t="b">
        <f t="shared" si="113"/>
        <v>1</v>
      </c>
      <c r="U1049" t="b" cm="1">
        <f t="array" aca="1" ref="U1049" ca="1">AND(T1049,OR(O1049-N1049&gt;1,P1049&gt;1,ISERROR(A1049:P1049)))</f>
        <v>0</v>
      </c>
      <c r="W1049" t="e">
        <f>MATCH(K1049&amp;$W$2,Taostats_CSV!$X$3:$X$1167,0)</f>
        <v>#N/A</v>
      </c>
      <c r="X1049" t="e">
        <f t="shared" ca="1" si="108"/>
        <v>#VALUE!</v>
      </c>
      <c r="Y1049">
        <f t="shared" ca="1" si="109"/>
        <v>0.36722771300000001</v>
      </c>
      <c r="Z1049" t="e">
        <f t="shared" ca="1" si="110"/>
        <v>#VALUE!</v>
      </c>
    </row>
    <row r="1050" spans="1:26" x14ac:dyDescent="0.4">
      <c r="A1050" t="str">
        <f>MID(Taostats_CSV!C1050,6,2)&amp;"/"&amp;MID(Taostats_CSV!C1050,9,2)&amp;"/"&amp;LEFT(Taostats_CSV!C1050,4)&amp;" "&amp;MID(Taostats_CSV!C1050,12,8)</f>
        <v>10/06/2025 23:59:48</v>
      </c>
      <c r="C1050" t="str">
        <f ca="1">IF(Q1050,OFFSET(Taostats_CSV!$E$1,MATCH(K1050&amp;D$1,Taostats_CSV!$X:$X,0)-1,0),IF(Taostats_CSV!F1050="fee",IF(VALUE(Taostats_CSV!G1050)&gt;0,Taostats_CSV!E1050,""),""))</f>
        <v/>
      </c>
      <c r="D1050" t="str">
        <f ca="1">IF(Q1050,OFFSET(Taostats_CSV!$G$1,MATCH(K1050&amp;D$1,Taostats_CSV!$X:$X,0)-1,0),IF(Taostats_CSV!F1050="fee",IF(VALUE(Taostats_CSV!G1050)&gt;0,Taostats_CSV!G1050,""),""))</f>
        <v/>
      </c>
      <c r="E1050" t="str">
        <f ca="1">IF(AND(Q1050,P1050&gt;0),OFFSET(Taostats_CSV!$E$1,MATCH(K1050&amp;F$1,Taostats_CSV!$X:$X,0)-1,0),IF(LEN(F1050)&gt;0,Taostats_CSV!E1050,""))</f>
        <v>SN64</v>
      </c>
      <c r="F1050" t="str">
        <f ca="1">TRIM(IF(AND(Q1050,P1050&gt;0),OFFSET(Taostats_CSV!$H$1,MATCH(K1050&amp;F$1,Taostats_CSV!$X:$X,0)-1,0),IF(LEN(Taostats_CSV!H1050)&gt;0,Taostats_CSV!H1050,Taostats_CSV!R1050)))</f>
        <v>0.165573334</v>
      </c>
      <c r="G1050" t="str">
        <f ca="1">IF(AND(Q1050,N1050=1),OFFSET(Taostats_CSV!$E$1,MATCH(K1050&amp;H$1,Taostats_CSV!$X:$X,0)-1,0),"")</f>
        <v/>
      </c>
      <c r="H1050" t="str">
        <f ca="1">IF(AND(Q1050,N1050=1),OFFSET(Taostats_CSV!$G$1,MATCH(K1050&amp;H$1,Taostats_CSV!$X:$X,0)-1,0),"")</f>
        <v/>
      </c>
      <c r="I1050" t="str">
        <f ca="1">IF(AND(LEN(K1050)=0,LEN(F1050)&gt;0),"Income",IF(AND(O1050&gt;0,P1050&gt;0,C1050&lt;&gt;E1050),"Trade",IF(AND(NOT(Q1050),Taostats_CSV!F1050="fee"),'READ ME'!$C$5,"")))</f>
        <v>Income</v>
      </c>
      <c r="J1050" t="str">
        <f ca="1">SUBSTITUTE(IF(LEN(I1050)=0,Taostats_CSV!F1050&amp;" "&amp;Taostats_CSV!J1050,IF(I1050="Cost","Extrinsic fee","")),"_"," ")</f>
        <v/>
      </c>
      <c r="K1050" t="str">
        <f>TRIM(IF(LEN(Taostats_CSV!I1050)&gt;0,Taostats_CSV!I1050,""))</f>
        <v/>
      </c>
      <c r="L1050">
        <f ca="1">IF(Taostats_CSV!E1050&lt;&gt;"TAO",IF(LEN(F1050)&gt;0,F1050,IF(LEN(D1050)&gt;0,D1050,0))*Taostats_CSV!P1050,"")</f>
        <v>4.4915625720333106</v>
      </c>
      <c r="M1050" t="str">
        <f t="shared" ca="1" si="111"/>
        <v>USD</v>
      </c>
      <c r="N1050">
        <f>COUNTIF(Taostats_CSV!$X:$X,Taostats_CSV!$I1050&amp;N$1)</f>
        <v>0</v>
      </c>
      <c r="O1050">
        <f>COUNTIF(Taostats_CSV!$X:$X,Taostats_CSV!$I1050&amp;O$1)</f>
        <v>0</v>
      </c>
      <c r="P1050">
        <f>COUNTIF(Taostats_CSV!$X:$X,Taostats_CSV!$I1050&amp;P$1)</f>
        <v>0</v>
      </c>
      <c r="Q1050" t="b">
        <f t="shared" si="112"/>
        <v>0</v>
      </c>
      <c r="R1050" t="b">
        <f>IF(LEN(K1050)&gt;0,COUNTIF($K$3:K1050,K1050),FALSE)</f>
        <v>0</v>
      </c>
      <c r="S1050" t="b">
        <f>IF(Taostats_CSV!A1050=Taostats_CSV!$A$2,TRUE,Taostats_CSV!G1050+Taostats_CSV!H1050+Taostats_CSV!R1050=0)</f>
        <v>0</v>
      </c>
      <c r="T1050" t="b">
        <f t="shared" si="113"/>
        <v>1</v>
      </c>
      <c r="U1050" t="b" cm="1">
        <f t="array" aca="1" ref="U1050" ca="1">AND(T1050,OR(O1050-N1050&gt;1,P1050&gt;1,ISERROR(A1050:P1050)))</f>
        <v>0</v>
      </c>
      <c r="W1050" t="e">
        <f>MATCH(K1050&amp;$W$2,Taostats_CSV!$X$3:$X$1167,0)</f>
        <v>#N/A</v>
      </c>
      <c r="X1050" t="e">
        <f t="shared" ca="1" si="108"/>
        <v>#VALUE!</v>
      </c>
      <c r="Y1050">
        <f t="shared" ca="1" si="109"/>
        <v>0.16557333399999999</v>
      </c>
      <c r="Z1050" t="e">
        <f t="shared" ca="1" si="110"/>
        <v>#VALUE!</v>
      </c>
    </row>
    <row r="1051" spans="1:26" x14ac:dyDescent="0.4">
      <c r="A1051" t="str">
        <f>MID(Taostats_CSV!C1051,6,2)&amp;"/"&amp;MID(Taostats_CSV!C1051,9,2)&amp;"/"&amp;LEFT(Taostats_CSV!C1051,4)&amp;" "&amp;MID(Taostats_CSV!C1051,12,8)</f>
        <v>10/06/2025 23:59:48</v>
      </c>
      <c r="C1051" t="str">
        <f ca="1">IF(Q1051,OFFSET(Taostats_CSV!$E$1,MATCH(K1051&amp;D$1,Taostats_CSV!$X:$X,0)-1,0),IF(Taostats_CSV!F1051="fee",IF(VALUE(Taostats_CSV!G1051)&gt;0,Taostats_CSV!E1051,""),""))</f>
        <v/>
      </c>
      <c r="D1051" t="str">
        <f ca="1">IF(Q1051,OFFSET(Taostats_CSV!$G$1,MATCH(K1051&amp;D$1,Taostats_CSV!$X:$X,0)-1,0),IF(Taostats_CSV!F1051="fee",IF(VALUE(Taostats_CSV!G1051)&gt;0,Taostats_CSV!G1051,""),""))</f>
        <v/>
      </c>
      <c r="E1051" t="str">
        <f ca="1">IF(AND(Q1051,P1051&gt;0),OFFSET(Taostats_CSV!$E$1,MATCH(K1051&amp;F$1,Taostats_CSV!$X:$X,0)-1,0),IF(LEN(F1051)&gt;0,Taostats_CSV!E1051,""))</f>
        <v>TAO</v>
      </c>
      <c r="F1051" t="str">
        <f ca="1">TRIM(IF(AND(Q1051,P1051&gt;0),OFFSET(Taostats_CSV!$H$1,MATCH(K1051&amp;F$1,Taostats_CSV!$X:$X,0)-1,0),IF(LEN(Taostats_CSV!H1051)&gt;0,Taostats_CSV!H1051,Taostats_CSV!R1051)))</f>
        <v>0.008591894</v>
      </c>
      <c r="G1051" t="str">
        <f ca="1">IF(AND(Q1051,N1051=1),OFFSET(Taostats_CSV!$E$1,MATCH(K1051&amp;H$1,Taostats_CSV!$X:$X,0)-1,0),"")</f>
        <v/>
      </c>
      <c r="H1051" t="str">
        <f ca="1">IF(AND(Q1051,N1051=1),OFFSET(Taostats_CSV!$G$1,MATCH(K1051&amp;H$1,Taostats_CSV!$X:$X,0)-1,0),"")</f>
        <v/>
      </c>
      <c r="I1051" t="str">
        <f ca="1">IF(AND(LEN(K1051)=0,LEN(F1051)&gt;0),"Income",IF(AND(O1051&gt;0,P1051&gt;0,C1051&lt;&gt;E1051),"Trade",IF(AND(NOT(Q1051),Taostats_CSV!F1051="fee"),'READ ME'!$C$5,"")))</f>
        <v>Income</v>
      </c>
      <c r="J1051" t="str">
        <f ca="1">SUBSTITUTE(IF(LEN(I1051)=0,Taostats_CSV!F1051&amp;" "&amp;Taostats_CSV!J1051,IF(I1051="Cost","Extrinsic fee","")),"_"," ")</f>
        <v/>
      </c>
      <c r="K1051" t="str">
        <f>TRIM(IF(LEN(Taostats_CSV!I1051)&gt;0,Taostats_CSV!I1051,""))</f>
        <v/>
      </c>
      <c r="L1051" t="str">
        <f>IF(Taostats_CSV!E1051&lt;&gt;"TAO",IF(LEN(F1051)&gt;0,F1051,IF(LEN(D1051)&gt;0,D1051,0))*Taostats_CSV!P1051,"")</f>
        <v/>
      </c>
      <c r="M1051" t="str">
        <f t="shared" si="111"/>
        <v/>
      </c>
      <c r="N1051">
        <f>COUNTIF(Taostats_CSV!$X:$X,Taostats_CSV!$I1051&amp;N$1)</f>
        <v>0</v>
      </c>
      <c r="O1051">
        <f>COUNTIF(Taostats_CSV!$X:$X,Taostats_CSV!$I1051&amp;O$1)</f>
        <v>0</v>
      </c>
      <c r="P1051">
        <f>COUNTIF(Taostats_CSV!$X:$X,Taostats_CSV!$I1051&amp;P$1)</f>
        <v>0</v>
      </c>
      <c r="Q1051" t="b">
        <f t="shared" si="112"/>
        <v>0</v>
      </c>
      <c r="R1051" t="b">
        <f>IF(LEN(K1051)&gt;0,COUNTIF($K$3:K1051,K1051),FALSE)</f>
        <v>0</v>
      </c>
      <c r="S1051" t="b">
        <f>IF(Taostats_CSV!A1051=Taostats_CSV!$A$2,TRUE,Taostats_CSV!G1051+Taostats_CSV!H1051+Taostats_CSV!R1051=0)</f>
        <v>0</v>
      </c>
      <c r="T1051" t="b">
        <f t="shared" si="113"/>
        <v>1</v>
      </c>
      <c r="U1051" t="b" cm="1">
        <f t="array" aca="1" ref="U1051" ca="1">AND(T1051,OR(O1051-N1051&gt;1,P1051&gt;1,ISERROR(A1051:P1051)))</f>
        <v>0</v>
      </c>
      <c r="W1051" t="e">
        <f>MATCH(K1051&amp;$W$2,Taostats_CSV!$X$3:$X$1167,0)</f>
        <v>#N/A</v>
      </c>
      <c r="X1051" t="e">
        <f t="shared" ca="1" si="108"/>
        <v>#VALUE!</v>
      </c>
      <c r="Y1051">
        <f t="shared" ca="1" si="109"/>
        <v>8.5918939999999992E-3</v>
      </c>
      <c r="Z1051" t="e">
        <f t="shared" ca="1" si="110"/>
        <v>#VALUE!</v>
      </c>
    </row>
    <row r="1052" spans="1:26" x14ac:dyDescent="0.4">
      <c r="A1052" t="str">
        <f>MID(Taostats_CSV!C1052,6,2)&amp;"/"&amp;MID(Taostats_CSV!C1052,9,2)&amp;"/"&amp;LEFT(Taostats_CSV!C1052,4)&amp;" "&amp;MID(Taostats_CSV!C1052,12,8)</f>
        <v>10/07/2025 23:59:48</v>
      </c>
      <c r="C1052" t="str">
        <f ca="1">IF(Q1052,OFFSET(Taostats_CSV!$E$1,MATCH(K1052&amp;D$1,Taostats_CSV!$X:$X,0)-1,0),IF(Taostats_CSV!F1052="fee",IF(VALUE(Taostats_CSV!G1052)&gt;0,Taostats_CSV!E1052,""),""))</f>
        <v/>
      </c>
      <c r="D1052" t="str">
        <f ca="1">IF(Q1052,OFFSET(Taostats_CSV!$G$1,MATCH(K1052&amp;D$1,Taostats_CSV!$X:$X,0)-1,0),IF(Taostats_CSV!F1052="fee",IF(VALUE(Taostats_CSV!G1052)&gt;0,Taostats_CSV!G1052,""),""))</f>
        <v/>
      </c>
      <c r="E1052" t="str">
        <f ca="1">IF(AND(Q1052,P1052&gt;0),OFFSET(Taostats_CSV!$E$1,MATCH(K1052&amp;F$1,Taostats_CSV!$X:$X,0)-1,0),IF(LEN(F1052)&gt;0,Taostats_CSV!E1052,""))</f>
        <v>SN3</v>
      </c>
      <c r="F1052" t="str">
        <f ca="1">TRIM(IF(AND(Q1052,P1052&gt;0),OFFSET(Taostats_CSV!$H$1,MATCH(K1052&amp;F$1,Taostats_CSV!$X:$X,0)-1,0),IF(LEN(Taostats_CSV!H1052)&gt;0,Taostats_CSV!H1052,Taostats_CSV!R1052)))</f>
        <v>0.535523211</v>
      </c>
      <c r="G1052" t="str">
        <f ca="1">IF(AND(Q1052,N1052=1),OFFSET(Taostats_CSV!$E$1,MATCH(K1052&amp;H$1,Taostats_CSV!$X:$X,0)-1,0),"")</f>
        <v/>
      </c>
      <c r="H1052" t="str">
        <f ca="1">IF(AND(Q1052,N1052=1),OFFSET(Taostats_CSV!$G$1,MATCH(K1052&amp;H$1,Taostats_CSV!$X:$X,0)-1,0),"")</f>
        <v/>
      </c>
      <c r="I1052" t="str">
        <f ca="1">IF(AND(LEN(K1052)=0,LEN(F1052)&gt;0),"Income",IF(AND(O1052&gt;0,P1052&gt;0,C1052&lt;&gt;E1052),"Trade",IF(AND(NOT(Q1052),Taostats_CSV!F1052="fee"),'READ ME'!$C$5,"")))</f>
        <v>Income</v>
      </c>
      <c r="J1052" t="str">
        <f ca="1">SUBSTITUTE(IF(LEN(I1052)=0,Taostats_CSV!F1052&amp;" "&amp;Taostats_CSV!J1052,IF(I1052="Cost","Extrinsic fee","")),"_"," ")</f>
        <v/>
      </c>
      <c r="K1052" t="str">
        <f>TRIM(IF(LEN(Taostats_CSV!I1052)&gt;0,Taostats_CSV!I1052,""))</f>
        <v/>
      </c>
      <c r="L1052">
        <f ca="1">IF(Taostats_CSV!E1052&lt;&gt;"TAO",IF(LEN(F1052)&gt;0,F1052,IF(LEN(D1052)&gt;0,D1052,0))*Taostats_CSV!P1052,"")</f>
        <v>5.1802560462210154</v>
      </c>
      <c r="M1052" t="str">
        <f t="shared" ca="1" si="111"/>
        <v>USD</v>
      </c>
      <c r="N1052">
        <f>COUNTIF(Taostats_CSV!$X:$X,Taostats_CSV!$I1052&amp;N$1)</f>
        <v>0</v>
      </c>
      <c r="O1052">
        <f>COUNTIF(Taostats_CSV!$X:$X,Taostats_CSV!$I1052&amp;O$1)</f>
        <v>0</v>
      </c>
      <c r="P1052">
        <f>COUNTIF(Taostats_CSV!$X:$X,Taostats_CSV!$I1052&amp;P$1)</f>
        <v>0</v>
      </c>
      <c r="Q1052" t="b">
        <f t="shared" si="112"/>
        <v>0</v>
      </c>
      <c r="R1052" t="b">
        <f>IF(LEN(K1052)&gt;0,COUNTIF($K$3:K1052,K1052),FALSE)</f>
        <v>0</v>
      </c>
      <c r="S1052" t="b">
        <f>IF(Taostats_CSV!A1052=Taostats_CSV!$A$2,TRUE,Taostats_CSV!G1052+Taostats_CSV!H1052+Taostats_CSV!R1052=0)</f>
        <v>0</v>
      </c>
      <c r="T1052" t="b">
        <f t="shared" si="113"/>
        <v>1</v>
      </c>
      <c r="U1052" t="b" cm="1">
        <f t="array" aca="1" ref="U1052" ca="1">AND(T1052,OR(O1052-N1052&gt;1,P1052&gt;1,ISERROR(A1052:P1052)))</f>
        <v>0</v>
      </c>
      <c r="W1052" t="e">
        <f>MATCH(K1052&amp;$W$2,Taostats_CSV!$X$3:$X$1167,0)</f>
        <v>#N/A</v>
      </c>
      <c r="X1052" t="e">
        <f t="shared" ca="1" si="108"/>
        <v>#VALUE!</v>
      </c>
      <c r="Y1052">
        <f t="shared" ca="1" si="109"/>
        <v>0.535523211</v>
      </c>
      <c r="Z1052" t="e">
        <f t="shared" ca="1" si="110"/>
        <v>#VALUE!</v>
      </c>
    </row>
    <row r="1053" spans="1:26" x14ac:dyDescent="0.4">
      <c r="A1053" t="str">
        <f>MID(Taostats_CSV!C1053,6,2)&amp;"/"&amp;MID(Taostats_CSV!C1053,9,2)&amp;"/"&amp;LEFT(Taostats_CSV!C1053,4)&amp;" "&amp;MID(Taostats_CSV!C1053,12,8)</f>
        <v>10/07/2025 23:59:48</v>
      </c>
      <c r="C1053" t="str">
        <f ca="1">IF(Q1053,OFFSET(Taostats_CSV!$E$1,MATCH(K1053&amp;D$1,Taostats_CSV!$X:$X,0)-1,0),IF(Taostats_CSV!F1053="fee",IF(VALUE(Taostats_CSV!G1053)&gt;0,Taostats_CSV!E1053,""),""))</f>
        <v/>
      </c>
      <c r="D1053" t="str">
        <f ca="1">IF(Q1053,OFFSET(Taostats_CSV!$G$1,MATCH(K1053&amp;D$1,Taostats_CSV!$X:$X,0)-1,0),IF(Taostats_CSV!F1053="fee",IF(VALUE(Taostats_CSV!G1053)&gt;0,Taostats_CSV!G1053,""),""))</f>
        <v/>
      </c>
      <c r="E1053" t="str">
        <f ca="1">IF(AND(Q1053,P1053&gt;0),OFFSET(Taostats_CSV!$E$1,MATCH(K1053&amp;F$1,Taostats_CSV!$X:$X,0)-1,0),IF(LEN(F1053)&gt;0,Taostats_CSV!E1053,""))</f>
        <v>SN4</v>
      </c>
      <c r="F1053" t="str">
        <f ca="1">TRIM(IF(AND(Q1053,P1053&gt;0),OFFSET(Taostats_CSV!$H$1,MATCH(K1053&amp;F$1,Taostats_CSV!$X:$X,0)-1,0),IF(LEN(Taostats_CSV!H1053)&gt;0,Taostats_CSV!H1053,Taostats_CSV!R1053)))</f>
        <v>0.417450265</v>
      </c>
      <c r="G1053" t="str">
        <f ca="1">IF(AND(Q1053,N1053=1),OFFSET(Taostats_CSV!$E$1,MATCH(K1053&amp;H$1,Taostats_CSV!$X:$X,0)-1,0),"")</f>
        <v/>
      </c>
      <c r="H1053" t="str">
        <f ca="1">IF(AND(Q1053,N1053=1),OFFSET(Taostats_CSV!$G$1,MATCH(K1053&amp;H$1,Taostats_CSV!$X:$X,0)-1,0),"")</f>
        <v/>
      </c>
      <c r="I1053" t="str">
        <f ca="1">IF(AND(LEN(K1053)=0,LEN(F1053)&gt;0),"Income",IF(AND(O1053&gt;0,P1053&gt;0,C1053&lt;&gt;E1053),"Trade",IF(AND(NOT(Q1053),Taostats_CSV!F1053="fee"),'READ ME'!$C$5,"")))</f>
        <v>Income</v>
      </c>
      <c r="J1053" t="str">
        <f ca="1">SUBSTITUTE(IF(LEN(I1053)=0,Taostats_CSV!F1053&amp;" "&amp;Taostats_CSV!J1053,IF(I1053="Cost","Extrinsic fee","")),"_"," ")</f>
        <v/>
      </c>
      <c r="K1053" t="str">
        <f>TRIM(IF(LEN(Taostats_CSV!I1053)&gt;0,Taostats_CSV!I1053,""))</f>
        <v/>
      </c>
      <c r="L1053">
        <f ca="1">IF(Taostats_CSV!E1053&lt;&gt;"TAO",IF(LEN(F1053)&gt;0,F1053,IF(LEN(D1053)&gt;0,D1053,0))*Taostats_CSV!P1053,"")</f>
        <v>6.2461279337885482</v>
      </c>
      <c r="M1053" t="str">
        <f t="shared" ca="1" si="111"/>
        <v>USD</v>
      </c>
      <c r="N1053">
        <f>COUNTIF(Taostats_CSV!$X:$X,Taostats_CSV!$I1053&amp;N$1)</f>
        <v>0</v>
      </c>
      <c r="O1053">
        <f>COUNTIF(Taostats_CSV!$X:$X,Taostats_CSV!$I1053&amp;O$1)</f>
        <v>0</v>
      </c>
      <c r="P1053">
        <f>COUNTIF(Taostats_CSV!$X:$X,Taostats_CSV!$I1053&amp;P$1)</f>
        <v>0</v>
      </c>
      <c r="Q1053" t="b">
        <f t="shared" si="112"/>
        <v>0</v>
      </c>
      <c r="R1053" t="b">
        <f>IF(LEN(K1053)&gt;0,COUNTIF($K$3:K1053,K1053),FALSE)</f>
        <v>0</v>
      </c>
      <c r="S1053" t="b">
        <f>IF(Taostats_CSV!A1053=Taostats_CSV!$A$2,TRUE,Taostats_CSV!G1053+Taostats_CSV!H1053+Taostats_CSV!R1053=0)</f>
        <v>0</v>
      </c>
      <c r="T1053" t="b">
        <f t="shared" si="113"/>
        <v>1</v>
      </c>
      <c r="U1053" t="b" cm="1">
        <f t="array" aca="1" ref="U1053" ca="1">AND(T1053,OR(O1053-N1053&gt;1,P1053&gt;1,ISERROR(A1053:P1053)))</f>
        <v>0</v>
      </c>
      <c r="W1053" t="e">
        <f>MATCH(K1053&amp;$W$2,Taostats_CSV!$X$3:$X$1167,0)</f>
        <v>#N/A</v>
      </c>
      <c r="X1053" t="e">
        <f t="shared" ca="1" si="108"/>
        <v>#VALUE!</v>
      </c>
      <c r="Y1053">
        <f t="shared" ca="1" si="109"/>
        <v>0.41745026499999999</v>
      </c>
      <c r="Z1053" t="e">
        <f t="shared" ca="1" si="110"/>
        <v>#VALUE!</v>
      </c>
    </row>
    <row r="1054" spans="1:26" x14ac:dyDescent="0.4">
      <c r="A1054" t="str">
        <f>MID(Taostats_CSV!C1054,6,2)&amp;"/"&amp;MID(Taostats_CSV!C1054,9,2)&amp;"/"&amp;LEFT(Taostats_CSV!C1054,4)&amp;" "&amp;MID(Taostats_CSV!C1054,12,8)</f>
        <v>10/07/2025 23:59:48</v>
      </c>
      <c r="C1054" t="str">
        <f ca="1">IF(Q1054,OFFSET(Taostats_CSV!$E$1,MATCH(K1054&amp;D$1,Taostats_CSV!$X:$X,0)-1,0),IF(Taostats_CSV!F1054="fee",IF(VALUE(Taostats_CSV!G1054)&gt;0,Taostats_CSV!E1054,""),""))</f>
        <v/>
      </c>
      <c r="D1054" t="str">
        <f ca="1">IF(Q1054,OFFSET(Taostats_CSV!$G$1,MATCH(K1054&amp;D$1,Taostats_CSV!$X:$X,0)-1,0),IF(Taostats_CSV!F1054="fee",IF(VALUE(Taostats_CSV!G1054)&gt;0,Taostats_CSV!G1054,""),""))</f>
        <v/>
      </c>
      <c r="E1054" t="str">
        <f ca="1">IF(AND(Q1054,P1054&gt;0),OFFSET(Taostats_CSV!$E$1,MATCH(K1054&amp;F$1,Taostats_CSV!$X:$X,0)-1,0),IF(LEN(F1054)&gt;0,Taostats_CSV!E1054,""))</f>
        <v>SN56</v>
      </c>
      <c r="F1054" t="str">
        <f ca="1">TRIM(IF(AND(Q1054,P1054&gt;0),OFFSET(Taostats_CSV!$H$1,MATCH(K1054&amp;F$1,Taostats_CSV!$X:$X,0)-1,0),IF(LEN(Taostats_CSV!H1054)&gt;0,Taostats_CSV!H1054,Taostats_CSV!R1054)))</f>
        <v>0.34817814</v>
      </c>
      <c r="G1054" t="str">
        <f ca="1">IF(AND(Q1054,N1054=1),OFFSET(Taostats_CSV!$E$1,MATCH(K1054&amp;H$1,Taostats_CSV!$X:$X,0)-1,0),"")</f>
        <v/>
      </c>
      <c r="H1054" t="str">
        <f ca="1">IF(AND(Q1054,N1054=1),OFFSET(Taostats_CSV!$G$1,MATCH(K1054&amp;H$1,Taostats_CSV!$X:$X,0)-1,0),"")</f>
        <v/>
      </c>
      <c r="I1054" t="str">
        <f ca="1">IF(AND(LEN(K1054)=0,LEN(F1054)&gt;0),"Income",IF(AND(O1054&gt;0,P1054&gt;0,C1054&lt;&gt;E1054),"Trade",IF(AND(NOT(Q1054),Taostats_CSV!F1054="fee"),'READ ME'!$C$5,"")))</f>
        <v>Income</v>
      </c>
      <c r="J1054" t="str">
        <f ca="1">SUBSTITUTE(IF(LEN(I1054)=0,Taostats_CSV!F1054&amp;" "&amp;Taostats_CSV!J1054,IF(I1054="Cost","Extrinsic fee","")),"_"," ")</f>
        <v/>
      </c>
      <c r="K1054" t="str">
        <f>TRIM(IF(LEN(Taostats_CSV!I1054)&gt;0,Taostats_CSV!I1054,""))</f>
        <v/>
      </c>
      <c r="L1054">
        <f ca="1">IF(Taostats_CSV!E1054&lt;&gt;"TAO",IF(LEN(F1054)&gt;0,F1054,IF(LEN(D1054)&gt;0,D1054,0))*Taostats_CSV!P1054,"")</f>
        <v>3.925171170188305</v>
      </c>
      <c r="M1054" t="str">
        <f t="shared" ca="1" si="111"/>
        <v>USD</v>
      </c>
      <c r="N1054">
        <f>COUNTIF(Taostats_CSV!$X:$X,Taostats_CSV!$I1054&amp;N$1)</f>
        <v>0</v>
      </c>
      <c r="O1054">
        <f>COUNTIF(Taostats_CSV!$X:$X,Taostats_CSV!$I1054&amp;O$1)</f>
        <v>0</v>
      </c>
      <c r="P1054">
        <f>COUNTIF(Taostats_CSV!$X:$X,Taostats_CSV!$I1054&amp;P$1)</f>
        <v>0</v>
      </c>
      <c r="Q1054" t="b">
        <f t="shared" si="112"/>
        <v>0</v>
      </c>
      <c r="R1054" t="b">
        <f>IF(LEN(K1054)&gt;0,COUNTIF($K$3:K1054,K1054),FALSE)</f>
        <v>0</v>
      </c>
      <c r="S1054" t="b">
        <f>IF(Taostats_CSV!A1054=Taostats_CSV!$A$2,TRUE,Taostats_CSV!G1054+Taostats_CSV!H1054+Taostats_CSV!R1054=0)</f>
        <v>0</v>
      </c>
      <c r="T1054" t="b">
        <f t="shared" si="113"/>
        <v>1</v>
      </c>
      <c r="U1054" t="b" cm="1">
        <f t="array" aca="1" ref="U1054" ca="1">AND(T1054,OR(O1054-N1054&gt;1,P1054&gt;1,ISERROR(A1054:P1054)))</f>
        <v>0</v>
      </c>
      <c r="W1054" t="e">
        <f>MATCH(K1054&amp;$W$2,Taostats_CSV!$X$3:$X$1167,0)</f>
        <v>#N/A</v>
      </c>
      <c r="X1054" t="e">
        <f t="shared" ca="1" si="108"/>
        <v>#VALUE!</v>
      </c>
      <c r="Y1054">
        <f t="shared" ca="1" si="109"/>
        <v>0.34817814000000002</v>
      </c>
      <c r="Z1054" t="e">
        <f t="shared" ca="1" si="110"/>
        <v>#VALUE!</v>
      </c>
    </row>
    <row r="1055" spans="1:26" x14ac:dyDescent="0.4">
      <c r="A1055" t="str">
        <f>MID(Taostats_CSV!C1055,6,2)&amp;"/"&amp;MID(Taostats_CSV!C1055,9,2)&amp;"/"&amp;LEFT(Taostats_CSV!C1055,4)&amp;" "&amp;MID(Taostats_CSV!C1055,12,8)</f>
        <v>10/07/2025 23:59:48</v>
      </c>
      <c r="C1055" t="str">
        <f ca="1">IF(Q1055,OFFSET(Taostats_CSV!$E$1,MATCH(K1055&amp;D$1,Taostats_CSV!$X:$X,0)-1,0),IF(Taostats_CSV!F1055="fee",IF(VALUE(Taostats_CSV!G1055)&gt;0,Taostats_CSV!E1055,""),""))</f>
        <v/>
      </c>
      <c r="D1055" t="str">
        <f ca="1">IF(Q1055,OFFSET(Taostats_CSV!$G$1,MATCH(K1055&amp;D$1,Taostats_CSV!$X:$X,0)-1,0),IF(Taostats_CSV!F1055="fee",IF(VALUE(Taostats_CSV!G1055)&gt;0,Taostats_CSV!G1055,""),""))</f>
        <v/>
      </c>
      <c r="E1055" t="str">
        <f ca="1">IF(AND(Q1055,P1055&gt;0),OFFSET(Taostats_CSV!$E$1,MATCH(K1055&amp;F$1,Taostats_CSV!$X:$X,0)-1,0),IF(LEN(F1055)&gt;0,Taostats_CSV!E1055,""))</f>
        <v>SN64</v>
      </c>
      <c r="F1055" t="str">
        <f ca="1">TRIM(IF(AND(Q1055,P1055&gt;0),OFFSET(Taostats_CSV!$H$1,MATCH(K1055&amp;F$1,Taostats_CSV!$X:$X,0)-1,0),IF(LEN(Taostats_CSV!H1055)&gt;0,Taostats_CSV!H1055,Taostats_CSV!R1055)))</f>
        <v>0.165301539</v>
      </c>
      <c r="G1055" t="str">
        <f ca="1">IF(AND(Q1055,N1055=1),OFFSET(Taostats_CSV!$E$1,MATCH(K1055&amp;H$1,Taostats_CSV!$X:$X,0)-1,0),"")</f>
        <v/>
      </c>
      <c r="H1055" t="str">
        <f ca="1">IF(AND(Q1055,N1055=1),OFFSET(Taostats_CSV!$G$1,MATCH(K1055&amp;H$1,Taostats_CSV!$X:$X,0)-1,0),"")</f>
        <v/>
      </c>
      <c r="I1055" t="str">
        <f ca="1">IF(AND(LEN(K1055)=0,LEN(F1055)&gt;0),"Income",IF(AND(O1055&gt;0,P1055&gt;0,C1055&lt;&gt;E1055),"Trade",IF(AND(NOT(Q1055),Taostats_CSV!F1055="fee"),'READ ME'!$C$5,"")))</f>
        <v>Income</v>
      </c>
      <c r="J1055" t="str">
        <f ca="1">SUBSTITUTE(IF(LEN(I1055)=0,Taostats_CSV!F1055&amp;" "&amp;Taostats_CSV!J1055,IF(I1055="Cost","Extrinsic fee","")),"_"," ")</f>
        <v/>
      </c>
      <c r="K1055" t="str">
        <f>TRIM(IF(LEN(Taostats_CSV!I1055)&gt;0,Taostats_CSV!I1055,""))</f>
        <v/>
      </c>
      <c r="L1055">
        <f ca="1">IF(Taostats_CSV!E1055&lt;&gt;"TAO",IF(LEN(F1055)&gt;0,F1055,IF(LEN(D1055)&gt;0,D1055,0))*Taostats_CSV!P1055,"")</f>
        <v>4.2761999862787032</v>
      </c>
      <c r="M1055" t="str">
        <f t="shared" ca="1" si="111"/>
        <v>USD</v>
      </c>
      <c r="N1055">
        <f>COUNTIF(Taostats_CSV!$X:$X,Taostats_CSV!$I1055&amp;N$1)</f>
        <v>0</v>
      </c>
      <c r="O1055">
        <f>COUNTIF(Taostats_CSV!$X:$X,Taostats_CSV!$I1055&amp;O$1)</f>
        <v>0</v>
      </c>
      <c r="P1055">
        <f>COUNTIF(Taostats_CSV!$X:$X,Taostats_CSV!$I1055&amp;P$1)</f>
        <v>0</v>
      </c>
      <c r="Q1055" t="b">
        <f t="shared" si="112"/>
        <v>0</v>
      </c>
      <c r="R1055" t="b">
        <f>IF(LEN(K1055)&gt;0,COUNTIF($K$3:K1055,K1055),FALSE)</f>
        <v>0</v>
      </c>
      <c r="S1055" t="b">
        <f>IF(Taostats_CSV!A1055=Taostats_CSV!$A$2,TRUE,Taostats_CSV!G1055+Taostats_CSV!H1055+Taostats_CSV!R1055=0)</f>
        <v>0</v>
      </c>
      <c r="T1055" t="b">
        <f t="shared" si="113"/>
        <v>1</v>
      </c>
      <c r="U1055" t="b" cm="1">
        <f t="array" aca="1" ref="U1055" ca="1">AND(T1055,OR(O1055-N1055&gt;1,P1055&gt;1,ISERROR(A1055:P1055)))</f>
        <v>0</v>
      </c>
      <c r="W1055" t="e">
        <f>MATCH(K1055&amp;$W$2,Taostats_CSV!$X$3:$X$1167,0)</f>
        <v>#N/A</v>
      </c>
      <c r="X1055" t="e">
        <f t="shared" ca="1" si="108"/>
        <v>#VALUE!</v>
      </c>
      <c r="Y1055">
        <f t="shared" ca="1" si="109"/>
        <v>0.165301539</v>
      </c>
      <c r="Z1055" t="e">
        <f t="shared" ca="1" si="110"/>
        <v>#VALUE!</v>
      </c>
    </row>
    <row r="1056" spans="1:26" x14ac:dyDescent="0.4">
      <c r="A1056" t="str">
        <f>MID(Taostats_CSV!C1056,6,2)&amp;"/"&amp;MID(Taostats_CSV!C1056,9,2)&amp;"/"&amp;LEFT(Taostats_CSV!C1056,4)&amp;" "&amp;MID(Taostats_CSV!C1056,12,8)</f>
        <v>10/07/2025 23:59:48</v>
      </c>
      <c r="C1056" t="str">
        <f ca="1">IF(Q1056,OFFSET(Taostats_CSV!$E$1,MATCH(K1056&amp;D$1,Taostats_CSV!$X:$X,0)-1,0),IF(Taostats_CSV!F1056="fee",IF(VALUE(Taostats_CSV!G1056)&gt;0,Taostats_CSV!E1056,""),""))</f>
        <v/>
      </c>
      <c r="D1056" t="str">
        <f ca="1">IF(Q1056,OFFSET(Taostats_CSV!$G$1,MATCH(K1056&amp;D$1,Taostats_CSV!$X:$X,0)-1,0),IF(Taostats_CSV!F1056="fee",IF(VALUE(Taostats_CSV!G1056)&gt;0,Taostats_CSV!G1056,""),""))</f>
        <v/>
      </c>
      <c r="E1056" t="str">
        <f ca="1">IF(AND(Q1056,P1056&gt;0),OFFSET(Taostats_CSV!$E$1,MATCH(K1056&amp;F$1,Taostats_CSV!$X:$X,0)-1,0),IF(LEN(F1056)&gt;0,Taostats_CSV!E1056,""))</f>
        <v>TAO</v>
      </c>
      <c r="F1056" t="str">
        <f ca="1">TRIM(IF(AND(Q1056,P1056&gt;0),OFFSET(Taostats_CSV!$H$1,MATCH(K1056&amp;F$1,Taostats_CSV!$X:$X,0)-1,0),IF(LEN(Taostats_CSV!H1056)&gt;0,Taostats_CSV!H1056,Taostats_CSV!R1056)))</f>
        <v>0.008111792</v>
      </c>
      <c r="G1056" t="str">
        <f ca="1">IF(AND(Q1056,N1056=1),OFFSET(Taostats_CSV!$E$1,MATCH(K1056&amp;H$1,Taostats_CSV!$X:$X,0)-1,0),"")</f>
        <v/>
      </c>
      <c r="H1056" t="str">
        <f ca="1">IF(AND(Q1056,N1056=1),OFFSET(Taostats_CSV!$G$1,MATCH(K1056&amp;H$1,Taostats_CSV!$X:$X,0)-1,0),"")</f>
        <v/>
      </c>
      <c r="I1056" t="str">
        <f ca="1">IF(AND(LEN(K1056)=0,LEN(F1056)&gt;0),"Income",IF(AND(O1056&gt;0,P1056&gt;0,C1056&lt;&gt;E1056),"Trade",IF(AND(NOT(Q1056),Taostats_CSV!F1056="fee"),'READ ME'!$C$5,"")))</f>
        <v>Income</v>
      </c>
      <c r="J1056" t="str">
        <f ca="1">SUBSTITUTE(IF(LEN(I1056)=0,Taostats_CSV!F1056&amp;" "&amp;Taostats_CSV!J1056,IF(I1056="Cost","Extrinsic fee","")),"_"," ")</f>
        <v/>
      </c>
      <c r="K1056" t="str">
        <f>TRIM(IF(LEN(Taostats_CSV!I1056)&gt;0,Taostats_CSV!I1056,""))</f>
        <v/>
      </c>
      <c r="L1056" t="str">
        <f>IF(Taostats_CSV!E1056&lt;&gt;"TAO",IF(LEN(F1056)&gt;0,F1056,IF(LEN(D1056)&gt;0,D1056,0))*Taostats_CSV!P1056,"")</f>
        <v/>
      </c>
      <c r="M1056" t="str">
        <f t="shared" si="111"/>
        <v/>
      </c>
      <c r="N1056">
        <f>COUNTIF(Taostats_CSV!$X:$X,Taostats_CSV!$I1056&amp;N$1)</f>
        <v>0</v>
      </c>
      <c r="O1056">
        <f>COUNTIF(Taostats_CSV!$X:$X,Taostats_CSV!$I1056&amp;O$1)</f>
        <v>0</v>
      </c>
      <c r="P1056">
        <f>COUNTIF(Taostats_CSV!$X:$X,Taostats_CSV!$I1056&amp;P$1)</f>
        <v>0</v>
      </c>
      <c r="Q1056" t="b">
        <f t="shared" si="112"/>
        <v>0</v>
      </c>
      <c r="R1056" t="b">
        <f>IF(LEN(K1056)&gt;0,COUNTIF($K$3:K1056,K1056),FALSE)</f>
        <v>0</v>
      </c>
      <c r="S1056" t="b">
        <f>IF(Taostats_CSV!A1056=Taostats_CSV!$A$2,TRUE,Taostats_CSV!G1056+Taostats_CSV!H1056+Taostats_CSV!R1056=0)</f>
        <v>0</v>
      </c>
      <c r="T1056" t="b">
        <f t="shared" si="113"/>
        <v>1</v>
      </c>
      <c r="U1056" t="b" cm="1">
        <f t="array" aca="1" ref="U1056" ca="1">AND(T1056,OR(O1056-N1056&gt;1,P1056&gt;1,ISERROR(A1056:P1056)))</f>
        <v>0</v>
      </c>
      <c r="W1056" t="e">
        <f>MATCH(K1056&amp;$W$2,Taostats_CSV!$X$3:$X$1167,0)</f>
        <v>#N/A</v>
      </c>
      <c r="X1056" t="e">
        <f t="shared" ca="1" si="108"/>
        <v>#VALUE!</v>
      </c>
      <c r="Y1056">
        <f t="shared" ca="1" si="109"/>
        <v>8.1117919999999996E-3</v>
      </c>
      <c r="Z1056" t="e">
        <f t="shared" ca="1" si="110"/>
        <v>#VALUE!</v>
      </c>
    </row>
    <row r="1057" spans="1:26" x14ac:dyDescent="0.4">
      <c r="A1057" t="str">
        <f>MID(Taostats_CSV!C1057,6,2)&amp;"/"&amp;MID(Taostats_CSV!C1057,9,2)&amp;"/"&amp;LEFT(Taostats_CSV!C1057,4)&amp;" "&amp;MID(Taostats_CSV!C1057,12,8)</f>
        <v>10/08/2025 23:59:48</v>
      </c>
      <c r="C1057" t="str">
        <f ca="1">IF(Q1057,OFFSET(Taostats_CSV!$E$1,MATCH(K1057&amp;D$1,Taostats_CSV!$X:$X,0)-1,0),IF(Taostats_CSV!F1057="fee",IF(VALUE(Taostats_CSV!G1057)&gt;0,Taostats_CSV!E1057,""),""))</f>
        <v/>
      </c>
      <c r="D1057" t="str">
        <f ca="1">IF(Q1057,OFFSET(Taostats_CSV!$G$1,MATCH(K1057&amp;D$1,Taostats_CSV!$X:$X,0)-1,0),IF(Taostats_CSV!F1057="fee",IF(VALUE(Taostats_CSV!G1057)&gt;0,Taostats_CSV!G1057,""),""))</f>
        <v/>
      </c>
      <c r="E1057" t="str">
        <f ca="1">IF(AND(Q1057,P1057&gt;0),OFFSET(Taostats_CSV!$E$1,MATCH(K1057&amp;F$1,Taostats_CSV!$X:$X,0)-1,0),IF(LEN(F1057)&gt;0,Taostats_CSV!E1057,""))</f>
        <v>SN3</v>
      </c>
      <c r="F1057" t="str">
        <f ca="1">TRIM(IF(AND(Q1057,P1057&gt;0),OFFSET(Taostats_CSV!$H$1,MATCH(K1057&amp;F$1,Taostats_CSV!$X:$X,0)-1,0),IF(LEN(Taostats_CSV!H1057)&gt;0,Taostats_CSV!H1057,Taostats_CSV!R1057)))</f>
        <v>0.537090875</v>
      </c>
      <c r="G1057" t="str">
        <f ca="1">IF(AND(Q1057,N1057=1),OFFSET(Taostats_CSV!$E$1,MATCH(K1057&amp;H$1,Taostats_CSV!$X:$X,0)-1,0),"")</f>
        <v/>
      </c>
      <c r="H1057" t="str">
        <f ca="1">IF(AND(Q1057,N1057=1),OFFSET(Taostats_CSV!$G$1,MATCH(K1057&amp;H$1,Taostats_CSV!$X:$X,0)-1,0),"")</f>
        <v/>
      </c>
      <c r="I1057" t="str">
        <f ca="1">IF(AND(LEN(K1057)=0,LEN(F1057)&gt;0),"Income",IF(AND(O1057&gt;0,P1057&gt;0,C1057&lt;&gt;E1057),"Trade",IF(AND(NOT(Q1057),Taostats_CSV!F1057="fee"),'READ ME'!$C$5,"")))</f>
        <v>Income</v>
      </c>
      <c r="J1057" t="str">
        <f ca="1">SUBSTITUTE(IF(LEN(I1057)=0,Taostats_CSV!F1057&amp;" "&amp;Taostats_CSV!J1057,IF(I1057="Cost","Extrinsic fee","")),"_"," ")</f>
        <v/>
      </c>
      <c r="K1057" t="str">
        <f>TRIM(IF(LEN(Taostats_CSV!I1057)&gt;0,Taostats_CSV!I1057,""))</f>
        <v/>
      </c>
      <c r="L1057">
        <f ca="1">IF(Taostats_CSV!E1057&lt;&gt;"TAO",IF(LEN(F1057)&gt;0,F1057,IF(LEN(D1057)&gt;0,D1057,0))*Taostats_CSV!P1057,"")</f>
        <v>5.2780119178108924</v>
      </c>
      <c r="M1057" t="str">
        <f t="shared" ca="1" si="111"/>
        <v>USD</v>
      </c>
      <c r="N1057">
        <f>COUNTIF(Taostats_CSV!$X:$X,Taostats_CSV!$I1057&amp;N$1)</f>
        <v>0</v>
      </c>
      <c r="O1057">
        <f>COUNTIF(Taostats_CSV!$X:$X,Taostats_CSV!$I1057&amp;O$1)</f>
        <v>0</v>
      </c>
      <c r="P1057">
        <f>COUNTIF(Taostats_CSV!$X:$X,Taostats_CSV!$I1057&amp;P$1)</f>
        <v>0</v>
      </c>
      <c r="Q1057" t="b">
        <f t="shared" si="112"/>
        <v>0</v>
      </c>
      <c r="R1057" t="b">
        <f>IF(LEN(K1057)&gt;0,COUNTIF($K$3:K1057,K1057),FALSE)</f>
        <v>0</v>
      </c>
      <c r="S1057" t="b">
        <f>IF(Taostats_CSV!A1057=Taostats_CSV!$A$2,TRUE,Taostats_CSV!G1057+Taostats_CSV!H1057+Taostats_CSV!R1057=0)</f>
        <v>0</v>
      </c>
      <c r="T1057" t="b">
        <f t="shared" si="113"/>
        <v>1</v>
      </c>
      <c r="U1057" t="b" cm="1">
        <f t="array" aca="1" ref="U1057" ca="1">AND(T1057,OR(O1057-N1057&gt;1,P1057&gt;1,ISERROR(A1057:P1057)))</f>
        <v>0</v>
      </c>
      <c r="W1057" t="e">
        <f>MATCH(K1057&amp;$W$2,Taostats_CSV!$X$3:$X$1167,0)</f>
        <v>#N/A</v>
      </c>
      <c r="X1057" t="e">
        <f t="shared" ca="1" si="108"/>
        <v>#VALUE!</v>
      </c>
      <c r="Y1057">
        <f t="shared" ca="1" si="109"/>
        <v>0.53709087499999997</v>
      </c>
      <c r="Z1057" t="e">
        <f t="shared" ca="1" si="110"/>
        <v>#VALUE!</v>
      </c>
    </row>
    <row r="1058" spans="1:26" x14ac:dyDescent="0.4">
      <c r="A1058" t="str">
        <f>MID(Taostats_CSV!C1058,6,2)&amp;"/"&amp;MID(Taostats_CSV!C1058,9,2)&amp;"/"&amp;LEFT(Taostats_CSV!C1058,4)&amp;" "&amp;MID(Taostats_CSV!C1058,12,8)</f>
        <v>10/08/2025 23:59:48</v>
      </c>
      <c r="C1058" t="str">
        <f ca="1">IF(Q1058,OFFSET(Taostats_CSV!$E$1,MATCH(K1058&amp;D$1,Taostats_CSV!$X:$X,0)-1,0),IF(Taostats_CSV!F1058="fee",IF(VALUE(Taostats_CSV!G1058)&gt;0,Taostats_CSV!E1058,""),""))</f>
        <v/>
      </c>
      <c r="D1058" t="str">
        <f ca="1">IF(Q1058,OFFSET(Taostats_CSV!$G$1,MATCH(K1058&amp;D$1,Taostats_CSV!$X:$X,0)-1,0),IF(Taostats_CSV!F1058="fee",IF(VALUE(Taostats_CSV!G1058)&gt;0,Taostats_CSV!G1058,""),""))</f>
        <v/>
      </c>
      <c r="E1058" t="str">
        <f ca="1">IF(AND(Q1058,P1058&gt;0),OFFSET(Taostats_CSV!$E$1,MATCH(K1058&amp;F$1,Taostats_CSV!$X:$X,0)-1,0),IF(LEN(F1058)&gt;0,Taostats_CSV!E1058,""))</f>
        <v>SN4</v>
      </c>
      <c r="F1058" t="str">
        <f ca="1">TRIM(IF(AND(Q1058,P1058&gt;0),OFFSET(Taostats_CSV!$H$1,MATCH(K1058&amp;F$1,Taostats_CSV!$X:$X,0)-1,0),IF(LEN(Taostats_CSV!H1058)&gt;0,Taostats_CSV!H1058,Taostats_CSV!R1058)))</f>
        <v>0.414703493</v>
      </c>
      <c r="G1058" t="str">
        <f ca="1">IF(AND(Q1058,N1058=1),OFFSET(Taostats_CSV!$E$1,MATCH(K1058&amp;H$1,Taostats_CSV!$X:$X,0)-1,0),"")</f>
        <v/>
      </c>
      <c r="H1058" t="str">
        <f ca="1">IF(AND(Q1058,N1058=1),OFFSET(Taostats_CSV!$G$1,MATCH(K1058&amp;H$1,Taostats_CSV!$X:$X,0)-1,0),"")</f>
        <v/>
      </c>
      <c r="I1058" t="str">
        <f ca="1">IF(AND(LEN(K1058)=0,LEN(F1058)&gt;0),"Income",IF(AND(O1058&gt;0,P1058&gt;0,C1058&lt;&gt;E1058),"Trade",IF(AND(NOT(Q1058),Taostats_CSV!F1058="fee"),'READ ME'!$C$5,"")))</f>
        <v>Income</v>
      </c>
      <c r="J1058" t="str">
        <f ca="1">SUBSTITUTE(IF(LEN(I1058)=0,Taostats_CSV!F1058&amp;" "&amp;Taostats_CSV!J1058,IF(I1058="Cost","Extrinsic fee","")),"_"," ")</f>
        <v/>
      </c>
      <c r="K1058" t="str">
        <f>TRIM(IF(LEN(Taostats_CSV!I1058)&gt;0,Taostats_CSV!I1058,""))</f>
        <v/>
      </c>
      <c r="L1058">
        <f ca="1">IF(Taostats_CSV!E1058&lt;&gt;"TAO",IF(LEN(F1058)&gt;0,F1058,IF(LEN(D1058)&gt;0,D1058,0))*Taostats_CSV!P1058,"")</f>
        <v>6.3322897108633516</v>
      </c>
      <c r="M1058" t="str">
        <f t="shared" ca="1" si="111"/>
        <v>USD</v>
      </c>
      <c r="N1058">
        <f>COUNTIF(Taostats_CSV!$X:$X,Taostats_CSV!$I1058&amp;N$1)</f>
        <v>0</v>
      </c>
      <c r="O1058">
        <f>COUNTIF(Taostats_CSV!$X:$X,Taostats_CSV!$I1058&amp;O$1)</f>
        <v>0</v>
      </c>
      <c r="P1058">
        <f>COUNTIF(Taostats_CSV!$X:$X,Taostats_CSV!$I1058&amp;P$1)</f>
        <v>0</v>
      </c>
      <c r="Q1058" t="b">
        <f t="shared" si="112"/>
        <v>0</v>
      </c>
      <c r="R1058" t="b">
        <f>IF(LEN(K1058)&gt;0,COUNTIF($K$3:K1058,K1058),FALSE)</f>
        <v>0</v>
      </c>
      <c r="S1058" t="b">
        <f>IF(Taostats_CSV!A1058=Taostats_CSV!$A$2,TRUE,Taostats_CSV!G1058+Taostats_CSV!H1058+Taostats_CSV!R1058=0)</f>
        <v>0</v>
      </c>
      <c r="T1058" t="b">
        <f t="shared" si="113"/>
        <v>1</v>
      </c>
      <c r="U1058" t="b" cm="1">
        <f t="array" aca="1" ref="U1058" ca="1">AND(T1058,OR(O1058-N1058&gt;1,P1058&gt;1,ISERROR(A1058:P1058)))</f>
        <v>0</v>
      </c>
      <c r="W1058" t="e">
        <f>MATCH(K1058&amp;$W$2,Taostats_CSV!$X$3:$X$1167,0)</f>
        <v>#N/A</v>
      </c>
      <c r="X1058" t="e">
        <f t="shared" ca="1" si="108"/>
        <v>#VALUE!</v>
      </c>
      <c r="Y1058">
        <f t="shared" ca="1" si="109"/>
        <v>0.41470349299999998</v>
      </c>
      <c r="Z1058" t="e">
        <f t="shared" ca="1" si="110"/>
        <v>#VALUE!</v>
      </c>
    </row>
    <row r="1059" spans="1:26" x14ac:dyDescent="0.4">
      <c r="A1059" t="str">
        <f>MID(Taostats_CSV!C1059,6,2)&amp;"/"&amp;MID(Taostats_CSV!C1059,9,2)&amp;"/"&amp;LEFT(Taostats_CSV!C1059,4)&amp;" "&amp;MID(Taostats_CSV!C1059,12,8)</f>
        <v>10/08/2025 23:59:48</v>
      </c>
      <c r="C1059" t="str">
        <f ca="1">IF(Q1059,OFFSET(Taostats_CSV!$E$1,MATCH(K1059&amp;D$1,Taostats_CSV!$X:$X,0)-1,0),IF(Taostats_CSV!F1059="fee",IF(VALUE(Taostats_CSV!G1059)&gt;0,Taostats_CSV!E1059,""),""))</f>
        <v/>
      </c>
      <c r="D1059" t="str">
        <f ca="1">IF(Q1059,OFFSET(Taostats_CSV!$G$1,MATCH(K1059&amp;D$1,Taostats_CSV!$X:$X,0)-1,0),IF(Taostats_CSV!F1059="fee",IF(VALUE(Taostats_CSV!G1059)&gt;0,Taostats_CSV!G1059,""),""))</f>
        <v/>
      </c>
      <c r="E1059" t="str">
        <f ca="1">IF(AND(Q1059,P1059&gt;0),OFFSET(Taostats_CSV!$E$1,MATCH(K1059&amp;F$1,Taostats_CSV!$X:$X,0)-1,0),IF(LEN(F1059)&gt;0,Taostats_CSV!E1059,""))</f>
        <v>SN56</v>
      </c>
      <c r="F1059" t="str">
        <f ca="1">TRIM(IF(AND(Q1059,P1059&gt;0),OFFSET(Taostats_CSV!$H$1,MATCH(K1059&amp;F$1,Taostats_CSV!$X:$X,0)-1,0),IF(LEN(Taostats_CSV!H1059)&gt;0,Taostats_CSV!H1059,Taostats_CSV!R1059)))</f>
        <v>0.282321157</v>
      </c>
      <c r="G1059" t="str">
        <f ca="1">IF(AND(Q1059,N1059=1),OFFSET(Taostats_CSV!$E$1,MATCH(K1059&amp;H$1,Taostats_CSV!$X:$X,0)-1,0),"")</f>
        <v/>
      </c>
      <c r="H1059" t="str">
        <f ca="1">IF(AND(Q1059,N1059=1),OFFSET(Taostats_CSV!$G$1,MATCH(K1059&amp;H$1,Taostats_CSV!$X:$X,0)-1,0),"")</f>
        <v/>
      </c>
      <c r="I1059" t="str">
        <f ca="1">IF(AND(LEN(K1059)=0,LEN(F1059)&gt;0),"Income",IF(AND(O1059&gt;0,P1059&gt;0,C1059&lt;&gt;E1059),"Trade",IF(AND(NOT(Q1059),Taostats_CSV!F1059="fee"),'READ ME'!$C$5,"")))</f>
        <v>Income</v>
      </c>
      <c r="J1059" t="str">
        <f ca="1">SUBSTITUTE(IF(LEN(I1059)=0,Taostats_CSV!F1059&amp;" "&amp;Taostats_CSV!J1059,IF(I1059="Cost","Extrinsic fee","")),"_"," ")</f>
        <v/>
      </c>
      <c r="K1059" t="str">
        <f>TRIM(IF(LEN(Taostats_CSV!I1059)&gt;0,Taostats_CSV!I1059,""))</f>
        <v/>
      </c>
      <c r="L1059">
        <f ca="1">IF(Taostats_CSV!E1059&lt;&gt;"TAO",IF(LEN(F1059)&gt;0,F1059,IF(LEN(D1059)&gt;0,D1059,0))*Taostats_CSV!P1059,"")</f>
        <v>3.2422527345311387</v>
      </c>
      <c r="M1059" t="str">
        <f t="shared" ca="1" si="111"/>
        <v>USD</v>
      </c>
      <c r="N1059">
        <f>COUNTIF(Taostats_CSV!$X:$X,Taostats_CSV!$I1059&amp;N$1)</f>
        <v>0</v>
      </c>
      <c r="O1059">
        <f>COUNTIF(Taostats_CSV!$X:$X,Taostats_CSV!$I1059&amp;O$1)</f>
        <v>0</v>
      </c>
      <c r="P1059">
        <f>COUNTIF(Taostats_CSV!$X:$X,Taostats_CSV!$I1059&amp;P$1)</f>
        <v>0</v>
      </c>
      <c r="Q1059" t="b">
        <f t="shared" si="112"/>
        <v>0</v>
      </c>
      <c r="R1059" t="b">
        <f>IF(LEN(K1059)&gt;0,COUNTIF($K$3:K1059,K1059),FALSE)</f>
        <v>0</v>
      </c>
      <c r="S1059" t="b">
        <f>IF(Taostats_CSV!A1059=Taostats_CSV!$A$2,TRUE,Taostats_CSV!G1059+Taostats_CSV!H1059+Taostats_CSV!R1059=0)</f>
        <v>0</v>
      </c>
      <c r="T1059" t="b">
        <f t="shared" si="113"/>
        <v>1</v>
      </c>
      <c r="U1059" t="b" cm="1">
        <f t="array" aca="1" ref="U1059" ca="1">AND(T1059,OR(O1059-N1059&gt;1,P1059&gt;1,ISERROR(A1059:P1059)))</f>
        <v>0</v>
      </c>
      <c r="W1059" t="e">
        <f>MATCH(K1059&amp;$W$2,Taostats_CSV!$X$3:$X$1167,0)</f>
        <v>#N/A</v>
      </c>
      <c r="X1059" t="e">
        <f t="shared" ca="1" si="108"/>
        <v>#VALUE!</v>
      </c>
      <c r="Y1059">
        <f t="shared" ca="1" si="109"/>
        <v>0.28232115699999999</v>
      </c>
      <c r="Z1059" t="e">
        <f t="shared" ca="1" si="110"/>
        <v>#VALUE!</v>
      </c>
    </row>
    <row r="1060" spans="1:26" x14ac:dyDescent="0.4">
      <c r="A1060" t="str">
        <f>MID(Taostats_CSV!C1060,6,2)&amp;"/"&amp;MID(Taostats_CSV!C1060,9,2)&amp;"/"&amp;LEFT(Taostats_CSV!C1060,4)&amp;" "&amp;MID(Taostats_CSV!C1060,12,8)</f>
        <v>10/08/2025 23:59:48</v>
      </c>
      <c r="C1060" t="str">
        <f ca="1">IF(Q1060,OFFSET(Taostats_CSV!$E$1,MATCH(K1060&amp;D$1,Taostats_CSV!$X:$X,0)-1,0),IF(Taostats_CSV!F1060="fee",IF(VALUE(Taostats_CSV!G1060)&gt;0,Taostats_CSV!E1060,""),""))</f>
        <v/>
      </c>
      <c r="D1060" t="str">
        <f ca="1">IF(Q1060,OFFSET(Taostats_CSV!$G$1,MATCH(K1060&amp;D$1,Taostats_CSV!$X:$X,0)-1,0),IF(Taostats_CSV!F1060="fee",IF(VALUE(Taostats_CSV!G1060)&gt;0,Taostats_CSV!G1060,""),""))</f>
        <v/>
      </c>
      <c r="E1060" t="str">
        <f ca="1">IF(AND(Q1060,P1060&gt;0),OFFSET(Taostats_CSV!$E$1,MATCH(K1060&amp;F$1,Taostats_CSV!$X:$X,0)-1,0),IF(LEN(F1060)&gt;0,Taostats_CSV!E1060,""))</f>
        <v>SN64</v>
      </c>
      <c r="F1060" t="str">
        <f ca="1">TRIM(IF(AND(Q1060,P1060&gt;0),OFFSET(Taostats_CSV!$H$1,MATCH(K1060&amp;F$1,Taostats_CSV!$X:$X,0)-1,0),IF(LEN(Taostats_CSV!H1060)&gt;0,Taostats_CSV!H1060,Taostats_CSV!R1060)))</f>
        <v>0.157350047</v>
      </c>
      <c r="G1060" t="str">
        <f ca="1">IF(AND(Q1060,N1060=1),OFFSET(Taostats_CSV!$E$1,MATCH(K1060&amp;H$1,Taostats_CSV!$X:$X,0)-1,0),"")</f>
        <v/>
      </c>
      <c r="H1060" t="str">
        <f ca="1">IF(AND(Q1060,N1060=1),OFFSET(Taostats_CSV!$G$1,MATCH(K1060&amp;H$1,Taostats_CSV!$X:$X,0)-1,0),"")</f>
        <v/>
      </c>
      <c r="I1060" t="str">
        <f ca="1">IF(AND(LEN(K1060)=0,LEN(F1060)&gt;0),"Income",IF(AND(O1060&gt;0,P1060&gt;0,C1060&lt;&gt;E1060),"Trade",IF(AND(NOT(Q1060),Taostats_CSV!F1060="fee"),'READ ME'!$C$5,"")))</f>
        <v>Income</v>
      </c>
      <c r="J1060" t="str">
        <f ca="1">SUBSTITUTE(IF(LEN(I1060)=0,Taostats_CSV!F1060&amp;" "&amp;Taostats_CSV!J1060,IF(I1060="Cost","Extrinsic fee","")),"_"," ")</f>
        <v/>
      </c>
      <c r="K1060" t="str">
        <f>TRIM(IF(LEN(Taostats_CSV!I1060)&gt;0,Taostats_CSV!I1060,""))</f>
        <v/>
      </c>
      <c r="L1060">
        <f ca="1">IF(Taostats_CSV!E1060&lt;&gt;"TAO",IF(LEN(F1060)&gt;0,F1060,IF(LEN(D1060)&gt;0,D1060,0))*Taostats_CSV!P1060,"")</f>
        <v>4.1444577294847633</v>
      </c>
      <c r="M1060" t="str">
        <f t="shared" ca="1" si="111"/>
        <v>USD</v>
      </c>
      <c r="N1060">
        <f>COUNTIF(Taostats_CSV!$X:$X,Taostats_CSV!$I1060&amp;N$1)</f>
        <v>0</v>
      </c>
      <c r="O1060">
        <f>COUNTIF(Taostats_CSV!$X:$X,Taostats_CSV!$I1060&amp;O$1)</f>
        <v>0</v>
      </c>
      <c r="P1060">
        <f>COUNTIF(Taostats_CSV!$X:$X,Taostats_CSV!$I1060&amp;P$1)</f>
        <v>0</v>
      </c>
      <c r="Q1060" t="b">
        <f t="shared" si="112"/>
        <v>0</v>
      </c>
      <c r="R1060" t="b">
        <f>IF(LEN(K1060)&gt;0,COUNTIF($K$3:K1060,K1060),FALSE)</f>
        <v>0</v>
      </c>
      <c r="S1060" t="b">
        <f>IF(Taostats_CSV!A1060=Taostats_CSV!$A$2,TRUE,Taostats_CSV!G1060+Taostats_CSV!H1060+Taostats_CSV!R1060=0)</f>
        <v>0</v>
      </c>
      <c r="T1060" t="b">
        <f t="shared" si="113"/>
        <v>1</v>
      </c>
      <c r="U1060" t="b" cm="1">
        <f t="array" aca="1" ref="U1060" ca="1">AND(T1060,OR(O1060-N1060&gt;1,P1060&gt;1,ISERROR(A1060:P1060)))</f>
        <v>0</v>
      </c>
      <c r="W1060" t="e">
        <f>MATCH(K1060&amp;$W$2,Taostats_CSV!$X$3:$X$1167,0)</f>
        <v>#N/A</v>
      </c>
      <c r="X1060" t="e">
        <f t="shared" ca="1" si="108"/>
        <v>#VALUE!</v>
      </c>
      <c r="Y1060">
        <f t="shared" ca="1" si="109"/>
        <v>0.15735004699999999</v>
      </c>
      <c r="Z1060" t="e">
        <f t="shared" ca="1" si="110"/>
        <v>#VALUE!</v>
      </c>
    </row>
    <row r="1061" spans="1:26" x14ac:dyDescent="0.4">
      <c r="A1061" t="str">
        <f>MID(Taostats_CSV!C1061,6,2)&amp;"/"&amp;MID(Taostats_CSV!C1061,9,2)&amp;"/"&amp;LEFT(Taostats_CSV!C1061,4)&amp;" "&amp;MID(Taostats_CSV!C1061,12,8)</f>
        <v>10/08/2025 23:59:48</v>
      </c>
      <c r="C1061" t="str">
        <f ca="1">IF(Q1061,OFFSET(Taostats_CSV!$E$1,MATCH(K1061&amp;D$1,Taostats_CSV!$X:$X,0)-1,0),IF(Taostats_CSV!F1061="fee",IF(VALUE(Taostats_CSV!G1061)&gt;0,Taostats_CSV!E1061,""),""))</f>
        <v/>
      </c>
      <c r="D1061" t="str">
        <f ca="1">IF(Q1061,OFFSET(Taostats_CSV!$G$1,MATCH(K1061&amp;D$1,Taostats_CSV!$X:$X,0)-1,0),IF(Taostats_CSV!F1061="fee",IF(VALUE(Taostats_CSV!G1061)&gt;0,Taostats_CSV!G1061,""),""))</f>
        <v/>
      </c>
      <c r="E1061" t="str">
        <f ca="1">IF(AND(Q1061,P1061&gt;0),OFFSET(Taostats_CSV!$E$1,MATCH(K1061&amp;F$1,Taostats_CSV!$X:$X,0)-1,0),IF(LEN(F1061)&gt;0,Taostats_CSV!E1061,""))</f>
        <v>TAO</v>
      </c>
      <c r="F1061" t="str">
        <f ca="1">TRIM(IF(AND(Q1061,P1061&gt;0),OFFSET(Taostats_CSV!$H$1,MATCH(K1061&amp;F$1,Taostats_CSV!$X:$X,0)-1,0),IF(LEN(Taostats_CSV!H1061)&gt;0,Taostats_CSV!H1061,Taostats_CSV!R1061)))</f>
        <v>0.008015654</v>
      </c>
      <c r="G1061" t="str">
        <f ca="1">IF(AND(Q1061,N1061=1),OFFSET(Taostats_CSV!$E$1,MATCH(K1061&amp;H$1,Taostats_CSV!$X:$X,0)-1,0),"")</f>
        <v/>
      </c>
      <c r="H1061" t="str">
        <f ca="1">IF(AND(Q1061,N1061=1),OFFSET(Taostats_CSV!$G$1,MATCH(K1061&amp;H$1,Taostats_CSV!$X:$X,0)-1,0),"")</f>
        <v/>
      </c>
      <c r="I1061" t="str">
        <f ca="1">IF(AND(LEN(K1061)=0,LEN(F1061)&gt;0),"Income",IF(AND(O1061&gt;0,P1061&gt;0,C1061&lt;&gt;E1061),"Trade",IF(AND(NOT(Q1061),Taostats_CSV!F1061="fee"),'READ ME'!$C$5,"")))</f>
        <v>Income</v>
      </c>
      <c r="J1061" t="str">
        <f ca="1">SUBSTITUTE(IF(LEN(I1061)=0,Taostats_CSV!F1061&amp;" "&amp;Taostats_CSV!J1061,IF(I1061="Cost","Extrinsic fee","")),"_"," ")</f>
        <v/>
      </c>
      <c r="K1061" t="str">
        <f>TRIM(IF(LEN(Taostats_CSV!I1061)&gt;0,Taostats_CSV!I1061,""))</f>
        <v/>
      </c>
      <c r="L1061" t="str">
        <f>IF(Taostats_CSV!E1061&lt;&gt;"TAO",IF(LEN(F1061)&gt;0,F1061,IF(LEN(D1061)&gt;0,D1061,0))*Taostats_CSV!P1061,"")</f>
        <v/>
      </c>
      <c r="M1061" t="str">
        <f t="shared" si="111"/>
        <v/>
      </c>
      <c r="N1061">
        <f>COUNTIF(Taostats_CSV!$X:$X,Taostats_CSV!$I1061&amp;N$1)</f>
        <v>0</v>
      </c>
      <c r="O1061">
        <f>COUNTIF(Taostats_CSV!$X:$X,Taostats_CSV!$I1061&amp;O$1)</f>
        <v>0</v>
      </c>
      <c r="P1061">
        <f>COUNTIF(Taostats_CSV!$X:$X,Taostats_CSV!$I1061&amp;P$1)</f>
        <v>0</v>
      </c>
      <c r="Q1061" t="b">
        <f t="shared" si="112"/>
        <v>0</v>
      </c>
      <c r="R1061" t="b">
        <f>IF(LEN(K1061)&gt;0,COUNTIF($K$3:K1061,K1061),FALSE)</f>
        <v>0</v>
      </c>
      <c r="S1061" t="b">
        <f>IF(Taostats_CSV!A1061=Taostats_CSV!$A$2,TRUE,Taostats_CSV!G1061+Taostats_CSV!H1061+Taostats_CSV!R1061=0)</f>
        <v>0</v>
      </c>
      <c r="T1061" t="b">
        <f t="shared" si="113"/>
        <v>1</v>
      </c>
      <c r="U1061" t="b" cm="1">
        <f t="array" aca="1" ref="U1061" ca="1">AND(T1061,OR(O1061-N1061&gt;1,P1061&gt;1,ISERROR(A1061:P1061)))</f>
        <v>0</v>
      </c>
      <c r="W1061" t="e">
        <f>MATCH(K1061&amp;$W$2,Taostats_CSV!$X$3:$X$1167,0)</f>
        <v>#N/A</v>
      </c>
      <c r="X1061" t="e">
        <f t="shared" ca="1" si="108"/>
        <v>#VALUE!</v>
      </c>
      <c r="Y1061">
        <f t="shared" ca="1" si="109"/>
        <v>8.0156540000000005E-3</v>
      </c>
      <c r="Z1061" t="e">
        <f t="shared" ca="1" si="110"/>
        <v>#VALUE!</v>
      </c>
    </row>
    <row r="1062" spans="1:26" x14ac:dyDescent="0.4">
      <c r="A1062" t="str">
        <f>MID(Taostats_CSV!C1062,6,2)&amp;"/"&amp;MID(Taostats_CSV!C1062,9,2)&amp;"/"&amp;LEFT(Taostats_CSV!C1062,4)&amp;" "&amp;MID(Taostats_CSV!C1062,12,8)</f>
        <v>10/09/2025 23:59:48</v>
      </c>
      <c r="C1062" t="str">
        <f ca="1">IF(Q1062,OFFSET(Taostats_CSV!$E$1,MATCH(K1062&amp;D$1,Taostats_CSV!$X:$X,0)-1,0),IF(Taostats_CSV!F1062="fee",IF(VALUE(Taostats_CSV!G1062)&gt;0,Taostats_CSV!E1062,""),""))</f>
        <v/>
      </c>
      <c r="D1062" t="str">
        <f ca="1">IF(Q1062,OFFSET(Taostats_CSV!$G$1,MATCH(K1062&amp;D$1,Taostats_CSV!$X:$X,0)-1,0),IF(Taostats_CSV!F1062="fee",IF(VALUE(Taostats_CSV!G1062)&gt;0,Taostats_CSV!G1062,""),""))</f>
        <v/>
      </c>
      <c r="E1062" t="str">
        <f ca="1">IF(AND(Q1062,P1062&gt;0),OFFSET(Taostats_CSV!$E$1,MATCH(K1062&amp;F$1,Taostats_CSV!$X:$X,0)-1,0),IF(LEN(F1062)&gt;0,Taostats_CSV!E1062,""))</f>
        <v>SN3</v>
      </c>
      <c r="F1062" t="str">
        <f ca="1">TRIM(IF(AND(Q1062,P1062&gt;0),OFFSET(Taostats_CSV!$H$1,MATCH(K1062&amp;F$1,Taostats_CSV!$X:$X,0)-1,0),IF(LEN(Taostats_CSV!H1062)&gt;0,Taostats_CSV!H1062,Taostats_CSV!R1062)))</f>
        <v>0.545265882</v>
      </c>
      <c r="G1062" t="str">
        <f ca="1">IF(AND(Q1062,N1062=1),OFFSET(Taostats_CSV!$E$1,MATCH(K1062&amp;H$1,Taostats_CSV!$X:$X,0)-1,0),"")</f>
        <v/>
      </c>
      <c r="H1062" t="str">
        <f ca="1">IF(AND(Q1062,N1062=1),OFFSET(Taostats_CSV!$G$1,MATCH(K1062&amp;H$1,Taostats_CSV!$X:$X,0)-1,0),"")</f>
        <v/>
      </c>
      <c r="I1062" t="str">
        <f ca="1">IF(AND(LEN(K1062)=0,LEN(F1062)&gt;0),"Income",IF(AND(O1062&gt;0,P1062&gt;0,C1062&lt;&gt;E1062),"Trade",IF(AND(NOT(Q1062),Taostats_CSV!F1062="fee"),'READ ME'!$C$5,"")))</f>
        <v>Income</v>
      </c>
      <c r="J1062" t="str">
        <f ca="1">SUBSTITUTE(IF(LEN(I1062)=0,Taostats_CSV!F1062&amp;" "&amp;Taostats_CSV!J1062,IF(I1062="Cost","Extrinsic fee","")),"_"," ")</f>
        <v/>
      </c>
      <c r="K1062" t="str">
        <f>TRIM(IF(LEN(Taostats_CSV!I1062)&gt;0,Taostats_CSV!I1062,""))</f>
        <v/>
      </c>
      <c r="L1062">
        <f ca="1">IF(Taostats_CSV!E1062&lt;&gt;"TAO",IF(LEN(F1062)&gt;0,F1062,IF(LEN(D1062)&gt;0,D1062,0))*Taostats_CSV!P1062,"")</f>
        <v>5.1772287242858619</v>
      </c>
      <c r="M1062" t="str">
        <f t="shared" ca="1" si="111"/>
        <v>USD</v>
      </c>
      <c r="N1062">
        <f>COUNTIF(Taostats_CSV!$X:$X,Taostats_CSV!$I1062&amp;N$1)</f>
        <v>0</v>
      </c>
      <c r="O1062">
        <f>COUNTIF(Taostats_CSV!$X:$X,Taostats_CSV!$I1062&amp;O$1)</f>
        <v>0</v>
      </c>
      <c r="P1062">
        <f>COUNTIF(Taostats_CSV!$X:$X,Taostats_CSV!$I1062&amp;P$1)</f>
        <v>0</v>
      </c>
      <c r="Q1062" t="b">
        <f t="shared" si="112"/>
        <v>0</v>
      </c>
      <c r="R1062" t="b">
        <f>IF(LEN(K1062)&gt;0,COUNTIF($K$3:K1062,K1062),FALSE)</f>
        <v>0</v>
      </c>
      <c r="S1062" t="b">
        <f>IF(Taostats_CSV!A1062=Taostats_CSV!$A$2,TRUE,Taostats_CSV!G1062+Taostats_CSV!H1062+Taostats_CSV!R1062=0)</f>
        <v>0</v>
      </c>
      <c r="T1062" t="b">
        <f t="shared" si="113"/>
        <v>1</v>
      </c>
      <c r="U1062" t="b" cm="1">
        <f t="array" aca="1" ref="U1062" ca="1">AND(T1062,OR(O1062-N1062&gt;1,P1062&gt;1,ISERROR(A1062:P1062)))</f>
        <v>0</v>
      </c>
      <c r="W1062" t="e">
        <f>MATCH(K1062&amp;$W$2,Taostats_CSV!$X$3:$X$1167,0)</f>
        <v>#N/A</v>
      </c>
      <c r="X1062" t="e">
        <f t="shared" ca="1" si="108"/>
        <v>#VALUE!</v>
      </c>
      <c r="Y1062">
        <f t="shared" ca="1" si="109"/>
        <v>0.54526588200000004</v>
      </c>
      <c r="Z1062" t="e">
        <f t="shared" ca="1" si="110"/>
        <v>#VALUE!</v>
      </c>
    </row>
    <row r="1063" spans="1:26" x14ac:dyDescent="0.4">
      <c r="A1063" t="str">
        <f>MID(Taostats_CSV!C1063,6,2)&amp;"/"&amp;MID(Taostats_CSV!C1063,9,2)&amp;"/"&amp;LEFT(Taostats_CSV!C1063,4)&amp;" "&amp;MID(Taostats_CSV!C1063,12,8)</f>
        <v>10/09/2025 23:59:48</v>
      </c>
      <c r="C1063" t="str">
        <f ca="1">IF(Q1063,OFFSET(Taostats_CSV!$E$1,MATCH(K1063&amp;D$1,Taostats_CSV!$X:$X,0)-1,0),IF(Taostats_CSV!F1063="fee",IF(VALUE(Taostats_CSV!G1063)&gt;0,Taostats_CSV!E1063,""),""))</f>
        <v/>
      </c>
      <c r="D1063" t="str">
        <f ca="1">IF(Q1063,OFFSET(Taostats_CSV!$G$1,MATCH(K1063&amp;D$1,Taostats_CSV!$X:$X,0)-1,0),IF(Taostats_CSV!F1063="fee",IF(VALUE(Taostats_CSV!G1063)&gt;0,Taostats_CSV!G1063,""),""))</f>
        <v/>
      </c>
      <c r="E1063" t="str">
        <f ca="1">IF(AND(Q1063,P1063&gt;0),OFFSET(Taostats_CSV!$E$1,MATCH(K1063&amp;F$1,Taostats_CSV!$X:$X,0)-1,0),IF(LEN(F1063)&gt;0,Taostats_CSV!E1063,""))</f>
        <v>SN4</v>
      </c>
      <c r="F1063" t="str">
        <f ca="1">TRIM(IF(AND(Q1063,P1063&gt;0),OFFSET(Taostats_CSV!$H$1,MATCH(K1063&amp;F$1,Taostats_CSV!$X:$X,0)-1,0),IF(LEN(Taostats_CSV!H1063)&gt;0,Taostats_CSV!H1063,Taostats_CSV!R1063)))</f>
        <v>0.411897871</v>
      </c>
      <c r="G1063" t="str">
        <f ca="1">IF(AND(Q1063,N1063=1),OFFSET(Taostats_CSV!$E$1,MATCH(K1063&amp;H$1,Taostats_CSV!$X:$X,0)-1,0),"")</f>
        <v/>
      </c>
      <c r="H1063" t="str">
        <f ca="1">IF(AND(Q1063,N1063=1),OFFSET(Taostats_CSV!$G$1,MATCH(K1063&amp;H$1,Taostats_CSV!$X:$X,0)-1,0),"")</f>
        <v/>
      </c>
      <c r="I1063" t="str">
        <f ca="1">IF(AND(LEN(K1063)=0,LEN(F1063)&gt;0),"Income",IF(AND(O1063&gt;0,P1063&gt;0,C1063&lt;&gt;E1063),"Trade",IF(AND(NOT(Q1063),Taostats_CSV!F1063="fee"),'READ ME'!$C$5,"")))</f>
        <v>Income</v>
      </c>
      <c r="J1063" t="str">
        <f ca="1">SUBSTITUTE(IF(LEN(I1063)=0,Taostats_CSV!F1063&amp;" "&amp;Taostats_CSV!J1063,IF(I1063="Cost","Extrinsic fee","")),"_"," ")</f>
        <v/>
      </c>
      <c r="K1063" t="str">
        <f>TRIM(IF(LEN(Taostats_CSV!I1063)&gt;0,Taostats_CSV!I1063,""))</f>
        <v/>
      </c>
      <c r="L1063">
        <f ca="1">IF(Taostats_CSV!E1063&lt;&gt;"TAO",IF(LEN(F1063)&gt;0,F1063,IF(LEN(D1063)&gt;0,D1063,0))*Taostats_CSV!P1063,"")</f>
        <v>6.420989309933919</v>
      </c>
      <c r="M1063" t="str">
        <f t="shared" ca="1" si="111"/>
        <v>USD</v>
      </c>
      <c r="N1063">
        <f>COUNTIF(Taostats_CSV!$X:$X,Taostats_CSV!$I1063&amp;N$1)</f>
        <v>0</v>
      </c>
      <c r="O1063">
        <f>COUNTIF(Taostats_CSV!$X:$X,Taostats_CSV!$I1063&amp;O$1)</f>
        <v>0</v>
      </c>
      <c r="P1063">
        <f>COUNTIF(Taostats_CSV!$X:$X,Taostats_CSV!$I1063&amp;P$1)</f>
        <v>0</v>
      </c>
      <c r="Q1063" t="b">
        <f t="shared" si="112"/>
        <v>0</v>
      </c>
      <c r="R1063" t="b">
        <f>IF(LEN(K1063)&gt;0,COUNTIF($K$3:K1063,K1063),FALSE)</f>
        <v>0</v>
      </c>
      <c r="S1063" t="b">
        <f>IF(Taostats_CSV!A1063=Taostats_CSV!$A$2,TRUE,Taostats_CSV!G1063+Taostats_CSV!H1063+Taostats_CSV!R1063=0)</f>
        <v>0</v>
      </c>
      <c r="T1063" t="b">
        <f t="shared" si="113"/>
        <v>1</v>
      </c>
      <c r="U1063" t="b" cm="1">
        <f t="array" aca="1" ref="U1063" ca="1">AND(T1063,OR(O1063-N1063&gt;1,P1063&gt;1,ISERROR(A1063:P1063)))</f>
        <v>0</v>
      </c>
      <c r="W1063" t="e">
        <f>MATCH(K1063&amp;$W$2,Taostats_CSV!$X$3:$X$1167,0)</f>
        <v>#N/A</v>
      </c>
      <c r="X1063" t="e">
        <f t="shared" ca="1" si="108"/>
        <v>#VALUE!</v>
      </c>
      <c r="Y1063">
        <f t="shared" ca="1" si="109"/>
        <v>0.41189787100000003</v>
      </c>
      <c r="Z1063" t="e">
        <f t="shared" ca="1" si="110"/>
        <v>#VALUE!</v>
      </c>
    </row>
    <row r="1064" spans="1:26" x14ac:dyDescent="0.4">
      <c r="A1064" t="str">
        <f>MID(Taostats_CSV!C1064,6,2)&amp;"/"&amp;MID(Taostats_CSV!C1064,9,2)&amp;"/"&amp;LEFT(Taostats_CSV!C1064,4)&amp;" "&amp;MID(Taostats_CSV!C1064,12,8)</f>
        <v>10/09/2025 23:59:48</v>
      </c>
      <c r="C1064" t="str">
        <f ca="1">IF(Q1064,OFFSET(Taostats_CSV!$E$1,MATCH(K1064&amp;D$1,Taostats_CSV!$X:$X,0)-1,0),IF(Taostats_CSV!F1064="fee",IF(VALUE(Taostats_CSV!G1064)&gt;0,Taostats_CSV!E1064,""),""))</f>
        <v/>
      </c>
      <c r="D1064" t="str">
        <f ca="1">IF(Q1064,OFFSET(Taostats_CSV!$G$1,MATCH(K1064&amp;D$1,Taostats_CSV!$X:$X,0)-1,0),IF(Taostats_CSV!F1064="fee",IF(VALUE(Taostats_CSV!G1064)&gt;0,Taostats_CSV!G1064,""),""))</f>
        <v/>
      </c>
      <c r="E1064" t="str">
        <f ca="1">IF(AND(Q1064,P1064&gt;0),OFFSET(Taostats_CSV!$E$1,MATCH(K1064&amp;F$1,Taostats_CSV!$X:$X,0)-1,0),IF(LEN(F1064)&gt;0,Taostats_CSV!E1064,""))</f>
        <v>SN56</v>
      </c>
      <c r="F1064" t="str">
        <f ca="1">TRIM(IF(AND(Q1064,P1064&gt;0),OFFSET(Taostats_CSV!$H$1,MATCH(K1064&amp;F$1,Taostats_CSV!$X:$X,0)-1,0),IF(LEN(Taostats_CSV!H1064)&gt;0,Taostats_CSV!H1064,Taostats_CSV!R1064)))</f>
        <v>0.310647774</v>
      </c>
      <c r="G1064" t="str">
        <f ca="1">IF(AND(Q1064,N1064=1),OFFSET(Taostats_CSV!$E$1,MATCH(K1064&amp;H$1,Taostats_CSV!$X:$X,0)-1,0),"")</f>
        <v/>
      </c>
      <c r="H1064" t="str">
        <f ca="1">IF(AND(Q1064,N1064=1),OFFSET(Taostats_CSV!$G$1,MATCH(K1064&amp;H$1,Taostats_CSV!$X:$X,0)-1,0),"")</f>
        <v/>
      </c>
      <c r="I1064" t="str">
        <f ca="1">IF(AND(LEN(K1064)=0,LEN(F1064)&gt;0),"Income",IF(AND(O1064&gt;0,P1064&gt;0,C1064&lt;&gt;E1064),"Trade",IF(AND(NOT(Q1064),Taostats_CSV!F1064="fee"),'READ ME'!$C$5,"")))</f>
        <v>Income</v>
      </c>
      <c r="J1064" t="str">
        <f ca="1">SUBSTITUTE(IF(LEN(I1064)=0,Taostats_CSV!F1064&amp;" "&amp;Taostats_CSV!J1064,IF(I1064="Cost","Extrinsic fee","")),"_"," ")</f>
        <v/>
      </c>
      <c r="K1064" t="str">
        <f>TRIM(IF(LEN(Taostats_CSV!I1064)&gt;0,Taostats_CSV!I1064,""))</f>
        <v/>
      </c>
      <c r="L1064">
        <f ca="1">IF(Taostats_CSV!E1064&lt;&gt;"TAO",IF(LEN(F1064)&gt;0,F1064,IF(LEN(D1064)&gt;0,D1064,0))*Taostats_CSV!P1064,"")</f>
        <v>3.6150963486109444</v>
      </c>
      <c r="M1064" t="str">
        <f t="shared" ca="1" si="111"/>
        <v>USD</v>
      </c>
      <c r="N1064">
        <f>COUNTIF(Taostats_CSV!$X:$X,Taostats_CSV!$I1064&amp;N$1)</f>
        <v>0</v>
      </c>
      <c r="O1064">
        <f>COUNTIF(Taostats_CSV!$X:$X,Taostats_CSV!$I1064&amp;O$1)</f>
        <v>0</v>
      </c>
      <c r="P1064">
        <f>COUNTIF(Taostats_CSV!$X:$X,Taostats_CSV!$I1064&amp;P$1)</f>
        <v>0</v>
      </c>
      <c r="Q1064" t="b">
        <f t="shared" si="112"/>
        <v>0</v>
      </c>
      <c r="R1064" t="b">
        <f>IF(LEN(K1064)&gt;0,COUNTIF($K$3:K1064,K1064),FALSE)</f>
        <v>0</v>
      </c>
      <c r="S1064" t="b">
        <f>IF(Taostats_CSV!A1064=Taostats_CSV!$A$2,TRUE,Taostats_CSV!G1064+Taostats_CSV!H1064+Taostats_CSV!R1064=0)</f>
        <v>0</v>
      </c>
      <c r="T1064" t="b">
        <f t="shared" si="113"/>
        <v>1</v>
      </c>
      <c r="U1064" t="b" cm="1">
        <f t="array" aca="1" ref="U1064" ca="1">AND(T1064,OR(O1064-N1064&gt;1,P1064&gt;1,ISERROR(A1064:P1064)))</f>
        <v>0</v>
      </c>
      <c r="W1064" t="e">
        <f>MATCH(K1064&amp;$W$2,Taostats_CSV!$X$3:$X$1167,0)</f>
        <v>#N/A</v>
      </c>
      <c r="X1064" t="e">
        <f t="shared" ca="1" si="108"/>
        <v>#VALUE!</v>
      </c>
      <c r="Y1064">
        <f t="shared" ca="1" si="109"/>
        <v>0.31064777399999999</v>
      </c>
      <c r="Z1064" t="e">
        <f t="shared" ca="1" si="110"/>
        <v>#VALUE!</v>
      </c>
    </row>
    <row r="1065" spans="1:26" x14ac:dyDescent="0.4">
      <c r="A1065" t="str">
        <f>MID(Taostats_CSV!C1065,6,2)&amp;"/"&amp;MID(Taostats_CSV!C1065,9,2)&amp;"/"&amp;LEFT(Taostats_CSV!C1065,4)&amp;" "&amp;MID(Taostats_CSV!C1065,12,8)</f>
        <v>10/09/2025 23:59:48</v>
      </c>
      <c r="C1065" t="str">
        <f ca="1">IF(Q1065,OFFSET(Taostats_CSV!$E$1,MATCH(K1065&amp;D$1,Taostats_CSV!$X:$X,0)-1,0),IF(Taostats_CSV!F1065="fee",IF(VALUE(Taostats_CSV!G1065)&gt;0,Taostats_CSV!E1065,""),""))</f>
        <v/>
      </c>
      <c r="D1065" t="str">
        <f ca="1">IF(Q1065,OFFSET(Taostats_CSV!$G$1,MATCH(K1065&amp;D$1,Taostats_CSV!$X:$X,0)-1,0),IF(Taostats_CSV!F1065="fee",IF(VALUE(Taostats_CSV!G1065)&gt;0,Taostats_CSV!G1065,""),""))</f>
        <v/>
      </c>
      <c r="E1065" t="str">
        <f ca="1">IF(AND(Q1065,P1065&gt;0),OFFSET(Taostats_CSV!$E$1,MATCH(K1065&amp;F$1,Taostats_CSV!$X:$X,0)-1,0),IF(LEN(F1065)&gt;0,Taostats_CSV!E1065,""))</f>
        <v>SN64</v>
      </c>
      <c r="F1065" t="str">
        <f ca="1">TRIM(IF(AND(Q1065,P1065&gt;0),OFFSET(Taostats_CSV!$H$1,MATCH(K1065&amp;F$1,Taostats_CSV!$X:$X,0)-1,0),IF(LEN(Taostats_CSV!H1065)&gt;0,Taostats_CSV!H1065,Taostats_CSV!R1065)))</f>
        <v>0.165243199</v>
      </c>
      <c r="G1065" t="str">
        <f ca="1">IF(AND(Q1065,N1065=1),OFFSET(Taostats_CSV!$E$1,MATCH(K1065&amp;H$1,Taostats_CSV!$X:$X,0)-1,0),"")</f>
        <v/>
      </c>
      <c r="H1065" t="str">
        <f ca="1">IF(AND(Q1065,N1065=1),OFFSET(Taostats_CSV!$G$1,MATCH(K1065&amp;H$1,Taostats_CSV!$X:$X,0)-1,0),"")</f>
        <v/>
      </c>
      <c r="I1065" t="str">
        <f ca="1">IF(AND(LEN(K1065)=0,LEN(F1065)&gt;0),"Income",IF(AND(O1065&gt;0,P1065&gt;0,C1065&lt;&gt;E1065),"Trade",IF(AND(NOT(Q1065),Taostats_CSV!F1065="fee"),'READ ME'!$C$5,"")))</f>
        <v>Income</v>
      </c>
      <c r="J1065" t="str">
        <f ca="1">SUBSTITUTE(IF(LEN(I1065)=0,Taostats_CSV!F1065&amp;" "&amp;Taostats_CSV!J1065,IF(I1065="Cost","Extrinsic fee","")),"_"," ")</f>
        <v/>
      </c>
      <c r="K1065" t="str">
        <f>TRIM(IF(LEN(Taostats_CSV!I1065)&gt;0,Taostats_CSV!I1065,""))</f>
        <v/>
      </c>
      <c r="L1065">
        <f ca="1">IF(Taostats_CSV!E1065&lt;&gt;"TAO",IF(LEN(F1065)&gt;0,F1065,IF(LEN(D1065)&gt;0,D1065,0))*Taostats_CSV!P1065,"")</f>
        <v>4.4217655589763591</v>
      </c>
      <c r="M1065" t="str">
        <f t="shared" ca="1" si="111"/>
        <v>USD</v>
      </c>
      <c r="N1065">
        <f>COUNTIF(Taostats_CSV!$X:$X,Taostats_CSV!$I1065&amp;N$1)</f>
        <v>0</v>
      </c>
      <c r="O1065">
        <f>COUNTIF(Taostats_CSV!$X:$X,Taostats_CSV!$I1065&amp;O$1)</f>
        <v>0</v>
      </c>
      <c r="P1065">
        <f>COUNTIF(Taostats_CSV!$X:$X,Taostats_CSV!$I1065&amp;P$1)</f>
        <v>0</v>
      </c>
      <c r="Q1065" t="b">
        <f t="shared" si="112"/>
        <v>0</v>
      </c>
      <c r="R1065" t="b">
        <f>IF(LEN(K1065)&gt;0,COUNTIF($K$3:K1065,K1065),FALSE)</f>
        <v>0</v>
      </c>
      <c r="S1065" t="b">
        <f>IF(Taostats_CSV!A1065=Taostats_CSV!$A$2,TRUE,Taostats_CSV!G1065+Taostats_CSV!H1065+Taostats_CSV!R1065=0)</f>
        <v>0</v>
      </c>
      <c r="T1065" t="b">
        <f t="shared" si="113"/>
        <v>1</v>
      </c>
      <c r="U1065" t="b" cm="1">
        <f t="array" aca="1" ref="U1065" ca="1">AND(T1065,OR(O1065-N1065&gt;1,P1065&gt;1,ISERROR(A1065:P1065)))</f>
        <v>0</v>
      </c>
      <c r="W1065" t="e">
        <f>MATCH(K1065&amp;$W$2,Taostats_CSV!$X$3:$X$1167,0)</f>
        <v>#N/A</v>
      </c>
      <c r="X1065" t="e">
        <f t="shared" ca="1" si="108"/>
        <v>#VALUE!</v>
      </c>
      <c r="Y1065">
        <f t="shared" ca="1" si="109"/>
        <v>0.16524319900000001</v>
      </c>
      <c r="Z1065" t="e">
        <f t="shared" ca="1" si="110"/>
        <v>#VALUE!</v>
      </c>
    </row>
    <row r="1066" spans="1:26" x14ac:dyDescent="0.4">
      <c r="A1066" t="str">
        <f>MID(Taostats_CSV!C1066,6,2)&amp;"/"&amp;MID(Taostats_CSV!C1066,9,2)&amp;"/"&amp;LEFT(Taostats_CSV!C1066,4)&amp;" "&amp;MID(Taostats_CSV!C1066,12,8)</f>
        <v>10/09/2025 23:59:48</v>
      </c>
      <c r="C1066" t="str">
        <f ca="1">IF(Q1066,OFFSET(Taostats_CSV!$E$1,MATCH(K1066&amp;D$1,Taostats_CSV!$X:$X,0)-1,0),IF(Taostats_CSV!F1066="fee",IF(VALUE(Taostats_CSV!G1066)&gt;0,Taostats_CSV!E1066,""),""))</f>
        <v/>
      </c>
      <c r="D1066" t="str">
        <f ca="1">IF(Q1066,OFFSET(Taostats_CSV!$G$1,MATCH(K1066&amp;D$1,Taostats_CSV!$X:$X,0)-1,0),IF(Taostats_CSV!F1066="fee",IF(VALUE(Taostats_CSV!G1066)&gt;0,Taostats_CSV!G1066,""),""))</f>
        <v/>
      </c>
      <c r="E1066" t="str">
        <f ca="1">IF(AND(Q1066,P1066&gt;0),OFFSET(Taostats_CSV!$E$1,MATCH(K1066&amp;F$1,Taostats_CSV!$X:$X,0)-1,0),IF(LEN(F1066)&gt;0,Taostats_CSV!E1066,""))</f>
        <v>TAO</v>
      </c>
      <c r="F1066" t="str">
        <f ca="1">TRIM(IF(AND(Q1066,P1066&gt;0),OFFSET(Taostats_CSV!$H$1,MATCH(K1066&amp;F$1,Taostats_CSV!$X:$X,0)-1,0),IF(LEN(Taostats_CSV!H1066)&gt;0,Taostats_CSV!H1066,Taostats_CSV!R1066)))</f>
        <v>0.00768947</v>
      </c>
      <c r="G1066" t="str">
        <f ca="1">IF(AND(Q1066,N1066=1),OFFSET(Taostats_CSV!$E$1,MATCH(K1066&amp;H$1,Taostats_CSV!$X:$X,0)-1,0),"")</f>
        <v/>
      </c>
      <c r="H1066" t="str">
        <f ca="1">IF(AND(Q1066,N1066=1),OFFSET(Taostats_CSV!$G$1,MATCH(K1066&amp;H$1,Taostats_CSV!$X:$X,0)-1,0),"")</f>
        <v/>
      </c>
      <c r="I1066" t="str">
        <f ca="1">IF(AND(LEN(K1066)=0,LEN(F1066)&gt;0),"Income",IF(AND(O1066&gt;0,P1066&gt;0,C1066&lt;&gt;E1066),"Trade",IF(AND(NOT(Q1066),Taostats_CSV!F1066="fee"),'READ ME'!$C$5,"")))</f>
        <v>Income</v>
      </c>
      <c r="J1066" t="str">
        <f ca="1">SUBSTITUTE(IF(LEN(I1066)=0,Taostats_CSV!F1066&amp;" "&amp;Taostats_CSV!J1066,IF(I1066="Cost","Extrinsic fee","")),"_"," ")</f>
        <v/>
      </c>
      <c r="K1066" t="str">
        <f>TRIM(IF(LEN(Taostats_CSV!I1066)&gt;0,Taostats_CSV!I1066,""))</f>
        <v/>
      </c>
      <c r="L1066" t="str">
        <f>IF(Taostats_CSV!E1066&lt;&gt;"TAO",IF(LEN(F1066)&gt;0,F1066,IF(LEN(D1066)&gt;0,D1066,0))*Taostats_CSV!P1066,"")</f>
        <v/>
      </c>
      <c r="M1066" t="str">
        <f t="shared" si="111"/>
        <v/>
      </c>
      <c r="N1066">
        <f>COUNTIF(Taostats_CSV!$X:$X,Taostats_CSV!$I1066&amp;N$1)</f>
        <v>0</v>
      </c>
      <c r="O1066">
        <f>COUNTIF(Taostats_CSV!$X:$X,Taostats_CSV!$I1066&amp;O$1)</f>
        <v>0</v>
      </c>
      <c r="P1066">
        <f>COUNTIF(Taostats_CSV!$X:$X,Taostats_CSV!$I1066&amp;P$1)</f>
        <v>0</v>
      </c>
      <c r="Q1066" t="b">
        <f t="shared" si="112"/>
        <v>0</v>
      </c>
      <c r="R1066" t="b">
        <f>IF(LEN(K1066)&gt;0,COUNTIF($K$3:K1066,K1066),FALSE)</f>
        <v>0</v>
      </c>
      <c r="S1066" t="b">
        <f>IF(Taostats_CSV!A1066=Taostats_CSV!$A$2,TRUE,Taostats_CSV!G1066+Taostats_CSV!H1066+Taostats_CSV!R1066=0)</f>
        <v>0</v>
      </c>
      <c r="T1066" t="b">
        <f t="shared" si="113"/>
        <v>1</v>
      </c>
      <c r="U1066" t="b" cm="1">
        <f t="array" aca="1" ref="U1066" ca="1">AND(T1066,OR(O1066-N1066&gt;1,P1066&gt;1,ISERROR(A1066:P1066)))</f>
        <v>0</v>
      </c>
      <c r="W1066" t="e">
        <f>MATCH(K1066&amp;$W$2,Taostats_CSV!$X$3:$X$1167,0)</f>
        <v>#N/A</v>
      </c>
      <c r="X1066" t="e">
        <f t="shared" ca="1" si="108"/>
        <v>#VALUE!</v>
      </c>
      <c r="Y1066">
        <f t="shared" ca="1" si="109"/>
        <v>7.6894700000000003E-3</v>
      </c>
      <c r="Z1066" t="e">
        <f t="shared" ca="1" si="110"/>
        <v>#VALUE!</v>
      </c>
    </row>
    <row r="1067" spans="1:26" x14ac:dyDescent="0.4">
      <c r="A1067" t="str">
        <f>MID(Taostats_CSV!C1067,6,2)&amp;"/"&amp;MID(Taostats_CSV!C1067,9,2)&amp;"/"&amp;LEFT(Taostats_CSV!C1067,4)&amp;" "&amp;MID(Taostats_CSV!C1067,12,8)</f>
        <v>10/10/2025 21:13:48</v>
      </c>
      <c r="C1067" t="str">
        <f ca="1">IF(Q1067,OFFSET(Taostats_CSV!$E$1,MATCH(K1067&amp;D$1,Taostats_CSV!$X:$X,0)-1,0),IF(Taostats_CSV!F1067="fee",IF(VALUE(Taostats_CSV!G1067)&gt;0,Taostats_CSV!E1067,""),""))</f>
        <v>SN4</v>
      </c>
      <c r="D1067">
        <f ca="1">IF(Q1067,OFFSET(Taostats_CSV!$G$1,MATCH(K1067&amp;D$1,Taostats_CSV!$X:$X,0)-1,0),IF(Taostats_CSV!F1067="fee",IF(VALUE(Taostats_CSV!G1067)&gt;0,Taostats_CSV!G1067,""),""))</f>
        <v>0.1</v>
      </c>
      <c r="E1067" t="str">
        <f ca="1">IF(AND(Q1067,P1067&gt;0),OFFSET(Taostats_CSV!$E$1,MATCH(K1067&amp;F$1,Taostats_CSV!$X:$X,0)-1,0),IF(LEN(F1067)&gt;0,Taostats_CSV!E1067,""))</f>
        <v>TAO</v>
      </c>
      <c r="F1067" t="str">
        <f ca="1">TRIM(IF(AND(Q1067,P1067&gt;0),OFFSET(Taostats_CSV!$H$1,MATCH(K1067&amp;F$1,Taostats_CSV!$X:$X,0)-1,0),IF(LEN(Taostats_CSV!H1067)&gt;0,Taostats_CSV!H1067,Taostats_CSV!R1067)))</f>
        <v>0.004509116</v>
      </c>
      <c r="G1067" t="str">
        <f ca="1">IF(AND(Q1067,N1067=1),OFFSET(Taostats_CSV!$E$1,MATCH(K1067&amp;H$1,Taostats_CSV!$X:$X,0)-1,0),"")</f>
        <v>TAO</v>
      </c>
      <c r="H1067">
        <f ca="1">IF(AND(Q1067,N1067=1),OFFSET(Taostats_CSV!$G$1,MATCH(K1067&amp;H$1,Taostats_CSV!$X:$X,0)-1,0),"")</f>
        <v>8.9147999999999994E-5</v>
      </c>
      <c r="I1067" t="str">
        <f ca="1">IF(AND(LEN(K1067)=0,LEN(F1067)&gt;0),"Income",IF(AND(O1067&gt;0,P1067&gt;0,C1067&lt;&gt;E1067),"Trade",IF(AND(NOT(Q1067),Taostats_CSV!F1067="fee"),'READ ME'!$C$5,"")))</f>
        <v>Trade</v>
      </c>
      <c r="J1067" t="str">
        <f ca="1">SUBSTITUTE(IF(LEN(I1067)=0,Taostats_CSV!F1067&amp;" "&amp;Taostats_CSV!J1067,IF(I1067="Cost","Extrinsic fee","")),"_"," ")</f>
        <v/>
      </c>
      <c r="K1067" t="str">
        <f>TRIM(IF(LEN(Taostats_CSV!I1067)&gt;0,Taostats_CSV!I1067,""))</f>
        <v>6631354-0033</v>
      </c>
      <c r="L1067" t="str">
        <f>IF(Taostats_CSV!E1067&lt;&gt;"TAO",IF(LEN(F1067)&gt;0,F1067,IF(LEN(D1067)&gt;0,D1067,0))*Taostats_CSV!P1067,"")</f>
        <v/>
      </c>
      <c r="M1067" t="str">
        <f t="shared" si="111"/>
        <v/>
      </c>
      <c r="N1067">
        <f>COUNTIF(Taostats_CSV!$X:$X,Taostats_CSV!$I1067&amp;N$1)</f>
        <v>1</v>
      </c>
      <c r="O1067">
        <f>COUNTIF(Taostats_CSV!$X:$X,Taostats_CSV!$I1067&amp;O$1)</f>
        <v>1</v>
      </c>
      <c r="P1067">
        <f>COUNTIF(Taostats_CSV!$X:$X,Taostats_CSV!$I1067&amp;P$1)</f>
        <v>1</v>
      </c>
      <c r="Q1067" t="b">
        <f t="shared" si="112"/>
        <v>1</v>
      </c>
      <c r="R1067">
        <f>IF(LEN(K1067)&gt;0,COUNTIF($K$3:K1067,K1067),FALSE)</f>
        <v>1</v>
      </c>
      <c r="S1067" t="b">
        <f>IF(Taostats_CSV!A1067=Taostats_CSV!$A$2,TRUE,Taostats_CSV!G1067+Taostats_CSV!H1067+Taostats_CSV!R1067=0)</f>
        <v>0</v>
      </c>
      <c r="T1067" t="b">
        <f t="shared" si="113"/>
        <v>1</v>
      </c>
      <c r="U1067" t="b" cm="1">
        <f t="array" aca="1" ref="U1067" ca="1">AND(T1067,OR(O1067-N1067&gt;1,P1067&gt;1,ISERROR(A1067:P1067)))</f>
        <v>0</v>
      </c>
      <c r="W1067">
        <f>MATCH(K1067&amp;$W$2,Taostats_CSV!$X$3:$X$1167,0)</f>
        <v>1065</v>
      </c>
      <c r="X1067">
        <f t="shared" ca="1" si="108"/>
        <v>0.1</v>
      </c>
      <c r="Y1067">
        <f t="shared" ca="1" si="109"/>
        <v>4.5091159999999996E-3</v>
      </c>
      <c r="Z1067">
        <f t="shared" ca="1" si="110"/>
        <v>8.9147999999999994E-5</v>
      </c>
    </row>
    <row r="1068" spans="1:26" hidden="1" x14ac:dyDescent="0.4">
      <c r="A1068" t="str">
        <f>MID(Taostats_CSV!C1068,6,2)&amp;"/"&amp;MID(Taostats_CSV!C1068,9,2)&amp;"/"&amp;LEFT(Taostats_CSV!C1068,4)&amp;" "&amp;MID(Taostats_CSV!C1068,12,8)</f>
        <v>10/10/2025 21:13:48</v>
      </c>
      <c r="C1068" t="str">
        <f ca="1">IF(Q1068,OFFSET(Taostats_CSV!$E$1,MATCH(K1068&amp;D$1,Taostats_CSV!$X:$X,0)-1,0),IF(Taostats_CSV!F1068="fee","",IF(VALUE(Taostats_CSV!G1068)&gt;0,Taostats_CSV!E1068,"")))</f>
        <v>SN4</v>
      </c>
      <c r="D1068">
        <f ca="1">IF(Q1068,OFFSET(Taostats_CSV!$G$1,MATCH(K1068&amp;D$1,Taostats_CSV!$X:$X,0)-1,0),IF(Taostats_CSV!F1068="fee","",IF(VALUE(Taostats_CSV!G1068)&gt;0,Taostats_CSV!G1068,"")))</f>
        <v>0.1</v>
      </c>
      <c r="E1068" t="str">
        <f ca="1">IF(AND(Q1068,P1068&gt;0),OFFSET(Taostats_CSV!$E$1,MATCH(K1068&amp;F$1,Taostats_CSV!$X:$X,0)-1,0),IF(LEN(F1068)&gt;0,Taostats_CSV!E1068,""))</f>
        <v>TAO</v>
      </c>
      <c r="F1068" t="str">
        <f ca="1">TRIM(IF(AND(Q1068,P1068&gt;0),OFFSET(Taostats_CSV!$H$1,MATCH(K1068&amp;F$1,Taostats_CSV!$X:$X,0)-1,0),IF(LEN(Taostats_CSV!H1068)&gt;0,Taostats_CSV!H1068,Taostats_CSV!R1068)))</f>
        <v>0.004509116</v>
      </c>
      <c r="G1068" t="str">
        <f ca="1">IF(AND(Q1068,N1068=1),OFFSET(Taostats_CSV!$E$1,MATCH(K1068&amp;H$1,Taostats_CSV!$X:$X,0)-1,0),IF(Taostats_CSV!F1068="fee",Taostats_CSV!E1068,""))</f>
        <v>TAO</v>
      </c>
      <c r="H1068">
        <f ca="1">IF(AND(Q1068,N1068=1),OFFSET(Taostats_CSV!$G$1,MATCH(K1068&amp;H$1,Taostats_CSV!$X:$X,0)-1,0),IF(Taostats_CSV!F1068="fee",Taostats_CSV!G1068,""))</f>
        <v>8.9147999999999994E-5</v>
      </c>
      <c r="I1068" t="str">
        <f ca="1">IF(AND(LEN(K1068)=0,LEN(F1068)&gt;0),"Income",IF(AND(O1068&gt;0,P1068&gt;0,C1068&lt;&gt;E1068),"Trade",IF(AND(NOT(Q1068),Taostats_CSV!F1068="fee"),'READ ME'!$C$5,"")))</f>
        <v>Trade</v>
      </c>
      <c r="J1068" t="str">
        <f ca="1">SUBSTITUTE(IF(LEN(I1068)=0,Taostats_CSV!F1068&amp;" "&amp;Taostats_CSV!J1068,IF(I1068="Cost","Extrinsic fee","")),"_"," ")</f>
        <v/>
      </c>
      <c r="K1068" t="str">
        <f>TRIM(IF(LEN(Taostats_CSV!I1068)&gt;0,Taostats_CSV!I1068,""))</f>
        <v>6631354-0033</v>
      </c>
      <c r="L1068">
        <f ca="1">IF(Taostats_CSV!E1068&lt;&gt;"TAO",IF(LEN(F1068)&gt;0,F1068,IF(LEN(D1068)&gt;0,D1068,0))*Taostats_CSV!P1068,"")</f>
        <v>7.1469488599999992E-2</v>
      </c>
      <c r="M1068" t="str">
        <f t="shared" ca="1" si="111"/>
        <v>USD</v>
      </c>
      <c r="N1068">
        <f>COUNTIF(Taostats_CSV!$X:$X,Taostats_CSV!$I1068&amp;N$1)</f>
        <v>1</v>
      </c>
      <c r="O1068">
        <f>COUNTIF(Taostats_CSV!$X:$X,Taostats_CSV!$I1068&amp;O$1)</f>
        <v>1</v>
      </c>
      <c r="P1068">
        <f>COUNTIF(Taostats_CSV!$X:$X,Taostats_CSV!$I1068&amp;P$1)</f>
        <v>1</v>
      </c>
      <c r="Q1068" t="b">
        <f t="shared" si="112"/>
        <v>1</v>
      </c>
      <c r="R1068">
        <f>IF(LEN(K1068)&gt;0,COUNTIF($K$3:K1068,K1068),FALSE)</f>
        <v>2</v>
      </c>
      <c r="S1068" t="b">
        <f>IF(Taostats_CSV!A1068=Taostats_CSV!$A$2,TRUE,Taostats_CSV!G1068+Taostats_CSV!H1068+Taostats_CSV!R1068=0)</f>
        <v>0</v>
      </c>
      <c r="T1068" t="b">
        <f t="shared" si="113"/>
        <v>0</v>
      </c>
      <c r="U1068" t="b" cm="1">
        <f t="array" aca="1" ref="U1068" ca="1">AND(T1068,OR(O1068-N1068&gt;1,P1068&gt;1,ISERROR(A1068:P1068)))</f>
        <v>0</v>
      </c>
      <c r="W1068">
        <f>MATCH(K1068&amp;$W$2,Taostats_CSV!$X$3:$X$1167,0)</f>
        <v>1065</v>
      </c>
      <c r="X1068">
        <f t="shared" ca="1" si="108"/>
        <v>0.1</v>
      </c>
      <c r="Y1068">
        <f t="shared" ca="1" si="109"/>
        <v>4.5091159999999996E-3</v>
      </c>
      <c r="Z1068">
        <f t="shared" ca="1" si="110"/>
        <v>8.9147999999999994E-5</v>
      </c>
    </row>
    <row r="1069" spans="1:26" hidden="1" x14ac:dyDescent="0.4">
      <c r="A1069" t="str">
        <f>MID(Taostats_CSV!C1069,6,2)&amp;"/"&amp;MID(Taostats_CSV!C1069,9,2)&amp;"/"&amp;LEFT(Taostats_CSV!C1069,4)&amp;" "&amp;MID(Taostats_CSV!C1069,12,8)</f>
        <v>10/10/2025 21:13:48</v>
      </c>
      <c r="C1069" t="str">
        <f ca="1">IF(Q1069,OFFSET(Taostats_CSV!$E$1,MATCH(K1069&amp;D$1,Taostats_CSV!$X:$X,0)-1,0),IF(Taostats_CSV!F1069="fee","",IF(VALUE(Taostats_CSV!G1069)&gt;0,Taostats_CSV!E1069,"")))</f>
        <v>SN4</v>
      </c>
      <c r="D1069">
        <f ca="1">IF(Q1069,OFFSET(Taostats_CSV!$G$1,MATCH(K1069&amp;D$1,Taostats_CSV!$X:$X,0)-1,0),IF(Taostats_CSV!F1069="fee","",IF(VALUE(Taostats_CSV!G1069)&gt;0,Taostats_CSV!G1069,"")))</f>
        <v>0.1</v>
      </c>
      <c r="E1069" t="str">
        <f ca="1">IF(AND(Q1069,P1069&gt;0),OFFSET(Taostats_CSV!$E$1,MATCH(K1069&amp;F$1,Taostats_CSV!$X:$X,0)-1,0),IF(LEN(F1069)&gt;0,Taostats_CSV!E1069,""))</f>
        <v>TAO</v>
      </c>
      <c r="F1069" t="str">
        <f ca="1">TRIM(IF(AND(Q1069,P1069&gt;0),OFFSET(Taostats_CSV!$H$1,MATCH(K1069&amp;F$1,Taostats_CSV!$X:$X,0)-1,0),IF(LEN(Taostats_CSV!H1069)&gt;0,Taostats_CSV!H1069,Taostats_CSV!R1069)))</f>
        <v>0.004509116</v>
      </c>
      <c r="G1069" t="str">
        <f ca="1">IF(AND(Q1069,N1069=1),OFFSET(Taostats_CSV!$E$1,MATCH(K1069&amp;H$1,Taostats_CSV!$X:$X,0)-1,0),IF(Taostats_CSV!F1069="fee",Taostats_CSV!E1069,""))</f>
        <v>TAO</v>
      </c>
      <c r="H1069">
        <f ca="1">IF(AND(Q1069,N1069=1),OFFSET(Taostats_CSV!$G$1,MATCH(K1069&amp;H$1,Taostats_CSV!$X:$X,0)-1,0),IF(Taostats_CSV!F1069="fee",Taostats_CSV!G1069,""))</f>
        <v>8.9147999999999994E-5</v>
      </c>
      <c r="I1069" t="str">
        <f ca="1">IF(AND(LEN(K1069)=0,LEN(F1069)&gt;0),"Income",IF(AND(O1069&gt;0,P1069&gt;0,C1069&lt;&gt;E1069),"Trade",IF(AND(NOT(Q1069),Taostats_CSV!F1069="fee"),'READ ME'!$C$5,"")))</f>
        <v>Trade</v>
      </c>
      <c r="J1069" t="str">
        <f ca="1">SUBSTITUTE(IF(LEN(I1069)=0,Taostats_CSV!F1069&amp;" "&amp;Taostats_CSV!J1069,IF(I1069="Cost","Extrinsic fee","")),"_"," ")</f>
        <v/>
      </c>
      <c r="K1069" t="str">
        <f>TRIM(IF(LEN(Taostats_CSV!I1069)&gt;0,Taostats_CSV!I1069,""))</f>
        <v>6631354-0033</v>
      </c>
      <c r="L1069" t="str">
        <f>IF(Taostats_CSV!E1069&lt;&gt;"TAO",IF(LEN(F1069)&gt;0,F1069,IF(LEN(D1069)&gt;0,D1069,0))*Taostats_CSV!P1069,"")</f>
        <v/>
      </c>
      <c r="M1069" t="str">
        <f t="shared" si="111"/>
        <v/>
      </c>
      <c r="N1069">
        <f>COUNTIF(Taostats_CSV!$X:$X,Taostats_CSV!$I1069&amp;N$1)</f>
        <v>1</v>
      </c>
      <c r="O1069">
        <f>COUNTIF(Taostats_CSV!$X:$X,Taostats_CSV!$I1069&amp;O$1)</f>
        <v>1</v>
      </c>
      <c r="P1069">
        <f>COUNTIF(Taostats_CSV!$X:$X,Taostats_CSV!$I1069&amp;P$1)</f>
        <v>1</v>
      </c>
      <c r="Q1069" t="b">
        <f t="shared" si="112"/>
        <v>1</v>
      </c>
      <c r="R1069">
        <f>IF(LEN(K1069)&gt;0,COUNTIF($K$3:K1069,K1069),FALSE)</f>
        <v>3</v>
      </c>
      <c r="S1069" t="b">
        <f>IF(Taostats_CSV!A1069=Taostats_CSV!$A$2,TRUE,Taostats_CSV!G1069+Taostats_CSV!H1069+Taostats_CSV!R1069=0)</f>
        <v>0</v>
      </c>
      <c r="T1069" t="b">
        <f t="shared" si="113"/>
        <v>0</v>
      </c>
      <c r="U1069" t="b" cm="1">
        <f t="array" aca="1" ref="U1069" ca="1">AND(T1069,OR(O1069-N1069&gt;1,P1069&gt;1,ISERROR(A1069:P1069)))</f>
        <v>0</v>
      </c>
      <c r="W1069">
        <f>MATCH(K1069&amp;$W$2,Taostats_CSV!$X$3:$X$1167,0)</f>
        <v>1065</v>
      </c>
      <c r="X1069">
        <f t="shared" ca="1" si="108"/>
        <v>0.1</v>
      </c>
      <c r="Y1069">
        <f t="shared" ca="1" si="109"/>
        <v>4.5091159999999996E-3</v>
      </c>
      <c r="Z1069">
        <f t="shared" ca="1" si="110"/>
        <v>8.9147999999999994E-5</v>
      </c>
    </row>
    <row r="1070" spans="1:26" x14ac:dyDescent="0.4">
      <c r="A1070" t="str">
        <f>MID(Taostats_CSV!C1070,6,2)&amp;"/"&amp;MID(Taostats_CSV!C1070,9,2)&amp;"/"&amp;LEFT(Taostats_CSV!C1070,4)&amp;" "&amp;MID(Taostats_CSV!C1070,12,8)</f>
        <v>10/10/2025 21:16:00</v>
      </c>
      <c r="C1070" t="str">
        <f ca="1">IF(Q1070,OFFSET(Taostats_CSV!$E$1,MATCH(K1070&amp;D$1,Taostats_CSV!$X:$X,0)-1,0),IF(Taostats_CSV!F1070="fee",IF(VALUE(Taostats_CSV!G1070)&gt;0,Taostats_CSV!E1070,""),""))</f>
        <v/>
      </c>
      <c r="D1070" t="str">
        <f ca="1">IF(Q1070,OFFSET(Taostats_CSV!$G$1,MATCH(K1070&amp;D$1,Taostats_CSV!$X:$X,0)-1,0),IF(Taostats_CSV!F1070="fee",IF(VALUE(Taostats_CSV!G1070)&gt;0,Taostats_CSV!G1070,""),""))</f>
        <v/>
      </c>
      <c r="E1070" t="str">
        <f ca="1">IF(AND(Q1070,P1070&gt;0),OFFSET(Taostats_CSV!$E$1,MATCH(K1070&amp;F$1,Taostats_CSV!$X:$X,0)-1,0),IF(LEN(F1070)&gt;0,Taostats_CSV!E1070,""))</f>
        <v>SN4</v>
      </c>
      <c r="F1070" t="str">
        <f ca="1">TRIM(IF(AND(Q1070,P1070&gt;0),OFFSET(Taostats_CSV!$H$1,MATCH(K1070&amp;F$1,Taostats_CSV!$X:$X,0)-1,0),IF(LEN(Taostats_CSV!H1070)&gt;0,Taostats_CSV!H1070,Taostats_CSV!R1070)))</f>
        <v>0.368842989</v>
      </c>
      <c r="G1070" t="str">
        <f ca="1">IF(AND(Q1070,N1070=1),OFFSET(Taostats_CSV!$E$1,MATCH(K1070&amp;H$1,Taostats_CSV!$X:$X,0)-1,0),"")</f>
        <v/>
      </c>
      <c r="H1070" t="str">
        <f ca="1">IF(AND(Q1070,N1070=1),OFFSET(Taostats_CSV!$G$1,MATCH(K1070&amp;H$1,Taostats_CSV!$X:$X,0)-1,0),"")</f>
        <v/>
      </c>
      <c r="I1070" t="str">
        <f ca="1">IF(AND(LEN(K1070)=0,LEN(F1070)&gt;0),"Income",IF(AND(O1070&gt;0,P1070&gt;0,C1070&lt;&gt;E1070),"Trade",IF(AND(NOT(Q1070),Taostats_CSV!F1070="fee"),'READ ME'!$C$5,"")))</f>
        <v>Income</v>
      </c>
      <c r="J1070" t="str">
        <f ca="1">SUBSTITUTE(IF(LEN(I1070)=0,Taostats_CSV!F1070&amp;" "&amp;Taostats_CSV!J1070,IF(I1070="Cost","Extrinsic fee","")),"_"," ")</f>
        <v/>
      </c>
      <c r="K1070" t="str">
        <f>TRIM(IF(LEN(Taostats_CSV!I1070)&gt;0,Taostats_CSV!I1070,""))</f>
        <v/>
      </c>
      <c r="L1070">
        <f ca="1">IF(Taostats_CSV!E1070&lt;&gt;"TAO",IF(LEN(F1070)&gt;0,F1070,IF(LEN(D1070)&gt;0,D1070,0))*Taostats_CSV!P1070,"")</f>
        <v>5.6728051708200002</v>
      </c>
      <c r="M1070" t="str">
        <f t="shared" ca="1" si="111"/>
        <v>USD</v>
      </c>
      <c r="N1070">
        <f>COUNTIF(Taostats_CSV!$X:$X,Taostats_CSV!$I1070&amp;N$1)</f>
        <v>0</v>
      </c>
      <c r="O1070">
        <f>COUNTIF(Taostats_CSV!$X:$X,Taostats_CSV!$I1070&amp;O$1)</f>
        <v>0</v>
      </c>
      <c r="P1070">
        <f>COUNTIF(Taostats_CSV!$X:$X,Taostats_CSV!$I1070&amp;P$1)</f>
        <v>0</v>
      </c>
      <c r="Q1070" t="b">
        <f t="shared" si="112"/>
        <v>0</v>
      </c>
      <c r="R1070" t="b">
        <f>IF(LEN(K1070)&gt;0,COUNTIF($K$3:K1070,K1070),FALSE)</f>
        <v>0</v>
      </c>
      <c r="S1070" t="b">
        <f>IF(Taostats_CSV!A1070=Taostats_CSV!$A$2,TRUE,Taostats_CSV!G1070+Taostats_CSV!H1070+Taostats_CSV!R1070=0)</f>
        <v>0</v>
      </c>
      <c r="T1070" t="b">
        <f t="shared" si="113"/>
        <v>1</v>
      </c>
      <c r="U1070" t="b" cm="1">
        <f t="array" aca="1" ref="U1070" ca="1">AND(T1070,OR(O1070-N1070&gt;1,P1070&gt;1,ISERROR(A1070:P1070)))</f>
        <v>0</v>
      </c>
      <c r="W1070" t="e">
        <f>MATCH(K1070&amp;$W$2,Taostats_CSV!$X$3:$X$1167,0)</f>
        <v>#N/A</v>
      </c>
      <c r="X1070" t="e">
        <f t="shared" ca="1" si="108"/>
        <v>#VALUE!</v>
      </c>
      <c r="Y1070">
        <f t="shared" ca="1" si="109"/>
        <v>0.36884298900000001</v>
      </c>
      <c r="Z1070" t="e">
        <f t="shared" ca="1" si="110"/>
        <v>#VALUE!</v>
      </c>
    </row>
    <row r="1071" spans="1:26" x14ac:dyDescent="0.4">
      <c r="A1071" t="str">
        <f>MID(Taostats_CSV!C1071,6,2)&amp;"/"&amp;MID(Taostats_CSV!C1071,9,2)&amp;"/"&amp;LEFT(Taostats_CSV!C1071,4)&amp;" "&amp;MID(Taostats_CSV!C1071,12,8)</f>
        <v>10/10/2025 21:16:00</v>
      </c>
      <c r="C1071" t="str">
        <f ca="1">IF(Q1071,OFFSET(Taostats_CSV!$E$1,MATCH(K1071&amp;D$1,Taostats_CSV!$X:$X,0)-1,0),IF(Taostats_CSV!F1071="fee",IF(VALUE(Taostats_CSV!G1071)&gt;0,Taostats_CSV!E1071,""),""))</f>
        <v>SN4</v>
      </c>
      <c r="D1071">
        <f ca="1">IF(Q1071,OFFSET(Taostats_CSV!$G$1,MATCH(K1071&amp;D$1,Taostats_CSV!$X:$X,0)-1,0),IF(Taostats_CSV!F1071="fee",IF(VALUE(Taostats_CSV!G1071)&gt;0,Taostats_CSV!G1071,""),""))</f>
        <v>203.078281911</v>
      </c>
      <c r="E1071" t="str">
        <f ca="1">IF(AND(Q1071,P1071&gt;0),OFFSET(Taostats_CSV!$E$1,MATCH(K1071&amp;F$1,Taostats_CSV!$X:$X,0)-1,0),IF(LEN(F1071)&gt;0,Taostats_CSV!E1071,""))</f>
        <v>TAO</v>
      </c>
      <c r="F1071" t="str">
        <f ca="1">TRIM(IF(AND(Q1071,P1071&gt;0),OFFSET(Taostats_CSV!$H$1,MATCH(K1071&amp;F$1,Taostats_CSV!$X:$X,0)-1,0),IF(LEN(Taostats_CSV!H1071)&gt;0,Taostats_CSV!H1071,Taostats_CSV!R1071)))</f>
        <v>9.155973897</v>
      </c>
      <c r="G1071" t="str">
        <f ca="1">IF(AND(Q1071,N1071=1),OFFSET(Taostats_CSV!$E$1,MATCH(K1071&amp;H$1,Taostats_CSV!$X:$X,0)-1,0),"")</f>
        <v>TAO</v>
      </c>
      <c r="H1071">
        <f ca="1">IF(AND(Q1071,N1071=1),OFFSET(Taostats_CSV!$G$1,MATCH(K1071&amp;H$1,Taostats_CSV!$X:$X,0)-1,0),"")</f>
        <v>8.9147999999999994E-5</v>
      </c>
      <c r="I1071" t="str">
        <f ca="1">IF(AND(LEN(K1071)=0,LEN(F1071)&gt;0),"Income",IF(AND(O1071&gt;0,P1071&gt;0,C1071&lt;&gt;E1071),"Trade",IF(AND(NOT(Q1071),Taostats_CSV!F1071="fee"),'READ ME'!$C$5,"")))</f>
        <v>Trade</v>
      </c>
      <c r="J1071" t="str">
        <f ca="1">SUBSTITUTE(IF(LEN(I1071)=0,Taostats_CSV!F1071&amp;" "&amp;Taostats_CSV!J1071,IF(I1071="Cost","Extrinsic fee","")),"_"," ")</f>
        <v/>
      </c>
      <c r="K1071" t="str">
        <f>TRIM(IF(LEN(Taostats_CSV!I1071)&gt;0,Taostats_CSV!I1071,""))</f>
        <v>6631365-0004</v>
      </c>
      <c r="L1071" t="str">
        <f>IF(Taostats_CSV!E1071&lt;&gt;"TAO",IF(LEN(F1071)&gt;0,F1071,IF(LEN(D1071)&gt;0,D1071,0))*Taostats_CSV!P1071,"")</f>
        <v/>
      </c>
      <c r="M1071" t="str">
        <f t="shared" si="111"/>
        <v/>
      </c>
      <c r="N1071">
        <f>COUNTIF(Taostats_CSV!$X:$X,Taostats_CSV!$I1071&amp;N$1)</f>
        <v>1</v>
      </c>
      <c r="O1071">
        <f>COUNTIF(Taostats_CSV!$X:$X,Taostats_CSV!$I1071&amp;O$1)</f>
        <v>1</v>
      </c>
      <c r="P1071">
        <f>COUNTIF(Taostats_CSV!$X:$X,Taostats_CSV!$I1071&amp;P$1)</f>
        <v>1</v>
      </c>
      <c r="Q1071" t="b">
        <f t="shared" si="112"/>
        <v>1</v>
      </c>
      <c r="R1071">
        <f>IF(LEN(K1071)&gt;0,COUNTIF($K$3:K1071,K1071),FALSE)</f>
        <v>1</v>
      </c>
      <c r="S1071" t="b">
        <f>IF(Taostats_CSV!A1071=Taostats_CSV!$A$2,TRUE,Taostats_CSV!G1071+Taostats_CSV!H1071+Taostats_CSV!R1071=0)</f>
        <v>0</v>
      </c>
      <c r="T1071" t="b">
        <f t="shared" si="113"/>
        <v>1</v>
      </c>
      <c r="U1071" t="b" cm="1">
        <f t="array" aca="1" ref="U1071" ca="1">AND(T1071,OR(O1071-N1071&gt;1,P1071&gt;1,ISERROR(A1071:P1071)))</f>
        <v>0</v>
      </c>
      <c r="W1071">
        <f>MATCH(K1071&amp;$W$2,Taostats_CSV!$X$3:$X$1167,0)</f>
        <v>1069</v>
      </c>
      <c r="X1071">
        <f t="shared" ca="1" si="108"/>
        <v>203.078281911</v>
      </c>
      <c r="Y1071">
        <f t="shared" ca="1" si="109"/>
        <v>9.1559738970000009</v>
      </c>
      <c r="Z1071">
        <f t="shared" ca="1" si="110"/>
        <v>8.9147999999999994E-5</v>
      </c>
    </row>
    <row r="1072" spans="1:26" hidden="1" x14ac:dyDescent="0.4">
      <c r="A1072" t="str">
        <f>MID(Taostats_CSV!C1072,6,2)&amp;"/"&amp;MID(Taostats_CSV!C1072,9,2)&amp;"/"&amp;LEFT(Taostats_CSV!C1072,4)&amp;" "&amp;MID(Taostats_CSV!C1072,12,8)</f>
        <v>10/10/2025 21:16:00</v>
      </c>
      <c r="C1072" t="str">
        <f ca="1">IF(Q1072,OFFSET(Taostats_CSV!$E$1,MATCH(K1072&amp;D$1,Taostats_CSV!$X:$X,0)-1,0),IF(Taostats_CSV!F1072="fee","",IF(VALUE(Taostats_CSV!G1072)&gt;0,Taostats_CSV!E1072,"")))</f>
        <v>SN4</v>
      </c>
      <c r="D1072">
        <f ca="1">IF(Q1072,OFFSET(Taostats_CSV!$G$1,MATCH(K1072&amp;D$1,Taostats_CSV!$X:$X,0)-1,0),IF(Taostats_CSV!F1072="fee","",IF(VALUE(Taostats_CSV!G1072)&gt;0,Taostats_CSV!G1072,"")))</f>
        <v>203.078281911</v>
      </c>
      <c r="E1072" t="str">
        <f ca="1">IF(AND(Q1072,P1072&gt;0),OFFSET(Taostats_CSV!$E$1,MATCH(K1072&amp;F$1,Taostats_CSV!$X:$X,0)-1,0),IF(LEN(F1072)&gt;0,Taostats_CSV!E1072,""))</f>
        <v>TAO</v>
      </c>
      <c r="F1072" t="str">
        <f ca="1">TRIM(IF(AND(Q1072,P1072&gt;0),OFFSET(Taostats_CSV!$H$1,MATCH(K1072&amp;F$1,Taostats_CSV!$X:$X,0)-1,0),IF(LEN(Taostats_CSV!H1072)&gt;0,Taostats_CSV!H1072,Taostats_CSV!R1072)))</f>
        <v>9.155973897</v>
      </c>
      <c r="G1072" t="str">
        <f ca="1">IF(AND(Q1072,N1072=1),OFFSET(Taostats_CSV!$E$1,MATCH(K1072&amp;H$1,Taostats_CSV!$X:$X,0)-1,0),IF(Taostats_CSV!F1072="fee",Taostats_CSV!E1072,""))</f>
        <v>TAO</v>
      </c>
      <c r="H1072">
        <f ca="1">IF(AND(Q1072,N1072=1),OFFSET(Taostats_CSV!$G$1,MATCH(K1072&amp;H$1,Taostats_CSV!$X:$X,0)-1,0),IF(Taostats_CSV!F1072="fee",Taostats_CSV!G1072,""))</f>
        <v>8.9147999999999994E-5</v>
      </c>
      <c r="I1072" t="str">
        <f ca="1">IF(AND(LEN(K1072)=0,LEN(F1072)&gt;0),"Income",IF(AND(O1072&gt;0,P1072&gt;0,C1072&lt;&gt;E1072),"Trade",IF(AND(NOT(Q1072),Taostats_CSV!F1072="fee"),'READ ME'!$C$5,"")))</f>
        <v>Trade</v>
      </c>
      <c r="J1072" t="str">
        <f ca="1">SUBSTITUTE(IF(LEN(I1072)=0,Taostats_CSV!F1072&amp;" "&amp;Taostats_CSV!J1072,IF(I1072="Cost","Extrinsic fee","")),"_"," ")</f>
        <v/>
      </c>
      <c r="K1072" t="str">
        <f>TRIM(IF(LEN(Taostats_CSV!I1072)&gt;0,Taostats_CSV!I1072,""))</f>
        <v>6631365-0004</v>
      </c>
      <c r="L1072">
        <f ca="1">IF(Taostats_CSV!E1072&lt;&gt;"TAO",IF(LEN(F1072)&gt;0,F1072,IF(LEN(D1072)&gt;0,D1072,0))*Taostats_CSV!P1072,"")</f>
        <v>140.81887853586002</v>
      </c>
      <c r="M1072" t="str">
        <f t="shared" ca="1" si="111"/>
        <v>USD</v>
      </c>
      <c r="N1072">
        <f>COUNTIF(Taostats_CSV!$X:$X,Taostats_CSV!$I1072&amp;N$1)</f>
        <v>1</v>
      </c>
      <c r="O1072">
        <f>COUNTIF(Taostats_CSV!$X:$X,Taostats_CSV!$I1072&amp;O$1)</f>
        <v>1</v>
      </c>
      <c r="P1072">
        <f>COUNTIF(Taostats_CSV!$X:$X,Taostats_CSV!$I1072&amp;P$1)</f>
        <v>1</v>
      </c>
      <c r="Q1072" t="b">
        <f t="shared" si="112"/>
        <v>1</v>
      </c>
      <c r="R1072">
        <f>IF(LEN(K1072)&gt;0,COUNTIF($K$3:K1072,K1072),FALSE)</f>
        <v>2</v>
      </c>
      <c r="S1072" t="b">
        <f>IF(Taostats_CSV!A1072=Taostats_CSV!$A$2,TRUE,Taostats_CSV!G1072+Taostats_CSV!H1072+Taostats_CSV!R1072=0)</f>
        <v>0</v>
      </c>
      <c r="T1072" t="b">
        <f t="shared" si="113"/>
        <v>0</v>
      </c>
      <c r="U1072" t="b" cm="1">
        <f t="array" aca="1" ref="U1072" ca="1">AND(T1072,OR(O1072-N1072&gt;1,P1072&gt;1,ISERROR(A1072:P1072)))</f>
        <v>0</v>
      </c>
      <c r="W1072">
        <f>MATCH(K1072&amp;$W$2,Taostats_CSV!$X$3:$X$1167,0)</f>
        <v>1069</v>
      </c>
      <c r="X1072">
        <f t="shared" ca="1" si="108"/>
        <v>203.078281911</v>
      </c>
      <c r="Y1072">
        <f t="shared" ca="1" si="109"/>
        <v>9.1559738970000009</v>
      </c>
      <c r="Z1072">
        <f t="shared" ca="1" si="110"/>
        <v>8.9147999999999994E-5</v>
      </c>
    </row>
    <row r="1073" spans="1:26" hidden="1" x14ac:dyDescent="0.4">
      <c r="A1073" t="str">
        <f>MID(Taostats_CSV!C1073,6,2)&amp;"/"&amp;MID(Taostats_CSV!C1073,9,2)&amp;"/"&amp;LEFT(Taostats_CSV!C1073,4)&amp;" "&amp;MID(Taostats_CSV!C1073,12,8)</f>
        <v>10/10/2025 21:16:00</v>
      </c>
      <c r="C1073" t="str">
        <f ca="1">IF(Q1073,OFFSET(Taostats_CSV!$E$1,MATCH(K1073&amp;D$1,Taostats_CSV!$X:$X,0)-1,0),IF(Taostats_CSV!F1073="fee","",IF(VALUE(Taostats_CSV!G1073)&gt;0,Taostats_CSV!E1073,"")))</f>
        <v>SN4</v>
      </c>
      <c r="D1073">
        <f ca="1">IF(Q1073,OFFSET(Taostats_CSV!$G$1,MATCH(K1073&amp;D$1,Taostats_CSV!$X:$X,0)-1,0),IF(Taostats_CSV!F1073="fee","",IF(VALUE(Taostats_CSV!G1073)&gt;0,Taostats_CSV!G1073,"")))</f>
        <v>203.078281911</v>
      </c>
      <c r="E1073" t="str">
        <f ca="1">IF(AND(Q1073,P1073&gt;0),OFFSET(Taostats_CSV!$E$1,MATCH(K1073&amp;F$1,Taostats_CSV!$X:$X,0)-1,0),IF(LEN(F1073)&gt;0,Taostats_CSV!E1073,""))</f>
        <v>TAO</v>
      </c>
      <c r="F1073" t="str">
        <f ca="1">TRIM(IF(AND(Q1073,P1073&gt;0),OFFSET(Taostats_CSV!$H$1,MATCH(K1073&amp;F$1,Taostats_CSV!$X:$X,0)-1,0),IF(LEN(Taostats_CSV!H1073)&gt;0,Taostats_CSV!H1073,Taostats_CSV!R1073)))</f>
        <v>9.155973897</v>
      </c>
      <c r="G1073" t="str">
        <f ca="1">IF(AND(Q1073,N1073=1),OFFSET(Taostats_CSV!$E$1,MATCH(K1073&amp;H$1,Taostats_CSV!$X:$X,0)-1,0),IF(Taostats_CSV!F1073="fee",Taostats_CSV!E1073,""))</f>
        <v>TAO</v>
      </c>
      <c r="H1073">
        <f ca="1">IF(AND(Q1073,N1073=1),OFFSET(Taostats_CSV!$G$1,MATCH(K1073&amp;H$1,Taostats_CSV!$X:$X,0)-1,0),IF(Taostats_CSV!F1073="fee",Taostats_CSV!G1073,""))</f>
        <v>8.9147999999999994E-5</v>
      </c>
      <c r="I1073" t="str">
        <f ca="1">IF(AND(LEN(K1073)=0,LEN(F1073)&gt;0),"Income",IF(AND(O1073&gt;0,P1073&gt;0,C1073&lt;&gt;E1073),"Trade",IF(AND(NOT(Q1073),Taostats_CSV!F1073="fee"),'READ ME'!$C$5,"")))</f>
        <v>Trade</v>
      </c>
      <c r="J1073" t="str">
        <f ca="1">SUBSTITUTE(IF(LEN(I1073)=0,Taostats_CSV!F1073&amp;" "&amp;Taostats_CSV!J1073,IF(I1073="Cost","Extrinsic fee","")),"_"," ")</f>
        <v/>
      </c>
      <c r="K1073" t="str">
        <f>TRIM(IF(LEN(Taostats_CSV!I1073)&gt;0,Taostats_CSV!I1073,""))</f>
        <v>6631365-0004</v>
      </c>
      <c r="L1073" t="str">
        <f>IF(Taostats_CSV!E1073&lt;&gt;"TAO",IF(LEN(F1073)&gt;0,F1073,IF(LEN(D1073)&gt;0,D1073,0))*Taostats_CSV!P1073,"")</f>
        <v/>
      </c>
      <c r="M1073" t="str">
        <f t="shared" si="111"/>
        <v/>
      </c>
      <c r="N1073">
        <f>COUNTIF(Taostats_CSV!$X:$X,Taostats_CSV!$I1073&amp;N$1)</f>
        <v>1</v>
      </c>
      <c r="O1073">
        <f>COUNTIF(Taostats_CSV!$X:$X,Taostats_CSV!$I1073&amp;O$1)</f>
        <v>1</v>
      </c>
      <c r="P1073">
        <f>COUNTIF(Taostats_CSV!$X:$X,Taostats_CSV!$I1073&amp;P$1)</f>
        <v>1</v>
      </c>
      <c r="Q1073" t="b">
        <f t="shared" si="112"/>
        <v>1</v>
      </c>
      <c r="R1073">
        <f>IF(LEN(K1073)&gt;0,COUNTIF($K$3:K1073,K1073),FALSE)</f>
        <v>3</v>
      </c>
      <c r="S1073" t="b">
        <f>IF(Taostats_CSV!A1073=Taostats_CSV!$A$2,TRUE,Taostats_CSV!G1073+Taostats_CSV!H1073+Taostats_CSV!R1073=0)</f>
        <v>0</v>
      </c>
      <c r="T1073" t="b">
        <f t="shared" si="113"/>
        <v>0</v>
      </c>
      <c r="U1073" t="b" cm="1">
        <f t="array" aca="1" ref="U1073" ca="1">AND(T1073,OR(O1073-N1073&gt;1,P1073&gt;1,ISERROR(A1073:P1073)))</f>
        <v>0</v>
      </c>
      <c r="W1073">
        <f>MATCH(K1073&amp;$W$2,Taostats_CSV!$X$3:$X$1167,0)</f>
        <v>1069</v>
      </c>
      <c r="X1073">
        <f t="shared" ca="1" si="108"/>
        <v>203.078281911</v>
      </c>
      <c r="Y1073">
        <f t="shared" ca="1" si="109"/>
        <v>9.1559738970000009</v>
      </c>
      <c r="Z1073">
        <f t="shared" ca="1" si="110"/>
        <v>8.9147999999999994E-5</v>
      </c>
    </row>
    <row r="1074" spans="1:26" x14ac:dyDescent="0.4">
      <c r="A1074" t="str">
        <f>MID(Taostats_CSV!C1074,6,2)&amp;"/"&amp;MID(Taostats_CSV!C1074,9,2)&amp;"/"&amp;LEFT(Taostats_CSV!C1074,4)&amp;" "&amp;MID(Taostats_CSV!C1074,12,8)</f>
        <v>10/10/2025 21:29:12</v>
      </c>
      <c r="C1074" t="str">
        <f ca="1">IF(Q1074,OFFSET(Taostats_CSV!$E$1,MATCH(K1074&amp;D$1,Taostats_CSV!$X:$X,0)-1,0),IF(Taostats_CSV!F1074="fee",IF(VALUE(Taostats_CSV!G1074)&gt;0,Taostats_CSV!E1074,""),""))</f>
        <v/>
      </c>
      <c r="D1074" t="str">
        <f ca="1">IF(Q1074,OFFSET(Taostats_CSV!$G$1,MATCH(K1074&amp;D$1,Taostats_CSV!$X:$X,0)-1,0),IF(Taostats_CSV!F1074="fee",IF(VALUE(Taostats_CSV!G1074)&gt;0,Taostats_CSV!G1074,""),""))</f>
        <v/>
      </c>
      <c r="E1074" t="str">
        <f ca="1">IF(AND(Q1074,P1074&gt;0),OFFSET(Taostats_CSV!$E$1,MATCH(K1074&amp;F$1,Taostats_CSV!$X:$X,0)-1,0),IF(LEN(F1074)&gt;0,Taostats_CSV!E1074,""))</f>
        <v>SN3</v>
      </c>
      <c r="F1074" t="str">
        <f ca="1">TRIM(IF(AND(Q1074,P1074&gt;0),OFFSET(Taostats_CSV!$H$1,MATCH(K1074&amp;F$1,Taostats_CSV!$X:$X,0)-1,0),IF(LEN(Taostats_CSV!H1074)&gt;0,Taostats_CSV!H1074,Taostats_CSV!R1074)))</f>
        <v>0.508204106</v>
      </c>
      <c r="G1074" t="str">
        <f ca="1">IF(AND(Q1074,N1074=1),OFFSET(Taostats_CSV!$E$1,MATCH(K1074&amp;H$1,Taostats_CSV!$X:$X,0)-1,0),"")</f>
        <v/>
      </c>
      <c r="H1074" t="str">
        <f ca="1">IF(AND(Q1074,N1074=1),OFFSET(Taostats_CSV!$G$1,MATCH(K1074&amp;H$1,Taostats_CSV!$X:$X,0)-1,0),"")</f>
        <v/>
      </c>
      <c r="I1074" t="str">
        <f ca="1">IF(AND(LEN(K1074)=0,LEN(F1074)&gt;0),"Income",IF(AND(O1074&gt;0,P1074&gt;0,C1074&lt;&gt;E1074),"Trade",IF(AND(NOT(Q1074),Taostats_CSV!F1074="fee"),'READ ME'!$C$5,"")))</f>
        <v>Income</v>
      </c>
      <c r="J1074" t="str">
        <f ca="1">SUBSTITUTE(IF(LEN(I1074)=0,Taostats_CSV!F1074&amp;" "&amp;Taostats_CSV!J1074,IF(I1074="Cost","Extrinsic fee","")),"_"," ")</f>
        <v/>
      </c>
      <c r="K1074" t="str">
        <f>TRIM(IF(LEN(Taostats_CSV!I1074)&gt;0,Taostats_CSV!I1074,""))</f>
        <v/>
      </c>
      <c r="L1074">
        <f ca="1">IF(Taostats_CSV!E1074&lt;&gt;"TAO",IF(LEN(F1074)&gt;0,F1074,IF(LEN(D1074)&gt;0,D1074,0))*Taostats_CSV!P1074,"")</f>
        <v>4.7466263500399997</v>
      </c>
      <c r="M1074" t="str">
        <f t="shared" ca="1" si="111"/>
        <v>USD</v>
      </c>
      <c r="N1074">
        <f>COUNTIF(Taostats_CSV!$X:$X,Taostats_CSV!$I1074&amp;N$1)</f>
        <v>0</v>
      </c>
      <c r="O1074">
        <f>COUNTIF(Taostats_CSV!$X:$X,Taostats_CSV!$I1074&amp;O$1)</f>
        <v>0</v>
      </c>
      <c r="P1074">
        <f>COUNTIF(Taostats_CSV!$X:$X,Taostats_CSV!$I1074&amp;P$1)</f>
        <v>0</v>
      </c>
      <c r="Q1074" t="b">
        <f t="shared" si="112"/>
        <v>0</v>
      </c>
      <c r="R1074" t="b">
        <f>IF(LEN(K1074)&gt;0,COUNTIF($K$3:K1074,K1074),FALSE)</f>
        <v>0</v>
      </c>
      <c r="S1074" t="b">
        <f>IF(Taostats_CSV!A1074=Taostats_CSV!$A$2,TRUE,Taostats_CSV!G1074+Taostats_CSV!H1074+Taostats_CSV!R1074=0)</f>
        <v>0</v>
      </c>
      <c r="T1074" t="b">
        <f t="shared" si="113"/>
        <v>1</v>
      </c>
      <c r="U1074" t="b" cm="1">
        <f t="array" aca="1" ref="U1074" ca="1">AND(T1074,OR(O1074-N1074&gt;1,P1074&gt;1,ISERROR(A1074:P1074)))</f>
        <v>0</v>
      </c>
      <c r="W1074" t="e">
        <f>MATCH(K1074&amp;$W$2,Taostats_CSV!$X$3:$X$1167,0)</f>
        <v>#N/A</v>
      </c>
      <c r="X1074" t="e">
        <f t="shared" ca="1" si="108"/>
        <v>#VALUE!</v>
      </c>
      <c r="Y1074">
        <f t="shared" ca="1" si="109"/>
        <v>0.50820410599999999</v>
      </c>
      <c r="Z1074" t="e">
        <f t="shared" ca="1" si="110"/>
        <v>#VALUE!</v>
      </c>
    </row>
    <row r="1075" spans="1:26" x14ac:dyDescent="0.4">
      <c r="A1075" t="str">
        <f>MID(Taostats_CSV!C1075,6,2)&amp;"/"&amp;MID(Taostats_CSV!C1075,9,2)&amp;"/"&amp;LEFT(Taostats_CSV!C1075,4)&amp;" "&amp;MID(Taostats_CSV!C1075,12,8)</f>
        <v>10/10/2025 21:29:12</v>
      </c>
      <c r="C1075" t="str">
        <f ca="1">IF(Q1075,OFFSET(Taostats_CSV!$E$1,MATCH(K1075&amp;D$1,Taostats_CSV!$X:$X,0)-1,0),IF(Taostats_CSV!F1075="fee",IF(VALUE(Taostats_CSV!G1075)&gt;0,Taostats_CSV!E1075,""),""))</f>
        <v>SN3</v>
      </c>
      <c r="D1075">
        <f ca="1">IF(Q1075,OFFSET(Taostats_CSV!$G$1,MATCH(K1075&amp;D$1,Taostats_CSV!$X:$X,0)-1,0),IF(Taostats_CSV!F1075="fee",IF(VALUE(Taostats_CSV!G1075)&gt;0,Taostats_CSV!G1075,""),""))</f>
        <v>279.263169205</v>
      </c>
      <c r="E1075" t="str">
        <f ca="1">IF(AND(Q1075,P1075&gt;0),OFFSET(Taostats_CSV!$E$1,MATCH(K1075&amp;F$1,Taostats_CSV!$X:$X,0)-1,0),IF(LEN(F1075)&gt;0,Taostats_CSV!E1075,""))</f>
        <v>TAO</v>
      </c>
      <c r="F1075" t="str">
        <f ca="1">TRIM(IF(AND(Q1075,P1075&gt;0),OFFSET(Taostats_CSV!$H$1,MATCH(K1075&amp;F$1,Taostats_CSV!$X:$X,0)-1,0),IF(LEN(Taostats_CSV!H1075)&gt;0,Taostats_CSV!H1075,Taostats_CSV!R1075)))</f>
        <v>7.647691875</v>
      </c>
      <c r="G1075" t="str">
        <f ca="1">IF(AND(Q1075,N1075=1),OFFSET(Taostats_CSV!$E$1,MATCH(K1075&amp;H$1,Taostats_CSV!$X:$X,0)-1,0),"")</f>
        <v>TAO</v>
      </c>
      <c r="H1075">
        <f ca="1">IF(AND(Q1075,N1075=1),OFFSET(Taostats_CSV!$G$1,MATCH(K1075&amp;H$1,Taostats_CSV!$X:$X,0)-1,0),"")</f>
        <v>8.9147999999999994E-5</v>
      </c>
      <c r="I1075" t="str">
        <f ca="1">IF(AND(LEN(K1075)=0,LEN(F1075)&gt;0),"Income",IF(AND(O1075&gt;0,P1075&gt;0,C1075&lt;&gt;E1075),"Trade",IF(AND(NOT(Q1075),Taostats_CSV!F1075="fee"),'READ ME'!$C$5,"")))</f>
        <v>Trade</v>
      </c>
      <c r="J1075" t="str">
        <f ca="1">SUBSTITUTE(IF(LEN(I1075)=0,Taostats_CSV!F1075&amp;" "&amp;Taostats_CSV!J1075,IF(I1075="Cost","Extrinsic fee","")),"_"," ")</f>
        <v/>
      </c>
      <c r="K1075" t="str">
        <f>TRIM(IF(LEN(Taostats_CSV!I1075)&gt;0,Taostats_CSV!I1075,""))</f>
        <v>6631431-0007</v>
      </c>
      <c r="L1075" t="str">
        <f>IF(Taostats_CSV!E1075&lt;&gt;"TAO",IF(LEN(F1075)&gt;0,F1075,IF(LEN(D1075)&gt;0,D1075,0))*Taostats_CSV!P1075,"")</f>
        <v/>
      </c>
      <c r="M1075" t="str">
        <f t="shared" si="111"/>
        <v/>
      </c>
      <c r="N1075">
        <f>COUNTIF(Taostats_CSV!$X:$X,Taostats_CSV!$I1075&amp;N$1)</f>
        <v>1</v>
      </c>
      <c r="O1075">
        <f>COUNTIF(Taostats_CSV!$X:$X,Taostats_CSV!$I1075&amp;O$1)</f>
        <v>1</v>
      </c>
      <c r="P1075">
        <f>COUNTIF(Taostats_CSV!$X:$X,Taostats_CSV!$I1075&amp;P$1)</f>
        <v>1</v>
      </c>
      <c r="Q1075" t="b">
        <f t="shared" si="112"/>
        <v>1</v>
      </c>
      <c r="R1075">
        <f>IF(LEN(K1075)&gt;0,COUNTIF($K$3:K1075,K1075),FALSE)</f>
        <v>1</v>
      </c>
      <c r="S1075" t="b">
        <f>IF(Taostats_CSV!A1075=Taostats_CSV!$A$2,TRUE,Taostats_CSV!G1075+Taostats_CSV!H1075+Taostats_CSV!R1075=0)</f>
        <v>0</v>
      </c>
      <c r="T1075" t="b">
        <f t="shared" si="113"/>
        <v>1</v>
      </c>
      <c r="U1075" t="b" cm="1">
        <f t="array" aca="1" ref="U1075" ca="1">AND(T1075,OR(O1075-N1075&gt;1,P1075&gt;1,ISERROR(A1075:P1075)))</f>
        <v>0</v>
      </c>
      <c r="W1075">
        <f>MATCH(K1075&amp;$W$2,Taostats_CSV!$X$3:$X$1167,0)</f>
        <v>1073</v>
      </c>
      <c r="X1075">
        <f t="shared" ca="1" si="108"/>
        <v>279.263169205</v>
      </c>
      <c r="Y1075">
        <f t="shared" ca="1" si="109"/>
        <v>7.6476918749999996</v>
      </c>
      <c r="Z1075">
        <f t="shared" ca="1" si="110"/>
        <v>8.9147999999999994E-5</v>
      </c>
    </row>
    <row r="1076" spans="1:26" hidden="1" x14ac:dyDescent="0.4">
      <c r="A1076" t="str">
        <f>MID(Taostats_CSV!C1076,6,2)&amp;"/"&amp;MID(Taostats_CSV!C1076,9,2)&amp;"/"&amp;LEFT(Taostats_CSV!C1076,4)&amp;" "&amp;MID(Taostats_CSV!C1076,12,8)</f>
        <v>10/10/2025 21:29:12</v>
      </c>
      <c r="C1076" t="str">
        <f ca="1">IF(Q1076,OFFSET(Taostats_CSV!$E$1,MATCH(K1076&amp;D$1,Taostats_CSV!$X:$X,0)-1,0),IF(Taostats_CSV!F1076="fee","",IF(VALUE(Taostats_CSV!G1076)&gt;0,Taostats_CSV!E1076,"")))</f>
        <v>SN3</v>
      </c>
      <c r="D1076">
        <f ca="1">IF(Q1076,OFFSET(Taostats_CSV!$G$1,MATCH(K1076&amp;D$1,Taostats_CSV!$X:$X,0)-1,0),IF(Taostats_CSV!F1076="fee","",IF(VALUE(Taostats_CSV!G1076)&gt;0,Taostats_CSV!G1076,"")))</f>
        <v>279.263169205</v>
      </c>
      <c r="E1076" t="str">
        <f ca="1">IF(AND(Q1076,P1076&gt;0),OFFSET(Taostats_CSV!$E$1,MATCH(K1076&amp;F$1,Taostats_CSV!$X:$X,0)-1,0),IF(LEN(F1076)&gt;0,Taostats_CSV!E1076,""))</f>
        <v>TAO</v>
      </c>
      <c r="F1076" t="str">
        <f ca="1">TRIM(IF(AND(Q1076,P1076&gt;0),OFFSET(Taostats_CSV!$H$1,MATCH(K1076&amp;F$1,Taostats_CSV!$X:$X,0)-1,0),IF(LEN(Taostats_CSV!H1076)&gt;0,Taostats_CSV!H1076,Taostats_CSV!R1076)))</f>
        <v>7.647691875</v>
      </c>
      <c r="G1076" t="str">
        <f ca="1">IF(AND(Q1076,N1076=1),OFFSET(Taostats_CSV!$E$1,MATCH(K1076&amp;H$1,Taostats_CSV!$X:$X,0)-1,0),IF(Taostats_CSV!F1076="fee",Taostats_CSV!E1076,""))</f>
        <v>TAO</v>
      </c>
      <c r="H1076">
        <f ca="1">IF(AND(Q1076,N1076=1),OFFSET(Taostats_CSV!$G$1,MATCH(K1076&amp;H$1,Taostats_CSV!$X:$X,0)-1,0),IF(Taostats_CSV!F1076="fee",Taostats_CSV!G1076,""))</f>
        <v>8.9147999999999994E-5</v>
      </c>
      <c r="I1076" t="str">
        <f ca="1">IF(AND(LEN(K1076)=0,LEN(F1076)&gt;0),"Income",IF(AND(O1076&gt;0,P1076&gt;0,C1076&lt;&gt;E1076),"Trade",IF(AND(NOT(Q1076),Taostats_CSV!F1076="fee"),'READ ME'!$C$5,"")))</f>
        <v>Trade</v>
      </c>
      <c r="J1076" t="str">
        <f ca="1">SUBSTITUTE(IF(LEN(I1076)=0,Taostats_CSV!F1076&amp;" "&amp;Taostats_CSV!J1076,IF(I1076="Cost","Extrinsic fee","")),"_"," ")</f>
        <v/>
      </c>
      <c r="K1076" t="str">
        <f>TRIM(IF(LEN(Taostats_CSV!I1076)&gt;0,Taostats_CSV!I1076,""))</f>
        <v>6631431-0007</v>
      </c>
      <c r="L1076">
        <f ca="1">IF(Taostats_CSV!E1076&lt;&gt;"TAO",IF(LEN(F1076)&gt;0,F1076,IF(LEN(D1076)&gt;0,D1076,0))*Taostats_CSV!P1076,"")</f>
        <v>71.429442112499999</v>
      </c>
      <c r="M1076" t="str">
        <f t="shared" ca="1" si="111"/>
        <v>USD</v>
      </c>
      <c r="N1076">
        <f>COUNTIF(Taostats_CSV!$X:$X,Taostats_CSV!$I1076&amp;N$1)</f>
        <v>1</v>
      </c>
      <c r="O1076">
        <f>COUNTIF(Taostats_CSV!$X:$X,Taostats_CSV!$I1076&amp;O$1)</f>
        <v>1</v>
      </c>
      <c r="P1076">
        <f>COUNTIF(Taostats_CSV!$X:$X,Taostats_CSV!$I1076&amp;P$1)</f>
        <v>1</v>
      </c>
      <c r="Q1076" t="b">
        <f t="shared" si="112"/>
        <v>1</v>
      </c>
      <c r="R1076">
        <f>IF(LEN(K1076)&gt;0,COUNTIF($K$3:K1076,K1076),FALSE)</f>
        <v>2</v>
      </c>
      <c r="S1076" t="b">
        <f>IF(Taostats_CSV!A1076=Taostats_CSV!$A$2,TRUE,Taostats_CSV!G1076+Taostats_CSV!H1076+Taostats_CSV!R1076=0)</f>
        <v>0</v>
      </c>
      <c r="T1076" t="b">
        <f t="shared" si="113"/>
        <v>0</v>
      </c>
      <c r="U1076" t="b" cm="1">
        <f t="array" aca="1" ref="U1076" ca="1">AND(T1076,OR(O1076-N1076&gt;1,P1076&gt;1,ISERROR(A1076:P1076)))</f>
        <v>0</v>
      </c>
      <c r="W1076">
        <f>MATCH(K1076&amp;$W$2,Taostats_CSV!$X$3:$X$1167,0)</f>
        <v>1073</v>
      </c>
      <c r="X1076">
        <f t="shared" ca="1" si="108"/>
        <v>279.263169205</v>
      </c>
      <c r="Y1076">
        <f t="shared" ca="1" si="109"/>
        <v>7.6476918749999996</v>
      </c>
      <c r="Z1076">
        <f t="shared" ca="1" si="110"/>
        <v>8.9147999999999994E-5</v>
      </c>
    </row>
    <row r="1077" spans="1:26" hidden="1" x14ac:dyDescent="0.4">
      <c r="A1077" t="str">
        <f>MID(Taostats_CSV!C1077,6,2)&amp;"/"&amp;MID(Taostats_CSV!C1077,9,2)&amp;"/"&amp;LEFT(Taostats_CSV!C1077,4)&amp;" "&amp;MID(Taostats_CSV!C1077,12,8)</f>
        <v>10/10/2025 21:29:12</v>
      </c>
      <c r="C1077" t="str">
        <f ca="1">IF(Q1077,OFFSET(Taostats_CSV!$E$1,MATCH(K1077&amp;D$1,Taostats_CSV!$X:$X,0)-1,0),IF(Taostats_CSV!F1077="fee","",IF(VALUE(Taostats_CSV!G1077)&gt;0,Taostats_CSV!E1077,"")))</f>
        <v>SN3</v>
      </c>
      <c r="D1077">
        <f ca="1">IF(Q1077,OFFSET(Taostats_CSV!$G$1,MATCH(K1077&amp;D$1,Taostats_CSV!$X:$X,0)-1,0),IF(Taostats_CSV!F1077="fee","",IF(VALUE(Taostats_CSV!G1077)&gt;0,Taostats_CSV!G1077,"")))</f>
        <v>279.263169205</v>
      </c>
      <c r="E1077" t="str">
        <f ca="1">IF(AND(Q1077,P1077&gt;0),OFFSET(Taostats_CSV!$E$1,MATCH(K1077&amp;F$1,Taostats_CSV!$X:$X,0)-1,0),IF(LEN(F1077)&gt;0,Taostats_CSV!E1077,""))</f>
        <v>TAO</v>
      </c>
      <c r="F1077" t="str">
        <f ca="1">TRIM(IF(AND(Q1077,P1077&gt;0),OFFSET(Taostats_CSV!$H$1,MATCH(K1077&amp;F$1,Taostats_CSV!$X:$X,0)-1,0),IF(LEN(Taostats_CSV!H1077)&gt;0,Taostats_CSV!H1077,Taostats_CSV!R1077)))</f>
        <v>7.647691875</v>
      </c>
      <c r="G1077" t="str">
        <f ca="1">IF(AND(Q1077,N1077=1),OFFSET(Taostats_CSV!$E$1,MATCH(K1077&amp;H$1,Taostats_CSV!$X:$X,0)-1,0),IF(Taostats_CSV!F1077="fee",Taostats_CSV!E1077,""))</f>
        <v>TAO</v>
      </c>
      <c r="H1077">
        <f ca="1">IF(AND(Q1077,N1077=1),OFFSET(Taostats_CSV!$G$1,MATCH(K1077&amp;H$1,Taostats_CSV!$X:$X,0)-1,0),IF(Taostats_CSV!F1077="fee",Taostats_CSV!G1077,""))</f>
        <v>8.9147999999999994E-5</v>
      </c>
      <c r="I1077" t="str">
        <f ca="1">IF(AND(LEN(K1077)=0,LEN(F1077)&gt;0),"Income",IF(AND(O1077&gt;0,P1077&gt;0,C1077&lt;&gt;E1077),"Trade",IF(AND(NOT(Q1077),Taostats_CSV!F1077="fee"),'READ ME'!$C$5,"")))</f>
        <v>Trade</v>
      </c>
      <c r="J1077" t="str">
        <f ca="1">SUBSTITUTE(IF(LEN(I1077)=0,Taostats_CSV!F1077&amp;" "&amp;Taostats_CSV!J1077,IF(I1077="Cost","Extrinsic fee","")),"_"," ")</f>
        <v/>
      </c>
      <c r="K1077" t="str">
        <f>TRIM(IF(LEN(Taostats_CSV!I1077)&gt;0,Taostats_CSV!I1077,""))</f>
        <v>6631431-0007</v>
      </c>
      <c r="L1077" t="str">
        <f>IF(Taostats_CSV!E1077&lt;&gt;"TAO",IF(LEN(F1077)&gt;0,F1077,IF(LEN(D1077)&gt;0,D1077,0))*Taostats_CSV!P1077,"")</f>
        <v/>
      </c>
      <c r="M1077" t="str">
        <f t="shared" si="111"/>
        <v/>
      </c>
      <c r="N1077">
        <f>COUNTIF(Taostats_CSV!$X:$X,Taostats_CSV!$I1077&amp;N$1)</f>
        <v>1</v>
      </c>
      <c r="O1077">
        <f>COUNTIF(Taostats_CSV!$X:$X,Taostats_CSV!$I1077&amp;O$1)</f>
        <v>1</v>
      </c>
      <c r="P1077">
        <f>COUNTIF(Taostats_CSV!$X:$X,Taostats_CSV!$I1077&amp;P$1)</f>
        <v>1</v>
      </c>
      <c r="Q1077" t="b">
        <f t="shared" si="112"/>
        <v>1</v>
      </c>
      <c r="R1077">
        <f>IF(LEN(K1077)&gt;0,COUNTIF($K$3:K1077,K1077),FALSE)</f>
        <v>3</v>
      </c>
      <c r="S1077" t="b">
        <f>IF(Taostats_CSV!A1077=Taostats_CSV!$A$2,TRUE,Taostats_CSV!G1077+Taostats_CSV!H1077+Taostats_CSV!R1077=0)</f>
        <v>0</v>
      </c>
      <c r="T1077" t="b">
        <f t="shared" si="113"/>
        <v>0</v>
      </c>
      <c r="U1077" t="b" cm="1">
        <f t="array" aca="1" ref="U1077" ca="1">AND(T1077,OR(O1077-N1077&gt;1,P1077&gt;1,ISERROR(A1077:P1077)))</f>
        <v>0</v>
      </c>
      <c r="W1077">
        <f>MATCH(K1077&amp;$W$2,Taostats_CSV!$X$3:$X$1167,0)</f>
        <v>1073</v>
      </c>
      <c r="X1077">
        <f t="shared" ca="1" si="108"/>
        <v>279.263169205</v>
      </c>
      <c r="Y1077">
        <f t="shared" ca="1" si="109"/>
        <v>7.6476918749999996</v>
      </c>
      <c r="Z1077">
        <f t="shared" ca="1" si="110"/>
        <v>8.9147999999999994E-5</v>
      </c>
    </row>
    <row r="1078" spans="1:26" x14ac:dyDescent="0.4">
      <c r="A1078" t="str">
        <f>MID(Taostats_CSV!C1078,6,2)&amp;"/"&amp;MID(Taostats_CSV!C1078,9,2)&amp;"/"&amp;LEFT(Taostats_CSV!C1078,4)&amp;" "&amp;MID(Taostats_CSV!C1078,12,8)</f>
        <v>10/10/2025 21:42:12</v>
      </c>
      <c r="C1078" t="str">
        <f ca="1">IF(Q1078,OFFSET(Taostats_CSV!$E$1,MATCH(K1078&amp;D$1,Taostats_CSV!$X:$X,0)-1,0),IF(Taostats_CSV!F1078="fee",IF(VALUE(Taostats_CSV!G1078)&gt;0,Taostats_CSV!E1078,""),""))</f>
        <v/>
      </c>
      <c r="D1078" t="str">
        <f ca="1">IF(Q1078,OFFSET(Taostats_CSV!$G$1,MATCH(K1078&amp;D$1,Taostats_CSV!$X:$X,0)-1,0),IF(Taostats_CSV!F1078="fee",IF(VALUE(Taostats_CSV!G1078)&gt;0,Taostats_CSV!G1078,""),""))</f>
        <v/>
      </c>
      <c r="E1078" t="str">
        <f ca="1">IF(AND(Q1078,P1078&gt;0),OFFSET(Taostats_CSV!$E$1,MATCH(K1078&amp;F$1,Taostats_CSV!$X:$X,0)-1,0),IF(LEN(F1078)&gt;0,Taostats_CSV!E1078,""))</f>
        <v>SN64</v>
      </c>
      <c r="F1078" t="str">
        <f ca="1">TRIM(IF(AND(Q1078,P1078&gt;0),OFFSET(Taostats_CSV!$H$1,MATCH(K1078&amp;F$1,Taostats_CSV!$X:$X,0)-1,0),IF(LEN(Taostats_CSV!H1078)&gt;0,Taostats_CSV!H1078,Taostats_CSV!R1078)))</f>
        <v>0.14850515</v>
      </c>
      <c r="G1078" t="str">
        <f ca="1">IF(AND(Q1078,N1078=1),OFFSET(Taostats_CSV!$E$1,MATCH(K1078&amp;H$1,Taostats_CSV!$X:$X,0)-1,0),"")</f>
        <v/>
      </c>
      <c r="H1078" t="str">
        <f ca="1">IF(AND(Q1078,N1078=1),OFFSET(Taostats_CSV!$G$1,MATCH(K1078&amp;H$1,Taostats_CSV!$X:$X,0)-1,0),"")</f>
        <v/>
      </c>
      <c r="I1078" t="str">
        <f ca="1">IF(AND(LEN(K1078)=0,LEN(F1078)&gt;0),"Income",IF(AND(O1078&gt;0,P1078&gt;0,C1078&lt;&gt;E1078),"Trade",IF(AND(NOT(Q1078),Taostats_CSV!F1078="fee"),'READ ME'!$C$5,"")))</f>
        <v>Income</v>
      </c>
      <c r="J1078" t="str">
        <f ca="1">SUBSTITUTE(IF(LEN(I1078)=0,Taostats_CSV!F1078&amp;" "&amp;Taostats_CSV!J1078,IF(I1078="Cost","Extrinsic fee","")),"_"," ")</f>
        <v/>
      </c>
      <c r="K1078" t="str">
        <f>TRIM(IF(LEN(Taostats_CSV!I1078)&gt;0,Taostats_CSV!I1078,""))</f>
        <v/>
      </c>
      <c r="L1078">
        <f ca="1">IF(Taostats_CSV!E1078&lt;&gt;"TAO",IF(LEN(F1078)&gt;0,F1078,IF(LEN(D1078)&gt;0,D1078,0))*Taostats_CSV!P1078,"")</f>
        <v>2.8305081589999999</v>
      </c>
      <c r="M1078" t="str">
        <f t="shared" ca="1" si="111"/>
        <v>USD</v>
      </c>
      <c r="N1078">
        <f>COUNTIF(Taostats_CSV!$X:$X,Taostats_CSV!$I1078&amp;N$1)</f>
        <v>0</v>
      </c>
      <c r="O1078">
        <f>COUNTIF(Taostats_CSV!$X:$X,Taostats_CSV!$I1078&amp;O$1)</f>
        <v>0</v>
      </c>
      <c r="P1078">
        <f>COUNTIF(Taostats_CSV!$X:$X,Taostats_CSV!$I1078&amp;P$1)</f>
        <v>0</v>
      </c>
      <c r="Q1078" t="b">
        <f t="shared" si="112"/>
        <v>0</v>
      </c>
      <c r="R1078" t="b">
        <f>IF(LEN(K1078)&gt;0,COUNTIF($K$3:K1078,K1078),FALSE)</f>
        <v>0</v>
      </c>
      <c r="S1078" t="b">
        <f>IF(Taostats_CSV!A1078=Taostats_CSV!$A$2,TRUE,Taostats_CSV!G1078+Taostats_CSV!H1078+Taostats_CSV!R1078=0)</f>
        <v>0</v>
      </c>
      <c r="T1078" t="b">
        <f t="shared" si="113"/>
        <v>1</v>
      </c>
      <c r="U1078" t="b" cm="1">
        <f t="array" aca="1" ref="U1078" ca="1">AND(T1078,OR(O1078-N1078&gt;1,P1078&gt;1,ISERROR(A1078:P1078)))</f>
        <v>0</v>
      </c>
      <c r="W1078" t="e">
        <f>MATCH(K1078&amp;$W$2,Taostats_CSV!$X$3:$X$1167,0)</f>
        <v>#N/A</v>
      </c>
      <c r="X1078" t="e">
        <f t="shared" ca="1" si="108"/>
        <v>#VALUE!</v>
      </c>
      <c r="Y1078">
        <f t="shared" ca="1" si="109"/>
        <v>0.14850515</v>
      </c>
      <c r="Z1078" t="e">
        <f t="shared" ca="1" si="110"/>
        <v>#VALUE!</v>
      </c>
    </row>
    <row r="1079" spans="1:26" x14ac:dyDescent="0.4">
      <c r="A1079" t="str">
        <f>MID(Taostats_CSV!C1079,6,2)&amp;"/"&amp;MID(Taostats_CSV!C1079,9,2)&amp;"/"&amp;LEFT(Taostats_CSV!C1079,4)&amp;" "&amp;MID(Taostats_CSV!C1079,12,8)</f>
        <v>10/10/2025 21:42:12</v>
      </c>
      <c r="C1079" t="str">
        <f ca="1">IF(Q1079,OFFSET(Taostats_CSV!$E$1,MATCH(K1079&amp;D$1,Taostats_CSV!$X:$X,0)-1,0),IF(Taostats_CSV!F1079="fee",IF(VALUE(Taostats_CSV!G1079)&gt;0,Taostats_CSV!E1079,""),""))</f>
        <v>SN64</v>
      </c>
      <c r="D1079">
        <f ca="1">IF(Q1079,OFFSET(Taostats_CSV!$G$1,MATCH(K1079&amp;D$1,Taostats_CSV!$X:$X,0)-1,0),IF(Taostats_CSV!F1079="fee",IF(VALUE(Taostats_CSV!G1079)&gt;0,Taostats_CSV!G1079,""),""))</f>
        <v>92.510727415999995</v>
      </c>
      <c r="E1079" t="str">
        <f ca="1">IF(AND(Q1079,P1079&gt;0),OFFSET(Taostats_CSV!$E$1,MATCH(K1079&amp;F$1,Taostats_CSV!$X:$X,0)-1,0),IF(LEN(F1079)&gt;0,Taostats_CSV!E1079,""))</f>
        <v>TAO</v>
      </c>
      <c r="F1079" t="str">
        <f ca="1">TRIM(IF(AND(Q1079,P1079&gt;0),OFFSET(Taostats_CSV!$H$1,MATCH(K1079&amp;F$1,Taostats_CSV!$X:$X,0)-1,0),IF(LEN(Taostats_CSV!H1079)&gt;0,Taostats_CSV!H1079,Taostats_CSV!R1079)))</f>
        <v>7.140758395</v>
      </c>
      <c r="G1079" t="str">
        <f ca="1">IF(AND(Q1079,N1079=1),OFFSET(Taostats_CSV!$E$1,MATCH(K1079&amp;H$1,Taostats_CSV!$X:$X,0)-1,0),"")</f>
        <v>TAO</v>
      </c>
      <c r="H1079">
        <f ca="1">IF(AND(Q1079,N1079=1),OFFSET(Taostats_CSV!$G$1,MATCH(K1079&amp;H$1,Taostats_CSV!$X:$X,0)-1,0),"")</f>
        <v>8.9147999999999994E-5</v>
      </c>
      <c r="I1079" t="str">
        <f ca="1">IF(AND(LEN(K1079)=0,LEN(F1079)&gt;0),"Income",IF(AND(O1079&gt;0,P1079&gt;0,C1079&lt;&gt;E1079),"Trade",IF(AND(NOT(Q1079),Taostats_CSV!F1079="fee"),'READ ME'!$C$5,"")))</f>
        <v>Trade</v>
      </c>
      <c r="J1079" t="str">
        <f ca="1">SUBSTITUTE(IF(LEN(I1079)=0,Taostats_CSV!F1079&amp;" "&amp;Taostats_CSV!J1079,IF(I1079="Cost","Extrinsic fee","")),"_"," ")</f>
        <v/>
      </c>
      <c r="K1079" t="str">
        <f>TRIM(IF(LEN(Taostats_CSV!I1079)&gt;0,Taostats_CSV!I1079,""))</f>
        <v>6631496-0015</v>
      </c>
      <c r="L1079" t="str">
        <f>IF(Taostats_CSV!E1079&lt;&gt;"TAO",IF(LEN(F1079)&gt;0,F1079,IF(LEN(D1079)&gt;0,D1079,0))*Taostats_CSV!P1079,"")</f>
        <v/>
      </c>
      <c r="M1079" t="str">
        <f t="shared" si="111"/>
        <v/>
      </c>
      <c r="N1079">
        <f>COUNTIF(Taostats_CSV!$X:$X,Taostats_CSV!$I1079&amp;N$1)</f>
        <v>1</v>
      </c>
      <c r="O1079">
        <f>COUNTIF(Taostats_CSV!$X:$X,Taostats_CSV!$I1079&amp;O$1)</f>
        <v>1</v>
      </c>
      <c r="P1079">
        <f>COUNTIF(Taostats_CSV!$X:$X,Taostats_CSV!$I1079&amp;P$1)</f>
        <v>1</v>
      </c>
      <c r="Q1079" t="b">
        <f t="shared" si="112"/>
        <v>1</v>
      </c>
      <c r="R1079">
        <f>IF(LEN(K1079)&gt;0,COUNTIF($K$3:K1079,K1079),FALSE)</f>
        <v>1</v>
      </c>
      <c r="S1079" t="b">
        <f>IF(Taostats_CSV!A1079=Taostats_CSV!$A$2,TRUE,Taostats_CSV!G1079+Taostats_CSV!H1079+Taostats_CSV!R1079=0)</f>
        <v>0</v>
      </c>
      <c r="T1079" t="b">
        <f t="shared" si="113"/>
        <v>1</v>
      </c>
      <c r="U1079" t="b" cm="1">
        <f t="array" aca="1" ref="U1079" ca="1">AND(T1079,OR(O1079-N1079&gt;1,P1079&gt;1,ISERROR(A1079:P1079)))</f>
        <v>0</v>
      </c>
      <c r="W1079">
        <f>MATCH(K1079&amp;$W$2,Taostats_CSV!$X$3:$X$1167,0)</f>
        <v>1077</v>
      </c>
      <c r="X1079">
        <f t="shared" ca="1" si="108"/>
        <v>92.510727415999995</v>
      </c>
      <c r="Y1079">
        <f t="shared" ca="1" si="109"/>
        <v>7.1407583949999998</v>
      </c>
      <c r="Z1079">
        <f t="shared" ca="1" si="110"/>
        <v>8.9147999999999994E-5</v>
      </c>
    </row>
    <row r="1080" spans="1:26" hidden="1" x14ac:dyDescent="0.4">
      <c r="A1080" t="str">
        <f>MID(Taostats_CSV!C1080,6,2)&amp;"/"&amp;MID(Taostats_CSV!C1080,9,2)&amp;"/"&amp;LEFT(Taostats_CSV!C1080,4)&amp;" "&amp;MID(Taostats_CSV!C1080,12,8)</f>
        <v>10/10/2025 21:42:12</v>
      </c>
      <c r="C1080" t="str">
        <f ca="1">IF(Q1080,OFFSET(Taostats_CSV!$E$1,MATCH(K1080&amp;D$1,Taostats_CSV!$X:$X,0)-1,0),IF(Taostats_CSV!F1080="fee","",IF(VALUE(Taostats_CSV!G1080)&gt;0,Taostats_CSV!E1080,"")))</f>
        <v>SN64</v>
      </c>
      <c r="D1080">
        <f ca="1">IF(Q1080,OFFSET(Taostats_CSV!$G$1,MATCH(K1080&amp;D$1,Taostats_CSV!$X:$X,0)-1,0),IF(Taostats_CSV!F1080="fee","",IF(VALUE(Taostats_CSV!G1080)&gt;0,Taostats_CSV!G1080,"")))</f>
        <v>92.510727415999995</v>
      </c>
      <c r="E1080" t="str">
        <f ca="1">IF(AND(Q1080,P1080&gt;0),OFFSET(Taostats_CSV!$E$1,MATCH(K1080&amp;F$1,Taostats_CSV!$X:$X,0)-1,0),IF(LEN(F1080)&gt;0,Taostats_CSV!E1080,""))</f>
        <v>TAO</v>
      </c>
      <c r="F1080" t="str">
        <f ca="1">TRIM(IF(AND(Q1080,P1080&gt;0),OFFSET(Taostats_CSV!$H$1,MATCH(K1080&amp;F$1,Taostats_CSV!$X:$X,0)-1,0),IF(LEN(Taostats_CSV!H1080)&gt;0,Taostats_CSV!H1080,Taostats_CSV!R1080)))</f>
        <v>7.140758395</v>
      </c>
      <c r="G1080" t="str">
        <f ca="1">IF(AND(Q1080,N1080=1),OFFSET(Taostats_CSV!$E$1,MATCH(K1080&amp;H$1,Taostats_CSV!$X:$X,0)-1,0),IF(Taostats_CSV!F1080="fee",Taostats_CSV!E1080,""))</f>
        <v>TAO</v>
      </c>
      <c r="H1080">
        <f ca="1">IF(AND(Q1080,N1080=1),OFFSET(Taostats_CSV!$G$1,MATCH(K1080&amp;H$1,Taostats_CSV!$X:$X,0)-1,0),IF(Taostats_CSV!F1080="fee",Taostats_CSV!G1080,""))</f>
        <v>8.9147999999999994E-5</v>
      </c>
      <c r="I1080" t="str">
        <f ca="1">IF(AND(LEN(K1080)=0,LEN(F1080)&gt;0),"Income",IF(AND(O1080&gt;0,P1080&gt;0,C1080&lt;&gt;E1080),"Trade",IF(AND(NOT(Q1080),Taostats_CSV!F1080="fee"),'READ ME'!$C$5,"")))</f>
        <v>Trade</v>
      </c>
      <c r="J1080" t="str">
        <f ca="1">SUBSTITUTE(IF(LEN(I1080)=0,Taostats_CSV!F1080&amp;" "&amp;Taostats_CSV!J1080,IF(I1080="Cost","Extrinsic fee","")),"_"," ")</f>
        <v/>
      </c>
      <c r="K1080" t="str">
        <f>TRIM(IF(LEN(Taostats_CSV!I1080)&gt;0,Taostats_CSV!I1080,""))</f>
        <v>6631496-0015</v>
      </c>
      <c r="L1080">
        <f ca="1">IF(Taostats_CSV!E1080&lt;&gt;"TAO",IF(LEN(F1080)&gt;0,F1080,IF(LEN(D1080)&gt;0,D1080,0))*Taostats_CSV!P1080,"")</f>
        <v>136.10285500869998</v>
      </c>
      <c r="M1080" t="str">
        <f t="shared" ca="1" si="111"/>
        <v>USD</v>
      </c>
      <c r="N1080">
        <f>COUNTIF(Taostats_CSV!$X:$X,Taostats_CSV!$I1080&amp;N$1)</f>
        <v>1</v>
      </c>
      <c r="O1080">
        <f>COUNTIF(Taostats_CSV!$X:$X,Taostats_CSV!$I1080&amp;O$1)</f>
        <v>1</v>
      </c>
      <c r="P1080">
        <f>COUNTIF(Taostats_CSV!$X:$X,Taostats_CSV!$I1080&amp;P$1)</f>
        <v>1</v>
      </c>
      <c r="Q1080" t="b">
        <f t="shared" si="112"/>
        <v>1</v>
      </c>
      <c r="R1080">
        <f>IF(LEN(K1080)&gt;0,COUNTIF($K$3:K1080,K1080),FALSE)</f>
        <v>2</v>
      </c>
      <c r="S1080" t="b">
        <f>IF(Taostats_CSV!A1080=Taostats_CSV!$A$2,TRUE,Taostats_CSV!G1080+Taostats_CSV!H1080+Taostats_CSV!R1080=0)</f>
        <v>0</v>
      </c>
      <c r="T1080" t="b">
        <f t="shared" si="113"/>
        <v>0</v>
      </c>
      <c r="U1080" t="b" cm="1">
        <f t="array" aca="1" ref="U1080" ca="1">AND(T1080,OR(O1080-N1080&gt;1,P1080&gt;1,ISERROR(A1080:P1080)))</f>
        <v>0</v>
      </c>
      <c r="W1080">
        <f>MATCH(K1080&amp;$W$2,Taostats_CSV!$X$3:$X$1167,0)</f>
        <v>1077</v>
      </c>
      <c r="X1080">
        <f t="shared" ca="1" si="108"/>
        <v>92.510727415999995</v>
      </c>
      <c r="Y1080">
        <f t="shared" ca="1" si="109"/>
        <v>7.1407583949999998</v>
      </c>
      <c r="Z1080">
        <f t="shared" ca="1" si="110"/>
        <v>8.9147999999999994E-5</v>
      </c>
    </row>
    <row r="1081" spans="1:26" hidden="1" x14ac:dyDescent="0.4">
      <c r="A1081" t="str">
        <f>MID(Taostats_CSV!C1081,6,2)&amp;"/"&amp;MID(Taostats_CSV!C1081,9,2)&amp;"/"&amp;LEFT(Taostats_CSV!C1081,4)&amp;" "&amp;MID(Taostats_CSV!C1081,12,8)</f>
        <v>10/10/2025 21:42:12</v>
      </c>
      <c r="C1081" t="str">
        <f ca="1">IF(Q1081,OFFSET(Taostats_CSV!$E$1,MATCH(K1081&amp;D$1,Taostats_CSV!$X:$X,0)-1,0),IF(Taostats_CSV!F1081="fee","",IF(VALUE(Taostats_CSV!G1081)&gt;0,Taostats_CSV!E1081,"")))</f>
        <v>SN64</v>
      </c>
      <c r="D1081">
        <f ca="1">IF(Q1081,OFFSET(Taostats_CSV!$G$1,MATCH(K1081&amp;D$1,Taostats_CSV!$X:$X,0)-1,0),IF(Taostats_CSV!F1081="fee","",IF(VALUE(Taostats_CSV!G1081)&gt;0,Taostats_CSV!G1081,"")))</f>
        <v>92.510727415999995</v>
      </c>
      <c r="E1081" t="str">
        <f ca="1">IF(AND(Q1081,P1081&gt;0),OFFSET(Taostats_CSV!$E$1,MATCH(K1081&amp;F$1,Taostats_CSV!$X:$X,0)-1,0),IF(LEN(F1081)&gt;0,Taostats_CSV!E1081,""))</f>
        <v>TAO</v>
      </c>
      <c r="F1081" t="str">
        <f ca="1">TRIM(IF(AND(Q1081,P1081&gt;0),OFFSET(Taostats_CSV!$H$1,MATCH(K1081&amp;F$1,Taostats_CSV!$X:$X,0)-1,0),IF(LEN(Taostats_CSV!H1081)&gt;0,Taostats_CSV!H1081,Taostats_CSV!R1081)))</f>
        <v>7.140758395</v>
      </c>
      <c r="G1081" t="str">
        <f ca="1">IF(AND(Q1081,N1081=1),OFFSET(Taostats_CSV!$E$1,MATCH(K1081&amp;H$1,Taostats_CSV!$X:$X,0)-1,0),IF(Taostats_CSV!F1081="fee",Taostats_CSV!E1081,""))</f>
        <v>TAO</v>
      </c>
      <c r="H1081">
        <f ca="1">IF(AND(Q1081,N1081=1),OFFSET(Taostats_CSV!$G$1,MATCH(K1081&amp;H$1,Taostats_CSV!$X:$X,0)-1,0),IF(Taostats_CSV!F1081="fee",Taostats_CSV!G1081,""))</f>
        <v>8.9147999999999994E-5</v>
      </c>
      <c r="I1081" t="str">
        <f ca="1">IF(AND(LEN(K1081)=0,LEN(F1081)&gt;0),"Income",IF(AND(O1081&gt;0,P1081&gt;0,C1081&lt;&gt;E1081),"Trade",IF(AND(NOT(Q1081),Taostats_CSV!F1081="fee"),'READ ME'!$C$5,"")))</f>
        <v>Trade</v>
      </c>
      <c r="J1081" t="str">
        <f ca="1">SUBSTITUTE(IF(LEN(I1081)=0,Taostats_CSV!F1081&amp;" "&amp;Taostats_CSV!J1081,IF(I1081="Cost","Extrinsic fee","")),"_"," ")</f>
        <v/>
      </c>
      <c r="K1081" t="str">
        <f>TRIM(IF(LEN(Taostats_CSV!I1081)&gt;0,Taostats_CSV!I1081,""))</f>
        <v>6631496-0015</v>
      </c>
      <c r="L1081" t="str">
        <f>IF(Taostats_CSV!E1081&lt;&gt;"TAO",IF(LEN(F1081)&gt;0,F1081,IF(LEN(D1081)&gt;0,D1081,0))*Taostats_CSV!P1081,"")</f>
        <v/>
      </c>
      <c r="M1081" t="str">
        <f t="shared" si="111"/>
        <v/>
      </c>
      <c r="N1081">
        <f>COUNTIF(Taostats_CSV!$X:$X,Taostats_CSV!$I1081&amp;N$1)</f>
        <v>1</v>
      </c>
      <c r="O1081">
        <f>COUNTIF(Taostats_CSV!$X:$X,Taostats_CSV!$I1081&amp;O$1)</f>
        <v>1</v>
      </c>
      <c r="P1081">
        <f>COUNTIF(Taostats_CSV!$X:$X,Taostats_CSV!$I1081&amp;P$1)</f>
        <v>1</v>
      </c>
      <c r="Q1081" t="b">
        <f t="shared" si="112"/>
        <v>1</v>
      </c>
      <c r="R1081">
        <f>IF(LEN(K1081)&gt;0,COUNTIF($K$3:K1081,K1081),FALSE)</f>
        <v>3</v>
      </c>
      <c r="S1081" t="b">
        <f>IF(Taostats_CSV!A1081=Taostats_CSV!$A$2,TRUE,Taostats_CSV!G1081+Taostats_CSV!H1081+Taostats_CSV!R1081=0)</f>
        <v>0</v>
      </c>
      <c r="T1081" t="b">
        <f t="shared" si="113"/>
        <v>0</v>
      </c>
      <c r="U1081" t="b" cm="1">
        <f t="array" aca="1" ref="U1081" ca="1">AND(T1081,OR(O1081-N1081&gt;1,P1081&gt;1,ISERROR(A1081:P1081)))</f>
        <v>0</v>
      </c>
      <c r="W1081">
        <f>MATCH(K1081&amp;$W$2,Taostats_CSV!$X$3:$X$1167,0)</f>
        <v>1077</v>
      </c>
      <c r="X1081">
        <f t="shared" ca="1" si="108"/>
        <v>92.510727415999995</v>
      </c>
      <c r="Y1081">
        <f t="shared" ca="1" si="109"/>
        <v>7.1407583949999998</v>
      </c>
      <c r="Z1081">
        <f t="shared" ca="1" si="110"/>
        <v>8.9147999999999994E-5</v>
      </c>
    </row>
    <row r="1082" spans="1:26" x14ac:dyDescent="0.4">
      <c r="A1082" t="str">
        <f>MID(Taostats_CSV!C1082,6,2)&amp;"/"&amp;MID(Taostats_CSV!C1082,9,2)&amp;"/"&amp;LEFT(Taostats_CSV!C1082,4)&amp;" "&amp;MID(Taostats_CSV!C1082,12,8)</f>
        <v>10/10/2025 21:46:24</v>
      </c>
      <c r="C1082" t="str">
        <f ca="1">IF(Q1082,OFFSET(Taostats_CSV!$E$1,MATCH(K1082&amp;D$1,Taostats_CSV!$X:$X,0)-1,0),IF(Taostats_CSV!F1082="fee",IF(VALUE(Taostats_CSV!G1082)&gt;0,Taostats_CSV!E1082,""),""))</f>
        <v/>
      </c>
      <c r="D1082" t="str">
        <f ca="1">IF(Q1082,OFFSET(Taostats_CSV!$G$1,MATCH(K1082&amp;D$1,Taostats_CSV!$X:$X,0)-1,0),IF(Taostats_CSV!F1082="fee",IF(VALUE(Taostats_CSV!G1082)&gt;0,Taostats_CSV!G1082,""),""))</f>
        <v/>
      </c>
      <c r="E1082" t="str">
        <f ca="1">IF(AND(Q1082,P1082&gt;0),OFFSET(Taostats_CSV!$E$1,MATCH(K1082&amp;F$1,Taostats_CSV!$X:$X,0)-1,0),IF(LEN(F1082)&gt;0,Taostats_CSV!E1082,""))</f>
        <v>SN56</v>
      </c>
      <c r="F1082" t="str">
        <f ca="1">TRIM(IF(AND(Q1082,P1082&gt;0),OFFSET(Taostats_CSV!$H$1,MATCH(K1082&amp;F$1,Taostats_CSV!$X:$X,0)-1,0),IF(LEN(Taostats_CSV!H1082)&gt;0,Taostats_CSV!H1082,Taostats_CSV!R1082)))</f>
        <v>0.31805235</v>
      </c>
      <c r="G1082" t="str">
        <f ca="1">IF(AND(Q1082,N1082=1),OFFSET(Taostats_CSV!$E$1,MATCH(K1082&amp;H$1,Taostats_CSV!$X:$X,0)-1,0),"")</f>
        <v/>
      </c>
      <c r="H1082" t="str">
        <f ca="1">IF(AND(Q1082,N1082=1),OFFSET(Taostats_CSV!$G$1,MATCH(K1082&amp;H$1,Taostats_CSV!$X:$X,0)-1,0),"")</f>
        <v/>
      </c>
      <c r="I1082" t="str">
        <f ca="1">IF(AND(LEN(K1082)=0,LEN(F1082)&gt;0),"Income",IF(AND(O1082&gt;0,P1082&gt;0,C1082&lt;&gt;E1082),"Trade",IF(AND(NOT(Q1082),Taostats_CSV!F1082="fee"),'READ ME'!$C$5,"")))</f>
        <v>Income</v>
      </c>
      <c r="J1082" t="str">
        <f ca="1">SUBSTITUTE(IF(LEN(I1082)=0,Taostats_CSV!F1082&amp;" "&amp;Taostats_CSV!J1082,IF(I1082="Cost","Extrinsic fee","")),"_"," ")</f>
        <v/>
      </c>
      <c r="K1082" t="str">
        <f>TRIM(IF(LEN(Taostats_CSV!I1082)&gt;0,Taostats_CSV!I1082,""))</f>
        <v/>
      </c>
      <c r="L1082">
        <f ca="1">IF(Taostats_CSV!E1082&lt;&gt;"TAO",IF(LEN(F1082)&gt;0,F1082,IF(LEN(D1082)&gt;0,D1082,0))*Taostats_CSV!P1082,"")</f>
        <v>3.0246778484999997</v>
      </c>
      <c r="M1082" t="str">
        <f t="shared" ca="1" si="111"/>
        <v>USD</v>
      </c>
      <c r="N1082">
        <f>COUNTIF(Taostats_CSV!$X:$X,Taostats_CSV!$I1082&amp;N$1)</f>
        <v>0</v>
      </c>
      <c r="O1082">
        <f>COUNTIF(Taostats_CSV!$X:$X,Taostats_CSV!$I1082&amp;O$1)</f>
        <v>0</v>
      </c>
      <c r="P1082">
        <f>COUNTIF(Taostats_CSV!$X:$X,Taostats_CSV!$I1082&amp;P$1)</f>
        <v>0</v>
      </c>
      <c r="Q1082" t="b">
        <f t="shared" si="112"/>
        <v>0</v>
      </c>
      <c r="R1082" t="b">
        <f>IF(LEN(K1082)&gt;0,COUNTIF($K$3:K1082,K1082),FALSE)</f>
        <v>0</v>
      </c>
      <c r="S1082" t="b">
        <f>IF(Taostats_CSV!A1082=Taostats_CSV!$A$2,TRUE,Taostats_CSV!G1082+Taostats_CSV!H1082+Taostats_CSV!R1082=0)</f>
        <v>0</v>
      </c>
      <c r="T1082" t="b">
        <f t="shared" si="113"/>
        <v>1</v>
      </c>
      <c r="U1082" t="b" cm="1">
        <f t="array" aca="1" ref="U1082" ca="1">AND(T1082,OR(O1082-N1082&gt;1,P1082&gt;1,ISERROR(A1082:P1082)))</f>
        <v>0</v>
      </c>
      <c r="W1082" t="e">
        <f>MATCH(K1082&amp;$W$2,Taostats_CSV!$X$3:$X$1167,0)</f>
        <v>#N/A</v>
      </c>
      <c r="X1082" t="e">
        <f t="shared" ca="1" si="108"/>
        <v>#VALUE!</v>
      </c>
      <c r="Y1082">
        <f t="shared" ca="1" si="109"/>
        <v>0.31805234999999998</v>
      </c>
      <c r="Z1082" t="e">
        <f t="shared" ca="1" si="110"/>
        <v>#VALUE!</v>
      </c>
    </row>
    <row r="1083" spans="1:26" x14ac:dyDescent="0.4">
      <c r="A1083" t="str">
        <f>MID(Taostats_CSV!C1083,6,2)&amp;"/"&amp;MID(Taostats_CSV!C1083,9,2)&amp;"/"&amp;LEFT(Taostats_CSV!C1083,4)&amp;" "&amp;MID(Taostats_CSV!C1083,12,8)</f>
        <v>10/10/2025 21:46:24</v>
      </c>
      <c r="C1083" t="str">
        <f ca="1">IF(Q1083,OFFSET(Taostats_CSV!$E$1,MATCH(K1083&amp;D$1,Taostats_CSV!$X:$X,0)-1,0),IF(Taostats_CSV!F1083="fee",IF(VALUE(Taostats_CSV!G1083)&gt;0,Taostats_CSV!E1083,""),""))</f>
        <v>SN56</v>
      </c>
      <c r="D1083">
        <f ca="1">IF(Q1083,OFFSET(Taostats_CSV!$G$1,MATCH(K1083&amp;D$1,Taostats_CSV!$X:$X,0)-1,0),IF(Taostats_CSV!F1083="fee",IF(VALUE(Taostats_CSV!G1083)&gt;0,Taostats_CSV!G1083,""),""))</f>
        <v>172.13135099600001</v>
      </c>
      <c r="E1083" t="str">
        <f ca="1">IF(AND(Q1083,P1083&gt;0),OFFSET(Taostats_CSV!$E$1,MATCH(K1083&amp;F$1,Taostats_CSV!$X:$X,0)-1,0),IF(LEN(F1083)&gt;0,Taostats_CSV!E1083,""))</f>
        <v>TAO</v>
      </c>
      <c r="F1083" t="str">
        <f ca="1">TRIM(IF(AND(Q1083,P1083&gt;0),OFFSET(Taostats_CSV!$H$1,MATCH(K1083&amp;F$1,Taostats_CSV!$X:$X,0)-1,0),IF(LEN(Taostats_CSV!H1083)&gt;0,Taostats_CSV!H1083,Taostats_CSV!R1083)))</f>
        <v>5.703272634</v>
      </c>
      <c r="G1083" t="str">
        <f ca="1">IF(AND(Q1083,N1083=1),OFFSET(Taostats_CSV!$E$1,MATCH(K1083&amp;H$1,Taostats_CSV!$X:$X,0)-1,0),"")</f>
        <v>TAO</v>
      </c>
      <c r="H1083">
        <f ca="1">IF(AND(Q1083,N1083=1),OFFSET(Taostats_CSV!$G$1,MATCH(K1083&amp;H$1,Taostats_CSV!$X:$X,0)-1,0),"")</f>
        <v>8.9147999999999994E-5</v>
      </c>
      <c r="I1083" t="str">
        <f ca="1">IF(AND(LEN(K1083)=0,LEN(F1083)&gt;0),"Income",IF(AND(O1083&gt;0,P1083&gt;0,C1083&lt;&gt;E1083),"Trade",IF(AND(NOT(Q1083),Taostats_CSV!F1083="fee"),'READ ME'!$C$5,"")))</f>
        <v>Trade</v>
      </c>
      <c r="J1083" t="str">
        <f ca="1">SUBSTITUTE(IF(LEN(I1083)=0,Taostats_CSV!F1083&amp;" "&amp;Taostats_CSV!J1083,IF(I1083="Cost","Extrinsic fee","")),"_"," ")</f>
        <v/>
      </c>
      <c r="K1083" t="str">
        <f>TRIM(IF(LEN(Taostats_CSV!I1083)&gt;0,Taostats_CSV!I1083,""))</f>
        <v>6631517-0023</v>
      </c>
      <c r="L1083" t="str">
        <f>IF(Taostats_CSV!E1083&lt;&gt;"TAO",IF(LEN(F1083)&gt;0,F1083,IF(LEN(D1083)&gt;0,D1083,0))*Taostats_CSV!P1083,"")</f>
        <v/>
      </c>
      <c r="M1083" t="str">
        <f t="shared" si="111"/>
        <v/>
      </c>
      <c r="N1083">
        <f>COUNTIF(Taostats_CSV!$X:$X,Taostats_CSV!$I1083&amp;N$1)</f>
        <v>1</v>
      </c>
      <c r="O1083">
        <f>COUNTIF(Taostats_CSV!$X:$X,Taostats_CSV!$I1083&amp;O$1)</f>
        <v>1</v>
      </c>
      <c r="P1083">
        <f>COUNTIF(Taostats_CSV!$X:$X,Taostats_CSV!$I1083&amp;P$1)</f>
        <v>1</v>
      </c>
      <c r="Q1083" t="b">
        <f t="shared" si="112"/>
        <v>1</v>
      </c>
      <c r="R1083">
        <f>IF(LEN(K1083)&gt;0,COUNTIF($K$3:K1083,K1083),FALSE)</f>
        <v>1</v>
      </c>
      <c r="S1083" t="b">
        <f>IF(Taostats_CSV!A1083=Taostats_CSV!$A$2,TRUE,Taostats_CSV!G1083+Taostats_CSV!H1083+Taostats_CSV!R1083=0)</f>
        <v>0</v>
      </c>
      <c r="T1083" t="b">
        <f t="shared" si="113"/>
        <v>1</v>
      </c>
      <c r="U1083" t="b" cm="1">
        <f t="array" aca="1" ref="U1083" ca="1">AND(T1083,OR(O1083-N1083&gt;1,P1083&gt;1,ISERROR(A1083:P1083)))</f>
        <v>0</v>
      </c>
      <c r="W1083">
        <f>MATCH(K1083&amp;$W$2,Taostats_CSV!$X$3:$X$1167,0)</f>
        <v>1081</v>
      </c>
      <c r="X1083">
        <f t="shared" ca="1" si="108"/>
        <v>172.13135099600001</v>
      </c>
      <c r="Y1083">
        <f t="shared" ca="1" si="109"/>
        <v>5.7032726340000002</v>
      </c>
      <c r="Z1083">
        <f t="shared" ca="1" si="110"/>
        <v>8.9147999999999994E-5</v>
      </c>
    </row>
    <row r="1084" spans="1:26" hidden="1" x14ac:dyDescent="0.4">
      <c r="A1084" t="str">
        <f>MID(Taostats_CSV!C1084,6,2)&amp;"/"&amp;MID(Taostats_CSV!C1084,9,2)&amp;"/"&amp;LEFT(Taostats_CSV!C1084,4)&amp;" "&amp;MID(Taostats_CSV!C1084,12,8)</f>
        <v>10/10/2025 21:46:24</v>
      </c>
      <c r="C1084" t="str">
        <f ca="1">IF(Q1084,OFFSET(Taostats_CSV!$E$1,MATCH(K1084&amp;D$1,Taostats_CSV!$X:$X,0)-1,0),IF(Taostats_CSV!F1084="fee","",IF(VALUE(Taostats_CSV!G1084)&gt;0,Taostats_CSV!E1084,"")))</f>
        <v>SN56</v>
      </c>
      <c r="D1084">
        <f ca="1">IF(Q1084,OFFSET(Taostats_CSV!$G$1,MATCH(K1084&amp;D$1,Taostats_CSV!$X:$X,0)-1,0),IF(Taostats_CSV!F1084="fee","",IF(VALUE(Taostats_CSV!G1084)&gt;0,Taostats_CSV!G1084,"")))</f>
        <v>172.13135099600001</v>
      </c>
      <c r="E1084" t="str">
        <f ca="1">IF(AND(Q1084,P1084&gt;0),OFFSET(Taostats_CSV!$E$1,MATCH(K1084&amp;F$1,Taostats_CSV!$X:$X,0)-1,0),IF(LEN(F1084)&gt;0,Taostats_CSV!E1084,""))</f>
        <v>TAO</v>
      </c>
      <c r="F1084" t="str">
        <f ca="1">TRIM(IF(AND(Q1084,P1084&gt;0),OFFSET(Taostats_CSV!$H$1,MATCH(K1084&amp;F$1,Taostats_CSV!$X:$X,0)-1,0),IF(LEN(Taostats_CSV!H1084)&gt;0,Taostats_CSV!H1084,Taostats_CSV!R1084)))</f>
        <v>5.703272634</v>
      </c>
      <c r="G1084" t="str">
        <f ca="1">IF(AND(Q1084,N1084=1),OFFSET(Taostats_CSV!$E$1,MATCH(K1084&amp;H$1,Taostats_CSV!$X:$X,0)-1,0),IF(Taostats_CSV!F1084="fee",Taostats_CSV!E1084,""))</f>
        <v>TAO</v>
      </c>
      <c r="H1084">
        <f ca="1">IF(AND(Q1084,N1084=1),OFFSET(Taostats_CSV!$G$1,MATCH(K1084&amp;H$1,Taostats_CSV!$X:$X,0)-1,0),IF(Taostats_CSV!F1084="fee",Taostats_CSV!G1084,""))</f>
        <v>8.9147999999999994E-5</v>
      </c>
      <c r="I1084" t="str">
        <f ca="1">IF(AND(LEN(K1084)=0,LEN(F1084)&gt;0),"Income",IF(AND(O1084&gt;0,P1084&gt;0,C1084&lt;&gt;E1084),"Trade",IF(AND(NOT(Q1084),Taostats_CSV!F1084="fee"),'READ ME'!$C$5,"")))</f>
        <v>Trade</v>
      </c>
      <c r="J1084" t="str">
        <f ca="1">SUBSTITUTE(IF(LEN(I1084)=0,Taostats_CSV!F1084&amp;" "&amp;Taostats_CSV!J1084,IF(I1084="Cost","Extrinsic fee","")),"_"," ")</f>
        <v/>
      </c>
      <c r="K1084" t="str">
        <f>TRIM(IF(LEN(Taostats_CSV!I1084)&gt;0,Taostats_CSV!I1084,""))</f>
        <v>6631517-0023</v>
      </c>
      <c r="L1084">
        <f ca="1">IF(Taostats_CSV!E1084&lt;&gt;"TAO",IF(LEN(F1084)&gt;0,F1084,IF(LEN(D1084)&gt;0,D1084,0))*Taostats_CSV!P1084,"")</f>
        <v>54.23812274934</v>
      </c>
      <c r="M1084" t="str">
        <f t="shared" ca="1" si="111"/>
        <v>USD</v>
      </c>
      <c r="N1084">
        <f>COUNTIF(Taostats_CSV!$X:$X,Taostats_CSV!$I1084&amp;N$1)</f>
        <v>1</v>
      </c>
      <c r="O1084">
        <f>COUNTIF(Taostats_CSV!$X:$X,Taostats_CSV!$I1084&amp;O$1)</f>
        <v>1</v>
      </c>
      <c r="P1084">
        <f>COUNTIF(Taostats_CSV!$X:$X,Taostats_CSV!$I1084&amp;P$1)</f>
        <v>1</v>
      </c>
      <c r="Q1084" t="b">
        <f t="shared" si="112"/>
        <v>1</v>
      </c>
      <c r="R1084">
        <f>IF(LEN(K1084)&gt;0,COUNTIF($K$3:K1084,K1084),FALSE)</f>
        <v>2</v>
      </c>
      <c r="S1084" t="b">
        <f>IF(Taostats_CSV!A1084=Taostats_CSV!$A$2,TRUE,Taostats_CSV!G1084+Taostats_CSV!H1084+Taostats_CSV!R1084=0)</f>
        <v>0</v>
      </c>
      <c r="T1084" t="b">
        <f t="shared" si="113"/>
        <v>0</v>
      </c>
      <c r="U1084" t="b" cm="1">
        <f t="array" aca="1" ref="U1084" ca="1">AND(T1084,OR(O1084-N1084&gt;1,P1084&gt;1,ISERROR(A1084:P1084)))</f>
        <v>0</v>
      </c>
      <c r="W1084">
        <f>MATCH(K1084&amp;$W$2,Taostats_CSV!$X$3:$X$1167,0)</f>
        <v>1081</v>
      </c>
      <c r="X1084">
        <f t="shared" ca="1" si="108"/>
        <v>172.13135099600001</v>
      </c>
      <c r="Y1084">
        <f t="shared" ca="1" si="109"/>
        <v>5.7032726340000002</v>
      </c>
      <c r="Z1084">
        <f t="shared" ca="1" si="110"/>
        <v>8.9147999999999994E-5</v>
      </c>
    </row>
    <row r="1085" spans="1:26" hidden="1" x14ac:dyDescent="0.4">
      <c r="A1085" t="str">
        <f>MID(Taostats_CSV!C1085,6,2)&amp;"/"&amp;MID(Taostats_CSV!C1085,9,2)&amp;"/"&amp;LEFT(Taostats_CSV!C1085,4)&amp;" "&amp;MID(Taostats_CSV!C1085,12,8)</f>
        <v>10/10/2025 21:46:24</v>
      </c>
      <c r="C1085" t="str">
        <f ca="1">IF(Q1085,OFFSET(Taostats_CSV!$E$1,MATCH(K1085&amp;D$1,Taostats_CSV!$X:$X,0)-1,0),IF(Taostats_CSV!F1085="fee","",IF(VALUE(Taostats_CSV!G1085)&gt;0,Taostats_CSV!E1085,"")))</f>
        <v>SN56</v>
      </c>
      <c r="D1085">
        <f ca="1">IF(Q1085,OFFSET(Taostats_CSV!$G$1,MATCH(K1085&amp;D$1,Taostats_CSV!$X:$X,0)-1,0),IF(Taostats_CSV!F1085="fee","",IF(VALUE(Taostats_CSV!G1085)&gt;0,Taostats_CSV!G1085,"")))</f>
        <v>172.13135099600001</v>
      </c>
      <c r="E1085" t="str">
        <f ca="1">IF(AND(Q1085,P1085&gt;0),OFFSET(Taostats_CSV!$E$1,MATCH(K1085&amp;F$1,Taostats_CSV!$X:$X,0)-1,0),IF(LEN(F1085)&gt;0,Taostats_CSV!E1085,""))</f>
        <v>TAO</v>
      </c>
      <c r="F1085" t="str">
        <f ca="1">TRIM(IF(AND(Q1085,P1085&gt;0),OFFSET(Taostats_CSV!$H$1,MATCH(K1085&amp;F$1,Taostats_CSV!$X:$X,0)-1,0),IF(LEN(Taostats_CSV!H1085)&gt;0,Taostats_CSV!H1085,Taostats_CSV!R1085)))</f>
        <v>5.703272634</v>
      </c>
      <c r="G1085" t="str">
        <f ca="1">IF(AND(Q1085,N1085=1),OFFSET(Taostats_CSV!$E$1,MATCH(K1085&amp;H$1,Taostats_CSV!$X:$X,0)-1,0),IF(Taostats_CSV!F1085="fee",Taostats_CSV!E1085,""))</f>
        <v>TAO</v>
      </c>
      <c r="H1085">
        <f ca="1">IF(AND(Q1085,N1085=1),OFFSET(Taostats_CSV!$G$1,MATCH(K1085&amp;H$1,Taostats_CSV!$X:$X,0)-1,0),IF(Taostats_CSV!F1085="fee",Taostats_CSV!G1085,""))</f>
        <v>8.9147999999999994E-5</v>
      </c>
      <c r="I1085" t="str">
        <f ca="1">IF(AND(LEN(K1085)=0,LEN(F1085)&gt;0),"Income",IF(AND(O1085&gt;0,P1085&gt;0,C1085&lt;&gt;E1085),"Trade",IF(AND(NOT(Q1085),Taostats_CSV!F1085="fee"),'READ ME'!$C$5,"")))</f>
        <v>Trade</v>
      </c>
      <c r="J1085" t="str">
        <f ca="1">SUBSTITUTE(IF(LEN(I1085)=0,Taostats_CSV!F1085&amp;" "&amp;Taostats_CSV!J1085,IF(I1085="Cost","Extrinsic fee","")),"_"," ")</f>
        <v/>
      </c>
      <c r="K1085" t="str">
        <f>TRIM(IF(LEN(Taostats_CSV!I1085)&gt;0,Taostats_CSV!I1085,""))</f>
        <v>6631517-0023</v>
      </c>
      <c r="L1085" t="str">
        <f>IF(Taostats_CSV!E1085&lt;&gt;"TAO",IF(LEN(F1085)&gt;0,F1085,IF(LEN(D1085)&gt;0,D1085,0))*Taostats_CSV!P1085,"")</f>
        <v/>
      </c>
      <c r="M1085" t="str">
        <f t="shared" si="111"/>
        <v/>
      </c>
      <c r="N1085">
        <f>COUNTIF(Taostats_CSV!$X:$X,Taostats_CSV!$I1085&amp;N$1)</f>
        <v>1</v>
      </c>
      <c r="O1085">
        <f>COUNTIF(Taostats_CSV!$X:$X,Taostats_CSV!$I1085&amp;O$1)</f>
        <v>1</v>
      </c>
      <c r="P1085">
        <f>COUNTIF(Taostats_CSV!$X:$X,Taostats_CSV!$I1085&amp;P$1)</f>
        <v>1</v>
      </c>
      <c r="Q1085" t="b">
        <f t="shared" si="112"/>
        <v>1</v>
      </c>
      <c r="R1085">
        <f>IF(LEN(K1085)&gt;0,COUNTIF($K$3:K1085,K1085),FALSE)</f>
        <v>3</v>
      </c>
      <c r="S1085" t="b">
        <f>IF(Taostats_CSV!A1085=Taostats_CSV!$A$2,TRUE,Taostats_CSV!G1085+Taostats_CSV!H1085+Taostats_CSV!R1085=0)</f>
        <v>0</v>
      </c>
      <c r="T1085" t="b">
        <f t="shared" si="113"/>
        <v>0</v>
      </c>
      <c r="U1085" t="b" cm="1">
        <f t="array" aca="1" ref="U1085" ca="1">AND(T1085,OR(O1085-N1085&gt;1,P1085&gt;1,ISERROR(A1085:P1085)))</f>
        <v>0</v>
      </c>
      <c r="W1085">
        <f>MATCH(K1085&amp;$W$2,Taostats_CSV!$X$3:$X$1167,0)</f>
        <v>1081</v>
      </c>
      <c r="X1085">
        <f t="shared" ca="1" si="108"/>
        <v>172.13135099600001</v>
      </c>
      <c r="Y1085">
        <f t="shared" ca="1" si="109"/>
        <v>5.7032726340000002</v>
      </c>
      <c r="Z1085">
        <f t="shared" ca="1" si="110"/>
        <v>8.9147999999999994E-5</v>
      </c>
    </row>
    <row r="1086" spans="1:26" x14ac:dyDescent="0.4">
      <c r="A1086" t="str">
        <f>MID(Taostats_CSV!C1086,6,2)&amp;"/"&amp;MID(Taostats_CSV!C1086,9,2)&amp;"/"&amp;LEFT(Taostats_CSV!C1086,4)&amp;" "&amp;MID(Taostats_CSV!C1086,12,8)</f>
        <v>10/10/2025 21:47:12</v>
      </c>
      <c r="C1086" t="str">
        <f ca="1">IF(Q1086,OFFSET(Taostats_CSV!$E$1,MATCH(K1086&amp;D$1,Taostats_CSV!$X:$X,0)-1,0),IF(Taostats_CSV!F1086="fee",IF(VALUE(Taostats_CSV!G1086)&gt;0,Taostats_CSV!E1086,""),""))</f>
        <v>TAO</v>
      </c>
      <c r="D1086">
        <f ca="1">IF(Q1086,OFFSET(Taostats_CSV!$G$1,MATCH(K1086&amp;D$1,Taostats_CSV!$X:$X,0)-1,0),IF(Taostats_CSV!F1086="fee",IF(VALUE(Taostats_CSV!G1086)&gt;0,Taostats_CSV!G1086,""),""))</f>
        <v>8.9147999999999994E-5</v>
      </c>
      <c r="E1086" t="str">
        <f ca="1">IF(AND(Q1086,P1086&gt;0),OFFSET(Taostats_CSV!$E$1,MATCH(K1086&amp;F$1,Taostats_CSV!$X:$X,0)-1,0),IF(LEN(F1086)&gt;0,Taostats_CSV!E1086,""))</f>
        <v/>
      </c>
      <c r="F1086" t="str">
        <f ca="1">TRIM(IF(AND(Q1086,P1086&gt;0),OFFSET(Taostats_CSV!$H$1,MATCH(K1086&amp;F$1,Taostats_CSV!$X:$X,0)-1,0),IF(LEN(Taostats_CSV!H1086)&gt;0,Taostats_CSV!H1086,Taostats_CSV!R1086)))</f>
        <v/>
      </c>
      <c r="G1086" t="str">
        <f ca="1">IF(AND(Q1086,N1086=1),OFFSET(Taostats_CSV!$E$1,MATCH(K1086&amp;H$1,Taostats_CSV!$X:$X,0)-1,0),"")</f>
        <v/>
      </c>
      <c r="H1086" t="str">
        <f ca="1">IF(AND(Q1086,N1086=1),OFFSET(Taostats_CSV!$G$1,MATCH(K1086&amp;H$1,Taostats_CSV!$X:$X,0)-1,0),"")</f>
        <v/>
      </c>
      <c r="I1086" t="str">
        <f ca="1">IF(AND(LEN(K1086)=0,LEN(F1086)&gt;0),"Income",IF(AND(O1086&gt;0,P1086&gt;0,C1086&lt;&gt;E1086),"Trade",IF(AND(NOT(Q1086),Taostats_CSV!F1086="fee"),'READ ME'!$C$5,"")))</f>
        <v>Merchant Payment</v>
      </c>
      <c r="J1086" t="str">
        <f ca="1">SUBSTITUTE(IF(LEN(I1086)=0,Taostats_CSV!F1086&amp;" "&amp;Taostats_CSV!J1086,IF(I1086="Cost","Extrinsic fee","")),"_"," ")</f>
        <v/>
      </c>
      <c r="K1086" t="str">
        <f>TRIM(IF(LEN(Taostats_CSV!I1086)&gt;0,Taostats_CSV!I1086,""))</f>
        <v>6631521-0016</v>
      </c>
      <c r="L1086" t="str">
        <f>IF(Taostats_CSV!E1086&lt;&gt;"TAO",IF(LEN(F1086)&gt;0,F1086,IF(LEN(D1086)&gt;0,D1086,0))*Taostats_CSV!P1086,"")</f>
        <v/>
      </c>
      <c r="M1086" t="str">
        <f t="shared" si="111"/>
        <v/>
      </c>
      <c r="N1086">
        <f>COUNTIF(Taostats_CSV!$X:$X,Taostats_CSV!$I1086&amp;N$1)</f>
        <v>1</v>
      </c>
      <c r="O1086">
        <f>COUNTIF(Taostats_CSV!$X:$X,Taostats_CSV!$I1086&amp;O$1)</f>
        <v>0</v>
      </c>
      <c r="P1086">
        <f>COUNTIF(Taostats_CSV!$X:$X,Taostats_CSV!$I1086&amp;P$1)</f>
        <v>0</v>
      </c>
      <c r="Q1086" t="b">
        <f t="shared" si="112"/>
        <v>0</v>
      </c>
      <c r="R1086">
        <f>IF(LEN(K1086)&gt;0,COUNTIF($K$3:K1086,K1086),FALSE)</f>
        <v>1</v>
      </c>
      <c r="S1086" t="b">
        <f>IF(Taostats_CSV!A1086=Taostats_CSV!$A$2,TRUE,Taostats_CSV!G1086+Taostats_CSV!H1086+Taostats_CSV!R1086=0)</f>
        <v>0</v>
      </c>
      <c r="T1086" t="b">
        <f t="shared" si="113"/>
        <v>1</v>
      </c>
      <c r="U1086" t="b" cm="1">
        <f t="array" aca="1" ref="U1086" ca="1">AND(T1086,OR(O1086-N1086&gt;1,P1086&gt;1,ISERROR(A1086:P1086)))</f>
        <v>0</v>
      </c>
      <c r="W1086">
        <f>MATCH(K1086&amp;$W$2,Taostats_CSV!$X$3:$X$1167,0)</f>
        <v>1084</v>
      </c>
      <c r="X1086">
        <f t="shared" ca="1" si="108"/>
        <v>8.9147999999999994E-5</v>
      </c>
      <c r="Y1086" t="e">
        <f t="shared" ca="1" si="109"/>
        <v>#VALUE!</v>
      </c>
      <c r="Z1086" t="e">
        <f t="shared" ca="1" si="110"/>
        <v>#VALUE!</v>
      </c>
    </row>
    <row r="1087" spans="1:26" x14ac:dyDescent="0.4">
      <c r="A1087" t="str">
        <f>MID(Taostats_CSV!C1087,6,2)&amp;"/"&amp;MID(Taostats_CSV!C1087,9,2)&amp;"/"&amp;LEFT(Taostats_CSV!C1087,4)&amp;" "&amp;MID(Taostats_CSV!C1087,12,8)</f>
        <v>10/10/2025 22:17:36</v>
      </c>
      <c r="C1087" t="str">
        <f ca="1">IF(Q1087,OFFSET(Taostats_CSV!$E$1,MATCH(K1087&amp;D$1,Taostats_CSV!$X:$X,0)-1,0),IF(Taostats_CSV!F1087="fee",IF(VALUE(Taostats_CSV!G1087)&gt;0,Taostats_CSV!E1087,""),""))</f>
        <v>TAO</v>
      </c>
      <c r="D1087">
        <f ca="1">IF(Q1087,OFFSET(Taostats_CSV!$G$1,MATCH(K1087&amp;D$1,Taostats_CSV!$X:$X,0)-1,0),IF(Taostats_CSV!F1087="fee",IF(VALUE(Taostats_CSV!G1087)&gt;0,Taostats_CSV!G1087,""),""))</f>
        <v>1</v>
      </c>
      <c r="E1087" t="str">
        <f ca="1">IF(AND(Q1087,P1087&gt;0),OFFSET(Taostats_CSV!$E$1,MATCH(K1087&amp;F$1,Taostats_CSV!$X:$X,0)-1,0),IF(LEN(F1087)&gt;0,Taostats_CSV!E1087,""))</f>
        <v/>
      </c>
      <c r="F1087" t="str">
        <f ca="1">TRIM(IF(AND(Q1087,P1087&gt;0),OFFSET(Taostats_CSV!$H$1,MATCH(K1087&amp;F$1,Taostats_CSV!$X:$X,0)-1,0),IF(LEN(Taostats_CSV!H1087)&gt;0,Taostats_CSV!H1087,Taostats_CSV!R1087)))</f>
        <v/>
      </c>
      <c r="G1087" t="str">
        <f ca="1">IF(AND(Q1087,N1087=1),OFFSET(Taostats_CSV!$E$1,MATCH(K1087&amp;H$1,Taostats_CSV!$X:$X,0)-1,0),"")</f>
        <v>TAO</v>
      </c>
      <c r="H1087">
        <f ca="1">IF(AND(Q1087,N1087=1),OFFSET(Taostats_CSV!$G$1,MATCH(K1087&amp;H$1,Taostats_CSV!$X:$X,0)-1,0),"")</f>
        <v>1.3756E-5</v>
      </c>
      <c r="I1087" t="str">
        <f ca="1">IF(AND(LEN(K1087)=0,LEN(F1087)&gt;0),"Income",IF(AND(O1087&gt;0,P1087&gt;0,C1087&lt;&gt;E1087),"Trade",IF(AND(NOT(Q1087),Taostats_CSV!F1087="fee"),'READ ME'!$C$5,"")))</f>
        <v/>
      </c>
      <c r="J1087" t="str">
        <f ca="1">SUBSTITUTE(IF(LEN(I1087)=0,Taostats_CSV!F1087&amp;" "&amp;Taostats_CSV!J1087,IF(I1087="Cost","Extrinsic fee","")),"_"," ")</f>
        <v>fee Balances.transfer keep alive</v>
      </c>
      <c r="K1087" t="str">
        <f>TRIM(IF(LEN(Taostats_CSV!I1087)&gt;0,Taostats_CSV!I1087,""))</f>
        <v>6631673-0013</v>
      </c>
      <c r="L1087" t="str">
        <f>IF(Taostats_CSV!E1087&lt;&gt;"TAO",IF(LEN(F1087)&gt;0,F1087,IF(LEN(D1087)&gt;0,D1087,0))*Taostats_CSV!P1087,"")</f>
        <v/>
      </c>
      <c r="M1087" t="str">
        <f t="shared" si="111"/>
        <v/>
      </c>
      <c r="N1087">
        <f>COUNTIF(Taostats_CSV!$X:$X,Taostats_CSV!$I1087&amp;N$1)</f>
        <v>1</v>
      </c>
      <c r="O1087">
        <f>COUNTIF(Taostats_CSV!$X:$X,Taostats_CSV!$I1087&amp;O$1)</f>
        <v>1</v>
      </c>
      <c r="P1087">
        <f>COUNTIF(Taostats_CSV!$X:$X,Taostats_CSV!$I1087&amp;P$1)</f>
        <v>0</v>
      </c>
      <c r="Q1087" t="b">
        <f t="shared" si="112"/>
        <v>1</v>
      </c>
      <c r="R1087">
        <f>IF(LEN(K1087)&gt;0,COUNTIF($K$3:K1087,K1087),FALSE)</f>
        <v>1</v>
      </c>
      <c r="S1087" t="b">
        <f>IF(Taostats_CSV!A1087=Taostats_CSV!$A$2,TRUE,Taostats_CSV!G1087+Taostats_CSV!H1087+Taostats_CSV!R1087=0)</f>
        <v>0</v>
      </c>
      <c r="T1087" t="b">
        <f t="shared" si="113"/>
        <v>1</v>
      </c>
      <c r="U1087" t="b" cm="1">
        <f t="array" aca="1" ref="U1087" ca="1">AND(T1087,OR(O1087-N1087&gt;1,P1087&gt;1,ISERROR(A1087:P1087)))</f>
        <v>0</v>
      </c>
      <c r="W1087">
        <f>MATCH(K1087&amp;$W$2,Taostats_CSV!$X$3:$X$1167,0)</f>
        <v>1085</v>
      </c>
      <c r="X1087">
        <f t="shared" ca="1" si="108"/>
        <v>1</v>
      </c>
      <c r="Y1087" t="e">
        <f t="shared" ca="1" si="109"/>
        <v>#VALUE!</v>
      </c>
      <c r="Z1087">
        <f t="shared" ca="1" si="110"/>
        <v>1.3756E-5</v>
      </c>
    </row>
    <row r="1088" spans="1:26" hidden="1" x14ac:dyDescent="0.4">
      <c r="A1088" t="str">
        <f>MID(Taostats_CSV!C1088,6,2)&amp;"/"&amp;MID(Taostats_CSV!C1088,9,2)&amp;"/"&amp;LEFT(Taostats_CSV!C1088,4)&amp;" "&amp;MID(Taostats_CSV!C1088,12,8)</f>
        <v>10/10/2025 22:17:36</v>
      </c>
      <c r="C1088" t="str">
        <f ca="1">IF(Q1088,OFFSET(Taostats_CSV!$E$1,MATCH(K1088&amp;D$1,Taostats_CSV!$X:$X,0)-1,0),IF(Taostats_CSV!F1088="fee","",IF(VALUE(Taostats_CSV!G1088)&gt;0,Taostats_CSV!E1088,"")))</f>
        <v>TAO</v>
      </c>
      <c r="D1088">
        <f ca="1">IF(Q1088,OFFSET(Taostats_CSV!$G$1,MATCH(K1088&amp;D$1,Taostats_CSV!$X:$X,0)-1,0),IF(Taostats_CSV!F1088="fee","",IF(VALUE(Taostats_CSV!G1088)&gt;0,Taostats_CSV!G1088,"")))</f>
        <v>1</v>
      </c>
      <c r="E1088" t="str">
        <f ca="1">IF(AND(Q1088,P1088&gt;0),OFFSET(Taostats_CSV!$E$1,MATCH(K1088&amp;F$1,Taostats_CSV!$X:$X,0)-1,0),IF(LEN(F1088)&gt;0,Taostats_CSV!E1088,""))</f>
        <v/>
      </c>
      <c r="F1088" t="str">
        <f ca="1">TRIM(IF(AND(Q1088,P1088&gt;0),OFFSET(Taostats_CSV!$H$1,MATCH(K1088&amp;F$1,Taostats_CSV!$X:$X,0)-1,0),IF(LEN(Taostats_CSV!H1088)&gt;0,Taostats_CSV!H1088,Taostats_CSV!R1088)))</f>
        <v/>
      </c>
      <c r="G1088" t="str">
        <f ca="1">IF(AND(Q1088,N1088=1),OFFSET(Taostats_CSV!$E$1,MATCH(K1088&amp;H$1,Taostats_CSV!$X:$X,0)-1,0),IF(Taostats_CSV!F1088="fee",Taostats_CSV!E1088,""))</f>
        <v>TAO</v>
      </c>
      <c r="H1088">
        <f ca="1">IF(AND(Q1088,N1088=1),OFFSET(Taostats_CSV!$G$1,MATCH(K1088&amp;H$1,Taostats_CSV!$X:$X,0)-1,0),IF(Taostats_CSV!F1088="fee",Taostats_CSV!G1088,""))</f>
        <v>1.3756E-5</v>
      </c>
      <c r="I1088" t="str">
        <f ca="1">IF(AND(LEN(K1088)=0,LEN(F1088)&gt;0),"Income",IF(AND(O1088&gt;0,P1088&gt;0,C1088&lt;&gt;E1088),"Trade",IF(AND(NOT(Q1088),Taostats_CSV!F1088="fee"),'READ ME'!$C$5,"")))</f>
        <v/>
      </c>
      <c r="J1088" t="str">
        <f ca="1">SUBSTITUTE(IF(LEN(I1088)=0,Taostats_CSV!F1088&amp;" "&amp;Taostats_CSV!J1088,IF(I1088="Cost","Extrinsic fee","")),"_"," ")</f>
        <v>transfer out 5HbnKZMzGk3GT3mpWZgKuQHq3CC8LeW2tbNq1FkBLQhzUX6L</v>
      </c>
      <c r="K1088" t="str">
        <f>TRIM(IF(LEN(Taostats_CSV!I1088)&gt;0,Taostats_CSV!I1088,""))</f>
        <v>6631673-0013</v>
      </c>
      <c r="L1088" t="str">
        <f>IF(Taostats_CSV!E1088&lt;&gt;"TAO",IF(LEN(F1088)&gt;0,F1088,IF(LEN(D1088)&gt;0,D1088,0))*Taostats_CSV!P1088,"")</f>
        <v/>
      </c>
      <c r="M1088" t="str">
        <f t="shared" si="111"/>
        <v/>
      </c>
      <c r="N1088">
        <f>COUNTIF(Taostats_CSV!$X:$X,Taostats_CSV!$I1088&amp;N$1)</f>
        <v>1</v>
      </c>
      <c r="O1088">
        <f>COUNTIF(Taostats_CSV!$X:$X,Taostats_CSV!$I1088&amp;O$1)</f>
        <v>1</v>
      </c>
      <c r="P1088">
        <f>COUNTIF(Taostats_CSV!$X:$X,Taostats_CSV!$I1088&amp;P$1)</f>
        <v>0</v>
      </c>
      <c r="Q1088" t="b">
        <f t="shared" si="112"/>
        <v>1</v>
      </c>
      <c r="R1088">
        <f>IF(LEN(K1088)&gt;0,COUNTIF($K$3:K1088,K1088),FALSE)</f>
        <v>2</v>
      </c>
      <c r="S1088" t="b">
        <f>IF(Taostats_CSV!A1088=Taostats_CSV!$A$2,TRUE,Taostats_CSV!G1088+Taostats_CSV!H1088+Taostats_CSV!R1088=0)</f>
        <v>0</v>
      </c>
      <c r="T1088" t="b">
        <f t="shared" si="113"/>
        <v>0</v>
      </c>
      <c r="U1088" t="b" cm="1">
        <f t="array" aca="1" ref="U1088" ca="1">AND(T1088,OR(O1088-N1088&gt;1,P1088&gt;1,ISERROR(A1088:P1088)))</f>
        <v>0</v>
      </c>
      <c r="W1088">
        <f>MATCH(K1088&amp;$W$2,Taostats_CSV!$X$3:$X$1167,0)</f>
        <v>1085</v>
      </c>
      <c r="X1088">
        <f t="shared" ca="1" si="108"/>
        <v>1</v>
      </c>
      <c r="Y1088" t="e">
        <f t="shared" ca="1" si="109"/>
        <v>#VALUE!</v>
      </c>
      <c r="Z1088">
        <f t="shared" ca="1" si="110"/>
        <v>1.3756E-5</v>
      </c>
    </row>
    <row r="1089" spans="1:26" x14ac:dyDescent="0.4">
      <c r="A1089" t="str">
        <f>MID(Taostats_CSV!C1089,6,2)&amp;"/"&amp;MID(Taostats_CSV!C1089,9,2)&amp;"/"&amp;LEFT(Taostats_CSV!C1089,4)&amp;" "&amp;MID(Taostats_CSV!C1089,12,8)</f>
        <v>10/10/2025 22:21:36</v>
      </c>
      <c r="C1089" t="str">
        <f ca="1">IF(Q1089,OFFSET(Taostats_CSV!$E$1,MATCH(K1089&amp;D$1,Taostats_CSV!$X:$X,0)-1,0),IF(Taostats_CSV!F1089="fee",IF(VALUE(Taostats_CSV!G1089)&gt;0,Taostats_CSV!E1089,""),""))</f>
        <v>TAO</v>
      </c>
      <c r="D1089">
        <f ca="1">IF(Q1089,OFFSET(Taostats_CSV!$G$1,MATCH(K1089&amp;D$1,Taostats_CSV!$X:$X,0)-1,0),IF(Taostats_CSV!F1089="fee",IF(VALUE(Taostats_CSV!G1089)&gt;0,Taostats_CSV!G1089,""),""))</f>
        <v>88.5</v>
      </c>
      <c r="E1089" t="str">
        <f ca="1">IF(AND(Q1089,P1089&gt;0),OFFSET(Taostats_CSV!$E$1,MATCH(K1089&amp;F$1,Taostats_CSV!$X:$X,0)-1,0),IF(LEN(F1089)&gt;0,Taostats_CSV!E1089,""))</f>
        <v/>
      </c>
      <c r="F1089" t="str">
        <f ca="1">TRIM(IF(AND(Q1089,P1089&gt;0),OFFSET(Taostats_CSV!$H$1,MATCH(K1089&amp;F$1,Taostats_CSV!$X:$X,0)-1,0),IF(LEN(Taostats_CSV!H1089)&gt;0,Taostats_CSV!H1089,Taostats_CSV!R1089)))</f>
        <v/>
      </c>
      <c r="G1089" t="str">
        <f ca="1">IF(AND(Q1089,N1089=1),OFFSET(Taostats_CSV!$E$1,MATCH(K1089&amp;H$1,Taostats_CSV!$X:$X,0)-1,0),"")</f>
        <v>TAO</v>
      </c>
      <c r="H1089">
        <f ca="1">IF(AND(Q1089,N1089=1),OFFSET(Taostats_CSV!$G$1,MATCH(K1089&amp;H$1,Taostats_CSV!$X:$X,0)-1,0),"")</f>
        <v>1.3757999999999999E-5</v>
      </c>
      <c r="I1089" t="str">
        <f ca="1">IF(AND(LEN(K1089)=0,LEN(F1089)&gt;0),"Income",IF(AND(O1089&gt;0,P1089&gt;0,C1089&lt;&gt;E1089),"Trade",IF(AND(NOT(Q1089),Taostats_CSV!F1089="fee"),'READ ME'!$C$5,"")))</f>
        <v/>
      </c>
      <c r="J1089" t="str">
        <f ca="1">SUBSTITUTE(IF(LEN(I1089)=0,Taostats_CSV!F1089&amp;" "&amp;Taostats_CSV!J1089,IF(I1089="Cost","Extrinsic fee","")),"_"," ")</f>
        <v>fee Balances.transfer keep alive</v>
      </c>
      <c r="K1089" t="str">
        <f>TRIM(IF(LEN(Taostats_CSV!I1089)&gt;0,Taostats_CSV!I1089,""))</f>
        <v>6631693-0008</v>
      </c>
      <c r="L1089" t="str">
        <f>IF(Taostats_CSV!E1089&lt;&gt;"TAO",IF(LEN(F1089)&gt;0,F1089,IF(LEN(D1089)&gt;0,D1089,0))*Taostats_CSV!P1089,"")</f>
        <v/>
      </c>
      <c r="M1089" t="str">
        <f t="shared" si="111"/>
        <v/>
      </c>
      <c r="N1089">
        <f>COUNTIF(Taostats_CSV!$X:$X,Taostats_CSV!$I1089&amp;N$1)</f>
        <v>1</v>
      </c>
      <c r="O1089">
        <f>COUNTIF(Taostats_CSV!$X:$X,Taostats_CSV!$I1089&amp;O$1)</f>
        <v>1</v>
      </c>
      <c r="P1089">
        <f>COUNTIF(Taostats_CSV!$X:$X,Taostats_CSV!$I1089&amp;P$1)</f>
        <v>0</v>
      </c>
      <c r="Q1089" t="b">
        <f t="shared" si="112"/>
        <v>1</v>
      </c>
      <c r="R1089">
        <f>IF(LEN(K1089)&gt;0,COUNTIF($K$3:K1089,K1089),FALSE)</f>
        <v>1</v>
      </c>
      <c r="S1089" t="b">
        <f>IF(Taostats_CSV!A1089=Taostats_CSV!$A$2,TRUE,Taostats_CSV!G1089+Taostats_CSV!H1089+Taostats_CSV!R1089=0)</f>
        <v>0</v>
      </c>
      <c r="T1089" t="b">
        <f t="shared" si="113"/>
        <v>1</v>
      </c>
      <c r="U1089" t="b" cm="1">
        <f t="array" aca="1" ref="U1089" ca="1">AND(T1089,OR(O1089-N1089&gt;1,P1089&gt;1,ISERROR(A1089:P1089)))</f>
        <v>0</v>
      </c>
      <c r="W1089">
        <f>MATCH(K1089&amp;$W$2,Taostats_CSV!$X$3:$X$1167,0)</f>
        <v>1087</v>
      </c>
      <c r="X1089">
        <f t="shared" ca="1" si="108"/>
        <v>88.5</v>
      </c>
      <c r="Y1089" t="e">
        <f t="shared" ca="1" si="109"/>
        <v>#VALUE!</v>
      </c>
      <c r="Z1089">
        <f t="shared" ca="1" si="110"/>
        <v>1.3757999999999999E-5</v>
      </c>
    </row>
    <row r="1090" spans="1:26" hidden="1" x14ac:dyDescent="0.4">
      <c r="A1090" t="str">
        <f>MID(Taostats_CSV!C1090,6,2)&amp;"/"&amp;MID(Taostats_CSV!C1090,9,2)&amp;"/"&amp;LEFT(Taostats_CSV!C1090,4)&amp;" "&amp;MID(Taostats_CSV!C1090,12,8)</f>
        <v>10/10/2025 22:21:36</v>
      </c>
      <c r="C1090" t="str">
        <f ca="1">IF(Q1090,OFFSET(Taostats_CSV!$E$1,MATCH(K1090&amp;D$1,Taostats_CSV!$X:$X,0)-1,0),IF(Taostats_CSV!F1090="fee","",IF(VALUE(Taostats_CSV!G1090)&gt;0,Taostats_CSV!E1090,"")))</f>
        <v>TAO</v>
      </c>
      <c r="D1090">
        <f ca="1">IF(Q1090,OFFSET(Taostats_CSV!$G$1,MATCH(K1090&amp;D$1,Taostats_CSV!$X:$X,0)-1,0),IF(Taostats_CSV!F1090="fee","",IF(VALUE(Taostats_CSV!G1090)&gt;0,Taostats_CSV!G1090,"")))</f>
        <v>88.5</v>
      </c>
      <c r="E1090" t="str">
        <f ca="1">IF(AND(Q1090,P1090&gt;0),OFFSET(Taostats_CSV!$E$1,MATCH(K1090&amp;F$1,Taostats_CSV!$X:$X,0)-1,0),IF(LEN(F1090)&gt;0,Taostats_CSV!E1090,""))</f>
        <v/>
      </c>
      <c r="F1090" t="str">
        <f ca="1">TRIM(IF(AND(Q1090,P1090&gt;0),OFFSET(Taostats_CSV!$H$1,MATCH(K1090&amp;F$1,Taostats_CSV!$X:$X,0)-1,0),IF(LEN(Taostats_CSV!H1090)&gt;0,Taostats_CSV!H1090,Taostats_CSV!R1090)))</f>
        <v/>
      </c>
      <c r="G1090" t="str">
        <f ca="1">IF(AND(Q1090,N1090=1),OFFSET(Taostats_CSV!$E$1,MATCH(K1090&amp;H$1,Taostats_CSV!$X:$X,0)-1,0),IF(Taostats_CSV!F1090="fee",Taostats_CSV!E1090,""))</f>
        <v>TAO</v>
      </c>
      <c r="H1090">
        <f ca="1">IF(AND(Q1090,N1090=1),OFFSET(Taostats_CSV!$G$1,MATCH(K1090&amp;H$1,Taostats_CSV!$X:$X,0)-1,0),IF(Taostats_CSV!F1090="fee",Taostats_CSV!G1090,""))</f>
        <v>1.3757999999999999E-5</v>
      </c>
      <c r="I1090" t="str">
        <f ca="1">IF(AND(LEN(K1090)=0,LEN(F1090)&gt;0),"Income",IF(AND(O1090&gt;0,P1090&gt;0,C1090&lt;&gt;E1090),"Trade",IF(AND(NOT(Q1090),Taostats_CSV!F1090="fee"),'READ ME'!$C$5,"")))</f>
        <v/>
      </c>
      <c r="J1090" t="str">
        <f ca="1">SUBSTITUTE(IF(LEN(I1090)=0,Taostats_CSV!F1090&amp;" "&amp;Taostats_CSV!J1090,IF(I1090="Cost","Extrinsic fee","")),"_"," ")</f>
        <v>transfer out 5HbnKZMzGk3GT3mpWZgKuQHq3CC8LeW2tbNq1FkBLQhzUX6L</v>
      </c>
      <c r="K1090" t="str">
        <f>TRIM(IF(LEN(Taostats_CSV!I1090)&gt;0,Taostats_CSV!I1090,""))</f>
        <v>6631693-0008</v>
      </c>
      <c r="L1090" t="str">
        <f>IF(Taostats_CSV!E1090&lt;&gt;"TAO",IF(LEN(F1090)&gt;0,F1090,IF(LEN(D1090)&gt;0,D1090,0))*Taostats_CSV!P1090,"")</f>
        <v/>
      </c>
      <c r="M1090" t="str">
        <f t="shared" si="111"/>
        <v/>
      </c>
      <c r="N1090">
        <f>COUNTIF(Taostats_CSV!$X:$X,Taostats_CSV!$I1090&amp;N$1)</f>
        <v>1</v>
      </c>
      <c r="O1090">
        <f>COUNTIF(Taostats_CSV!$X:$X,Taostats_CSV!$I1090&amp;O$1)</f>
        <v>1</v>
      </c>
      <c r="P1090">
        <f>COUNTIF(Taostats_CSV!$X:$X,Taostats_CSV!$I1090&amp;P$1)</f>
        <v>0</v>
      </c>
      <c r="Q1090" t="b">
        <f t="shared" si="112"/>
        <v>1</v>
      </c>
      <c r="R1090">
        <f>IF(LEN(K1090)&gt;0,COUNTIF($K$3:K1090,K1090),FALSE)</f>
        <v>2</v>
      </c>
      <c r="S1090" t="b">
        <f>IF(Taostats_CSV!A1090=Taostats_CSV!$A$2,TRUE,Taostats_CSV!G1090+Taostats_CSV!H1090+Taostats_CSV!R1090=0)</f>
        <v>0</v>
      </c>
      <c r="T1090" t="b">
        <f t="shared" si="113"/>
        <v>0</v>
      </c>
      <c r="U1090" t="b" cm="1">
        <f t="array" aca="1" ref="U1090" ca="1">AND(T1090,OR(O1090-N1090&gt;1,P1090&gt;1,ISERROR(A1090:P1090)))</f>
        <v>0</v>
      </c>
      <c r="W1090">
        <f>MATCH(K1090&amp;$W$2,Taostats_CSV!$X$3:$X$1167,0)</f>
        <v>1087</v>
      </c>
      <c r="X1090">
        <f t="shared" ca="1" si="108"/>
        <v>88.5</v>
      </c>
      <c r="Y1090" t="e">
        <f t="shared" ca="1" si="109"/>
        <v>#VALUE!</v>
      </c>
      <c r="Z1090">
        <f t="shared" ca="1" si="110"/>
        <v>1.3757999999999999E-5</v>
      </c>
    </row>
    <row r="1091" spans="1:26" x14ac:dyDescent="0.4">
      <c r="A1091" t="str">
        <f>MID(Taostats_CSV!C1091,6,2)&amp;"/"&amp;MID(Taostats_CSV!C1091,9,2)&amp;"/"&amp;LEFT(Taostats_CSV!C1091,4)&amp;" "&amp;MID(Taostats_CSV!C1091,12,8)</f>
        <v>10/10/2025 23:59:48</v>
      </c>
      <c r="C1091" t="str">
        <f ca="1">IF(Q1091,OFFSET(Taostats_CSV!$E$1,MATCH(K1091&amp;D$1,Taostats_CSV!$X:$X,0)-1,0),IF(Taostats_CSV!F1091="fee",IF(VALUE(Taostats_CSV!G1091)&gt;0,Taostats_CSV!E1091,""),""))</f>
        <v/>
      </c>
      <c r="D1091" t="str">
        <f ca="1">IF(Q1091,OFFSET(Taostats_CSV!$G$1,MATCH(K1091&amp;D$1,Taostats_CSV!$X:$X,0)-1,0),IF(Taostats_CSV!F1091="fee",IF(VALUE(Taostats_CSV!G1091)&gt;0,Taostats_CSV!G1091,""),""))</f>
        <v/>
      </c>
      <c r="E1091" t="str">
        <f ca="1">IF(AND(Q1091,P1091&gt;0),OFFSET(Taostats_CSV!$E$1,MATCH(K1091&amp;F$1,Taostats_CSV!$X:$X,0)-1,0),IF(LEN(F1091)&gt;0,Taostats_CSV!E1091,""))</f>
        <v>TAO</v>
      </c>
      <c r="F1091" t="str">
        <f ca="1">TRIM(IF(AND(Q1091,P1091&gt;0),OFFSET(Taostats_CSV!$H$1,MATCH(K1091&amp;F$1,Taostats_CSV!$X:$X,0)-1,0),IF(LEN(Taostats_CSV!H1091)&gt;0,Taostats_CSV!H1091,Taostats_CSV!R1091)))</f>
        <v>0.007281772</v>
      </c>
      <c r="G1091" t="str">
        <f ca="1">IF(AND(Q1091,N1091=1),OFFSET(Taostats_CSV!$E$1,MATCH(K1091&amp;H$1,Taostats_CSV!$X:$X,0)-1,0),"")</f>
        <v/>
      </c>
      <c r="H1091" t="str">
        <f ca="1">IF(AND(Q1091,N1091=1),OFFSET(Taostats_CSV!$G$1,MATCH(K1091&amp;H$1,Taostats_CSV!$X:$X,0)-1,0),"")</f>
        <v/>
      </c>
      <c r="I1091" t="str">
        <f ca="1">IF(AND(LEN(K1091)=0,LEN(F1091)&gt;0),"Income",IF(AND(O1091&gt;0,P1091&gt;0,C1091&lt;&gt;E1091),"Trade",IF(AND(NOT(Q1091),Taostats_CSV!F1091="fee"),'READ ME'!$C$5,"")))</f>
        <v>Income</v>
      </c>
      <c r="J1091" t="str">
        <f ca="1">SUBSTITUTE(IF(LEN(I1091)=0,Taostats_CSV!F1091&amp;" "&amp;Taostats_CSV!J1091,IF(I1091="Cost","Extrinsic fee","")),"_"," ")</f>
        <v/>
      </c>
      <c r="K1091" t="str">
        <f>TRIM(IF(LEN(Taostats_CSV!I1091)&gt;0,Taostats_CSV!I1091,""))</f>
        <v/>
      </c>
      <c r="L1091" t="str">
        <f>IF(Taostats_CSV!E1091&lt;&gt;"TAO",IF(LEN(F1091)&gt;0,F1091,IF(LEN(D1091)&gt;0,D1091,0))*Taostats_CSV!P1091,"")</f>
        <v/>
      </c>
      <c r="M1091" t="str">
        <f t="shared" si="111"/>
        <v/>
      </c>
      <c r="N1091">
        <f>COUNTIF(Taostats_CSV!$X:$X,Taostats_CSV!$I1091&amp;N$1)</f>
        <v>0</v>
      </c>
      <c r="O1091">
        <f>COUNTIF(Taostats_CSV!$X:$X,Taostats_CSV!$I1091&amp;O$1)</f>
        <v>0</v>
      </c>
      <c r="P1091">
        <f>COUNTIF(Taostats_CSV!$X:$X,Taostats_CSV!$I1091&amp;P$1)</f>
        <v>0</v>
      </c>
      <c r="Q1091" t="b">
        <f t="shared" si="112"/>
        <v>0</v>
      </c>
      <c r="R1091" t="b">
        <f>IF(LEN(K1091)&gt;0,COUNTIF($K$3:K1091,K1091),FALSE)</f>
        <v>0</v>
      </c>
      <c r="S1091" t="b">
        <f>IF(Taostats_CSV!A1091=Taostats_CSV!$A$2,TRUE,Taostats_CSV!G1091+Taostats_CSV!H1091+Taostats_CSV!R1091=0)</f>
        <v>0</v>
      </c>
      <c r="T1091" t="b">
        <f t="shared" si="113"/>
        <v>1</v>
      </c>
      <c r="U1091" t="b" cm="1">
        <f t="array" aca="1" ref="U1091" ca="1">AND(T1091,OR(O1091-N1091&gt;1,P1091&gt;1,ISERROR(A1091:P1091)))</f>
        <v>0</v>
      </c>
      <c r="W1091" t="e">
        <f>MATCH(K1091&amp;$W$2,Taostats_CSV!$X$3:$X$1167,0)</f>
        <v>#N/A</v>
      </c>
      <c r="X1091" t="e">
        <f t="shared" ref="X1091:X1154" ca="1" si="114">VALUE(D1091)</f>
        <v>#VALUE!</v>
      </c>
      <c r="Y1091">
        <f t="shared" ref="Y1091:Y1154" ca="1" si="115">VALUE(F1091)</f>
        <v>7.2817719999999997E-3</v>
      </c>
      <c r="Z1091" t="e">
        <f t="shared" ref="Z1091:Z1156" ca="1" si="116">VALUE(H1091)</f>
        <v>#VALUE!</v>
      </c>
    </row>
    <row r="1092" spans="1:26" hidden="1" x14ac:dyDescent="0.4">
      <c r="A1092" t="str">
        <f>MID(Taostats_CSV!C1092,6,2)&amp;"/"&amp;MID(Taostats_CSV!C1092,9,2)&amp;"/"&amp;LEFT(Taostats_CSV!C1092,4)&amp;" "&amp;MID(Taostats_CSV!C1092,12,8)</f>
        <v>10/11/2025 23:59:48</v>
      </c>
      <c r="C1092" t="str">
        <f ca="1">IF(Q1092,OFFSET(Taostats_CSV!$E$1,MATCH(K1092&amp;D$1,Taostats_CSV!$X:$X,0)-1,0),IF(Taostats_CSV!F1092="fee","",IF(VALUE(Taostats_CSV!G1092)&gt;0,Taostats_CSV!E1092,"")))</f>
        <v/>
      </c>
      <c r="D1092" t="str">
        <f ca="1">IF(Q1092,OFFSET(Taostats_CSV!$G$1,MATCH(K1092&amp;D$1,Taostats_CSV!$X:$X,0)-1,0),IF(Taostats_CSV!F1092="fee","",IF(VALUE(Taostats_CSV!G1092)&gt;0,Taostats_CSV!G1092,"")))</f>
        <v/>
      </c>
      <c r="E1092" t="str">
        <f ca="1">IF(AND(Q1092,P1092&gt;0),OFFSET(Taostats_CSV!$E$1,MATCH(K1092&amp;F$1,Taostats_CSV!$X:$X,0)-1,0),IF(LEN(F1092)&gt;0,Taostats_CSV!E1092,""))</f>
        <v>TAO</v>
      </c>
      <c r="F1092" t="str">
        <f ca="1">TRIM(IF(AND(Q1092,P1092&gt;0),OFFSET(Taostats_CSV!$H$1,MATCH(K1092&amp;F$1,Taostats_CSV!$X:$X,0)-1,0),IF(LEN(Taostats_CSV!H1092)&gt;0,Taostats_CSV!H1092,Taostats_CSV!R1092)))</f>
        <v>0</v>
      </c>
      <c r="G1092" t="str">
        <f ca="1">IF(AND(Q1092,N1092=1),OFFSET(Taostats_CSV!$E$1,MATCH(K1092&amp;H$1,Taostats_CSV!$X:$X,0)-1,0),IF(Taostats_CSV!F1092="fee",Taostats_CSV!E1092,""))</f>
        <v/>
      </c>
      <c r="H1092" t="str">
        <f ca="1">IF(AND(Q1092,N1092=1),OFFSET(Taostats_CSV!$G$1,MATCH(K1092&amp;H$1,Taostats_CSV!$X:$X,0)-1,0),IF(Taostats_CSV!F1092="fee",Taostats_CSV!G1092,""))</f>
        <v/>
      </c>
      <c r="I1092" t="str">
        <f ca="1">IF(AND(LEN(K1092)=0,LEN(F1092)&gt;0),"Income",IF(AND(O1092&gt;0,P1092&gt;0,C1092&lt;&gt;E1092),"Trade",IF(AND(NOT(Q1092),Taostats_CSV!F1092="fee"),'READ ME'!$C$5,"")))</f>
        <v>Income</v>
      </c>
      <c r="J1092" t="str">
        <f ca="1">SUBSTITUTE(IF(LEN(I1092)=0,Taostats_CSV!F1092&amp;" "&amp;Taostats_CSV!J1092,IF(I1092="Cost","Extrinsic fee","")),"_"," ")</f>
        <v/>
      </c>
      <c r="K1092" t="str">
        <f>TRIM(IF(LEN(Taostats_CSV!I1092)&gt;0,Taostats_CSV!I1092,""))</f>
        <v/>
      </c>
      <c r="L1092" t="str">
        <f>IF(Taostats_CSV!E1092&lt;&gt;"TAO",IF(LEN(F1092)&gt;0,F1092,IF(LEN(D1092)&gt;0,D1092,0))*Taostats_CSV!P1092,"")</f>
        <v/>
      </c>
      <c r="M1092" t="str">
        <f t="shared" ref="M1092:M1155" si="117">IF(LEN(L1092)&gt;0,"USD","")</f>
        <v/>
      </c>
      <c r="N1092">
        <f>COUNTIF(Taostats_CSV!$X:$X,Taostats_CSV!$I1092&amp;N$1)</f>
        <v>0</v>
      </c>
      <c r="O1092">
        <f>COUNTIF(Taostats_CSV!$X:$X,Taostats_CSV!$I1092&amp;O$1)</f>
        <v>0</v>
      </c>
      <c r="P1092">
        <f>COUNTIF(Taostats_CSV!$X:$X,Taostats_CSV!$I1092&amp;P$1)</f>
        <v>0</v>
      </c>
      <c r="Q1092" t="b">
        <f t="shared" ref="Q1092:Q1155" si="118">AND(O1092&lt;=1,N1092&lt;=1,P1092&lt;=1,O1092+N1092+P1092&gt;=2)</f>
        <v>0</v>
      </c>
      <c r="R1092" t="b">
        <f>IF(LEN(K1092)&gt;0,COUNTIF($K$3:K1092,K1092),FALSE)</f>
        <v>0</v>
      </c>
      <c r="S1092" t="b">
        <f>IF(Taostats_CSV!A1092=Taostats_CSV!$A$2,TRUE,Taostats_CSV!G1092+Taostats_CSV!H1092+Taostats_CSV!R1092=0)</f>
        <v>1</v>
      </c>
      <c r="T1092" t="b">
        <f t="shared" ref="T1092:T1155" si="119">AND(NOT(S1092),OR(NOT(Q1092),R1092=1))</f>
        <v>0</v>
      </c>
      <c r="U1092" t="b" cm="1">
        <f t="array" aca="1" ref="U1092" ca="1">AND(T1092,OR(O1092-N1092&gt;1,P1092&gt;1,ISERROR(A1092:P1092)))</f>
        <v>0</v>
      </c>
      <c r="W1092" t="e">
        <f>MATCH(K1092&amp;$W$2,Taostats_CSV!$X$3:$X$1167,0)</f>
        <v>#N/A</v>
      </c>
      <c r="X1092" t="e">
        <f t="shared" ca="1" si="114"/>
        <v>#VALUE!</v>
      </c>
      <c r="Y1092">
        <f t="shared" ca="1" si="115"/>
        <v>0</v>
      </c>
      <c r="Z1092" t="e">
        <f t="shared" ca="1" si="116"/>
        <v>#VALUE!</v>
      </c>
    </row>
    <row r="1093" spans="1:26" hidden="1" x14ac:dyDescent="0.4">
      <c r="A1093" t="str">
        <f>MID(Taostats_CSV!C1093,6,2)&amp;"/"&amp;MID(Taostats_CSV!C1093,9,2)&amp;"/"&amp;LEFT(Taostats_CSV!C1093,4)&amp;" "&amp;MID(Taostats_CSV!C1093,12,8)</f>
        <v>10/12/2025 23:59:48</v>
      </c>
      <c r="C1093" t="str">
        <f ca="1">IF(Q1093,OFFSET(Taostats_CSV!$E$1,MATCH(K1093&amp;D$1,Taostats_CSV!$X:$X,0)-1,0),IF(Taostats_CSV!F1093="fee","",IF(VALUE(Taostats_CSV!G1093)&gt;0,Taostats_CSV!E1093,"")))</f>
        <v/>
      </c>
      <c r="D1093" t="str">
        <f ca="1">IF(Q1093,OFFSET(Taostats_CSV!$G$1,MATCH(K1093&amp;D$1,Taostats_CSV!$X:$X,0)-1,0),IF(Taostats_CSV!F1093="fee","",IF(VALUE(Taostats_CSV!G1093)&gt;0,Taostats_CSV!G1093,"")))</f>
        <v/>
      </c>
      <c r="E1093" t="str">
        <f ca="1">IF(AND(Q1093,P1093&gt;0),OFFSET(Taostats_CSV!$E$1,MATCH(K1093&amp;F$1,Taostats_CSV!$X:$X,0)-1,0),IF(LEN(F1093)&gt;0,Taostats_CSV!E1093,""))</f>
        <v>TAO</v>
      </c>
      <c r="F1093" t="str">
        <f ca="1">TRIM(IF(AND(Q1093,P1093&gt;0),OFFSET(Taostats_CSV!$H$1,MATCH(K1093&amp;F$1,Taostats_CSV!$X:$X,0)-1,0),IF(LEN(Taostats_CSV!H1093)&gt;0,Taostats_CSV!H1093,Taostats_CSV!R1093)))</f>
        <v>0</v>
      </c>
      <c r="G1093" t="str">
        <f ca="1">IF(AND(Q1093,N1093=1),OFFSET(Taostats_CSV!$E$1,MATCH(K1093&amp;H$1,Taostats_CSV!$X:$X,0)-1,0),IF(Taostats_CSV!F1093="fee",Taostats_CSV!E1093,""))</f>
        <v/>
      </c>
      <c r="H1093" t="str">
        <f ca="1">IF(AND(Q1093,N1093=1),OFFSET(Taostats_CSV!$G$1,MATCH(K1093&amp;H$1,Taostats_CSV!$X:$X,0)-1,0),IF(Taostats_CSV!F1093="fee",Taostats_CSV!G1093,""))</f>
        <v/>
      </c>
      <c r="I1093" t="str">
        <f ca="1">IF(AND(LEN(K1093)=0,LEN(F1093)&gt;0),"Income",IF(AND(O1093&gt;0,P1093&gt;0,C1093&lt;&gt;E1093),"Trade",IF(AND(NOT(Q1093),Taostats_CSV!F1093="fee"),'READ ME'!$C$5,"")))</f>
        <v>Income</v>
      </c>
      <c r="J1093" t="str">
        <f ca="1">SUBSTITUTE(IF(LEN(I1093)=0,Taostats_CSV!F1093&amp;" "&amp;Taostats_CSV!J1093,IF(I1093="Cost","Extrinsic fee","")),"_"," ")</f>
        <v/>
      </c>
      <c r="K1093" t="str">
        <f>TRIM(IF(LEN(Taostats_CSV!I1093)&gt;0,Taostats_CSV!I1093,""))</f>
        <v/>
      </c>
      <c r="L1093" t="str">
        <f>IF(Taostats_CSV!E1093&lt;&gt;"TAO",IF(LEN(F1093)&gt;0,F1093,IF(LEN(D1093)&gt;0,D1093,0))*Taostats_CSV!P1093,"")</f>
        <v/>
      </c>
      <c r="M1093" t="str">
        <f t="shared" si="117"/>
        <v/>
      </c>
      <c r="N1093">
        <f>COUNTIF(Taostats_CSV!$X:$X,Taostats_CSV!$I1093&amp;N$1)</f>
        <v>0</v>
      </c>
      <c r="O1093">
        <f>COUNTIF(Taostats_CSV!$X:$X,Taostats_CSV!$I1093&amp;O$1)</f>
        <v>0</v>
      </c>
      <c r="P1093">
        <f>COUNTIF(Taostats_CSV!$X:$X,Taostats_CSV!$I1093&amp;P$1)</f>
        <v>0</v>
      </c>
      <c r="Q1093" t="b">
        <f t="shared" si="118"/>
        <v>0</v>
      </c>
      <c r="R1093" t="b">
        <f>IF(LEN(K1093)&gt;0,COUNTIF($K$3:K1093,K1093),FALSE)</f>
        <v>0</v>
      </c>
      <c r="S1093" t="b">
        <f>IF(Taostats_CSV!A1093=Taostats_CSV!$A$2,TRUE,Taostats_CSV!G1093+Taostats_CSV!H1093+Taostats_CSV!R1093=0)</f>
        <v>1</v>
      </c>
      <c r="T1093" t="b">
        <f t="shared" si="119"/>
        <v>0</v>
      </c>
      <c r="U1093" t="b" cm="1">
        <f t="array" aca="1" ref="U1093" ca="1">AND(T1093,OR(O1093-N1093&gt;1,P1093&gt;1,ISERROR(A1093:P1093)))</f>
        <v>0</v>
      </c>
      <c r="W1093" t="e">
        <f>MATCH(K1093&amp;$W$2,Taostats_CSV!$X$3:$X$1167,0)</f>
        <v>#N/A</v>
      </c>
      <c r="X1093" t="e">
        <f t="shared" ca="1" si="114"/>
        <v>#VALUE!</v>
      </c>
      <c r="Y1093">
        <f t="shared" ca="1" si="115"/>
        <v>0</v>
      </c>
      <c r="Z1093" t="e">
        <f t="shared" ca="1" si="116"/>
        <v>#VALUE!</v>
      </c>
    </row>
    <row r="1094" spans="1:26" hidden="1" x14ac:dyDescent="0.4">
      <c r="A1094" t="str">
        <f>MID(Taostats_CSV!C1094,6,2)&amp;"/"&amp;MID(Taostats_CSV!C1094,9,2)&amp;"/"&amp;LEFT(Taostats_CSV!C1094,4)&amp;" "&amp;MID(Taostats_CSV!C1094,12,8)</f>
        <v>10/13/2025 23:59:48</v>
      </c>
      <c r="C1094" t="str">
        <f ca="1">IF(Q1094,OFFSET(Taostats_CSV!$E$1,MATCH(K1094&amp;D$1,Taostats_CSV!$X:$X,0)-1,0),IF(Taostats_CSV!F1094="fee","",IF(VALUE(Taostats_CSV!G1094)&gt;0,Taostats_CSV!E1094,"")))</f>
        <v/>
      </c>
      <c r="D1094" t="str">
        <f ca="1">IF(Q1094,OFFSET(Taostats_CSV!$G$1,MATCH(K1094&amp;D$1,Taostats_CSV!$X:$X,0)-1,0),IF(Taostats_CSV!F1094="fee","",IF(VALUE(Taostats_CSV!G1094)&gt;0,Taostats_CSV!G1094,"")))</f>
        <v/>
      </c>
      <c r="E1094" t="str">
        <f ca="1">IF(AND(Q1094,P1094&gt;0),OFFSET(Taostats_CSV!$E$1,MATCH(K1094&amp;F$1,Taostats_CSV!$X:$X,0)-1,0),IF(LEN(F1094)&gt;0,Taostats_CSV!E1094,""))</f>
        <v>TAO</v>
      </c>
      <c r="F1094" t="str">
        <f ca="1">TRIM(IF(AND(Q1094,P1094&gt;0),OFFSET(Taostats_CSV!$H$1,MATCH(K1094&amp;F$1,Taostats_CSV!$X:$X,0)-1,0),IF(LEN(Taostats_CSV!H1094)&gt;0,Taostats_CSV!H1094,Taostats_CSV!R1094)))</f>
        <v>0</v>
      </c>
      <c r="G1094" t="str">
        <f ca="1">IF(AND(Q1094,N1094=1),OFFSET(Taostats_CSV!$E$1,MATCH(K1094&amp;H$1,Taostats_CSV!$X:$X,0)-1,0),IF(Taostats_CSV!F1094="fee",Taostats_CSV!E1094,""))</f>
        <v/>
      </c>
      <c r="H1094" t="str">
        <f ca="1">IF(AND(Q1094,N1094=1),OFFSET(Taostats_CSV!$G$1,MATCH(K1094&amp;H$1,Taostats_CSV!$X:$X,0)-1,0),IF(Taostats_CSV!F1094="fee",Taostats_CSV!G1094,""))</f>
        <v/>
      </c>
      <c r="I1094" t="str">
        <f ca="1">IF(AND(LEN(K1094)=0,LEN(F1094)&gt;0),"Income",IF(AND(O1094&gt;0,P1094&gt;0,C1094&lt;&gt;E1094),"Trade",IF(AND(NOT(Q1094),Taostats_CSV!F1094="fee"),'READ ME'!$C$5,"")))</f>
        <v>Income</v>
      </c>
      <c r="J1094" t="str">
        <f ca="1">SUBSTITUTE(IF(LEN(I1094)=0,Taostats_CSV!F1094&amp;" "&amp;Taostats_CSV!J1094,IF(I1094="Cost","Extrinsic fee","")),"_"," ")</f>
        <v/>
      </c>
      <c r="K1094" t="str">
        <f>TRIM(IF(LEN(Taostats_CSV!I1094)&gt;0,Taostats_CSV!I1094,""))</f>
        <v/>
      </c>
      <c r="L1094" t="str">
        <f>IF(Taostats_CSV!E1094&lt;&gt;"TAO",IF(LEN(F1094)&gt;0,F1094,IF(LEN(D1094)&gt;0,D1094,0))*Taostats_CSV!P1094,"")</f>
        <v/>
      </c>
      <c r="M1094" t="str">
        <f t="shared" si="117"/>
        <v/>
      </c>
      <c r="N1094">
        <f>COUNTIF(Taostats_CSV!$X:$X,Taostats_CSV!$I1094&amp;N$1)</f>
        <v>0</v>
      </c>
      <c r="O1094">
        <f>COUNTIF(Taostats_CSV!$X:$X,Taostats_CSV!$I1094&amp;O$1)</f>
        <v>0</v>
      </c>
      <c r="P1094">
        <f>COUNTIF(Taostats_CSV!$X:$X,Taostats_CSV!$I1094&amp;P$1)</f>
        <v>0</v>
      </c>
      <c r="Q1094" t="b">
        <f t="shared" si="118"/>
        <v>0</v>
      </c>
      <c r="R1094" t="b">
        <f>IF(LEN(K1094)&gt;0,COUNTIF($K$3:K1094,K1094),FALSE)</f>
        <v>0</v>
      </c>
      <c r="S1094" t="b">
        <f>IF(Taostats_CSV!A1094=Taostats_CSV!$A$2,TRUE,Taostats_CSV!G1094+Taostats_CSV!H1094+Taostats_CSV!R1094=0)</f>
        <v>1</v>
      </c>
      <c r="T1094" t="b">
        <f t="shared" si="119"/>
        <v>0</v>
      </c>
      <c r="U1094" t="b" cm="1">
        <f t="array" aca="1" ref="U1094" ca="1">AND(T1094,OR(O1094-N1094&gt;1,P1094&gt;1,ISERROR(A1094:P1094)))</f>
        <v>0</v>
      </c>
      <c r="W1094" t="e">
        <f>MATCH(K1094&amp;$W$2,Taostats_CSV!$X$3:$X$1167,0)</f>
        <v>#N/A</v>
      </c>
      <c r="X1094" t="e">
        <f t="shared" ca="1" si="114"/>
        <v>#VALUE!</v>
      </c>
      <c r="Y1094">
        <f t="shared" ca="1" si="115"/>
        <v>0</v>
      </c>
      <c r="Z1094" t="e">
        <f t="shared" ca="1" si="116"/>
        <v>#VALUE!</v>
      </c>
    </row>
    <row r="1095" spans="1:26" hidden="1" x14ac:dyDescent="0.4">
      <c r="A1095" t="str">
        <f>MID(Taostats_CSV!C1095,6,2)&amp;"/"&amp;MID(Taostats_CSV!C1095,9,2)&amp;"/"&amp;LEFT(Taostats_CSV!C1095,4)&amp;" "&amp;MID(Taostats_CSV!C1095,12,8)</f>
        <v>10/14/2025 23:59:48</v>
      </c>
      <c r="C1095" t="str">
        <f ca="1">IF(Q1095,OFFSET(Taostats_CSV!$E$1,MATCH(K1095&amp;D$1,Taostats_CSV!$X:$X,0)-1,0),IF(Taostats_CSV!F1095="fee","",IF(VALUE(Taostats_CSV!G1095)&gt;0,Taostats_CSV!E1095,"")))</f>
        <v/>
      </c>
      <c r="D1095" t="str">
        <f ca="1">IF(Q1095,OFFSET(Taostats_CSV!$G$1,MATCH(K1095&amp;D$1,Taostats_CSV!$X:$X,0)-1,0),IF(Taostats_CSV!F1095="fee","",IF(VALUE(Taostats_CSV!G1095)&gt;0,Taostats_CSV!G1095,"")))</f>
        <v/>
      </c>
      <c r="E1095" t="str">
        <f ca="1">IF(AND(Q1095,P1095&gt;0),OFFSET(Taostats_CSV!$E$1,MATCH(K1095&amp;F$1,Taostats_CSV!$X:$X,0)-1,0),IF(LEN(F1095)&gt;0,Taostats_CSV!E1095,""))</f>
        <v>TAO</v>
      </c>
      <c r="F1095" t="str">
        <f ca="1">TRIM(IF(AND(Q1095,P1095&gt;0),OFFSET(Taostats_CSV!$H$1,MATCH(K1095&amp;F$1,Taostats_CSV!$X:$X,0)-1,0),IF(LEN(Taostats_CSV!H1095)&gt;0,Taostats_CSV!H1095,Taostats_CSV!R1095)))</f>
        <v>0</v>
      </c>
      <c r="G1095" t="str">
        <f ca="1">IF(AND(Q1095,N1095=1),OFFSET(Taostats_CSV!$E$1,MATCH(K1095&amp;H$1,Taostats_CSV!$X:$X,0)-1,0),IF(Taostats_CSV!F1095="fee",Taostats_CSV!E1095,""))</f>
        <v/>
      </c>
      <c r="H1095" t="str">
        <f ca="1">IF(AND(Q1095,N1095=1),OFFSET(Taostats_CSV!$G$1,MATCH(K1095&amp;H$1,Taostats_CSV!$X:$X,0)-1,0),IF(Taostats_CSV!F1095="fee",Taostats_CSV!G1095,""))</f>
        <v/>
      </c>
      <c r="I1095" t="str">
        <f ca="1">IF(AND(LEN(K1095)=0,LEN(F1095)&gt;0),"Income",IF(AND(O1095&gt;0,P1095&gt;0,C1095&lt;&gt;E1095),"Trade",IF(AND(NOT(Q1095),Taostats_CSV!F1095="fee"),'READ ME'!$C$5,"")))</f>
        <v>Income</v>
      </c>
      <c r="J1095" t="str">
        <f ca="1">SUBSTITUTE(IF(LEN(I1095)=0,Taostats_CSV!F1095&amp;" "&amp;Taostats_CSV!J1095,IF(I1095="Cost","Extrinsic fee","")),"_"," ")</f>
        <v/>
      </c>
      <c r="K1095" t="str">
        <f>TRIM(IF(LEN(Taostats_CSV!I1095)&gt;0,Taostats_CSV!I1095,""))</f>
        <v/>
      </c>
      <c r="L1095" t="str">
        <f>IF(Taostats_CSV!E1095&lt;&gt;"TAO",IF(LEN(F1095)&gt;0,F1095,IF(LEN(D1095)&gt;0,D1095,0))*Taostats_CSV!P1095,"")</f>
        <v/>
      </c>
      <c r="M1095" t="str">
        <f t="shared" si="117"/>
        <v/>
      </c>
      <c r="N1095">
        <f>COUNTIF(Taostats_CSV!$X:$X,Taostats_CSV!$I1095&amp;N$1)</f>
        <v>0</v>
      </c>
      <c r="O1095">
        <f>COUNTIF(Taostats_CSV!$X:$X,Taostats_CSV!$I1095&amp;O$1)</f>
        <v>0</v>
      </c>
      <c r="P1095">
        <f>COUNTIF(Taostats_CSV!$X:$X,Taostats_CSV!$I1095&amp;P$1)</f>
        <v>0</v>
      </c>
      <c r="Q1095" t="b">
        <f t="shared" si="118"/>
        <v>0</v>
      </c>
      <c r="R1095" t="b">
        <f>IF(LEN(K1095)&gt;0,COUNTIF($K$3:K1095,K1095),FALSE)</f>
        <v>0</v>
      </c>
      <c r="S1095" t="b">
        <f>IF(Taostats_CSV!A1095=Taostats_CSV!$A$2,TRUE,Taostats_CSV!G1095+Taostats_CSV!H1095+Taostats_CSV!R1095=0)</f>
        <v>1</v>
      </c>
      <c r="T1095" t="b">
        <f t="shared" si="119"/>
        <v>0</v>
      </c>
      <c r="U1095" t="b" cm="1">
        <f t="array" aca="1" ref="U1095" ca="1">AND(T1095,OR(O1095-N1095&gt;1,P1095&gt;1,ISERROR(A1095:P1095)))</f>
        <v>0</v>
      </c>
      <c r="W1095" t="e">
        <f>MATCH(K1095&amp;$W$2,Taostats_CSV!$X$3:$X$1167,0)</f>
        <v>#N/A</v>
      </c>
      <c r="X1095" t="e">
        <f t="shared" ca="1" si="114"/>
        <v>#VALUE!</v>
      </c>
      <c r="Y1095">
        <f t="shared" ca="1" si="115"/>
        <v>0</v>
      </c>
      <c r="Z1095" t="e">
        <f t="shared" ca="1" si="116"/>
        <v>#VALUE!</v>
      </c>
    </row>
    <row r="1096" spans="1:26" hidden="1" x14ac:dyDescent="0.4">
      <c r="A1096" t="str">
        <f>MID(Taostats_CSV!C1096,6,2)&amp;"/"&amp;MID(Taostats_CSV!C1096,9,2)&amp;"/"&amp;LEFT(Taostats_CSV!C1096,4)&amp;" "&amp;MID(Taostats_CSV!C1096,12,8)</f>
        <v>10/15/2025 23:59:48</v>
      </c>
      <c r="C1096" t="str">
        <f ca="1">IF(Q1096,OFFSET(Taostats_CSV!$E$1,MATCH(K1096&amp;D$1,Taostats_CSV!$X:$X,0)-1,0),IF(Taostats_CSV!F1096="fee","",IF(VALUE(Taostats_CSV!G1096)&gt;0,Taostats_CSV!E1096,"")))</f>
        <v/>
      </c>
      <c r="D1096" t="str">
        <f ca="1">IF(Q1096,OFFSET(Taostats_CSV!$G$1,MATCH(K1096&amp;D$1,Taostats_CSV!$X:$X,0)-1,0),IF(Taostats_CSV!F1096="fee","",IF(VALUE(Taostats_CSV!G1096)&gt;0,Taostats_CSV!G1096,"")))</f>
        <v/>
      </c>
      <c r="E1096" t="str">
        <f ca="1">IF(AND(Q1096,P1096&gt;0),OFFSET(Taostats_CSV!$E$1,MATCH(K1096&amp;F$1,Taostats_CSV!$X:$X,0)-1,0),IF(LEN(F1096)&gt;0,Taostats_CSV!E1096,""))</f>
        <v>TAO</v>
      </c>
      <c r="F1096" t="str">
        <f ca="1">TRIM(IF(AND(Q1096,P1096&gt;0),OFFSET(Taostats_CSV!$H$1,MATCH(K1096&amp;F$1,Taostats_CSV!$X:$X,0)-1,0),IF(LEN(Taostats_CSV!H1096)&gt;0,Taostats_CSV!H1096,Taostats_CSV!R1096)))</f>
        <v>0</v>
      </c>
      <c r="G1096" t="str">
        <f ca="1">IF(AND(Q1096,N1096=1),OFFSET(Taostats_CSV!$E$1,MATCH(K1096&amp;H$1,Taostats_CSV!$X:$X,0)-1,0),IF(Taostats_CSV!F1096="fee",Taostats_CSV!E1096,""))</f>
        <v/>
      </c>
      <c r="H1096" t="str">
        <f ca="1">IF(AND(Q1096,N1096=1),OFFSET(Taostats_CSV!$G$1,MATCH(K1096&amp;H$1,Taostats_CSV!$X:$X,0)-1,0),IF(Taostats_CSV!F1096="fee",Taostats_CSV!G1096,""))</f>
        <v/>
      </c>
      <c r="I1096" t="str">
        <f ca="1">IF(AND(LEN(K1096)=0,LEN(F1096)&gt;0),"Income",IF(AND(O1096&gt;0,P1096&gt;0,C1096&lt;&gt;E1096),"Trade",IF(AND(NOT(Q1096),Taostats_CSV!F1096="fee"),'READ ME'!$C$5,"")))</f>
        <v>Income</v>
      </c>
      <c r="J1096" t="str">
        <f ca="1">SUBSTITUTE(IF(LEN(I1096)=0,Taostats_CSV!F1096&amp;" "&amp;Taostats_CSV!J1096,IF(I1096="Cost","Extrinsic fee","")),"_"," ")</f>
        <v/>
      </c>
      <c r="K1096" t="str">
        <f>TRIM(IF(LEN(Taostats_CSV!I1096)&gt;0,Taostats_CSV!I1096,""))</f>
        <v/>
      </c>
      <c r="L1096" t="str">
        <f>IF(Taostats_CSV!E1096&lt;&gt;"TAO",IF(LEN(F1096)&gt;0,F1096,IF(LEN(D1096)&gt;0,D1096,0))*Taostats_CSV!P1096,"")</f>
        <v/>
      </c>
      <c r="M1096" t="str">
        <f t="shared" si="117"/>
        <v/>
      </c>
      <c r="N1096">
        <f>COUNTIF(Taostats_CSV!$X:$X,Taostats_CSV!$I1096&amp;N$1)</f>
        <v>0</v>
      </c>
      <c r="O1096">
        <f>COUNTIF(Taostats_CSV!$X:$X,Taostats_CSV!$I1096&amp;O$1)</f>
        <v>0</v>
      </c>
      <c r="P1096">
        <f>COUNTIF(Taostats_CSV!$X:$X,Taostats_CSV!$I1096&amp;P$1)</f>
        <v>0</v>
      </c>
      <c r="Q1096" t="b">
        <f t="shared" si="118"/>
        <v>0</v>
      </c>
      <c r="R1096" t="b">
        <f>IF(LEN(K1096)&gt;0,COUNTIF($K$3:K1096,K1096),FALSE)</f>
        <v>0</v>
      </c>
      <c r="S1096" t="b">
        <f>IF(Taostats_CSV!A1096=Taostats_CSV!$A$2,TRUE,Taostats_CSV!G1096+Taostats_CSV!H1096+Taostats_CSV!R1096=0)</f>
        <v>1</v>
      </c>
      <c r="T1096" t="b">
        <f t="shared" si="119"/>
        <v>0</v>
      </c>
      <c r="U1096" t="b" cm="1">
        <f t="array" aca="1" ref="U1096" ca="1">AND(T1096,OR(O1096-N1096&gt;1,P1096&gt;1,ISERROR(A1096:P1096)))</f>
        <v>0</v>
      </c>
      <c r="W1096" t="e">
        <f>MATCH(K1096&amp;$W$2,Taostats_CSV!$X$3:$X$1167,0)</f>
        <v>#N/A</v>
      </c>
      <c r="X1096" t="e">
        <f t="shared" ca="1" si="114"/>
        <v>#VALUE!</v>
      </c>
      <c r="Y1096">
        <f t="shared" ca="1" si="115"/>
        <v>0</v>
      </c>
      <c r="Z1096" t="e">
        <f t="shared" ca="1" si="116"/>
        <v>#VALUE!</v>
      </c>
    </row>
    <row r="1097" spans="1:26" hidden="1" x14ac:dyDescent="0.4">
      <c r="A1097" t="str">
        <f>MID(Taostats_CSV!C1097,6,2)&amp;"/"&amp;MID(Taostats_CSV!C1097,9,2)&amp;"/"&amp;LEFT(Taostats_CSV!C1097,4)&amp;" "&amp;MID(Taostats_CSV!C1097,12,8)</f>
        <v>10/16/2025 23:59:48</v>
      </c>
      <c r="C1097" t="str">
        <f ca="1">IF(Q1097,OFFSET(Taostats_CSV!$E$1,MATCH(K1097&amp;D$1,Taostats_CSV!$X:$X,0)-1,0),IF(Taostats_CSV!F1097="fee","",IF(VALUE(Taostats_CSV!G1097)&gt;0,Taostats_CSV!E1097,"")))</f>
        <v/>
      </c>
      <c r="D1097" t="str">
        <f ca="1">IF(Q1097,OFFSET(Taostats_CSV!$G$1,MATCH(K1097&amp;D$1,Taostats_CSV!$X:$X,0)-1,0),IF(Taostats_CSV!F1097="fee","",IF(VALUE(Taostats_CSV!G1097)&gt;0,Taostats_CSV!G1097,"")))</f>
        <v/>
      </c>
      <c r="E1097" t="str">
        <f ca="1">IF(AND(Q1097,P1097&gt;0),OFFSET(Taostats_CSV!$E$1,MATCH(K1097&amp;F$1,Taostats_CSV!$X:$X,0)-1,0),IF(LEN(F1097)&gt;0,Taostats_CSV!E1097,""))</f>
        <v>TAO</v>
      </c>
      <c r="F1097" t="str">
        <f ca="1">TRIM(IF(AND(Q1097,P1097&gt;0),OFFSET(Taostats_CSV!$H$1,MATCH(K1097&amp;F$1,Taostats_CSV!$X:$X,0)-1,0),IF(LEN(Taostats_CSV!H1097)&gt;0,Taostats_CSV!H1097,Taostats_CSV!R1097)))</f>
        <v>0</v>
      </c>
      <c r="G1097" t="str">
        <f ca="1">IF(AND(Q1097,N1097=1),OFFSET(Taostats_CSV!$E$1,MATCH(K1097&amp;H$1,Taostats_CSV!$X:$X,0)-1,0),IF(Taostats_CSV!F1097="fee",Taostats_CSV!E1097,""))</f>
        <v/>
      </c>
      <c r="H1097" t="str">
        <f ca="1">IF(AND(Q1097,N1097=1),OFFSET(Taostats_CSV!$G$1,MATCH(K1097&amp;H$1,Taostats_CSV!$X:$X,0)-1,0),IF(Taostats_CSV!F1097="fee",Taostats_CSV!G1097,""))</f>
        <v/>
      </c>
      <c r="I1097" t="str">
        <f ca="1">IF(AND(LEN(K1097)=0,LEN(F1097)&gt;0),"Income",IF(AND(O1097&gt;0,P1097&gt;0,C1097&lt;&gt;E1097),"Trade",IF(AND(NOT(Q1097),Taostats_CSV!F1097="fee"),'READ ME'!$C$5,"")))</f>
        <v>Income</v>
      </c>
      <c r="J1097" t="str">
        <f ca="1">SUBSTITUTE(IF(LEN(I1097)=0,Taostats_CSV!F1097&amp;" "&amp;Taostats_CSV!J1097,IF(I1097="Cost","Extrinsic fee","")),"_"," ")</f>
        <v/>
      </c>
      <c r="K1097" t="str">
        <f>TRIM(IF(LEN(Taostats_CSV!I1097)&gt;0,Taostats_CSV!I1097,""))</f>
        <v/>
      </c>
      <c r="L1097" t="str">
        <f>IF(Taostats_CSV!E1097&lt;&gt;"TAO",IF(LEN(F1097)&gt;0,F1097,IF(LEN(D1097)&gt;0,D1097,0))*Taostats_CSV!P1097,"")</f>
        <v/>
      </c>
      <c r="M1097" t="str">
        <f t="shared" si="117"/>
        <v/>
      </c>
      <c r="N1097">
        <f>COUNTIF(Taostats_CSV!$X:$X,Taostats_CSV!$I1097&amp;N$1)</f>
        <v>0</v>
      </c>
      <c r="O1097">
        <f>COUNTIF(Taostats_CSV!$X:$X,Taostats_CSV!$I1097&amp;O$1)</f>
        <v>0</v>
      </c>
      <c r="P1097">
        <f>COUNTIF(Taostats_CSV!$X:$X,Taostats_CSV!$I1097&amp;P$1)</f>
        <v>0</v>
      </c>
      <c r="Q1097" t="b">
        <f t="shared" si="118"/>
        <v>0</v>
      </c>
      <c r="R1097" t="b">
        <f>IF(LEN(K1097)&gt;0,COUNTIF($K$3:K1097,K1097),FALSE)</f>
        <v>0</v>
      </c>
      <c r="S1097" t="b">
        <f>IF(Taostats_CSV!A1097=Taostats_CSV!$A$2,TRUE,Taostats_CSV!G1097+Taostats_CSV!H1097+Taostats_CSV!R1097=0)</f>
        <v>1</v>
      </c>
      <c r="T1097" t="b">
        <f t="shared" si="119"/>
        <v>0</v>
      </c>
      <c r="U1097" t="b" cm="1">
        <f t="array" aca="1" ref="U1097" ca="1">AND(T1097,OR(O1097-N1097&gt;1,P1097&gt;1,ISERROR(A1097:P1097)))</f>
        <v>0</v>
      </c>
      <c r="W1097" t="e">
        <f>MATCH(K1097&amp;$W$2,Taostats_CSV!$X$3:$X$1167,0)</f>
        <v>#N/A</v>
      </c>
      <c r="X1097" t="e">
        <f t="shared" ca="1" si="114"/>
        <v>#VALUE!</v>
      </c>
      <c r="Y1097">
        <f t="shared" ca="1" si="115"/>
        <v>0</v>
      </c>
      <c r="Z1097" t="e">
        <f t="shared" ca="1" si="116"/>
        <v>#VALUE!</v>
      </c>
    </row>
    <row r="1098" spans="1:26" hidden="1" x14ac:dyDescent="0.4">
      <c r="A1098" t="str">
        <f>MID(Taostats_CSV!C1098,6,2)&amp;"/"&amp;MID(Taostats_CSV!C1098,9,2)&amp;"/"&amp;LEFT(Taostats_CSV!C1098,4)&amp;" "&amp;MID(Taostats_CSV!C1098,12,8)</f>
        <v>10/17/2025 23:59:48</v>
      </c>
      <c r="C1098" t="str">
        <f ca="1">IF(Q1098,OFFSET(Taostats_CSV!$E$1,MATCH(K1098&amp;D$1,Taostats_CSV!$X:$X,0)-1,0),IF(Taostats_CSV!F1098="fee","",IF(VALUE(Taostats_CSV!G1098)&gt;0,Taostats_CSV!E1098,"")))</f>
        <v/>
      </c>
      <c r="D1098" t="str">
        <f ca="1">IF(Q1098,OFFSET(Taostats_CSV!$G$1,MATCH(K1098&amp;D$1,Taostats_CSV!$X:$X,0)-1,0),IF(Taostats_CSV!F1098="fee","",IF(VALUE(Taostats_CSV!G1098)&gt;0,Taostats_CSV!G1098,"")))</f>
        <v/>
      </c>
      <c r="E1098" t="str">
        <f ca="1">IF(AND(Q1098,P1098&gt;0),OFFSET(Taostats_CSV!$E$1,MATCH(K1098&amp;F$1,Taostats_CSV!$X:$X,0)-1,0),IF(LEN(F1098)&gt;0,Taostats_CSV!E1098,""))</f>
        <v>TAO</v>
      </c>
      <c r="F1098" t="str">
        <f ca="1">TRIM(IF(AND(Q1098,P1098&gt;0),OFFSET(Taostats_CSV!$H$1,MATCH(K1098&amp;F$1,Taostats_CSV!$X:$X,0)-1,0),IF(LEN(Taostats_CSV!H1098)&gt;0,Taostats_CSV!H1098,Taostats_CSV!R1098)))</f>
        <v>0</v>
      </c>
      <c r="G1098" t="str">
        <f ca="1">IF(AND(Q1098,N1098=1),OFFSET(Taostats_CSV!$E$1,MATCH(K1098&amp;H$1,Taostats_CSV!$X:$X,0)-1,0),IF(Taostats_CSV!F1098="fee",Taostats_CSV!E1098,""))</f>
        <v/>
      </c>
      <c r="H1098" t="str">
        <f ca="1">IF(AND(Q1098,N1098=1),OFFSET(Taostats_CSV!$G$1,MATCH(K1098&amp;H$1,Taostats_CSV!$X:$X,0)-1,0),IF(Taostats_CSV!F1098="fee",Taostats_CSV!G1098,""))</f>
        <v/>
      </c>
      <c r="I1098" t="str">
        <f ca="1">IF(AND(LEN(K1098)=0,LEN(F1098)&gt;0),"Income",IF(AND(O1098&gt;0,P1098&gt;0,C1098&lt;&gt;E1098),"Trade",IF(AND(NOT(Q1098),Taostats_CSV!F1098="fee"),'READ ME'!$C$5,"")))</f>
        <v>Income</v>
      </c>
      <c r="J1098" t="str">
        <f ca="1">SUBSTITUTE(IF(LEN(I1098)=0,Taostats_CSV!F1098&amp;" "&amp;Taostats_CSV!J1098,IF(I1098="Cost","Extrinsic fee","")),"_"," ")</f>
        <v/>
      </c>
      <c r="K1098" t="str">
        <f>TRIM(IF(LEN(Taostats_CSV!I1098)&gt;0,Taostats_CSV!I1098,""))</f>
        <v/>
      </c>
      <c r="L1098" t="str">
        <f>IF(Taostats_CSV!E1098&lt;&gt;"TAO",IF(LEN(F1098)&gt;0,F1098,IF(LEN(D1098)&gt;0,D1098,0))*Taostats_CSV!P1098,"")</f>
        <v/>
      </c>
      <c r="M1098" t="str">
        <f t="shared" si="117"/>
        <v/>
      </c>
      <c r="N1098">
        <f>COUNTIF(Taostats_CSV!$X:$X,Taostats_CSV!$I1098&amp;N$1)</f>
        <v>0</v>
      </c>
      <c r="O1098">
        <f>COUNTIF(Taostats_CSV!$X:$X,Taostats_CSV!$I1098&amp;O$1)</f>
        <v>0</v>
      </c>
      <c r="P1098">
        <f>COUNTIF(Taostats_CSV!$X:$X,Taostats_CSV!$I1098&amp;P$1)</f>
        <v>0</v>
      </c>
      <c r="Q1098" t="b">
        <f t="shared" si="118"/>
        <v>0</v>
      </c>
      <c r="R1098" t="b">
        <f>IF(LEN(K1098)&gt;0,COUNTIF($K$3:K1098,K1098),FALSE)</f>
        <v>0</v>
      </c>
      <c r="S1098" t="b">
        <f>IF(Taostats_CSV!A1098=Taostats_CSV!$A$2,TRUE,Taostats_CSV!G1098+Taostats_CSV!H1098+Taostats_CSV!R1098=0)</f>
        <v>1</v>
      </c>
      <c r="T1098" t="b">
        <f t="shared" si="119"/>
        <v>0</v>
      </c>
      <c r="U1098" t="b" cm="1">
        <f t="array" aca="1" ref="U1098" ca="1">AND(T1098,OR(O1098-N1098&gt;1,P1098&gt;1,ISERROR(A1098:P1098)))</f>
        <v>0</v>
      </c>
      <c r="W1098" t="e">
        <f>MATCH(K1098&amp;$W$2,Taostats_CSV!$X$3:$X$1167,0)</f>
        <v>#N/A</v>
      </c>
      <c r="X1098" t="e">
        <f t="shared" ca="1" si="114"/>
        <v>#VALUE!</v>
      </c>
      <c r="Y1098">
        <f t="shared" ca="1" si="115"/>
        <v>0</v>
      </c>
      <c r="Z1098" t="e">
        <f t="shared" ca="1" si="116"/>
        <v>#VALUE!</v>
      </c>
    </row>
    <row r="1099" spans="1:26" hidden="1" x14ac:dyDescent="0.4">
      <c r="A1099" t="str">
        <f>MID(Taostats_CSV!C1099,6,2)&amp;"/"&amp;MID(Taostats_CSV!C1099,9,2)&amp;"/"&amp;LEFT(Taostats_CSV!C1099,4)&amp;" "&amp;MID(Taostats_CSV!C1099,12,8)</f>
        <v>10/18/2025 23:59:48</v>
      </c>
      <c r="C1099" t="str">
        <f ca="1">IF(Q1099,OFFSET(Taostats_CSV!$E$1,MATCH(K1099&amp;D$1,Taostats_CSV!$X:$X,0)-1,0),IF(Taostats_CSV!F1099="fee","",IF(VALUE(Taostats_CSV!G1099)&gt;0,Taostats_CSV!E1099,"")))</f>
        <v/>
      </c>
      <c r="D1099" t="str">
        <f ca="1">IF(Q1099,OFFSET(Taostats_CSV!$G$1,MATCH(K1099&amp;D$1,Taostats_CSV!$X:$X,0)-1,0),IF(Taostats_CSV!F1099="fee","",IF(VALUE(Taostats_CSV!G1099)&gt;0,Taostats_CSV!G1099,"")))</f>
        <v/>
      </c>
      <c r="E1099" t="str">
        <f ca="1">IF(AND(Q1099,P1099&gt;0),OFFSET(Taostats_CSV!$E$1,MATCH(K1099&amp;F$1,Taostats_CSV!$X:$X,0)-1,0),IF(LEN(F1099)&gt;0,Taostats_CSV!E1099,""))</f>
        <v>TAO</v>
      </c>
      <c r="F1099" t="str">
        <f ca="1">TRIM(IF(AND(Q1099,P1099&gt;0),OFFSET(Taostats_CSV!$H$1,MATCH(K1099&amp;F$1,Taostats_CSV!$X:$X,0)-1,0),IF(LEN(Taostats_CSV!H1099)&gt;0,Taostats_CSV!H1099,Taostats_CSV!R1099)))</f>
        <v>0</v>
      </c>
      <c r="G1099" t="str">
        <f ca="1">IF(AND(Q1099,N1099=1),OFFSET(Taostats_CSV!$E$1,MATCH(K1099&amp;H$1,Taostats_CSV!$X:$X,0)-1,0),IF(Taostats_CSV!F1099="fee",Taostats_CSV!E1099,""))</f>
        <v/>
      </c>
      <c r="H1099" t="str">
        <f ca="1">IF(AND(Q1099,N1099=1),OFFSET(Taostats_CSV!$G$1,MATCH(K1099&amp;H$1,Taostats_CSV!$X:$X,0)-1,0),IF(Taostats_CSV!F1099="fee",Taostats_CSV!G1099,""))</f>
        <v/>
      </c>
      <c r="I1099" t="str">
        <f ca="1">IF(AND(LEN(K1099)=0,LEN(F1099)&gt;0),"Income",IF(AND(O1099&gt;0,P1099&gt;0,C1099&lt;&gt;E1099),"Trade",IF(AND(NOT(Q1099),Taostats_CSV!F1099="fee"),'READ ME'!$C$5,"")))</f>
        <v>Income</v>
      </c>
      <c r="J1099" t="str">
        <f ca="1">SUBSTITUTE(IF(LEN(I1099)=0,Taostats_CSV!F1099&amp;" "&amp;Taostats_CSV!J1099,IF(I1099="Cost","Extrinsic fee","")),"_"," ")</f>
        <v/>
      </c>
      <c r="K1099" t="str">
        <f>TRIM(IF(LEN(Taostats_CSV!I1099)&gt;0,Taostats_CSV!I1099,""))</f>
        <v/>
      </c>
      <c r="L1099" t="str">
        <f>IF(Taostats_CSV!E1099&lt;&gt;"TAO",IF(LEN(F1099)&gt;0,F1099,IF(LEN(D1099)&gt;0,D1099,0))*Taostats_CSV!P1099,"")</f>
        <v/>
      </c>
      <c r="M1099" t="str">
        <f t="shared" si="117"/>
        <v/>
      </c>
      <c r="N1099">
        <f>COUNTIF(Taostats_CSV!$X:$X,Taostats_CSV!$I1099&amp;N$1)</f>
        <v>0</v>
      </c>
      <c r="O1099">
        <f>COUNTIF(Taostats_CSV!$X:$X,Taostats_CSV!$I1099&amp;O$1)</f>
        <v>0</v>
      </c>
      <c r="P1099">
        <f>COUNTIF(Taostats_CSV!$X:$X,Taostats_CSV!$I1099&amp;P$1)</f>
        <v>0</v>
      </c>
      <c r="Q1099" t="b">
        <f t="shared" si="118"/>
        <v>0</v>
      </c>
      <c r="R1099" t="b">
        <f>IF(LEN(K1099)&gt;0,COUNTIF($K$3:K1099,K1099),FALSE)</f>
        <v>0</v>
      </c>
      <c r="S1099" t="b">
        <f>IF(Taostats_CSV!A1099=Taostats_CSV!$A$2,TRUE,Taostats_CSV!G1099+Taostats_CSV!H1099+Taostats_CSV!R1099=0)</f>
        <v>1</v>
      </c>
      <c r="T1099" t="b">
        <f t="shared" si="119"/>
        <v>0</v>
      </c>
      <c r="U1099" t="b" cm="1">
        <f t="array" aca="1" ref="U1099" ca="1">AND(T1099,OR(O1099-N1099&gt;1,P1099&gt;1,ISERROR(A1099:P1099)))</f>
        <v>0</v>
      </c>
      <c r="W1099" t="e">
        <f>MATCH(K1099&amp;$W$2,Taostats_CSV!$X$3:$X$1167,0)</f>
        <v>#N/A</v>
      </c>
      <c r="X1099" t="e">
        <f t="shared" ca="1" si="114"/>
        <v>#VALUE!</v>
      </c>
      <c r="Y1099">
        <f t="shared" ca="1" si="115"/>
        <v>0</v>
      </c>
      <c r="Z1099" t="e">
        <f t="shared" ca="1" si="116"/>
        <v>#VALUE!</v>
      </c>
    </row>
    <row r="1100" spans="1:26" hidden="1" x14ac:dyDescent="0.4">
      <c r="A1100" t="str">
        <f>MID(Taostats_CSV!C1100,6,2)&amp;"/"&amp;MID(Taostats_CSV!C1100,9,2)&amp;"/"&amp;LEFT(Taostats_CSV!C1100,4)&amp;" "&amp;MID(Taostats_CSV!C1100,12,8)</f>
        <v>10/19/2025 23:59:48</v>
      </c>
      <c r="C1100" t="str">
        <f ca="1">IF(Q1100,OFFSET(Taostats_CSV!$E$1,MATCH(K1100&amp;D$1,Taostats_CSV!$X:$X,0)-1,0),IF(Taostats_CSV!F1100="fee","",IF(VALUE(Taostats_CSV!G1100)&gt;0,Taostats_CSV!E1100,"")))</f>
        <v/>
      </c>
      <c r="D1100" t="str">
        <f ca="1">IF(Q1100,OFFSET(Taostats_CSV!$G$1,MATCH(K1100&amp;D$1,Taostats_CSV!$X:$X,0)-1,0),IF(Taostats_CSV!F1100="fee","",IF(VALUE(Taostats_CSV!G1100)&gt;0,Taostats_CSV!G1100,"")))</f>
        <v/>
      </c>
      <c r="E1100" t="str">
        <f ca="1">IF(AND(Q1100,P1100&gt;0),OFFSET(Taostats_CSV!$E$1,MATCH(K1100&amp;F$1,Taostats_CSV!$X:$X,0)-1,0),IF(LEN(F1100)&gt;0,Taostats_CSV!E1100,""))</f>
        <v>TAO</v>
      </c>
      <c r="F1100" t="str">
        <f ca="1">TRIM(IF(AND(Q1100,P1100&gt;0),OFFSET(Taostats_CSV!$H$1,MATCH(K1100&amp;F$1,Taostats_CSV!$X:$X,0)-1,0),IF(LEN(Taostats_CSV!H1100)&gt;0,Taostats_CSV!H1100,Taostats_CSV!R1100)))</f>
        <v>0</v>
      </c>
      <c r="G1100" t="str">
        <f ca="1">IF(AND(Q1100,N1100=1),OFFSET(Taostats_CSV!$E$1,MATCH(K1100&amp;H$1,Taostats_CSV!$X:$X,0)-1,0),IF(Taostats_CSV!F1100="fee",Taostats_CSV!E1100,""))</f>
        <v/>
      </c>
      <c r="H1100" t="str">
        <f ca="1">IF(AND(Q1100,N1100=1),OFFSET(Taostats_CSV!$G$1,MATCH(K1100&amp;H$1,Taostats_CSV!$X:$X,0)-1,0),IF(Taostats_CSV!F1100="fee",Taostats_CSV!G1100,""))</f>
        <v/>
      </c>
      <c r="I1100" t="str">
        <f ca="1">IF(AND(LEN(K1100)=0,LEN(F1100)&gt;0),"Income",IF(AND(O1100&gt;0,P1100&gt;0,C1100&lt;&gt;E1100),"Trade",IF(AND(NOT(Q1100),Taostats_CSV!F1100="fee"),'READ ME'!$C$5,"")))</f>
        <v>Income</v>
      </c>
      <c r="J1100" t="str">
        <f ca="1">SUBSTITUTE(IF(LEN(I1100)=0,Taostats_CSV!F1100&amp;" "&amp;Taostats_CSV!J1100,IF(I1100="Cost","Extrinsic fee","")),"_"," ")</f>
        <v/>
      </c>
      <c r="K1100" t="str">
        <f>TRIM(IF(LEN(Taostats_CSV!I1100)&gt;0,Taostats_CSV!I1100,""))</f>
        <v/>
      </c>
      <c r="L1100" t="str">
        <f>IF(Taostats_CSV!E1100&lt;&gt;"TAO",IF(LEN(F1100)&gt;0,F1100,IF(LEN(D1100)&gt;0,D1100,0))*Taostats_CSV!P1100,"")</f>
        <v/>
      </c>
      <c r="M1100" t="str">
        <f t="shared" si="117"/>
        <v/>
      </c>
      <c r="N1100">
        <f>COUNTIF(Taostats_CSV!$X:$X,Taostats_CSV!$I1100&amp;N$1)</f>
        <v>0</v>
      </c>
      <c r="O1100">
        <f>COUNTIF(Taostats_CSV!$X:$X,Taostats_CSV!$I1100&amp;O$1)</f>
        <v>0</v>
      </c>
      <c r="P1100">
        <f>COUNTIF(Taostats_CSV!$X:$X,Taostats_CSV!$I1100&amp;P$1)</f>
        <v>0</v>
      </c>
      <c r="Q1100" t="b">
        <f t="shared" si="118"/>
        <v>0</v>
      </c>
      <c r="R1100" t="b">
        <f>IF(LEN(K1100)&gt;0,COUNTIF($K$3:K1100,K1100),FALSE)</f>
        <v>0</v>
      </c>
      <c r="S1100" t="b">
        <f>IF(Taostats_CSV!A1100=Taostats_CSV!$A$2,TRUE,Taostats_CSV!G1100+Taostats_CSV!H1100+Taostats_CSV!R1100=0)</f>
        <v>1</v>
      </c>
      <c r="T1100" t="b">
        <f t="shared" si="119"/>
        <v>0</v>
      </c>
      <c r="U1100" t="b" cm="1">
        <f t="array" aca="1" ref="U1100" ca="1">AND(T1100,OR(O1100-N1100&gt;1,P1100&gt;1,ISERROR(A1100:P1100)))</f>
        <v>0</v>
      </c>
      <c r="W1100" t="e">
        <f>MATCH(K1100&amp;$W$2,Taostats_CSV!$X$3:$X$1167,0)</f>
        <v>#N/A</v>
      </c>
      <c r="X1100" t="e">
        <f t="shared" ca="1" si="114"/>
        <v>#VALUE!</v>
      </c>
      <c r="Y1100">
        <f t="shared" ca="1" si="115"/>
        <v>0</v>
      </c>
      <c r="Z1100" t="e">
        <f t="shared" ca="1" si="116"/>
        <v>#VALUE!</v>
      </c>
    </row>
    <row r="1101" spans="1:26" hidden="1" x14ac:dyDescent="0.4">
      <c r="A1101" t="str">
        <f>MID(Taostats_CSV!C1101,6,2)&amp;"/"&amp;MID(Taostats_CSV!C1101,9,2)&amp;"/"&amp;LEFT(Taostats_CSV!C1101,4)&amp;" "&amp;MID(Taostats_CSV!C1101,12,8)</f>
        <v>10/20/2025 23:59:48</v>
      </c>
      <c r="C1101" t="str">
        <f ca="1">IF(Q1101,OFFSET(Taostats_CSV!$E$1,MATCH(K1101&amp;D$1,Taostats_CSV!$X:$X,0)-1,0),IF(Taostats_CSV!F1101="fee","",IF(VALUE(Taostats_CSV!G1101)&gt;0,Taostats_CSV!E1101,"")))</f>
        <v/>
      </c>
      <c r="D1101" t="str">
        <f ca="1">IF(Q1101,OFFSET(Taostats_CSV!$G$1,MATCH(K1101&amp;D$1,Taostats_CSV!$X:$X,0)-1,0),IF(Taostats_CSV!F1101="fee","",IF(VALUE(Taostats_CSV!G1101)&gt;0,Taostats_CSV!G1101,"")))</f>
        <v/>
      </c>
      <c r="E1101" t="str">
        <f ca="1">IF(AND(Q1101,P1101&gt;0),OFFSET(Taostats_CSV!$E$1,MATCH(K1101&amp;F$1,Taostats_CSV!$X:$X,0)-1,0),IF(LEN(F1101)&gt;0,Taostats_CSV!E1101,""))</f>
        <v>TAO</v>
      </c>
      <c r="F1101" t="str">
        <f ca="1">TRIM(IF(AND(Q1101,P1101&gt;0),OFFSET(Taostats_CSV!$H$1,MATCH(K1101&amp;F$1,Taostats_CSV!$X:$X,0)-1,0),IF(LEN(Taostats_CSV!H1101)&gt;0,Taostats_CSV!H1101,Taostats_CSV!R1101)))</f>
        <v>0</v>
      </c>
      <c r="G1101" t="str">
        <f ca="1">IF(AND(Q1101,N1101=1),OFFSET(Taostats_CSV!$E$1,MATCH(K1101&amp;H$1,Taostats_CSV!$X:$X,0)-1,0),IF(Taostats_CSV!F1101="fee",Taostats_CSV!E1101,""))</f>
        <v/>
      </c>
      <c r="H1101" t="str">
        <f ca="1">IF(AND(Q1101,N1101=1),OFFSET(Taostats_CSV!$G$1,MATCH(K1101&amp;H$1,Taostats_CSV!$X:$X,0)-1,0),IF(Taostats_CSV!F1101="fee",Taostats_CSV!G1101,""))</f>
        <v/>
      </c>
      <c r="I1101" t="str">
        <f ca="1">IF(AND(LEN(K1101)=0,LEN(F1101)&gt;0),"Income",IF(AND(O1101&gt;0,P1101&gt;0,C1101&lt;&gt;E1101),"Trade",IF(AND(NOT(Q1101),Taostats_CSV!F1101="fee"),'READ ME'!$C$5,"")))</f>
        <v>Income</v>
      </c>
      <c r="J1101" t="str">
        <f ca="1">SUBSTITUTE(IF(LEN(I1101)=0,Taostats_CSV!F1101&amp;" "&amp;Taostats_CSV!J1101,IF(I1101="Cost","Extrinsic fee","")),"_"," ")</f>
        <v/>
      </c>
      <c r="K1101" t="str">
        <f>TRIM(IF(LEN(Taostats_CSV!I1101)&gt;0,Taostats_CSV!I1101,""))</f>
        <v/>
      </c>
      <c r="L1101" t="str">
        <f>IF(Taostats_CSV!E1101&lt;&gt;"TAO",IF(LEN(F1101)&gt;0,F1101,IF(LEN(D1101)&gt;0,D1101,0))*Taostats_CSV!P1101,"")</f>
        <v/>
      </c>
      <c r="M1101" t="str">
        <f t="shared" si="117"/>
        <v/>
      </c>
      <c r="N1101">
        <f>COUNTIF(Taostats_CSV!$X:$X,Taostats_CSV!$I1101&amp;N$1)</f>
        <v>0</v>
      </c>
      <c r="O1101">
        <f>COUNTIF(Taostats_CSV!$X:$X,Taostats_CSV!$I1101&amp;O$1)</f>
        <v>0</v>
      </c>
      <c r="P1101">
        <f>COUNTIF(Taostats_CSV!$X:$X,Taostats_CSV!$I1101&amp;P$1)</f>
        <v>0</v>
      </c>
      <c r="Q1101" t="b">
        <f t="shared" si="118"/>
        <v>0</v>
      </c>
      <c r="R1101" t="b">
        <f>IF(LEN(K1101)&gt;0,COUNTIF($K$3:K1101,K1101),FALSE)</f>
        <v>0</v>
      </c>
      <c r="S1101" t="b">
        <f>IF(Taostats_CSV!A1101=Taostats_CSV!$A$2,TRUE,Taostats_CSV!G1101+Taostats_CSV!H1101+Taostats_CSV!R1101=0)</f>
        <v>1</v>
      </c>
      <c r="T1101" t="b">
        <f t="shared" si="119"/>
        <v>0</v>
      </c>
      <c r="U1101" t="b" cm="1">
        <f t="array" aca="1" ref="U1101" ca="1">AND(T1101,OR(O1101-N1101&gt;1,P1101&gt;1,ISERROR(A1101:P1101)))</f>
        <v>0</v>
      </c>
      <c r="W1101" t="e">
        <f>MATCH(K1101&amp;$W$2,Taostats_CSV!$X$3:$X$1167,0)</f>
        <v>#N/A</v>
      </c>
      <c r="X1101" t="e">
        <f t="shared" ca="1" si="114"/>
        <v>#VALUE!</v>
      </c>
      <c r="Y1101">
        <f t="shared" ca="1" si="115"/>
        <v>0</v>
      </c>
      <c r="Z1101" t="e">
        <f t="shared" ca="1" si="116"/>
        <v>#VALUE!</v>
      </c>
    </row>
    <row r="1102" spans="1:26" hidden="1" x14ac:dyDescent="0.4">
      <c r="A1102" t="str">
        <f>MID(Taostats_CSV!C1102,6,2)&amp;"/"&amp;MID(Taostats_CSV!C1102,9,2)&amp;"/"&amp;LEFT(Taostats_CSV!C1102,4)&amp;" "&amp;MID(Taostats_CSV!C1102,12,8)</f>
        <v>10/21/2025 23:59:48</v>
      </c>
      <c r="C1102" t="str">
        <f ca="1">IF(Q1102,OFFSET(Taostats_CSV!$E$1,MATCH(K1102&amp;D$1,Taostats_CSV!$X:$X,0)-1,0),IF(Taostats_CSV!F1102="fee","",IF(VALUE(Taostats_CSV!G1102)&gt;0,Taostats_CSV!E1102,"")))</f>
        <v/>
      </c>
      <c r="D1102" t="str">
        <f ca="1">IF(Q1102,OFFSET(Taostats_CSV!$G$1,MATCH(K1102&amp;D$1,Taostats_CSV!$X:$X,0)-1,0),IF(Taostats_CSV!F1102="fee","",IF(VALUE(Taostats_CSV!G1102)&gt;0,Taostats_CSV!G1102,"")))</f>
        <v/>
      </c>
      <c r="E1102" t="str">
        <f ca="1">IF(AND(Q1102,P1102&gt;0),OFFSET(Taostats_CSV!$E$1,MATCH(K1102&amp;F$1,Taostats_CSV!$X:$X,0)-1,0),IF(LEN(F1102)&gt;0,Taostats_CSV!E1102,""))</f>
        <v>TAO</v>
      </c>
      <c r="F1102" t="str">
        <f ca="1">TRIM(IF(AND(Q1102,P1102&gt;0),OFFSET(Taostats_CSV!$H$1,MATCH(K1102&amp;F$1,Taostats_CSV!$X:$X,0)-1,0),IF(LEN(Taostats_CSV!H1102)&gt;0,Taostats_CSV!H1102,Taostats_CSV!R1102)))</f>
        <v>0</v>
      </c>
      <c r="G1102" t="str">
        <f ca="1">IF(AND(Q1102,N1102=1),OFFSET(Taostats_CSV!$E$1,MATCH(K1102&amp;H$1,Taostats_CSV!$X:$X,0)-1,0),IF(Taostats_CSV!F1102="fee",Taostats_CSV!E1102,""))</f>
        <v/>
      </c>
      <c r="H1102" t="str">
        <f ca="1">IF(AND(Q1102,N1102=1),OFFSET(Taostats_CSV!$G$1,MATCH(K1102&amp;H$1,Taostats_CSV!$X:$X,0)-1,0),IF(Taostats_CSV!F1102="fee",Taostats_CSV!G1102,""))</f>
        <v/>
      </c>
      <c r="I1102" t="str">
        <f ca="1">IF(AND(LEN(K1102)=0,LEN(F1102)&gt;0),"Income",IF(AND(O1102&gt;0,P1102&gt;0,C1102&lt;&gt;E1102),"Trade",IF(AND(NOT(Q1102),Taostats_CSV!F1102="fee"),'READ ME'!$C$5,"")))</f>
        <v>Income</v>
      </c>
      <c r="J1102" t="str">
        <f ca="1">SUBSTITUTE(IF(LEN(I1102)=0,Taostats_CSV!F1102&amp;" "&amp;Taostats_CSV!J1102,IF(I1102="Cost","Extrinsic fee","")),"_"," ")</f>
        <v/>
      </c>
      <c r="K1102" t="str">
        <f>TRIM(IF(LEN(Taostats_CSV!I1102)&gt;0,Taostats_CSV!I1102,""))</f>
        <v/>
      </c>
      <c r="L1102" t="str">
        <f>IF(Taostats_CSV!E1102&lt;&gt;"TAO",IF(LEN(F1102)&gt;0,F1102,IF(LEN(D1102)&gt;0,D1102,0))*Taostats_CSV!P1102,"")</f>
        <v/>
      </c>
      <c r="M1102" t="str">
        <f t="shared" si="117"/>
        <v/>
      </c>
      <c r="N1102">
        <f>COUNTIF(Taostats_CSV!$X:$X,Taostats_CSV!$I1102&amp;N$1)</f>
        <v>0</v>
      </c>
      <c r="O1102">
        <f>COUNTIF(Taostats_CSV!$X:$X,Taostats_CSV!$I1102&amp;O$1)</f>
        <v>0</v>
      </c>
      <c r="P1102">
        <f>COUNTIF(Taostats_CSV!$X:$X,Taostats_CSV!$I1102&amp;P$1)</f>
        <v>0</v>
      </c>
      <c r="Q1102" t="b">
        <f t="shared" si="118"/>
        <v>0</v>
      </c>
      <c r="R1102" t="b">
        <f>IF(LEN(K1102)&gt;0,COUNTIF($K$3:K1102,K1102),FALSE)</f>
        <v>0</v>
      </c>
      <c r="S1102" t="b">
        <f>IF(Taostats_CSV!A1102=Taostats_CSV!$A$2,TRUE,Taostats_CSV!G1102+Taostats_CSV!H1102+Taostats_CSV!R1102=0)</f>
        <v>1</v>
      </c>
      <c r="T1102" t="b">
        <f t="shared" si="119"/>
        <v>0</v>
      </c>
      <c r="U1102" t="b" cm="1">
        <f t="array" aca="1" ref="U1102" ca="1">AND(T1102,OR(O1102-N1102&gt;1,P1102&gt;1,ISERROR(A1102:P1102)))</f>
        <v>0</v>
      </c>
      <c r="W1102" t="e">
        <f>MATCH(K1102&amp;$W$2,Taostats_CSV!$X$3:$X$1167,0)</f>
        <v>#N/A</v>
      </c>
      <c r="X1102" t="e">
        <f t="shared" ca="1" si="114"/>
        <v>#VALUE!</v>
      </c>
      <c r="Y1102">
        <f t="shared" ca="1" si="115"/>
        <v>0</v>
      </c>
      <c r="Z1102" t="e">
        <f t="shared" ca="1" si="116"/>
        <v>#VALUE!</v>
      </c>
    </row>
    <row r="1103" spans="1:26" hidden="1" x14ac:dyDescent="0.4">
      <c r="A1103" t="str">
        <f>MID(Taostats_CSV!C1103,6,2)&amp;"/"&amp;MID(Taostats_CSV!C1103,9,2)&amp;"/"&amp;LEFT(Taostats_CSV!C1103,4)&amp;" "&amp;MID(Taostats_CSV!C1103,12,8)</f>
        <v>10/22/2025 23:59:48</v>
      </c>
      <c r="C1103" t="str">
        <f ca="1">IF(Q1103,OFFSET(Taostats_CSV!$E$1,MATCH(K1103&amp;D$1,Taostats_CSV!$X:$X,0)-1,0),IF(Taostats_CSV!F1103="fee","",IF(VALUE(Taostats_CSV!G1103)&gt;0,Taostats_CSV!E1103,"")))</f>
        <v/>
      </c>
      <c r="D1103" t="str">
        <f ca="1">IF(Q1103,OFFSET(Taostats_CSV!$G$1,MATCH(K1103&amp;D$1,Taostats_CSV!$X:$X,0)-1,0),IF(Taostats_CSV!F1103="fee","",IF(VALUE(Taostats_CSV!G1103)&gt;0,Taostats_CSV!G1103,"")))</f>
        <v/>
      </c>
      <c r="E1103" t="str">
        <f ca="1">IF(AND(Q1103,P1103&gt;0),OFFSET(Taostats_CSV!$E$1,MATCH(K1103&amp;F$1,Taostats_CSV!$X:$X,0)-1,0),IF(LEN(F1103)&gt;0,Taostats_CSV!E1103,""))</f>
        <v>TAO</v>
      </c>
      <c r="F1103" t="str">
        <f ca="1">TRIM(IF(AND(Q1103,P1103&gt;0),OFFSET(Taostats_CSV!$H$1,MATCH(K1103&amp;F$1,Taostats_CSV!$X:$X,0)-1,0),IF(LEN(Taostats_CSV!H1103)&gt;0,Taostats_CSV!H1103,Taostats_CSV!R1103)))</f>
        <v>0</v>
      </c>
      <c r="G1103" t="str">
        <f ca="1">IF(AND(Q1103,N1103=1),OFFSET(Taostats_CSV!$E$1,MATCH(K1103&amp;H$1,Taostats_CSV!$X:$X,0)-1,0),IF(Taostats_CSV!F1103="fee",Taostats_CSV!E1103,""))</f>
        <v/>
      </c>
      <c r="H1103" t="str">
        <f ca="1">IF(AND(Q1103,N1103=1),OFFSET(Taostats_CSV!$G$1,MATCH(K1103&amp;H$1,Taostats_CSV!$X:$X,0)-1,0),IF(Taostats_CSV!F1103="fee",Taostats_CSV!G1103,""))</f>
        <v/>
      </c>
      <c r="I1103" t="str">
        <f ca="1">IF(AND(LEN(K1103)=0,LEN(F1103)&gt;0),"Income",IF(AND(O1103&gt;0,P1103&gt;0,C1103&lt;&gt;E1103),"Trade",IF(AND(NOT(Q1103),Taostats_CSV!F1103="fee"),'READ ME'!$C$5,"")))</f>
        <v>Income</v>
      </c>
      <c r="J1103" t="str">
        <f ca="1">SUBSTITUTE(IF(LEN(I1103)=0,Taostats_CSV!F1103&amp;" "&amp;Taostats_CSV!J1103,IF(I1103="Cost","Extrinsic fee","")),"_"," ")</f>
        <v/>
      </c>
      <c r="K1103" t="str">
        <f>TRIM(IF(LEN(Taostats_CSV!I1103)&gt;0,Taostats_CSV!I1103,""))</f>
        <v/>
      </c>
      <c r="L1103" t="str">
        <f>IF(Taostats_CSV!E1103&lt;&gt;"TAO",IF(LEN(F1103)&gt;0,F1103,IF(LEN(D1103)&gt;0,D1103,0))*Taostats_CSV!P1103,"")</f>
        <v/>
      </c>
      <c r="M1103" t="str">
        <f t="shared" si="117"/>
        <v/>
      </c>
      <c r="N1103">
        <f>COUNTIF(Taostats_CSV!$X:$X,Taostats_CSV!$I1103&amp;N$1)</f>
        <v>0</v>
      </c>
      <c r="O1103">
        <f>COUNTIF(Taostats_CSV!$X:$X,Taostats_CSV!$I1103&amp;O$1)</f>
        <v>0</v>
      </c>
      <c r="P1103">
        <f>COUNTIF(Taostats_CSV!$X:$X,Taostats_CSV!$I1103&amp;P$1)</f>
        <v>0</v>
      </c>
      <c r="Q1103" t="b">
        <f t="shared" si="118"/>
        <v>0</v>
      </c>
      <c r="R1103" t="b">
        <f>IF(LEN(K1103)&gt;0,COUNTIF($K$3:K1103,K1103),FALSE)</f>
        <v>0</v>
      </c>
      <c r="S1103" t="b">
        <f>IF(Taostats_CSV!A1103=Taostats_CSV!$A$2,TRUE,Taostats_CSV!G1103+Taostats_CSV!H1103+Taostats_CSV!R1103=0)</f>
        <v>1</v>
      </c>
      <c r="T1103" t="b">
        <f t="shared" si="119"/>
        <v>0</v>
      </c>
      <c r="U1103" t="b" cm="1">
        <f t="array" aca="1" ref="U1103" ca="1">AND(T1103,OR(O1103-N1103&gt;1,P1103&gt;1,ISERROR(A1103:P1103)))</f>
        <v>0</v>
      </c>
      <c r="W1103" t="e">
        <f>MATCH(K1103&amp;$W$2,Taostats_CSV!$X$3:$X$1167,0)</f>
        <v>#N/A</v>
      </c>
      <c r="X1103" t="e">
        <f t="shared" ca="1" si="114"/>
        <v>#VALUE!</v>
      </c>
      <c r="Y1103">
        <f t="shared" ca="1" si="115"/>
        <v>0</v>
      </c>
      <c r="Z1103" t="e">
        <f t="shared" ca="1" si="116"/>
        <v>#VALUE!</v>
      </c>
    </row>
    <row r="1104" spans="1:26" hidden="1" x14ac:dyDescent="0.4">
      <c r="A1104" t="str">
        <f>MID(Taostats_CSV!C1104,6,2)&amp;"/"&amp;MID(Taostats_CSV!C1104,9,2)&amp;"/"&amp;LEFT(Taostats_CSV!C1104,4)&amp;" "&amp;MID(Taostats_CSV!C1104,12,8)</f>
        <v>10/23/2025 23:59:48</v>
      </c>
      <c r="C1104" t="str">
        <f ca="1">IF(Q1104,OFFSET(Taostats_CSV!$E$1,MATCH(K1104&amp;D$1,Taostats_CSV!$X:$X,0)-1,0),IF(Taostats_CSV!F1104="fee","",IF(VALUE(Taostats_CSV!G1104)&gt;0,Taostats_CSV!E1104,"")))</f>
        <v/>
      </c>
      <c r="D1104" t="str">
        <f ca="1">IF(Q1104,OFFSET(Taostats_CSV!$G$1,MATCH(K1104&amp;D$1,Taostats_CSV!$X:$X,0)-1,0),IF(Taostats_CSV!F1104="fee","",IF(VALUE(Taostats_CSV!G1104)&gt;0,Taostats_CSV!G1104,"")))</f>
        <v/>
      </c>
      <c r="E1104" t="str">
        <f ca="1">IF(AND(Q1104,P1104&gt;0),OFFSET(Taostats_CSV!$E$1,MATCH(K1104&amp;F$1,Taostats_CSV!$X:$X,0)-1,0),IF(LEN(F1104)&gt;0,Taostats_CSV!E1104,""))</f>
        <v>TAO</v>
      </c>
      <c r="F1104" t="str">
        <f ca="1">TRIM(IF(AND(Q1104,P1104&gt;0),OFFSET(Taostats_CSV!$H$1,MATCH(K1104&amp;F$1,Taostats_CSV!$X:$X,0)-1,0),IF(LEN(Taostats_CSV!H1104)&gt;0,Taostats_CSV!H1104,Taostats_CSV!R1104)))</f>
        <v>0</v>
      </c>
      <c r="G1104" t="str">
        <f ca="1">IF(AND(Q1104,N1104=1),OFFSET(Taostats_CSV!$E$1,MATCH(K1104&amp;H$1,Taostats_CSV!$X:$X,0)-1,0),IF(Taostats_CSV!F1104="fee",Taostats_CSV!E1104,""))</f>
        <v/>
      </c>
      <c r="H1104" t="str">
        <f ca="1">IF(AND(Q1104,N1104=1),OFFSET(Taostats_CSV!$G$1,MATCH(K1104&amp;H$1,Taostats_CSV!$X:$X,0)-1,0),IF(Taostats_CSV!F1104="fee",Taostats_CSV!G1104,""))</f>
        <v/>
      </c>
      <c r="I1104" t="str">
        <f ca="1">IF(AND(LEN(K1104)=0,LEN(F1104)&gt;0),"Income",IF(AND(O1104&gt;0,P1104&gt;0,C1104&lt;&gt;E1104),"Trade",IF(AND(NOT(Q1104),Taostats_CSV!F1104="fee"),'READ ME'!$C$5,"")))</f>
        <v>Income</v>
      </c>
      <c r="J1104" t="str">
        <f ca="1">SUBSTITUTE(IF(LEN(I1104)=0,Taostats_CSV!F1104&amp;" "&amp;Taostats_CSV!J1104,IF(I1104="Cost","Extrinsic fee","")),"_"," ")</f>
        <v/>
      </c>
      <c r="K1104" t="str">
        <f>TRIM(IF(LEN(Taostats_CSV!I1104)&gt;0,Taostats_CSV!I1104,""))</f>
        <v/>
      </c>
      <c r="L1104" t="str">
        <f>IF(Taostats_CSV!E1104&lt;&gt;"TAO",IF(LEN(F1104)&gt;0,F1104,IF(LEN(D1104)&gt;0,D1104,0))*Taostats_CSV!P1104,"")</f>
        <v/>
      </c>
      <c r="M1104" t="str">
        <f t="shared" si="117"/>
        <v/>
      </c>
      <c r="N1104">
        <f>COUNTIF(Taostats_CSV!$X:$X,Taostats_CSV!$I1104&amp;N$1)</f>
        <v>0</v>
      </c>
      <c r="O1104">
        <f>COUNTIF(Taostats_CSV!$X:$X,Taostats_CSV!$I1104&amp;O$1)</f>
        <v>0</v>
      </c>
      <c r="P1104">
        <f>COUNTIF(Taostats_CSV!$X:$X,Taostats_CSV!$I1104&amp;P$1)</f>
        <v>0</v>
      </c>
      <c r="Q1104" t="b">
        <f t="shared" si="118"/>
        <v>0</v>
      </c>
      <c r="R1104" t="b">
        <f>IF(LEN(K1104)&gt;0,COUNTIF($K$3:K1104,K1104),FALSE)</f>
        <v>0</v>
      </c>
      <c r="S1104" t="b">
        <f>IF(Taostats_CSV!A1104=Taostats_CSV!$A$2,TRUE,Taostats_CSV!G1104+Taostats_CSV!H1104+Taostats_CSV!R1104=0)</f>
        <v>1</v>
      </c>
      <c r="T1104" t="b">
        <f t="shared" si="119"/>
        <v>0</v>
      </c>
      <c r="U1104" t="b" cm="1">
        <f t="array" aca="1" ref="U1104" ca="1">AND(T1104,OR(O1104-N1104&gt;1,P1104&gt;1,ISERROR(A1104:P1104)))</f>
        <v>0</v>
      </c>
      <c r="W1104" t="e">
        <f>MATCH(K1104&amp;$W$2,Taostats_CSV!$X$3:$X$1167,0)</f>
        <v>#N/A</v>
      </c>
      <c r="X1104" t="e">
        <f t="shared" ca="1" si="114"/>
        <v>#VALUE!</v>
      </c>
      <c r="Y1104">
        <f t="shared" ca="1" si="115"/>
        <v>0</v>
      </c>
      <c r="Z1104" t="e">
        <f t="shared" ca="1" si="116"/>
        <v>#VALUE!</v>
      </c>
    </row>
    <row r="1105" spans="1:26" hidden="1" x14ac:dyDescent="0.4">
      <c r="A1105" t="str">
        <f>MID(Taostats_CSV!C1105,6,2)&amp;"/"&amp;MID(Taostats_CSV!C1105,9,2)&amp;"/"&amp;LEFT(Taostats_CSV!C1105,4)&amp;" "&amp;MID(Taostats_CSV!C1105,12,8)</f>
        <v>10/24/2025 23:59:48</v>
      </c>
      <c r="C1105" t="str">
        <f ca="1">IF(Q1105,OFFSET(Taostats_CSV!$E$1,MATCH(K1105&amp;D$1,Taostats_CSV!$X:$X,0)-1,0),IF(Taostats_CSV!F1105="fee","",IF(VALUE(Taostats_CSV!G1105)&gt;0,Taostats_CSV!E1105,"")))</f>
        <v/>
      </c>
      <c r="D1105" t="str">
        <f ca="1">IF(Q1105,OFFSET(Taostats_CSV!$G$1,MATCH(K1105&amp;D$1,Taostats_CSV!$X:$X,0)-1,0),IF(Taostats_CSV!F1105="fee","",IF(VALUE(Taostats_CSV!G1105)&gt;0,Taostats_CSV!G1105,"")))</f>
        <v/>
      </c>
      <c r="E1105" t="str">
        <f ca="1">IF(AND(Q1105,P1105&gt;0),OFFSET(Taostats_CSV!$E$1,MATCH(K1105&amp;F$1,Taostats_CSV!$X:$X,0)-1,0),IF(LEN(F1105)&gt;0,Taostats_CSV!E1105,""))</f>
        <v>TAO</v>
      </c>
      <c r="F1105" t="str">
        <f ca="1">TRIM(IF(AND(Q1105,P1105&gt;0),OFFSET(Taostats_CSV!$H$1,MATCH(K1105&amp;F$1,Taostats_CSV!$X:$X,0)-1,0),IF(LEN(Taostats_CSV!H1105)&gt;0,Taostats_CSV!H1105,Taostats_CSV!R1105)))</f>
        <v>0</v>
      </c>
      <c r="G1105" t="str">
        <f ca="1">IF(AND(Q1105,N1105=1),OFFSET(Taostats_CSV!$E$1,MATCH(K1105&amp;H$1,Taostats_CSV!$X:$X,0)-1,0),IF(Taostats_CSV!F1105="fee",Taostats_CSV!E1105,""))</f>
        <v/>
      </c>
      <c r="H1105" t="str">
        <f ca="1">IF(AND(Q1105,N1105=1),OFFSET(Taostats_CSV!$G$1,MATCH(K1105&amp;H$1,Taostats_CSV!$X:$X,0)-1,0),IF(Taostats_CSV!F1105="fee",Taostats_CSV!G1105,""))</f>
        <v/>
      </c>
      <c r="I1105" t="str">
        <f ca="1">IF(AND(LEN(K1105)=0,LEN(F1105)&gt;0),"Income",IF(AND(O1105&gt;0,P1105&gt;0,C1105&lt;&gt;E1105),"Trade",IF(AND(NOT(Q1105),Taostats_CSV!F1105="fee"),'READ ME'!$C$5,"")))</f>
        <v>Income</v>
      </c>
      <c r="J1105" t="str">
        <f ca="1">SUBSTITUTE(IF(LEN(I1105)=0,Taostats_CSV!F1105&amp;" "&amp;Taostats_CSV!J1105,IF(I1105="Cost","Extrinsic fee","")),"_"," ")</f>
        <v/>
      </c>
      <c r="K1105" t="str">
        <f>TRIM(IF(LEN(Taostats_CSV!I1105)&gt;0,Taostats_CSV!I1105,""))</f>
        <v/>
      </c>
      <c r="L1105" t="str">
        <f>IF(Taostats_CSV!E1105&lt;&gt;"TAO",IF(LEN(F1105)&gt;0,F1105,IF(LEN(D1105)&gt;0,D1105,0))*Taostats_CSV!P1105,"")</f>
        <v/>
      </c>
      <c r="M1105" t="str">
        <f t="shared" si="117"/>
        <v/>
      </c>
      <c r="N1105">
        <f>COUNTIF(Taostats_CSV!$X:$X,Taostats_CSV!$I1105&amp;N$1)</f>
        <v>0</v>
      </c>
      <c r="O1105">
        <f>COUNTIF(Taostats_CSV!$X:$X,Taostats_CSV!$I1105&amp;O$1)</f>
        <v>0</v>
      </c>
      <c r="P1105">
        <f>COUNTIF(Taostats_CSV!$X:$X,Taostats_CSV!$I1105&amp;P$1)</f>
        <v>0</v>
      </c>
      <c r="Q1105" t="b">
        <f t="shared" si="118"/>
        <v>0</v>
      </c>
      <c r="R1105" t="b">
        <f>IF(LEN(K1105)&gt;0,COUNTIF($K$3:K1105,K1105),FALSE)</f>
        <v>0</v>
      </c>
      <c r="S1105" t="b">
        <f>IF(Taostats_CSV!A1105=Taostats_CSV!$A$2,TRUE,Taostats_CSV!G1105+Taostats_CSV!H1105+Taostats_CSV!R1105=0)</f>
        <v>1</v>
      </c>
      <c r="T1105" t="b">
        <f t="shared" si="119"/>
        <v>0</v>
      </c>
      <c r="U1105" t="b" cm="1">
        <f t="array" aca="1" ref="U1105" ca="1">AND(T1105,OR(O1105-N1105&gt;1,P1105&gt;1,ISERROR(A1105:P1105)))</f>
        <v>0</v>
      </c>
      <c r="W1105" t="e">
        <f>MATCH(K1105&amp;$W$2,Taostats_CSV!$X$3:$X$1167,0)</f>
        <v>#N/A</v>
      </c>
      <c r="X1105" t="e">
        <f t="shared" ca="1" si="114"/>
        <v>#VALUE!</v>
      </c>
      <c r="Y1105">
        <f t="shared" ca="1" si="115"/>
        <v>0</v>
      </c>
      <c r="Z1105" t="e">
        <f t="shared" ca="1" si="116"/>
        <v>#VALUE!</v>
      </c>
    </row>
    <row r="1106" spans="1:26" hidden="1" x14ac:dyDescent="0.4">
      <c r="A1106" t="str">
        <f>MID(Taostats_CSV!C1106,6,2)&amp;"/"&amp;MID(Taostats_CSV!C1106,9,2)&amp;"/"&amp;LEFT(Taostats_CSV!C1106,4)&amp;" "&amp;MID(Taostats_CSV!C1106,12,8)</f>
        <v>10/25/2025 23:59:48</v>
      </c>
      <c r="C1106" t="str">
        <f ca="1">IF(Q1106,OFFSET(Taostats_CSV!$E$1,MATCH(K1106&amp;D$1,Taostats_CSV!$X:$X,0)-1,0),IF(Taostats_CSV!F1106="fee","",IF(VALUE(Taostats_CSV!G1106)&gt;0,Taostats_CSV!E1106,"")))</f>
        <v/>
      </c>
      <c r="D1106" t="str">
        <f ca="1">IF(Q1106,OFFSET(Taostats_CSV!$G$1,MATCH(K1106&amp;D$1,Taostats_CSV!$X:$X,0)-1,0),IF(Taostats_CSV!F1106="fee","",IF(VALUE(Taostats_CSV!G1106)&gt;0,Taostats_CSV!G1106,"")))</f>
        <v/>
      </c>
      <c r="E1106" t="str">
        <f ca="1">IF(AND(Q1106,P1106&gt;0),OFFSET(Taostats_CSV!$E$1,MATCH(K1106&amp;F$1,Taostats_CSV!$X:$X,0)-1,0),IF(LEN(F1106)&gt;0,Taostats_CSV!E1106,""))</f>
        <v>TAO</v>
      </c>
      <c r="F1106" t="str">
        <f ca="1">TRIM(IF(AND(Q1106,P1106&gt;0),OFFSET(Taostats_CSV!$H$1,MATCH(K1106&amp;F$1,Taostats_CSV!$X:$X,0)-1,0),IF(LEN(Taostats_CSV!H1106)&gt;0,Taostats_CSV!H1106,Taostats_CSV!R1106)))</f>
        <v>0</v>
      </c>
      <c r="G1106" t="str">
        <f ca="1">IF(AND(Q1106,N1106=1),OFFSET(Taostats_CSV!$E$1,MATCH(K1106&amp;H$1,Taostats_CSV!$X:$X,0)-1,0),IF(Taostats_CSV!F1106="fee",Taostats_CSV!E1106,""))</f>
        <v/>
      </c>
      <c r="H1106" t="str">
        <f ca="1">IF(AND(Q1106,N1106=1),OFFSET(Taostats_CSV!$G$1,MATCH(K1106&amp;H$1,Taostats_CSV!$X:$X,0)-1,0),IF(Taostats_CSV!F1106="fee",Taostats_CSV!G1106,""))</f>
        <v/>
      </c>
      <c r="I1106" t="str">
        <f ca="1">IF(AND(LEN(K1106)=0,LEN(F1106)&gt;0),"Income",IF(AND(O1106&gt;0,P1106&gt;0,C1106&lt;&gt;E1106),"Trade",IF(AND(NOT(Q1106),Taostats_CSV!F1106="fee"),'READ ME'!$C$5,"")))</f>
        <v>Income</v>
      </c>
      <c r="J1106" t="str">
        <f ca="1">SUBSTITUTE(IF(LEN(I1106)=0,Taostats_CSV!F1106&amp;" "&amp;Taostats_CSV!J1106,IF(I1106="Cost","Extrinsic fee","")),"_"," ")</f>
        <v/>
      </c>
      <c r="K1106" t="str">
        <f>TRIM(IF(LEN(Taostats_CSV!I1106)&gt;0,Taostats_CSV!I1106,""))</f>
        <v/>
      </c>
      <c r="L1106" t="str">
        <f>IF(Taostats_CSV!E1106&lt;&gt;"TAO",IF(LEN(F1106)&gt;0,F1106,IF(LEN(D1106)&gt;0,D1106,0))*Taostats_CSV!P1106,"")</f>
        <v/>
      </c>
      <c r="M1106" t="str">
        <f t="shared" si="117"/>
        <v/>
      </c>
      <c r="N1106">
        <f>COUNTIF(Taostats_CSV!$X:$X,Taostats_CSV!$I1106&amp;N$1)</f>
        <v>0</v>
      </c>
      <c r="O1106">
        <f>COUNTIF(Taostats_CSV!$X:$X,Taostats_CSV!$I1106&amp;O$1)</f>
        <v>0</v>
      </c>
      <c r="P1106">
        <f>COUNTIF(Taostats_CSV!$X:$X,Taostats_CSV!$I1106&amp;P$1)</f>
        <v>0</v>
      </c>
      <c r="Q1106" t="b">
        <f t="shared" si="118"/>
        <v>0</v>
      </c>
      <c r="R1106" t="b">
        <f>IF(LEN(K1106)&gt;0,COUNTIF($K$3:K1106,K1106),FALSE)</f>
        <v>0</v>
      </c>
      <c r="S1106" t="b">
        <f>IF(Taostats_CSV!A1106=Taostats_CSV!$A$2,TRUE,Taostats_CSV!G1106+Taostats_CSV!H1106+Taostats_CSV!R1106=0)</f>
        <v>1</v>
      </c>
      <c r="T1106" t="b">
        <f t="shared" si="119"/>
        <v>0</v>
      </c>
      <c r="U1106" t="b" cm="1">
        <f t="array" aca="1" ref="U1106" ca="1">AND(T1106,OR(O1106-N1106&gt;1,P1106&gt;1,ISERROR(A1106:P1106)))</f>
        <v>0</v>
      </c>
      <c r="W1106" t="e">
        <f>MATCH(K1106&amp;$W$2,Taostats_CSV!$X$3:$X$1167,0)</f>
        <v>#N/A</v>
      </c>
      <c r="X1106" t="e">
        <f t="shared" ca="1" si="114"/>
        <v>#VALUE!</v>
      </c>
      <c r="Y1106">
        <f t="shared" ca="1" si="115"/>
        <v>0</v>
      </c>
      <c r="Z1106" t="e">
        <f t="shared" ca="1" si="116"/>
        <v>#VALUE!</v>
      </c>
    </row>
    <row r="1107" spans="1:26" hidden="1" x14ac:dyDescent="0.4">
      <c r="A1107" t="str">
        <f>MID(Taostats_CSV!C1107,6,2)&amp;"/"&amp;MID(Taostats_CSV!C1107,9,2)&amp;"/"&amp;LEFT(Taostats_CSV!C1107,4)&amp;" "&amp;MID(Taostats_CSV!C1107,12,8)</f>
        <v>10/26/2025 23:59:48</v>
      </c>
      <c r="C1107" t="str">
        <f ca="1">IF(Q1107,OFFSET(Taostats_CSV!$E$1,MATCH(K1107&amp;D$1,Taostats_CSV!$X:$X,0)-1,0),IF(Taostats_CSV!F1107="fee","",IF(VALUE(Taostats_CSV!G1107)&gt;0,Taostats_CSV!E1107,"")))</f>
        <v/>
      </c>
      <c r="D1107" t="str">
        <f ca="1">IF(Q1107,OFFSET(Taostats_CSV!$G$1,MATCH(K1107&amp;D$1,Taostats_CSV!$X:$X,0)-1,0),IF(Taostats_CSV!F1107="fee","",IF(VALUE(Taostats_CSV!G1107)&gt;0,Taostats_CSV!G1107,"")))</f>
        <v/>
      </c>
      <c r="E1107" t="str">
        <f ca="1">IF(AND(Q1107,P1107&gt;0),OFFSET(Taostats_CSV!$E$1,MATCH(K1107&amp;F$1,Taostats_CSV!$X:$X,0)-1,0),IF(LEN(F1107)&gt;0,Taostats_CSV!E1107,""))</f>
        <v>TAO</v>
      </c>
      <c r="F1107" t="str">
        <f ca="1">TRIM(IF(AND(Q1107,P1107&gt;0),OFFSET(Taostats_CSV!$H$1,MATCH(K1107&amp;F$1,Taostats_CSV!$X:$X,0)-1,0),IF(LEN(Taostats_CSV!H1107)&gt;0,Taostats_CSV!H1107,Taostats_CSV!R1107)))</f>
        <v>0</v>
      </c>
      <c r="G1107" t="str">
        <f ca="1">IF(AND(Q1107,N1107=1),OFFSET(Taostats_CSV!$E$1,MATCH(K1107&amp;H$1,Taostats_CSV!$X:$X,0)-1,0),IF(Taostats_CSV!F1107="fee",Taostats_CSV!E1107,""))</f>
        <v/>
      </c>
      <c r="H1107" t="str">
        <f ca="1">IF(AND(Q1107,N1107=1),OFFSET(Taostats_CSV!$G$1,MATCH(K1107&amp;H$1,Taostats_CSV!$X:$X,0)-1,0),IF(Taostats_CSV!F1107="fee",Taostats_CSV!G1107,""))</f>
        <v/>
      </c>
      <c r="I1107" t="str">
        <f ca="1">IF(AND(LEN(K1107)=0,LEN(F1107)&gt;0),"Income",IF(AND(O1107&gt;0,P1107&gt;0,C1107&lt;&gt;E1107),"Trade",IF(AND(NOT(Q1107),Taostats_CSV!F1107="fee"),'READ ME'!$C$5,"")))</f>
        <v>Income</v>
      </c>
      <c r="J1107" t="str">
        <f ca="1">SUBSTITUTE(IF(LEN(I1107)=0,Taostats_CSV!F1107&amp;" "&amp;Taostats_CSV!J1107,IF(I1107="Cost","Extrinsic fee","")),"_"," ")</f>
        <v/>
      </c>
      <c r="K1107" t="str">
        <f>TRIM(IF(LEN(Taostats_CSV!I1107)&gt;0,Taostats_CSV!I1107,""))</f>
        <v/>
      </c>
      <c r="L1107" t="str">
        <f>IF(Taostats_CSV!E1107&lt;&gt;"TAO",IF(LEN(F1107)&gt;0,F1107,IF(LEN(D1107)&gt;0,D1107,0))*Taostats_CSV!P1107,"")</f>
        <v/>
      </c>
      <c r="M1107" t="str">
        <f t="shared" si="117"/>
        <v/>
      </c>
      <c r="N1107">
        <f>COUNTIF(Taostats_CSV!$X:$X,Taostats_CSV!$I1107&amp;N$1)</f>
        <v>0</v>
      </c>
      <c r="O1107">
        <f>COUNTIF(Taostats_CSV!$X:$X,Taostats_CSV!$I1107&amp;O$1)</f>
        <v>0</v>
      </c>
      <c r="P1107">
        <f>COUNTIF(Taostats_CSV!$X:$X,Taostats_CSV!$I1107&amp;P$1)</f>
        <v>0</v>
      </c>
      <c r="Q1107" t="b">
        <f t="shared" si="118"/>
        <v>0</v>
      </c>
      <c r="R1107" t="b">
        <f>IF(LEN(K1107)&gt;0,COUNTIF($K$3:K1107,K1107),FALSE)</f>
        <v>0</v>
      </c>
      <c r="S1107" t="b">
        <f>IF(Taostats_CSV!A1107=Taostats_CSV!$A$2,TRUE,Taostats_CSV!G1107+Taostats_CSV!H1107+Taostats_CSV!R1107=0)</f>
        <v>1</v>
      </c>
      <c r="T1107" t="b">
        <f t="shared" si="119"/>
        <v>0</v>
      </c>
      <c r="U1107" t="b" cm="1">
        <f t="array" aca="1" ref="U1107" ca="1">AND(T1107,OR(O1107-N1107&gt;1,P1107&gt;1,ISERROR(A1107:P1107)))</f>
        <v>0</v>
      </c>
      <c r="W1107" t="e">
        <f>MATCH(K1107&amp;$W$2,Taostats_CSV!$X$3:$X$1167,0)</f>
        <v>#N/A</v>
      </c>
      <c r="X1107" t="e">
        <f t="shared" ca="1" si="114"/>
        <v>#VALUE!</v>
      </c>
      <c r="Y1107">
        <f t="shared" ca="1" si="115"/>
        <v>0</v>
      </c>
      <c r="Z1107" t="e">
        <f t="shared" ca="1" si="116"/>
        <v>#VALUE!</v>
      </c>
    </row>
    <row r="1108" spans="1:26" hidden="1" x14ac:dyDescent="0.4">
      <c r="A1108" t="str">
        <f>MID(Taostats_CSV!C1108,6,2)&amp;"/"&amp;MID(Taostats_CSV!C1108,9,2)&amp;"/"&amp;LEFT(Taostats_CSV!C1108,4)&amp;" "&amp;MID(Taostats_CSV!C1108,12,8)</f>
        <v>10/27/2025 23:59:48</v>
      </c>
      <c r="C1108" t="str">
        <f ca="1">IF(Q1108,OFFSET(Taostats_CSV!$E$1,MATCH(K1108&amp;D$1,Taostats_CSV!$X:$X,0)-1,0),IF(Taostats_CSV!F1108="fee","",IF(VALUE(Taostats_CSV!G1108)&gt;0,Taostats_CSV!E1108,"")))</f>
        <v/>
      </c>
      <c r="D1108" t="str">
        <f ca="1">IF(Q1108,OFFSET(Taostats_CSV!$G$1,MATCH(K1108&amp;D$1,Taostats_CSV!$X:$X,0)-1,0),IF(Taostats_CSV!F1108="fee","",IF(VALUE(Taostats_CSV!G1108)&gt;0,Taostats_CSV!G1108,"")))</f>
        <v/>
      </c>
      <c r="E1108" t="str">
        <f ca="1">IF(AND(Q1108,P1108&gt;0),OFFSET(Taostats_CSV!$E$1,MATCH(K1108&amp;F$1,Taostats_CSV!$X:$X,0)-1,0),IF(LEN(F1108)&gt;0,Taostats_CSV!E1108,""))</f>
        <v>TAO</v>
      </c>
      <c r="F1108" t="str">
        <f ca="1">TRIM(IF(AND(Q1108,P1108&gt;0),OFFSET(Taostats_CSV!$H$1,MATCH(K1108&amp;F$1,Taostats_CSV!$X:$X,0)-1,0),IF(LEN(Taostats_CSV!H1108)&gt;0,Taostats_CSV!H1108,Taostats_CSV!R1108)))</f>
        <v>0</v>
      </c>
      <c r="G1108" t="str">
        <f ca="1">IF(AND(Q1108,N1108=1),OFFSET(Taostats_CSV!$E$1,MATCH(K1108&amp;H$1,Taostats_CSV!$X:$X,0)-1,0),IF(Taostats_CSV!F1108="fee",Taostats_CSV!E1108,""))</f>
        <v/>
      </c>
      <c r="H1108" t="str">
        <f ca="1">IF(AND(Q1108,N1108=1),OFFSET(Taostats_CSV!$G$1,MATCH(K1108&amp;H$1,Taostats_CSV!$X:$X,0)-1,0),IF(Taostats_CSV!F1108="fee",Taostats_CSV!G1108,""))</f>
        <v/>
      </c>
      <c r="I1108" t="str">
        <f ca="1">IF(AND(LEN(K1108)=0,LEN(F1108)&gt;0),"Income",IF(AND(O1108&gt;0,P1108&gt;0,C1108&lt;&gt;E1108),"Trade",IF(AND(NOT(Q1108),Taostats_CSV!F1108="fee"),'READ ME'!$C$5,"")))</f>
        <v>Income</v>
      </c>
      <c r="J1108" t="str">
        <f ca="1">SUBSTITUTE(IF(LEN(I1108)=0,Taostats_CSV!F1108&amp;" "&amp;Taostats_CSV!J1108,IF(I1108="Cost","Extrinsic fee","")),"_"," ")</f>
        <v/>
      </c>
      <c r="K1108" t="str">
        <f>TRIM(IF(LEN(Taostats_CSV!I1108)&gt;0,Taostats_CSV!I1108,""))</f>
        <v/>
      </c>
      <c r="L1108" t="str">
        <f>IF(Taostats_CSV!E1108&lt;&gt;"TAO",IF(LEN(F1108)&gt;0,F1108,IF(LEN(D1108)&gt;0,D1108,0))*Taostats_CSV!P1108,"")</f>
        <v/>
      </c>
      <c r="M1108" t="str">
        <f t="shared" si="117"/>
        <v/>
      </c>
      <c r="N1108">
        <f>COUNTIF(Taostats_CSV!$X:$X,Taostats_CSV!$I1108&amp;N$1)</f>
        <v>0</v>
      </c>
      <c r="O1108">
        <f>COUNTIF(Taostats_CSV!$X:$X,Taostats_CSV!$I1108&amp;O$1)</f>
        <v>0</v>
      </c>
      <c r="P1108">
        <f>COUNTIF(Taostats_CSV!$X:$X,Taostats_CSV!$I1108&amp;P$1)</f>
        <v>0</v>
      </c>
      <c r="Q1108" t="b">
        <f t="shared" si="118"/>
        <v>0</v>
      </c>
      <c r="R1108" t="b">
        <f>IF(LEN(K1108)&gt;0,COUNTIF($K$3:K1108,K1108),FALSE)</f>
        <v>0</v>
      </c>
      <c r="S1108" t="b">
        <f>IF(Taostats_CSV!A1108=Taostats_CSV!$A$2,TRUE,Taostats_CSV!G1108+Taostats_CSV!H1108+Taostats_CSV!R1108=0)</f>
        <v>1</v>
      </c>
      <c r="T1108" t="b">
        <f t="shared" si="119"/>
        <v>0</v>
      </c>
      <c r="U1108" t="b" cm="1">
        <f t="array" aca="1" ref="U1108" ca="1">AND(T1108,OR(O1108-N1108&gt;1,P1108&gt;1,ISERROR(A1108:P1108)))</f>
        <v>0</v>
      </c>
      <c r="W1108" t="e">
        <f>MATCH(K1108&amp;$W$2,Taostats_CSV!$X$3:$X$1167,0)</f>
        <v>#N/A</v>
      </c>
      <c r="X1108" t="e">
        <f t="shared" ca="1" si="114"/>
        <v>#VALUE!</v>
      </c>
      <c r="Y1108">
        <f t="shared" ca="1" si="115"/>
        <v>0</v>
      </c>
      <c r="Z1108" t="e">
        <f t="shared" ca="1" si="116"/>
        <v>#VALUE!</v>
      </c>
    </row>
    <row r="1109" spans="1:26" hidden="1" x14ac:dyDescent="0.4">
      <c r="A1109" t="str">
        <f>MID(Taostats_CSV!C1109,6,2)&amp;"/"&amp;MID(Taostats_CSV!C1109,9,2)&amp;"/"&amp;LEFT(Taostats_CSV!C1109,4)&amp;" "&amp;MID(Taostats_CSV!C1109,12,8)</f>
        <v>10/28/2025 23:59:48</v>
      </c>
      <c r="C1109" t="str">
        <f ca="1">IF(Q1109,OFFSET(Taostats_CSV!$E$1,MATCH(K1109&amp;D$1,Taostats_CSV!$X:$X,0)-1,0),IF(Taostats_CSV!F1109="fee","",IF(VALUE(Taostats_CSV!G1109)&gt;0,Taostats_CSV!E1109,"")))</f>
        <v/>
      </c>
      <c r="D1109" t="str">
        <f ca="1">IF(Q1109,OFFSET(Taostats_CSV!$G$1,MATCH(K1109&amp;D$1,Taostats_CSV!$X:$X,0)-1,0),IF(Taostats_CSV!F1109="fee","",IF(VALUE(Taostats_CSV!G1109)&gt;0,Taostats_CSV!G1109,"")))</f>
        <v/>
      </c>
      <c r="E1109" t="str">
        <f ca="1">IF(AND(Q1109,P1109&gt;0),OFFSET(Taostats_CSV!$E$1,MATCH(K1109&amp;F$1,Taostats_CSV!$X:$X,0)-1,0),IF(LEN(F1109)&gt;0,Taostats_CSV!E1109,""))</f>
        <v>TAO</v>
      </c>
      <c r="F1109" t="str">
        <f ca="1">TRIM(IF(AND(Q1109,P1109&gt;0),OFFSET(Taostats_CSV!$H$1,MATCH(K1109&amp;F$1,Taostats_CSV!$X:$X,0)-1,0),IF(LEN(Taostats_CSV!H1109)&gt;0,Taostats_CSV!H1109,Taostats_CSV!R1109)))</f>
        <v>0</v>
      </c>
      <c r="G1109" t="str">
        <f ca="1">IF(AND(Q1109,N1109=1),OFFSET(Taostats_CSV!$E$1,MATCH(K1109&amp;H$1,Taostats_CSV!$X:$X,0)-1,0),IF(Taostats_CSV!F1109="fee",Taostats_CSV!E1109,""))</f>
        <v/>
      </c>
      <c r="H1109" t="str">
        <f ca="1">IF(AND(Q1109,N1109=1),OFFSET(Taostats_CSV!$G$1,MATCH(K1109&amp;H$1,Taostats_CSV!$X:$X,0)-1,0),IF(Taostats_CSV!F1109="fee",Taostats_CSV!G1109,""))</f>
        <v/>
      </c>
      <c r="I1109" t="str">
        <f ca="1">IF(AND(LEN(K1109)=0,LEN(F1109)&gt;0),"Income",IF(AND(O1109&gt;0,P1109&gt;0,C1109&lt;&gt;E1109),"Trade",IF(AND(NOT(Q1109),Taostats_CSV!F1109="fee"),'READ ME'!$C$5,"")))</f>
        <v>Income</v>
      </c>
      <c r="J1109" t="str">
        <f ca="1">SUBSTITUTE(IF(LEN(I1109)=0,Taostats_CSV!F1109&amp;" "&amp;Taostats_CSV!J1109,IF(I1109="Cost","Extrinsic fee","")),"_"," ")</f>
        <v/>
      </c>
      <c r="K1109" t="str">
        <f>TRIM(IF(LEN(Taostats_CSV!I1109)&gt;0,Taostats_CSV!I1109,""))</f>
        <v/>
      </c>
      <c r="L1109" t="str">
        <f>IF(Taostats_CSV!E1109&lt;&gt;"TAO",IF(LEN(F1109)&gt;0,F1109,IF(LEN(D1109)&gt;0,D1109,0))*Taostats_CSV!P1109,"")</f>
        <v/>
      </c>
      <c r="M1109" t="str">
        <f t="shared" si="117"/>
        <v/>
      </c>
      <c r="N1109">
        <f>COUNTIF(Taostats_CSV!$X:$X,Taostats_CSV!$I1109&amp;N$1)</f>
        <v>0</v>
      </c>
      <c r="O1109">
        <f>COUNTIF(Taostats_CSV!$X:$X,Taostats_CSV!$I1109&amp;O$1)</f>
        <v>0</v>
      </c>
      <c r="P1109">
        <f>COUNTIF(Taostats_CSV!$X:$X,Taostats_CSV!$I1109&amp;P$1)</f>
        <v>0</v>
      </c>
      <c r="Q1109" t="b">
        <f t="shared" si="118"/>
        <v>0</v>
      </c>
      <c r="R1109" t="b">
        <f>IF(LEN(K1109)&gt;0,COUNTIF($K$3:K1109,K1109),FALSE)</f>
        <v>0</v>
      </c>
      <c r="S1109" t="b">
        <f>IF(Taostats_CSV!A1109=Taostats_CSV!$A$2,TRUE,Taostats_CSV!G1109+Taostats_CSV!H1109+Taostats_CSV!R1109=0)</f>
        <v>1</v>
      </c>
      <c r="T1109" t="b">
        <f t="shared" si="119"/>
        <v>0</v>
      </c>
      <c r="U1109" t="b" cm="1">
        <f t="array" aca="1" ref="U1109" ca="1">AND(T1109,OR(O1109-N1109&gt;1,P1109&gt;1,ISERROR(A1109:P1109)))</f>
        <v>0</v>
      </c>
      <c r="W1109" t="e">
        <f>MATCH(K1109&amp;$W$2,Taostats_CSV!$X$3:$X$1167,0)</f>
        <v>#N/A</v>
      </c>
      <c r="X1109" t="e">
        <f t="shared" ca="1" si="114"/>
        <v>#VALUE!</v>
      </c>
      <c r="Y1109">
        <f t="shared" ca="1" si="115"/>
        <v>0</v>
      </c>
      <c r="Z1109" t="e">
        <f t="shared" ca="1" si="116"/>
        <v>#VALUE!</v>
      </c>
    </row>
    <row r="1110" spans="1:26" hidden="1" x14ac:dyDescent="0.4">
      <c r="A1110" t="str">
        <f>MID(Taostats_CSV!C1110,6,2)&amp;"/"&amp;MID(Taostats_CSV!C1110,9,2)&amp;"/"&amp;LEFT(Taostats_CSV!C1110,4)&amp;" "&amp;MID(Taostats_CSV!C1110,12,8)</f>
        <v>10/29/2025 23:59:48</v>
      </c>
      <c r="C1110" t="str">
        <f ca="1">IF(Q1110,OFFSET(Taostats_CSV!$E$1,MATCH(K1110&amp;D$1,Taostats_CSV!$X:$X,0)-1,0),IF(Taostats_CSV!F1110="fee","",IF(VALUE(Taostats_CSV!G1110)&gt;0,Taostats_CSV!E1110,"")))</f>
        <v/>
      </c>
      <c r="D1110" t="str">
        <f ca="1">IF(Q1110,OFFSET(Taostats_CSV!$G$1,MATCH(K1110&amp;D$1,Taostats_CSV!$X:$X,0)-1,0),IF(Taostats_CSV!F1110="fee","",IF(VALUE(Taostats_CSV!G1110)&gt;0,Taostats_CSV!G1110,"")))</f>
        <v/>
      </c>
      <c r="E1110" t="str">
        <f ca="1">IF(AND(Q1110,P1110&gt;0),OFFSET(Taostats_CSV!$E$1,MATCH(K1110&amp;F$1,Taostats_CSV!$X:$X,0)-1,0),IF(LEN(F1110)&gt;0,Taostats_CSV!E1110,""))</f>
        <v>TAO</v>
      </c>
      <c r="F1110" t="str">
        <f ca="1">TRIM(IF(AND(Q1110,P1110&gt;0),OFFSET(Taostats_CSV!$H$1,MATCH(K1110&amp;F$1,Taostats_CSV!$X:$X,0)-1,0),IF(LEN(Taostats_CSV!H1110)&gt;0,Taostats_CSV!H1110,Taostats_CSV!R1110)))</f>
        <v>0</v>
      </c>
      <c r="G1110" t="str">
        <f ca="1">IF(AND(Q1110,N1110=1),OFFSET(Taostats_CSV!$E$1,MATCH(K1110&amp;H$1,Taostats_CSV!$X:$X,0)-1,0),IF(Taostats_CSV!F1110="fee",Taostats_CSV!E1110,""))</f>
        <v/>
      </c>
      <c r="H1110" t="str">
        <f ca="1">IF(AND(Q1110,N1110=1),OFFSET(Taostats_CSV!$G$1,MATCH(K1110&amp;H$1,Taostats_CSV!$X:$X,0)-1,0),IF(Taostats_CSV!F1110="fee",Taostats_CSV!G1110,""))</f>
        <v/>
      </c>
      <c r="I1110" t="str">
        <f ca="1">IF(AND(LEN(K1110)=0,LEN(F1110)&gt;0),"Income",IF(AND(O1110&gt;0,P1110&gt;0,C1110&lt;&gt;E1110),"Trade",IF(AND(NOT(Q1110),Taostats_CSV!F1110="fee"),'READ ME'!$C$5,"")))</f>
        <v>Income</v>
      </c>
      <c r="J1110" t="str">
        <f ca="1">SUBSTITUTE(IF(LEN(I1110)=0,Taostats_CSV!F1110&amp;" "&amp;Taostats_CSV!J1110,IF(I1110="Cost","Extrinsic fee","")),"_"," ")</f>
        <v/>
      </c>
      <c r="K1110" t="str">
        <f>TRIM(IF(LEN(Taostats_CSV!I1110)&gt;0,Taostats_CSV!I1110,""))</f>
        <v/>
      </c>
      <c r="L1110" t="str">
        <f>IF(Taostats_CSV!E1110&lt;&gt;"TAO",IF(LEN(F1110)&gt;0,F1110,IF(LEN(D1110)&gt;0,D1110,0))*Taostats_CSV!P1110,"")</f>
        <v/>
      </c>
      <c r="M1110" t="str">
        <f t="shared" si="117"/>
        <v/>
      </c>
      <c r="N1110">
        <f>COUNTIF(Taostats_CSV!$X:$X,Taostats_CSV!$I1110&amp;N$1)</f>
        <v>0</v>
      </c>
      <c r="O1110">
        <f>COUNTIF(Taostats_CSV!$X:$X,Taostats_CSV!$I1110&amp;O$1)</f>
        <v>0</v>
      </c>
      <c r="P1110">
        <f>COUNTIF(Taostats_CSV!$X:$X,Taostats_CSV!$I1110&amp;P$1)</f>
        <v>0</v>
      </c>
      <c r="Q1110" t="b">
        <f t="shared" si="118"/>
        <v>0</v>
      </c>
      <c r="R1110" t="b">
        <f>IF(LEN(K1110)&gt;0,COUNTIF($K$3:K1110,K1110),FALSE)</f>
        <v>0</v>
      </c>
      <c r="S1110" t="b">
        <f>IF(Taostats_CSV!A1110=Taostats_CSV!$A$2,TRUE,Taostats_CSV!G1110+Taostats_CSV!H1110+Taostats_CSV!R1110=0)</f>
        <v>1</v>
      </c>
      <c r="T1110" t="b">
        <f t="shared" si="119"/>
        <v>0</v>
      </c>
      <c r="U1110" t="b" cm="1">
        <f t="array" aca="1" ref="U1110" ca="1">AND(T1110,OR(O1110-N1110&gt;1,P1110&gt;1,ISERROR(A1110:P1110)))</f>
        <v>0</v>
      </c>
      <c r="W1110" t="e">
        <f>MATCH(K1110&amp;$W$2,Taostats_CSV!$X$3:$X$1167,0)</f>
        <v>#N/A</v>
      </c>
      <c r="X1110" t="e">
        <f t="shared" ca="1" si="114"/>
        <v>#VALUE!</v>
      </c>
      <c r="Y1110">
        <f t="shared" ca="1" si="115"/>
        <v>0</v>
      </c>
      <c r="Z1110" t="e">
        <f t="shared" ca="1" si="116"/>
        <v>#VALUE!</v>
      </c>
    </row>
    <row r="1111" spans="1:26" hidden="1" x14ac:dyDescent="0.4">
      <c r="A1111" t="str">
        <f>MID(Taostats_CSV!C1111,6,2)&amp;"/"&amp;MID(Taostats_CSV!C1111,9,2)&amp;"/"&amp;LEFT(Taostats_CSV!C1111,4)&amp;" "&amp;MID(Taostats_CSV!C1111,12,8)</f>
        <v>10/30/2025 23:59:48</v>
      </c>
      <c r="C1111" t="str">
        <f ca="1">IF(Q1111,OFFSET(Taostats_CSV!$E$1,MATCH(K1111&amp;D$1,Taostats_CSV!$X:$X,0)-1,0),IF(Taostats_CSV!F1111="fee","",IF(VALUE(Taostats_CSV!G1111)&gt;0,Taostats_CSV!E1111,"")))</f>
        <v/>
      </c>
      <c r="D1111" t="str">
        <f ca="1">IF(Q1111,OFFSET(Taostats_CSV!$G$1,MATCH(K1111&amp;D$1,Taostats_CSV!$X:$X,0)-1,0),IF(Taostats_CSV!F1111="fee","",IF(VALUE(Taostats_CSV!G1111)&gt;0,Taostats_CSV!G1111,"")))</f>
        <v/>
      </c>
      <c r="E1111" t="str">
        <f ca="1">IF(AND(Q1111,P1111&gt;0),OFFSET(Taostats_CSV!$E$1,MATCH(K1111&amp;F$1,Taostats_CSV!$X:$X,0)-1,0),IF(LEN(F1111)&gt;0,Taostats_CSV!E1111,""))</f>
        <v>TAO</v>
      </c>
      <c r="F1111" t="str">
        <f ca="1">TRIM(IF(AND(Q1111,P1111&gt;0),OFFSET(Taostats_CSV!$H$1,MATCH(K1111&amp;F$1,Taostats_CSV!$X:$X,0)-1,0),IF(LEN(Taostats_CSV!H1111)&gt;0,Taostats_CSV!H1111,Taostats_CSV!R1111)))</f>
        <v>0</v>
      </c>
      <c r="G1111" t="str">
        <f ca="1">IF(AND(Q1111,N1111=1),OFFSET(Taostats_CSV!$E$1,MATCH(K1111&amp;H$1,Taostats_CSV!$X:$X,0)-1,0),IF(Taostats_CSV!F1111="fee",Taostats_CSV!E1111,""))</f>
        <v/>
      </c>
      <c r="H1111" t="str">
        <f ca="1">IF(AND(Q1111,N1111=1),OFFSET(Taostats_CSV!$G$1,MATCH(K1111&amp;H$1,Taostats_CSV!$X:$X,0)-1,0),IF(Taostats_CSV!F1111="fee",Taostats_CSV!G1111,""))</f>
        <v/>
      </c>
      <c r="I1111" t="str">
        <f ca="1">IF(AND(LEN(K1111)=0,LEN(F1111)&gt;0),"Income",IF(AND(O1111&gt;0,P1111&gt;0,C1111&lt;&gt;E1111),"Trade",IF(AND(NOT(Q1111),Taostats_CSV!F1111="fee"),'READ ME'!$C$5,"")))</f>
        <v>Income</v>
      </c>
      <c r="J1111" t="str">
        <f ca="1">SUBSTITUTE(IF(LEN(I1111)=0,Taostats_CSV!F1111&amp;" "&amp;Taostats_CSV!J1111,IF(I1111="Cost","Extrinsic fee","")),"_"," ")</f>
        <v/>
      </c>
      <c r="K1111" t="str">
        <f>TRIM(IF(LEN(Taostats_CSV!I1111)&gt;0,Taostats_CSV!I1111,""))</f>
        <v/>
      </c>
      <c r="L1111" t="str">
        <f>IF(Taostats_CSV!E1111&lt;&gt;"TAO",IF(LEN(F1111)&gt;0,F1111,IF(LEN(D1111)&gt;0,D1111,0))*Taostats_CSV!P1111,"")</f>
        <v/>
      </c>
      <c r="M1111" t="str">
        <f t="shared" si="117"/>
        <v/>
      </c>
      <c r="N1111">
        <f>COUNTIF(Taostats_CSV!$X:$X,Taostats_CSV!$I1111&amp;N$1)</f>
        <v>0</v>
      </c>
      <c r="O1111">
        <f>COUNTIF(Taostats_CSV!$X:$X,Taostats_CSV!$I1111&amp;O$1)</f>
        <v>0</v>
      </c>
      <c r="P1111">
        <f>COUNTIF(Taostats_CSV!$X:$X,Taostats_CSV!$I1111&amp;P$1)</f>
        <v>0</v>
      </c>
      <c r="Q1111" t="b">
        <f t="shared" si="118"/>
        <v>0</v>
      </c>
      <c r="R1111" t="b">
        <f>IF(LEN(K1111)&gt;0,COUNTIF($K$3:K1111,K1111),FALSE)</f>
        <v>0</v>
      </c>
      <c r="S1111" t="b">
        <f>IF(Taostats_CSV!A1111=Taostats_CSV!$A$2,TRUE,Taostats_CSV!G1111+Taostats_CSV!H1111+Taostats_CSV!R1111=0)</f>
        <v>1</v>
      </c>
      <c r="T1111" t="b">
        <f t="shared" si="119"/>
        <v>0</v>
      </c>
      <c r="U1111" t="b" cm="1">
        <f t="array" aca="1" ref="U1111" ca="1">AND(T1111,OR(O1111-N1111&gt;1,P1111&gt;1,ISERROR(A1111:P1111)))</f>
        <v>0</v>
      </c>
      <c r="W1111" t="e">
        <f>MATCH(K1111&amp;$W$2,Taostats_CSV!$X$3:$X$1167,0)</f>
        <v>#N/A</v>
      </c>
      <c r="X1111" t="e">
        <f t="shared" ca="1" si="114"/>
        <v>#VALUE!</v>
      </c>
      <c r="Y1111">
        <f t="shared" ca="1" si="115"/>
        <v>0</v>
      </c>
      <c r="Z1111" t="e">
        <f t="shared" ca="1" si="116"/>
        <v>#VALUE!</v>
      </c>
    </row>
    <row r="1112" spans="1:26" hidden="1" x14ac:dyDescent="0.4">
      <c r="A1112" t="str">
        <f>MID(Taostats_CSV!C1112,6,2)&amp;"/"&amp;MID(Taostats_CSV!C1112,9,2)&amp;"/"&amp;LEFT(Taostats_CSV!C1112,4)&amp;" "&amp;MID(Taostats_CSV!C1112,12,8)</f>
        <v>10/31/2025 23:59:48</v>
      </c>
      <c r="C1112" t="str">
        <f ca="1">IF(Q1112,OFFSET(Taostats_CSV!$E$1,MATCH(K1112&amp;D$1,Taostats_CSV!$X:$X,0)-1,0),IF(Taostats_CSV!F1112="fee","",IF(VALUE(Taostats_CSV!G1112)&gt;0,Taostats_CSV!E1112,"")))</f>
        <v/>
      </c>
      <c r="D1112" t="str">
        <f ca="1">IF(Q1112,OFFSET(Taostats_CSV!$G$1,MATCH(K1112&amp;D$1,Taostats_CSV!$X:$X,0)-1,0),IF(Taostats_CSV!F1112="fee","",IF(VALUE(Taostats_CSV!G1112)&gt;0,Taostats_CSV!G1112,"")))</f>
        <v/>
      </c>
      <c r="E1112" t="str">
        <f ca="1">IF(AND(Q1112,P1112&gt;0),OFFSET(Taostats_CSV!$E$1,MATCH(K1112&amp;F$1,Taostats_CSV!$X:$X,0)-1,0),IF(LEN(F1112)&gt;0,Taostats_CSV!E1112,""))</f>
        <v>TAO</v>
      </c>
      <c r="F1112" t="str">
        <f ca="1">TRIM(IF(AND(Q1112,P1112&gt;0),OFFSET(Taostats_CSV!$H$1,MATCH(K1112&amp;F$1,Taostats_CSV!$X:$X,0)-1,0),IF(LEN(Taostats_CSV!H1112)&gt;0,Taostats_CSV!H1112,Taostats_CSV!R1112)))</f>
        <v>0</v>
      </c>
      <c r="G1112" t="str">
        <f ca="1">IF(AND(Q1112,N1112=1),OFFSET(Taostats_CSV!$E$1,MATCH(K1112&amp;H$1,Taostats_CSV!$X:$X,0)-1,0),IF(Taostats_CSV!F1112="fee",Taostats_CSV!E1112,""))</f>
        <v/>
      </c>
      <c r="H1112" t="str">
        <f ca="1">IF(AND(Q1112,N1112=1),OFFSET(Taostats_CSV!$G$1,MATCH(K1112&amp;H$1,Taostats_CSV!$X:$X,0)-1,0),IF(Taostats_CSV!F1112="fee",Taostats_CSV!G1112,""))</f>
        <v/>
      </c>
      <c r="I1112" t="str">
        <f ca="1">IF(AND(LEN(K1112)=0,LEN(F1112)&gt;0),"Income",IF(AND(O1112&gt;0,P1112&gt;0,C1112&lt;&gt;E1112),"Trade",IF(AND(NOT(Q1112),Taostats_CSV!F1112="fee"),'READ ME'!$C$5,"")))</f>
        <v>Income</v>
      </c>
      <c r="J1112" t="str">
        <f ca="1">SUBSTITUTE(IF(LEN(I1112)=0,Taostats_CSV!F1112&amp;" "&amp;Taostats_CSV!J1112,IF(I1112="Cost","Extrinsic fee","")),"_"," ")</f>
        <v/>
      </c>
      <c r="K1112" t="str">
        <f>TRIM(IF(LEN(Taostats_CSV!I1112)&gt;0,Taostats_CSV!I1112,""))</f>
        <v/>
      </c>
      <c r="L1112" t="str">
        <f>IF(Taostats_CSV!E1112&lt;&gt;"TAO",IF(LEN(F1112)&gt;0,F1112,IF(LEN(D1112)&gt;0,D1112,0))*Taostats_CSV!P1112,"")</f>
        <v/>
      </c>
      <c r="M1112" t="str">
        <f t="shared" si="117"/>
        <v/>
      </c>
      <c r="N1112">
        <f>COUNTIF(Taostats_CSV!$X:$X,Taostats_CSV!$I1112&amp;N$1)</f>
        <v>0</v>
      </c>
      <c r="O1112">
        <f>COUNTIF(Taostats_CSV!$X:$X,Taostats_CSV!$I1112&amp;O$1)</f>
        <v>0</v>
      </c>
      <c r="P1112">
        <f>COUNTIF(Taostats_CSV!$X:$X,Taostats_CSV!$I1112&amp;P$1)</f>
        <v>0</v>
      </c>
      <c r="Q1112" t="b">
        <f t="shared" si="118"/>
        <v>0</v>
      </c>
      <c r="R1112" t="b">
        <f>IF(LEN(K1112)&gt;0,COUNTIF($K$3:K1112,K1112),FALSE)</f>
        <v>0</v>
      </c>
      <c r="S1112" t="b">
        <f>IF(Taostats_CSV!A1112=Taostats_CSV!$A$2,TRUE,Taostats_CSV!G1112+Taostats_CSV!H1112+Taostats_CSV!R1112=0)</f>
        <v>1</v>
      </c>
      <c r="T1112" t="b">
        <f t="shared" si="119"/>
        <v>0</v>
      </c>
      <c r="U1112" t="b" cm="1">
        <f t="array" aca="1" ref="U1112" ca="1">AND(T1112,OR(O1112-N1112&gt;1,P1112&gt;1,ISERROR(A1112:P1112)))</f>
        <v>0</v>
      </c>
      <c r="W1112" t="e">
        <f>MATCH(K1112&amp;$W$2,Taostats_CSV!$X$3:$X$1167,0)</f>
        <v>#N/A</v>
      </c>
      <c r="X1112" t="e">
        <f t="shared" ca="1" si="114"/>
        <v>#VALUE!</v>
      </c>
      <c r="Y1112">
        <f t="shared" ca="1" si="115"/>
        <v>0</v>
      </c>
      <c r="Z1112" t="e">
        <f t="shared" ca="1" si="116"/>
        <v>#VALUE!</v>
      </c>
    </row>
    <row r="1113" spans="1:26" hidden="1" x14ac:dyDescent="0.4">
      <c r="A1113" t="str">
        <f>MID(Taostats_CSV!C1113,6,2)&amp;"/"&amp;MID(Taostats_CSV!C1113,9,2)&amp;"/"&amp;LEFT(Taostats_CSV!C1113,4)&amp;" "&amp;MID(Taostats_CSV!C1113,12,8)</f>
        <v>11/01/2025 23:59:48</v>
      </c>
      <c r="C1113" t="str">
        <f ca="1">IF(Q1113,OFFSET(Taostats_CSV!$E$1,MATCH(K1113&amp;D$1,Taostats_CSV!$X:$X,0)-1,0),IF(Taostats_CSV!F1113="fee","",IF(VALUE(Taostats_CSV!G1113)&gt;0,Taostats_CSV!E1113,"")))</f>
        <v/>
      </c>
      <c r="D1113" t="str">
        <f ca="1">IF(Q1113,OFFSET(Taostats_CSV!$G$1,MATCH(K1113&amp;D$1,Taostats_CSV!$X:$X,0)-1,0),IF(Taostats_CSV!F1113="fee","",IF(VALUE(Taostats_CSV!G1113)&gt;0,Taostats_CSV!G1113,"")))</f>
        <v/>
      </c>
      <c r="E1113" t="str">
        <f ca="1">IF(AND(Q1113,P1113&gt;0),OFFSET(Taostats_CSV!$E$1,MATCH(K1113&amp;F$1,Taostats_CSV!$X:$X,0)-1,0),IF(LEN(F1113)&gt;0,Taostats_CSV!E1113,""))</f>
        <v>TAO</v>
      </c>
      <c r="F1113" t="str">
        <f ca="1">TRIM(IF(AND(Q1113,P1113&gt;0),OFFSET(Taostats_CSV!$H$1,MATCH(K1113&amp;F$1,Taostats_CSV!$X:$X,0)-1,0),IF(LEN(Taostats_CSV!H1113)&gt;0,Taostats_CSV!H1113,Taostats_CSV!R1113)))</f>
        <v>0</v>
      </c>
      <c r="G1113" t="str">
        <f ca="1">IF(AND(Q1113,N1113=1),OFFSET(Taostats_CSV!$E$1,MATCH(K1113&amp;H$1,Taostats_CSV!$X:$X,0)-1,0),IF(Taostats_CSV!F1113="fee",Taostats_CSV!E1113,""))</f>
        <v/>
      </c>
      <c r="H1113" t="str">
        <f ca="1">IF(AND(Q1113,N1113=1),OFFSET(Taostats_CSV!$G$1,MATCH(K1113&amp;H$1,Taostats_CSV!$X:$X,0)-1,0),IF(Taostats_CSV!F1113="fee",Taostats_CSV!G1113,""))</f>
        <v/>
      </c>
      <c r="I1113" t="str">
        <f ca="1">IF(AND(LEN(K1113)=0,LEN(F1113)&gt;0),"Income",IF(AND(O1113&gt;0,P1113&gt;0,C1113&lt;&gt;E1113),"Trade",IF(AND(NOT(Q1113),Taostats_CSV!F1113="fee"),'READ ME'!$C$5,"")))</f>
        <v>Income</v>
      </c>
      <c r="J1113" t="str">
        <f ca="1">SUBSTITUTE(IF(LEN(I1113)=0,Taostats_CSV!F1113&amp;" "&amp;Taostats_CSV!J1113,IF(I1113="Cost","Extrinsic fee","")),"_"," ")</f>
        <v/>
      </c>
      <c r="K1113" t="str">
        <f>TRIM(IF(LEN(Taostats_CSV!I1113)&gt;0,Taostats_CSV!I1113,""))</f>
        <v/>
      </c>
      <c r="L1113" t="str">
        <f>IF(Taostats_CSV!E1113&lt;&gt;"TAO",IF(LEN(F1113)&gt;0,F1113,IF(LEN(D1113)&gt;0,D1113,0))*Taostats_CSV!P1113,"")</f>
        <v/>
      </c>
      <c r="M1113" t="str">
        <f t="shared" si="117"/>
        <v/>
      </c>
      <c r="N1113">
        <f>COUNTIF(Taostats_CSV!$X:$X,Taostats_CSV!$I1113&amp;N$1)</f>
        <v>0</v>
      </c>
      <c r="O1113">
        <f>COUNTIF(Taostats_CSV!$X:$X,Taostats_CSV!$I1113&amp;O$1)</f>
        <v>0</v>
      </c>
      <c r="P1113">
        <f>COUNTIF(Taostats_CSV!$X:$X,Taostats_CSV!$I1113&amp;P$1)</f>
        <v>0</v>
      </c>
      <c r="Q1113" t="b">
        <f t="shared" si="118"/>
        <v>0</v>
      </c>
      <c r="R1113" t="b">
        <f>IF(LEN(K1113)&gt;0,COUNTIF($K$3:K1113,K1113),FALSE)</f>
        <v>0</v>
      </c>
      <c r="S1113" t="b">
        <f>IF(Taostats_CSV!A1113=Taostats_CSV!$A$2,TRUE,Taostats_CSV!G1113+Taostats_CSV!H1113+Taostats_CSV!R1113=0)</f>
        <v>1</v>
      </c>
      <c r="T1113" t="b">
        <f t="shared" si="119"/>
        <v>0</v>
      </c>
      <c r="U1113" t="b" cm="1">
        <f t="array" aca="1" ref="U1113" ca="1">AND(T1113,OR(O1113-N1113&gt;1,P1113&gt;1,ISERROR(A1113:P1113)))</f>
        <v>0</v>
      </c>
      <c r="W1113" t="e">
        <f>MATCH(K1113&amp;$W$2,Taostats_CSV!$X$3:$X$1167,0)</f>
        <v>#N/A</v>
      </c>
      <c r="X1113" t="e">
        <f t="shared" ca="1" si="114"/>
        <v>#VALUE!</v>
      </c>
      <c r="Y1113">
        <f t="shared" ca="1" si="115"/>
        <v>0</v>
      </c>
      <c r="Z1113" t="e">
        <f t="shared" ca="1" si="116"/>
        <v>#VALUE!</v>
      </c>
    </row>
    <row r="1114" spans="1:26" hidden="1" x14ac:dyDescent="0.4">
      <c r="A1114" t="str">
        <f>MID(Taostats_CSV!C1114,6,2)&amp;"/"&amp;MID(Taostats_CSV!C1114,9,2)&amp;"/"&amp;LEFT(Taostats_CSV!C1114,4)&amp;" "&amp;MID(Taostats_CSV!C1114,12,8)</f>
        <v>11/02/2025 23:59:48</v>
      </c>
      <c r="C1114" t="str">
        <f ca="1">IF(Q1114,OFFSET(Taostats_CSV!$E$1,MATCH(K1114&amp;D$1,Taostats_CSV!$X:$X,0)-1,0),IF(Taostats_CSV!F1114="fee","",IF(VALUE(Taostats_CSV!G1114)&gt;0,Taostats_CSV!E1114,"")))</f>
        <v/>
      </c>
      <c r="D1114" t="str">
        <f ca="1">IF(Q1114,OFFSET(Taostats_CSV!$G$1,MATCH(K1114&amp;D$1,Taostats_CSV!$X:$X,0)-1,0),IF(Taostats_CSV!F1114="fee","",IF(VALUE(Taostats_CSV!G1114)&gt;0,Taostats_CSV!G1114,"")))</f>
        <v/>
      </c>
      <c r="E1114" t="str">
        <f ca="1">IF(AND(Q1114,P1114&gt;0),OFFSET(Taostats_CSV!$E$1,MATCH(K1114&amp;F$1,Taostats_CSV!$X:$X,0)-1,0),IF(LEN(F1114)&gt;0,Taostats_CSV!E1114,""))</f>
        <v>TAO</v>
      </c>
      <c r="F1114" t="str">
        <f ca="1">TRIM(IF(AND(Q1114,P1114&gt;0),OFFSET(Taostats_CSV!$H$1,MATCH(K1114&amp;F$1,Taostats_CSV!$X:$X,0)-1,0),IF(LEN(Taostats_CSV!H1114)&gt;0,Taostats_CSV!H1114,Taostats_CSV!R1114)))</f>
        <v>0</v>
      </c>
      <c r="G1114" t="str">
        <f ca="1">IF(AND(Q1114,N1114=1),OFFSET(Taostats_CSV!$E$1,MATCH(K1114&amp;H$1,Taostats_CSV!$X:$X,0)-1,0),IF(Taostats_CSV!F1114="fee",Taostats_CSV!E1114,""))</f>
        <v/>
      </c>
      <c r="H1114" t="str">
        <f ca="1">IF(AND(Q1114,N1114=1),OFFSET(Taostats_CSV!$G$1,MATCH(K1114&amp;H$1,Taostats_CSV!$X:$X,0)-1,0),IF(Taostats_CSV!F1114="fee",Taostats_CSV!G1114,""))</f>
        <v/>
      </c>
      <c r="I1114" t="str">
        <f ca="1">IF(AND(LEN(K1114)=0,LEN(F1114)&gt;0),"Income",IF(AND(O1114&gt;0,P1114&gt;0,C1114&lt;&gt;E1114),"Trade",IF(AND(NOT(Q1114),Taostats_CSV!F1114="fee"),'READ ME'!$C$5,"")))</f>
        <v>Income</v>
      </c>
      <c r="J1114" t="str">
        <f ca="1">SUBSTITUTE(IF(LEN(I1114)=0,Taostats_CSV!F1114&amp;" "&amp;Taostats_CSV!J1114,IF(I1114="Cost","Extrinsic fee","")),"_"," ")</f>
        <v/>
      </c>
      <c r="K1114" t="str">
        <f>TRIM(IF(LEN(Taostats_CSV!I1114)&gt;0,Taostats_CSV!I1114,""))</f>
        <v/>
      </c>
      <c r="L1114" t="str">
        <f>IF(Taostats_CSV!E1114&lt;&gt;"TAO",IF(LEN(F1114)&gt;0,F1114,IF(LEN(D1114)&gt;0,D1114,0))*Taostats_CSV!P1114,"")</f>
        <v/>
      </c>
      <c r="M1114" t="str">
        <f t="shared" si="117"/>
        <v/>
      </c>
      <c r="N1114">
        <f>COUNTIF(Taostats_CSV!$X:$X,Taostats_CSV!$I1114&amp;N$1)</f>
        <v>0</v>
      </c>
      <c r="O1114">
        <f>COUNTIF(Taostats_CSV!$X:$X,Taostats_CSV!$I1114&amp;O$1)</f>
        <v>0</v>
      </c>
      <c r="P1114">
        <f>COUNTIF(Taostats_CSV!$X:$X,Taostats_CSV!$I1114&amp;P$1)</f>
        <v>0</v>
      </c>
      <c r="Q1114" t="b">
        <f t="shared" si="118"/>
        <v>0</v>
      </c>
      <c r="R1114" t="b">
        <f>IF(LEN(K1114)&gt;0,COUNTIF($K$3:K1114,K1114),FALSE)</f>
        <v>0</v>
      </c>
      <c r="S1114" t="b">
        <f>IF(Taostats_CSV!A1114=Taostats_CSV!$A$2,TRUE,Taostats_CSV!G1114+Taostats_CSV!H1114+Taostats_CSV!R1114=0)</f>
        <v>1</v>
      </c>
      <c r="T1114" t="b">
        <f t="shared" si="119"/>
        <v>0</v>
      </c>
      <c r="U1114" t="b" cm="1">
        <f t="array" aca="1" ref="U1114" ca="1">AND(T1114,OR(O1114-N1114&gt;1,P1114&gt;1,ISERROR(A1114:P1114)))</f>
        <v>0</v>
      </c>
      <c r="W1114" t="e">
        <f>MATCH(K1114&amp;$W$2,Taostats_CSV!$X$3:$X$1167,0)</f>
        <v>#N/A</v>
      </c>
      <c r="X1114" t="e">
        <f t="shared" ca="1" si="114"/>
        <v>#VALUE!</v>
      </c>
      <c r="Y1114">
        <f t="shared" ca="1" si="115"/>
        <v>0</v>
      </c>
      <c r="Z1114" t="e">
        <f t="shared" ca="1" si="116"/>
        <v>#VALUE!</v>
      </c>
    </row>
    <row r="1115" spans="1:26" hidden="1" x14ac:dyDescent="0.4">
      <c r="A1115" t="str">
        <f>MID(Taostats_CSV!C1115,6,2)&amp;"/"&amp;MID(Taostats_CSV!C1115,9,2)&amp;"/"&amp;LEFT(Taostats_CSV!C1115,4)&amp;" "&amp;MID(Taostats_CSV!C1115,12,8)</f>
        <v>11/03/2025 23:59:48</v>
      </c>
      <c r="C1115" t="str">
        <f ca="1">IF(Q1115,OFFSET(Taostats_CSV!$E$1,MATCH(K1115&amp;D$1,Taostats_CSV!$X:$X,0)-1,0),IF(Taostats_CSV!F1115="fee","",IF(VALUE(Taostats_CSV!G1115)&gt;0,Taostats_CSV!E1115,"")))</f>
        <v/>
      </c>
      <c r="D1115" t="str">
        <f ca="1">IF(Q1115,OFFSET(Taostats_CSV!$G$1,MATCH(K1115&amp;D$1,Taostats_CSV!$X:$X,0)-1,0),IF(Taostats_CSV!F1115="fee","",IF(VALUE(Taostats_CSV!G1115)&gt;0,Taostats_CSV!G1115,"")))</f>
        <v/>
      </c>
      <c r="E1115" t="str">
        <f ca="1">IF(AND(Q1115,P1115&gt;0),OFFSET(Taostats_CSV!$E$1,MATCH(K1115&amp;F$1,Taostats_CSV!$X:$X,0)-1,0),IF(LEN(F1115)&gt;0,Taostats_CSV!E1115,""))</f>
        <v>TAO</v>
      </c>
      <c r="F1115" t="str">
        <f ca="1">TRIM(IF(AND(Q1115,P1115&gt;0),OFFSET(Taostats_CSV!$H$1,MATCH(K1115&amp;F$1,Taostats_CSV!$X:$X,0)-1,0),IF(LEN(Taostats_CSV!H1115)&gt;0,Taostats_CSV!H1115,Taostats_CSV!R1115)))</f>
        <v>0</v>
      </c>
      <c r="G1115" t="str">
        <f ca="1">IF(AND(Q1115,N1115=1),OFFSET(Taostats_CSV!$E$1,MATCH(K1115&amp;H$1,Taostats_CSV!$X:$X,0)-1,0),IF(Taostats_CSV!F1115="fee",Taostats_CSV!E1115,""))</f>
        <v/>
      </c>
      <c r="H1115" t="str">
        <f ca="1">IF(AND(Q1115,N1115=1),OFFSET(Taostats_CSV!$G$1,MATCH(K1115&amp;H$1,Taostats_CSV!$X:$X,0)-1,0),IF(Taostats_CSV!F1115="fee",Taostats_CSV!G1115,""))</f>
        <v/>
      </c>
      <c r="I1115" t="str">
        <f ca="1">IF(AND(LEN(K1115)=0,LEN(F1115)&gt;0),"Income",IF(AND(O1115&gt;0,P1115&gt;0,C1115&lt;&gt;E1115),"Trade",IF(AND(NOT(Q1115),Taostats_CSV!F1115="fee"),'READ ME'!$C$5,"")))</f>
        <v>Income</v>
      </c>
      <c r="J1115" t="str">
        <f ca="1">SUBSTITUTE(IF(LEN(I1115)=0,Taostats_CSV!F1115&amp;" "&amp;Taostats_CSV!J1115,IF(I1115="Cost","Extrinsic fee","")),"_"," ")</f>
        <v/>
      </c>
      <c r="K1115" t="str">
        <f>TRIM(IF(LEN(Taostats_CSV!I1115)&gt;0,Taostats_CSV!I1115,""))</f>
        <v/>
      </c>
      <c r="L1115" t="str">
        <f>IF(Taostats_CSV!E1115&lt;&gt;"TAO",IF(LEN(F1115)&gt;0,F1115,IF(LEN(D1115)&gt;0,D1115,0))*Taostats_CSV!P1115,"")</f>
        <v/>
      </c>
      <c r="M1115" t="str">
        <f t="shared" si="117"/>
        <v/>
      </c>
      <c r="N1115">
        <f>COUNTIF(Taostats_CSV!$X:$X,Taostats_CSV!$I1115&amp;N$1)</f>
        <v>0</v>
      </c>
      <c r="O1115">
        <f>COUNTIF(Taostats_CSV!$X:$X,Taostats_CSV!$I1115&amp;O$1)</f>
        <v>0</v>
      </c>
      <c r="P1115">
        <f>COUNTIF(Taostats_CSV!$X:$X,Taostats_CSV!$I1115&amp;P$1)</f>
        <v>0</v>
      </c>
      <c r="Q1115" t="b">
        <f t="shared" si="118"/>
        <v>0</v>
      </c>
      <c r="R1115" t="b">
        <f>IF(LEN(K1115)&gt;0,COUNTIF($K$3:K1115,K1115),FALSE)</f>
        <v>0</v>
      </c>
      <c r="S1115" t="b">
        <f>IF(Taostats_CSV!A1115=Taostats_CSV!$A$2,TRUE,Taostats_CSV!G1115+Taostats_CSV!H1115+Taostats_CSV!R1115=0)</f>
        <v>1</v>
      </c>
      <c r="T1115" t="b">
        <f t="shared" si="119"/>
        <v>0</v>
      </c>
      <c r="U1115" t="b" cm="1">
        <f t="array" aca="1" ref="U1115" ca="1">AND(T1115,OR(O1115-N1115&gt;1,P1115&gt;1,ISERROR(A1115:P1115)))</f>
        <v>0</v>
      </c>
      <c r="W1115" t="e">
        <f>MATCH(K1115&amp;$W$2,Taostats_CSV!$X$3:$X$1167,0)</f>
        <v>#N/A</v>
      </c>
      <c r="X1115" t="e">
        <f t="shared" ca="1" si="114"/>
        <v>#VALUE!</v>
      </c>
      <c r="Y1115">
        <f t="shared" ca="1" si="115"/>
        <v>0</v>
      </c>
      <c r="Z1115" t="e">
        <f t="shared" ca="1" si="116"/>
        <v>#VALUE!</v>
      </c>
    </row>
    <row r="1116" spans="1:26" hidden="1" x14ac:dyDescent="0.4">
      <c r="A1116" t="str">
        <f>MID(Taostats_CSV!C1116,6,2)&amp;"/"&amp;MID(Taostats_CSV!C1116,9,2)&amp;"/"&amp;LEFT(Taostats_CSV!C1116,4)&amp;" "&amp;MID(Taostats_CSV!C1116,12,8)</f>
        <v>11/04/2025 23:59:48</v>
      </c>
      <c r="C1116" t="str">
        <f ca="1">IF(Q1116,OFFSET(Taostats_CSV!$E$1,MATCH(K1116&amp;D$1,Taostats_CSV!$X:$X,0)-1,0),IF(Taostats_CSV!F1116="fee","",IF(VALUE(Taostats_CSV!G1116)&gt;0,Taostats_CSV!E1116,"")))</f>
        <v/>
      </c>
      <c r="D1116" t="str">
        <f ca="1">IF(Q1116,OFFSET(Taostats_CSV!$G$1,MATCH(K1116&amp;D$1,Taostats_CSV!$X:$X,0)-1,0),IF(Taostats_CSV!F1116="fee","",IF(VALUE(Taostats_CSV!G1116)&gt;0,Taostats_CSV!G1116,"")))</f>
        <v/>
      </c>
      <c r="E1116" t="str">
        <f ca="1">IF(AND(Q1116,P1116&gt;0),OFFSET(Taostats_CSV!$E$1,MATCH(K1116&amp;F$1,Taostats_CSV!$X:$X,0)-1,0),IF(LEN(F1116)&gt;0,Taostats_CSV!E1116,""))</f>
        <v>TAO</v>
      </c>
      <c r="F1116" t="str">
        <f ca="1">TRIM(IF(AND(Q1116,P1116&gt;0),OFFSET(Taostats_CSV!$H$1,MATCH(K1116&amp;F$1,Taostats_CSV!$X:$X,0)-1,0),IF(LEN(Taostats_CSV!H1116)&gt;0,Taostats_CSV!H1116,Taostats_CSV!R1116)))</f>
        <v>0</v>
      </c>
      <c r="G1116" t="str">
        <f ca="1">IF(AND(Q1116,N1116=1),OFFSET(Taostats_CSV!$E$1,MATCH(K1116&amp;H$1,Taostats_CSV!$X:$X,0)-1,0),IF(Taostats_CSV!F1116="fee",Taostats_CSV!E1116,""))</f>
        <v/>
      </c>
      <c r="H1116" t="str">
        <f ca="1">IF(AND(Q1116,N1116=1),OFFSET(Taostats_CSV!$G$1,MATCH(K1116&amp;H$1,Taostats_CSV!$X:$X,0)-1,0),IF(Taostats_CSV!F1116="fee",Taostats_CSV!G1116,""))</f>
        <v/>
      </c>
      <c r="I1116" t="str">
        <f ca="1">IF(AND(LEN(K1116)=0,LEN(F1116)&gt;0),"Income",IF(AND(O1116&gt;0,P1116&gt;0,C1116&lt;&gt;E1116),"Trade",IF(AND(NOT(Q1116),Taostats_CSV!F1116="fee"),'READ ME'!$C$5,"")))</f>
        <v>Income</v>
      </c>
      <c r="J1116" t="str">
        <f ca="1">SUBSTITUTE(IF(LEN(I1116)=0,Taostats_CSV!F1116&amp;" "&amp;Taostats_CSV!J1116,IF(I1116="Cost","Extrinsic fee","")),"_"," ")</f>
        <v/>
      </c>
      <c r="K1116" t="str">
        <f>TRIM(IF(LEN(Taostats_CSV!I1116)&gt;0,Taostats_CSV!I1116,""))</f>
        <v/>
      </c>
      <c r="L1116" t="str">
        <f>IF(Taostats_CSV!E1116&lt;&gt;"TAO",IF(LEN(F1116)&gt;0,F1116,IF(LEN(D1116)&gt;0,D1116,0))*Taostats_CSV!P1116,"")</f>
        <v/>
      </c>
      <c r="M1116" t="str">
        <f t="shared" si="117"/>
        <v/>
      </c>
      <c r="N1116">
        <f>COUNTIF(Taostats_CSV!$X:$X,Taostats_CSV!$I1116&amp;N$1)</f>
        <v>0</v>
      </c>
      <c r="O1116">
        <f>COUNTIF(Taostats_CSV!$X:$X,Taostats_CSV!$I1116&amp;O$1)</f>
        <v>0</v>
      </c>
      <c r="P1116">
        <f>COUNTIF(Taostats_CSV!$X:$X,Taostats_CSV!$I1116&amp;P$1)</f>
        <v>0</v>
      </c>
      <c r="Q1116" t="b">
        <f t="shared" si="118"/>
        <v>0</v>
      </c>
      <c r="R1116" t="b">
        <f>IF(LEN(K1116)&gt;0,COUNTIF($K$3:K1116,K1116),FALSE)</f>
        <v>0</v>
      </c>
      <c r="S1116" t="b">
        <f>IF(Taostats_CSV!A1116=Taostats_CSV!$A$2,TRUE,Taostats_CSV!G1116+Taostats_CSV!H1116+Taostats_CSV!R1116=0)</f>
        <v>1</v>
      </c>
      <c r="T1116" t="b">
        <f t="shared" si="119"/>
        <v>0</v>
      </c>
      <c r="U1116" t="b" cm="1">
        <f t="array" aca="1" ref="U1116" ca="1">AND(T1116,OR(O1116-N1116&gt;1,P1116&gt;1,ISERROR(A1116:P1116)))</f>
        <v>0</v>
      </c>
      <c r="W1116" t="e">
        <f>MATCH(K1116&amp;$W$2,Taostats_CSV!$X$3:$X$1167,0)</f>
        <v>#N/A</v>
      </c>
      <c r="X1116" t="e">
        <f t="shared" ca="1" si="114"/>
        <v>#VALUE!</v>
      </c>
      <c r="Y1116">
        <f t="shared" ca="1" si="115"/>
        <v>0</v>
      </c>
      <c r="Z1116" t="e">
        <f t="shared" ca="1" si="116"/>
        <v>#VALUE!</v>
      </c>
    </row>
    <row r="1117" spans="1:26" hidden="1" x14ac:dyDescent="0.4">
      <c r="A1117" t="str">
        <f>MID(Taostats_CSV!C1117,6,2)&amp;"/"&amp;MID(Taostats_CSV!C1117,9,2)&amp;"/"&amp;LEFT(Taostats_CSV!C1117,4)&amp;" "&amp;MID(Taostats_CSV!C1117,12,8)</f>
        <v>11/05/2025 23:59:48</v>
      </c>
      <c r="C1117" t="str">
        <f ca="1">IF(Q1117,OFFSET(Taostats_CSV!$E$1,MATCH(K1117&amp;D$1,Taostats_CSV!$X:$X,0)-1,0),IF(Taostats_CSV!F1117="fee","",IF(VALUE(Taostats_CSV!G1117)&gt;0,Taostats_CSV!E1117,"")))</f>
        <v/>
      </c>
      <c r="D1117" t="str">
        <f ca="1">IF(Q1117,OFFSET(Taostats_CSV!$G$1,MATCH(K1117&amp;D$1,Taostats_CSV!$X:$X,0)-1,0),IF(Taostats_CSV!F1117="fee","",IF(VALUE(Taostats_CSV!G1117)&gt;0,Taostats_CSV!G1117,"")))</f>
        <v/>
      </c>
      <c r="E1117" t="str">
        <f ca="1">IF(AND(Q1117,P1117&gt;0),OFFSET(Taostats_CSV!$E$1,MATCH(K1117&amp;F$1,Taostats_CSV!$X:$X,0)-1,0),IF(LEN(F1117)&gt;0,Taostats_CSV!E1117,""))</f>
        <v>TAO</v>
      </c>
      <c r="F1117" t="str">
        <f ca="1">TRIM(IF(AND(Q1117,P1117&gt;0),OFFSET(Taostats_CSV!$H$1,MATCH(K1117&amp;F$1,Taostats_CSV!$X:$X,0)-1,0),IF(LEN(Taostats_CSV!H1117)&gt;0,Taostats_CSV!H1117,Taostats_CSV!R1117)))</f>
        <v>0</v>
      </c>
      <c r="G1117" t="str">
        <f ca="1">IF(AND(Q1117,N1117=1),OFFSET(Taostats_CSV!$E$1,MATCH(K1117&amp;H$1,Taostats_CSV!$X:$X,0)-1,0),IF(Taostats_CSV!F1117="fee",Taostats_CSV!E1117,""))</f>
        <v/>
      </c>
      <c r="H1117" t="str">
        <f ca="1">IF(AND(Q1117,N1117=1),OFFSET(Taostats_CSV!$G$1,MATCH(K1117&amp;H$1,Taostats_CSV!$X:$X,0)-1,0),IF(Taostats_CSV!F1117="fee",Taostats_CSV!G1117,""))</f>
        <v/>
      </c>
      <c r="I1117" t="str">
        <f ca="1">IF(AND(LEN(K1117)=0,LEN(F1117)&gt;0),"Income",IF(AND(O1117&gt;0,P1117&gt;0,C1117&lt;&gt;E1117),"Trade",IF(AND(NOT(Q1117),Taostats_CSV!F1117="fee"),'READ ME'!$C$5,"")))</f>
        <v>Income</v>
      </c>
      <c r="J1117" t="str">
        <f ca="1">SUBSTITUTE(IF(LEN(I1117)=0,Taostats_CSV!F1117&amp;" "&amp;Taostats_CSV!J1117,IF(I1117="Cost","Extrinsic fee","")),"_"," ")</f>
        <v/>
      </c>
      <c r="K1117" t="str">
        <f>TRIM(IF(LEN(Taostats_CSV!I1117)&gt;0,Taostats_CSV!I1117,""))</f>
        <v/>
      </c>
      <c r="L1117" t="str">
        <f>IF(Taostats_CSV!E1117&lt;&gt;"TAO",IF(LEN(F1117)&gt;0,F1117,IF(LEN(D1117)&gt;0,D1117,0))*Taostats_CSV!P1117,"")</f>
        <v/>
      </c>
      <c r="M1117" t="str">
        <f t="shared" si="117"/>
        <v/>
      </c>
      <c r="N1117">
        <f>COUNTIF(Taostats_CSV!$X:$X,Taostats_CSV!$I1117&amp;N$1)</f>
        <v>0</v>
      </c>
      <c r="O1117">
        <f>COUNTIF(Taostats_CSV!$X:$X,Taostats_CSV!$I1117&amp;O$1)</f>
        <v>0</v>
      </c>
      <c r="P1117">
        <f>COUNTIF(Taostats_CSV!$X:$X,Taostats_CSV!$I1117&amp;P$1)</f>
        <v>0</v>
      </c>
      <c r="Q1117" t="b">
        <f t="shared" si="118"/>
        <v>0</v>
      </c>
      <c r="R1117" t="b">
        <f>IF(LEN(K1117)&gt;0,COUNTIF($K$3:K1117,K1117),FALSE)</f>
        <v>0</v>
      </c>
      <c r="S1117" t="b">
        <f>IF(Taostats_CSV!A1117=Taostats_CSV!$A$2,TRUE,Taostats_CSV!G1117+Taostats_CSV!H1117+Taostats_CSV!R1117=0)</f>
        <v>1</v>
      </c>
      <c r="T1117" t="b">
        <f t="shared" si="119"/>
        <v>0</v>
      </c>
      <c r="U1117" t="b" cm="1">
        <f t="array" aca="1" ref="U1117" ca="1">AND(T1117,OR(O1117-N1117&gt;1,P1117&gt;1,ISERROR(A1117:P1117)))</f>
        <v>0</v>
      </c>
      <c r="W1117" t="e">
        <f>MATCH(K1117&amp;$W$2,Taostats_CSV!$X$3:$X$1167,0)</f>
        <v>#N/A</v>
      </c>
      <c r="X1117" t="e">
        <f t="shared" ca="1" si="114"/>
        <v>#VALUE!</v>
      </c>
      <c r="Y1117">
        <f t="shared" ca="1" si="115"/>
        <v>0</v>
      </c>
      <c r="Z1117" t="e">
        <f t="shared" ca="1" si="116"/>
        <v>#VALUE!</v>
      </c>
    </row>
    <row r="1118" spans="1:26" hidden="1" x14ac:dyDescent="0.4">
      <c r="A1118" t="str">
        <f>MID(Taostats_CSV!C1118,6,2)&amp;"/"&amp;MID(Taostats_CSV!C1118,9,2)&amp;"/"&amp;LEFT(Taostats_CSV!C1118,4)&amp;" "&amp;MID(Taostats_CSV!C1118,12,8)</f>
        <v>11/06/2025 23:59:48</v>
      </c>
      <c r="C1118" t="str">
        <f ca="1">IF(Q1118,OFFSET(Taostats_CSV!$E$1,MATCH(K1118&amp;D$1,Taostats_CSV!$X:$X,0)-1,0),IF(Taostats_CSV!F1118="fee","",IF(VALUE(Taostats_CSV!G1118)&gt;0,Taostats_CSV!E1118,"")))</f>
        <v/>
      </c>
      <c r="D1118" t="str">
        <f ca="1">IF(Q1118,OFFSET(Taostats_CSV!$G$1,MATCH(K1118&amp;D$1,Taostats_CSV!$X:$X,0)-1,0),IF(Taostats_CSV!F1118="fee","",IF(VALUE(Taostats_CSV!G1118)&gt;0,Taostats_CSV!G1118,"")))</f>
        <v/>
      </c>
      <c r="E1118" t="str">
        <f ca="1">IF(AND(Q1118,P1118&gt;0),OFFSET(Taostats_CSV!$E$1,MATCH(K1118&amp;F$1,Taostats_CSV!$X:$X,0)-1,0),IF(LEN(F1118)&gt;0,Taostats_CSV!E1118,""))</f>
        <v>TAO</v>
      </c>
      <c r="F1118" t="str">
        <f ca="1">TRIM(IF(AND(Q1118,P1118&gt;0),OFFSET(Taostats_CSV!$H$1,MATCH(K1118&amp;F$1,Taostats_CSV!$X:$X,0)-1,0),IF(LEN(Taostats_CSV!H1118)&gt;0,Taostats_CSV!H1118,Taostats_CSV!R1118)))</f>
        <v>0</v>
      </c>
      <c r="G1118" t="str">
        <f ca="1">IF(AND(Q1118,N1118=1),OFFSET(Taostats_CSV!$E$1,MATCH(K1118&amp;H$1,Taostats_CSV!$X:$X,0)-1,0),IF(Taostats_CSV!F1118="fee",Taostats_CSV!E1118,""))</f>
        <v/>
      </c>
      <c r="H1118" t="str">
        <f ca="1">IF(AND(Q1118,N1118=1),OFFSET(Taostats_CSV!$G$1,MATCH(K1118&amp;H$1,Taostats_CSV!$X:$X,0)-1,0),IF(Taostats_CSV!F1118="fee",Taostats_CSV!G1118,""))</f>
        <v/>
      </c>
      <c r="I1118" t="str">
        <f ca="1">IF(AND(LEN(K1118)=0,LEN(F1118)&gt;0),"Income",IF(AND(O1118&gt;0,P1118&gt;0,C1118&lt;&gt;E1118),"Trade",IF(AND(NOT(Q1118),Taostats_CSV!F1118="fee"),'READ ME'!$C$5,"")))</f>
        <v>Income</v>
      </c>
      <c r="J1118" t="str">
        <f ca="1">SUBSTITUTE(IF(LEN(I1118)=0,Taostats_CSV!F1118&amp;" "&amp;Taostats_CSV!J1118,IF(I1118="Cost","Extrinsic fee","")),"_"," ")</f>
        <v/>
      </c>
      <c r="K1118" t="str">
        <f>TRIM(IF(LEN(Taostats_CSV!I1118)&gt;0,Taostats_CSV!I1118,""))</f>
        <v/>
      </c>
      <c r="L1118" t="str">
        <f>IF(Taostats_CSV!E1118&lt;&gt;"TAO",IF(LEN(F1118)&gt;0,F1118,IF(LEN(D1118)&gt;0,D1118,0))*Taostats_CSV!P1118,"")</f>
        <v/>
      </c>
      <c r="M1118" t="str">
        <f t="shared" si="117"/>
        <v/>
      </c>
      <c r="N1118">
        <f>COUNTIF(Taostats_CSV!$X:$X,Taostats_CSV!$I1118&amp;N$1)</f>
        <v>0</v>
      </c>
      <c r="O1118">
        <f>COUNTIF(Taostats_CSV!$X:$X,Taostats_CSV!$I1118&amp;O$1)</f>
        <v>0</v>
      </c>
      <c r="P1118">
        <f>COUNTIF(Taostats_CSV!$X:$X,Taostats_CSV!$I1118&amp;P$1)</f>
        <v>0</v>
      </c>
      <c r="Q1118" t="b">
        <f t="shared" si="118"/>
        <v>0</v>
      </c>
      <c r="R1118" t="b">
        <f>IF(LEN(K1118)&gt;0,COUNTIF($K$3:K1118,K1118),FALSE)</f>
        <v>0</v>
      </c>
      <c r="S1118" t="b">
        <f>IF(Taostats_CSV!A1118=Taostats_CSV!$A$2,TRUE,Taostats_CSV!G1118+Taostats_CSV!H1118+Taostats_CSV!R1118=0)</f>
        <v>1</v>
      </c>
      <c r="T1118" t="b">
        <f t="shared" si="119"/>
        <v>0</v>
      </c>
      <c r="U1118" t="b" cm="1">
        <f t="array" aca="1" ref="U1118" ca="1">AND(T1118,OR(O1118-N1118&gt;1,P1118&gt;1,ISERROR(A1118:P1118)))</f>
        <v>0</v>
      </c>
      <c r="W1118" t="e">
        <f>MATCH(K1118&amp;$W$2,Taostats_CSV!$X$3:$X$1167,0)</f>
        <v>#N/A</v>
      </c>
      <c r="X1118" t="e">
        <f t="shared" ca="1" si="114"/>
        <v>#VALUE!</v>
      </c>
      <c r="Y1118">
        <f t="shared" ca="1" si="115"/>
        <v>0</v>
      </c>
      <c r="Z1118" t="e">
        <f t="shared" ca="1" si="116"/>
        <v>#VALUE!</v>
      </c>
    </row>
    <row r="1119" spans="1:26" hidden="1" x14ac:dyDescent="0.4">
      <c r="A1119" t="str">
        <f>MID(Taostats_CSV!C1119,6,2)&amp;"/"&amp;MID(Taostats_CSV!C1119,9,2)&amp;"/"&amp;LEFT(Taostats_CSV!C1119,4)&amp;" "&amp;MID(Taostats_CSV!C1119,12,8)</f>
        <v>11/07/2025 23:59:48</v>
      </c>
      <c r="C1119" t="str">
        <f ca="1">IF(Q1119,OFFSET(Taostats_CSV!$E$1,MATCH(K1119&amp;D$1,Taostats_CSV!$X:$X,0)-1,0),IF(Taostats_CSV!F1119="fee","",IF(VALUE(Taostats_CSV!G1119)&gt;0,Taostats_CSV!E1119,"")))</f>
        <v/>
      </c>
      <c r="D1119" t="str">
        <f ca="1">IF(Q1119,OFFSET(Taostats_CSV!$G$1,MATCH(K1119&amp;D$1,Taostats_CSV!$X:$X,0)-1,0),IF(Taostats_CSV!F1119="fee","",IF(VALUE(Taostats_CSV!G1119)&gt;0,Taostats_CSV!G1119,"")))</f>
        <v/>
      </c>
      <c r="E1119" t="str">
        <f ca="1">IF(AND(Q1119,P1119&gt;0),OFFSET(Taostats_CSV!$E$1,MATCH(K1119&amp;F$1,Taostats_CSV!$X:$X,0)-1,0),IF(LEN(F1119)&gt;0,Taostats_CSV!E1119,""))</f>
        <v>TAO</v>
      </c>
      <c r="F1119" t="str">
        <f ca="1">TRIM(IF(AND(Q1119,P1119&gt;0),OFFSET(Taostats_CSV!$H$1,MATCH(K1119&amp;F$1,Taostats_CSV!$X:$X,0)-1,0),IF(LEN(Taostats_CSV!H1119)&gt;0,Taostats_CSV!H1119,Taostats_CSV!R1119)))</f>
        <v>0</v>
      </c>
      <c r="G1119" t="str">
        <f ca="1">IF(AND(Q1119,N1119=1),OFFSET(Taostats_CSV!$E$1,MATCH(K1119&amp;H$1,Taostats_CSV!$X:$X,0)-1,0),IF(Taostats_CSV!F1119="fee",Taostats_CSV!E1119,""))</f>
        <v/>
      </c>
      <c r="H1119" t="str">
        <f ca="1">IF(AND(Q1119,N1119=1),OFFSET(Taostats_CSV!$G$1,MATCH(K1119&amp;H$1,Taostats_CSV!$X:$X,0)-1,0),IF(Taostats_CSV!F1119="fee",Taostats_CSV!G1119,""))</f>
        <v/>
      </c>
      <c r="I1119" t="str">
        <f ca="1">IF(AND(LEN(K1119)=0,LEN(F1119)&gt;0),"Income",IF(AND(O1119&gt;0,P1119&gt;0,C1119&lt;&gt;E1119),"Trade",IF(AND(NOT(Q1119),Taostats_CSV!F1119="fee"),'READ ME'!$C$5,"")))</f>
        <v>Income</v>
      </c>
      <c r="J1119" t="str">
        <f ca="1">SUBSTITUTE(IF(LEN(I1119)=0,Taostats_CSV!F1119&amp;" "&amp;Taostats_CSV!J1119,IF(I1119="Cost","Extrinsic fee","")),"_"," ")</f>
        <v/>
      </c>
      <c r="K1119" t="str">
        <f>TRIM(IF(LEN(Taostats_CSV!I1119)&gt;0,Taostats_CSV!I1119,""))</f>
        <v/>
      </c>
      <c r="L1119" t="str">
        <f>IF(Taostats_CSV!E1119&lt;&gt;"TAO",IF(LEN(F1119)&gt;0,F1119,IF(LEN(D1119)&gt;0,D1119,0))*Taostats_CSV!P1119,"")</f>
        <v/>
      </c>
      <c r="M1119" t="str">
        <f t="shared" si="117"/>
        <v/>
      </c>
      <c r="N1119">
        <f>COUNTIF(Taostats_CSV!$X:$X,Taostats_CSV!$I1119&amp;N$1)</f>
        <v>0</v>
      </c>
      <c r="O1119">
        <f>COUNTIF(Taostats_CSV!$X:$X,Taostats_CSV!$I1119&amp;O$1)</f>
        <v>0</v>
      </c>
      <c r="P1119">
        <f>COUNTIF(Taostats_CSV!$X:$X,Taostats_CSV!$I1119&amp;P$1)</f>
        <v>0</v>
      </c>
      <c r="Q1119" t="b">
        <f t="shared" si="118"/>
        <v>0</v>
      </c>
      <c r="R1119" t="b">
        <f>IF(LEN(K1119)&gt;0,COUNTIF($K$3:K1119,K1119),FALSE)</f>
        <v>0</v>
      </c>
      <c r="S1119" t="b">
        <f>IF(Taostats_CSV!A1119=Taostats_CSV!$A$2,TRUE,Taostats_CSV!G1119+Taostats_CSV!H1119+Taostats_CSV!R1119=0)</f>
        <v>1</v>
      </c>
      <c r="T1119" t="b">
        <f t="shared" si="119"/>
        <v>0</v>
      </c>
      <c r="U1119" t="b" cm="1">
        <f t="array" aca="1" ref="U1119" ca="1">AND(T1119,OR(O1119-N1119&gt;1,P1119&gt;1,ISERROR(A1119:P1119)))</f>
        <v>0</v>
      </c>
      <c r="W1119" t="e">
        <f>MATCH(K1119&amp;$W$2,Taostats_CSV!$X$3:$X$1167,0)</f>
        <v>#N/A</v>
      </c>
      <c r="X1119" t="e">
        <f t="shared" ca="1" si="114"/>
        <v>#VALUE!</v>
      </c>
      <c r="Y1119">
        <f t="shared" ca="1" si="115"/>
        <v>0</v>
      </c>
      <c r="Z1119" t="e">
        <f t="shared" ca="1" si="116"/>
        <v>#VALUE!</v>
      </c>
    </row>
    <row r="1120" spans="1:26" hidden="1" x14ac:dyDescent="0.4">
      <c r="A1120" t="str">
        <f>MID(Taostats_CSV!C1120,6,2)&amp;"/"&amp;MID(Taostats_CSV!C1120,9,2)&amp;"/"&amp;LEFT(Taostats_CSV!C1120,4)&amp;" "&amp;MID(Taostats_CSV!C1120,12,8)</f>
        <v>11/08/2025 23:59:48</v>
      </c>
      <c r="C1120" t="str">
        <f ca="1">IF(Q1120,OFFSET(Taostats_CSV!$E$1,MATCH(K1120&amp;D$1,Taostats_CSV!$X:$X,0)-1,0),IF(Taostats_CSV!F1120="fee","",IF(VALUE(Taostats_CSV!G1120)&gt;0,Taostats_CSV!E1120,"")))</f>
        <v/>
      </c>
      <c r="D1120" t="str">
        <f ca="1">IF(Q1120,OFFSET(Taostats_CSV!$G$1,MATCH(K1120&amp;D$1,Taostats_CSV!$X:$X,0)-1,0),IF(Taostats_CSV!F1120="fee","",IF(VALUE(Taostats_CSV!G1120)&gt;0,Taostats_CSV!G1120,"")))</f>
        <v/>
      </c>
      <c r="E1120" t="str">
        <f ca="1">IF(AND(Q1120,P1120&gt;0),OFFSET(Taostats_CSV!$E$1,MATCH(K1120&amp;F$1,Taostats_CSV!$X:$X,0)-1,0),IF(LEN(F1120)&gt;0,Taostats_CSV!E1120,""))</f>
        <v>TAO</v>
      </c>
      <c r="F1120" t="str">
        <f ca="1">TRIM(IF(AND(Q1120,P1120&gt;0),OFFSET(Taostats_CSV!$H$1,MATCH(K1120&amp;F$1,Taostats_CSV!$X:$X,0)-1,0),IF(LEN(Taostats_CSV!H1120)&gt;0,Taostats_CSV!H1120,Taostats_CSV!R1120)))</f>
        <v>0</v>
      </c>
      <c r="G1120" t="str">
        <f ca="1">IF(AND(Q1120,N1120=1),OFFSET(Taostats_CSV!$E$1,MATCH(K1120&amp;H$1,Taostats_CSV!$X:$X,0)-1,0),IF(Taostats_CSV!F1120="fee",Taostats_CSV!E1120,""))</f>
        <v/>
      </c>
      <c r="H1120" t="str">
        <f ca="1">IF(AND(Q1120,N1120=1),OFFSET(Taostats_CSV!$G$1,MATCH(K1120&amp;H$1,Taostats_CSV!$X:$X,0)-1,0),IF(Taostats_CSV!F1120="fee",Taostats_CSV!G1120,""))</f>
        <v/>
      </c>
      <c r="I1120" t="str">
        <f ca="1">IF(AND(LEN(K1120)=0,LEN(F1120)&gt;0),"Income",IF(AND(O1120&gt;0,P1120&gt;0,C1120&lt;&gt;E1120),"Trade",IF(AND(NOT(Q1120),Taostats_CSV!F1120="fee"),'READ ME'!$C$5,"")))</f>
        <v>Income</v>
      </c>
      <c r="J1120" t="str">
        <f ca="1">SUBSTITUTE(IF(LEN(I1120)=0,Taostats_CSV!F1120&amp;" "&amp;Taostats_CSV!J1120,IF(I1120="Cost","Extrinsic fee","")),"_"," ")</f>
        <v/>
      </c>
      <c r="K1120" t="str">
        <f>TRIM(IF(LEN(Taostats_CSV!I1120)&gt;0,Taostats_CSV!I1120,""))</f>
        <v/>
      </c>
      <c r="L1120" t="str">
        <f>IF(Taostats_CSV!E1120&lt;&gt;"TAO",IF(LEN(F1120)&gt;0,F1120,IF(LEN(D1120)&gt;0,D1120,0))*Taostats_CSV!P1120,"")</f>
        <v/>
      </c>
      <c r="M1120" t="str">
        <f t="shared" si="117"/>
        <v/>
      </c>
      <c r="N1120">
        <f>COUNTIF(Taostats_CSV!$X:$X,Taostats_CSV!$I1120&amp;N$1)</f>
        <v>0</v>
      </c>
      <c r="O1120">
        <f>COUNTIF(Taostats_CSV!$X:$X,Taostats_CSV!$I1120&amp;O$1)</f>
        <v>0</v>
      </c>
      <c r="P1120">
        <f>COUNTIF(Taostats_CSV!$X:$X,Taostats_CSV!$I1120&amp;P$1)</f>
        <v>0</v>
      </c>
      <c r="Q1120" t="b">
        <f t="shared" si="118"/>
        <v>0</v>
      </c>
      <c r="R1120" t="b">
        <f>IF(LEN(K1120)&gt;0,COUNTIF($K$3:K1120,K1120),FALSE)</f>
        <v>0</v>
      </c>
      <c r="S1120" t="b">
        <f>IF(Taostats_CSV!A1120=Taostats_CSV!$A$2,TRUE,Taostats_CSV!G1120+Taostats_CSV!H1120+Taostats_CSV!R1120=0)</f>
        <v>1</v>
      </c>
      <c r="T1120" t="b">
        <f t="shared" si="119"/>
        <v>0</v>
      </c>
      <c r="U1120" t="b" cm="1">
        <f t="array" aca="1" ref="U1120" ca="1">AND(T1120,OR(O1120-N1120&gt;1,P1120&gt;1,ISERROR(A1120:P1120)))</f>
        <v>0</v>
      </c>
      <c r="W1120" t="e">
        <f>MATCH(K1120&amp;$W$2,Taostats_CSV!$X$3:$X$1167,0)</f>
        <v>#N/A</v>
      </c>
      <c r="X1120" t="e">
        <f t="shared" ca="1" si="114"/>
        <v>#VALUE!</v>
      </c>
      <c r="Y1120">
        <f t="shared" ca="1" si="115"/>
        <v>0</v>
      </c>
      <c r="Z1120" t="e">
        <f t="shared" ca="1" si="116"/>
        <v>#VALUE!</v>
      </c>
    </row>
    <row r="1121" spans="1:26" hidden="1" x14ac:dyDescent="0.4">
      <c r="A1121" t="str">
        <f>MID(Taostats_CSV!C1121,6,2)&amp;"/"&amp;MID(Taostats_CSV!C1121,9,2)&amp;"/"&amp;LEFT(Taostats_CSV!C1121,4)&amp;" "&amp;MID(Taostats_CSV!C1121,12,8)</f>
        <v>11/09/2025 23:59:48</v>
      </c>
      <c r="C1121" t="str">
        <f ca="1">IF(Q1121,OFFSET(Taostats_CSV!$E$1,MATCH(K1121&amp;D$1,Taostats_CSV!$X:$X,0)-1,0),IF(Taostats_CSV!F1121="fee","",IF(VALUE(Taostats_CSV!G1121)&gt;0,Taostats_CSV!E1121,"")))</f>
        <v/>
      </c>
      <c r="D1121" t="str">
        <f ca="1">IF(Q1121,OFFSET(Taostats_CSV!$G$1,MATCH(K1121&amp;D$1,Taostats_CSV!$X:$X,0)-1,0),IF(Taostats_CSV!F1121="fee","",IF(VALUE(Taostats_CSV!G1121)&gt;0,Taostats_CSV!G1121,"")))</f>
        <v/>
      </c>
      <c r="E1121" t="str">
        <f ca="1">IF(AND(Q1121,P1121&gt;0),OFFSET(Taostats_CSV!$E$1,MATCH(K1121&amp;F$1,Taostats_CSV!$X:$X,0)-1,0),IF(LEN(F1121)&gt;0,Taostats_CSV!E1121,""))</f>
        <v>TAO</v>
      </c>
      <c r="F1121" t="str">
        <f ca="1">TRIM(IF(AND(Q1121,P1121&gt;0),OFFSET(Taostats_CSV!$H$1,MATCH(K1121&amp;F$1,Taostats_CSV!$X:$X,0)-1,0),IF(LEN(Taostats_CSV!H1121)&gt;0,Taostats_CSV!H1121,Taostats_CSV!R1121)))</f>
        <v>0</v>
      </c>
      <c r="G1121" t="str">
        <f ca="1">IF(AND(Q1121,N1121=1),OFFSET(Taostats_CSV!$E$1,MATCH(K1121&amp;H$1,Taostats_CSV!$X:$X,0)-1,0),IF(Taostats_CSV!F1121="fee",Taostats_CSV!E1121,""))</f>
        <v/>
      </c>
      <c r="H1121" t="str">
        <f ca="1">IF(AND(Q1121,N1121=1),OFFSET(Taostats_CSV!$G$1,MATCH(K1121&amp;H$1,Taostats_CSV!$X:$X,0)-1,0),IF(Taostats_CSV!F1121="fee",Taostats_CSV!G1121,""))</f>
        <v/>
      </c>
      <c r="I1121" t="str">
        <f ca="1">IF(AND(LEN(K1121)=0,LEN(F1121)&gt;0),"Income",IF(AND(O1121&gt;0,P1121&gt;0,C1121&lt;&gt;E1121),"Trade",IF(AND(NOT(Q1121),Taostats_CSV!F1121="fee"),'READ ME'!$C$5,"")))</f>
        <v>Income</v>
      </c>
      <c r="J1121" t="str">
        <f ca="1">SUBSTITUTE(IF(LEN(I1121)=0,Taostats_CSV!F1121&amp;" "&amp;Taostats_CSV!J1121,IF(I1121="Cost","Extrinsic fee","")),"_"," ")</f>
        <v/>
      </c>
      <c r="K1121" t="str">
        <f>TRIM(IF(LEN(Taostats_CSV!I1121)&gt;0,Taostats_CSV!I1121,""))</f>
        <v/>
      </c>
      <c r="L1121" t="str">
        <f>IF(Taostats_CSV!E1121&lt;&gt;"TAO",IF(LEN(F1121)&gt;0,F1121,IF(LEN(D1121)&gt;0,D1121,0))*Taostats_CSV!P1121,"")</f>
        <v/>
      </c>
      <c r="M1121" t="str">
        <f t="shared" si="117"/>
        <v/>
      </c>
      <c r="N1121">
        <f>COUNTIF(Taostats_CSV!$X:$X,Taostats_CSV!$I1121&amp;N$1)</f>
        <v>0</v>
      </c>
      <c r="O1121">
        <f>COUNTIF(Taostats_CSV!$X:$X,Taostats_CSV!$I1121&amp;O$1)</f>
        <v>0</v>
      </c>
      <c r="P1121">
        <f>COUNTIF(Taostats_CSV!$X:$X,Taostats_CSV!$I1121&amp;P$1)</f>
        <v>0</v>
      </c>
      <c r="Q1121" t="b">
        <f t="shared" si="118"/>
        <v>0</v>
      </c>
      <c r="R1121" t="b">
        <f>IF(LEN(K1121)&gt;0,COUNTIF($K$3:K1121,K1121),FALSE)</f>
        <v>0</v>
      </c>
      <c r="S1121" t="b">
        <f>IF(Taostats_CSV!A1121=Taostats_CSV!$A$2,TRUE,Taostats_CSV!G1121+Taostats_CSV!H1121+Taostats_CSV!R1121=0)</f>
        <v>1</v>
      </c>
      <c r="T1121" t="b">
        <f t="shared" si="119"/>
        <v>0</v>
      </c>
      <c r="U1121" t="b" cm="1">
        <f t="array" aca="1" ref="U1121" ca="1">AND(T1121,OR(O1121-N1121&gt;1,P1121&gt;1,ISERROR(A1121:P1121)))</f>
        <v>0</v>
      </c>
      <c r="W1121" t="e">
        <f>MATCH(K1121&amp;$W$2,Taostats_CSV!$X$3:$X$1167,0)</f>
        <v>#N/A</v>
      </c>
      <c r="X1121" t="e">
        <f t="shared" ca="1" si="114"/>
        <v>#VALUE!</v>
      </c>
      <c r="Y1121">
        <f t="shared" ca="1" si="115"/>
        <v>0</v>
      </c>
      <c r="Z1121" t="e">
        <f t="shared" ca="1" si="116"/>
        <v>#VALUE!</v>
      </c>
    </row>
    <row r="1122" spans="1:26" hidden="1" x14ac:dyDescent="0.4">
      <c r="A1122" t="str">
        <f>MID(Taostats_CSV!C1122,6,2)&amp;"/"&amp;MID(Taostats_CSV!C1122,9,2)&amp;"/"&amp;LEFT(Taostats_CSV!C1122,4)&amp;" "&amp;MID(Taostats_CSV!C1122,12,8)</f>
        <v>11/10/2025 23:59:48</v>
      </c>
      <c r="C1122" t="str">
        <f ca="1">IF(Q1122,OFFSET(Taostats_CSV!$E$1,MATCH(K1122&amp;D$1,Taostats_CSV!$X:$X,0)-1,0),IF(Taostats_CSV!F1122="fee","",IF(VALUE(Taostats_CSV!G1122)&gt;0,Taostats_CSV!E1122,"")))</f>
        <v/>
      </c>
      <c r="D1122" t="str">
        <f ca="1">IF(Q1122,OFFSET(Taostats_CSV!$G$1,MATCH(K1122&amp;D$1,Taostats_CSV!$X:$X,0)-1,0),IF(Taostats_CSV!F1122="fee","",IF(VALUE(Taostats_CSV!G1122)&gt;0,Taostats_CSV!G1122,"")))</f>
        <v/>
      </c>
      <c r="E1122" t="str">
        <f ca="1">IF(AND(Q1122,P1122&gt;0),OFFSET(Taostats_CSV!$E$1,MATCH(K1122&amp;F$1,Taostats_CSV!$X:$X,0)-1,0),IF(LEN(F1122)&gt;0,Taostats_CSV!E1122,""))</f>
        <v>TAO</v>
      </c>
      <c r="F1122" t="str">
        <f ca="1">TRIM(IF(AND(Q1122,P1122&gt;0),OFFSET(Taostats_CSV!$H$1,MATCH(K1122&amp;F$1,Taostats_CSV!$X:$X,0)-1,0),IF(LEN(Taostats_CSV!H1122)&gt;0,Taostats_CSV!H1122,Taostats_CSV!R1122)))</f>
        <v>0</v>
      </c>
      <c r="G1122" t="str">
        <f ca="1">IF(AND(Q1122,N1122=1),OFFSET(Taostats_CSV!$E$1,MATCH(K1122&amp;H$1,Taostats_CSV!$X:$X,0)-1,0),IF(Taostats_CSV!F1122="fee",Taostats_CSV!E1122,""))</f>
        <v/>
      </c>
      <c r="H1122" t="str">
        <f ca="1">IF(AND(Q1122,N1122=1),OFFSET(Taostats_CSV!$G$1,MATCH(K1122&amp;H$1,Taostats_CSV!$X:$X,0)-1,0),IF(Taostats_CSV!F1122="fee",Taostats_CSV!G1122,""))</f>
        <v/>
      </c>
      <c r="I1122" t="str">
        <f ca="1">IF(AND(LEN(K1122)=0,LEN(F1122)&gt;0),"Income",IF(AND(O1122&gt;0,P1122&gt;0,C1122&lt;&gt;E1122),"Trade",IF(AND(NOT(Q1122),Taostats_CSV!F1122="fee"),'READ ME'!$C$5,"")))</f>
        <v>Income</v>
      </c>
      <c r="J1122" t="str">
        <f ca="1">SUBSTITUTE(IF(LEN(I1122)=0,Taostats_CSV!F1122&amp;" "&amp;Taostats_CSV!J1122,IF(I1122="Cost","Extrinsic fee","")),"_"," ")</f>
        <v/>
      </c>
      <c r="K1122" t="str">
        <f>TRIM(IF(LEN(Taostats_CSV!I1122)&gt;0,Taostats_CSV!I1122,""))</f>
        <v/>
      </c>
      <c r="L1122" t="str">
        <f>IF(Taostats_CSV!E1122&lt;&gt;"TAO",IF(LEN(F1122)&gt;0,F1122,IF(LEN(D1122)&gt;0,D1122,0))*Taostats_CSV!P1122,"")</f>
        <v/>
      </c>
      <c r="M1122" t="str">
        <f t="shared" si="117"/>
        <v/>
      </c>
      <c r="N1122">
        <f>COUNTIF(Taostats_CSV!$X:$X,Taostats_CSV!$I1122&amp;N$1)</f>
        <v>0</v>
      </c>
      <c r="O1122">
        <f>COUNTIF(Taostats_CSV!$X:$X,Taostats_CSV!$I1122&amp;O$1)</f>
        <v>0</v>
      </c>
      <c r="P1122">
        <f>COUNTIF(Taostats_CSV!$X:$X,Taostats_CSV!$I1122&amp;P$1)</f>
        <v>0</v>
      </c>
      <c r="Q1122" t="b">
        <f t="shared" si="118"/>
        <v>0</v>
      </c>
      <c r="R1122" t="b">
        <f>IF(LEN(K1122)&gt;0,COUNTIF($K$3:K1122,K1122),FALSE)</f>
        <v>0</v>
      </c>
      <c r="S1122" t="b">
        <f>IF(Taostats_CSV!A1122=Taostats_CSV!$A$2,TRUE,Taostats_CSV!G1122+Taostats_CSV!H1122+Taostats_CSV!R1122=0)</f>
        <v>1</v>
      </c>
      <c r="T1122" t="b">
        <f t="shared" si="119"/>
        <v>0</v>
      </c>
      <c r="U1122" t="b" cm="1">
        <f t="array" aca="1" ref="U1122" ca="1">AND(T1122,OR(O1122-N1122&gt;1,P1122&gt;1,ISERROR(A1122:P1122)))</f>
        <v>0</v>
      </c>
      <c r="W1122" t="e">
        <f>MATCH(K1122&amp;$W$2,Taostats_CSV!$X$3:$X$1167,0)</f>
        <v>#N/A</v>
      </c>
      <c r="X1122" t="e">
        <f t="shared" ca="1" si="114"/>
        <v>#VALUE!</v>
      </c>
      <c r="Y1122">
        <f t="shared" ca="1" si="115"/>
        <v>0</v>
      </c>
      <c r="Z1122" t="e">
        <f t="shared" ca="1" si="116"/>
        <v>#VALUE!</v>
      </c>
    </row>
    <row r="1123" spans="1:26" hidden="1" x14ac:dyDescent="0.4">
      <c r="A1123" t="str">
        <f>MID(Taostats_CSV!C1123,6,2)&amp;"/"&amp;MID(Taostats_CSV!C1123,9,2)&amp;"/"&amp;LEFT(Taostats_CSV!C1123,4)&amp;" "&amp;MID(Taostats_CSV!C1123,12,8)</f>
        <v>11/11/2025 23:59:48</v>
      </c>
      <c r="C1123" t="str">
        <f ca="1">IF(Q1123,OFFSET(Taostats_CSV!$E$1,MATCH(K1123&amp;D$1,Taostats_CSV!$X:$X,0)-1,0),IF(Taostats_CSV!F1123="fee","",IF(VALUE(Taostats_CSV!G1123)&gt;0,Taostats_CSV!E1123,"")))</f>
        <v/>
      </c>
      <c r="D1123" t="str">
        <f ca="1">IF(Q1123,OFFSET(Taostats_CSV!$G$1,MATCH(K1123&amp;D$1,Taostats_CSV!$X:$X,0)-1,0),IF(Taostats_CSV!F1123="fee","",IF(VALUE(Taostats_CSV!G1123)&gt;0,Taostats_CSV!G1123,"")))</f>
        <v/>
      </c>
      <c r="E1123" t="str">
        <f ca="1">IF(AND(Q1123,P1123&gt;0),OFFSET(Taostats_CSV!$E$1,MATCH(K1123&amp;F$1,Taostats_CSV!$X:$X,0)-1,0),IF(LEN(F1123)&gt;0,Taostats_CSV!E1123,""))</f>
        <v>TAO</v>
      </c>
      <c r="F1123" t="str">
        <f ca="1">TRIM(IF(AND(Q1123,P1123&gt;0),OFFSET(Taostats_CSV!$H$1,MATCH(K1123&amp;F$1,Taostats_CSV!$X:$X,0)-1,0),IF(LEN(Taostats_CSV!H1123)&gt;0,Taostats_CSV!H1123,Taostats_CSV!R1123)))</f>
        <v>0</v>
      </c>
      <c r="G1123" t="str">
        <f ca="1">IF(AND(Q1123,N1123=1),OFFSET(Taostats_CSV!$E$1,MATCH(K1123&amp;H$1,Taostats_CSV!$X:$X,0)-1,0),IF(Taostats_CSV!F1123="fee",Taostats_CSV!E1123,""))</f>
        <v/>
      </c>
      <c r="H1123" t="str">
        <f ca="1">IF(AND(Q1123,N1123=1),OFFSET(Taostats_CSV!$G$1,MATCH(K1123&amp;H$1,Taostats_CSV!$X:$X,0)-1,0),IF(Taostats_CSV!F1123="fee",Taostats_CSV!G1123,""))</f>
        <v/>
      </c>
      <c r="I1123" t="str">
        <f ca="1">IF(AND(LEN(K1123)=0,LEN(F1123)&gt;0),"Income",IF(AND(O1123&gt;0,P1123&gt;0,C1123&lt;&gt;E1123),"Trade",IF(AND(NOT(Q1123),Taostats_CSV!F1123="fee"),'READ ME'!$C$5,"")))</f>
        <v>Income</v>
      </c>
      <c r="J1123" t="str">
        <f ca="1">SUBSTITUTE(IF(LEN(I1123)=0,Taostats_CSV!F1123&amp;" "&amp;Taostats_CSV!J1123,IF(I1123="Cost","Extrinsic fee","")),"_"," ")</f>
        <v/>
      </c>
      <c r="K1123" t="str">
        <f>TRIM(IF(LEN(Taostats_CSV!I1123)&gt;0,Taostats_CSV!I1123,""))</f>
        <v/>
      </c>
      <c r="L1123" t="str">
        <f>IF(Taostats_CSV!E1123&lt;&gt;"TAO",IF(LEN(F1123)&gt;0,F1123,IF(LEN(D1123)&gt;0,D1123,0))*Taostats_CSV!P1123,"")</f>
        <v/>
      </c>
      <c r="M1123" t="str">
        <f t="shared" si="117"/>
        <v/>
      </c>
      <c r="N1123">
        <f>COUNTIF(Taostats_CSV!$X:$X,Taostats_CSV!$I1123&amp;N$1)</f>
        <v>0</v>
      </c>
      <c r="O1123">
        <f>COUNTIF(Taostats_CSV!$X:$X,Taostats_CSV!$I1123&amp;O$1)</f>
        <v>0</v>
      </c>
      <c r="P1123">
        <f>COUNTIF(Taostats_CSV!$X:$X,Taostats_CSV!$I1123&amp;P$1)</f>
        <v>0</v>
      </c>
      <c r="Q1123" t="b">
        <f t="shared" si="118"/>
        <v>0</v>
      </c>
      <c r="R1123" t="b">
        <f>IF(LEN(K1123)&gt;0,COUNTIF($K$3:K1123,K1123),FALSE)</f>
        <v>0</v>
      </c>
      <c r="S1123" t="b">
        <f>IF(Taostats_CSV!A1123=Taostats_CSV!$A$2,TRUE,Taostats_CSV!G1123+Taostats_CSV!H1123+Taostats_CSV!R1123=0)</f>
        <v>1</v>
      </c>
      <c r="T1123" t="b">
        <f t="shared" si="119"/>
        <v>0</v>
      </c>
      <c r="U1123" t="b" cm="1">
        <f t="array" aca="1" ref="U1123" ca="1">AND(T1123,OR(O1123-N1123&gt;1,P1123&gt;1,ISERROR(A1123:P1123)))</f>
        <v>0</v>
      </c>
      <c r="W1123" t="e">
        <f>MATCH(K1123&amp;$W$2,Taostats_CSV!$X$3:$X$1167,0)</f>
        <v>#N/A</v>
      </c>
      <c r="X1123" t="e">
        <f t="shared" ca="1" si="114"/>
        <v>#VALUE!</v>
      </c>
      <c r="Y1123">
        <f t="shared" ca="1" si="115"/>
        <v>0</v>
      </c>
      <c r="Z1123" t="e">
        <f t="shared" ca="1" si="116"/>
        <v>#VALUE!</v>
      </c>
    </row>
    <row r="1124" spans="1:26" hidden="1" x14ac:dyDescent="0.4">
      <c r="A1124" t="str">
        <f>MID(Taostats_CSV!C1124,6,2)&amp;"/"&amp;MID(Taostats_CSV!C1124,9,2)&amp;"/"&amp;LEFT(Taostats_CSV!C1124,4)&amp;" "&amp;MID(Taostats_CSV!C1124,12,8)</f>
        <v>11/12/2025 23:59:48</v>
      </c>
      <c r="C1124" t="str">
        <f ca="1">IF(Q1124,OFFSET(Taostats_CSV!$E$1,MATCH(K1124&amp;D$1,Taostats_CSV!$X:$X,0)-1,0),IF(Taostats_CSV!F1124="fee","",IF(VALUE(Taostats_CSV!G1124)&gt;0,Taostats_CSV!E1124,"")))</f>
        <v/>
      </c>
      <c r="D1124" t="str">
        <f ca="1">IF(Q1124,OFFSET(Taostats_CSV!$G$1,MATCH(K1124&amp;D$1,Taostats_CSV!$X:$X,0)-1,0),IF(Taostats_CSV!F1124="fee","",IF(VALUE(Taostats_CSV!G1124)&gt;0,Taostats_CSV!G1124,"")))</f>
        <v/>
      </c>
      <c r="E1124" t="str">
        <f ca="1">IF(AND(Q1124,P1124&gt;0),OFFSET(Taostats_CSV!$E$1,MATCH(K1124&amp;F$1,Taostats_CSV!$X:$X,0)-1,0),IF(LEN(F1124)&gt;0,Taostats_CSV!E1124,""))</f>
        <v>TAO</v>
      </c>
      <c r="F1124" t="str">
        <f ca="1">TRIM(IF(AND(Q1124,P1124&gt;0),OFFSET(Taostats_CSV!$H$1,MATCH(K1124&amp;F$1,Taostats_CSV!$X:$X,0)-1,0),IF(LEN(Taostats_CSV!H1124)&gt;0,Taostats_CSV!H1124,Taostats_CSV!R1124)))</f>
        <v>0</v>
      </c>
      <c r="G1124" t="str">
        <f ca="1">IF(AND(Q1124,N1124=1),OFFSET(Taostats_CSV!$E$1,MATCH(K1124&amp;H$1,Taostats_CSV!$X:$X,0)-1,0),IF(Taostats_CSV!F1124="fee",Taostats_CSV!E1124,""))</f>
        <v/>
      </c>
      <c r="H1124" t="str">
        <f ca="1">IF(AND(Q1124,N1124=1),OFFSET(Taostats_CSV!$G$1,MATCH(K1124&amp;H$1,Taostats_CSV!$X:$X,0)-1,0),IF(Taostats_CSV!F1124="fee",Taostats_CSV!G1124,""))</f>
        <v/>
      </c>
      <c r="I1124" t="str">
        <f ca="1">IF(AND(LEN(K1124)=0,LEN(F1124)&gt;0),"Income",IF(AND(O1124&gt;0,P1124&gt;0,C1124&lt;&gt;E1124),"Trade",IF(AND(NOT(Q1124),Taostats_CSV!F1124="fee"),'READ ME'!$C$5,"")))</f>
        <v>Income</v>
      </c>
      <c r="J1124" t="str">
        <f ca="1">SUBSTITUTE(IF(LEN(I1124)=0,Taostats_CSV!F1124&amp;" "&amp;Taostats_CSV!J1124,IF(I1124="Cost","Extrinsic fee","")),"_"," ")</f>
        <v/>
      </c>
      <c r="K1124" t="str">
        <f>TRIM(IF(LEN(Taostats_CSV!I1124)&gt;0,Taostats_CSV!I1124,""))</f>
        <v/>
      </c>
      <c r="L1124" t="str">
        <f>IF(Taostats_CSV!E1124&lt;&gt;"TAO",IF(LEN(F1124)&gt;0,F1124,IF(LEN(D1124)&gt;0,D1124,0))*Taostats_CSV!P1124,"")</f>
        <v/>
      </c>
      <c r="M1124" t="str">
        <f t="shared" si="117"/>
        <v/>
      </c>
      <c r="N1124">
        <f>COUNTIF(Taostats_CSV!$X:$X,Taostats_CSV!$I1124&amp;N$1)</f>
        <v>0</v>
      </c>
      <c r="O1124">
        <f>COUNTIF(Taostats_CSV!$X:$X,Taostats_CSV!$I1124&amp;O$1)</f>
        <v>0</v>
      </c>
      <c r="P1124">
        <f>COUNTIF(Taostats_CSV!$X:$X,Taostats_CSV!$I1124&amp;P$1)</f>
        <v>0</v>
      </c>
      <c r="Q1124" t="b">
        <f t="shared" si="118"/>
        <v>0</v>
      </c>
      <c r="R1124" t="b">
        <f>IF(LEN(K1124)&gt;0,COUNTIF($K$3:K1124,K1124),FALSE)</f>
        <v>0</v>
      </c>
      <c r="S1124" t="b">
        <f>IF(Taostats_CSV!A1124=Taostats_CSV!$A$2,TRUE,Taostats_CSV!G1124+Taostats_CSV!H1124+Taostats_CSV!R1124=0)</f>
        <v>1</v>
      </c>
      <c r="T1124" t="b">
        <f t="shared" si="119"/>
        <v>0</v>
      </c>
      <c r="U1124" t="b" cm="1">
        <f t="array" aca="1" ref="U1124" ca="1">AND(T1124,OR(O1124-N1124&gt;1,P1124&gt;1,ISERROR(A1124:P1124)))</f>
        <v>0</v>
      </c>
      <c r="W1124" t="e">
        <f>MATCH(K1124&amp;$W$2,Taostats_CSV!$X$3:$X$1167,0)</f>
        <v>#N/A</v>
      </c>
      <c r="X1124" t="e">
        <f t="shared" ca="1" si="114"/>
        <v>#VALUE!</v>
      </c>
      <c r="Y1124">
        <f t="shared" ca="1" si="115"/>
        <v>0</v>
      </c>
      <c r="Z1124" t="e">
        <f t="shared" ca="1" si="116"/>
        <v>#VALUE!</v>
      </c>
    </row>
    <row r="1125" spans="1:26" hidden="1" x14ac:dyDescent="0.4">
      <c r="A1125" t="str">
        <f>MID(Taostats_CSV!C1125,6,2)&amp;"/"&amp;MID(Taostats_CSV!C1125,9,2)&amp;"/"&amp;LEFT(Taostats_CSV!C1125,4)&amp;" "&amp;MID(Taostats_CSV!C1125,12,8)</f>
        <v>11/13/2025 23:59:48</v>
      </c>
      <c r="C1125" t="str">
        <f ca="1">IF(Q1125,OFFSET(Taostats_CSV!$E$1,MATCH(K1125&amp;D$1,Taostats_CSV!$X:$X,0)-1,0),IF(Taostats_CSV!F1125="fee","",IF(VALUE(Taostats_CSV!G1125)&gt;0,Taostats_CSV!E1125,"")))</f>
        <v/>
      </c>
      <c r="D1125" t="str">
        <f ca="1">IF(Q1125,OFFSET(Taostats_CSV!$G$1,MATCH(K1125&amp;D$1,Taostats_CSV!$X:$X,0)-1,0),IF(Taostats_CSV!F1125="fee","",IF(VALUE(Taostats_CSV!G1125)&gt;0,Taostats_CSV!G1125,"")))</f>
        <v/>
      </c>
      <c r="E1125" t="str">
        <f ca="1">IF(AND(Q1125,P1125&gt;0),OFFSET(Taostats_CSV!$E$1,MATCH(K1125&amp;F$1,Taostats_CSV!$X:$X,0)-1,0),IF(LEN(F1125)&gt;0,Taostats_CSV!E1125,""))</f>
        <v>TAO</v>
      </c>
      <c r="F1125" t="str">
        <f ca="1">TRIM(IF(AND(Q1125,P1125&gt;0),OFFSET(Taostats_CSV!$H$1,MATCH(K1125&amp;F$1,Taostats_CSV!$X:$X,0)-1,0),IF(LEN(Taostats_CSV!H1125)&gt;0,Taostats_CSV!H1125,Taostats_CSV!R1125)))</f>
        <v>0</v>
      </c>
      <c r="G1125" t="str">
        <f ca="1">IF(AND(Q1125,N1125=1),OFFSET(Taostats_CSV!$E$1,MATCH(K1125&amp;H$1,Taostats_CSV!$X:$X,0)-1,0),IF(Taostats_CSV!F1125="fee",Taostats_CSV!E1125,""))</f>
        <v/>
      </c>
      <c r="H1125" t="str">
        <f ca="1">IF(AND(Q1125,N1125=1),OFFSET(Taostats_CSV!$G$1,MATCH(K1125&amp;H$1,Taostats_CSV!$X:$X,0)-1,0),IF(Taostats_CSV!F1125="fee",Taostats_CSV!G1125,""))</f>
        <v/>
      </c>
      <c r="I1125" t="str">
        <f ca="1">IF(AND(LEN(K1125)=0,LEN(F1125)&gt;0),"Income",IF(AND(O1125&gt;0,P1125&gt;0,C1125&lt;&gt;E1125),"Trade",IF(AND(NOT(Q1125),Taostats_CSV!F1125="fee"),'READ ME'!$C$5,"")))</f>
        <v>Income</v>
      </c>
      <c r="J1125" t="str">
        <f ca="1">SUBSTITUTE(IF(LEN(I1125)=0,Taostats_CSV!F1125&amp;" "&amp;Taostats_CSV!J1125,IF(I1125="Cost","Extrinsic fee","")),"_"," ")</f>
        <v/>
      </c>
      <c r="K1125" t="str">
        <f>TRIM(IF(LEN(Taostats_CSV!I1125)&gt;0,Taostats_CSV!I1125,""))</f>
        <v/>
      </c>
      <c r="L1125" t="str">
        <f>IF(Taostats_CSV!E1125&lt;&gt;"TAO",IF(LEN(F1125)&gt;0,F1125,IF(LEN(D1125)&gt;0,D1125,0))*Taostats_CSV!P1125,"")</f>
        <v/>
      </c>
      <c r="M1125" t="str">
        <f t="shared" si="117"/>
        <v/>
      </c>
      <c r="N1125">
        <f>COUNTIF(Taostats_CSV!$X:$X,Taostats_CSV!$I1125&amp;N$1)</f>
        <v>0</v>
      </c>
      <c r="O1125">
        <f>COUNTIF(Taostats_CSV!$X:$X,Taostats_CSV!$I1125&amp;O$1)</f>
        <v>0</v>
      </c>
      <c r="P1125">
        <f>COUNTIF(Taostats_CSV!$X:$X,Taostats_CSV!$I1125&amp;P$1)</f>
        <v>0</v>
      </c>
      <c r="Q1125" t="b">
        <f t="shared" si="118"/>
        <v>0</v>
      </c>
      <c r="R1125" t="b">
        <f>IF(LEN(K1125)&gt;0,COUNTIF($K$3:K1125,K1125),FALSE)</f>
        <v>0</v>
      </c>
      <c r="S1125" t="b">
        <f>IF(Taostats_CSV!A1125=Taostats_CSV!$A$2,TRUE,Taostats_CSV!G1125+Taostats_CSV!H1125+Taostats_CSV!R1125=0)</f>
        <v>1</v>
      </c>
      <c r="T1125" t="b">
        <f t="shared" si="119"/>
        <v>0</v>
      </c>
      <c r="U1125" t="b" cm="1">
        <f t="array" aca="1" ref="U1125" ca="1">AND(T1125,OR(O1125-N1125&gt;1,P1125&gt;1,ISERROR(A1125:P1125)))</f>
        <v>0</v>
      </c>
      <c r="W1125" t="e">
        <f>MATCH(K1125&amp;$W$2,Taostats_CSV!$X$3:$X$1167,0)</f>
        <v>#N/A</v>
      </c>
      <c r="X1125" t="e">
        <f t="shared" ca="1" si="114"/>
        <v>#VALUE!</v>
      </c>
      <c r="Y1125">
        <f t="shared" ca="1" si="115"/>
        <v>0</v>
      </c>
      <c r="Z1125" t="e">
        <f t="shared" ca="1" si="116"/>
        <v>#VALUE!</v>
      </c>
    </row>
    <row r="1126" spans="1:26" hidden="1" x14ac:dyDescent="0.4">
      <c r="A1126" t="str">
        <f>MID(Taostats_CSV!C1126,6,2)&amp;"/"&amp;MID(Taostats_CSV!C1126,9,2)&amp;"/"&amp;LEFT(Taostats_CSV!C1126,4)&amp;" "&amp;MID(Taostats_CSV!C1126,12,8)</f>
        <v>11/14/2025 23:59:48</v>
      </c>
      <c r="C1126" t="str">
        <f ca="1">IF(Q1126,OFFSET(Taostats_CSV!$E$1,MATCH(K1126&amp;D$1,Taostats_CSV!$X:$X,0)-1,0),IF(Taostats_CSV!F1126="fee","",IF(VALUE(Taostats_CSV!G1126)&gt;0,Taostats_CSV!E1126,"")))</f>
        <v/>
      </c>
      <c r="D1126" t="str">
        <f ca="1">IF(Q1126,OFFSET(Taostats_CSV!$G$1,MATCH(K1126&amp;D$1,Taostats_CSV!$X:$X,0)-1,0),IF(Taostats_CSV!F1126="fee","",IF(VALUE(Taostats_CSV!G1126)&gt;0,Taostats_CSV!G1126,"")))</f>
        <v/>
      </c>
      <c r="E1126" t="str">
        <f ca="1">IF(AND(Q1126,P1126&gt;0),OFFSET(Taostats_CSV!$E$1,MATCH(K1126&amp;F$1,Taostats_CSV!$X:$X,0)-1,0),IF(LEN(F1126)&gt;0,Taostats_CSV!E1126,""))</f>
        <v>TAO</v>
      </c>
      <c r="F1126" t="str">
        <f ca="1">TRIM(IF(AND(Q1126,P1126&gt;0),OFFSET(Taostats_CSV!$H$1,MATCH(K1126&amp;F$1,Taostats_CSV!$X:$X,0)-1,0),IF(LEN(Taostats_CSV!H1126)&gt;0,Taostats_CSV!H1126,Taostats_CSV!R1126)))</f>
        <v>0</v>
      </c>
      <c r="G1126" t="str">
        <f ca="1">IF(AND(Q1126,N1126=1),OFFSET(Taostats_CSV!$E$1,MATCH(K1126&amp;H$1,Taostats_CSV!$X:$X,0)-1,0),IF(Taostats_CSV!F1126="fee",Taostats_CSV!E1126,""))</f>
        <v/>
      </c>
      <c r="H1126" t="str">
        <f ca="1">IF(AND(Q1126,N1126=1),OFFSET(Taostats_CSV!$G$1,MATCH(K1126&amp;H$1,Taostats_CSV!$X:$X,0)-1,0),IF(Taostats_CSV!F1126="fee",Taostats_CSV!G1126,""))</f>
        <v/>
      </c>
      <c r="I1126" t="str">
        <f ca="1">IF(AND(LEN(K1126)=0,LEN(F1126)&gt;0),"Income",IF(AND(O1126&gt;0,P1126&gt;0,C1126&lt;&gt;E1126),"Trade",IF(AND(NOT(Q1126),Taostats_CSV!F1126="fee"),'READ ME'!$C$5,"")))</f>
        <v>Income</v>
      </c>
      <c r="J1126" t="str">
        <f ca="1">SUBSTITUTE(IF(LEN(I1126)=0,Taostats_CSV!F1126&amp;" "&amp;Taostats_CSV!J1126,IF(I1126="Cost","Extrinsic fee","")),"_"," ")</f>
        <v/>
      </c>
      <c r="K1126" t="str">
        <f>TRIM(IF(LEN(Taostats_CSV!I1126)&gt;0,Taostats_CSV!I1126,""))</f>
        <v/>
      </c>
      <c r="L1126" t="str">
        <f>IF(Taostats_CSV!E1126&lt;&gt;"TAO",IF(LEN(F1126)&gt;0,F1126,IF(LEN(D1126)&gt;0,D1126,0))*Taostats_CSV!P1126,"")</f>
        <v/>
      </c>
      <c r="M1126" t="str">
        <f t="shared" si="117"/>
        <v/>
      </c>
      <c r="N1126">
        <f>COUNTIF(Taostats_CSV!$X:$X,Taostats_CSV!$I1126&amp;N$1)</f>
        <v>0</v>
      </c>
      <c r="O1126">
        <f>COUNTIF(Taostats_CSV!$X:$X,Taostats_CSV!$I1126&amp;O$1)</f>
        <v>0</v>
      </c>
      <c r="P1126">
        <f>COUNTIF(Taostats_CSV!$X:$X,Taostats_CSV!$I1126&amp;P$1)</f>
        <v>0</v>
      </c>
      <c r="Q1126" t="b">
        <f t="shared" si="118"/>
        <v>0</v>
      </c>
      <c r="R1126" t="b">
        <f>IF(LEN(K1126)&gt;0,COUNTIF($K$3:K1126,K1126),FALSE)</f>
        <v>0</v>
      </c>
      <c r="S1126" t="b">
        <f>IF(Taostats_CSV!A1126=Taostats_CSV!$A$2,TRUE,Taostats_CSV!G1126+Taostats_CSV!H1126+Taostats_CSV!R1126=0)</f>
        <v>1</v>
      </c>
      <c r="T1126" t="b">
        <f t="shared" si="119"/>
        <v>0</v>
      </c>
      <c r="U1126" t="b" cm="1">
        <f t="array" aca="1" ref="U1126" ca="1">AND(T1126,OR(O1126-N1126&gt;1,P1126&gt;1,ISERROR(A1126:P1126)))</f>
        <v>0</v>
      </c>
      <c r="W1126" t="e">
        <f>MATCH(K1126&amp;$W$2,Taostats_CSV!$X$3:$X$1167,0)</f>
        <v>#N/A</v>
      </c>
      <c r="X1126" t="e">
        <f t="shared" ca="1" si="114"/>
        <v>#VALUE!</v>
      </c>
      <c r="Y1126">
        <f t="shared" ca="1" si="115"/>
        <v>0</v>
      </c>
      <c r="Z1126" t="e">
        <f t="shared" ca="1" si="116"/>
        <v>#VALUE!</v>
      </c>
    </row>
    <row r="1127" spans="1:26" hidden="1" x14ac:dyDescent="0.4">
      <c r="A1127" t="str">
        <f>MID(Taostats_CSV!C1127,6,2)&amp;"/"&amp;MID(Taostats_CSV!C1127,9,2)&amp;"/"&amp;LEFT(Taostats_CSV!C1127,4)&amp;" "&amp;MID(Taostats_CSV!C1127,12,8)</f>
        <v>11/15/2025 23:59:48</v>
      </c>
      <c r="C1127" t="str">
        <f ca="1">IF(Q1127,OFFSET(Taostats_CSV!$E$1,MATCH(K1127&amp;D$1,Taostats_CSV!$X:$X,0)-1,0),IF(Taostats_CSV!F1127="fee","",IF(VALUE(Taostats_CSV!G1127)&gt;0,Taostats_CSV!E1127,"")))</f>
        <v/>
      </c>
      <c r="D1127" t="str">
        <f ca="1">IF(Q1127,OFFSET(Taostats_CSV!$G$1,MATCH(K1127&amp;D$1,Taostats_CSV!$X:$X,0)-1,0),IF(Taostats_CSV!F1127="fee","",IF(VALUE(Taostats_CSV!G1127)&gt;0,Taostats_CSV!G1127,"")))</f>
        <v/>
      </c>
      <c r="E1127" t="str">
        <f ca="1">IF(AND(Q1127,P1127&gt;0),OFFSET(Taostats_CSV!$E$1,MATCH(K1127&amp;F$1,Taostats_CSV!$X:$X,0)-1,0),IF(LEN(F1127)&gt;0,Taostats_CSV!E1127,""))</f>
        <v>TAO</v>
      </c>
      <c r="F1127" t="str">
        <f ca="1">TRIM(IF(AND(Q1127,P1127&gt;0),OFFSET(Taostats_CSV!$H$1,MATCH(K1127&amp;F$1,Taostats_CSV!$X:$X,0)-1,0),IF(LEN(Taostats_CSV!H1127)&gt;0,Taostats_CSV!H1127,Taostats_CSV!R1127)))</f>
        <v>0</v>
      </c>
      <c r="G1127" t="str">
        <f ca="1">IF(AND(Q1127,N1127=1),OFFSET(Taostats_CSV!$E$1,MATCH(K1127&amp;H$1,Taostats_CSV!$X:$X,0)-1,0),IF(Taostats_CSV!F1127="fee",Taostats_CSV!E1127,""))</f>
        <v/>
      </c>
      <c r="H1127" t="str">
        <f ca="1">IF(AND(Q1127,N1127=1),OFFSET(Taostats_CSV!$G$1,MATCH(K1127&amp;H$1,Taostats_CSV!$X:$X,0)-1,0),IF(Taostats_CSV!F1127="fee",Taostats_CSV!G1127,""))</f>
        <v/>
      </c>
      <c r="I1127" t="str">
        <f ca="1">IF(AND(LEN(K1127)=0,LEN(F1127)&gt;0),"Income",IF(AND(O1127&gt;0,P1127&gt;0,C1127&lt;&gt;E1127),"Trade",IF(AND(NOT(Q1127),Taostats_CSV!F1127="fee"),'READ ME'!$C$5,"")))</f>
        <v>Income</v>
      </c>
      <c r="J1127" t="str">
        <f ca="1">SUBSTITUTE(IF(LEN(I1127)=0,Taostats_CSV!F1127&amp;" "&amp;Taostats_CSV!J1127,IF(I1127="Cost","Extrinsic fee","")),"_"," ")</f>
        <v/>
      </c>
      <c r="K1127" t="str">
        <f>TRIM(IF(LEN(Taostats_CSV!I1127)&gt;0,Taostats_CSV!I1127,""))</f>
        <v/>
      </c>
      <c r="L1127" t="str">
        <f>IF(Taostats_CSV!E1127&lt;&gt;"TAO",IF(LEN(F1127)&gt;0,F1127,IF(LEN(D1127)&gt;0,D1127,0))*Taostats_CSV!P1127,"")</f>
        <v/>
      </c>
      <c r="M1127" t="str">
        <f t="shared" si="117"/>
        <v/>
      </c>
      <c r="N1127">
        <f>COUNTIF(Taostats_CSV!$X:$X,Taostats_CSV!$I1127&amp;N$1)</f>
        <v>0</v>
      </c>
      <c r="O1127">
        <f>COUNTIF(Taostats_CSV!$X:$X,Taostats_CSV!$I1127&amp;O$1)</f>
        <v>0</v>
      </c>
      <c r="P1127">
        <f>COUNTIF(Taostats_CSV!$X:$X,Taostats_CSV!$I1127&amp;P$1)</f>
        <v>0</v>
      </c>
      <c r="Q1127" t="b">
        <f t="shared" si="118"/>
        <v>0</v>
      </c>
      <c r="R1127" t="b">
        <f>IF(LEN(K1127)&gt;0,COUNTIF($K$3:K1127,K1127),FALSE)</f>
        <v>0</v>
      </c>
      <c r="S1127" t="b">
        <f>IF(Taostats_CSV!A1127=Taostats_CSV!$A$2,TRUE,Taostats_CSV!G1127+Taostats_CSV!H1127+Taostats_CSV!R1127=0)</f>
        <v>1</v>
      </c>
      <c r="T1127" t="b">
        <f t="shared" si="119"/>
        <v>0</v>
      </c>
      <c r="U1127" t="b" cm="1">
        <f t="array" aca="1" ref="U1127" ca="1">AND(T1127,OR(O1127-N1127&gt;1,P1127&gt;1,ISERROR(A1127:P1127)))</f>
        <v>0</v>
      </c>
      <c r="W1127" t="e">
        <f>MATCH(K1127&amp;$W$2,Taostats_CSV!$X$3:$X$1167,0)</f>
        <v>#N/A</v>
      </c>
      <c r="X1127" t="e">
        <f t="shared" ca="1" si="114"/>
        <v>#VALUE!</v>
      </c>
      <c r="Y1127">
        <f t="shared" ca="1" si="115"/>
        <v>0</v>
      </c>
      <c r="Z1127" t="e">
        <f t="shared" ca="1" si="116"/>
        <v>#VALUE!</v>
      </c>
    </row>
    <row r="1128" spans="1:26" hidden="1" x14ac:dyDescent="0.4">
      <c r="A1128" t="str">
        <f>MID(Taostats_CSV!C1128,6,2)&amp;"/"&amp;MID(Taostats_CSV!C1128,9,2)&amp;"/"&amp;LEFT(Taostats_CSV!C1128,4)&amp;" "&amp;MID(Taostats_CSV!C1128,12,8)</f>
        <v>11/16/2025 23:59:48</v>
      </c>
      <c r="C1128" t="str">
        <f ca="1">IF(Q1128,OFFSET(Taostats_CSV!$E$1,MATCH(K1128&amp;D$1,Taostats_CSV!$X:$X,0)-1,0),IF(Taostats_CSV!F1128="fee","",IF(VALUE(Taostats_CSV!G1128)&gt;0,Taostats_CSV!E1128,"")))</f>
        <v/>
      </c>
      <c r="D1128" t="str">
        <f ca="1">IF(Q1128,OFFSET(Taostats_CSV!$G$1,MATCH(K1128&amp;D$1,Taostats_CSV!$X:$X,0)-1,0),IF(Taostats_CSV!F1128="fee","",IF(VALUE(Taostats_CSV!G1128)&gt;0,Taostats_CSV!G1128,"")))</f>
        <v/>
      </c>
      <c r="E1128" t="str">
        <f ca="1">IF(AND(Q1128,P1128&gt;0),OFFSET(Taostats_CSV!$E$1,MATCH(K1128&amp;F$1,Taostats_CSV!$X:$X,0)-1,0),IF(LEN(F1128)&gt;0,Taostats_CSV!E1128,""))</f>
        <v>TAO</v>
      </c>
      <c r="F1128" t="str">
        <f ca="1">TRIM(IF(AND(Q1128,P1128&gt;0),OFFSET(Taostats_CSV!$H$1,MATCH(K1128&amp;F$1,Taostats_CSV!$X:$X,0)-1,0),IF(LEN(Taostats_CSV!H1128)&gt;0,Taostats_CSV!H1128,Taostats_CSV!R1128)))</f>
        <v>0</v>
      </c>
      <c r="G1128" t="str">
        <f ca="1">IF(AND(Q1128,N1128=1),OFFSET(Taostats_CSV!$E$1,MATCH(K1128&amp;H$1,Taostats_CSV!$X:$X,0)-1,0),IF(Taostats_CSV!F1128="fee",Taostats_CSV!E1128,""))</f>
        <v/>
      </c>
      <c r="H1128" t="str">
        <f ca="1">IF(AND(Q1128,N1128=1),OFFSET(Taostats_CSV!$G$1,MATCH(K1128&amp;H$1,Taostats_CSV!$X:$X,0)-1,0),IF(Taostats_CSV!F1128="fee",Taostats_CSV!G1128,""))</f>
        <v/>
      </c>
      <c r="I1128" t="str">
        <f ca="1">IF(AND(LEN(K1128)=0,LEN(F1128)&gt;0),"Income",IF(AND(O1128&gt;0,P1128&gt;0,C1128&lt;&gt;E1128),"Trade",IF(AND(NOT(Q1128),Taostats_CSV!F1128="fee"),'READ ME'!$C$5,"")))</f>
        <v>Income</v>
      </c>
      <c r="J1128" t="str">
        <f ca="1">SUBSTITUTE(IF(LEN(I1128)=0,Taostats_CSV!F1128&amp;" "&amp;Taostats_CSV!J1128,IF(I1128="Cost","Extrinsic fee","")),"_"," ")</f>
        <v/>
      </c>
      <c r="K1128" t="str">
        <f>TRIM(IF(LEN(Taostats_CSV!I1128)&gt;0,Taostats_CSV!I1128,""))</f>
        <v/>
      </c>
      <c r="L1128" t="str">
        <f>IF(Taostats_CSV!E1128&lt;&gt;"TAO",IF(LEN(F1128)&gt;0,F1128,IF(LEN(D1128)&gt;0,D1128,0))*Taostats_CSV!P1128,"")</f>
        <v/>
      </c>
      <c r="M1128" t="str">
        <f t="shared" si="117"/>
        <v/>
      </c>
      <c r="N1128">
        <f>COUNTIF(Taostats_CSV!$X:$X,Taostats_CSV!$I1128&amp;N$1)</f>
        <v>0</v>
      </c>
      <c r="O1128">
        <f>COUNTIF(Taostats_CSV!$X:$X,Taostats_CSV!$I1128&amp;O$1)</f>
        <v>0</v>
      </c>
      <c r="P1128">
        <f>COUNTIF(Taostats_CSV!$X:$X,Taostats_CSV!$I1128&amp;P$1)</f>
        <v>0</v>
      </c>
      <c r="Q1128" t="b">
        <f t="shared" si="118"/>
        <v>0</v>
      </c>
      <c r="R1128" t="b">
        <f>IF(LEN(K1128)&gt;0,COUNTIF($K$3:K1128,K1128),FALSE)</f>
        <v>0</v>
      </c>
      <c r="S1128" t="b">
        <f>IF(Taostats_CSV!A1128=Taostats_CSV!$A$2,TRUE,Taostats_CSV!G1128+Taostats_CSV!H1128+Taostats_CSV!R1128=0)</f>
        <v>1</v>
      </c>
      <c r="T1128" t="b">
        <f t="shared" si="119"/>
        <v>0</v>
      </c>
      <c r="U1128" t="b" cm="1">
        <f t="array" aca="1" ref="U1128" ca="1">AND(T1128,OR(O1128-N1128&gt;1,P1128&gt;1,ISERROR(A1128:P1128)))</f>
        <v>0</v>
      </c>
      <c r="W1128" t="e">
        <f>MATCH(K1128&amp;$W$2,Taostats_CSV!$X$3:$X$1167,0)</f>
        <v>#N/A</v>
      </c>
      <c r="X1128" t="e">
        <f t="shared" ca="1" si="114"/>
        <v>#VALUE!</v>
      </c>
      <c r="Y1128">
        <f t="shared" ca="1" si="115"/>
        <v>0</v>
      </c>
      <c r="Z1128" t="e">
        <f t="shared" ca="1" si="116"/>
        <v>#VALUE!</v>
      </c>
    </row>
    <row r="1129" spans="1:26" hidden="1" x14ac:dyDescent="0.4">
      <c r="A1129" t="str">
        <f>MID(Taostats_CSV!C1129,6,2)&amp;"/"&amp;MID(Taostats_CSV!C1129,9,2)&amp;"/"&amp;LEFT(Taostats_CSV!C1129,4)&amp;" "&amp;MID(Taostats_CSV!C1129,12,8)</f>
        <v>11/17/2025 23:59:48</v>
      </c>
      <c r="C1129" t="str">
        <f ca="1">IF(Q1129,OFFSET(Taostats_CSV!$E$1,MATCH(K1129&amp;D$1,Taostats_CSV!$X:$X,0)-1,0),IF(Taostats_CSV!F1129="fee","",IF(VALUE(Taostats_CSV!G1129)&gt;0,Taostats_CSV!E1129,"")))</f>
        <v/>
      </c>
      <c r="D1129" t="str">
        <f ca="1">IF(Q1129,OFFSET(Taostats_CSV!$G$1,MATCH(K1129&amp;D$1,Taostats_CSV!$X:$X,0)-1,0),IF(Taostats_CSV!F1129="fee","",IF(VALUE(Taostats_CSV!G1129)&gt;0,Taostats_CSV!G1129,"")))</f>
        <v/>
      </c>
      <c r="E1129" t="str">
        <f ca="1">IF(AND(Q1129,P1129&gt;0),OFFSET(Taostats_CSV!$E$1,MATCH(K1129&amp;F$1,Taostats_CSV!$X:$X,0)-1,0),IF(LEN(F1129)&gt;0,Taostats_CSV!E1129,""))</f>
        <v>TAO</v>
      </c>
      <c r="F1129" t="str">
        <f ca="1">TRIM(IF(AND(Q1129,P1129&gt;0),OFFSET(Taostats_CSV!$H$1,MATCH(K1129&amp;F$1,Taostats_CSV!$X:$X,0)-1,0),IF(LEN(Taostats_CSV!H1129)&gt;0,Taostats_CSV!H1129,Taostats_CSV!R1129)))</f>
        <v>0</v>
      </c>
      <c r="G1129" t="str">
        <f ca="1">IF(AND(Q1129,N1129=1),OFFSET(Taostats_CSV!$E$1,MATCH(K1129&amp;H$1,Taostats_CSV!$X:$X,0)-1,0),IF(Taostats_CSV!F1129="fee",Taostats_CSV!E1129,""))</f>
        <v/>
      </c>
      <c r="H1129" t="str">
        <f ca="1">IF(AND(Q1129,N1129=1),OFFSET(Taostats_CSV!$G$1,MATCH(K1129&amp;H$1,Taostats_CSV!$X:$X,0)-1,0),IF(Taostats_CSV!F1129="fee",Taostats_CSV!G1129,""))</f>
        <v/>
      </c>
      <c r="I1129" t="str">
        <f ca="1">IF(AND(LEN(K1129)=0,LEN(F1129)&gt;0),"Income",IF(AND(O1129&gt;0,P1129&gt;0,C1129&lt;&gt;E1129),"Trade",IF(AND(NOT(Q1129),Taostats_CSV!F1129="fee"),'READ ME'!$C$5,"")))</f>
        <v>Income</v>
      </c>
      <c r="J1129" t="str">
        <f ca="1">SUBSTITUTE(IF(LEN(I1129)=0,Taostats_CSV!F1129&amp;" "&amp;Taostats_CSV!J1129,IF(I1129="Cost","Extrinsic fee","")),"_"," ")</f>
        <v/>
      </c>
      <c r="K1129" t="str">
        <f>TRIM(IF(LEN(Taostats_CSV!I1129)&gt;0,Taostats_CSV!I1129,""))</f>
        <v/>
      </c>
      <c r="L1129" t="str">
        <f>IF(Taostats_CSV!E1129&lt;&gt;"TAO",IF(LEN(F1129)&gt;0,F1129,IF(LEN(D1129)&gt;0,D1129,0))*Taostats_CSV!P1129,"")</f>
        <v/>
      </c>
      <c r="M1129" t="str">
        <f t="shared" si="117"/>
        <v/>
      </c>
      <c r="N1129">
        <f>COUNTIF(Taostats_CSV!$X:$X,Taostats_CSV!$I1129&amp;N$1)</f>
        <v>0</v>
      </c>
      <c r="O1129">
        <f>COUNTIF(Taostats_CSV!$X:$X,Taostats_CSV!$I1129&amp;O$1)</f>
        <v>0</v>
      </c>
      <c r="P1129">
        <f>COUNTIF(Taostats_CSV!$X:$X,Taostats_CSV!$I1129&amp;P$1)</f>
        <v>0</v>
      </c>
      <c r="Q1129" t="b">
        <f t="shared" si="118"/>
        <v>0</v>
      </c>
      <c r="R1129" t="b">
        <f>IF(LEN(K1129)&gt;0,COUNTIF($K$3:K1129,K1129),FALSE)</f>
        <v>0</v>
      </c>
      <c r="S1129" t="b">
        <f>IF(Taostats_CSV!A1129=Taostats_CSV!$A$2,TRUE,Taostats_CSV!G1129+Taostats_CSV!H1129+Taostats_CSV!R1129=0)</f>
        <v>1</v>
      </c>
      <c r="T1129" t="b">
        <f t="shared" si="119"/>
        <v>0</v>
      </c>
      <c r="U1129" t="b" cm="1">
        <f t="array" aca="1" ref="U1129" ca="1">AND(T1129,OR(O1129-N1129&gt;1,P1129&gt;1,ISERROR(A1129:P1129)))</f>
        <v>0</v>
      </c>
      <c r="W1129" t="e">
        <f>MATCH(K1129&amp;$W$2,Taostats_CSV!$X$3:$X$1167,0)</f>
        <v>#N/A</v>
      </c>
      <c r="X1129" t="e">
        <f t="shared" ca="1" si="114"/>
        <v>#VALUE!</v>
      </c>
      <c r="Y1129">
        <f t="shared" ca="1" si="115"/>
        <v>0</v>
      </c>
      <c r="Z1129" t="e">
        <f t="shared" ca="1" si="116"/>
        <v>#VALUE!</v>
      </c>
    </row>
    <row r="1130" spans="1:26" hidden="1" x14ac:dyDescent="0.4">
      <c r="A1130" t="str">
        <f>MID(Taostats_CSV!C1130,6,2)&amp;"/"&amp;MID(Taostats_CSV!C1130,9,2)&amp;"/"&amp;LEFT(Taostats_CSV!C1130,4)&amp;" "&amp;MID(Taostats_CSV!C1130,12,8)</f>
        <v>11/18/2025 23:59:48</v>
      </c>
      <c r="C1130" t="str">
        <f ca="1">IF(Q1130,OFFSET(Taostats_CSV!$E$1,MATCH(K1130&amp;D$1,Taostats_CSV!$X:$X,0)-1,0),IF(Taostats_CSV!F1130="fee","",IF(VALUE(Taostats_CSV!G1130)&gt;0,Taostats_CSV!E1130,"")))</f>
        <v/>
      </c>
      <c r="D1130" t="str">
        <f ca="1">IF(Q1130,OFFSET(Taostats_CSV!$G$1,MATCH(K1130&amp;D$1,Taostats_CSV!$X:$X,0)-1,0),IF(Taostats_CSV!F1130="fee","",IF(VALUE(Taostats_CSV!G1130)&gt;0,Taostats_CSV!G1130,"")))</f>
        <v/>
      </c>
      <c r="E1130" t="str">
        <f ca="1">IF(AND(Q1130,P1130&gt;0),OFFSET(Taostats_CSV!$E$1,MATCH(K1130&amp;F$1,Taostats_CSV!$X:$X,0)-1,0),IF(LEN(F1130)&gt;0,Taostats_CSV!E1130,""))</f>
        <v>TAO</v>
      </c>
      <c r="F1130" t="str">
        <f ca="1">TRIM(IF(AND(Q1130,P1130&gt;0),OFFSET(Taostats_CSV!$H$1,MATCH(K1130&amp;F$1,Taostats_CSV!$X:$X,0)-1,0),IF(LEN(Taostats_CSV!H1130)&gt;0,Taostats_CSV!H1130,Taostats_CSV!R1130)))</f>
        <v>0</v>
      </c>
      <c r="G1130" t="str">
        <f ca="1">IF(AND(Q1130,N1130=1),OFFSET(Taostats_CSV!$E$1,MATCH(K1130&amp;H$1,Taostats_CSV!$X:$X,0)-1,0),IF(Taostats_CSV!F1130="fee",Taostats_CSV!E1130,""))</f>
        <v/>
      </c>
      <c r="H1130" t="str">
        <f ca="1">IF(AND(Q1130,N1130=1),OFFSET(Taostats_CSV!$G$1,MATCH(K1130&amp;H$1,Taostats_CSV!$X:$X,0)-1,0),IF(Taostats_CSV!F1130="fee",Taostats_CSV!G1130,""))</f>
        <v/>
      </c>
      <c r="I1130" t="str">
        <f ca="1">IF(AND(LEN(K1130)=0,LEN(F1130)&gt;0),"Income",IF(AND(O1130&gt;0,P1130&gt;0,C1130&lt;&gt;E1130),"Trade",IF(AND(NOT(Q1130),Taostats_CSV!F1130="fee"),'READ ME'!$C$5,"")))</f>
        <v>Income</v>
      </c>
      <c r="J1130" t="str">
        <f ca="1">SUBSTITUTE(IF(LEN(I1130)=0,Taostats_CSV!F1130&amp;" "&amp;Taostats_CSV!J1130,IF(I1130="Cost","Extrinsic fee","")),"_"," ")</f>
        <v/>
      </c>
      <c r="K1130" t="str">
        <f>TRIM(IF(LEN(Taostats_CSV!I1130)&gt;0,Taostats_CSV!I1130,""))</f>
        <v/>
      </c>
      <c r="L1130" t="str">
        <f>IF(Taostats_CSV!E1130&lt;&gt;"TAO",IF(LEN(F1130)&gt;0,F1130,IF(LEN(D1130)&gt;0,D1130,0))*Taostats_CSV!P1130,"")</f>
        <v/>
      </c>
      <c r="M1130" t="str">
        <f t="shared" si="117"/>
        <v/>
      </c>
      <c r="N1130">
        <f>COUNTIF(Taostats_CSV!$X:$X,Taostats_CSV!$I1130&amp;N$1)</f>
        <v>0</v>
      </c>
      <c r="O1130">
        <f>COUNTIF(Taostats_CSV!$X:$X,Taostats_CSV!$I1130&amp;O$1)</f>
        <v>0</v>
      </c>
      <c r="P1130">
        <f>COUNTIF(Taostats_CSV!$X:$X,Taostats_CSV!$I1130&amp;P$1)</f>
        <v>0</v>
      </c>
      <c r="Q1130" t="b">
        <f t="shared" si="118"/>
        <v>0</v>
      </c>
      <c r="R1130" t="b">
        <f>IF(LEN(K1130)&gt;0,COUNTIF($K$3:K1130,K1130),FALSE)</f>
        <v>0</v>
      </c>
      <c r="S1130" t="b">
        <f>IF(Taostats_CSV!A1130=Taostats_CSV!$A$2,TRUE,Taostats_CSV!G1130+Taostats_CSV!H1130+Taostats_CSV!R1130=0)</f>
        <v>1</v>
      </c>
      <c r="T1130" t="b">
        <f t="shared" si="119"/>
        <v>0</v>
      </c>
      <c r="U1130" t="b" cm="1">
        <f t="array" aca="1" ref="U1130" ca="1">AND(T1130,OR(O1130-N1130&gt;1,P1130&gt;1,ISERROR(A1130:P1130)))</f>
        <v>0</v>
      </c>
      <c r="W1130" t="e">
        <f>MATCH(K1130&amp;$W$2,Taostats_CSV!$X$3:$X$1167,0)</f>
        <v>#N/A</v>
      </c>
      <c r="X1130" t="e">
        <f t="shared" ca="1" si="114"/>
        <v>#VALUE!</v>
      </c>
      <c r="Y1130">
        <f t="shared" ca="1" si="115"/>
        <v>0</v>
      </c>
      <c r="Z1130" t="e">
        <f t="shared" ca="1" si="116"/>
        <v>#VALUE!</v>
      </c>
    </row>
    <row r="1131" spans="1:26" hidden="1" x14ac:dyDescent="0.4">
      <c r="A1131" t="str">
        <f>MID(Taostats_CSV!C1131,6,2)&amp;"/"&amp;MID(Taostats_CSV!C1131,9,2)&amp;"/"&amp;LEFT(Taostats_CSV!C1131,4)&amp;" "&amp;MID(Taostats_CSV!C1131,12,8)</f>
        <v>11/19/2025 23:59:48</v>
      </c>
      <c r="C1131" t="str">
        <f ca="1">IF(Q1131,OFFSET(Taostats_CSV!$E$1,MATCH(K1131&amp;D$1,Taostats_CSV!$X:$X,0)-1,0),IF(Taostats_CSV!F1131="fee","",IF(VALUE(Taostats_CSV!G1131)&gt;0,Taostats_CSV!E1131,"")))</f>
        <v/>
      </c>
      <c r="D1131" t="str">
        <f ca="1">IF(Q1131,OFFSET(Taostats_CSV!$G$1,MATCH(K1131&amp;D$1,Taostats_CSV!$X:$X,0)-1,0),IF(Taostats_CSV!F1131="fee","",IF(VALUE(Taostats_CSV!G1131)&gt;0,Taostats_CSV!G1131,"")))</f>
        <v/>
      </c>
      <c r="E1131" t="str">
        <f ca="1">IF(AND(Q1131,P1131&gt;0),OFFSET(Taostats_CSV!$E$1,MATCH(K1131&amp;F$1,Taostats_CSV!$X:$X,0)-1,0),IF(LEN(F1131)&gt;0,Taostats_CSV!E1131,""))</f>
        <v>TAO</v>
      </c>
      <c r="F1131" t="str">
        <f ca="1">TRIM(IF(AND(Q1131,P1131&gt;0),OFFSET(Taostats_CSV!$H$1,MATCH(K1131&amp;F$1,Taostats_CSV!$X:$X,0)-1,0),IF(LEN(Taostats_CSV!H1131)&gt;0,Taostats_CSV!H1131,Taostats_CSV!R1131)))</f>
        <v>0</v>
      </c>
      <c r="G1131" t="str">
        <f ca="1">IF(AND(Q1131,N1131=1),OFFSET(Taostats_CSV!$E$1,MATCH(K1131&amp;H$1,Taostats_CSV!$X:$X,0)-1,0),IF(Taostats_CSV!F1131="fee",Taostats_CSV!E1131,""))</f>
        <v/>
      </c>
      <c r="H1131" t="str">
        <f ca="1">IF(AND(Q1131,N1131=1),OFFSET(Taostats_CSV!$G$1,MATCH(K1131&amp;H$1,Taostats_CSV!$X:$X,0)-1,0),IF(Taostats_CSV!F1131="fee",Taostats_CSV!G1131,""))</f>
        <v/>
      </c>
      <c r="I1131" t="str">
        <f ca="1">IF(AND(LEN(K1131)=0,LEN(F1131)&gt;0),"Income",IF(AND(O1131&gt;0,P1131&gt;0,C1131&lt;&gt;E1131),"Trade",IF(AND(NOT(Q1131),Taostats_CSV!F1131="fee"),'READ ME'!$C$5,"")))</f>
        <v>Income</v>
      </c>
      <c r="J1131" t="str">
        <f ca="1">SUBSTITUTE(IF(LEN(I1131)=0,Taostats_CSV!F1131&amp;" "&amp;Taostats_CSV!J1131,IF(I1131="Cost","Extrinsic fee","")),"_"," ")</f>
        <v/>
      </c>
      <c r="K1131" t="str">
        <f>TRIM(IF(LEN(Taostats_CSV!I1131)&gt;0,Taostats_CSV!I1131,""))</f>
        <v/>
      </c>
      <c r="L1131" t="str">
        <f>IF(Taostats_CSV!E1131&lt;&gt;"TAO",IF(LEN(F1131)&gt;0,F1131,IF(LEN(D1131)&gt;0,D1131,0))*Taostats_CSV!P1131,"")</f>
        <v/>
      </c>
      <c r="M1131" t="str">
        <f t="shared" si="117"/>
        <v/>
      </c>
      <c r="N1131">
        <f>COUNTIF(Taostats_CSV!$X:$X,Taostats_CSV!$I1131&amp;N$1)</f>
        <v>0</v>
      </c>
      <c r="O1131">
        <f>COUNTIF(Taostats_CSV!$X:$X,Taostats_CSV!$I1131&amp;O$1)</f>
        <v>0</v>
      </c>
      <c r="P1131">
        <f>COUNTIF(Taostats_CSV!$X:$X,Taostats_CSV!$I1131&amp;P$1)</f>
        <v>0</v>
      </c>
      <c r="Q1131" t="b">
        <f t="shared" si="118"/>
        <v>0</v>
      </c>
      <c r="R1131" t="b">
        <f>IF(LEN(K1131)&gt;0,COUNTIF($K$3:K1131,K1131),FALSE)</f>
        <v>0</v>
      </c>
      <c r="S1131" t="b">
        <f>IF(Taostats_CSV!A1131=Taostats_CSV!$A$2,TRUE,Taostats_CSV!G1131+Taostats_CSV!H1131+Taostats_CSV!R1131=0)</f>
        <v>1</v>
      </c>
      <c r="T1131" t="b">
        <f t="shared" si="119"/>
        <v>0</v>
      </c>
      <c r="U1131" t="b" cm="1">
        <f t="array" aca="1" ref="U1131" ca="1">AND(T1131,OR(O1131-N1131&gt;1,P1131&gt;1,ISERROR(A1131:P1131)))</f>
        <v>0</v>
      </c>
      <c r="W1131" t="e">
        <f>MATCH(K1131&amp;$W$2,Taostats_CSV!$X$3:$X$1167,0)</f>
        <v>#N/A</v>
      </c>
      <c r="X1131" t="e">
        <f t="shared" ca="1" si="114"/>
        <v>#VALUE!</v>
      </c>
      <c r="Y1131">
        <f t="shared" ca="1" si="115"/>
        <v>0</v>
      </c>
      <c r="Z1131" t="e">
        <f t="shared" ca="1" si="116"/>
        <v>#VALUE!</v>
      </c>
    </row>
    <row r="1132" spans="1:26" hidden="1" x14ac:dyDescent="0.4">
      <c r="A1132" t="str">
        <f>MID(Taostats_CSV!C1132,6,2)&amp;"/"&amp;MID(Taostats_CSV!C1132,9,2)&amp;"/"&amp;LEFT(Taostats_CSV!C1132,4)&amp;" "&amp;MID(Taostats_CSV!C1132,12,8)</f>
        <v>11/20/2025 23:59:48</v>
      </c>
      <c r="C1132" t="str">
        <f ca="1">IF(Q1132,OFFSET(Taostats_CSV!$E$1,MATCH(K1132&amp;D$1,Taostats_CSV!$X:$X,0)-1,0),IF(Taostats_CSV!F1132="fee","",IF(VALUE(Taostats_CSV!G1132)&gt;0,Taostats_CSV!E1132,"")))</f>
        <v/>
      </c>
      <c r="D1132" t="str">
        <f ca="1">IF(Q1132,OFFSET(Taostats_CSV!$G$1,MATCH(K1132&amp;D$1,Taostats_CSV!$X:$X,0)-1,0),IF(Taostats_CSV!F1132="fee","",IF(VALUE(Taostats_CSV!G1132)&gt;0,Taostats_CSV!G1132,"")))</f>
        <v/>
      </c>
      <c r="E1132" t="str">
        <f ca="1">IF(AND(Q1132,P1132&gt;0),OFFSET(Taostats_CSV!$E$1,MATCH(K1132&amp;F$1,Taostats_CSV!$X:$X,0)-1,0),IF(LEN(F1132)&gt;0,Taostats_CSV!E1132,""))</f>
        <v>TAO</v>
      </c>
      <c r="F1132" t="str">
        <f ca="1">TRIM(IF(AND(Q1132,P1132&gt;0),OFFSET(Taostats_CSV!$H$1,MATCH(K1132&amp;F$1,Taostats_CSV!$X:$X,0)-1,0),IF(LEN(Taostats_CSV!H1132)&gt;0,Taostats_CSV!H1132,Taostats_CSV!R1132)))</f>
        <v>0</v>
      </c>
      <c r="G1132" t="str">
        <f ca="1">IF(AND(Q1132,N1132=1),OFFSET(Taostats_CSV!$E$1,MATCH(K1132&amp;H$1,Taostats_CSV!$X:$X,0)-1,0),IF(Taostats_CSV!F1132="fee",Taostats_CSV!E1132,""))</f>
        <v/>
      </c>
      <c r="H1132" t="str">
        <f ca="1">IF(AND(Q1132,N1132=1),OFFSET(Taostats_CSV!$G$1,MATCH(K1132&amp;H$1,Taostats_CSV!$X:$X,0)-1,0),IF(Taostats_CSV!F1132="fee",Taostats_CSV!G1132,""))</f>
        <v/>
      </c>
      <c r="I1132" t="str">
        <f ca="1">IF(AND(LEN(K1132)=0,LEN(F1132)&gt;0),"Income",IF(AND(O1132&gt;0,P1132&gt;0,C1132&lt;&gt;E1132),"Trade",IF(AND(NOT(Q1132),Taostats_CSV!F1132="fee"),'READ ME'!$C$5,"")))</f>
        <v>Income</v>
      </c>
      <c r="J1132" t="str">
        <f ca="1">SUBSTITUTE(IF(LEN(I1132)=0,Taostats_CSV!F1132&amp;" "&amp;Taostats_CSV!J1132,IF(I1132="Cost","Extrinsic fee","")),"_"," ")</f>
        <v/>
      </c>
      <c r="K1132" t="str">
        <f>TRIM(IF(LEN(Taostats_CSV!I1132)&gt;0,Taostats_CSV!I1132,""))</f>
        <v/>
      </c>
      <c r="L1132" t="str">
        <f>IF(Taostats_CSV!E1132&lt;&gt;"TAO",IF(LEN(F1132)&gt;0,F1132,IF(LEN(D1132)&gt;0,D1132,0))*Taostats_CSV!P1132,"")</f>
        <v/>
      </c>
      <c r="M1132" t="str">
        <f t="shared" si="117"/>
        <v/>
      </c>
      <c r="N1132">
        <f>COUNTIF(Taostats_CSV!$X:$X,Taostats_CSV!$I1132&amp;N$1)</f>
        <v>0</v>
      </c>
      <c r="O1132">
        <f>COUNTIF(Taostats_CSV!$X:$X,Taostats_CSV!$I1132&amp;O$1)</f>
        <v>0</v>
      </c>
      <c r="P1132">
        <f>COUNTIF(Taostats_CSV!$X:$X,Taostats_CSV!$I1132&amp;P$1)</f>
        <v>0</v>
      </c>
      <c r="Q1132" t="b">
        <f t="shared" si="118"/>
        <v>0</v>
      </c>
      <c r="R1132" t="b">
        <f>IF(LEN(K1132)&gt;0,COUNTIF($K$3:K1132,K1132),FALSE)</f>
        <v>0</v>
      </c>
      <c r="S1132" t="b">
        <f>IF(Taostats_CSV!A1132=Taostats_CSV!$A$2,TRUE,Taostats_CSV!G1132+Taostats_CSV!H1132+Taostats_CSV!R1132=0)</f>
        <v>1</v>
      </c>
      <c r="T1132" t="b">
        <f t="shared" si="119"/>
        <v>0</v>
      </c>
      <c r="U1132" t="b" cm="1">
        <f t="array" aca="1" ref="U1132" ca="1">AND(T1132,OR(O1132-N1132&gt;1,P1132&gt;1,ISERROR(A1132:P1132)))</f>
        <v>0</v>
      </c>
      <c r="W1132" t="e">
        <f>MATCH(K1132&amp;$W$2,Taostats_CSV!$X$3:$X$1167,0)</f>
        <v>#N/A</v>
      </c>
      <c r="X1132" t="e">
        <f t="shared" ca="1" si="114"/>
        <v>#VALUE!</v>
      </c>
      <c r="Y1132">
        <f t="shared" ca="1" si="115"/>
        <v>0</v>
      </c>
      <c r="Z1132" t="e">
        <f t="shared" ca="1" si="116"/>
        <v>#VALUE!</v>
      </c>
    </row>
    <row r="1133" spans="1:26" hidden="1" x14ac:dyDescent="0.4">
      <c r="A1133" t="str">
        <f>MID(Taostats_CSV!C1133,6,2)&amp;"/"&amp;MID(Taostats_CSV!C1133,9,2)&amp;"/"&amp;LEFT(Taostats_CSV!C1133,4)&amp;" "&amp;MID(Taostats_CSV!C1133,12,8)</f>
        <v>11/21/2025 23:59:48</v>
      </c>
      <c r="C1133" t="str">
        <f ca="1">IF(Q1133,OFFSET(Taostats_CSV!$E$1,MATCH(K1133&amp;D$1,Taostats_CSV!$X:$X,0)-1,0),IF(Taostats_CSV!F1133="fee","",IF(VALUE(Taostats_CSV!G1133)&gt;0,Taostats_CSV!E1133,"")))</f>
        <v/>
      </c>
      <c r="D1133" t="str">
        <f ca="1">IF(Q1133,OFFSET(Taostats_CSV!$G$1,MATCH(K1133&amp;D$1,Taostats_CSV!$X:$X,0)-1,0),IF(Taostats_CSV!F1133="fee","",IF(VALUE(Taostats_CSV!G1133)&gt;0,Taostats_CSV!G1133,"")))</f>
        <v/>
      </c>
      <c r="E1133" t="str">
        <f ca="1">IF(AND(Q1133,P1133&gt;0),OFFSET(Taostats_CSV!$E$1,MATCH(K1133&amp;F$1,Taostats_CSV!$X:$X,0)-1,0),IF(LEN(F1133)&gt;0,Taostats_CSV!E1133,""))</f>
        <v>TAO</v>
      </c>
      <c r="F1133" t="str">
        <f ca="1">TRIM(IF(AND(Q1133,P1133&gt;0),OFFSET(Taostats_CSV!$H$1,MATCH(K1133&amp;F$1,Taostats_CSV!$X:$X,0)-1,0),IF(LEN(Taostats_CSV!H1133)&gt;0,Taostats_CSV!H1133,Taostats_CSV!R1133)))</f>
        <v>0</v>
      </c>
      <c r="G1133" t="str">
        <f ca="1">IF(AND(Q1133,N1133=1),OFFSET(Taostats_CSV!$E$1,MATCH(K1133&amp;H$1,Taostats_CSV!$X:$X,0)-1,0),IF(Taostats_CSV!F1133="fee",Taostats_CSV!E1133,""))</f>
        <v/>
      </c>
      <c r="H1133" t="str">
        <f ca="1">IF(AND(Q1133,N1133=1),OFFSET(Taostats_CSV!$G$1,MATCH(K1133&amp;H$1,Taostats_CSV!$X:$X,0)-1,0),IF(Taostats_CSV!F1133="fee",Taostats_CSV!G1133,""))</f>
        <v/>
      </c>
      <c r="I1133" t="str">
        <f ca="1">IF(AND(LEN(K1133)=0,LEN(F1133)&gt;0),"Income",IF(AND(O1133&gt;0,P1133&gt;0,C1133&lt;&gt;E1133),"Trade",IF(AND(NOT(Q1133),Taostats_CSV!F1133="fee"),'READ ME'!$C$5,"")))</f>
        <v>Income</v>
      </c>
      <c r="J1133" t="str">
        <f ca="1">SUBSTITUTE(IF(LEN(I1133)=0,Taostats_CSV!F1133&amp;" "&amp;Taostats_CSV!J1133,IF(I1133="Cost","Extrinsic fee","")),"_"," ")</f>
        <v/>
      </c>
      <c r="K1133" t="str">
        <f>TRIM(IF(LEN(Taostats_CSV!I1133)&gt;0,Taostats_CSV!I1133,""))</f>
        <v/>
      </c>
      <c r="L1133" t="str">
        <f>IF(Taostats_CSV!E1133&lt;&gt;"TAO",IF(LEN(F1133)&gt;0,F1133,IF(LEN(D1133)&gt;0,D1133,0))*Taostats_CSV!P1133,"")</f>
        <v/>
      </c>
      <c r="M1133" t="str">
        <f t="shared" si="117"/>
        <v/>
      </c>
      <c r="N1133">
        <f>COUNTIF(Taostats_CSV!$X:$X,Taostats_CSV!$I1133&amp;N$1)</f>
        <v>0</v>
      </c>
      <c r="O1133">
        <f>COUNTIF(Taostats_CSV!$X:$X,Taostats_CSV!$I1133&amp;O$1)</f>
        <v>0</v>
      </c>
      <c r="P1133">
        <f>COUNTIF(Taostats_CSV!$X:$X,Taostats_CSV!$I1133&amp;P$1)</f>
        <v>0</v>
      </c>
      <c r="Q1133" t="b">
        <f t="shared" si="118"/>
        <v>0</v>
      </c>
      <c r="R1133" t="b">
        <f>IF(LEN(K1133)&gt;0,COUNTIF($K$3:K1133,K1133),FALSE)</f>
        <v>0</v>
      </c>
      <c r="S1133" t="b">
        <f>IF(Taostats_CSV!A1133=Taostats_CSV!$A$2,TRUE,Taostats_CSV!G1133+Taostats_CSV!H1133+Taostats_CSV!R1133=0)</f>
        <v>1</v>
      </c>
      <c r="T1133" t="b">
        <f t="shared" si="119"/>
        <v>0</v>
      </c>
      <c r="U1133" t="b" cm="1">
        <f t="array" aca="1" ref="U1133" ca="1">AND(T1133,OR(O1133-N1133&gt;1,P1133&gt;1,ISERROR(A1133:P1133)))</f>
        <v>0</v>
      </c>
      <c r="W1133" t="e">
        <f>MATCH(K1133&amp;$W$2,Taostats_CSV!$X$3:$X$1167,0)</f>
        <v>#N/A</v>
      </c>
      <c r="X1133" t="e">
        <f t="shared" ca="1" si="114"/>
        <v>#VALUE!</v>
      </c>
      <c r="Y1133">
        <f t="shared" ca="1" si="115"/>
        <v>0</v>
      </c>
      <c r="Z1133" t="e">
        <f t="shared" ca="1" si="116"/>
        <v>#VALUE!</v>
      </c>
    </row>
    <row r="1134" spans="1:26" hidden="1" x14ac:dyDescent="0.4">
      <c r="A1134" t="str">
        <f>MID(Taostats_CSV!C1134,6,2)&amp;"/"&amp;MID(Taostats_CSV!C1134,9,2)&amp;"/"&amp;LEFT(Taostats_CSV!C1134,4)&amp;" "&amp;MID(Taostats_CSV!C1134,12,8)</f>
        <v>11/22/2025 23:59:48</v>
      </c>
      <c r="C1134" t="str">
        <f ca="1">IF(Q1134,OFFSET(Taostats_CSV!$E$1,MATCH(K1134&amp;D$1,Taostats_CSV!$X:$X,0)-1,0),IF(Taostats_CSV!F1134="fee","",IF(VALUE(Taostats_CSV!G1134)&gt;0,Taostats_CSV!E1134,"")))</f>
        <v/>
      </c>
      <c r="D1134" t="str">
        <f ca="1">IF(Q1134,OFFSET(Taostats_CSV!$G$1,MATCH(K1134&amp;D$1,Taostats_CSV!$X:$X,0)-1,0),IF(Taostats_CSV!F1134="fee","",IF(VALUE(Taostats_CSV!G1134)&gt;0,Taostats_CSV!G1134,"")))</f>
        <v/>
      </c>
      <c r="E1134" t="str">
        <f ca="1">IF(AND(Q1134,P1134&gt;0),OFFSET(Taostats_CSV!$E$1,MATCH(K1134&amp;F$1,Taostats_CSV!$X:$X,0)-1,0),IF(LEN(F1134)&gt;0,Taostats_CSV!E1134,""))</f>
        <v>TAO</v>
      </c>
      <c r="F1134" t="str">
        <f ca="1">TRIM(IF(AND(Q1134,P1134&gt;0),OFFSET(Taostats_CSV!$H$1,MATCH(K1134&amp;F$1,Taostats_CSV!$X:$X,0)-1,0),IF(LEN(Taostats_CSV!H1134)&gt;0,Taostats_CSV!H1134,Taostats_CSV!R1134)))</f>
        <v>0</v>
      </c>
      <c r="G1134" t="str">
        <f ca="1">IF(AND(Q1134,N1134=1),OFFSET(Taostats_CSV!$E$1,MATCH(K1134&amp;H$1,Taostats_CSV!$X:$X,0)-1,0),IF(Taostats_CSV!F1134="fee",Taostats_CSV!E1134,""))</f>
        <v/>
      </c>
      <c r="H1134" t="str">
        <f ca="1">IF(AND(Q1134,N1134=1),OFFSET(Taostats_CSV!$G$1,MATCH(K1134&amp;H$1,Taostats_CSV!$X:$X,0)-1,0),IF(Taostats_CSV!F1134="fee",Taostats_CSV!G1134,""))</f>
        <v/>
      </c>
      <c r="I1134" t="str">
        <f ca="1">IF(AND(LEN(K1134)=0,LEN(F1134)&gt;0),"Income",IF(AND(O1134&gt;0,P1134&gt;0,C1134&lt;&gt;E1134),"Trade",IF(AND(NOT(Q1134),Taostats_CSV!F1134="fee"),'READ ME'!$C$5,"")))</f>
        <v>Income</v>
      </c>
      <c r="J1134" t="str">
        <f ca="1">SUBSTITUTE(IF(LEN(I1134)=0,Taostats_CSV!F1134&amp;" "&amp;Taostats_CSV!J1134,IF(I1134="Cost","Extrinsic fee","")),"_"," ")</f>
        <v/>
      </c>
      <c r="K1134" t="str">
        <f>TRIM(IF(LEN(Taostats_CSV!I1134)&gt;0,Taostats_CSV!I1134,""))</f>
        <v/>
      </c>
      <c r="L1134" t="str">
        <f>IF(Taostats_CSV!E1134&lt;&gt;"TAO",IF(LEN(F1134)&gt;0,F1134,IF(LEN(D1134)&gt;0,D1134,0))*Taostats_CSV!P1134,"")</f>
        <v/>
      </c>
      <c r="M1134" t="str">
        <f t="shared" si="117"/>
        <v/>
      </c>
      <c r="N1134">
        <f>COUNTIF(Taostats_CSV!$X:$X,Taostats_CSV!$I1134&amp;N$1)</f>
        <v>0</v>
      </c>
      <c r="O1134">
        <f>COUNTIF(Taostats_CSV!$X:$X,Taostats_CSV!$I1134&amp;O$1)</f>
        <v>0</v>
      </c>
      <c r="P1134">
        <f>COUNTIF(Taostats_CSV!$X:$X,Taostats_CSV!$I1134&amp;P$1)</f>
        <v>0</v>
      </c>
      <c r="Q1134" t="b">
        <f t="shared" si="118"/>
        <v>0</v>
      </c>
      <c r="R1134" t="b">
        <f>IF(LEN(K1134)&gt;0,COUNTIF($K$3:K1134,K1134),FALSE)</f>
        <v>0</v>
      </c>
      <c r="S1134" t="b">
        <f>IF(Taostats_CSV!A1134=Taostats_CSV!$A$2,TRUE,Taostats_CSV!G1134+Taostats_CSV!H1134+Taostats_CSV!R1134=0)</f>
        <v>1</v>
      </c>
      <c r="T1134" t="b">
        <f t="shared" si="119"/>
        <v>0</v>
      </c>
      <c r="U1134" t="b" cm="1">
        <f t="array" aca="1" ref="U1134" ca="1">AND(T1134,OR(O1134-N1134&gt;1,P1134&gt;1,ISERROR(A1134:P1134)))</f>
        <v>0</v>
      </c>
      <c r="W1134" t="e">
        <f>MATCH(K1134&amp;$W$2,Taostats_CSV!$X$3:$X$1167,0)</f>
        <v>#N/A</v>
      </c>
      <c r="X1134" t="e">
        <f t="shared" ca="1" si="114"/>
        <v>#VALUE!</v>
      </c>
      <c r="Y1134">
        <f t="shared" ca="1" si="115"/>
        <v>0</v>
      </c>
      <c r="Z1134" t="e">
        <f t="shared" ca="1" si="116"/>
        <v>#VALUE!</v>
      </c>
    </row>
    <row r="1135" spans="1:26" hidden="1" x14ac:dyDescent="0.4">
      <c r="A1135" t="str">
        <f>MID(Taostats_CSV!C1135,6,2)&amp;"/"&amp;MID(Taostats_CSV!C1135,9,2)&amp;"/"&amp;LEFT(Taostats_CSV!C1135,4)&amp;" "&amp;MID(Taostats_CSV!C1135,12,8)</f>
        <v>11/23/2025 23:59:48</v>
      </c>
      <c r="C1135" t="str">
        <f ca="1">IF(Q1135,OFFSET(Taostats_CSV!$E$1,MATCH(K1135&amp;D$1,Taostats_CSV!$X:$X,0)-1,0),IF(Taostats_CSV!F1135="fee","",IF(VALUE(Taostats_CSV!G1135)&gt;0,Taostats_CSV!E1135,"")))</f>
        <v/>
      </c>
      <c r="D1135" t="str">
        <f ca="1">IF(Q1135,OFFSET(Taostats_CSV!$G$1,MATCH(K1135&amp;D$1,Taostats_CSV!$X:$X,0)-1,0),IF(Taostats_CSV!F1135="fee","",IF(VALUE(Taostats_CSV!G1135)&gt;0,Taostats_CSV!G1135,"")))</f>
        <v/>
      </c>
      <c r="E1135" t="str">
        <f ca="1">IF(AND(Q1135,P1135&gt;0),OFFSET(Taostats_CSV!$E$1,MATCH(K1135&amp;F$1,Taostats_CSV!$X:$X,0)-1,0),IF(LEN(F1135)&gt;0,Taostats_CSV!E1135,""))</f>
        <v>TAO</v>
      </c>
      <c r="F1135" t="str">
        <f ca="1">TRIM(IF(AND(Q1135,P1135&gt;0),OFFSET(Taostats_CSV!$H$1,MATCH(K1135&amp;F$1,Taostats_CSV!$X:$X,0)-1,0),IF(LEN(Taostats_CSV!H1135)&gt;0,Taostats_CSV!H1135,Taostats_CSV!R1135)))</f>
        <v>0</v>
      </c>
      <c r="G1135" t="str">
        <f ca="1">IF(AND(Q1135,N1135=1),OFFSET(Taostats_CSV!$E$1,MATCH(K1135&amp;H$1,Taostats_CSV!$X:$X,0)-1,0),IF(Taostats_CSV!F1135="fee",Taostats_CSV!E1135,""))</f>
        <v/>
      </c>
      <c r="H1135" t="str">
        <f ca="1">IF(AND(Q1135,N1135=1),OFFSET(Taostats_CSV!$G$1,MATCH(K1135&amp;H$1,Taostats_CSV!$X:$X,0)-1,0),IF(Taostats_CSV!F1135="fee",Taostats_CSV!G1135,""))</f>
        <v/>
      </c>
      <c r="I1135" t="str">
        <f ca="1">IF(AND(LEN(K1135)=0,LEN(F1135)&gt;0),"Income",IF(AND(O1135&gt;0,P1135&gt;0,C1135&lt;&gt;E1135),"Trade",IF(AND(NOT(Q1135),Taostats_CSV!F1135="fee"),'READ ME'!$C$5,"")))</f>
        <v>Income</v>
      </c>
      <c r="J1135" t="str">
        <f ca="1">SUBSTITUTE(IF(LEN(I1135)=0,Taostats_CSV!F1135&amp;" "&amp;Taostats_CSV!J1135,IF(I1135="Cost","Extrinsic fee","")),"_"," ")</f>
        <v/>
      </c>
      <c r="K1135" t="str">
        <f>TRIM(IF(LEN(Taostats_CSV!I1135)&gt;0,Taostats_CSV!I1135,""))</f>
        <v/>
      </c>
      <c r="L1135" t="str">
        <f>IF(Taostats_CSV!E1135&lt;&gt;"TAO",IF(LEN(F1135)&gt;0,F1135,IF(LEN(D1135)&gt;0,D1135,0))*Taostats_CSV!P1135,"")</f>
        <v/>
      </c>
      <c r="M1135" t="str">
        <f t="shared" si="117"/>
        <v/>
      </c>
      <c r="N1135">
        <f>COUNTIF(Taostats_CSV!$X:$X,Taostats_CSV!$I1135&amp;N$1)</f>
        <v>0</v>
      </c>
      <c r="O1135">
        <f>COUNTIF(Taostats_CSV!$X:$X,Taostats_CSV!$I1135&amp;O$1)</f>
        <v>0</v>
      </c>
      <c r="P1135">
        <f>COUNTIF(Taostats_CSV!$X:$X,Taostats_CSV!$I1135&amp;P$1)</f>
        <v>0</v>
      </c>
      <c r="Q1135" t="b">
        <f t="shared" si="118"/>
        <v>0</v>
      </c>
      <c r="R1135" t="b">
        <f>IF(LEN(K1135)&gt;0,COUNTIF($K$3:K1135,K1135),FALSE)</f>
        <v>0</v>
      </c>
      <c r="S1135" t="b">
        <f>IF(Taostats_CSV!A1135=Taostats_CSV!$A$2,TRUE,Taostats_CSV!G1135+Taostats_CSV!H1135+Taostats_CSV!R1135=0)</f>
        <v>1</v>
      </c>
      <c r="T1135" t="b">
        <f t="shared" si="119"/>
        <v>0</v>
      </c>
      <c r="U1135" t="b" cm="1">
        <f t="array" aca="1" ref="U1135" ca="1">AND(T1135,OR(O1135-N1135&gt;1,P1135&gt;1,ISERROR(A1135:P1135)))</f>
        <v>0</v>
      </c>
      <c r="W1135" t="e">
        <f>MATCH(K1135&amp;$W$2,Taostats_CSV!$X$3:$X$1167,0)</f>
        <v>#N/A</v>
      </c>
      <c r="X1135" t="e">
        <f t="shared" ca="1" si="114"/>
        <v>#VALUE!</v>
      </c>
      <c r="Y1135">
        <f t="shared" ca="1" si="115"/>
        <v>0</v>
      </c>
      <c r="Z1135" t="e">
        <f t="shared" ca="1" si="116"/>
        <v>#VALUE!</v>
      </c>
    </row>
    <row r="1136" spans="1:26" hidden="1" x14ac:dyDescent="0.4">
      <c r="A1136" t="str">
        <f>MID(Taostats_CSV!C1136,6,2)&amp;"/"&amp;MID(Taostats_CSV!C1136,9,2)&amp;"/"&amp;LEFT(Taostats_CSV!C1136,4)&amp;" "&amp;MID(Taostats_CSV!C1136,12,8)</f>
        <v>11/24/2025 23:59:48</v>
      </c>
      <c r="C1136" t="str">
        <f ca="1">IF(Q1136,OFFSET(Taostats_CSV!$E$1,MATCH(K1136&amp;D$1,Taostats_CSV!$X:$X,0)-1,0),IF(Taostats_CSV!F1136="fee","",IF(VALUE(Taostats_CSV!G1136)&gt;0,Taostats_CSV!E1136,"")))</f>
        <v/>
      </c>
      <c r="D1136" t="str">
        <f ca="1">IF(Q1136,OFFSET(Taostats_CSV!$G$1,MATCH(K1136&amp;D$1,Taostats_CSV!$X:$X,0)-1,0),IF(Taostats_CSV!F1136="fee","",IF(VALUE(Taostats_CSV!G1136)&gt;0,Taostats_CSV!G1136,"")))</f>
        <v/>
      </c>
      <c r="E1136" t="str">
        <f ca="1">IF(AND(Q1136,P1136&gt;0),OFFSET(Taostats_CSV!$E$1,MATCH(K1136&amp;F$1,Taostats_CSV!$X:$X,0)-1,0),IF(LEN(F1136)&gt;0,Taostats_CSV!E1136,""))</f>
        <v>TAO</v>
      </c>
      <c r="F1136" t="str">
        <f ca="1">TRIM(IF(AND(Q1136,P1136&gt;0),OFFSET(Taostats_CSV!$H$1,MATCH(K1136&amp;F$1,Taostats_CSV!$X:$X,0)-1,0),IF(LEN(Taostats_CSV!H1136)&gt;0,Taostats_CSV!H1136,Taostats_CSV!R1136)))</f>
        <v>0</v>
      </c>
      <c r="G1136" t="str">
        <f ca="1">IF(AND(Q1136,N1136=1),OFFSET(Taostats_CSV!$E$1,MATCH(K1136&amp;H$1,Taostats_CSV!$X:$X,0)-1,0),IF(Taostats_CSV!F1136="fee",Taostats_CSV!E1136,""))</f>
        <v/>
      </c>
      <c r="H1136" t="str">
        <f ca="1">IF(AND(Q1136,N1136=1),OFFSET(Taostats_CSV!$G$1,MATCH(K1136&amp;H$1,Taostats_CSV!$X:$X,0)-1,0),IF(Taostats_CSV!F1136="fee",Taostats_CSV!G1136,""))</f>
        <v/>
      </c>
      <c r="I1136" t="str">
        <f ca="1">IF(AND(LEN(K1136)=0,LEN(F1136)&gt;0),"Income",IF(AND(O1136&gt;0,P1136&gt;0,C1136&lt;&gt;E1136),"Trade",IF(AND(NOT(Q1136),Taostats_CSV!F1136="fee"),'READ ME'!$C$5,"")))</f>
        <v>Income</v>
      </c>
      <c r="J1136" t="str">
        <f ca="1">SUBSTITUTE(IF(LEN(I1136)=0,Taostats_CSV!F1136&amp;" "&amp;Taostats_CSV!J1136,IF(I1136="Cost","Extrinsic fee","")),"_"," ")</f>
        <v/>
      </c>
      <c r="K1136" t="str">
        <f>TRIM(IF(LEN(Taostats_CSV!I1136)&gt;0,Taostats_CSV!I1136,""))</f>
        <v/>
      </c>
      <c r="L1136" t="str">
        <f>IF(Taostats_CSV!E1136&lt;&gt;"TAO",IF(LEN(F1136)&gt;0,F1136,IF(LEN(D1136)&gt;0,D1136,0))*Taostats_CSV!P1136,"")</f>
        <v/>
      </c>
      <c r="M1136" t="str">
        <f t="shared" si="117"/>
        <v/>
      </c>
      <c r="N1136">
        <f>COUNTIF(Taostats_CSV!$X:$X,Taostats_CSV!$I1136&amp;N$1)</f>
        <v>0</v>
      </c>
      <c r="O1136">
        <f>COUNTIF(Taostats_CSV!$X:$X,Taostats_CSV!$I1136&amp;O$1)</f>
        <v>0</v>
      </c>
      <c r="P1136">
        <f>COUNTIF(Taostats_CSV!$X:$X,Taostats_CSV!$I1136&amp;P$1)</f>
        <v>0</v>
      </c>
      <c r="Q1136" t="b">
        <f t="shared" si="118"/>
        <v>0</v>
      </c>
      <c r="R1136" t="b">
        <f>IF(LEN(K1136)&gt;0,COUNTIF($K$3:K1136,K1136),FALSE)</f>
        <v>0</v>
      </c>
      <c r="S1136" t="b">
        <f>IF(Taostats_CSV!A1136=Taostats_CSV!$A$2,TRUE,Taostats_CSV!G1136+Taostats_CSV!H1136+Taostats_CSV!R1136=0)</f>
        <v>1</v>
      </c>
      <c r="T1136" t="b">
        <f t="shared" si="119"/>
        <v>0</v>
      </c>
      <c r="U1136" t="b" cm="1">
        <f t="array" aca="1" ref="U1136" ca="1">AND(T1136,OR(O1136-N1136&gt;1,P1136&gt;1,ISERROR(A1136:P1136)))</f>
        <v>0</v>
      </c>
      <c r="W1136" t="e">
        <f>MATCH(K1136&amp;$W$2,Taostats_CSV!$X$3:$X$1167,0)</f>
        <v>#N/A</v>
      </c>
      <c r="X1136" t="e">
        <f t="shared" ca="1" si="114"/>
        <v>#VALUE!</v>
      </c>
      <c r="Y1136">
        <f t="shared" ca="1" si="115"/>
        <v>0</v>
      </c>
      <c r="Z1136" t="e">
        <f t="shared" ca="1" si="116"/>
        <v>#VALUE!</v>
      </c>
    </row>
    <row r="1137" spans="1:26" hidden="1" x14ac:dyDescent="0.4">
      <c r="A1137" t="str">
        <f>MID(Taostats_CSV!C1137,6,2)&amp;"/"&amp;MID(Taostats_CSV!C1137,9,2)&amp;"/"&amp;LEFT(Taostats_CSV!C1137,4)&amp;" "&amp;MID(Taostats_CSV!C1137,12,8)</f>
        <v>11/25/2025 23:59:48</v>
      </c>
      <c r="C1137" t="str">
        <f ca="1">IF(Q1137,OFFSET(Taostats_CSV!$E$1,MATCH(K1137&amp;D$1,Taostats_CSV!$X:$X,0)-1,0),IF(Taostats_CSV!F1137="fee","",IF(VALUE(Taostats_CSV!G1137)&gt;0,Taostats_CSV!E1137,"")))</f>
        <v/>
      </c>
      <c r="D1137" t="str">
        <f ca="1">IF(Q1137,OFFSET(Taostats_CSV!$G$1,MATCH(K1137&amp;D$1,Taostats_CSV!$X:$X,0)-1,0),IF(Taostats_CSV!F1137="fee","",IF(VALUE(Taostats_CSV!G1137)&gt;0,Taostats_CSV!G1137,"")))</f>
        <v/>
      </c>
      <c r="E1137" t="str">
        <f ca="1">IF(AND(Q1137,P1137&gt;0),OFFSET(Taostats_CSV!$E$1,MATCH(K1137&amp;F$1,Taostats_CSV!$X:$X,0)-1,0),IF(LEN(F1137)&gt;0,Taostats_CSV!E1137,""))</f>
        <v>TAO</v>
      </c>
      <c r="F1137" t="str">
        <f ca="1">TRIM(IF(AND(Q1137,P1137&gt;0),OFFSET(Taostats_CSV!$H$1,MATCH(K1137&amp;F$1,Taostats_CSV!$X:$X,0)-1,0),IF(LEN(Taostats_CSV!H1137)&gt;0,Taostats_CSV!H1137,Taostats_CSV!R1137)))</f>
        <v>0</v>
      </c>
      <c r="G1137" t="str">
        <f ca="1">IF(AND(Q1137,N1137=1),OFFSET(Taostats_CSV!$E$1,MATCH(K1137&amp;H$1,Taostats_CSV!$X:$X,0)-1,0),IF(Taostats_CSV!F1137="fee",Taostats_CSV!E1137,""))</f>
        <v/>
      </c>
      <c r="H1137" t="str">
        <f ca="1">IF(AND(Q1137,N1137=1),OFFSET(Taostats_CSV!$G$1,MATCH(K1137&amp;H$1,Taostats_CSV!$X:$X,0)-1,0),IF(Taostats_CSV!F1137="fee",Taostats_CSV!G1137,""))</f>
        <v/>
      </c>
      <c r="I1137" t="str">
        <f ca="1">IF(AND(LEN(K1137)=0,LEN(F1137)&gt;0),"Income",IF(AND(O1137&gt;0,P1137&gt;0,C1137&lt;&gt;E1137),"Trade",IF(AND(NOT(Q1137),Taostats_CSV!F1137="fee"),'READ ME'!$C$5,"")))</f>
        <v>Income</v>
      </c>
      <c r="J1137" t="str">
        <f ca="1">SUBSTITUTE(IF(LEN(I1137)=0,Taostats_CSV!F1137&amp;" "&amp;Taostats_CSV!J1137,IF(I1137="Cost","Extrinsic fee","")),"_"," ")</f>
        <v/>
      </c>
      <c r="K1137" t="str">
        <f>TRIM(IF(LEN(Taostats_CSV!I1137)&gt;0,Taostats_CSV!I1137,""))</f>
        <v/>
      </c>
      <c r="L1137" t="str">
        <f>IF(Taostats_CSV!E1137&lt;&gt;"TAO",IF(LEN(F1137)&gt;0,F1137,IF(LEN(D1137)&gt;0,D1137,0))*Taostats_CSV!P1137,"")</f>
        <v/>
      </c>
      <c r="M1137" t="str">
        <f t="shared" si="117"/>
        <v/>
      </c>
      <c r="N1137">
        <f>COUNTIF(Taostats_CSV!$X:$X,Taostats_CSV!$I1137&amp;N$1)</f>
        <v>0</v>
      </c>
      <c r="O1137">
        <f>COUNTIF(Taostats_CSV!$X:$X,Taostats_CSV!$I1137&amp;O$1)</f>
        <v>0</v>
      </c>
      <c r="P1137">
        <f>COUNTIF(Taostats_CSV!$X:$X,Taostats_CSV!$I1137&amp;P$1)</f>
        <v>0</v>
      </c>
      <c r="Q1137" t="b">
        <f t="shared" si="118"/>
        <v>0</v>
      </c>
      <c r="R1137" t="b">
        <f>IF(LEN(K1137)&gt;0,COUNTIF($K$3:K1137,K1137),FALSE)</f>
        <v>0</v>
      </c>
      <c r="S1137" t="b">
        <f>IF(Taostats_CSV!A1137=Taostats_CSV!$A$2,TRUE,Taostats_CSV!G1137+Taostats_CSV!H1137+Taostats_CSV!R1137=0)</f>
        <v>1</v>
      </c>
      <c r="T1137" t="b">
        <f t="shared" si="119"/>
        <v>0</v>
      </c>
      <c r="U1137" t="b" cm="1">
        <f t="array" aca="1" ref="U1137" ca="1">AND(T1137,OR(O1137-N1137&gt;1,P1137&gt;1,ISERROR(A1137:P1137)))</f>
        <v>0</v>
      </c>
      <c r="W1137" t="e">
        <f>MATCH(K1137&amp;$W$2,Taostats_CSV!$X$3:$X$1167,0)</f>
        <v>#N/A</v>
      </c>
      <c r="X1137" t="e">
        <f t="shared" ca="1" si="114"/>
        <v>#VALUE!</v>
      </c>
      <c r="Y1137">
        <f t="shared" ca="1" si="115"/>
        <v>0</v>
      </c>
      <c r="Z1137" t="e">
        <f t="shared" ca="1" si="116"/>
        <v>#VALUE!</v>
      </c>
    </row>
    <row r="1138" spans="1:26" hidden="1" x14ac:dyDescent="0.4">
      <c r="A1138" t="str">
        <f>MID(Taostats_CSV!C1138,6,2)&amp;"/"&amp;MID(Taostats_CSV!C1138,9,2)&amp;"/"&amp;LEFT(Taostats_CSV!C1138,4)&amp;" "&amp;MID(Taostats_CSV!C1138,12,8)</f>
        <v>11/26/2025 23:59:48</v>
      </c>
      <c r="C1138" t="str">
        <f ca="1">IF(Q1138,OFFSET(Taostats_CSV!$E$1,MATCH(K1138&amp;D$1,Taostats_CSV!$X:$X,0)-1,0),IF(Taostats_CSV!F1138="fee","",IF(VALUE(Taostats_CSV!G1138)&gt;0,Taostats_CSV!E1138,"")))</f>
        <v/>
      </c>
      <c r="D1138" t="str">
        <f ca="1">IF(Q1138,OFFSET(Taostats_CSV!$G$1,MATCH(K1138&amp;D$1,Taostats_CSV!$X:$X,0)-1,0),IF(Taostats_CSV!F1138="fee","",IF(VALUE(Taostats_CSV!G1138)&gt;0,Taostats_CSV!G1138,"")))</f>
        <v/>
      </c>
      <c r="E1138" t="str">
        <f ca="1">IF(AND(Q1138,P1138&gt;0),OFFSET(Taostats_CSV!$E$1,MATCH(K1138&amp;F$1,Taostats_CSV!$X:$X,0)-1,0),IF(LEN(F1138)&gt;0,Taostats_CSV!E1138,""))</f>
        <v>TAO</v>
      </c>
      <c r="F1138" t="str">
        <f ca="1">TRIM(IF(AND(Q1138,P1138&gt;0),OFFSET(Taostats_CSV!$H$1,MATCH(K1138&amp;F$1,Taostats_CSV!$X:$X,0)-1,0),IF(LEN(Taostats_CSV!H1138)&gt;0,Taostats_CSV!H1138,Taostats_CSV!R1138)))</f>
        <v>0</v>
      </c>
      <c r="G1138" t="str">
        <f ca="1">IF(AND(Q1138,N1138=1),OFFSET(Taostats_CSV!$E$1,MATCH(K1138&amp;H$1,Taostats_CSV!$X:$X,0)-1,0),IF(Taostats_CSV!F1138="fee",Taostats_CSV!E1138,""))</f>
        <v/>
      </c>
      <c r="H1138" t="str">
        <f ca="1">IF(AND(Q1138,N1138=1),OFFSET(Taostats_CSV!$G$1,MATCH(K1138&amp;H$1,Taostats_CSV!$X:$X,0)-1,0),IF(Taostats_CSV!F1138="fee",Taostats_CSV!G1138,""))</f>
        <v/>
      </c>
      <c r="I1138" t="str">
        <f ca="1">IF(AND(LEN(K1138)=0,LEN(F1138)&gt;0),"Income",IF(AND(O1138&gt;0,P1138&gt;0,C1138&lt;&gt;E1138),"Trade",IF(AND(NOT(Q1138),Taostats_CSV!F1138="fee"),'READ ME'!$C$5,"")))</f>
        <v>Income</v>
      </c>
      <c r="J1138" t="str">
        <f ca="1">SUBSTITUTE(IF(LEN(I1138)=0,Taostats_CSV!F1138&amp;" "&amp;Taostats_CSV!J1138,IF(I1138="Cost","Extrinsic fee","")),"_"," ")</f>
        <v/>
      </c>
      <c r="K1138" t="str">
        <f>TRIM(IF(LEN(Taostats_CSV!I1138)&gt;0,Taostats_CSV!I1138,""))</f>
        <v/>
      </c>
      <c r="L1138" t="str">
        <f>IF(Taostats_CSV!E1138&lt;&gt;"TAO",IF(LEN(F1138)&gt;0,F1138,IF(LEN(D1138)&gt;0,D1138,0))*Taostats_CSV!P1138,"")</f>
        <v/>
      </c>
      <c r="M1138" t="str">
        <f t="shared" si="117"/>
        <v/>
      </c>
      <c r="N1138">
        <f>COUNTIF(Taostats_CSV!$X:$X,Taostats_CSV!$I1138&amp;N$1)</f>
        <v>0</v>
      </c>
      <c r="O1138">
        <f>COUNTIF(Taostats_CSV!$X:$X,Taostats_CSV!$I1138&amp;O$1)</f>
        <v>0</v>
      </c>
      <c r="P1138">
        <f>COUNTIF(Taostats_CSV!$X:$X,Taostats_CSV!$I1138&amp;P$1)</f>
        <v>0</v>
      </c>
      <c r="Q1138" t="b">
        <f t="shared" si="118"/>
        <v>0</v>
      </c>
      <c r="R1138" t="b">
        <f>IF(LEN(K1138)&gt;0,COUNTIF($K$3:K1138,K1138),FALSE)</f>
        <v>0</v>
      </c>
      <c r="S1138" t="b">
        <f>IF(Taostats_CSV!A1138=Taostats_CSV!$A$2,TRUE,Taostats_CSV!G1138+Taostats_CSV!H1138+Taostats_CSV!R1138=0)</f>
        <v>1</v>
      </c>
      <c r="T1138" t="b">
        <f t="shared" si="119"/>
        <v>0</v>
      </c>
      <c r="U1138" t="b" cm="1">
        <f t="array" aca="1" ref="U1138" ca="1">AND(T1138,OR(O1138-N1138&gt;1,P1138&gt;1,ISERROR(A1138:P1138)))</f>
        <v>0</v>
      </c>
      <c r="W1138" t="e">
        <f>MATCH(K1138&amp;$W$2,Taostats_CSV!$X$3:$X$1167,0)</f>
        <v>#N/A</v>
      </c>
      <c r="X1138" t="e">
        <f t="shared" ca="1" si="114"/>
        <v>#VALUE!</v>
      </c>
      <c r="Y1138">
        <f t="shared" ca="1" si="115"/>
        <v>0</v>
      </c>
      <c r="Z1138" t="e">
        <f t="shared" ca="1" si="116"/>
        <v>#VALUE!</v>
      </c>
    </row>
    <row r="1139" spans="1:26" hidden="1" x14ac:dyDescent="0.4">
      <c r="A1139" t="str">
        <f>MID(Taostats_CSV!C1139,6,2)&amp;"/"&amp;MID(Taostats_CSV!C1139,9,2)&amp;"/"&amp;LEFT(Taostats_CSV!C1139,4)&amp;" "&amp;MID(Taostats_CSV!C1139,12,8)</f>
        <v>11/27/2025 23:59:48</v>
      </c>
      <c r="C1139" t="str">
        <f ca="1">IF(Q1139,OFFSET(Taostats_CSV!$E$1,MATCH(K1139&amp;D$1,Taostats_CSV!$X:$X,0)-1,0),IF(Taostats_CSV!F1139="fee","",IF(VALUE(Taostats_CSV!G1139)&gt;0,Taostats_CSV!E1139,"")))</f>
        <v/>
      </c>
      <c r="D1139" t="str">
        <f ca="1">IF(Q1139,OFFSET(Taostats_CSV!$G$1,MATCH(K1139&amp;D$1,Taostats_CSV!$X:$X,0)-1,0),IF(Taostats_CSV!F1139="fee","",IF(VALUE(Taostats_CSV!G1139)&gt;0,Taostats_CSV!G1139,"")))</f>
        <v/>
      </c>
      <c r="E1139" t="str">
        <f ca="1">IF(AND(Q1139,P1139&gt;0),OFFSET(Taostats_CSV!$E$1,MATCH(K1139&amp;F$1,Taostats_CSV!$X:$X,0)-1,0),IF(LEN(F1139)&gt;0,Taostats_CSV!E1139,""))</f>
        <v>TAO</v>
      </c>
      <c r="F1139" t="str">
        <f ca="1">TRIM(IF(AND(Q1139,P1139&gt;0),OFFSET(Taostats_CSV!$H$1,MATCH(K1139&amp;F$1,Taostats_CSV!$X:$X,0)-1,0),IF(LEN(Taostats_CSV!H1139)&gt;0,Taostats_CSV!H1139,Taostats_CSV!R1139)))</f>
        <v>0</v>
      </c>
      <c r="G1139" t="str">
        <f ca="1">IF(AND(Q1139,N1139=1),OFFSET(Taostats_CSV!$E$1,MATCH(K1139&amp;H$1,Taostats_CSV!$X:$X,0)-1,0),IF(Taostats_CSV!F1139="fee",Taostats_CSV!E1139,""))</f>
        <v/>
      </c>
      <c r="H1139" t="str">
        <f ca="1">IF(AND(Q1139,N1139=1),OFFSET(Taostats_CSV!$G$1,MATCH(K1139&amp;H$1,Taostats_CSV!$X:$X,0)-1,0),IF(Taostats_CSV!F1139="fee",Taostats_CSV!G1139,""))</f>
        <v/>
      </c>
      <c r="I1139" t="str">
        <f ca="1">IF(AND(LEN(K1139)=0,LEN(F1139)&gt;0),"Income",IF(AND(O1139&gt;0,P1139&gt;0,C1139&lt;&gt;E1139),"Trade",IF(AND(NOT(Q1139),Taostats_CSV!F1139="fee"),'READ ME'!$C$5,"")))</f>
        <v>Income</v>
      </c>
      <c r="J1139" t="str">
        <f ca="1">SUBSTITUTE(IF(LEN(I1139)=0,Taostats_CSV!F1139&amp;" "&amp;Taostats_CSV!J1139,IF(I1139="Cost","Extrinsic fee","")),"_"," ")</f>
        <v/>
      </c>
      <c r="K1139" t="str">
        <f>TRIM(IF(LEN(Taostats_CSV!I1139)&gt;0,Taostats_CSV!I1139,""))</f>
        <v/>
      </c>
      <c r="L1139" t="str">
        <f>IF(Taostats_CSV!E1139&lt;&gt;"TAO",IF(LEN(F1139)&gt;0,F1139,IF(LEN(D1139)&gt;0,D1139,0))*Taostats_CSV!P1139,"")</f>
        <v/>
      </c>
      <c r="M1139" t="str">
        <f t="shared" si="117"/>
        <v/>
      </c>
      <c r="N1139">
        <f>COUNTIF(Taostats_CSV!$X:$X,Taostats_CSV!$I1139&amp;N$1)</f>
        <v>0</v>
      </c>
      <c r="O1139">
        <f>COUNTIF(Taostats_CSV!$X:$X,Taostats_CSV!$I1139&amp;O$1)</f>
        <v>0</v>
      </c>
      <c r="P1139">
        <f>COUNTIF(Taostats_CSV!$X:$X,Taostats_CSV!$I1139&amp;P$1)</f>
        <v>0</v>
      </c>
      <c r="Q1139" t="b">
        <f t="shared" si="118"/>
        <v>0</v>
      </c>
      <c r="R1139" t="b">
        <f>IF(LEN(K1139)&gt;0,COUNTIF($K$3:K1139,K1139),FALSE)</f>
        <v>0</v>
      </c>
      <c r="S1139" t="b">
        <f>IF(Taostats_CSV!A1139=Taostats_CSV!$A$2,TRUE,Taostats_CSV!G1139+Taostats_CSV!H1139+Taostats_CSV!R1139=0)</f>
        <v>1</v>
      </c>
      <c r="T1139" t="b">
        <f t="shared" si="119"/>
        <v>0</v>
      </c>
      <c r="U1139" t="b" cm="1">
        <f t="array" aca="1" ref="U1139" ca="1">AND(T1139,OR(O1139-N1139&gt;1,P1139&gt;1,ISERROR(A1139:P1139)))</f>
        <v>0</v>
      </c>
      <c r="W1139" t="e">
        <f>MATCH(K1139&amp;$W$2,Taostats_CSV!$X$3:$X$1167,0)</f>
        <v>#N/A</v>
      </c>
      <c r="X1139" t="e">
        <f t="shared" ca="1" si="114"/>
        <v>#VALUE!</v>
      </c>
      <c r="Y1139">
        <f t="shared" ca="1" si="115"/>
        <v>0</v>
      </c>
      <c r="Z1139" t="e">
        <f t="shared" ca="1" si="116"/>
        <v>#VALUE!</v>
      </c>
    </row>
    <row r="1140" spans="1:26" hidden="1" x14ac:dyDescent="0.4">
      <c r="A1140" t="str">
        <f>MID(Taostats_CSV!C1140,6,2)&amp;"/"&amp;MID(Taostats_CSV!C1140,9,2)&amp;"/"&amp;LEFT(Taostats_CSV!C1140,4)&amp;" "&amp;MID(Taostats_CSV!C1140,12,8)</f>
        <v>11/28/2025 23:59:48</v>
      </c>
      <c r="C1140" t="str">
        <f ca="1">IF(Q1140,OFFSET(Taostats_CSV!$E$1,MATCH(K1140&amp;D$1,Taostats_CSV!$X:$X,0)-1,0),IF(Taostats_CSV!F1140="fee","",IF(VALUE(Taostats_CSV!G1140)&gt;0,Taostats_CSV!E1140,"")))</f>
        <v/>
      </c>
      <c r="D1140" t="str">
        <f ca="1">IF(Q1140,OFFSET(Taostats_CSV!$G$1,MATCH(K1140&amp;D$1,Taostats_CSV!$X:$X,0)-1,0),IF(Taostats_CSV!F1140="fee","",IF(VALUE(Taostats_CSV!G1140)&gt;0,Taostats_CSV!G1140,"")))</f>
        <v/>
      </c>
      <c r="E1140" t="str">
        <f ca="1">IF(AND(Q1140,P1140&gt;0),OFFSET(Taostats_CSV!$E$1,MATCH(K1140&amp;F$1,Taostats_CSV!$X:$X,0)-1,0),IF(LEN(F1140)&gt;0,Taostats_CSV!E1140,""))</f>
        <v>TAO</v>
      </c>
      <c r="F1140" t="str">
        <f ca="1">TRIM(IF(AND(Q1140,P1140&gt;0),OFFSET(Taostats_CSV!$H$1,MATCH(K1140&amp;F$1,Taostats_CSV!$X:$X,0)-1,0),IF(LEN(Taostats_CSV!H1140)&gt;0,Taostats_CSV!H1140,Taostats_CSV!R1140)))</f>
        <v>0</v>
      </c>
      <c r="G1140" t="str">
        <f ca="1">IF(AND(Q1140,N1140=1),OFFSET(Taostats_CSV!$E$1,MATCH(K1140&amp;H$1,Taostats_CSV!$X:$X,0)-1,0),IF(Taostats_CSV!F1140="fee",Taostats_CSV!E1140,""))</f>
        <v/>
      </c>
      <c r="H1140" t="str">
        <f ca="1">IF(AND(Q1140,N1140=1),OFFSET(Taostats_CSV!$G$1,MATCH(K1140&amp;H$1,Taostats_CSV!$X:$X,0)-1,0),IF(Taostats_CSV!F1140="fee",Taostats_CSV!G1140,""))</f>
        <v/>
      </c>
      <c r="I1140" t="str">
        <f ca="1">IF(AND(LEN(K1140)=0,LEN(F1140)&gt;0),"Income",IF(AND(O1140&gt;0,P1140&gt;0,C1140&lt;&gt;E1140),"Trade",IF(AND(NOT(Q1140),Taostats_CSV!F1140="fee"),'READ ME'!$C$5,"")))</f>
        <v>Income</v>
      </c>
      <c r="J1140" t="str">
        <f ca="1">SUBSTITUTE(IF(LEN(I1140)=0,Taostats_CSV!F1140&amp;" "&amp;Taostats_CSV!J1140,IF(I1140="Cost","Extrinsic fee","")),"_"," ")</f>
        <v/>
      </c>
      <c r="K1140" t="str">
        <f>TRIM(IF(LEN(Taostats_CSV!I1140)&gt;0,Taostats_CSV!I1140,""))</f>
        <v/>
      </c>
      <c r="L1140" t="str">
        <f>IF(Taostats_CSV!E1140&lt;&gt;"TAO",IF(LEN(F1140)&gt;0,F1140,IF(LEN(D1140)&gt;0,D1140,0))*Taostats_CSV!P1140,"")</f>
        <v/>
      </c>
      <c r="M1140" t="str">
        <f t="shared" si="117"/>
        <v/>
      </c>
      <c r="N1140">
        <f>COUNTIF(Taostats_CSV!$X:$X,Taostats_CSV!$I1140&amp;N$1)</f>
        <v>0</v>
      </c>
      <c r="O1140">
        <f>COUNTIF(Taostats_CSV!$X:$X,Taostats_CSV!$I1140&amp;O$1)</f>
        <v>0</v>
      </c>
      <c r="P1140">
        <f>COUNTIF(Taostats_CSV!$X:$X,Taostats_CSV!$I1140&amp;P$1)</f>
        <v>0</v>
      </c>
      <c r="Q1140" t="b">
        <f t="shared" si="118"/>
        <v>0</v>
      </c>
      <c r="R1140" t="b">
        <f>IF(LEN(K1140)&gt;0,COUNTIF($K$3:K1140,K1140),FALSE)</f>
        <v>0</v>
      </c>
      <c r="S1140" t="b">
        <f>IF(Taostats_CSV!A1140=Taostats_CSV!$A$2,TRUE,Taostats_CSV!G1140+Taostats_CSV!H1140+Taostats_CSV!R1140=0)</f>
        <v>1</v>
      </c>
      <c r="T1140" t="b">
        <f t="shared" si="119"/>
        <v>0</v>
      </c>
      <c r="U1140" t="b" cm="1">
        <f t="array" aca="1" ref="U1140" ca="1">AND(T1140,OR(O1140-N1140&gt;1,P1140&gt;1,ISERROR(A1140:P1140)))</f>
        <v>0</v>
      </c>
      <c r="W1140" t="e">
        <f>MATCH(K1140&amp;$W$2,Taostats_CSV!$X$3:$X$1167,0)</f>
        <v>#N/A</v>
      </c>
      <c r="X1140" t="e">
        <f t="shared" ca="1" si="114"/>
        <v>#VALUE!</v>
      </c>
      <c r="Y1140">
        <f t="shared" ca="1" si="115"/>
        <v>0</v>
      </c>
      <c r="Z1140" t="e">
        <f t="shared" ca="1" si="116"/>
        <v>#VALUE!</v>
      </c>
    </row>
    <row r="1141" spans="1:26" hidden="1" x14ac:dyDescent="0.4">
      <c r="A1141" t="str">
        <f>MID(Taostats_CSV!C1141,6,2)&amp;"/"&amp;MID(Taostats_CSV!C1141,9,2)&amp;"/"&amp;LEFT(Taostats_CSV!C1141,4)&amp;" "&amp;MID(Taostats_CSV!C1141,12,8)</f>
        <v>11/29/2025 23:59:48</v>
      </c>
      <c r="C1141" t="str">
        <f ca="1">IF(Q1141,OFFSET(Taostats_CSV!$E$1,MATCH(K1141&amp;D$1,Taostats_CSV!$X:$X,0)-1,0),IF(Taostats_CSV!F1141="fee","",IF(VALUE(Taostats_CSV!G1141)&gt;0,Taostats_CSV!E1141,"")))</f>
        <v/>
      </c>
      <c r="D1141" t="str">
        <f ca="1">IF(Q1141,OFFSET(Taostats_CSV!$G$1,MATCH(K1141&amp;D$1,Taostats_CSV!$X:$X,0)-1,0),IF(Taostats_CSV!F1141="fee","",IF(VALUE(Taostats_CSV!G1141)&gt;0,Taostats_CSV!G1141,"")))</f>
        <v/>
      </c>
      <c r="E1141" t="str">
        <f ca="1">IF(AND(Q1141,P1141&gt;0),OFFSET(Taostats_CSV!$E$1,MATCH(K1141&amp;F$1,Taostats_CSV!$X:$X,0)-1,0),IF(LEN(F1141)&gt;0,Taostats_CSV!E1141,""))</f>
        <v>TAO</v>
      </c>
      <c r="F1141" t="str">
        <f ca="1">TRIM(IF(AND(Q1141,P1141&gt;0),OFFSET(Taostats_CSV!$H$1,MATCH(K1141&amp;F$1,Taostats_CSV!$X:$X,0)-1,0),IF(LEN(Taostats_CSV!H1141)&gt;0,Taostats_CSV!H1141,Taostats_CSV!R1141)))</f>
        <v>0</v>
      </c>
      <c r="G1141" t="str">
        <f ca="1">IF(AND(Q1141,N1141=1),OFFSET(Taostats_CSV!$E$1,MATCH(K1141&amp;H$1,Taostats_CSV!$X:$X,0)-1,0),IF(Taostats_CSV!F1141="fee",Taostats_CSV!E1141,""))</f>
        <v/>
      </c>
      <c r="H1141" t="str">
        <f ca="1">IF(AND(Q1141,N1141=1),OFFSET(Taostats_CSV!$G$1,MATCH(K1141&amp;H$1,Taostats_CSV!$X:$X,0)-1,0),IF(Taostats_CSV!F1141="fee",Taostats_CSV!G1141,""))</f>
        <v/>
      </c>
      <c r="I1141" t="str">
        <f ca="1">IF(AND(LEN(K1141)=0,LEN(F1141)&gt;0),"Income",IF(AND(O1141&gt;0,P1141&gt;0,C1141&lt;&gt;E1141),"Trade",IF(AND(NOT(Q1141),Taostats_CSV!F1141="fee"),'READ ME'!$C$5,"")))</f>
        <v>Income</v>
      </c>
      <c r="J1141" t="str">
        <f ca="1">SUBSTITUTE(IF(LEN(I1141)=0,Taostats_CSV!F1141&amp;" "&amp;Taostats_CSV!J1141,IF(I1141="Cost","Extrinsic fee","")),"_"," ")</f>
        <v/>
      </c>
      <c r="K1141" t="str">
        <f>TRIM(IF(LEN(Taostats_CSV!I1141)&gt;0,Taostats_CSV!I1141,""))</f>
        <v/>
      </c>
      <c r="L1141" t="str">
        <f>IF(Taostats_CSV!E1141&lt;&gt;"TAO",IF(LEN(F1141)&gt;0,F1141,IF(LEN(D1141)&gt;0,D1141,0))*Taostats_CSV!P1141,"")</f>
        <v/>
      </c>
      <c r="M1141" t="str">
        <f t="shared" si="117"/>
        <v/>
      </c>
      <c r="N1141">
        <f>COUNTIF(Taostats_CSV!$X:$X,Taostats_CSV!$I1141&amp;N$1)</f>
        <v>0</v>
      </c>
      <c r="O1141">
        <f>COUNTIF(Taostats_CSV!$X:$X,Taostats_CSV!$I1141&amp;O$1)</f>
        <v>0</v>
      </c>
      <c r="P1141">
        <f>COUNTIF(Taostats_CSV!$X:$X,Taostats_CSV!$I1141&amp;P$1)</f>
        <v>0</v>
      </c>
      <c r="Q1141" t="b">
        <f t="shared" si="118"/>
        <v>0</v>
      </c>
      <c r="R1141" t="b">
        <f>IF(LEN(K1141)&gt;0,COUNTIF($K$3:K1141,K1141),FALSE)</f>
        <v>0</v>
      </c>
      <c r="S1141" t="b">
        <f>IF(Taostats_CSV!A1141=Taostats_CSV!$A$2,TRUE,Taostats_CSV!G1141+Taostats_CSV!H1141+Taostats_CSV!R1141=0)</f>
        <v>1</v>
      </c>
      <c r="T1141" t="b">
        <f t="shared" si="119"/>
        <v>0</v>
      </c>
      <c r="U1141" t="b" cm="1">
        <f t="array" aca="1" ref="U1141" ca="1">AND(T1141,OR(O1141-N1141&gt;1,P1141&gt;1,ISERROR(A1141:P1141)))</f>
        <v>0</v>
      </c>
      <c r="W1141" t="e">
        <f>MATCH(K1141&amp;$W$2,Taostats_CSV!$X$3:$X$1167,0)</f>
        <v>#N/A</v>
      </c>
      <c r="X1141" t="e">
        <f t="shared" ca="1" si="114"/>
        <v>#VALUE!</v>
      </c>
      <c r="Y1141">
        <f t="shared" ca="1" si="115"/>
        <v>0</v>
      </c>
      <c r="Z1141" t="e">
        <f t="shared" ca="1" si="116"/>
        <v>#VALUE!</v>
      </c>
    </row>
    <row r="1142" spans="1:26" hidden="1" x14ac:dyDescent="0.4">
      <c r="A1142" t="str">
        <f>MID(Taostats_CSV!C1142,6,2)&amp;"/"&amp;MID(Taostats_CSV!C1142,9,2)&amp;"/"&amp;LEFT(Taostats_CSV!C1142,4)&amp;" "&amp;MID(Taostats_CSV!C1142,12,8)</f>
        <v>11/30/2025 23:59:48</v>
      </c>
      <c r="C1142" t="str">
        <f ca="1">IF(Q1142,OFFSET(Taostats_CSV!$E$1,MATCH(K1142&amp;D$1,Taostats_CSV!$X:$X,0)-1,0),IF(Taostats_CSV!F1142="fee","",IF(VALUE(Taostats_CSV!G1142)&gt;0,Taostats_CSV!E1142,"")))</f>
        <v/>
      </c>
      <c r="D1142" t="str">
        <f ca="1">IF(Q1142,OFFSET(Taostats_CSV!$G$1,MATCH(K1142&amp;D$1,Taostats_CSV!$X:$X,0)-1,0),IF(Taostats_CSV!F1142="fee","",IF(VALUE(Taostats_CSV!G1142)&gt;0,Taostats_CSV!G1142,"")))</f>
        <v/>
      </c>
      <c r="E1142" t="str">
        <f ca="1">IF(AND(Q1142,P1142&gt;0),OFFSET(Taostats_CSV!$E$1,MATCH(K1142&amp;F$1,Taostats_CSV!$X:$X,0)-1,0),IF(LEN(F1142)&gt;0,Taostats_CSV!E1142,""))</f>
        <v>TAO</v>
      </c>
      <c r="F1142" t="str">
        <f ca="1">TRIM(IF(AND(Q1142,P1142&gt;0),OFFSET(Taostats_CSV!$H$1,MATCH(K1142&amp;F$1,Taostats_CSV!$X:$X,0)-1,0),IF(LEN(Taostats_CSV!H1142)&gt;0,Taostats_CSV!H1142,Taostats_CSV!R1142)))</f>
        <v>0</v>
      </c>
      <c r="G1142" t="str">
        <f ca="1">IF(AND(Q1142,N1142=1),OFFSET(Taostats_CSV!$E$1,MATCH(K1142&amp;H$1,Taostats_CSV!$X:$X,0)-1,0),IF(Taostats_CSV!F1142="fee",Taostats_CSV!E1142,""))</f>
        <v/>
      </c>
      <c r="H1142" t="str">
        <f ca="1">IF(AND(Q1142,N1142=1),OFFSET(Taostats_CSV!$G$1,MATCH(K1142&amp;H$1,Taostats_CSV!$X:$X,0)-1,0),IF(Taostats_CSV!F1142="fee",Taostats_CSV!G1142,""))</f>
        <v/>
      </c>
      <c r="I1142" t="str">
        <f ca="1">IF(AND(LEN(K1142)=0,LEN(F1142)&gt;0),"Income",IF(AND(O1142&gt;0,P1142&gt;0,C1142&lt;&gt;E1142),"Trade",IF(AND(NOT(Q1142),Taostats_CSV!F1142="fee"),'READ ME'!$C$5,"")))</f>
        <v>Income</v>
      </c>
      <c r="J1142" t="str">
        <f ca="1">SUBSTITUTE(IF(LEN(I1142)=0,Taostats_CSV!F1142&amp;" "&amp;Taostats_CSV!J1142,IF(I1142="Cost","Extrinsic fee","")),"_"," ")</f>
        <v/>
      </c>
      <c r="K1142" t="str">
        <f>TRIM(IF(LEN(Taostats_CSV!I1142)&gt;0,Taostats_CSV!I1142,""))</f>
        <v/>
      </c>
      <c r="L1142" t="str">
        <f>IF(Taostats_CSV!E1142&lt;&gt;"TAO",IF(LEN(F1142)&gt;0,F1142,IF(LEN(D1142)&gt;0,D1142,0))*Taostats_CSV!P1142,"")</f>
        <v/>
      </c>
      <c r="M1142" t="str">
        <f t="shared" si="117"/>
        <v/>
      </c>
      <c r="N1142">
        <f>COUNTIF(Taostats_CSV!$X:$X,Taostats_CSV!$I1142&amp;N$1)</f>
        <v>0</v>
      </c>
      <c r="O1142">
        <f>COUNTIF(Taostats_CSV!$X:$X,Taostats_CSV!$I1142&amp;O$1)</f>
        <v>0</v>
      </c>
      <c r="P1142">
        <f>COUNTIF(Taostats_CSV!$X:$X,Taostats_CSV!$I1142&amp;P$1)</f>
        <v>0</v>
      </c>
      <c r="Q1142" t="b">
        <f t="shared" si="118"/>
        <v>0</v>
      </c>
      <c r="R1142" t="b">
        <f>IF(LEN(K1142)&gt;0,COUNTIF($K$3:K1142,K1142),FALSE)</f>
        <v>0</v>
      </c>
      <c r="S1142" t="b">
        <f>IF(Taostats_CSV!A1142=Taostats_CSV!$A$2,TRUE,Taostats_CSV!G1142+Taostats_CSV!H1142+Taostats_CSV!R1142=0)</f>
        <v>1</v>
      </c>
      <c r="T1142" t="b">
        <f t="shared" si="119"/>
        <v>0</v>
      </c>
      <c r="U1142" t="b" cm="1">
        <f t="array" aca="1" ref="U1142" ca="1">AND(T1142,OR(O1142-N1142&gt;1,P1142&gt;1,ISERROR(A1142:P1142)))</f>
        <v>0</v>
      </c>
      <c r="W1142" t="e">
        <f>MATCH(K1142&amp;$W$2,Taostats_CSV!$X$3:$X$1167,0)</f>
        <v>#N/A</v>
      </c>
      <c r="X1142" t="e">
        <f t="shared" ca="1" si="114"/>
        <v>#VALUE!</v>
      </c>
      <c r="Y1142">
        <f t="shared" ca="1" si="115"/>
        <v>0</v>
      </c>
      <c r="Z1142" t="e">
        <f t="shared" ca="1" si="116"/>
        <v>#VALUE!</v>
      </c>
    </row>
    <row r="1143" spans="1:26" hidden="1" x14ac:dyDescent="0.4">
      <c r="A1143" t="str">
        <f>MID(Taostats_CSV!C1143,6,2)&amp;"/"&amp;MID(Taostats_CSV!C1143,9,2)&amp;"/"&amp;LEFT(Taostats_CSV!C1143,4)&amp;" "&amp;MID(Taostats_CSV!C1143,12,8)</f>
        <v>12/01/2025 23:59:48</v>
      </c>
      <c r="C1143" t="str">
        <f ca="1">IF(Q1143,OFFSET(Taostats_CSV!$E$1,MATCH(K1143&amp;D$1,Taostats_CSV!$X:$X,0)-1,0),IF(Taostats_CSV!F1143="fee","",IF(VALUE(Taostats_CSV!G1143)&gt;0,Taostats_CSV!E1143,"")))</f>
        <v/>
      </c>
      <c r="D1143" t="str">
        <f ca="1">IF(Q1143,OFFSET(Taostats_CSV!$G$1,MATCH(K1143&amp;D$1,Taostats_CSV!$X:$X,0)-1,0),IF(Taostats_CSV!F1143="fee","",IF(VALUE(Taostats_CSV!G1143)&gt;0,Taostats_CSV!G1143,"")))</f>
        <v/>
      </c>
      <c r="E1143" t="str">
        <f ca="1">IF(AND(Q1143,P1143&gt;0),OFFSET(Taostats_CSV!$E$1,MATCH(K1143&amp;F$1,Taostats_CSV!$X:$X,0)-1,0),IF(LEN(F1143)&gt;0,Taostats_CSV!E1143,""))</f>
        <v>TAO</v>
      </c>
      <c r="F1143" t="str">
        <f ca="1">TRIM(IF(AND(Q1143,P1143&gt;0),OFFSET(Taostats_CSV!$H$1,MATCH(K1143&amp;F$1,Taostats_CSV!$X:$X,0)-1,0),IF(LEN(Taostats_CSV!H1143)&gt;0,Taostats_CSV!H1143,Taostats_CSV!R1143)))</f>
        <v>0</v>
      </c>
      <c r="G1143" t="str">
        <f ca="1">IF(AND(Q1143,N1143=1),OFFSET(Taostats_CSV!$E$1,MATCH(K1143&amp;H$1,Taostats_CSV!$X:$X,0)-1,0),IF(Taostats_CSV!F1143="fee",Taostats_CSV!E1143,""))</f>
        <v/>
      </c>
      <c r="H1143" t="str">
        <f ca="1">IF(AND(Q1143,N1143=1),OFFSET(Taostats_CSV!$G$1,MATCH(K1143&amp;H$1,Taostats_CSV!$X:$X,0)-1,0),IF(Taostats_CSV!F1143="fee",Taostats_CSV!G1143,""))</f>
        <v/>
      </c>
      <c r="I1143" t="str">
        <f ca="1">IF(AND(LEN(K1143)=0,LEN(F1143)&gt;0),"Income",IF(AND(O1143&gt;0,P1143&gt;0,C1143&lt;&gt;E1143),"Trade",IF(AND(NOT(Q1143),Taostats_CSV!F1143="fee"),'READ ME'!$C$5,"")))</f>
        <v>Income</v>
      </c>
      <c r="J1143" t="str">
        <f ca="1">SUBSTITUTE(IF(LEN(I1143)=0,Taostats_CSV!F1143&amp;" "&amp;Taostats_CSV!J1143,IF(I1143="Cost","Extrinsic fee","")),"_"," ")</f>
        <v/>
      </c>
      <c r="K1143" t="str">
        <f>TRIM(IF(LEN(Taostats_CSV!I1143)&gt;0,Taostats_CSV!I1143,""))</f>
        <v/>
      </c>
      <c r="L1143" t="str">
        <f>IF(Taostats_CSV!E1143&lt;&gt;"TAO",IF(LEN(F1143)&gt;0,F1143,IF(LEN(D1143)&gt;0,D1143,0))*Taostats_CSV!P1143,"")</f>
        <v/>
      </c>
      <c r="M1143" t="str">
        <f t="shared" si="117"/>
        <v/>
      </c>
      <c r="N1143">
        <f>COUNTIF(Taostats_CSV!$X:$X,Taostats_CSV!$I1143&amp;N$1)</f>
        <v>0</v>
      </c>
      <c r="O1143">
        <f>COUNTIF(Taostats_CSV!$X:$X,Taostats_CSV!$I1143&amp;O$1)</f>
        <v>0</v>
      </c>
      <c r="P1143">
        <f>COUNTIF(Taostats_CSV!$X:$X,Taostats_CSV!$I1143&amp;P$1)</f>
        <v>0</v>
      </c>
      <c r="Q1143" t="b">
        <f t="shared" si="118"/>
        <v>0</v>
      </c>
      <c r="R1143" t="b">
        <f>IF(LEN(K1143)&gt;0,COUNTIF($K$3:K1143,K1143),FALSE)</f>
        <v>0</v>
      </c>
      <c r="S1143" t="b">
        <f>IF(Taostats_CSV!A1143=Taostats_CSV!$A$2,TRUE,Taostats_CSV!G1143+Taostats_CSV!H1143+Taostats_CSV!R1143=0)</f>
        <v>1</v>
      </c>
      <c r="T1143" t="b">
        <f t="shared" si="119"/>
        <v>0</v>
      </c>
      <c r="U1143" t="b" cm="1">
        <f t="array" aca="1" ref="U1143" ca="1">AND(T1143,OR(O1143-N1143&gt;1,P1143&gt;1,ISERROR(A1143:P1143)))</f>
        <v>0</v>
      </c>
      <c r="W1143" t="e">
        <f>MATCH(K1143&amp;$W$2,Taostats_CSV!$X$3:$X$1167,0)</f>
        <v>#N/A</v>
      </c>
      <c r="X1143" t="e">
        <f t="shared" ca="1" si="114"/>
        <v>#VALUE!</v>
      </c>
      <c r="Y1143">
        <f t="shared" ca="1" si="115"/>
        <v>0</v>
      </c>
      <c r="Z1143" t="e">
        <f t="shared" ca="1" si="116"/>
        <v>#VALUE!</v>
      </c>
    </row>
    <row r="1144" spans="1:26" hidden="1" x14ac:dyDescent="0.4">
      <c r="A1144" t="str">
        <f>MID(Taostats_CSV!C1144,6,2)&amp;"/"&amp;MID(Taostats_CSV!C1144,9,2)&amp;"/"&amp;LEFT(Taostats_CSV!C1144,4)&amp;" "&amp;MID(Taostats_CSV!C1144,12,8)</f>
        <v>12/02/2025 23:59:48</v>
      </c>
      <c r="C1144" t="str">
        <f ca="1">IF(Q1144,OFFSET(Taostats_CSV!$E$1,MATCH(K1144&amp;D$1,Taostats_CSV!$X:$X,0)-1,0),IF(Taostats_CSV!F1144="fee","",IF(VALUE(Taostats_CSV!G1144)&gt;0,Taostats_CSV!E1144,"")))</f>
        <v/>
      </c>
      <c r="D1144" t="str">
        <f ca="1">IF(Q1144,OFFSET(Taostats_CSV!$G$1,MATCH(K1144&amp;D$1,Taostats_CSV!$X:$X,0)-1,0),IF(Taostats_CSV!F1144="fee","",IF(VALUE(Taostats_CSV!G1144)&gt;0,Taostats_CSV!G1144,"")))</f>
        <v/>
      </c>
      <c r="E1144" t="str">
        <f ca="1">IF(AND(Q1144,P1144&gt;0),OFFSET(Taostats_CSV!$E$1,MATCH(K1144&amp;F$1,Taostats_CSV!$X:$X,0)-1,0),IF(LEN(F1144)&gt;0,Taostats_CSV!E1144,""))</f>
        <v>TAO</v>
      </c>
      <c r="F1144" t="str">
        <f ca="1">TRIM(IF(AND(Q1144,P1144&gt;0),OFFSET(Taostats_CSV!$H$1,MATCH(K1144&amp;F$1,Taostats_CSV!$X:$X,0)-1,0),IF(LEN(Taostats_CSV!H1144)&gt;0,Taostats_CSV!H1144,Taostats_CSV!R1144)))</f>
        <v>0</v>
      </c>
      <c r="G1144" t="str">
        <f ca="1">IF(AND(Q1144,N1144=1),OFFSET(Taostats_CSV!$E$1,MATCH(K1144&amp;H$1,Taostats_CSV!$X:$X,0)-1,0),IF(Taostats_CSV!F1144="fee",Taostats_CSV!E1144,""))</f>
        <v/>
      </c>
      <c r="H1144" t="str">
        <f ca="1">IF(AND(Q1144,N1144=1),OFFSET(Taostats_CSV!$G$1,MATCH(K1144&amp;H$1,Taostats_CSV!$X:$X,0)-1,0),IF(Taostats_CSV!F1144="fee",Taostats_CSV!G1144,""))</f>
        <v/>
      </c>
      <c r="I1144" t="str">
        <f ca="1">IF(AND(LEN(K1144)=0,LEN(F1144)&gt;0),"Income",IF(AND(O1144&gt;0,P1144&gt;0,C1144&lt;&gt;E1144),"Trade",IF(AND(NOT(Q1144),Taostats_CSV!F1144="fee"),'READ ME'!$C$5,"")))</f>
        <v>Income</v>
      </c>
      <c r="J1144" t="str">
        <f ca="1">SUBSTITUTE(IF(LEN(I1144)=0,Taostats_CSV!F1144&amp;" "&amp;Taostats_CSV!J1144,IF(I1144="Cost","Extrinsic fee","")),"_"," ")</f>
        <v/>
      </c>
      <c r="K1144" t="str">
        <f>TRIM(IF(LEN(Taostats_CSV!I1144)&gt;0,Taostats_CSV!I1144,""))</f>
        <v/>
      </c>
      <c r="L1144" t="str">
        <f>IF(Taostats_CSV!E1144&lt;&gt;"TAO",IF(LEN(F1144)&gt;0,F1144,IF(LEN(D1144)&gt;0,D1144,0))*Taostats_CSV!P1144,"")</f>
        <v/>
      </c>
      <c r="M1144" t="str">
        <f t="shared" si="117"/>
        <v/>
      </c>
      <c r="N1144">
        <f>COUNTIF(Taostats_CSV!$X:$X,Taostats_CSV!$I1144&amp;N$1)</f>
        <v>0</v>
      </c>
      <c r="O1144">
        <f>COUNTIF(Taostats_CSV!$X:$X,Taostats_CSV!$I1144&amp;O$1)</f>
        <v>0</v>
      </c>
      <c r="P1144">
        <f>COUNTIF(Taostats_CSV!$X:$X,Taostats_CSV!$I1144&amp;P$1)</f>
        <v>0</v>
      </c>
      <c r="Q1144" t="b">
        <f t="shared" si="118"/>
        <v>0</v>
      </c>
      <c r="R1144" t="b">
        <f>IF(LEN(K1144)&gt;0,COUNTIF($K$3:K1144,K1144),FALSE)</f>
        <v>0</v>
      </c>
      <c r="S1144" t="b">
        <f>IF(Taostats_CSV!A1144=Taostats_CSV!$A$2,TRUE,Taostats_CSV!G1144+Taostats_CSV!H1144+Taostats_CSV!R1144=0)</f>
        <v>1</v>
      </c>
      <c r="T1144" t="b">
        <f t="shared" si="119"/>
        <v>0</v>
      </c>
      <c r="U1144" t="b" cm="1">
        <f t="array" aca="1" ref="U1144" ca="1">AND(T1144,OR(O1144-N1144&gt;1,P1144&gt;1,ISERROR(A1144:P1144)))</f>
        <v>0</v>
      </c>
      <c r="W1144" t="e">
        <f>MATCH(K1144&amp;$W$2,Taostats_CSV!$X$3:$X$1167,0)</f>
        <v>#N/A</v>
      </c>
      <c r="X1144" t="e">
        <f t="shared" ca="1" si="114"/>
        <v>#VALUE!</v>
      </c>
      <c r="Y1144">
        <f t="shared" ca="1" si="115"/>
        <v>0</v>
      </c>
      <c r="Z1144" t="e">
        <f t="shared" ca="1" si="116"/>
        <v>#VALUE!</v>
      </c>
    </row>
    <row r="1145" spans="1:26" hidden="1" x14ac:dyDescent="0.4">
      <c r="A1145" t="str">
        <f>MID(Taostats_CSV!C1145,6,2)&amp;"/"&amp;MID(Taostats_CSV!C1145,9,2)&amp;"/"&amp;LEFT(Taostats_CSV!C1145,4)&amp;" "&amp;MID(Taostats_CSV!C1145,12,8)</f>
        <v>12/03/2025 23:59:48</v>
      </c>
      <c r="C1145" t="str">
        <f ca="1">IF(Q1145,OFFSET(Taostats_CSV!$E$1,MATCH(K1145&amp;D$1,Taostats_CSV!$X:$X,0)-1,0),IF(Taostats_CSV!F1145="fee","",IF(VALUE(Taostats_CSV!G1145)&gt;0,Taostats_CSV!E1145,"")))</f>
        <v/>
      </c>
      <c r="D1145" t="str">
        <f ca="1">IF(Q1145,OFFSET(Taostats_CSV!$G$1,MATCH(K1145&amp;D$1,Taostats_CSV!$X:$X,0)-1,0),IF(Taostats_CSV!F1145="fee","",IF(VALUE(Taostats_CSV!G1145)&gt;0,Taostats_CSV!G1145,"")))</f>
        <v/>
      </c>
      <c r="E1145" t="str">
        <f ca="1">IF(AND(Q1145,P1145&gt;0),OFFSET(Taostats_CSV!$E$1,MATCH(K1145&amp;F$1,Taostats_CSV!$X:$X,0)-1,0),IF(LEN(F1145)&gt;0,Taostats_CSV!E1145,""))</f>
        <v>TAO</v>
      </c>
      <c r="F1145" t="str">
        <f ca="1">TRIM(IF(AND(Q1145,P1145&gt;0),OFFSET(Taostats_CSV!$H$1,MATCH(K1145&amp;F$1,Taostats_CSV!$X:$X,0)-1,0),IF(LEN(Taostats_CSV!H1145)&gt;0,Taostats_CSV!H1145,Taostats_CSV!R1145)))</f>
        <v>0</v>
      </c>
      <c r="G1145" t="str">
        <f ca="1">IF(AND(Q1145,N1145=1),OFFSET(Taostats_CSV!$E$1,MATCH(K1145&amp;H$1,Taostats_CSV!$X:$X,0)-1,0),IF(Taostats_CSV!F1145="fee",Taostats_CSV!E1145,""))</f>
        <v/>
      </c>
      <c r="H1145" t="str">
        <f ca="1">IF(AND(Q1145,N1145=1),OFFSET(Taostats_CSV!$G$1,MATCH(K1145&amp;H$1,Taostats_CSV!$X:$X,0)-1,0),IF(Taostats_CSV!F1145="fee",Taostats_CSV!G1145,""))</f>
        <v/>
      </c>
      <c r="I1145" t="str">
        <f ca="1">IF(AND(LEN(K1145)=0,LEN(F1145)&gt;0),"Income",IF(AND(O1145&gt;0,P1145&gt;0,C1145&lt;&gt;E1145),"Trade",IF(AND(NOT(Q1145),Taostats_CSV!F1145="fee"),'READ ME'!$C$5,"")))</f>
        <v>Income</v>
      </c>
      <c r="J1145" t="str">
        <f ca="1">SUBSTITUTE(IF(LEN(I1145)=0,Taostats_CSV!F1145&amp;" "&amp;Taostats_CSV!J1145,IF(I1145="Cost","Extrinsic fee","")),"_"," ")</f>
        <v/>
      </c>
      <c r="K1145" t="str">
        <f>TRIM(IF(LEN(Taostats_CSV!I1145)&gt;0,Taostats_CSV!I1145,""))</f>
        <v/>
      </c>
      <c r="L1145" t="str">
        <f>IF(Taostats_CSV!E1145&lt;&gt;"TAO",IF(LEN(F1145)&gt;0,F1145,IF(LEN(D1145)&gt;0,D1145,0))*Taostats_CSV!P1145,"")</f>
        <v/>
      </c>
      <c r="M1145" t="str">
        <f t="shared" si="117"/>
        <v/>
      </c>
      <c r="N1145">
        <f>COUNTIF(Taostats_CSV!$X:$X,Taostats_CSV!$I1145&amp;N$1)</f>
        <v>0</v>
      </c>
      <c r="O1145">
        <f>COUNTIF(Taostats_CSV!$X:$X,Taostats_CSV!$I1145&amp;O$1)</f>
        <v>0</v>
      </c>
      <c r="P1145">
        <f>COUNTIF(Taostats_CSV!$X:$X,Taostats_CSV!$I1145&amp;P$1)</f>
        <v>0</v>
      </c>
      <c r="Q1145" t="b">
        <f t="shared" si="118"/>
        <v>0</v>
      </c>
      <c r="R1145" t="b">
        <f>IF(LEN(K1145)&gt;0,COUNTIF($K$3:K1145,K1145),FALSE)</f>
        <v>0</v>
      </c>
      <c r="S1145" t="b">
        <f>IF(Taostats_CSV!A1145=Taostats_CSV!$A$2,TRUE,Taostats_CSV!G1145+Taostats_CSV!H1145+Taostats_CSV!R1145=0)</f>
        <v>1</v>
      </c>
      <c r="T1145" t="b">
        <f t="shared" si="119"/>
        <v>0</v>
      </c>
      <c r="U1145" t="b" cm="1">
        <f t="array" aca="1" ref="U1145" ca="1">AND(T1145,OR(O1145-N1145&gt;1,P1145&gt;1,ISERROR(A1145:P1145)))</f>
        <v>0</v>
      </c>
      <c r="W1145" t="e">
        <f>MATCH(K1145&amp;$W$2,Taostats_CSV!$X$3:$X$1167,0)</f>
        <v>#N/A</v>
      </c>
      <c r="X1145" t="e">
        <f t="shared" ca="1" si="114"/>
        <v>#VALUE!</v>
      </c>
      <c r="Y1145">
        <f t="shared" ca="1" si="115"/>
        <v>0</v>
      </c>
      <c r="Z1145" t="e">
        <f t="shared" ca="1" si="116"/>
        <v>#VALUE!</v>
      </c>
    </row>
    <row r="1146" spans="1:26" hidden="1" x14ac:dyDescent="0.4">
      <c r="A1146" t="str">
        <f>MID(Taostats_CSV!C1146,6,2)&amp;"/"&amp;MID(Taostats_CSV!C1146,9,2)&amp;"/"&amp;LEFT(Taostats_CSV!C1146,4)&amp;" "&amp;MID(Taostats_CSV!C1146,12,8)</f>
        <v>12/04/2025 23:59:48</v>
      </c>
      <c r="C1146" t="str">
        <f ca="1">IF(Q1146,OFFSET(Taostats_CSV!$E$1,MATCH(K1146&amp;D$1,Taostats_CSV!$X:$X,0)-1,0),IF(Taostats_CSV!F1146="fee","",IF(VALUE(Taostats_CSV!G1146)&gt;0,Taostats_CSV!E1146,"")))</f>
        <v/>
      </c>
      <c r="D1146" t="str">
        <f ca="1">IF(Q1146,OFFSET(Taostats_CSV!$G$1,MATCH(K1146&amp;D$1,Taostats_CSV!$X:$X,0)-1,0),IF(Taostats_CSV!F1146="fee","",IF(VALUE(Taostats_CSV!G1146)&gt;0,Taostats_CSV!G1146,"")))</f>
        <v/>
      </c>
      <c r="E1146" t="str">
        <f ca="1">IF(AND(Q1146,P1146&gt;0),OFFSET(Taostats_CSV!$E$1,MATCH(K1146&amp;F$1,Taostats_CSV!$X:$X,0)-1,0),IF(LEN(F1146)&gt;0,Taostats_CSV!E1146,""))</f>
        <v>TAO</v>
      </c>
      <c r="F1146" t="str">
        <f ca="1">TRIM(IF(AND(Q1146,P1146&gt;0),OFFSET(Taostats_CSV!$H$1,MATCH(K1146&amp;F$1,Taostats_CSV!$X:$X,0)-1,0),IF(LEN(Taostats_CSV!H1146)&gt;0,Taostats_CSV!H1146,Taostats_CSV!R1146)))</f>
        <v>0</v>
      </c>
      <c r="G1146" t="str">
        <f ca="1">IF(AND(Q1146,N1146=1),OFFSET(Taostats_CSV!$E$1,MATCH(K1146&amp;H$1,Taostats_CSV!$X:$X,0)-1,0),IF(Taostats_CSV!F1146="fee",Taostats_CSV!E1146,""))</f>
        <v/>
      </c>
      <c r="H1146" t="str">
        <f ca="1">IF(AND(Q1146,N1146=1),OFFSET(Taostats_CSV!$G$1,MATCH(K1146&amp;H$1,Taostats_CSV!$X:$X,0)-1,0),IF(Taostats_CSV!F1146="fee",Taostats_CSV!G1146,""))</f>
        <v/>
      </c>
      <c r="I1146" t="str">
        <f ca="1">IF(AND(LEN(K1146)=0,LEN(F1146)&gt;0),"Income",IF(AND(O1146&gt;0,P1146&gt;0,C1146&lt;&gt;E1146),"Trade",IF(AND(NOT(Q1146),Taostats_CSV!F1146="fee"),'READ ME'!$C$5,"")))</f>
        <v>Income</v>
      </c>
      <c r="J1146" t="str">
        <f ca="1">SUBSTITUTE(IF(LEN(I1146)=0,Taostats_CSV!F1146&amp;" "&amp;Taostats_CSV!J1146,IF(I1146="Cost","Extrinsic fee","")),"_"," ")</f>
        <v/>
      </c>
      <c r="K1146" t="str">
        <f>TRIM(IF(LEN(Taostats_CSV!I1146)&gt;0,Taostats_CSV!I1146,""))</f>
        <v/>
      </c>
      <c r="L1146" t="str">
        <f>IF(Taostats_CSV!E1146&lt;&gt;"TAO",IF(LEN(F1146)&gt;0,F1146,IF(LEN(D1146)&gt;0,D1146,0))*Taostats_CSV!P1146,"")</f>
        <v/>
      </c>
      <c r="M1146" t="str">
        <f t="shared" si="117"/>
        <v/>
      </c>
      <c r="N1146">
        <f>COUNTIF(Taostats_CSV!$X:$X,Taostats_CSV!$I1146&amp;N$1)</f>
        <v>0</v>
      </c>
      <c r="O1146">
        <f>COUNTIF(Taostats_CSV!$X:$X,Taostats_CSV!$I1146&amp;O$1)</f>
        <v>0</v>
      </c>
      <c r="P1146">
        <f>COUNTIF(Taostats_CSV!$X:$X,Taostats_CSV!$I1146&amp;P$1)</f>
        <v>0</v>
      </c>
      <c r="Q1146" t="b">
        <f t="shared" si="118"/>
        <v>0</v>
      </c>
      <c r="R1146" t="b">
        <f>IF(LEN(K1146)&gt;0,COUNTIF($K$3:K1146,K1146),FALSE)</f>
        <v>0</v>
      </c>
      <c r="S1146" t="b">
        <f>IF(Taostats_CSV!A1146=Taostats_CSV!$A$2,TRUE,Taostats_CSV!G1146+Taostats_CSV!H1146+Taostats_CSV!R1146=0)</f>
        <v>1</v>
      </c>
      <c r="T1146" t="b">
        <f t="shared" si="119"/>
        <v>0</v>
      </c>
      <c r="U1146" t="b" cm="1">
        <f t="array" aca="1" ref="U1146" ca="1">AND(T1146,OR(O1146-N1146&gt;1,P1146&gt;1,ISERROR(A1146:P1146)))</f>
        <v>0</v>
      </c>
      <c r="W1146" t="e">
        <f>MATCH(K1146&amp;$W$2,Taostats_CSV!$X$3:$X$1167,0)</f>
        <v>#N/A</v>
      </c>
      <c r="X1146" t="e">
        <f t="shared" ca="1" si="114"/>
        <v>#VALUE!</v>
      </c>
      <c r="Y1146">
        <f t="shared" ca="1" si="115"/>
        <v>0</v>
      </c>
      <c r="Z1146" t="e">
        <f t="shared" ca="1" si="116"/>
        <v>#VALUE!</v>
      </c>
    </row>
    <row r="1147" spans="1:26" hidden="1" x14ac:dyDescent="0.4">
      <c r="A1147" t="str">
        <f>MID(Taostats_CSV!C1147,6,2)&amp;"/"&amp;MID(Taostats_CSV!C1147,9,2)&amp;"/"&amp;LEFT(Taostats_CSV!C1147,4)&amp;" "&amp;MID(Taostats_CSV!C1147,12,8)</f>
        <v>12/05/2025 23:59:48</v>
      </c>
      <c r="C1147" t="str">
        <f ca="1">IF(Q1147,OFFSET(Taostats_CSV!$E$1,MATCH(K1147&amp;D$1,Taostats_CSV!$X:$X,0)-1,0),IF(Taostats_CSV!F1147="fee","",IF(VALUE(Taostats_CSV!G1147)&gt;0,Taostats_CSV!E1147,"")))</f>
        <v/>
      </c>
      <c r="D1147" t="str">
        <f ca="1">IF(Q1147,OFFSET(Taostats_CSV!$G$1,MATCH(K1147&amp;D$1,Taostats_CSV!$X:$X,0)-1,0),IF(Taostats_CSV!F1147="fee","",IF(VALUE(Taostats_CSV!G1147)&gt;0,Taostats_CSV!G1147,"")))</f>
        <v/>
      </c>
      <c r="E1147" t="str">
        <f ca="1">IF(AND(Q1147,P1147&gt;0),OFFSET(Taostats_CSV!$E$1,MATCH(K1147&amp;F$1,Taostats_CSV!$X:$X,0)-1,0),IF(LEN(F1147)&gt;0,Taostats_CSV!E1147,""))</f>
        <v>TAO</v>
      </c>
      <c r="F1147" t="str">
        <f ca="1">TRIM(IF(AND(Q1147,P1147&gt;0),OFFSET(Taostats_CSV!$H$1,MATCH(K1147&amp;F$1,Taostats_CSV!$X:$X,0)-1,0),IF(LEN(Taostats_CSV!H1147)&gt;0,Taostats_CSV!H1147,Taostats_CSV!R1147)))</f>
        <v>0</v>
      </c>
      <c r="G1147" t="str">
        <f ca="1">IF(AND(Q1147,N1147=1),OFFSET(Taostats_CSV!$E$1,MATCH(K1147&amp;H$1,Taostats_CSV!$X:$X,0)-1,0),IF(Taostats_CSV!F1147="fee",Taostats_CSV!E1147,""))</f>
        <v/>
      </c>
      <c r="H1147" t="str">
        <f ca="1">IF(AND(Q1147,N1147=1),OFFSET(Taostats_CSV!$G$1,MATCH(K1147&amp;H$1,Taostats_CSV!$X:$X,0)-1,0),IF(Taostats_CSV!F1147="fee",Taostats_CSV!G1147,""))</f>
        <v/>
      </c>
      <c r="I1147" t="str">
        <f ca="1">IF(AND(LEN(K1147)=0,LEN(F1147)&gt;0),"Income",IF(AND(O1147&gt;0,P1147&gt;0,C1147&lt;&gt;E1147),"Trade",IF(AND(NOT(Q1147),Taostats_CSV!F1147="fee"),'READ ME'!$C$5,"")))</f>
        <v>Income</v>
      </c>
      <c r="J1147" t="str">
        <f ca="1">SUBSTITUTE(IF(LEN(I1147)=0,Taostats_CSV!F1147&amp;" "&amp;Taostats_CSV!J1147,IF(I1147="Cost","Extrinsic fee","")),"_"," ")</f>
        <v/>
      </c>
      <c r="K1147" t="str">
        <f>TRIM(IF(LEN(Taostats_CSV!I1147)&gt;0,Taostats_CSV!I1147,""))</f>
        <v/>
      </c>
      <c r="L1147" t="str">
        <f>IF(Taostats_CSV!E1147&lt;&gt;"TAO",IF(LEN(F1147)&gt;0,F1147,IF(LEN(D1147)&gt;0,D1147,0))*Taostats_CSV!P1147,"")</f>
        <v/>
      </c>
      <c r="M1147" t="str">
        <f t="shared" si="117"/>
        <v/>
      </c>
      <c r="N1147">
        <f>COUNTIF(Taostats_CSV!$X:$X,Taostats_CSV!$I1147&amp;N$1)</f>
        <v>0</v>
      </c>
      <c r="O1147">
        <f>COUNTIF(Taostats_CSV!$X:$X,Taostats_CSV!$I1147&amp;O$1)</f>
        <v>0</v>
      </c>
      <c r="P1147">
        <f>COUNTIF(Taostats_CSV!$X:$X,Taostats_CSV!$I1147&amp;P$1)</f>
        <v>0</v>
      </c>
      <c r="Q1147" t="b">
        <f t="shared" si="118"/>
        <v>0</v>
      </c>
      <c r="R1147" t="b">
        <f>IF(LEN(K1147)&gt;0,COUNTIF($K$3:K1147,K1147),FALSE)</f>
        <v>0</v>
      </c>
      <c r="S1147" t="b">
        <f>IF(Taostats_CSV!A1147=Taostats_CSV!$A$2,TRUE,Taostats_CSV!G1147+Taostats_CSV!H1147+Taostats_CSV!R1147=0)</f>
        <v>1</v>
      </c>
      <c r="T1147" t="b">
        <f t="shared" si="119"/>
        <v>0</v>
      </c>
      <c r="U1147" t="b" cm="1">
        <f t="array" aca="1" ref="U1147" ca="1">AND(T1147,OR(O1147-N1147&gt;1,P1147&gt;1,ISERROR(A1147:P1147)))</f>
        <v>0</v>
      </c>
      <c r="W1147" t="e">
        <f>MATCH(K1147&amp;$W$2,Taostats_CSV!$X$3:$X$1167,0)</f>
        <v>#N/A</v>
      </c>
      <c r="X1147" t="e">
        <f t="shared" ca="1" si="114"/>
        <v>#VALUE!</v>
      </c>
      <c r="Y1147">
        <f t="shared" ca="1" si="115"/>
        <v>0</v>
      </c>
      <c r="Z1147" t="e">
        <f t="shared" ca="1" si="116"/>
        <v>#VALUE!</v>
      </c>
    </row>
    <row r="1148" spans="1:26" hidden="1" x14ac:dyDescent="0.4">
      <c r="A1148" t="str">
        <f>MID(Taostats_CSV!C1148,6,2)&amp;"/"&amp;MID(Taostats_CSV!C1148,9,2)&amp;"/"&amp;LEFT(Taostats_CSV!C1148,4)&amp;" "&amp;MID(Taostats_CSV!C1148,12,8)</f>
        <v>12/06/2025 23:59:48</v>
      </c>
      <c r="C1148" t="str">
        <f ca="1">IF(Q1148,OFFSET(Taostats_CSV!$E$1,MATCH(K1148&amp;D$1,Taostats_CSV!$X:$X,0)-1,0),IF(Taostats_CSV!F1148="fee","",IF(VALUE(Taostats_CSV!G1148)&gt;0,Taostats_CSV!E1148,"")))</f>
        <v/>
      </c>
      <c r="D1148" t="str">
        <f ca="1">IF(Q1148,OFFSET(Taostats_CSV!$G$1,MATCH(K1148&amp;D$1,Taostats_CSV!$X:$X,0)-1,0),IF(Taostats_CSV!F1148="fee","",IF(VALUE(Taostats_CSV!G1148)&gt;0,Taostats_CSV!G1148,"")))</f>
        <v/>
      </c>
      <c r="E1148" t="str">
        <f ca="1">IF(AND(Q1148,P1148&gt;0),OFFSET(Taostats_CSV!$E$1,MATCH(K1148&amp;F$1,Taostats_CSV!$X:$X,0)-1,0),IF(LEN(F1148)&gt;0,Taostats_CSV!E1148,""))</f>
        <v>TAO</v>
      </c>
      <c r="F1148" t="str">
        <f ca="1">TRIM(IF(AND(Q1148,P1148&gt;0),OFFSET(Taostats_CSV!$H$1,MATCH(K1148&amp;F$1,Taostats_CSV!$X:$X,0)-1,0),IF(LEN(Taostats_CSV!H1148)&gt;0,Taostats_CSV!H1148,Taostats_CSV!R1148)))</f>
        <v>0</v>
      </c>
      <c r="G1148" t="str">
        <f ca="1">IF(AND(Q1148,N1148=1),OFFSET(Taostats_CSV!$E$1,MATCH(K1148&amp;H$1,Taostats_CSV!$X:$X,0)-1,0),IF(Taostats_CSV!F1148="fee",Taostats_CSV!E1148,""))</f>
        <v/>
      </c>
      <c r="H1148" t="str">
        <f ca="1">IF(AND(Q1148,N1148=1),OFFSET(Taostats_CSV!$G$1,MATCH(K1148&amp;H$1,Taostats_CSV!$X:$X,0)-1,0),IF(Taostats_CSV!F1148="fee",Taostats_CSV!G1148,""))</f>
        <v/>
      </c>
      <c r="I1148" t="str">
        <f ca="1">IF(AND(LEN(K1148)=0,LEN(F1148)&gt;0),"Income",IF(AND(O1148&gt;0,P1148&gt;0,C1148&lt;&gt;E1148),"Trade",IF(AND(NOT(Q1148),Taostats_CSV!F1148="fee"),'READ ME'!$C$5,"")))</f>
        <v>Income</v>
      </c>
      <c r="J1148" t="str">
        <f ca="1">SUBSTITUTE(IF(LEN(I1148)=0,Taostats_CSV!F1148&amp;" "&amp;Taostats_CSV!J1148,IF(I1148="Cost","Extrinsic fee","")),"_"," ")</f>
        <v/>
      </c>
      <c r="K1148" t="str">
        <f>TRIM(IF(LEN(Taostats_CSV!I1148)&gt;0,Taostats_CSV!I1148,""))</f>
        <v/>
      </c>
      <c r="L1148" t="str">
        <f>IF(Taostats_CSV!E1148&lt;&gt;"TAO",IF(LEN(F1148)&gt;0,F1148,IF(LEN(D1148)&gt;0,D1148,0))*Taostats_CSV!P1148,"")</f>
        <v/>
      </c>
      <c r="M1148" t="str">
        <f t="shared" si="117"/>
        <v/>
      </c>
      <c r="N1148">
        <f>COUNTIF(Taostats_CSV!$X:$X,Taostats_CSV!$I1148&amp;N$1)</f>
        <v>0</v>
      </c>
      <c r="O1148">
        <f>COUNTIF(Taostats_CSV!$X:$X,Taostats_CSV!$I1148&amp;O$1)</f>
        <v>0</v>
      </c>
      <c r="P1148">
        <f>COUNTIF(Taostats_CSV!$X:$X,Taostats_CSV!$I1148&amp;P$1)</f>
        <v>0</v>
      </c>
      <c r="Q1148" t="b">
        <f t="shared" si="118"/>
        <v>0</v>
      </c>
      <c r="R1148" t="b">
        <f>IF(LEN(K1148)&gt;0,COUNTIF($K$3:K1148,K1148),FALSE)</f>
        <v>0</v>
      </c>
      <c r="S1148" t="b">
        <f>IF(Taostats_CSV!A1148=Taostats_CSV!$A$2,TRUE,Taostats_CSV!G1148+Taostats_CSV!H1148+Taostats_CSV!R1148=0)</f>
        <v>1</v>
      </c>
      <c r="T1148" t="b">
        <f t="shared" si="119"/>
        <v>0</v>
      </c>
      <c r="U1148" t="b" cm="1">
        <f t="array" aca="1" ref="U1148" ca="1">AND(T1148,OR(O1148-N1148&gt;1,P1148&gt;1,ISERROR(A1148:P1148)))</f>
        <v>0</v>
      </c>
      <c r="W1148" t="e">
        <f>MATCH(K1148&amp;$W$2,Taostats_CSV!$X$3:$X$1167,0)</f>
        <v>#N/A</v>
      </c>
      <c r="X1148" t="e">
        <f t="shared" ca="1" si="114"/>
        <v>#VALUE!</v>
      </c>
      <c r="Y1148">
        <f t="shared" ca="1" si="115"/>
        <v>0</v>
      </c>
      <c r="Z1148" t="e">
        <f t="shared" ca="1" si="116"/>
        <v>#VALUE!</v>
      </c>
    </row>
    <row r="1149" spans="1:26" hidden="1" x14ac:dyDescent="0.4">
      <c r="A1149" t="str">
        <f>MID(Taostats_CSV!C1149,6,2)&amp;"/"&amp;MID(Taostats_CSV!C1149,9,2)&amp;"/"&amp;LEFT(Taostats_CSV!C1149,4)&amp;" "&amp;MID(Taostats_CSV!C1149,12,8)</f>
        <v>12/07/2025 23:59:48</v>
      </c>
      <c r="C1149" t="str">
        <f ca="1">IF(Q1149,OFFSET(Taostats_CSV!$E$1,MATCH(K1149&amp;D$1,Taostats_CSV!$X:$X,0)-1,0),IF(Taostats_CSV!F1149="fee","",IF(VALUE(Taostats_CSV!G1149)&gt;0,Taostats_CSV!E1149,"")))</f>
        <v/>
      </c>
      <c r="D1149" t="str">
        <f ca="1">IF(Q1149,OFFSET(Taostats_CSV!$G$1,MATCH(K1149&amp;D$1,Taostats_CSV!$X:$X,0)-1,0),IF(Taostats_CSV!F1149="fee","",IF(VALUE(Taostats_CSV!G1149)&gt;0,Taostats_CSV!G1149,"")))</f>
        <v/>
      </c>
      <c r="E1149" t="str">
        <f ca="1">IF(AND(Q1149,P1149&gt;0),OFFSET(Taostats_CSV!$E$1,MATCH(K1149&amp;F$1,Taostats_CSV!$X:$X,0)-1,0),IF(LEN(F1149)&gt;0,Taostats_CSV!E1149,""))</f>
        <v>TAO</v>
      </c>
      <c r="F1149" t="str">
        <f ca="1">TRIM(IF(AND(Q1149,P1149&gt;0),OFFSET(Taostats_CSV!$H$1,MATCH(K1149&amp;F$1,Taostats_CSV!$X:$X,0)-1,0),IF(LEN(Taostats_CSV!H1149)&gt;0,Taostats_CSV!H1149,Taostats_CSV!R1149)))</f>
        <v>0</v>
      </c>
      <c r="G1149" t="str">
        <f ca="1">IF(AND(Q1149,N1149=1),OFFSET(Taostats_CSV!$E$1,MATCH(K1149&amp;H$1,Taostats_CSV!$X:$X,0)-1,0),IF(Taostats_CSV!F1149="fee",Taostats_CSV!E1149,""))</f>
        <v/>
      </c>
      <c r="H1149" t="str">
        <f ca="1">IF(AND(Q1149,N1149=1),OFFSET(Taostats_CSV!$G$1,MATCH(K1149&amp;H$1,Taostats_CSV!$X:$X,0)-1,0),IF(Taostats_CSV!F1149="fee",Taostats_CSV!G1149,""))</f>
        <v/>
      </c>
      <c r="I1149" t="str">
        <f ca="1">IF(AND(LEN(K1149)=0,LEN(F1149)&gt;0),"Income",IF(AND(O1149&gt;0,P1149&gt;0,C1149&lt;&gt;E1149),"Trade",IF(AND(NOT(Q1149),Taostats_CSV!F1149="fee"),'READ ME'!$C$5,"")))</f>
        <v>Income</v>
      </c>
      <c r="J1149" t="str">
        <f ca="1">SUBSTITUTE(IF(LEN(I1149)=0,Taostats_CSV!F1149&amp;" "&amp;Taostats_CSV!J1149,IF(I1149="Cost","Extrinsic fee","")),"_"," ")</f>
        <v/>
      </c>
      <c r="K1149" t="str">
        <f>TRIM(IF(LEN(Taostats_CSV!I1149)&gt;0,Taostats_CSV!I1149,""))</f>
        <v/>
      </c>
      <c r="L1149" t="str">
        <f>IF(Taostats_CSV!E1149&lt;&gt;"TAO",IF(LEN(F1149)&gt;0,F1149,IF(LEN(D1149)&gt;0,D1149,0))*Taostats_CSV!P1149,"")</f>
        <v/>
      </c>
      <c r="M1149" t="str">
        <f t="shared" si="117"/>
        <v/>
      </c>
      <c r="N1149">
        <f>COUNTIF(Taostats_CSV!$X:$X,Taostats_CSV!$I1149&amp;N$1)</f>
        <v>0</v>
      </c>
      <c r="O1149">
        <f>COUNTIF(Taostats_CSV!$X:$X,Taostats_CSV!$I1149&amp;O$1)</f>
        <v>0</v>
      </c>
      <c r="P1149">
        <f>COUNTIF(Taostats_CSV!$X:$X,Taostats_CSV!$I1149&amp;P$1)</f>
        <v>0</v>
      </c>
      <c r="Q1149" t="b">
        <f t="shared" si="118"/>
        <v>0</v>
      </c>
      <c r="R1149" t="b">
        <f>IF(LEN(K1149)&gt;0,COUNTIF($K$3:K1149,K1149),FALSE)</f>
        <v>0</v>
      </c>
      <c r="S1149" t="b">
        <f>IF(Taostats_CSV!A1149=Taostats_CSV!$A$2,TRUE,Taostats_CSV!G1149+Taostats_CSV!H1149+Taostats_CSV!R1149=0)</f>
        <v>1</v>
      </c>
      <c r="T1149" t="b">
        <f t="shared" si="119"/>
        <v>0</v>
      </c>
      <c r="U1149" t="b" cm="1">
        <f t="array" aca="1" ref="U1149" ca="1">AND(T1149,OR(O1149-N1149&gt;1,P1149&gt;1,ISERROR(A1149:P1149)))</f>
        <v>0</v>
      </c>
      <c r="W1149" t="e">
        <f>MATCH(K1149&amp;$W$2,Taostats_CSV!$X$3:$X$1167,0)</f>
        <v>#N/A</v>
      </c>
      <c r="X1149" t="e">
        <f t="shared" ca="1" si="114"/>
        <v>#VALUE!</v>
      </c>
      <c r="Y1149">
        <f t="shared" ca="1" si="115"/>
        <v>0</v>
      </c>
      <c r="Z1149" t="e">
        <f t="shared" ca="1" si="116"/>
        <v>#VALUE!</v>
      </c>
    </row>
    <row r="1150" spans="1:26" hidden="1" x14ac:dyDescent="0.4">
      <c r="A1150" t="str">
        <f>MID(Taostats_CSV!C1150,6,2)&amp;"/"&amp;MID(Taostats_CSV!C1150,9,2)&amp;"/"&amp;LEFT(Taostats_CSV!C1150,4)&amp;" "&amp;MID(Taostats_CSV!C1150,12,8)</f>
        <v>12/08/2025 23:59:48</v>
      </c>
      <c r="C1150" t="str">
        <f ca="1">IF(Q1150,OFFSET(Taostats_CSV!$E$1,MATCH(K1150&amp;D$1,Taostats_CSV!$X:$X,0)-1,0),IF(Taostats_CSV!F1150="fee","",IF(VALUE(Taostats_CSV!G1150)&gt;0,Taostats_CSV!E1150,"")))</f>
        <v/>
      </c>
      <c r="D1150" t="str">
        <f ca="1">IF(Q1150,OFFSET(Taostats_CSV!$G$1,MATCH(K1150&amp;D$1,Taostats_CSV!$X:$X,0)-1,0),IF(Taostats_CSV!F1150="fee","",IF(VALUE(Taostats_CSV!G1150)&gt;0,Taostats_CSV!G1150,"")))</f>
        <v/>
      </c>
      <c r="E1150" t="str">
        <f ca="1">IF(AND(Q1150,P1150&gt;0),OFFSET(Taostats_CSV!$E$1,MATCH(K1150&amp;F$1,Taostats_CSV!$X:$X,0)-1,0),IF(LEN(F1150)&gt;0,Taostats_CSV!E1150,""))</f>
        <v>TAO</v>
      </c>
      <c r="F1150" t="str">
        <f ca="1">TRIM(IF(AND(Q1150,P1150&gt;0),OFFSET(Taostats_CSV!$H$1,MATCH(K1150&amp;F$1,Taostats_CSV!$X:$X,0)-1,0),IF(LEN(Taostats_CSV!H1150)&gt;0,Taostats_CSV!H1150,Taostats_CSV!R1150)))</f>
        <v>0</v>
      </c>
      <c r="G1150" t="str">
        <f ca="1">IF(AND(Q1150,N1150=1),OFFSET(Taostats_CSV!$E$1,MATCH(K1150&amp;H$1,Taostats_CSV!$X:$X,0)-1,0),IF(Taostats_CSV!F1150="fee",Taostats_CSV!E1150,""))</f>
        <v/>
      </c>
      <c r="H1150" t="str">
        <f ca="1">IF(AND(Q1150,N1150=1),OFFSET(Taostats_CSV!$G$1,MATCH(K1150&amp;H$1,Taostats_CSV!$X:$X,0)-1,0),IF(Taostats_CSV!F1150="fee",Taostats_CSV!G1150,""))</f>
        <v/>
      </c>
      <c r="I1150" t="str">
        <f ca="1">IF(AND(LEN(K1150)=0,LEN(F1150)&gt;0),"Income",IF(AND(O1150&gt;0,P1150&gt;0,C1150&lt;&gt;E1150),"Trade",IF(AND(NOT(Q1150),Taostats_CSV!F1150="fee"),'READ ME'!$C$5,"")))</f>
        <v>Income</v>
      </c>
      <c r="J1150" t="str">
        <f ca="1">SUBSTITUTE(IF(LEN(I1150)=0,Taostats_CSV!F1150&amp;" "&amp;Taostats_CSV!J1150,IF(I1150="Cost","Extrinsic fee","")),"_"," ")</f>
        <v/>
      </c>
      <c r="K1150" t="str">
        <f>TRIM(IF(LEN(Taostats_CSV!I1150)&gt;0,Taostats_CSV!I1150,""))</f>
        <v/>
      </c>
      <c r="L1150" t="str">
        <f>IF(Taostats_CSV!E1150&lt;&gt;"TAO",IF(LEN(F1150)&gt;0,F1150,IF(LEN(D1150)&gt;0,D1150,0))*Taostats_CSV!P1150,"")</f>
        <v/>
      </c>
      <c r="M1150" t="str">
        <f t="shared" si="117"/>
        <v/>
      </c>
      <c r="N1150">
        <f>COUNTIF(Taostats_CSV!$X:$X,Taostats_CSV!$I1150&amp;N$1)</f>
        <v>0</v>
      </c>
      <c r="O1150">
        <f>COUNTIF(Taostats_CSV!$X:$X,Taostats_CSV!$I1150&amp;O$1)</f>
        <v>0</v>
      </c>
      <c r="P1150">
        <f>COUNTIF(Taostats_CSV!$X:$X,Taostats_CSV!$I1150&amp;P$1)</f>
        <v>0</v>
      </c>
      <c r="Q1150" t="b">
        <f t="shared" si="118"/>
        <v>0</v>
      </c>
      <c r="R1150" t="b">
        <f>IF(LEN(K1150)&gt;0,COUNTIF($K$3:K1150,K1150),FALSE)</f>
        <v>0</v>
      </c>
      <c r="S1150" t="b">
        <f>IF(Taostats_CSV!A1150=Taostats_CSV!$A$2,TRUE,Taostats_CSV!G1150+Taostats_CSV!H1150+Taostats_CSV!R1150=0)</f>
        <v>1</v>
      </c>
      <c r="T1150" t="b">
        <f t="shared" si="119"/>
        <v>0</v>
      </c>
      <c r="U1150" t="b" cm="1">
        <f t="array" aca="1" ref="U1150" ca="1">AND(T1150,OR(O1150-N1150&gt;1,P1150&gt;1,ISERROR(A1150:P1150)))</f>
        <v>0</v>
      </c>
      <c r="W1150" t="e">
        <f>MATCH(K1150&amp;$W$2,Taostats_CSV!$X$3:$X$1167,0)</f>
        <v>#N/A</v>
      </c>
      <c r="X1150" t="e">
        <f t="shared" ca="1" si="114"/>
        <v>#VALUE!</v>
      </c>
      <c r="Y1150">
        <f t="shared" ca="1" si="115"/>
        <v>0</v>
      </c>
      <c r="Z1150" t="e">
        <f t="shared" ca="1" si="116"/>
        <v>#VALUE!</v>
      </c>
    </row>
    <row r="1151" spans="1:26" hidden="1" x14ac:dyDescent="0.4">
      <c r="A1151" t="str">
        <f>MID(Taostats_CSV!C1151,6,2)&amp;"/"&amp;MID(Taostats_CSV!C1151,9,2)&amp;"/"&amp;LEFT(Taostats_CSV!C1151,4)&amp;" "&amp;MID(Taostats_CSV!C1151,12,8)</f>
        <v>12/09/2025 23:59:48</v>
      </c>
      <c r="C1151" t="str">
        <f ca="1">IF(Q1151,OFFSET(Taostats_CSV!$E$1,MATCH(K1151&amp;D$1,Taostats_CSV!$X:$X,0)-1,0),IF(Taostats_CSV!F1151="fee","",IF(VALUE(Taostats_CSV!G1151)&gt;0,Taostats_CSV!E1151,"")))</f>
        <v/>
      </c>
      <c r="D1151" t="str">
        <f ca="1">IF(Q1151,OFFSET(Taostats_CSV!$G$1,MATCH(K1151&amp;D$1,Taostats_CSV!$X:$X,0)-1,0),IF(Taostats_CSV!F1151="fee","",IF(VALUE(Taostats_CSV!G1151)&gt;0,Taostats_CSV!G1151,"")))</f>
        <v/>
      </c>
      <c r="E1151" t="str">
        <f ca="1">IF(AND(Q1151,P1151&gt;0),OFFSET(Taostats_CSV!$E$1,MATCH(K1151&amp;F$1,Taostats_CSV!$X:$X,0)-1,0),IF(LEN(F1151)&gt;0,Taostats_CSV!E1151,""))</f>
        <v>TAO</v>
      </c>
      <c r="F1151" t="str">
        <f ca="1">TRIM(IF(AND(Q1151,P1151&gt;0),OFFSET(Taostats_CSV!$H$1,MATCH(K1151&amp;F$1,Taostats_CSV!$X:$X,0)-1,0),IF(LEN(Taostats_CSV!H1151)&gt;0,Taostats_CSV!H1151,Taostats_CSV!R1151)))</f>
        <v>0</v>
      </c>
      <c r="G1151" t="str">
        <f ca="1">IF(AND(Q1151,N1151=1),OFFSET(Taostats_CSV!$E$1,MATCH(K1151&amp;H$1,Taostats_CSV!$X:$X,0)-1,0),IF(Taostats_CSV!F1151="fee",Taostats_CSV!E1151,""))</f>
        <v/>
      </c>
      <c r="H1151" t="str">
        <f ca="1">IF(AND(Q1151,N1151=1),OFFSET(Taostats_CSV!$G$1,MATCH(K1151&amp;H$1,Taostats_CSV!$X:$X,0)-1,0),IF(Taostats_CSV!F1151="fee",Taostats_CSV!G1151,""))</f>
        <v/>
      </c>
      <c r="I1151" t="str">
        <f ca="1">IF(AND(LEN(K1151)=0,LEN(F1151)&gt;0),"Income",IF(AND(O1151&gt;0,P1151&gt;0,C1151&lt;&gt;E1151),"Trade",IF(AND(NOT(Q1151),Taostats_CSV!F1151="fee"),'READ ME'!$C$5,"")))</f>
        <v>Income</v>
      </c>
      <c r="J1151" t="str">
        <f ca="1">SUBSTITUTE(IF(LEN(I1151)=0,Taostats_CSV!F1151&amp;" "&amp;Taostats_CSV!J1151,IF(I1151="Cost","Extrinsic fee","")),"_"," ")</f>
        <v/>
      </c>
      <c r="K1151" t="str">
        <f>TRIM(IF(LEN(Taostats_CSV!I1151)&gt;0,Taostats_CSV!I1151,""))</f>
        <v/>
      </c>
      <c r="L1151" t="str">
        <f>IF(Taostats_CSV!E1151&lt;&gt;"TAO",IF(LEN(F1151)&gt;0,F1151,IF(LEN(D1151)&gt;0,D1151,0))*Taostats_CSV!P1151,"")</f>
        <v/>
      </c>
      <c r="M1151" t="str">
        <f t="shared" si="117"/>
        <v/>
      </c>
      <c r="N1151">
        <f>COUNTIF(Taostats_CSV!$X:$X,Taostats_CSV!$I1151&amp;N$1)</f>
        <v>0</v>
      </c>
      <c r="O1151">
        <f>COUNTIF(Taostats_CSV!$X:$X,Taostats_CSV!$I1151&amp;O$1)</f>
        <v>0</v>
      </c>
      <c r="P1151">
        <f>COUNTIF(Taostats_CSV!$X:$X,Taostats_CSV!$I1151&amp;P$1)</f>
        <v>0</v>
      </c>
      <c r="Q1151" t="b">
        <f t="shared" si="118"/>
        <v>0</v>
      </c>
      <c r="R1151" t="b">
        <f>IF(LEN(K1151)&gt;0,COUNTIF($K$3:K1151,K1151),FALSE)</f>
        <v>0</v>
      </c>
      <c r="S1151" t="b">
        <f>IF(Taostats_CSV!A1151=Taostats_CSV!$A$2,TRUE,Taostats_CSV!G1151+Taostats_CSV!H1151+Taostats_CSV!R1151=0)</f>
        <v>1</v>
      </c>
      <c r="T1151" t="b">
        <f t="shared" si="119"/>
        <v>0</v>
      </c>
      <c r="U1151" t="b" cm="1">
        <f t="array" aca="1" ref="U1151" ca="1">AND(T1151,OR(O1151-N1151&gt;1,P1151&gt;1,ISERROR(A1151:P1151)))</f>
        <v>0</v>
      </c>
      <c r="W1151" t="e">
        <f>MATCH(K1151&amp;$W$2,Taostats_CSV!$X$3:$X$1167,0)</f>
        <v>#N/A</v>
      </c>
      <c r="X1151" t="e">
        <f t="shared" ca="1" si="114"/>
        <v>#VALUE!</v>
      </c>
      <c r="Y1151">
        <f t="shared" ca="1" si="115"/>
        <v>0</v>
      </c>
      <c r="Z1151" t="e">
        <f t="shared" ca="1" si="116"/>
        <v>#VALUE!</v>
      </c>
    </row>
    <row r="1152" spans="1:26" hidden="1" x14ac:dyDescent="0.4">
      <c r="A1152" t="str">
        <f>MID(Taostats_CSV!C1152,6,2)&amp;"/"&amp;MID(Taostats_CSV!C1152,9,2)&amp;"/"&amp;LEFT(Taostats_CSV!C1152,4)&amp;" "&amp;MID(Taostats_CSV!C1152,12,8)</f>
        <v>12/10/2025 23:59:48</v>
      </c>
      <c r="C1152" t="str">
        <f ca="1">IF(Q1152,OFFSET(Taostats_CSV!$E$1,MATCH(K1152&amp;D$1,Taostats_CSV!$X:$X,0)-1,0),IF(Taostats_CSV!F1152="fee","",IF(VALUE(Taostats_CSV!G1152)&gt;0,Taostats_CSV!E1152,"")))</f>
        <v/>
      </c>
      <c r="D1152" t="str">
        <f ca="1">IF(Q1152,OFFSET(Taostats_CSV!$G$1,MATCH(K1152&amp;D$1,Taostats_CSV!$X:$X,0)-1,0),IF(Taostats_CSV!F1152="fee","",IF(VALUE(Taostats_CSV!G1152)&gt;0,Taostats_CSV!G1152,"")))</f>
        <v/>
      </c>
      <c r="E1152" t="str">
        <f ca="1">IF(AND(Q1152,P1152&gt;0),OFFSET(Taostats_CSV!$E$1,MATCH(K1152&amp;F$1,Taostats_CSV!$X:$X,0)-1,0),IF(LEN(F1152)&gt;0,Taostats_CSV!E1152,""))</f>
        <v>TAO</v>
      </c>
      <c r="F1152" t="str">
        <f ca="1">TRIM(IF(AND(Q1152,P1152&gt;0),OFFSET(Taostats_CSV!$H$1,MATCH(K1152&amp;F$1,Taostats_CSV!$X:$X,0)-1,0),IF(LEN(Taostats_CSV!H1152)&gt;0,Taostats_CSV!H1152,Taostats_CSV!R1152)))</f>
        <v>0</v>
      </c>
      <c r="G1152" t="str">
        <f ca="1">IF(AND(Q1152,N1152=1),OFFSET(Taostats_CSV!$E$1,MATCH(K1152&amp;H$1,Taostats_CSV!$X:$X,0)-1,0),IF(Taostats_CSV!F1152="fee",Taostats_CSV!E1152,""))</f>
        <v/>
      </c>
      <c r="H1152" t="str">
        <f ca="1">IF(AND(Q1152,N1152=1),OFFSET(Taostats_CSV!$G$1,MATCH(K1152&amp;H$1,Taostats_CSV!$X:$X,0)-1,0),IF(Taostats_CSV!F1152="fee",Taostats_CSV!G1152,""))</f>
        <v/>
      </c>
      <c r="I1152" t="str">
        <f ca="1">IF(AND(LEN(K1152)=0,LEN(F1152)&gt;0),"Income",IF(AND(O1152&gt;0,P1152&gt;0,C1152&lt;&gt;E1152),"Trade",IF(AND(NOT(Q1152),Taostats_CSV!F1152="fee"),'READ ME'!$C$5,"")))</f>
        <v>Income</v>
      </c>
      <c r="J1152" t="str">
        <f ca="1">SUBSTITUTE(IF(LEN(I1152)=0,Taostats_CSV!F1152&amp;" "&amp;Taostats_CSV!J1152,IF(I1152="Cost","Extrinsic fee","")),"_"," ")</f>
        <v/>
      </c>
      <c r="K1152" t="str">
        <f>TRIM(IF(LEN(Taostats_CSV!I1152)&gt;0,Taostats_CSV!I1152,""))</f>
        <v/>
      </c>
      <c r="L1152" t="str">
        <f>IF(Taostats_CSV!E1152&lt;&gt;"TAO",IF(LEN(F1152)&gt;0,F1152,IF(LEN(D1152)&gt;0,D1152,0))*Taostats_CSV!P1152,"")</f>
        <v/>
      </c>
      <c r="M1152" t="str">
        <f t="shared" si="117"/>
        <v/>
      </c>
      <c r="N1152">
        <f>COUNTIF(Taostats_CSV!$X:$X,Taostats_CSV!$I1152&amp;N$1)</f>
        <v>0</v>
      </c>
      <c r="O1152">
        <f>COUNTIF(Taostats_CSV!$X:$X,Taostats_CSV!$I1152&amp;O$1)</f>
        <v>0</v>
      </c>
      <c r="P1152">
        <f>COUNTIF(Taostats_CSV!$X:$X,Taostats_CSV!$I1152&amp;P$1)</f>
        <v>0</v>
      </c>
      <c r="Q1152" t="b">
        <f t="shared" si="118"/>
        <v>0</v>
      </c>
      <c r="R1152" t="b">
        <f>IF(LEN(K1152)&gt;0,COUNTIF($K$3:K1152,K1152),FALSE)</f>
        <v>0</v>
      </c>
      <c r="S1152" t="b">
        <f>IF(Taostats_CSV!A1152=Taostats_CSV!$A$2,TRUE,Taostats_CSV!G1152+Taostats_CSV!H1152+Taostats_CSV!R1152=0)</f>
        <v>1</v>
      </c>
      <c r="T1152" t="b">
        <f t="shared" si="119"/>
        <v>0</v>
      </c>
      <c r="U1152" t="b" cm="1">
        <f t="array" aca="1" ref="U1152" ca="1">AND(T1152,OR(O1152-N1152&gt;1,P1152&gt;1,ISERROR(A1152:P1152)))</f>
        <v>0</v>
      </c>
      <c r="W1152" t="e">
        <f>MATCH(K1152&amp;$W$2,Taostats_CSV!$X$3:$X$1167,0)</f>
        <v>#N/A</v>
      </c>
      <c r="X1152" t="e">
        <f t="shared" ca="1" si="114"/>
        <v>#VALUE!</v>
      </c>
      <c r="Y1152">
        <f t="shared" ca="1" si="115"/>
        <v>0</v>
      </c>
      <c r="Z1152" t="e">
        <f t="shared" ca="1" si="116"/>
        <v>#VALUE!</v>
      </c>
    </row>
    <row r="1153" spans="1:26" hidden="1" x14ac:dyDescent="0.4">
      <c r="A1153" t="str">
        <f>MID(Taostats_CSV!C1153,6,2)&amp;"/"&amp;MID(Taostats_CSV!C1153,9,2)&amp;"/"&amp;LEFT(Taostats_CSV!C1153,4)&amp;" "&amp;MID(Taostats_CSV!C1153,12,8)</f>
        <v>12/11/2025 23:59:48</v>
      </c>
      <c r="C1153" t="str">
        <f ca="1">IF(Q1153,OFFSET(Taostats_CSV!$E$1,MATCH(K1153&amp;D$1,Taostats_CSV!$X:$X,0)-1,0),IF(Taostats_CSV!F1153="fee","",IF(VALUE(Taostats_CSV!G1153)&gt;0,Taostats_CSV!E1153,"")))</f>
        <v/>
      </c>
      <c r="D1153" t="str">
        <f ca="1">IF(Q1153,OFFSET(Taostats_CSV!$G$1,MATCH(K1153&amp;D$1,Taostats_CSV!$X:$X,0)-1,0),IF(Taostats_CSV!F1153="fee","",IF(VALUE(Taostats_CSV!G1153)&gt;0,Taostats_CSV!G1153,"")))</f>
        <v/>
      </c>
      <c r="E1153" t="str">
        <f ca="1">IF(AND(Q1153,P1153&gt;0),OFFSET(Taostats_CSV!$E$1,MATCH(K1153&amp;F$1,Taostats_CSV!$X:$X,0)-1,0),IF(LEN(F1153)&gt;0,Taostats_CSV!E1153,""))</f>
        <v>TAO</v>
      </c>
      <c r="F1153" t="str">
        <f ca="1">TRIM(IF(AND(Q1153,P1153&gt;0),OFFSET(Taostats_CSV!$H$1,MATCH(K1153&amp;F$1,Taostats_CSV!$X:$X,0)-1,0),IF(LEN(Taostats_CSV!H1153)&gt;0,Taostats_CSV!H1153,Taostats_CSV!R1153)))</f>
        <v>0</v>
      </c>
      <c r="G1153" t="str">
        <f ca="1">IF(AND(Q1153,N1153=1),OFFSET(Taostats_CSV!$E$1,MATCH(K1153&amp;H$1,Taostats_CSV!$X:$X,0)-1,0),IF(Taostats_CSV!F1153="fee",Taostats_CSV!E1153,""))</f>
        <v/>
      </c>
      <c r="H1153" t="str">
        <f ca="1">IF(AND(Q1153,N1153=1),OFFSET(Taostats_CSV!$G$1,MATCH(K1153&amp;H$1,Taostats_CSV!$X:$X,0)-1,0),IF(Taostats_CSV!F1153="fee",Taostats_CSV!G1153,""))</f>
        <v/>
      </c>
      <c r="I1153" t="str">
        <f ca="1">IF(AND(LEN(K1153)=0,LEN(F1153)&gt;0),"Income",IF(AND(O1153&gt;0,P1153&gt;0,C1153&lt;&gt;E1153),"Trade",IF(AND(NOT(Q1153),Taostats_CSV!F1153="fee"),'READ ME'!$C$5,"")))</f>
        <v>Income</v>
      </c>
      <c r="J1153" t="str">
        <f ca="1">SUBSTITUTE(IF(LEN(I1153)=0,Taostats_CSV!F1153&amp;" "&amp;Taostats_CSV!J1153,IF(I1153="Cost","Extrinsic fee","")),"_"," ")</f>
        <v/>
      </c>
      <c r="K1153" t="str">
        <f>TRIM(IF(LEN(Taostats_CSV!I1153)&gt;0,Taostats_CSV!I1153,""))</f>
        <v/>
      </c>
      <c r="L1153" t="str">
        <f>IF(Taostats_CSV!E1153&lt;&gt;"TAO",IF(LEN(F1153)&gt;0,F1153,IF(LEN(D1153)&gt;0,D1153,0))*Taostats_CSV!P1153,"")</f>
        <v/>
      </c>
      <c r="M1153" t="str">
        <f t="shared" si="117"/>
        <v/>
      </c>
      <c r="N1153">
        <f>COUNTIF(Taostats_CSV!$X:$X,Taostats_CSV!$I1153&amp;N$1)</f>
        <v>0</v>
      </c>
      <c r="O1153">
        <f>COUNTIF(Taostats_CSV!$X:$X,Taostats_CSV!$I1153&amp;O$1)</f>
        <v>0</v>
      </c>
      <c r="P1153">
        <f>COUNTIF(Taostats_CSV!$X:$X,Taostats_CSV!$I1153&amp;P$1)</f>
        <v>0</v>
      </c>
      <c r="Q1153" t="b">
        <f t="shared" si="118"/>
        <v>0</v>
      </c>
      <c r="R1153" t="b">
        <f>IF(LEN(K1153)&gt;0,COUNTIF($K$3:K1153,K1153),FALSE)</f>
        <v>0</v>
      </c>
      <c r="S1153" t="b">
        <f>IF(Taostats_CSV!A1153=Taostats_CSV!$A$2,TRUE,Taostats_CSV!G1153+Taostats_CSV!H1153+Taostats_CSV!R1153=0)</f>
        <v>1</v>
      </c>
      <c r="T1153" t="b">
        <f t="shared" si="119"/>
        <v>0</v>
      </c>
      <c r="U1153" t="b" cm="1">
        <f t="array" aca="1" ref="U1153" ca="1">AND(T1153,OR(O1153-N1153&gt;1,P1153&gt;1,ISERROR(A1153:P1153)))</f>
        <v>0</v>
      </c>
      <c r="W1153" t="e">
        <f>MATCH(K1153&amp;$W$2,Taostats_CSV!$X$3:$X$1167,0)</f>
        <v>#N/A</v>
      </c>
      <c r="X1153" t="e">
        <f t="shared" ca="1" si="114"/>
        <v>#VALUE!</v>
      </c>
      <c r="Y1153">
        <f t="shared" ca="1" si="115"/>
        <v>0</v>
      </c>
      <c r="Z1153" t="e">
        <f t="shared" ca="1" si="116"/>
        <v>#VALUE!</v>
      </c>
    </row>
    <row r="1154" spans="1:26" hidden="1" x14ac:dyDescent="0.4">
      <c r="A1154" t="str">
        <f>MID(Taostats_CSV!C1154,6,2)&amp;"/"&amp;MID(Taostats_CSV!C1154,9,2)&amp;"/"&amp;LEFT(Taostats_CSV!C1154,4)&amp;" "&amp;MID(Taostats_CSV!C1154,12,8)</f>
        <v>12/12/2025 23:59:48</v>
      </c>
      <c r="C1154" t="str">
        <f ca="1">IF(Q1154,OFFSET(Taostats_CSV!$E$1,MATCH(K1154&amp;D$1,Taostats_CSV!$X:$X,0)-1,0),IF(Taostats_CSV!F1154="fee","",IF(VALUE(Taostats_CSV!G1154)&gt;0,Taostats_CSV!E1154,"")))</f>
        <v/>
      </c>
      <c r="D1154" t="str">
        <f ca="1">IF(Q1154,OFFSET(Taostats_CSV!$G$1,MATCH(K1154&amp;D$1,Taostats_CSV!$X:$X,0)-1,0),IF(Taostats_CSV!F1154="fee","",IF(VALUE(Taostats_CSV!G1154)&gt;0,Taostats_CSV!G1154,"")))</f>
        <v/>
      </c>
      <c r="E1154" t="str">
        <f ca="1">IF(AND(Q1154,P1154&gt;0),OFFSET(Taostats_CSV!$E$1,MATCH(K1154&amp;F$1,Taostats_CSV!$X:$X,0)-1,0),IF(LEN(F1154)&gt;0,Taostats_CSV!E1154,""))</f>
        <v>TAO</v>
      </c>
      <c r="F1154" t="str">
        <f ca="1">TRIM(IF(AND(Q1154,P1154&gt;0),OFFSET(Taostats_CSV!$H$1,MATCH(K1154&amp;F$1,Taostats_CSV!$X:$X,0)-1,0),IF(LEN(Taostats_CSV!H1154)&gt;0,Taostats_CSV!H1154,Taostats_CSV!R1154)))</f>
        <v>0</v>
      </c>
      <c r="G1154" t="str">
        <f ca="1">IF(AND(Q1154,N1154=1),OFFSET(Taostats_CSV!$E$1,MATCH(K1154&amp;H$1,Taostats_CSV!$X:$X,0)-1,0),IF(Taostats_CSV!F1154="fee",Taostats_CSV!E1154,""))</f>
        <v/>
      </c>
      <c r="H1154" t="str">
        <f ca="1">IF(AND(Q1154,N1154=1),OFFSET(Taostats_CSV!$G$1,MATCH(K1154&amp;H$1,Taostats_CSV!$X:$X,0)-1,0),IF(Taostats_CSV!F1154="fee",Taostats_CSV!G1154,""))</f>
        <v/>
      </c>
      <c r="I1154" t="str">
        <f ca="1">IF(AND(LEN(K1154)=0,LEN(F1154)&gt;0),"Income",IF(AND(O1154&gt;0,P1154&gt;0,C1154&lt;&gt;E1154),"Trade",IF(AND(NOT(Q1154),Taostats_CSV!F1154="fee"),'READ ME'!$C$5,"")))</f>
        <v>Income</v>
      </c>
      <c r="J1154" t="str">
        <f ca="1">SUBSTITUTE(IF(LEN(I1154)=0,Taostats_CSV!F1154&amp;" "&amp;Taostats_CSV!J1154,IF(I1154="Cost","Extrinsic fee","")),"_"," ")</f>
        <v/>
      </c>
      <c r="K1154" t="str">
        <f>TRIM(IF(LEN(Taostats_CSV!I1154)&gt;0,Taostats_CSV!I1154,""))</f>
        <v/>
      </c>
      <c r="L1154" t="str">
        <f>IF(Taostats_CSV!E1154&lt;&gt;"TAO",IF(LEN(F1154)&gt;0,F1154,IF(LEN(D1154)&gt;0,D1154,0))*Taostats_CSV!P1154,"")</f>
        <v/>
      </c>
      <c r="M1154" t="str">
        <f t="shared" si="117"/>
        <v/>
      </c>
      <c r="N1154">
        <f>COUNTIF(Taostats_CSV!$X:$X,Taostats_CSV!$I1154&amp;N$1)</f>
        <v>0</v>
      </c>
      <c r="O1154">
        <f>COUNTIF(Taostats_CSV!$X:$X,Taostats_CSV!$I1154&amp;O$1)</f>
        <v>0</v>
      </c>
      <c r="P1154">
        <f>COUNTIF(Taostats_CSV!$X:$X,Taostats_CSV!$I1154&amp;P$1)</f>
        <v>0</v>
      </c>
      <c r="Q1154" t="b">
        <f t="shared" si="118"/>
        <v>0</v>
      </c>
      <c r="R1154" t="b">
        <f>IF(LEN(K1154)&gt;0,COUNTIF($K$3:K1154,K1154),FALSE)</f>
        <v>0</v>
      </c>
      <c r="S1154" t="b">
        <f>IF(Taostats_CSV!A1154=Taostats_CSV!$A$2,TRUE,Taostats_CSV!G1154+Taostats_CSV!H1154+Taostats_CSV!R1154=0)</f>
        <v>1</v>
      </c>
      <c r="T1154" t="b">
        <f t="shared" si="119"/>
        <v>0</v>
      </c>
      <c r="U1154" t="b" cm="1">
        <f t="array" aca="1" ref="U1154" ca="1">AND(T1154,OR(O1154-N1154&gt;1,P1154&gt;1,ISERROR(A1154:P1154)))</f>
        <v>0</v>
      </c>
      <c r="W1154" t="e">
        <f>MATCH(K1154&amp;$W$2,Taostats_CSV!$X$3:$X$1167,0)</f>
        <v>#N/A</v>
      </c>
      <c r="X1154" t="e">
        <f t="shared" ca="1" si="114"/>
        <v>#VALUE!</v>
      </c>
      <c r="Y1154">
        <f t="shared" ca="1" si="115"/>
        <v>0</v>
      </c>
      <c r="Z1154" t="e">
        <f t="shared" ca="1" si="116"/>
        <v>#VALUE!</v>
      </c>
    </row>
    <row r="1155" spans="1:26" hidden="1" x14ac:dyDescent="0.4">
      <c r="A1155" t="str">
        <f>MID(Taostats_CSV!C1155,6,2)&amp;"/"&amp;MID(Taostats_CSV!C1155,9,2)&amp;"/"&amp;LEFT(Taostats_CSV!C1155,4)&amp;" "&amp;MID(Taostats_CSV!C1155,12,8)</f>
        <v>12/13/2025 23:59:48</v>
      </c>
      <c r="C1155" t="str">
        <f ca="1">IF(Q1155,OFFSET(Taostats_CSV!$E$1,MATCH(K1155&amp;D$1,Taostats_CSV!$X:$X,0)-1,0),IF(Taostats_CSV!F1155="fee","",IF(VALUE(Taostats_CSV!G1155)&gt;0,Taostats_CSV!E1155,"")))</f>
        <v/>
      </c>
      <c r="D1155" t="str">
        <f ca="1">IF(Q1155,OFFSET(Taostats_CSV!$G$1,MATCH(K1155&amp;D$1,Taostats_CSV!$X:$X,0)-1,0),IF(Taostats_CSV!F1155="fee","",IF(VALUE(Taostats_CSV!G1155)&gt;0,Taostats_CSV!G1155,"")))</f>
        <v/>
      </c>
      <c r="E1155" t="str">
        <f ca="1">IF(AND(Q1155,P1155&gt;0),OFFSET(Taostats_CSV!$E$1,MATCH(K1155&amp;F$1,Taostats_CSV!$X:$X,0)-1,0),IF(LEN(F1155)&gt;0,Taostats_CSV!E1155,""))</f>
        <v>TAO</v>
      </c>
      <c r="F1155" t="str">
        <f ca="1">TRIM(IF(AND(Q1155,P1155&gt;0),OFFSET(Taostats_CSV!$H$1,MATCH(K1155&amp;F$1,Taostats_CSV!$X:$X,0)-1,0),IF(LEN(Taostats_CSV!H1155)&gt;0,Taostats_CSV!H1155,Taostats_CSV!R1155)))</f>
        <v>0</v>
      </c>
      <c r="G1155" t="str">
        <f ca="1">IF(AND(Q1155,N1155=1),OFFSET(Taostats_CSV!$E$1,MATCH(K1155&amp;H$1,Taostats_CSV!$X:$X,0)-1,0),IF(Taostats_CSV!F1155="fee",Taostats_CSV!E1155,""))</f>
        <v/>
      </c>
      <c r="H1155" t="str">
        <f ca="1">IF(AND(Q1155,N1155=1),OFFSET(Taostats_CSV!$G$1,MATCH(K1155&amp;H$1,Taostats_CSV!$X:$X,0)-1,0),IF(Taostats_CSV!F1155="fee",Taostats_CSV!G1155,""))</f>
        <v/>
      </c>
      <c r="I1155" t="str">
        <f ca="1">IF(AND(LEN(K1155)=0,LEN(F1155)&gt;0),"Income",IF(AND(O1155&gt;0,P1155&gt;0,C1155&lt;&gt;E1155),"Trade",IF(AND(NOT(Q1155),Taostats_CSV!F1155="fee"),'READ ME'!$C$5,"")))</f>
        <v>Income</v>
      </c>
      <c r="J1155" t="str">
        <f ca="1">SUBSTITUTE(IF(LEN(I1155)=0,Taostats_CSV!F1155&amp;" "&amp;Taostats_CSV!J1155,IF(I1155="Cost","Extrinsic fee","")),"_"," ")</f>
        <v/>
      </c>
      <c r="K1155" t="str">
        <f>TRIM(IF(LEN(Taostats_CSV!I1155)&gt;0,Taostats_CSV!I1155,""))</f>
        <v/>
      </c>
      <c r="L1155" t="str">
        <f>IF(Taostats_CSV!E1155&lt;&gt;"TAO",IF(LEN(F1155)&gt;0,F1155,IF(LEN(D1155)&gt;0,D1155,0))*Taostats_CSV!P1155,"")</f>
        <v/>
      </c>
      <c r="M1155" t="str">
        <f t="shared" si="117"/>
        <v/>
      </c>
      <c r="N1155">
        <f>COUNTIF(Taostats_CSV!$X:$X,Taostats_CSV!$I1155&amp;N$1)</f>
        <v>0</v>
      </c>
      <c r="O1155">
        <f>COUNTIF(Taostats_CSV!$X:$X,Taostats_CSV!$I1155&amp;O$1)</f>
        <v>0</v>
      </c>
      <c r="P1155">
        <f>COUNTIF(Taostats_CSV!$X:$X,Taostats_CSV!$I1155&amp;P$1)</f>
        <v>0</v>
      </c>
      <c r="Q1155" t="b">
        <f t="shared" si="118"/>
        <v>0</v>
      </c>
      <c r="R1155" t="b">
        <f>IF(LEN(K1155)&gt;0,COUNTIF($K$3:K1155,K1155),FALSE)</f>
        <v>0</v>
      </c>
      <c r="S1155" t="b">
        <f>IF(Taostats_CSV!A1155=Taostats_CSV!$A$2,TRUE,Taostats_CSV!G1155+Taostats_CSV!H1155+Taostats_CSV!R1155=0)</f>
        <v>1</v>
      </c>
      <c r="T1155" t="b">
        <f t="shared" si="119"/>
        <v>0</v>
      </c>
      <c r="U1155" t="b" cm="1">
        <f t="array" aca="1" ref="U1155" ca="1">AND(T1155,OR(O1155-N1155&gt;1,P1155&gt;1,ISERROR(A1155:P1155)))</f>
        <v>0</v>
      </c>
      <c r="W1155" t="e">
        <f>MATCH(K1155&amp;$W$2,Taostats_CSV!$X$3:$X$1167,0)</f>
        <v>#N/A</v>
      </c>
      <c r="X1155" t="e">
        <f t="shared" ref="X1155:X1177" ca="1" si="120">VALUE(D1155)</f>
        <v>#VALUE!</v>
      </c>
      <c r="Y1155">
        <f t="shared" ref="Y1155:Y1177" ca="1" si="121">VALUE(F1155)</f>
        <v>0</v>
      </c>
      <c r="Z1155" t="e">
        <f t="shared" ca="1" si="116"/>
        <v>#VALUE!</v>
      </c>
    </row>
    <row r="1156" spans="1:26" hidden="1" x14ac:dyDescent="0.4">
      <c r="A1156" t="str">
        <f>MID(Taostats_CSV!C1156,6,2)&amp;"/"&amp;MID(Taostats_CSV!C1156,9,2)&amp;"/"&amp;LEFT(Taostats_CSV!C1156,4)&amp;" "&amp;MID(Taostats_CSV!C1156,12,8)</f>
        <v>12/14/2025 23:59:48</v>
      </c>
      <c r="C1156" t="str">
        <f ca="1">IF(Q1156,OFFSET(Taostats_CSV!$E$1,MATCH(K1156&amp;D$1,Taostats_CSV!$X:$X,0)-1,0),IF(Taostats_CSV!F1156="fee","",IF(VALUE(Taostats_CSV!G1156)&gt;0,Taostats_CSV!E1156,"")))</f>
        <v/>
      </c>
      <c r="D1156" t="str">
        <f ca="1">IF(Q1156,OFFSET(Taostats_CSV!$G$1,MATCH(K1156&amp;D$1,Taostats_CSV!$X:$X,0)-1,0),IF(Taostats_CSV!F1156="fee","",IF(VALUE(Taostats_CSV!G1156)&gt;0,Taostats_CSV!G1156,"")))</f>
        <v/>
      </c>
      <c r="E1156" t="str">
        <f ca="1">IF(AND(Q1156,P1156&gt;0),OFFSET(Taostats_CSV!$E$1,MATCH(K1156&amp;F$1,Taostats_CSV!$X:$X,0)-1,0),IF(LEN(F1156)&gt;0,Taostats_CSV!E1156,""))</f>
        <v>TAO</v>
      </c>
      <c r="F1156" t="str">
        <f ca="1">TRIM(IF(AND(Q1156,P1156&gt;0),OFFSET(Taostats_CSV!$H$1,MATCH(K1156&amp;F$1,Taostats_CSV!$X:$X,0)-1,0),IF(LEN(Taostats_CSV!H1156)&gt;0,Taostats_CSV!H1156,Taostats_CSV!R1156)))</f>
        <v>0</v>
      </c>
      <c r="G1156" t="str">
        <f ca="1">IF(AND(Q1156,N1156=1),OFFSET(Taostats_CSV!$E$1,MATCH(K1156&amp;H$1,Taostats_CSV!$X:$X,0)-1,0),IF(Taostats_CSV!F1156="fee",Taostats_CSV!E1156,""))</f>
        <v/>
      </c>
      <c r="H1156" t="str">
        <f ca="1">IF(AND(Q1156,N1156=1),OFFSET(Taostats_CSV!$G$1,MATCH(K1156&amp;H$1,Taostats_CSV!$X:$X,0)-1,0),IF(Taostats_CSV!F1156="fee",Taostats_CSV!G1156,""))</f>
        <v/>
      </c>
      <c r="I1156" t="str">
        <f ca="1">IF(AND(LEN(K1156)=0,LEN(F1156)&gt;0),"Income",IF(AND(O1156&gt;0,P1156&gt;0,C1156&lt;&gt;E1156),"Trade",IF(AND(NOT(Q1156),Taostats_CSV!F1156="fee"),'READ ME'!$C$5,"")))</f>
        <v>Income</v>
      </c>
      <c r="J1156" t="str">
        <f ca="1">SUBSTITUTE(IF(LEN(I1156)=0,Taostats_CSV!F1156&amp;" "&amp;Taostats_CSV!J1156,IF(I1156="Cost","Extrinsic fee","")),"_"," ")</f>
        <v/>
      </c>
      <c r="K1156" t="str">
        <f>TRIM(IF(LEN(Taostats_CSV!I1156)&gt;0,Taostats_CSV!I1156,""))</f>
        <v/>
      </c>
      <c r="L1156" t="str">
        <f>IF(Taostats_CSV!E1156&lt;&gt;"TAO",IF(LEN(F1156)&gt;0,F1156,IF(LEN(D1156)&gt;0,D1156,0))*Taostats_CSV!P1156,"")</f>
        <v/>
      </c>
      <c r="M1156" t="str">
        <f t="shared" ref="M1156:M1177" si="122">IF(LEN(L1156)&gt;0,"USD","")</f>
        <v/>
      </c>
      <c r="N1156">
        <f>COUNTIF(Taostats_CSV!$X:$X,Taostats_CSV!$I1156&amp;N$1)</f>
        <v>0</v>
      </c>
      <c r="O1156">
        <f>COUNTIF(Taostats_CSV!$X:$X,Taostats_CSV!$I1156&amp;O$1)</f>
        <v>0</v>
      </c>
      <c r="P1156">
        <f>COUNTIF(Taostats_CSV!$X:$X,Taostats_CSV!$I1156&amp;P$1)</f>
        <v>0</v>
      </c>
      <c r="Q1156" t="b">
        <f t="shared" ref="Q1156:Q1177" si="123">AND(O1156&lt;=1,N1156&lt;=1,P1156&lt;=1,O1156+N1156+P1156&gt;=2)</f>
        <v>0</v>
      </c>
      <c r="R1156" t="b">
        <f>IF(LEN(K1156)&gt;0,COUNTIF($K$3:K1156,K1156),FALSE)</f>
        <v>0</v>
      </c>
      <c r="S1156" t="b">
        <f>IF(Taostats_CSV!A1156=Taostats_CSV!$A$2,TRUE,Taostats_CSV!G1156+Taostats_CSV!H1156+Taostats_CSV!R1156=0)</f>
        <v>1</v>
      </c>
      <c r="T1156" t="b">
        <f t="shared" ref="T1156:T1177" si="124">AND(NOT(S1156),OR(NOT(Q1156),R1156=1))</f>
        <v>0</v>
      </c>
      <c r="U1156" t="b" cm="1">
        <f t="array" aca="1" ref="U1156" ca="1">AND(T1156,OR(O1156-N1156&gt;1,P1156&gt;1,ISERROR(A1156:P1156)))</f>
        <v>0</v>
      </c>
      <c r="W1156" t="e">
        <f>MATCH(K1156&amp;$W$2,Taostats_CSV!$X$3:$X$1167,0)</f>
        <v>#N/A</v>
      </c>
      <c r="X1156" t="e">
        <f t="shared" ca="1" si="120"/>
        <v>#VALUE!</v>
      </c>
      <c r="Y1156">
        <f t="shared" ca="1" si="121"/>
        <v>0</v>
      </c>
      <c r="Z1156" t="e">
        <f t="shared" ca="1" si="116"/>
        <v>#VALUE!</v>
      </c>
    </row>
    <row r="1157" spans="1:26" hidden="1" x14ac:dyDescent="0.4">
      <c r="A1157" t="str">
        <f>MID(Taostats_CSV!C1157,6,2)&amp;"/"&amp;MID(Taostats_CSV!C1157,9,2)&amp;"/"&amp;LEFT(Taostats_CSV!C1157,4)&amp;" "&amp;MID(Taostats_CSV!C1157,12,8)</f>
        <v>12/15/2025 23:59:48</v>
      </c>
      <c r="C1157" t="str">
        <f ca="1">IF(Q1157,OFFSET(Taostats_CSV!$E$1,MATCH(K1157&amp;D$1,Taostats_CSV!$X:$X,0)-1,0),IF(Taostats_CSV!F1157="fee","",IF(VALUE(Taostats_CSV!G1157)&gt;0,Taostats_CSV!E1157,"")))</f>
        <v/>
      </c>
      <c r="D1157" t="str">
        <f ca="1">IF(Q1157,OFFSET(Taostats_CSV!$G$1,MATCH(K1157&amp;D$1,Taostats_CSV!$X:$X,0)-1,0),IF(Taostats_CSV!F1157="fee","",IF(VALUE(Taostats_CSV!G1157)&gt;0,Taostats_CSV!G1157,"")))</f>
        <v/>
      </c>
      <c r="E1157" t="str">
        <f ca="1">IF(AND(Q1157,P1157&gt;0),OFFSET(Taostats_CSV!$E$1,MATCH(K1157&amp;F$1,Taostats_CSV!$X:$X,0)-1,0),IF(LEN(F1157)&gt;0,Taostats_CSV!E1157,""))</f>
        <v>TAO</v>
      </c>
      <c r="F1157" t="str">
        <f ca="1">TRIM(IF(AND(Q1157,P1157&gt;0),OFFSET(Taostats_CSV!$H$1,MATCH(K1157&amp;F$1,Taostats_CSV!$X:$X,0)-1,0),IF(LEN(Taostats_CSV!H1157)&gt;0,Taostats_CSV!H1157,Taostats_CSV!R1157)))</f>
        <v>0</v>
      </c>
      <c r="G1157" t="str">
        <f ca="1">IF(AND(Q1157,N1157=1),OFFSET(Taostats_CSV!$E$1,MATCH(K1157&amp;H$1,Taostats_CSV!$X:$X,0)-1,0),IF(Taostats_CSV!F1157="fee",Taostats_CSV!E1157,""))</f>
        <v/>
      </c>
      <c r="H1157" t="str">
        <f ca="1">IF(AND(Q1157,N1157=1),OFFSET(Taostats_CSV!$G$1,MATCH(K1157&amp;H$1,Taostats_CSV!$X:$X,0)-1,0),IF(Taostats_CSV!F1157="fee",Taostats_CSV!G1157,""))</f>
        <v/>
      </c>
      <c r="I1157" t="str">
        <f ca="1">IF(AND(LEN(K1157)=0,LEN(F1157)&gt;0),"Income",IF(AND(O1157&gt;0,P1157&gt;0,C1157&lt;&gt;E1157),"Trade",IF(AND(NOT(Q1157),Taostats_CSV!F1157="fee"),'READ ME'!$C$5,"")))</f>
        <v>Income</v>
      </c>
      <c r="J1157" t="str">
        <f ca="1">SUBSTITUTE(IF(LEN(I1157)=0,Taostats_CSV!F1157&amp;" "&amp;Taostats_CSV!J1157,IF(I1157="Cost","Extrinsic fee","")),"_"," ")</f>
        <v/>
      </c>
      <c r="K1157" t="str">
        <f>TRIM(IF(LEN(Taostats_CSV!I1157)&gt;0,Taostats_CSV!I1157,""))</f>
        <v/>
      </c>
      <c r="L1157" t="str">
        <f>IF(Taostats_CSV!E1157&lt;&gt;"TAO",IF(LEN(F1157)&gt;0,F1157,IF(LEN(D1157)&gt;0,D1157,0))*Taostats_CSV!P1157,"")</f>
        <v/>
      </c>
      <c r="M1157" t="str">
        <f t="shared" si="122"/>
        <v/>
      </c>
      <c r="N1157">
        <f>COUNTIF(Taostats_CSV!$X:$X,Taostats_CSV!$I1157&amp;N$1)</f>
        <v>0</v>
      </c>
      <c r="O1157">
        <f>COUNTIF(Taostats_CSV!$X:$X,Taostats_CSV!$I1157&amp;O$1)</f>
        <v>0</v>
      </c>
      <c r="P1157">
        <f>COUNTIF(Taostats_CSV!$X:$X,Taostats_CSV!$I1157&amp;P$1)</f>
        <v>0</v>
      </c>
      <c r="Q1157" t="b">
        <f t="shared" si="123"/>
        <v>0</v>
      </c>
      <c r="R1157" t="b">
        <f>IF(LEN(K1157)&gt;0,COUNTIF($K$3:K1157,K1157),FALSE)</f>
        <v>0</v>
      </c>
      <c r="S1157" t="b">
        <f>IF(Taostats_CSV!A1157=Taostats_CSV!$A$2,TRUE,Taostats_CSV!G1157+Taostats_CSV!H1157+Taostats_CSV!R1157=0)</f>
        <v>1</v>
      </c>
      <c r="T1157" t="b">
        <f t="shared" si="124"/>
        <v>0</v>
      </c>
      <c r="U1157" t="b" cm="1">
        <f t="array" aca="1" ref="U1157" ca="1">AND(T1157,OR(O1157-N1157&gt;1,P1157&gt;1,ISERROR(A1157:P1157)))</f>
        <v>0</v>
      </c>
      <c r="W1157" t="e">
        <f>MATCH(K1157&amp;$W$2,Taostats_CSV!$X$3:$X$1167,0)</f>
        <v>#N/A</v>
      </c>
      <c r="X1157" t="e">
        <f t="shared" ca="1" si="120"/>
        <v>#VALUE!</v>
      </c>
      <c r="Y1157">
        <f t="shared" ca="1" si="121"/>
        <v>0</v>
      </c>
      <c r="Z1157" t="e">
        <f t="shared" ref="Z1157:Z1163" ca="1" si="125">VALUE(H1157)</f>
        <v>#VALUE!</v>
      </c>
    </row>
    <row r="1158" spans="1:26" hidden="1" x14ac:dyDescent="0.4">
      <c r="A1158" t="str">
        <f>MID(Taostats_CSV!C1158,6,2)&amp;"/"&amp;MID(Taostats_CSV!C1158,9,2)&amp;"/"&amp;LEFT(Taostats_CSV!C1158,4)&amp;" "&amp;MID(Taostats_CSV!C1158,12,8)</f>
        <v>12/16/2025 23:59:48</v>
      </c>
      <c r="C1158" t="str">
        <f ca="1">IF(Q1158,OFFSET(Taostats_CSV!$E$1,MATCH(K1158&amp;D$1,Taostats_CSV!$X:$X,0)-1,0),IF(Taostats_CSV!F1158="fee","",IF(VALUE(Taostats_CSV!G1158)&gt;0,Taostats_CSV!E1158,"")))</f>
        <v/>
      </c>
      <c r="D1158" t="str">
        <f ca="1">IF(Q1158,OFFSET(Taostats_CSV!$G$1,MATCH(K1158&amp;D$1,Taostats_CSV!$X:$X,0)-1,0),IF(Taostats_CSV!F1158="fee","",IF(VALUE(Taostats_CSV!G1158)&gt;0,Taostats_CSV!G1158,"")))</f>
        <v/>
      </c>
      <c r="E1158" t="str">
        <f ca="1">IF(AND(Q1158,P1158&gt;0),OFFSET(Taostats_CSV!$E$1,MATCH(K1158&amp;F$1,Taostats_CSV!$X:$X,0)-1,0),IF(LEN(F1158)&gt;0,Taostats_CSV!E1158,""))</f>
        <v>TAO</v>
      </c>
      <c r="F1158" t="str">
        <f ca="1">TRIM(IF(AND(Q1158,P1158&gt;0),OFFSET(Taostats_CSV!$H$1,MATCH(K1158&amp;F$1,Taostats_CSV!$X:$X,0)-1,0),IF(LEN(Taostats_CSV!H1158)&gt;0,Taostats_CSV!H1158,Taostats_CSV!R1158)))</f>
        <v>0</v>
      </c>
      <c r="G1158" t="str">
        <f ca="1">IF(AND(Q1158,N1158=1),OFFSET(Taostats_CSV!$E$1,MATCH(K1158&amp;H$1,Taostats_CSV!$X:$X,0)-1,0),IF(Taostats_CSV!F1158="fee",Taostats_CSV!E1158,""))</f>
        <v/>
      </c>
      <c r="H1158" t="str">
        <f ca="1">IF(AND(Q1158,N1158=1),OFFSET(Taostats_CSV!$G$1,MATCH(K1158&amp;H$1,Taostats_CSV!$X:$X,0)-1,0),IF(Taostats_CSV!F1158="fee",Taostats_CSV!G1158,""))</f>
        <v/>
      </c>
      <c r="I1158" t="str">
        <f ca="1">IF(AND(LEN(K1158)=0,LEN(F1158)&gt;0),"Income",IF(AND(O1158&gt;0,P1158&gt;0,C1158&lt;&gt;E1158),"Trade",IF(AND(NOT(Q1158),Taostats_CSV!F1158="fee"),'READ ME'!$C$5,"")))</f>
        <v>Income</v>
      </c>
      <c r="J1158" t="str">
        <f ca="1">SUBSTITUTE(IF(LEN(I1158)=0,Taostats_CSV!F1158&amp;" "&amp;Taostats_CSV!J1158,IF(I1158="Cost","Extrinsic fee","")),"_"," ")</f>
        <v/>
      </c>
      <c r="K1158" t="str">
        <f>TRIM(IF(LEN(Taostats_CSV!I1158)&gt;0,Taostats_CSV!I1158,""))</f>
        <v/>
      </c>
      <c r="L1158" t="str">
        <f>IF(Taostats_CSV!E1158&lt;&gt;"TAO",IF(LEN(F1158)&gt;0,F1158,IF(LEN(D1158)&gt;0,D1158,0))*Taostats_CSV!P1158,"")</f>
        <v/>
      </c>
      <c r="M1158" t="str">
        <f t="shared" si="122"/>
        <v/>
      </c>
      <c r="N1158">
        <f>COUNTIF(Taostats_CSV!$X:$X,Taostats_CSV!$I1158&amp;N$1)</f>
        <v>0</v>
      </c>
      <c r="O1158">
        <f>COUNTIF(Taostats_CSV!$X:$X,Taostats_CSV!$I1158&amp;O$1)</f>
        <v>0</v>
      </c>
      <c r="P1158">
        <f>COUNTIF(Taostats_CSV!$X:$X,Taostats_CSV!$I1158&amp;P$1)</f>
        <v>0</v>
      </c>
      <c r="Q1158" t="b">
        <f t="shared" si="123"/>
        <v>0</v>
      </c>
      <c r="R1158" t="b">
        <f>IF(LEN(K1158)&gt;0,COUNTIF($K$3:K1158,K1158),FALSE)</f>
        <v>0</v>
      </c>
      <c r="S1158" t="b">
        <f>IF(Taostats_CSV!A1158=Taostats_CSV!$A$2,TRUE,Taostats_CSV!G1158+Taostats_CSV!H1158+Taostats_CSV!R1158=0)</f>
        <v>1</v>
      </c>
      <c r="T1158" t="b">
        <f t="shared" si="124"/>
        <v>0</v>
      </c>
      <c r="U1158" t="b" cm="1">
        <f t="array" aca="1" ref="U1158" ca="1">AND(T1158,OR(O1158-N1158&gt;1,P1158&gt;1,ISERROR(A1158:P1158)))</f>
        <v>0</v>
      </c>
      <c r="W1158" t="e">
        <f>MATCH(K1158&amp;$W$2,Taostats_CSV!$X$3:$X$1167,0)</f>
        <v>#N/A</v>
      </c>
      <c r="X1158" t="e">
        <f t="shared" ca="1" si="120"/>
        <v>#VALUE!</v>
      </c>
      <c r="Y1158">
        <f t="shared" ca="1" si="121"/>
        <v>0</v>
      </c>
      <c r="Z1158" t="e">
        <f t="shared" ca="1" si="125"/>
        <v>#VALUE!</v>
      </c>
    </row>
    <row r="1159" spans="1:26" hidden="1" x14ac:dyDescent="0.4">
      <c r="A1159" t="str">
        <f>MID(Taostats_CSV!C1159,6,2)&amp;"/"&amp;MID(Taostats_CSV!C1159,9,2)&amp;"/"&amp;LEFT(Taostats_CSV!C1159,4)&amp;" "&amp;MID(Taostats_CSV!C1159,12,8)</f>
        <v>12/17/2025 23:59:48</v>
      </c>
      <c r="C1159" t="str">
        <f ca="1">IF(Q1159,OFFSET(Taostats_CSV!$E$1,MATCH(K1159&amp;D$1,Taostats_CSV!$X:$X,0)-1,0),IF(Taostats_CSV!F1159="fee","",IF(VALUE(Taostats_CSV!G1159)&gt;0,Taostats_CSV!E1159,"")))</f>
        <v/>
      </c>
      <c r="D1159" t="str">
        <f ca="1">IF(Q1159,OFFSET(Taostats_CSV!$G$1,MATCH(K1159&amp;D$1,Taostats_CSV!$X:$X,0)-1,0),IF(Taostats_CSV!F1159="fee","",IF(VALUE(Taostats_CSV!G1159)&gt;0,Taostats_CSV!G1159,"")))</f>
        <v/>
      </c>
      <c r="E1159" t="str">
        <f ca="1">IF(AND(Q1159,P1159&gt;0),OFFSET(Taostats_CSV!$E$1,MATCH(K1159&amp;F$1,Taostats_CSV!$X:$X,0)-1,0),IF(LEN(F1159)&gt;0,Taostats_CSV!E1159,""))</f>
        <v>TAO</v>
      </c>
      <c r="F1159" t="str">
        <f ca="1">TRIM(IF(AND(Q1159,P1159&gt;0),OFFSET(Taostats_CSV!$H$1,MATCH(K1159&amp;F$1,Taostats_CSV!$X:$X,0)-1,0),IF(LEN(Taostats_CSV!H1159)&gt;0,Taostats_CSV!H1159,Taostats_CSV!R1159)))</f>
        <v>0</v>
      </c>
      <c r="G1159" t="str">
        <f ca="1">IF(AND(Q1159,N1159=1),OFFSET(Taostats_CSV!$E$1,MATCH(K1159&amp;H$1,Taostats_CSV!$X:$X,0)-1,0),IF(Taostats_CSV!F1159="fee",Taostats_CSV!E1159,""))</f>
        <v/>
      </c>
      <c r="H1159" t="str">
        <f ca="1">IF(AND(Q1159,N1159=1),OFFSET(Taostats_CSV!$G$1,MATCH(K1159&amp;H$1,Taostats_CSV!$X:$X,0)-1,0),IF(Taostats_CSV!F1159="fee",Taostats_CSV!G1159,""))</f>
        <v/>
      </c>
      <c r="I1159" t="str">
        <f ca="1">IF(AND(LEN(K1159)=0,LEN(F1159)&gt;0),"Income",IF(AND(O1159&gt;0,P1159&gt;0,C1159&lt;&gt;E1159),"Trade",IF(AND(NOT(Q1159),Taostats_CSV!F1159="fee"),'READ ME'!$C$5,"")))</f>
        <v>Income</v>
      </c>
      <c r="J1159" t="str">
        <f ca="1">SUBSTITUTE(IF(LEN(I1159)=0,Taostats_CSV!F1159&amp;" "&amp;Taostats_CSV!J1159,IF(I1159="Cost","Extrinsic fee","")),"_"," ")</f>
        <v/>
      </c>
      <c r="K1159" t="str">
        <f>TRIM(IF(LEN(Taostats_CSV!I1159)&gt;0,Taostats_CSV!I1159,""))</f>
        <v/>
      </c>
      <c r="L1159" t="str">
        <f>IF(Taostats_CSV!E1159&lt;&gt;"TAO",IF(LEN(F1159)&gt;0,F1159,IF(LEN(D1159)&gt;0,D1159,0))*Taostats_CSV!P1159,"")</f>
        <v/>
      </c>
      <c r="M1159" t="str">
        <f t="shared" si="122"/>
        <v/>
      </c>
      <c r="N1159">
        <f>COUNTIF(Taostats_CSV!$X:$X,Taostats_CSV!$I1159&amp;N$1)</f>
        <v>0</v>
      </c>
      <c r="O1159">
        <f>COUNTIF(Taostats_CSV!$X:$X,Taostats_CSV!$I1159&amp;O$1)</f>
        <v>0</v>
      </c>
      <c r="P1159">
        <f>COUNTIF(Taostats_CSV!$X:$X,Taostats_CSV!$I1159&amp;P$1)</f>
        <v>0</v>
      </c>
      <c r="Q1159" t="b">
        <f t="shared" si="123"/>
        <v>0</v>
      </c>
      <c r="R1159" t="b">
        <f>IF(LEN(K1159)&gt;0,COUNTIF($K$3:K1159,K1159),FALSE)</f>
        <v>0</v>
      </c>
      <c r="S1159" t="b">
        <f>IF(Taostats_CSV!A1159=Taostats_CSV!$A$2,TRUE,Taostats_CSV!G1159+Taostats_CSV!H1159+Taostats_CSV!R1159=0)</f>
        <v>1</v>
      </c>
      <c r="T1159" t="b">
        <f t="shared" si="124"/>
        <v>0</v>
      </c>
      <c r="U1159" t="b" cm="1">
        <f t="array" aca="1" ref="U1159" ca="1">AND(T1159,OR(O1159-N1159&gt;1,P1159&gt;1,ISERROR(A1159:P1159)))</f>
        <v>0</v>
      </c>
      <c r="W1159" t="e">
        <f>MATCH(K1159&amp;$W$2,Taostats_CSV!$X$3:$X$1167,0)</f>
        <v>#N/A</v>
      </c>
      <c r="X1159" t="e">
        <f t="shared" ca="1" si="120"/>
        <v>#VALUE!</v>
      </c>
      <c r="Y1159">
        <f t="shared" ca="1" si="121"/>
        <v>0</v>
      </c>
      <c r="Z1159" t="e">
        <f t="shared" ca="1" si="125"/>
        <v>#VALUE!</v>
      </c>
    </row>
    <row r="1160" spans="1:26" hidden="1" x14ac:dyDescent="0.4">
      <c r="A1160" t="str">
        <f>MID(Taostats_CSV!C1160,6,2)&amp;"/"&amp;MID(Taostats_CSV!C1160,9,2)&amp;"/"&amp;LEFT(Taostats_CSV!C1160,4)&amp;" "&amp;MID(Taostats_CSV!C1160,12,8)</f>
        <v>12/18/2025 23:59:48</v>
      </c>
      <c r="C1160" t="str">
        <f ca="1">IF(Q1160,OFFSET(Taostats_CSV!$E$1,MATCH(K1160&amp;D$1,Taostats_CSV!$X:$X,0)-1,0),IF(Taostats_CSV!F1160="fee","",IF(VALUE(Taostats_CSV!G1160)&gt;0,Taostats_CSV!E1160,"")))</f>
        <v/>
      </c>
      <c r="D1160" t="str">
        <f ca="1">IF(Q1160,OFFSET(Taostats_CSV!$G$1,MATCH(K1160&amp;D$1,Taostats_CSV!$X:$X,0)-1,0),IF(Taostats_CSV!F1160="fee","",IF(VALUE(Taostats_CSV!G1160)&gt;0,Taostats_CSV!G1160,"")))</f>
        <v/>
      </c>
      <c r="E1160" t="str">
        <f ca="1">IF(AND(Q1160,P1160&gt;0),OFFSET(Taostats_CSV!$E$1,MATCH(K1160&amp;F$1,Taostats_CSV!$X:$X,0)-1,0),IF(LEN(F1160)&gt;0,Taostats_CSV!E1160,""))</f>
        <v>TAO</v>
      </c>
      <c r="F1160" t="str">
        <f ca="1">TRIM(IF(AND(Q1160,P1160&gt;0),OFFSET(Taostats_CSV!$H$1,MATCH(K1160&amp;F$1,Taostats_CSV!$X:$X,0)-1,0),IF(LEN(Taostats_CSV!H1160)&gt;0,Taostats_CSV!H1160,Taostats_CSV!R1160)))</f>
        <v>0</v>
      </c>
      <c r="G1160" t="str">
        <f ca="1">IF(AND(Q1160,N1160=1),OFFSET(Taostats_CSV!$E$1,MATCH(K1160&amp;H$1,Taostats_CSV!$X:$X,0)-1,0),IF(Taostats_CSV!F1160="fee",Taostats_CSV!E1160,""))</f>
        <v/>
      </c>
      <c r="H1160" t="str">
        <f ca="1">IF(AND(Q1160,N1160=1),OFFSET(Taostats_CSV!$G$1,MATCH(K1160&amp;H$1,Taostats_CSV!$X:$X,0)-1,0),IF(Taostats_CSV!F1160="fee",Taostats_CSV!G1160,""))</f>
        <v/>
      </c>
      <c r="I1160" t="str">
        <f ca="1">IF(AND(LEN(K1160)=0,LEN(F1160)&gt;0),"Income",IF(AND(O1160&gt;0,P1160&gt;0,C1160&lt;&gt;E1160),"Trade",IF(AND(NOT(Q1160),Taostats_CSV!F1160="fee"),'READ ME'!$C$5,"")))</f>
        <v>Income</v>
      </c>
      <c r="J1160" t="str">
        <f ca="1">SUBSTITUTE(IF(LEN(I1160)=0,Taostats_CSV!F1160&amp;" "&amp;Taostats_CSV!J1160,IF(I1160="Cost","Extrinsic fee","")),"_"," ")</f>
        <v/>
      </c>
      <c r="K1160" t="str">
        <f>TRIM(IF(LEN(Taostats_CSV!I1160)&gt;0,Taostats_CSV!I1160,""))</f>
        <v/>
      </c>
      <c r="L1160" t="str">
        <f>IF(Taostats_CSV!E1160&lt;&gt;"TAO",IF(LEN(F1160)&gt;0,F1160,IF(LEN(D1160)&gt;0,D1160,0))*Taostats_CSV!P1160,"")</f>
        <v/>
      </c>
      <c r="M1160" t="str">
        <f t="shared" si="122"/>
        <v/>
      </c>
      <c r="N1160">
        <f>COUNTIF(Taostats_CSV!$X:$X,Taostats_CSV!$I1160&amp;N$1)</f>
        <v>0</v>
      </c>
      <c r="O1160">
        <f>COUNTIF(Taostats_CSV!$X:$X,Taostats_CSV!$I1160&amp;O$1)</f>
        <v>0</v>
      </c>
      <c r="P1160">
        <f>COUNTIF(Taostats_CSV!$X:$X,Taostats_CSV!$I1160&amp;P$1)</f>
        <v>0</v>
      </c>
      <c r="Q1160" t="b">
        <f t="shared" si="123"/>
        <v>0</v>
      </c>
      <c r="R1160" t="b">
        <f>IF(LEN(K1160)&gt;0,COUNTIF($K$3:K1160,K1160),FALSE)</f>
        <v>0</v>
      </c>
      <c r="S1160" t="b">
        <f>IF(Taostats_CSV!A1160=Taostats_CSV!$A$2,TRUE,Taostats_CSV!G1160+Taostats_CSV!H1160+Taostats_CSV!R1160=0)</f>
        <v>1</v>
      </c>
      <c r="T1160" t="b">
        <f t="shared" si="124"/>
        <v>0</v>
      </c>
      <c r="U1160" t="b" cm="1">
        <f t="array" aca="1" ref="U1160" ca="1">AND(T1160,OR(O1160-N1160&gt;1,P1160&gt;1,ISERROR(A1160:P1160)))</f>
        <v>0</v>
      </c>
      <c r="W1160" t="e">
        <f>MATCH(K1160&amp;$W$2,Taostats_CSV!$X$3:$X$1167,0)</f>
        <v>#N/A</v>
      </c>
      <c r="X1160" t="e">
        <f t="shared" ca="1" si="120"/>
        <v>#VALUE!</v>
      </c>
      <c r="Y1160">
        <f t="shared" ca="1" si="121"/>
        <v>0</v>
      </c>
      <c r="Z1160" t="e">
        <f t="shared" ca="1" si="125"/>
        <v>#VALUE!</v>
      </c>
    </row>
    <row r="1161" spans="1:26" hidden="1" x14ac:dyDescent="0.4">
      <c r="A1161" t="str">
        <f>MID(Taostats_CSV!C1161,6,2)&amp;"/"&amp;MID(Taostats_CSV!C1161,9,2)&amp;"/"&amp;LEFT(Taostats_CSV!C1161,4)&amp;" "&amp;MID(Taostats_CSV!C1161,12,8)</f>
        <v>12/19/2025 23:59:48</v>
      </c>
      <c r="C1161" t="str">
        <f ca="1">IF(Q1161,OFFSET(Taostats_CSV!$E$1,MATCH(K1161&amp;D$1,Taostats_CSV!$X:$X,0)-1,0),IF(Taostats_CSV!F1161="fee","",IF(VALUE(Taostats_CSV!G1161)&gt;0,Taostats_CSV!E1161,"")))</f>
        <v/>
      </c>
      <c r="D1161" t="str">
        <f ca="1">IF(Q1161,OFFSET(Taostats_CSV!$G$1,MATCH(K1161&amp;D$1,Taostats_CSV!$X:$X,0)-1,0),IF(Taostats_CSV!F1161="fee","",IF(VALUE(Taostats_CSV!G1161)&gt;0,Taostats_CSV!G1161,"")))</f>
        <v/>
      </c>
      <c r="E1161" t="str">
        <f ca="1">IF(AND(Q1161,P1161&gt;0),OFFSET(Taostats_CSV!$E$1,MATCH(K1161&amp;F$1,Taostats_CSV!$X:$X,0)-1,0),IF(LEN(F1161)&gt;0,Taostats_CSV!E1161,""))</f>
        <v>TAO</v>
      </c>
      <c r="F1161" t="str">
        <f ca="1">TRIM(IF(AND(Q1161,P1161&gt;0),OFFSET(Taostats_CSV!$H$1,MATCH(K1161&amp;F$1,Taostats_CSV!$X:$X,0)-1,0),IF(LEN(Taostats_CSV!H1161)&gt;0,Taostats_CSV!H1161,Taostats_CSV!R1161)))</f>
        <v>0</v>
      </c>
      <c r="G1161" t="str">
        <f ca="1">IF(AND(Q1161,N1161=1),OFFSET(Taostats_CSV!$E$1,MATCH(K1161&amp;H$1,Taostats_CSV!$X:$X,0)-1,0),IF(Taostats_CSV!F1161="fee",Taostats_CSV!E1161,""))</f>
        <v/>
      </c>
      <c r="H1161" t="str">
        <f ca="1">IF(AND(Q1161,N1161=1),OFFSET(Taostats_CSV!$G$1,MATCH(K1161&amp;H$1,Taostats_CSV!$X:$X,0)-1,0),IF(Taostats_CSV!F1161="fee",Taostats_CSV!G1161,""))</f>
        <v/>
      </c>
      <c r="I1161" t="str">
        <f ca="1">IF(AND(LEN(K1161)=0,LEN(F1161)&gt;0),"Income",IF(AND(O1161&gt;0,P1161&gt;0,C1161&lt;&gt;E1161),"Trade",IF(AND(NOT(Q1161),Taostats_CSV!F1161="fee"),'READ ME'!$C$5,"")))</f>
        <v>Income</v>
      </c>
      <c r="J1161" t="str">
        <f ca="1">SUBSTITUTE(IF(LEN(I1161)=0,Taostats_CSV!F1161&amp;" "&amp;Taostats_CSV!J1161,IF(I1161="Cost","Extrinsic fee","")),"_"," ")</f>
        <v/>
      </c>
      <c r="K1161" t="str">
        <f>TRIM(IF(LEN(Taostats_CSV!I1161)&gt;0,Taostats_CSV!I1161,""))</f>
        <v/>
      </c>
      <c r="L1161" t="str">
        <f>IF(Taostats_CSV!E1161&lt;&gt;"TAO",IF(LEN(F1161)&gt;0,F1161,IF(LEN(D1161)&gt;0,D1161,0))*Taostats_CSV!P1161,"")</f>
        <v/>
      </c>
      <c r="M1161" t="str">
        <f t="shared" si="122"/>
        <v/>
      </c>
      <c r="N1161">
        <f>COUNTIF(Taostats_CSV!$X:$X,Taostats_CSV!$I1161&amp;N$1)</f>
        <v>0</v>
      </c>
      <c r="O1161">
        <f>COUNTIF(Taostats_CSV!$X:$X,Taostats_CSV!$I1161&amp;O$1)</f>
        <v>0</v>
      </c>
      <c r="P1161">
        <f>COUNTIF(Taostats_CSV!$X:$X,Taostats_CSV!$I1161&amp;P$1)</f>
        <v>0</v>
      </c>
      <c r="Q1161" t="b">
        <f t="shared" si="123"/>
        <v>0</v>
      </c>
      <c r="R1161" t="b">
        <f>IF(LEN(K1161)&gt;0,COUNTIF($K$3:K1161,K1161),FALSE)</f>
        <v>0</v>
      </c>
      <c r="S1161" t="b">
        <f>IF(Taostats_CSV!A1161=Taostats_CSV!$A$2,TRUE,Taostats_CSV!G1161+Taostats_CSV!H1161+Taostats_CSV!R1161=0)</f>
        <v>1</v>
      </c>
      <c r="T1161" t="b">
        <f t="shared" si="124"/>
        <v>0</v>
      </c>
      <c r="U1161" t="b" cm="1">
        <f t="array" aca="1" ref="U1161" ca="1">AND(T1161,OR(O1161-N1161&gt;1,P1161&gt;1,ISERROR(A1161:P1161)))</f>
        <v>0</v>
      </c>
      <c r="W1161" t="e">
        <f>MATCH(K1161&amp;$W$2,Taostats_CSV!$X$3:$X$1167,0)</f>
        <v>#N/A</v>
      </c>
      <c r="X1161" t="e">
        <f t="shared" ca="1" si="120"/>
        <v>#VALUE!</v>
      </c>
      <c r="Y1161">
        <f t="shared" ca="1" si="121"/>
        <v>0</v>
      </c>
      <c r="Z1161" t="e">
        <f t="shared" ca="1" si="125"/>
        <v>#VALUE!</v>
      </c>
    </row>
    <row r="1162" spans="1:26" hidden="1" x14ac:dyDescent="0.4">
      <c r="A1162" t="str">
        <f>MID(Taostats_CSV!C1162,6,2)&amp;"/"&amp;MID(Taostats_CSV!C1162,9,2)&amp;"/"&amp;LEFT(Taostats_CSV!C1162,4)&amp;" "&amp;MID(Taostats_CSV!C1162,12,8)</f>
        <v>12/20/2025 23:59:48</v>
      </c>
      <c r="C1162" t="str">
        <f ca="1">IF(Q1162,OFFSET(Taostats_CSV!$E$1,MATCH(K1162&amp;D$1,Taostats_CSV!$X:$X,0)-1,0),IF(Taostats_CSV!F1162="fee","",IF(VALUE(Taostats_CSV!G1162)&gt;0,Taostats_CSV!E1162,"")))</f>
        <v/>
      </c>
      <c r="D1162" t="str">
        <f ca="1">IF(Q1162,OFFSET(Taostats_CSV!$G$1,MATCH(K1162&amp;D$1,Taostats_CSV!$X:$X,0)-1,0),IF(Taostats_CSV!F1162="fee","",IF(VALUE(Taostats_CSV!G1162)&gt;0,Taostats_CSV!G1162,"")))</f>
        <v/>
      </c>
      <c r="E1162" t="str">
        <f ca="1">IF(AND(Q1162,P1162&gt;0),OFFSET(Taostats_CSV!$E$1,MATCH(K1162&amp;F$1,Taostats_CSV!$X:$X,0)-1,0),IF(LEN(F1162)&gt;0,Taostats_CSV!E1162,""))</f>
        <v>TAO</v>
      </c>
      <c r="F1162" t="str">
        <f ca="1">TRIM(IF(AND(Q1162,P1162&gt;0),OFFSET(Taostats_CSV!$H$1,MATCH(K1162&amp;F$1,Taostats_CSV!$X:$X,0)-1,0),IF(LEN(Taostats_CSV!H1162)&gt;0,Taostats_CSV!H1162,Taostats_CSV!R1162)))</f>
        <v>0</v>
      </c>
      <c r="G1162" t="str">
        <f ca="1">IF(AND(Q1162,N1162=1),OFFSET(Taostats_CSV!$E$1,MATCH(K1162&amp;H$1,Taostats_CSV!$X:$X,0)-1,0),IF(Taostats_CSV!F1162="fee",Taostats_CSV!E1162,""))</f>
        <v/>
      </c>
      <c r="H1162" t="str">
        <f ca="1">IF(AND(Q1162,N1162=1),OFFSET(Taostats_CSV!$G$1,MATCH(K1162&amp;H$1,Taostats_CSV!$X:$X,0)-1,0),IF(Taostats_CSV!F1162="fee",Taostats_CSV!G1162,""))</f>
        <v/>
      </c>
      <c r="I1162" t="str">
        <f ca="1">IF(AND(LEN(K1162)=0,LEN(F1162)&gt;0),"Income",IF(AND(O1162&gt;0,P1162&gt;0,C1162&lt;&gt;E1162),"Trade",IF(AND(NOT(Q1162),Taostats_CSV!F1162="fee"),'READ ME'!$C$5,"")))</f>
        <v>Income</v>
      </c>
      <c r="J1162" t="str">
        <f ca="1">SUBSTITUTE(IF(LEN(I1162)=0,Taostats_CSV!F1162&amp;" "&amp;Taostats_CSV!J1162,IF(I1162="Cost","Extrinsic fee","")),"_"," ")</f>
        <v/>
      </c>
      <c r="K1162" t="str">
        <f>TRIM(IF(LEN(Taostats_CSV!I1162)&gt;0,Taostats_CSV!I1162,""))</f>
        <v/>
      </c>
      <c r="L1162" t="str">
        <f>IF(Taostats_CSV!E1162&lt;&gt;"TAO",IF(LEN(F1162)&gt;0,F1162,IF(LEN(D1162)&gt;0,D1162,0))*Taostats_CSV!P1162,"")</f>
        <v/>
      </c>
      <c r="M1162" t="str">
        <f t="shared" si="122"/>
        <v/>
      </c>
      <c r="N1162">
        <f>COUNTIF(Taostats_CSV!$X:$X,Taostats_CSV!$I1162&amp;N$1)</f>
        <v>0</v>
      </c>
      <c r="O1162">
        <f>COUNTIF(Taostats_CSV!$X:$X,Taostats_CSV!$I1162&amp;O$1)</f>
        <v>0</v>
      </c>
      <c r="P1162">
        <f>COUNTIF(Taostats_CSV!$X:$X,Taostats_CSV!$I1162&amp;P$1)</f>
        <v>0</v>
      </c>
      <c r="Q1162" t="b">
        <f t="shared" si="123"/>
        <v>0</v>
      </c>
      <c r="R1162" t="b">
        <f>IF(LEN(K1162)&gt;0,COUNTIF($K$3:K1162,K1162),FALSE)</f>
        <v>0</v>
      </c>
      <c r="S1162" t="b">
        <f>IF(Taostats_CSV!A1162=Taostats_CSV!$A$2,TRUE,Taostats_CSV!G1162+Taostats_CSV!H1162+Taostats_CSV!R1162=0)</f>
        <v>1</v>
      </c>
      <c r="T1162" t="b">
        <f t="shared" si="124"/>
        <v>0</v>
      </c>
      <c r="U1162" t="b" cm="1">
        <f t="array" aca="1" ref="U1162" ca="1">AND(T1162,OR(O1162-N1162&gt;1,P1162&gt;1,ISERROR(A1162:P1162)))</f>
        <v>0</v>
      </c>
      <c r="W1162" t="e">
        <f>MATCH(K1162&amp;$W$2,Taostats_CSV!$X$3:$X$1167,0)</f>
        <v>#N/A</v>
      </c>
      <c r="X1162" t="e">
        <f t="shared" ca="1" si="120"/>
        <v>#VALUE!</v>
      </c>
      <c r="Y1162">
        <f t="shared" ca="1" si="121"/>
        <v>0</v>
      </c>
      <c r="Z1162" t="e">
        <f t="shared" ca="1" si="125"/>
        <v>#VALUE!</v>
      </c>
    </row>
    <row r="1163" spans="1:26" hidden="1" x14ac:dyDescent="0.4">
      <c r="A1163" t="str">
        <f>MID(Taostats_CSV!C1163,6,2)&amp;"/"&amp;MID(Taostats_CSV!C1163,9,2)&amp;"/"&amp;LEFT(Taostats_CSV!C1163,4)&amp;" "&amp;MID(Taostats_CSV!C1163,12,8)</f>
        <v>12/21/2025 23:59:48</v>
      </c>
      <c r="C1163" t="str">
        <f ca="1">IF(Q1163,OFFSET(Taostats_CSV!$E$1,MATCH(K1163&amp;D$1,Taostats_CSV!$X:$X,0)-1,0),IF(Taostats_CSV!F1163="fee","",IF(VALUE(Taostats_CSV!G1163)&gt;0,Taostats_CSV!E1163,"")))</f>
        <v/>
      </c>
      <c r="D1163" t="str">
        <f ca="1">IF(Q1163,OFFSET(Taostats_CSV!$G$1,MATCH(K1163&amp;D$1,Taostats_CSV!$X:$X,0)-1,0),IF(Taostats_CSV!F1163="fee","",IF(VALUE(Taostats_CSV!G1163)&gt;0,Taostats_CSV!G1163,"")))</f>
        <v/>
      </c>
      <c r="E1163" t="str">
        <f ca="1">IF(AND(Q1163,P1163&gt;0),OFFSET(Taostats_CSV!$E$1,MATCH(K1163&amp;F$1,Taostats_CSV!$X:$X,0)-1,0),IF(LEN(F1163)&gt;0,Taostats_CSV!E1163,""))</f>
        <v>TAO</v>
      </c>
      <c r="F1163" t="str">
        <f ca="1">TRIM(IF(AND(Q1163,P1163&gt;0),OFFSET(Taostats_CSV!$H$1,MATCH(K1163&amp;F$1,Taostats_CSV!$X:$X,0)-1,0),IF(LEN(Taostats_CSV!H1163)&gt;0,Taostats_CSV!H1163,Taostats_CSV!R1163)))</f>
        <v>0</v>
      </c>
      <c r="G1163" t="str">
        <f ca="1">IF(AND(Q1163,N1163=1),OFFSET(Taostats_CSV!$E$1,MATCH(K1163&amp;H$1,Taostats_CSV!$X:$X,0)-1,0),IF(Taostats_CSV!F1163="fee",Taostats_CSV!E1163,""))</f>
        <v/>
      </c>
      <c r="H1163" t="str">
        <f ca="1">IF(AND(Q1163,N1163=1),OFFSET(Taostats_CSV!$G$1,MATCH(K1163&amp;H$1,Taostats_CSV!$X:$X,0)-1,0),IF(Taostats_CSV!F1163="fee",Taostats_CSV!G1163,""))</f>
        <v/>
      </c>
      <c r="I1163" t="str">
        <f ca="1">IF(AND(LEN(K1163)=0,LEN(F1163)&gt;0),"Income",IF(AND(O1163&gt;0,P1163&gt;0,C1163&lt;&gt;E1163),"Trade",IF(AND(NOT(Q1163),Taostats_CSV!F1163="fee"),'READ ME'!$C$5,"")))</f>
        <v>Income</v>
      </c>
      <c r="J1163" t="str">
        <f ca="1">SUBSTITUTE(IF(LEN(I1163)=0,Taostats_CSV!F1163&amp;" "&amp;Taostats_CSV!J1163,IF(I1163="Cost","Extrinsic fee","")),"_"," ")</f>
        <v/>
      </c>
      <c r="K1163" t="str">
        <f>TRIM(IF(LEN(Taostats_CSV!I1163)&gt;0,Taostats_CSV!I1163,""))</f>
        <v/>
      </c>
      <c r="L1163" t="str">
        <f>IF(Taostats_CSV!E1163&lt;&gt;"TAO",IF(LEN(F1163)&gt;0,F1163,IF(LEN(D1163)&gt;0,D1163,0))*Taostats_CSV!P1163,"")</f>
        <v/>
      </c>
      <c r="M1163" t="str">
        <f t="shared" si="122"/>
        <v/>
      </c>
      <c r="N1163">
        <f>COUNTIF(Taostats_CSV!$X:$X,Taostats_CSV!$I1163&amp;N$1)</f>
        <v>0</v>
      </c>
      <c r="O1163">
        <f>COUNTIF(Taostats_CSV!$X:$X,Taostats_CSV!$I1163&amp;O$1)</f>
        <v>0</v>
      </c>
      <c r="P1163">
        <f>COUNTIF(Taostats_CSV!$X:$X,Taostats_CSV!$I1163&amp;P$1)</f>
        <v>0</v>
      </c>
      <c r="Q1163" t="b">
        <f t="shared" si="123"/>
        <v>0</v>
      </c>
      <c r="R1163" t="b">
        <f>IF(LEN(K1163)&gt;0,COUNTIF($K$3:K1163,K1163),FALSE)</f>
        <v>0</v>
      </c>
      <c r="S1163" t="b">
        <f>IF(Taostats_CSV!A1163=Taostats_CSV!$A$2,TRUE,Taostats_CSV!G1163+Taostats_CSV!H1163+Taostats_CSV!R1163=0)</f>
        <v>1</v>
      </c>
      <c r="T1163" t="b">
        <f t="shared" si="124"/>
        <v>0</v>
      </c>
      <c r="U1163" t="b" cm="1">
        <f t="array" aca="1" ref="U1163" ca="1">AND(T1163,OR(O1163-N1163&gt;1,P1163&gt;1,ISERROR(A1163:P1163)))</f>
        <v>0</v>
      </c>
      <c r="W1163" t="e">
        <f>MATCH(K1163&amp;$W$2,Taostats_CSV!$X$3:$X$1167,0)</f>
        <v>#N/A</v>
      </c>
      <c r="X1163" t="e">
        <f t="shared" ca="1" si="120"/>
        <v>#VALUE!</v>
      </c>
      <c r="Y1163">
        <f t="shared" ca="1" si="121"/>
        <v>0</v>
      </c>
      <c r="Z1163" t="e">
        <f t="shared" ca="1" si="125"/>
        <v>#VALUE!</v>
      </c>
    </row>
    <row r="1164" spans="1:26" hidden="1" x14ac:dyDescent="0.4">
      <c r="A1164" t="str">
        <f>MID(Taostats_CSV!C1164,6,2)&amp;"/"&amp;MID(Taostats_CSV!C1164,9,2)&amp;"/"&amp;LEFT(Taostats_CSV!C1164,4)&amp;" "&amp;MID(Taostats_CSV!C1164,12,8)</f>
        <v>12/22/2025 23:59:48</v>
      </c>
      <c r="C1164" t="str">
        <f ca="1">IF(Q1164,OFFSET(Taostats_CSV!$E$1,MATCH(K1164&amp;D$1,Taostats_CSV!$X:$X,0)-1,0),IF(Taostats_CSV!F1164="fee","",IF(VALUE(Taostats_CSV!G1164)&gt;0,Taostats_CSV!E1164,"")))</f>
        <v/>
      </c>
      <c r="D1164" t="str">
        <f ca="1">IF(Q1164,OFFSET(Taostats_CSV!$G$1,MATCH(K1164&amp;D$1,Taostats_CSV!$X:$X,0)-1,0),IF(Taostats_CSV!F1164="fee","",IF(VALUE(Taostats_CSV!G1164)&gt;0,Taostats_CSV!G1164,"")))</f>
        <v/>
      </c>
      <c r="E1164" t="str">
        <f ca="1">IF(AND(Q1164,P1164&gt;0),OFFSET(Taostats_CSV!$E$1,MATCH(K1164&amp;F$1,Taostats_CSV!$X:$X,0)-1,0),IF(LEN(F1164)&gt;0,Taostats_CSV!E1164,""))</f>
        <v>TAO</v>
      </c>
      <c r="F1164" t="str">
        <f ca="1">TRIM(IF(AND(Q1164,P1164&gt;0),OFFSET(Taostats_CSV!$H$1,MATCH(K1164&amp;F$1,Taostats_CSV!$X:$X,0)-1,0),IF(LEN(Taostats_CSV!H1164)&gt;0,Taostats_CSV!H1164,Taostats_CSV!R1164)))</f>
        <v>0</v>
      </c>
      <c r="G1164" t="str">
        <f ca="1">IF(AND(Q1164,N1164=1),OFFSET(Taostats_CSV!$E$1,MATCH(K1164&amp;H$1,Taostats_CSV!$X:$X,0)-1,0),IF(Taostats_CSV!F1164="fee",Taostats_CSV!E1164,""))</f>
        <v/>
      </c>
      <c r="H1164" t="str">
        <f ca="1">IF(AND(Q1164,N1164=1),OFFSET(Taostats_CSV!$G$1,MATCH(K1164&amp;H$1,Taostats_CSV!$X:$X,0)-1,0),IF(Taostats_CSV!F1164="fee",Taostats_CSV!G1164,""))</f>
        <v/>
      </c>
      <c r="I1164" t="str">
        <f ca="1">IF(AND(LEN(K1164)=0,LEN(F1164)&gt;0),"Income",IF(AND(O1164&gt;0,P1164&gt;0,C1164&lt;&gt;E1164),"Trade",IF(AND(NOT(Q1164),Taostats_CSV!F1164="fee"),'READ ME'!$C$5,"")))</f>
        <v>Income</v>
      </c>
      <c r="J1164" t="str">
        <f ca="1">SUBSTITUTE(IF(LEN(I1164)=0,Taostats_CSV!F1164&amp;" "&amp;Taostats_CSV!J1164,IF(I1164="Cost","Extrinsic fee","")),"_"," ")</f>
        <v/>
      </c>
      <c r="K1164" t="str">
        <f>TRIM(IF(LEN(Taostats_CSV!I1164)&gt;0,Taostats_CSV!I1164,""))</f>
        <v/>
      </c>
      <c r="L1164" t="str">
        <f>IF(Taostats_CSV!E1164&lt;&gt;"TAO",IF(LEN(F1164)&gt;0,F1164,IF(LEN(D1164)&gt;0,D1164,0))*Taostats_CSV!P1164,"")</f>
        <v/>
      </c>
      <c r="M1164" t="str">
        <f t="shared" si="122"/>
        <v/>
      </c>
      <c r="N1164">
        <f>COUNTIF(Taostats_CSV!$X:$X,Taostats_CSV!$I1164&amp;N$1)</f>
        <v>0</v>
      </c>
      <c r="O1164">
        <f>COUNTIF(Taostats_CSV!$X:$X,Taostats_CSV!$I1164&amp;O$1)</f>
        <v>0</v>
      </c>
      <c r="P1164">
        <f>COUNTIF(Taostats_CSV!$X:$X,Taostats_CSV!$I1164&amp;P$1)</f>
        <v>0</v>
      </c>
      <c r="Q1164" t="b">
        <f t="shared" si="123"/>
        <v>0</v>
      </c>
      <c r="R1164" t="b">
        <f>IF(LEN(K1164)&gt;0,COUNTIF($K$3:K1164,K1164),FALSE)</f>
        <v>0</v>
      </c>
      <c r="S1164" t="b">
        <f>IF(Taostats_CSV!A1164=Taostats_CSV!$A$2,TRUE,Taostats_CSV!G1164+Taostats_CSV!H1164+Taostats_CSV!R1164=0)</f>
        <v>1</v>
      </c>
      <c r="T1164" t="b">
        <f t="shared" si="124"/>
        <v>0</v>
      </c>
      <c r="U1164" t="b" cm="1">
        <f t="array" aca="1" ref="U1164" ca="1">AND(T1164,OR(O1164-N1164&gt;1,P1164&gt;1,ISERROR(A1164:P1164)))</f>
        <v>0</v>
      </c>
      <c r="W1164" t="e">
        <f>MATCH(K1164&amp;$W$2,Taostats_CSV!$X$3:$X$1167,0)</f>
        <v>#N/A</v>
      </c>
      <c r="X1164" t="e">
        <f t="shared" ca="1" si="120"/>
        <v>#VALUE!</v>
      </c>
      <c r="Y1164">
        <f t="shared" ca="1" si="121"/>
        <v>0</v>
      </c>
      <c r="Z1164" t="e">
        <f t="shared" ref="Z1164:Z1177" ca="1" si="126">VALUE(H1164)</f>
        <v>#VALUE!</v>
      </c>
    </row>
    <row r="1165" spans="1:26" hidden="1" x14ac:dyDescent="0.4">
      <c r="A1165" t="str">
        <f>MID(Taostats_CSV!C1165,6,2)&amp;"/"&amp;MID(Taostats_CSV!C1165,9,2)&amp;"/"&amp;LEFT(Taostats_CSV!C1165,4)&amp;" "&amp;MID(Taostats_CSV!C1165,12,8)</f>
        <v>12/23/2025 23:59:48</v>
      </c>
      <c r="C1165" t="str">
        <f ca="1">IF(Q1165,OFFSET(Taostats_CSV!$E$1,MATCH(K1165&amp;D$1,Taostats_CSV!$X:$X,0)-1,0),IF(Taostats_CSV!F1165="fee","",IF(VALUE(Taostats_CSV!G1165)&gt;0,Taostats_CSV!E1165,"")))</f>
        <v/>
      </c>
      <c r="D1165" t="str">
        <f ca="1">IF(Q1165,OFFSET(Taostats_CSV!$G$1,MATCH(K1165&amp;D$1,Taostats_CSV!$X:$X,0)-1,0),IF(Taostats_CSV!F1165="fee","",IF(VALUE(Taostats_CSV!G1165)&gt;0,Taostats_CSV!G1165,"")))</f>
        <v/>
      </c>
      <c r="E1165" t="str">
        <f ca="1">IF(AND(Q1165,P1165&gt;0),OFFSET(Taostats_CSV!$E$1,MATCH(K1165&amp;F$1,Taostats_CSV!$X:$X,0)-1,0),IF(LEN(F1165)&gt;0,Taostats_CSV!E1165,""))</f>
        <v>TAO</v>
      </c>
      <c r="F1165" t="str">
        <f ca="1">TRIM(IF(AND(Q1165,P1165&gt;0),OFFSET(Taostats_CSV!$H$1,MATCH(K1165&amp;F$1,Taostats_CSV!$X:$X,0)-1,0),IF(LEN(Taostats_CSV!H1165)&gt;0,Taostats_CSV!H1165,Taostats_CSV!R1165)))</f>
        <v>0</v>
      </c>
      <c r="G1165" t="str">
        <f ca="1">IF(AND(Q1165,N1165=1),OFFSET(Taostats_CSV!$E$1,MATCH(K1165&amp;H$1,Taostats_CSV!$X:$X,0)-1,0),IF(Taostats_CSV!F1165="fee",Taostats_CSV!E1165,""))</f>
        <v/>
      </c>
      <c r="H1165" t="str">
        <f ca="1">IF(AND(Q1165,N1165=1),OFFSET(Taostats_CSV!$G$1,MATCH(K1165&amp;H$1,Taostats_CSV!$X:$X,0)-1,0),IF(Taostats_CSV!F1165="fee",Taostats_CSV!G1165,""))</f>
        <v/>
      </c>
      <c r="I1165" t="str">
        <f ca="1">IF(AND(LEN(K1165)=0,LEN(F1165)&gt;0),"Income",IF(AND(O1165&gt;0,P1165&gt;0,C1165&lt;&gt;E1165),"Trade",IF(AND(NOT(Q1165),Taostats_CSV!F1165="fee"),'READ ME'!$C$5,"")))</f>
        <v>Income</v>
      </c>
      <c r="J1165" t="str">
        <f ca="1">SUBSTITUTE(IF(LEN(I1165)=0,Taostats_CSV!F1165&amp;" "&amp;Taostats_CSV!J1165,IF(I1165="Cost","Extrinsic fee","")),"_"," ")</f>
        <v/>
      </c>
      <c r="K1165" t="str">
        <f>TRIM(IF(LEN(Taostats_CSV!I1165)&gt;0,Taostats_CSV!I1165,""))</f>
        <v/>
      </c>
      <c r="L1165" t="str">
        <f>IF(Taostats_CSV!E1165&lt;&gt;"TAO",IF(LEN(F1165)&gt;0,F1165,IF(LEN(D1165)&gt;0,D1165,0))*Taostats_CSV!P1165,"")</f>
        <v/>
      </c>
      <c r="M1165" t="str">
        <f t="shared" si="122"/>
        <v/>
      </c>
      <c r="N1165">
        <f>COUNTIF(Taostats_CSV!$X:$X,Taostats_CSV!$I1165&amp;N$1)</f>
        <v>0</v>
      </c>
      <c r="O1165">
        <f>COUNTIF(Taostats_CSV!$X:$X,Taostats_CSV!$I1165&amp;O$1)</f>
        <v>0</v>
      </c>
      <c r="P1165">
        <f>COUNTIF(Taostats_CSV!$X:$X,Taostats_CSV!$I1165&amp;P$1)</f>
        <v>0</v>
      </c>
      <c r="Q1165" t="b">
        <f t="shared" si="123"/>
        <v>0</v>
      </c>
      <c r="R1165" t="b">
        <f>IF(LEN(K1165)&gt;0,COUNTIF($K$3:K1165,K1165),FALSE)</f>
        <v>0</v>
      </c>
      <c r="S1165" t="b">
        <f>IF(Taostats_CSV!A1165=Taostats_CSV!$A$2,TRUE,Taostats_CSV!G1165+Taostats_CSV!H1165+Taostats_CSV!R1165=0)</f>
        <v>1</v>
      </c>
      <c r="T1165" t="b">
        <f t="shared" si="124"/>
        <v>0</v>
      </c>
      <c r="U1165" t="b" cm="1">
        <f t="array" aca="1" ref="U1165" ca="1">AND(T1165,OR(O1165-N1165&gt;1,P1165&gt;1,ISERROR(A1165:P1165)))</f>
        <v>0</v>
      </c>
      <c r="W1165" t="e">
        <f>MATCH(K1165&amp;$W$2,Taostats_CSV!$X$3:$X$1167,0)</f>
        <v>#N/A</v>
      </c>
      <c r="X1165" t="e">
        <f t="shared" ca="1" si="120"/>
        <v>#VALUE!</v>
      </c>
      <c r="Y1165">
        <f t="shared" ca="1" si="121"/>
        <v>0</v>
      </c>
      <c r="Z1165" t="e">
        <f t="shared" ca="1" si="126"/>
        <v>#VALUE!</v>
      </c>
    </row>
    <row r="1166" spans="1:26" hidden="1" x14ac:dyDescent="0.4">
      <c r="A1166" t="str">
        <f>MID(Taostats_CSV!C1166,6,2)&amp;"/"&amp;MID(Taostats_CSV!C1166,9,2)&amp;"/"&amp;LEFT(Taostats_CSV!C1166,4)&amp;" "&amp;MID(Taostats_CSV!C1166,12,8)</f>
        <v>12/24/2025 23:59:48</v>
      </c>
      <c r="C1166" t="str">
        <f ca="1">IF(Q1166,OFFSET(Taostats_CSV!$E$1,MATCH(K1166&amp;D$1,Taostats_CSV!$X:$X,0)-1,0),IF(Taostats_CSV!F1166="fee","",IF(VALUE(Taostats_CSV!G1166)&gt;0,Taostats_CSV!E1166,"")))</f>
        <v/>
      </c>
      <c r="D1166" t="str">
        <f ca="1">IF(Q1166,OFFSET(Taostats_CSV!$G$1,MATCH(K1166&amp;D$1,Taostats_CSV!$X:$X,0)-1,0),IF(Taostats_CSV!F1166="fee","",IF(VALUE(Taostats_CSV!G1166)&gt;0,Taostats_CSV!G1166,"")))</f>
        <v/>
      </c>
      <c r="E1166" t="str">
        <f ca="1">IF(AND(Q1166,P1166&gt;0),OFFSET(Taostats_CSV!$E$1,MATCH(K1166&amp;F$1,Taostats_CSV!$X:$X,0)-1,0),IF(LEN(F1166)&gt;0,Taostats_CSV!E1166,""))</f>
        <v>TAO</v>
      </c>
      <c r="F1166" t="str">
        <f ca="1">TRIM(IF(AND(Q1166,P1166&gt;0),OFFSET(Taostats_CSV!$H$1,MATCH(K1166&amp;F$1,Taostats_CSV!$X:$X,0)-1,0),IF(LEN(Taostats_CSV!H1166)&gt;0,Taostats_CSV!H1166,Taostats_CSV!R1166)))</f>
        <v>0</v>
      </c>
      <c r="G1166" t="str">
        <f ca="1">IF(AND(Q1166,N1166=1),OFFSET(Taostats_CSV!$E$1,MATCH(K1166&amp;H$1,Taostats_CSV!$X:$X,0)-1,0),IF(Taostats_CSV!F1166="fee",Taostats_CSV!E1166,""))</f>
        <v/>
      </c>
      <c r="H1166" t="str">
        <f ca="1">IF(AND(Q1166,N1166=1),OFFSET(Taostats_CSV!$G$1,MATCH(K1166&amp;H$1,Taostats_CSV!$X:$X,0)-1,0),IF(Taostats_CSV!F1166="fee",Taostats_CSV!G1166,""))</f>
        <v/>
      </c>
      <c r="I1166" t="str">
        <f ca="1">IF(AND(LEN(K1166)=0,LEN(F1166)&gt;0),"Income",IF(AND(O1166&gt;0,P1166&gt;0,C1166&lt;&gt;E1166),"Trade",IF(AND(NOT(Q1166),Taostats_CSV!F1166="fee"),'READ ME'!$C$5,"")))</f>
        <v>Income</v>
      </c>
      <c r="J1166" t="str">
        <f ca="1">SUBSTITUTE(IF(LEN(I1166)=0,Taostats_CSV!F1166&amp;" "&amp;Taostats_CSV!J1166,IF(I1166="Cost","Extrinsic fee","")),"_"," ")</f>
        <v/>
      </c>
      <c r="K1166" t="str">
        <f>TRIM(IF(LEN(Taostats_CSV!I1166)&gt;0,Taostats_CSV!I1166,""))</f>
        <v/>
      </c>
      <c r="L1166" t="str">
        <f>IF(Taostats_CSV!E1166&lt;&gt;"TAO",IF(LEN(F1166)&gt;0,F1166,IF(LEN(D1166)&gt;0,D1166,0))*Taostats_CSV!P1166,"")</f>
        <v/>
      </c>
      <c r="M1166" t="str">
        <f t="shared" si="122"/>
        <v/>
      </c>
      <c r="N1166">
        <f>COUNTIF(Taostats_CSV!$X:$X,Taostats_CSV!$I1166&amp;N$1)</f>
        <v>0</v>
      </c>
      <c r="O1166">
        <f>COUNTIF(Taostats_CSV!$X:$X,Taostats_CSV!$I1166&amp;O$1)</f>
        <v>0</v>
      </c>
      <c r="P1166">
        <f>COUNTIF(Taostats_CSV!$X:$X,Taostats_CSV!$I1166&amp;P$1)</f>
        <v>0</v>
      </c>
      <c r="Q1166" t="b">
        <f t="shared" si="123"/>
        <v>0</v>
      </c>
      <c r="R1166" t="b">
        <f>IF(LEN(K1166)&gt;0,COUNTIF($K$3:K1166,K1166),FALSE)</f>
        <v>0</v>
      </c>
      <c r="S1166" t="b">
        <f>IF(Taostats_CSV!A1166=Taostats_CSV!$A$2,TRUE,Taostats_CSV!G1166+Taostats_CSV!H1166+Taostats_CSV!R1166=0)</f>
        <v>1</v>
      </c>
      <c r="T1166" t="b">
        <f t="shared" si="124"/>
        <v>0</v>
      </c>
      <c r="U1166" t="b" cm="1">
        <f t="array" aca="1" ref="U1166" ca="1">AND(T1166,OR(O1166-N1166&gt;1,P1166&gt;1,ISERROR(A1166:P1166)))</f>
        <v>0</v>
      </c>
      <c r="W1166" t="e">
        <f>MATCH(K1166&amp;$W$2,Taostats_CSV!$X$3:$X$1167,0)</f>
        <v>#N/A</v>
      </c>
      <c r="X1166" t="e">
        <f t="shared" ca="1" si="120"/>
        <v>#VALUE!</v>
      </c>
      <c r="Y1166">
        <f t="shared" ca="1" si="121"/>
        <v>0</v>
      </c>
      <c r="Z1166" t="e">
        <f t="shared" ca="1" si="126"/>
        <v>#VALUE!</v>
      </c>
    </row>
    <row r="1167" spans="1:26" hidden="1" x14ac:dyDescent="0.4">
      <c r="A1167" t="str">
        <f>MID(Taostats_CSV!C1167,6,2)&amp;"/"&amp;MID(Taostats_CSV!C1167,9,2)&amp;"/"&amp;LEFT(Taostats_CSV!C1167,4)&amp;" "&amp;MID(Taostats_CSV!C1167,12,8)</f>
        <v>12/25/2025 23:59:48</v>
      </c>
      <c r="C1167" t="str">
        <f ca="1">IF(Q1167,OFFSET(Taostats_CSV!$E$1,MATCH(K1167&amp;D$1,Taostats_CSV!$X:$X,0)-1,0),IF(Taostats_CSV!F1167="fee","",IF(VALUE(Taostats_CSV!G1167)&gt;0,Taostats_CSV!E1167,"")))</f>
        <v/>
      </c>
      <c r="D1167" t="str">
        <f ca="1">IF(Q1167,OFFSET(Taostats_CSV!$G$1,MATCH(K1167&amp;D$1,Taostats_CSV!$X:$X,0)-1,0),IF(Taostats_CSV!F1167="fee","",IF(VALUE(Taostats_CSV!G1167)&gt;0,Taostats_CSV!G1167,"")))</f>
        <v/>
      </c>
      <c r="E1167" t="str">
        <f ca="1">IF(AND(Q1167,P1167&gt;0),OFFSET(Taostats_CSV!$E$1,MATCH(K1167&amp;F$1,Taostats_CSV!$X:$X,0)-1,0),IF(LEN(F1167)&gt;0,Taostats_CSV!E1167,""))</f>
        <v>TAO</v>
      </c>
      <c r="F1167" t="str">
        <f ca="1">TRIM(IF(AND(Q1167,P1167&gt;0),OFFSET(Taostats_CSV!$H$1,MATCH(K1167&amp;F$1,Taostats_CSV!$X:$X,0)-1,0),IF(LEN(Taostats_CSV!H1167)&gt;0,Taostats_CSV!H1167,Taostats_CSV!R1167)))</f>
        <v>0</v>
      </c>
      <c r="G1167" t="str">
        <f ca="1">IF(AND(Q1167,N1167=1),OFFSET(Taostats_CSV!$E$1,MATCH(K1167&amp;H$1,Taostats_CSV!$X:$X,0)-1,0),IF(Taostats_CSV!F1167="fee",Taostats_CSV!E1167,""))</f>
        <v/>
      </c>
      <c r="H1167" t="str">
        <f ca="1">IF(AND(Q1167,N1167=1),OFFSET(Taostats_CSV!$G$1,MATCH(K1167&amp;H$1,Taostats_CSV!$X:$X,0)-1,0),IF(Taostats_CSV!F1167="fee",Taostats_CSV!G1167,""))</f>
        <v/>
      </c>
      <c r="I1167" t="str">
        <f ca="1">IF(AND(LEN(K1167)=0,LEN(F1167)&gt;0),"Income",IF(AND(O1167&gt;0,P1167&gt;0,C1167&lt;&gt;E1167),"Trade",IF(AND(NOT(Q1167),Taostats_CSV!F1167="fee"),'READ ME'!$C$5,"")))</f>
        <v>Income</v>
      </c>
      <c r="J1167" t="str">
        <f ca="1">SUBSTITUTE(IF(LEN(I1167)=0,Taostats_CSV!F1167&amp;" "&amp;Taostats_CSV!J1167,IF(I1167="Cost","Extrinsic fee","")),"_"," ")</f>
        <v/>
      </c>
      <c r="K1167" t="str">
        <f>TRIM(IF(LEN(Taostats_CSV!I1167)&gt;0,Taostats_CSV!I1167,""))</f>
        <v/>
      </c>
      <c r="L1167" t="str">
        <f>IF(Taostats_CSV!E1167&lt;&gt;"TAO",IF(LEN(F1167)&gt;0,F1167,IF(LEN(D1167)&gt;0,D1167,0))*Taostats_CSV!P1167,"")</f>
        <v/>
      </c>
      <c r="M1167" t="str">
        <f t="shared" si="122"/>
        <v/>
      </c>
      <c r="N1167">
        <f>COUNTIF(Taostats_CSV!$X:$X,Taostats_CSV!$I1167&amp;N$1)</f>
        <v>0</v>
      </c>
      <c r="O1167">
        <f>COUNTIF(Taostats_CSV!$X:$X,Taostats_CSV!$I1167&amp;O$1)</f>
        <v>0</v>
      </c>
      <c r="P1167">
        <f>COUNTIF(Taostats_CSV!$X:$X,Taostats_CSV!$I1167&amp;P$1)</f>
        <v>0</v>
      </c>
      <c r="Q1167" t="b">
        <f t="shared" si="123"/>
        <v>0</v>
      </c>
      <c r="R1167" t="b">
        <f>IF(LEN(K1167)&gt;0,COUNTIF($K$3:K1167,K1167),FALSE)</f>
        <v>0</v>
      </c>
      <c r="S1167" t="b">
        <f>IF(Taostats_CSV!A1167=Taostats_CSV!$A$2,TRUE,Taostats_CSV!G1167+Taostats_CSV!H1167+Taostats_CSV!R1167=0)</f>
        <v>1</v>
      </c>
      <c r="T1167" t="b">
        <f t="shared" si="124"/>
        <v>0</v>
      </c>
      <c r="U1167" t="b" cm="1">
        <f t="array" aca="1" ref="U1167" ca="1">AND(T1167,OR(O1167-N1167&gt;1,P1167&gt;1,ISERROR(A1167:P1167)))</f>
        <v>0</v>
      </c>
      <c r="W1167" t="e">
        <f>MATCH(K1167&amp;$W$2,Taostats_CSV!$X$3:$X$1167,0)</f>
        <v>#N/A</v>
      </c>
      <c r="X1167" t="e">
        <f t="shared" ca="1" si="120"/>
        <v>#VALUE!</v>
      </c>
      <c r="Y1167">
        <f t="shared" ca="1" si="121"/>
        <v>0</v>
      </c>
      <c r="Z1167" t="e">
        <f t="shared" ca="1" si="126"/>
        <v>#VALUE!</v>
      </c>
    </row>
    <row r="1168" spans="1:26" hidden="1" x14ac:dyDescent="0.4">
      <c r="A1168" t="str">
        <f>MID(Taostats_CSV!C1168,6,2)&amp;"/"&amp;MID(Taostats_CSV!C1168,9,2)&amp;"/"&amp;LEFT(Taostats_CSV!C1168,4)&amp;" "&amp;MID(Taostats_CSV!C1168,12,8)</f>
        <v>12/26/2025 23:59:48</v>
      </c>
      <c r="C1168" t="str">
        <f ca="1">IF(Q1168,OFFSET(Taostats_CSV!$E$1,MATCH(K1168&amp;D$1,Taostats_CSV!$X:$X,0)-1,0),IF(Taostats_CSV!F1168="fee","",IF(VALUE(Taostats_CSV!G1168)&gt;0,Taostats_CSV!E1168,"")))</f>
        <v/>
      </c>
      <c r="D1168" t="str">
        <f ca="1">IF(Q1168,OFFSET(Taostats_CSV!$G$1,MATCH(K1168&amp;D$1,Taostats_CSV!$X:$X,0)-1,0),IF(Taostats_CSV!F1168="fee","",IF(VALUE(Taostats_CSV!G1168)&gt;0,Taostats_CSV!G1168,"")))</f>
        <v/>
      </c>
      <c r="E1168" t="str">
        <f ca="1">IF(AND(Q1168,P1168&gt;0),OFFSET(Taostats_CSV!$E$1,MATCH(K1168&amp;F$1,Taostats_CSV!$X:$X,0)-1,0),IF(LEN(F1168)&gt;0,Taostats_CSV!E1168,""))</f>
        <v>TAO</v>
      </c>
      <c r="F1168" t="str">
        <f ca="1">TRIM(IF(AND(Q1168,P1168&gt;0),OFFSET(Taostats_CSV!$H$1,MATCH(K1168&amp;F$1,Taostats_CSV!$X:$X,0)-1,0),IF(LEN(Taostats_CSV!H1168)&gt;0,Taostats_CSV!H1168,Taostats_CSV!R1168)))</f>
        <v>0</v>
      </c>
      <c r="G1168" t="str">
        <f ca="1">IF(AND(Q1168,N1168=1),OFFSET(Taostats_CSV!$E$1,MATCH(K1168&amp;H$1,Taostats_CSV!$X:$X,0)-1,0),IF(Taostats_CSV!F1168="fee",Taostats_CSV!E1168,""))</f>
        <v/>
      </c>
      <c r="H1168" t="str">
        <f ca="1">IF(AND(Q1168,N1168=1),OFFSET(Taostats_CSV!$G$1,MATCH(K1168&amp;H$1,Taostats_CSV!$X:$X,0)-1,0),IF(Taostats_CSV!F1168="fee",Taostats_CSV!G1168,""))</f>
        <v/>
      </c>
      <c r="I1168" t="str">
        <f ca="1">IF(AND(LEN(K1168)=0,LEN(F1168)&gt;0),"Income",IF(AND(O1168&gt;0,P1168&gt;0,C1168&lt;&gt;E1168),"Trade",IF(AND(NOT(Q1168),Taostats_CSV!F1168="fee"),'READ ME'!$C$5,"")))</f>
        <v>Income</v>
      </c>
      <c r="J1168" t="str">
        <f ca="1">SUBSTITUTE(IF(LEN(I1168)=0,Taostats_CSV!F1168&amp;" "&amp;Taostats_CSV!J1168,IF(I1168="Cost","Extrinsic fee","")),"_"," ")</f>
        <v/>
      </c>
      <c r="K1168" t="str">
        <f>TRIM(IF(LEN(Taostats_CSV!I1168)&gt;0,Taostats_CSV!I1168,""))</f>
        <v/>
      </c>
      <c r="L1168" t="str">
        <f>IF(Taostats_CSV!E1168&lt;&gt;"TAO",IF(LEN(F1168)&gt;0,F1168,IF(LEN(D1168)&gt;0,D1168,0))*Taostats_CSV!P1168,"")</f>
        <v/>
      </c>
      <c r="M1168" t="str">
        <f t="shared" si="122"/>
        <v/>
      </c>
      <c r="N1168">
        <f>COUNTIF(Taostats_CSV!$X:$X,Taostats_CSV!$I1168&amp;N$1)</f>
        <v>0</v>
      </c>
      <c r="O1168">
        <f>COUNTIF(Taostats_CSV!$X:$X,Taostats_CSV!$I1168&amp;O$1)</f>
        <v>0</v>
      </c>
      <c r="P1168">
        <f>COUNTIF(Taostats_CSV!$X:$X,Taostats_CSV!$I1168&amp;P$1)</f>
        <v>0</v>
      </c>
      <c r="Q1168" t="b">
        <f t="shared" si="123"/>
        <v>0</v>
      </c>
      <c r="R1168" t="b">
        <f>IF(LEN(K1168)&gt;0,COUNTIF($K$3:K1168,K1168),FALSE)</f>
        <v>0</v>
      </c>
      <c r="S1168" t="b">
        <f>IF(Taostats_CSV!A1168=Taostats_CSV!$A$2,TRUE,Taostats_CSV!G1168+Taostats_CSV!H1168+Taostats_CSV!R1168=0)</f>
        <v>1</v>
      </c>
      <c r="T1168" t="b">
        <f t="shared" si="124"/>
        <v>0</v>
      </c>
      <c r="U1168" t="b" cm="1">
        <f t="array" aca="1" ref="U1168" ca="1">AND(T1168,OR(O1168-N1168&gt;1,P1168&gt;1,ISERROR(A1168:P1168)))</f>
        <v>0</v>
      </c>
      <c r="W1168" t="e">
        <f>MATCH(K1168&amp;$W$2,Taostats_CSV!$X$3:$X$1167,0)</f>
        <v>#N/A</v>
      </c>
      <c r="X1168" t="e">
        <f t="shared" ca="1" si="120"/>
        <v>#VALUE!</v>
      </c>
      <c r="Y1168">
        <f t="shared" ca="1" si="121"/>
        <v>0</v>
      </c>
      <c r="Z1168" t="e">
        <f t="shared" ca="1" si="126"/>
        <v>#VALUE!</v>
      </c>
    </row>
    <row r="1169" spans="1:26" hidden="1" x14ac:dyDescent="0.4">
      <c r="A1169" t="str">
        <f>MID(Taostats_CSV!C1169,6,2)&amp;"/"&amp;MID(Taostats_CSV!C1169,9,2)&amp;"/"&amp;LEFT(Taostats_CSV!C1169,4)&amp;" "&amp;MID(Taostats_CSV!C1169,12,8)</f>
        <v>12/27/2025 23:59:48</v>
      </c>
      <c r="C1169" t="str">
        <f ca="1">IF(Q1169,OFFSET(Taostats_CSV!$E$1,MATCH(K1169&amp;D$1,Taostats_CSV!$X:$X,0)-1,0),IF(Taostats_CSV!F1169="fee","",IF(VALUE(Taostats_CSV!G1169)&gt;0,Taostats_CSV!E1169,"")))</f>
        <v/>
      </c>
      <c r="D1169" t="str">
        <f ca="1">IF(Q1169,OFFSET(Taostats_CSV!$G$1,MATCH(K1169&amp;D$1,Taostats_CSV!$X:$X,0)-1,0),IF(Taostats_CSV!F1169="fee","",IF(VALUE(Taostats_CSV!G1169)&gt;0,Taostats_CSV!G1169,"")))</f>
        <v/>
      </c>
      <c r="E1169" t="str">
        <f ca="1">IF(AND(Q1169,P1169&gt;0),OFFSET(Taostats_CSV!$E$1,MATCH(K1169&amp;F$1,Taostats_CSV!$X:$X,0)-1,0),IF(LEN(F1169)&gt;0,Taostats_CSV!E1169,""))</f>
        <v>TAO</v>
      </c>
      <c r="F1169" t="str">
        <f ca="1">TRIM(IF(AND(Q1169,P1169&gt;0),OFFSET(Taostats_CSV!$H$1,MATCH(K1169&amp;F$1,Taostats_CSV!$X:$X,0)-1,0),IF(LEN(Taostats_CSV!H1169)&gt;0,Taostats_CSV!H1169,Taostats_CSV!R1169)))</f>
        <v>0</v>
      </c>
      <c r="G1169" t="str">
        <f ca="1">IF(AND(Q1169,N1169=1),OFFSET(Taostats_CSV!$E$1,MATCH(K1169&amp;H$1,Taostats_CSV!$X:$X,0)-1,0),IF(Taostats_CSV!F1169="fee",Taostats_CSV!E1169,""))</f>
        <v/>
      </c>
      <c r="H1169" t="str">
        <f ca="1">IF(AND(Q1169,N1169=1),OFFSET(Taostats_CSV!$G$1,MATCH(K1169&amp;H$1,Taostats_CSV!$X:$X,0)-1,0),IF(Taostats_CSV!F1169="fee",Taostats_CSV!G1169,""))</f>
        <v/>
      </c>
      <c r="I1169" t="str">
        <f ca="1">IF(AND(LEN(K1169)=0,LEN(F1169)&gt;0),"Income",IF(AND(O1169&gt;0,P1169&gt;0,C1169&lt;&gt;E1169),"Trade",IF(AND(NOT(Q1169),Taostats_CSV!F1169="fee"),'READ ME'!$C$5,"")))</f>
        <v>Income</v>
      </c>
      <c r="J1169" t="str">
        <f ca="1">SUBSTITUTE(IF(LEN(I1169)=0,Taostats_CSV!F1169&amp;" "&amp;Taostats_CSV!J1169,IF(I1169="Cost","Extrinsic fee","")),"_"," ")</f>
        <v/>
      </c>
      <c r="K1169" t="str">
        <f>TRIM(IF(LEN(Taostats_CSV!I1169)&gt;0,Taostats_CSV!I1169,""))</f>
        <v/>
      </c>
      <c r="L1169" t="str">
        <f>IF(Taostats_CSV!E1169&lt;&gt;"TAO",IF(LEN(F1169)&gt;0,F1169,IF(LEN(D1169)&gt;0,D1169,0))*Taostats_CSV!P1169,"")</f>
        <v/>
      </c>
      <c r="M1169" t="str">
        <f t="shared" si="122"/>
        <v/>
      </c>
      <c r="N1169">
        <f>COUNTIF(Taostats_CSV!$X:$X,Taostats_CSV!$I1169&amp;N$1)</f>
        <v>0</v>
      </c>
      <c r="O1169">
        <f>COUNTIF(Taostats_CSV!$X:$X,Taostats_CSV!$I1169&amp;O$1)</f>
        <v>0</v>
      </c>
      <c r="P1169">
        <f>COUNTIF(Taostats_CSV!$X:$X,Taostats_CSV!$I1169&amp;P$1)</f>
        <v>0</v>
      </c>
      <c r="Q1169" t="b">
        <f t="shared" si="123"/>
        <v>0</v>
      </c>
      <c r="R1169" t="b">
        <f>IF(LEN(K1169)&gt;0,COUNTIF($K$3:K1169,K1169),FALSE)</f>
        <v>0</v>
      </c>
      <c r="S1169" t="b">
        <f>IF(Taostats_CSV!A1169=Taostats_CSV!$A$2,TRUE,Taostats_CSV!G1169+Taostats_CSV!H1169+Taostats_CSV!R1169=0)</f>
        <v>1</v>
      </c>
      <c r="T1169" t="b">
        <f t="shared" si="124"/>
        <v>0</v>
      </c>
      <c r="U1169" t="b" cm="1">
        <f t="array" aca="1" ref="U1169" ca="1">AND(T1169,OR(O1169-N1169&gt;1,P1169&gt;1,ISERROR(A1169:P1169)))</f>
        <v>0</v>
      </c>
      <c r="W1169" t="e">
        <f>MATCH(K1169&amp;$W$2,Taostats_CSV!$X$3:$X$1167,0)</f>
        <v>#N/A</v>
      </c>
      <c r="X1169" t="e">
        <f t="shared" ca="1" si="120"/>
        <v>#VALUE!</v>
      </c>
      <c r="Y1169">
        <f t="shared" ca="1" si="121"/>
        <v>0</v>
      </c>
      <c r="Z1169" t="e">
        <f t="shared" ca="1" si="126"/>
        <v>#VALUE!</v>
      </c>
    </row>
    <row r="1170" spans="1:26" hidden="1" x14ac:dyDescent="0.4">
      <c r="A1170" t="str">
        <f>MID(Taostats_CSV!C1170,6,2)&amp;"/"&amp;MID(Taostats_CSV!C1170,9,2)&amp;"/"&amp;LEFT(Taostats_CSV!C1170,4)&amp;" "&amp;MID(Taostats_CSV!C1170,12,8)</f>
        <v>12/28/2025 23:59:48</v>
      </c>
      <c r="C1170" t="str">
        <f ca="1">IF(Q1170,OFFSET(Taostats_CSV!$E$1,MATCH(K1170&amp;D$1,Taostats_CSV!$X:$X,0)-1,0),IF(Taostats_CSV!F1170="fee","",IF(VALUE(Taostats_CSV!G1170)&gt;0,Taostats_CSV!E1170,"")))</f>
        <v/>
      </c>
      <c r="D1170" t="str">
        <f ca="1">IF(Q1170,OFFSET(Taostats_CSV!$G$1,MATCH(K1170&amp;D$1,Taostats_CSV!$X:$X,0)-1,0),IF(Taostats_CSV!F1170="fee","",IF(VALUE(Taostats_CSV!G1170)&gt;0,Taostats_CSV!G1170,"")))</f>
        <v/>
      </c>
      <c r="E1170" t="str">
        <f ca="1">IF(AND(Q1170,P1170&gt;0),OFFSET(Taostats_CSV!$E$1,MATCH(K1170&amp;F$1,Taostats_CSV!$X:$X,0)-1,0),IF(LEN(F1170)&gt;0,Taostats_CSV!E1170,""))</f>
        <v>TAO</v>
      </c>
      <c r="F1170" t="str">
        <f ca="1">TRIM(IF(AND(Q1170,P1170&gt;0),OFFSET(Taostats_CSV!$H$1,MATCH(K1170&amp;F$1,Taostats_CSV!$X:$X,0)-1,0),IF(LEN(Taostats_CSV!H1170)&gt;0,Taostats_CSV!H1170,Taostats_CSV!R1170)))</f>
        <v>0</v>
      </c>
      <c r="G1170" t="str">
        <f ca="1">IF(AND(Q1170,N1170=1),OFFSET(Taostats_CSV!$E$1,MATCH(K1170&amp;H$1,Taostats_CSV!$X:$X,0)-1,0),IF(Taostats_CSV!F1170="fee",Taostats_CSV!E1170,""))</f>
        <v/>
      </c>
      <c r="H1170" t="str">
        <f ca="1">IF(AND(Q1170,N1170=1),OFFSET(Taostats_CSV!$G$1,MATCH(K1170&amp;H$1,Taostats_CSV!$X:$X,0)-1,0),IF(Taostats_CSV!F1170="fee",Taostats_CSV!G1170,""))</f>
        <v/>
      </c>
      <c r="I1170" t="str">
        <f ca="1">IF(AND(LEN(K1170)=0,LEN(F1170)&gt;0),"Income",IF(AND(O1170&gt;0,P1170&gt;0,C1170&lt;&gt;E1170),"Trade",IF(AND(NOT(Q1170),Taostats_CSV!F1170="fee"),'READ ME'!$C$5,"")))</f>
        <v>Income</v>
      </c>
      <c r="J1170" t="str">
        <f ca="1">SUBSTITUTE(IF(LEN(I1170)=0,Taostats_CSV!F1170&amp;" "&amp;Taostats_CSV!J1170,IF(I1170="Cost","Extrinsic fee","")),"_"," ")</f>
        <v/>
      </c>
      <c r="K1170" t="str">
        <f>TRIM(IF(LEN(Taostats_CSV!I1170)&gt;0,Taostats_CSV!I1170,""))</f>
        <v/>
      </c>
      <c r="L1170" t="str">
        <f>IF(Taostats_CSV!E1170&lt;&gt;"TAO",IF(LEN(F1170)&gt;0,F1170,IF(LEN(D1170)&gt;0,D1170,0))*Taostats_CSV!P1170,"")</f>
        <v/>
      </c>
      <c r="M1170" t="str">
        <f t="shared" si="122"/>
        <v/>
      </c>
      <c r="N1170">
        <f>COUNTIF(Taostats_CSV!$X:$X,Taostats_CSV!$I1170&amp;N$1)</f>
        <v>0</v>
      </c>
      <c r="O1170">
        <f>COUNTIF(Taostats_CSV!$X:$X,Taostats_CSV!$I1170&amp;O$1)</f>
        <v>0</v>
      </c>
      <c r="P1170">
        <f>COUNTIF(Taostats_CSV!$X:$X,Taostats_CSV!$I1170&amp;P$1)</f>
        <v>0</v>
      </c>
      <c r="Q1170" t="b">
        <f t="shared" si="123"/>
        <v>0</v>
      </c>
      <c r="R1170" t="b">
        <f>IF(LEN(K1170)&gt;0,COUNTIF($K$3:K1170,K1170),FALSE)</f>
        <v>0</v>
      </c>
      <c r="S1170" t="b">
        <f>IF(Taostats_CSV!A1170=Taostats_CSV!$A$2,TRUE,Taostats_CSV!G1170+Taostats_CSV!H1170+Taostats_CSV!R1170=0)</f>
        <v>1</v>
      </c>
      <c r="T1170" t="b">
        <f t="shared" si="124"/>
        <v>0</v>
      </c>
      <c r="U1170" t="b" cm="1">
        <f t="array" aca="1" ref="U1170" ca="1">AND(T1170,OR(O1170-N1170&gt;1,P1170&gt;1,ISERROR(A1170:P1170)))</f>
        <v>0</v>
      </c>
      <c r="W1170" t="e">
        <f>MATCH(K1170&amp;$W$2,Taostats_CSV!$X$3:$X$1167,0)</f>
        <v>#N/A</v>
      </c>
      <c r="X1170" t="e">
        <f t="shared" ca="1" si="120"/>
        <v>#VALUE!</v>
      </c>
      <c r="Y1170">
        <f t="shared" ca="1" si="121"/>
        <v>0</v>
      </c>
      <c r="Z1170" t="e">
        <f t="shared" ca="1" si="126"/>
        <v>#VALUE!</v>
      </c>
    </row>
    <row r="1171" spans="1:26" hidden="1" x14ac:dyDescent="0.4">
      <c r="A1171" t="str">
        <f>MID(Taostats_CSV!C1171,6,2)&amp;"/"&amp;MID(Taostats_CSV!C1171,9,2)&amp;"/"&amp;LEFT(Taostats_CSV!C1171,4)&amp;" "&amp;MID(Taostats_CSV!C1171,12,8)</f>
        <v>12/29/2025 23:59:48</v>
      </c>
      <c r="C1171" t="str">
        <f ca="1">IF(Q1171,OFFSET(Taostats_CSV!$E$1,MATCH(K1171&amp;D$1,Taostats_CSV!$X:$X,0)-1,0),IF(Taostats_CSV!F1171="fee","",IF(VALUE(Taostats_CSV!G1171)&gt;0,Taostats_CSV!E1171,"")))</f>
        <v/>
      </c>
      <c r="D1171" t="str">
        <f ca="1">IF(Q1171,OFFSET(Taostats_CSV!$G$1,MATCH(K1171&amp;D$1,Taostats_CSV!$X:$X,0)-1,0),IF(Taostats_CSV!F1171="fee","",IF(VALUE(Taostats_CSV!G1171)&gt;0,Taostats_CSV!G1171,"")))</f>
        <v/>
      </c>
      <c r="E1171" t="str">
        <f ca="1">IF(AND(Q1171,P1171&gt;0),OFFSET(Taostats_CSV!$E$1,MATCH(K1171&amp;F$1,Taostats_CSV!$X:$X,0)-1,0),IF(LEN(F1171)&gt;0,Taostats_CSV!E1171,""))</f>
        <v>TAO</v>
      </c>
      <c r="F1171" t="str">
        <f ca="1">TRIM(IF(AND(Q1171,P1171&gt;0),OFFSET(Taostats_CSV!$H$1,MATCH(K1171&amp;F$1,Taostats_CSV!$X:$X,0)-1,0),IF(LEN(Taostats_CSV!H1171)&gt;0,Taostats_CSV!H1171,Taostats_CSV!R1171)))</f>
        <v>0</v>
      </c>
      <c r="G1171" t="str">
        <f ca="1">IF(AND(Q1171,N1171=1),OFFSET(Taostats_CSV!$E$1,MATCH(K1171&amp;H$1,Taostats_CSV!$X:$X,0)-1,0),IF(Taostats_CSV!F1171="fee",Taostats_CSV!E1171,""))</f>
        <v/>
      </c>
      <c r="H1171" t="str">
        <f ca="1">IF(AND(Q1171,N1171=1),OFFSET(Taostats_CSV!$G$1,MATCH(K1171&amp;H$1,Taostats_CSV!$X:$X,0)-1,0),IF(Taostats_CSV!F1171="fee",Taostats_CSV!G1171,""))</f>
        <v/>
      </c>
      <c r="I1171" t="str">
        <f ca="1">IF(AND(LEN(K1171)=0,LEN(F1171)&gt;0),"Income",IF(AND(O1171&gt;0,P1171&gt;0,C1171&lt;&gt;E1171),"Trade",IF(AND(NOT(Q1171),Taostats_CSV!F1171="fee"),'READ ME'!$C$5,"")))</f>
        <v>Income</v>
      </c>
      <c r="J1171" t="str">
        <f ca="1">SUBSTITUTE(IF(LEN(I1171)=0,Taostats_CSV!F1171&amp;" "&amp;Taostats_CSV!J1171,IF(I1171="Cost","Extrinsic fee","")),"_"," ")</f>
        <v/>
      </c>
      <c r="K1171" t="str">
        <f>TRIM(IF(LEN(Taostats_CSV!I1171)&gt;0,Taostats_CSV!I1171,""))</f>
        <v/>
      </c>
      <c r="L1171" t="str">
        <f>IF(Taostats_CSV!E1171&lt;&gt;"TAO",IF(LEN(F1171)&gt;0,F1171,IF(LEN(D1171)&gt;0,D1171,0))*Taostats_CSV!P1171,"")</f>
        <v/>
      </c>
      <c r="M1171" t="str">
        <f t="shared" si="122"/>
        <v/>
      </c>
      <c r="N1171">
        <f>COUNTIF(Taostats_CSV!$X:$X,Taostats_CSV!$I1171&amp;N$1)</f>
        <v>0</v>
      </c>
      <c r="O1171">
        <f>COUNTIF(Taostats_CSV!$X:$X,Taostats_CSV!$I1171&amp;O$1)</f>
        <v>0</v>
      </c>
      <c r="P1171">
        <f>COUNTIF(Taostats_CSV!$X:$X,Taostats_CSV!$I1171&amp;P$1)</f>
        <v>0</v>
      </c>
      <c r="Q1171" t="b">
        <f t="shared" si="123"/>
        <v>0</v>
      </c>
      <c r="R1171" t="b">
        <f>IF(LEN(K1171)&gt;0,COUNTIF($K$3:K1171,K1171),FALSE)</f>
        <v>0</v>
      </c>
      <c r="S1171" t="b">
        <f>IF(Taostats_CSV!A1171=Taostats_CSV!$A$2,TRUE,Taostats_CSV!G1171+Taostats_CSV!H1171+Taostats_CSV!R1171=0)</f>
        <v>1</v>
      </c>
      <c r="T1171" t="b">
        <f t="shared" si="124"/>
        <v>0</v>
      </c>
      <c r="U1171" t="b" cm="1">
        <f t="array" aca="1" ref="U1171" ca="1">AND(T1171,OR(O1171-N1171&gt;1,P1171&gt;1,ISERROR(A1171:P1171)))</f>
        <v>0</v>
      </c>
      <c r="W1171" t="e">
        <f>MATCH(K1171&amp;$W$2,Taostats_CSV!$X$3:$X$1167,0)</f>
        <v>#N/A</v>
      </c>
      <c r="X1171" t="e">
        <f t="shared" ca="1" si="120"/>
        <v>#VALUE!</v>
      </c>
      <c r="Y1171">
        <f t="shared" ca="1" si="121"/>
        <v>0</v>
      </c>
      <c r="Z1171" t="e">
        <f t="shared" ca="1" si="126"/>
        <v>#VALUE!</v>
      </c>
    </row>
    <row r="1172" spans="1:26" hidden="1" x14ac:dyDescent="0.4">
      <c r="A1172" t="str">
        <f>MID(Taostats_CSV!C1172,6,2)&amp;"/"&amp;MID(Taostats_CSV!C1172,9,2)&amp;"/"&amp;LEFT(Taostats_CSV!C1172,4)&amp;" "&amp;MID(Taostats_CSV!C1172,12,8)</f>
        <v>12/30/2025 23:59:48</v>
      </c>
      <c r="C1172" t="str">
        <f ca="1">IF(Q1172,OFFSET(Taostats_CSV!$E$1,MATCH(K1172&amp;D$1,Taostats_CSV!$X:$X,0)-1,0),IF(Taostats_CSV!F1172="fee","",IF(VALUE(Taostats_CSV!G1172)&gt;0,Taostats_CSV!E1172,"")))</f>
        <v/>
      </c>
      <c r="D1172" t="str">
        <f ca="1">IF(Q1172,OFFSET(Taostats_CSV!$G$1,MATCH(K1172&amp;D$1,Taostats_CSV!$X:$X,0)-1,0),IF(Taostats_CSV!F1172="fee","",IF(VALUE(Taostats_CSV!G1172)&gt;0,Taostats_CSV!G1172,"")))</f>
        <v/>
      </c>
      <c r="E1172" t="str">
        <f ca="1">IF(AND(Q1172,P1172&gt;0),OFFSET(Taostats_CSV!$E$1,MATCH(K1172&amp;F$1,Taostats_CSV!$X:$X,0)-1,0),IF(LEN(F1172)&gt;0,Taostats_CSV!E1172,""))</f>
        <v>TAO</v>
      </c>
      <c r="F1172" t="str">
        <f ca="1">TRIM(IF(AND(Q1172,P1172&gt;0),OFFSET(Taostats_CSV!$H$1,MATCH(K1172&amp;F$1,Taostats_CSV!$X:$X,0)-1,0),IF(LEN(Taostats_CSV!H1172)&gt;0,Taostats_CSV!H1172,Taostats_CSV!R1172)))</f>
        <v>0</v>
      </c>
      <c r="G1172" t="str">
        <f ca="1">IF(AND(Q1172,N1172=1),OFFSET(Taostats_CSV!$E$1,MATCH(K1172&amp;H$1,Taostats_CSV!$X:$X,0)-1,0),IF(Taostats_CSV!F1172="fee",Taostats_CSV!E1172,""))</f>
        <v/>
      </c>
      <c r="H1172" t="str">
        <f ca="1">IF(AND(Q1172,N1172=1),OFFSET(Taostats_CSV!$G$1,MATCH(K1172&amp;H$1,Taostats_CSV!$X:$X,0)-1,0),IF(Taostats_CSV!F1172="fee",Taostats_CSV!G1172,""))</f>
        <v/>
      </c>
      <c r="I1172" t="str">
        <f ca="1">IF(AND(LEN(K1172)=0,LEN(F1172)&gt;0),"Income",IF(AND(O1172&gt;0,P1172&gt;0,C1172&lt;&gt;E1172),"Trade",IF(AND(NOT(Q1172),Taostats_CSV!F1172="fee"),'READ ME'!$C$5,"")))</f>
        <v>Income</v>
      </c>
      <c r="J1172" t="str">
        <f ca="1">SUBSTITUTE(IF(LEN(I1172)=0,Taostats_CSV!F1172&amp;" "&amp;Taostats_CSV!J1172,IF(I1172="Cost","Extrinsic fee","")),"_"," ")</f>
        <v/>
      </c>
      <c r="K1172" t="str">
        <f>TRIM(IF(LEN(Taostats_CSV!I1172)&gt;0,Taostats_CSV!I1172,""))</f>
        <v/>
      </c>
      <c r="L1172" t="str">
        <f>IF(Taostats_CSV!E1172&lt;&gt;"TAO",IF(LEN(F1172)&gt;0,F1172,IF(LEN(D1172)&gt;0,D1172,0))*Taostats_CSV!P1172,"")</f>
        <v/>
      </c>
      <c r="M1172" t="str">
        <f t="shared" si="122"/>
        <v/>
      </c>
      <c r="N1172">
        <f>COUNTIF(Taostats_CSV!$X:$X,Taostats_CSV!$I1172&amp;N$1)</f>
        <v>0</v>
      </c>
      <c r="O1172">
        <f>COUNTIF(Taostats_CSV!$X:$X,Taostats_CSV!$I1172&amp;O$1)</f>
        <v>0</v>
      </c>
      <c r="P1172">
        <f>COUNTIF(Taostats_CSV!$X:$X,Taostats_CSV!$I1172&amp;P$1)</f>
        <v>0</v>
      </c>
      <c r="Q1172" t="b">
        <f t="shared" si="123"/>
        <v>0</v>
      </c>
      <c r="R1172" t="b">
        <f>IF(LEN(K1172)&gt;0,COUNTIF($K$3:K1172,K1172),FALSE)</f>
        <v>0</v>
      </c>
      <c r="S1172" t="b">
        <f>IF(Taostats_CSV!A1172=Taostats_CSV!$A$2,TRUE,Taostats_CSV!G1172+Taostats_CSV!H1172+Taostats_CSV!R1172=0)</f>
        <v>1</v>
      </c>
      <c r="T1172" t="b">
        <f t="shared" si="124"/>
        <v>0</v>
      </c>
      <c r="U1172" t="b" cm="1">
        <f t="array" aca="1" ref="U1172" ca="1">AND(T1172,OR(O1172-N1172&gt;1,P1172&gt;1,ISERROR(A1172:P1172)))</f>
        <v>0</v>
      </c>
      <c r="W1172" t="e">
        <f>MATCH(K1172&amp;$W$2,Taostats_CSV!$X$3:$X$1167,0)</f>
        <v>#N/A</v>
      </c>
      <c r="X1172" t="e">
        <f t="shared" ca="1" si="120"/>
        <v>#VALUE!</v>
      </c>
      <c r="Y1172">
        <f t="shared" ca="1" si="121"/>
        <v>0</v>
      </c>
      <c r="Z1172" t="e">
        <f t="shared" ca="1" si="126"/>
        <v>#VALUE!</v>
      </c>
    </row>
    <row r="1173" spans="1:26" hidden="1" x14ac:dyDescent="0.4">
      <c r="A1173" t="str">
        <f>MID(Taostats_CSV!C1173,6,2)&amp;"/"&amp;MID(Taostats_CSV!C1173,9,2)&amp;"/"&amp;LEFT(Taostats_CSV!C1173,4)&amp;" "&amp;MID(Taostats_CSV!C1173,12,8)</f>
        <v>12/31/2025 23:59:48</v>
      </c>
      <c r="C1173" t="str">
        <f ca="1">IF(Q1173,OFFSET(Taostats_CSV!$E$1,MATCH(K1173&amp;D$1,Taostats_CSV!$X:$X,0)-1,0),IF(Taostats_CSV!F1173="fee","",IF(VALUE(Taostats_CSV!G1173)&gt;0,Taostats_CSV!E1173,"")))</f>
        <v/>
      </c>
      <c r="D1173" t="str">
        <f ca="1">IF(Q1173,OFFSET(Taostats_CSV!$G$1,MATCH(K1173&amp;D$1,Taostats_CSV!$X:$X,0)-1,0),IF(Taostats_CSV!F1173="fee","",IF(VALUE(Taostats_CSV!G1173)&gt;0,Taostats_CSV!G1173,"")))</f>
        <v/>
      </c>
      <c r="E1173" t="str">
        <f ca="1">IF(AND(Q1173,P1173&gt;0),OFFSET(Taostats_CSV!$E$1,MATCH(K1173&amp;F$1,Taostats_CSV!$X:$X,0)-1,0),IF(LEN(F1173)&gt;0,Taostats_CSV!E1173,""))</f>
        <v>TAO</v>
      </c>
      <c r="F1173" t="str">
        <f ca="1">TRIM(IF(AND(Q1173,P1173&gt;0),OFFSET(Taostats_CSV!$H$1,MATCH(K1173&amp;F$1,Taostats_CSV!$X:$X,0)-1,0),IF(LEN(Taostats_CSV!H1173)&gt;0,Taostats_CSV!H1173,Taostats_CSV!R1173)))</f>
        <v>0</v>
      </c>
      <c r="G1173" t="str">
        <f ca="1">IF(AND(Q1173,N1173=1),OFFSET(Taostats_CSV!$E$1,MATCH(K1173&amp;H$1,Taostats_CSV!$X:$X,0)-1,0),IF(Taostats_CSV!F1173="fee",Taostats_CSV!E1173,""))</f>
        <v/>
      </c>
      <c r="H1173" t="str">
        <f ca="1">IF(AND(Q1173,N1173=1),OFFSET(Taostats_CSV!$G$1,MATCH(K1173&amp;H$1,Taostats_CSV!$X:$X,0)-1,0),IF(Taostats_CSV!F1173="fee",Taostats_CSV!G1173,""))</f>
        <v/>
      </c>
      <c r="I1173" t="str">
        <f ca="1">IF(AND(LEN(K1173)=0,LEN(F1173)&gt;0),"Income",IF(AND(O1173&gt;0,P1173&gt;0,C1173&lt;&gt;E1173),"Trade",IF(AND(NOT(Q1173),Taostats_CSV!F1173="fee"),'READ ME'!$C$5,"")))</f>
        <v>Income</v>
      </c>
      <c r="J1173" t="str">
        <f ca="1">SUBSTITUTE(IF(LEN(I1173)=0,Taostats_CSV!F1173&amp;" "&amp;Taostats_CSV!J1173,IF(I1173="Cost","Extrinsic fee","")),"_"," ")</f>
        <v/>
      </c>
      <c r="K1173" t="str">
        <f>TRIM(IF(LEN(Taostats_CSV!I1173)&gt;0,Taostats_CSV!I1173,""))</f>
        <v/>
      </c>
      <c r="L1173" t="str">
        <f>IF(Taostats_CSV!E1173&lt;&gt;"TAO",IF(LEN(F1173)&gt;0,F1173,IF(LEN(D1173)&gt;0,D1173,0))*Taostats_CSV!P1173,"")</f>
        <v/>
      </c>
      <c r="M1173" t="str">
        <f t="shared" si="122"/>
        <v/>
      </c>
      <c r="N1173">
        <f>COUNTIF(Taostats_CSV!$X:$X,Taostats_CSV!$I1173&amp;N$1)</f>
        <v>0</v>
      </c>
      <c r="O1173">
        <f>COUNTIF(Taostats_CSV!$X:$X,Taostats_CSV!$I1173&amp;O$1)</f>
        <v>0</v>
      </c>
      <c r="P1173">
        <f>COUNTIF(Taostats_CSV!$X:$X,Taostats_CSV!$I1173&amp;P$1)</f>
        <v>0</v>
      </c>
      <c r="Q1173" t="b">
        <f t="shared" si="123"/>
        <v>0</v>
      </c>
      <c r="R1173" t="b">
        <f>IF(LEN(K1173)&gt;0,COUNTIF($K$3:K1173,K1173),FALSE)</f>
        <v>0</v>
      </c>
      <c r="S1173" t="b">
        <f>IF(Taostats_CSV!A1173=Taostats_CSV!$A$2,TRUE,Taostats_CSV!G1173+Taostats_CSV!H1173+Taostats_CSV!R1173=0)</f>
        <v>1</v>
      </c>
      <c r="T1173" t="b">
        <f t="shared" si="124"/>
        <v>0</v>
      </c>
      <c r="U1173" t="b" cm="1">
        <f t="array" aca="1" ref="U1173" ca="1">AND(T1173,OR(O1173-N1173&gt;1,P1173&gt;1,ISERROR(A1173:P1173)))</f>
        <v>0</v>
      </c>
      <c r="W1173" t="e">
        <f>MATCH(K1173&amp;$W$2,Taostats_CSV!$X$3:$X$1167,0)</f>
        <v>#N/A</v>
      </c>
      <c r="X1173" t="e">
        <f t="shared" ca="1" si="120"/>
        <v>#VALUE!</v>
      </c>
      <c r="Y1173">
        <f t="shared" ca="1" si="121"/>
        <v>0</v>
      </c>
      <c r="Z1173" t="e">
        <f t="shared" ca="1" si="126"/>
        <v>#VALUE!</v>
      </c>
    </row>
    <row r="1174" spans="1:26" hidden="1" x14ac:dyDescent="0.4">
      <c r="A1174" t="str">
        <f>MID(Taostats_CSV!C1174,6,2)&amp;"/"&amp;MID(Taostats_CSV!C1174,9,2)&amp;"/"&amp;LEFT(Taostats_CSV!C1174,4)&amp;" "&amp;MID(Taostats_CSV!C1174,12,8)</f>
        <v xml:space="preserve">ta/p/Time </v>
      </c>
      <c r="C1174" t="e">
        <f ca="1">IF(Q1174,OFFSET(Taostats_CSV!$E$1,MATCH(K1174&amp;D$1,Taostats_CSV!$X:$X,0)-1,0),IF(Taostats_CSV!F1174="fee","",IF(VALUE(Taostats_CSV!G1174)&gt;0,Taostats_CSV!E1174,"")))</f>
        <v>#VALUE!</v>
      </c>
      <c r="D1174" t="e">
        <f ca="1">IF(Q1174,OFFSET(Taostats_CSV!$G$1,MATCH(K1174&amp;D$1,Taostats_CSV!$X:$X,0)-1,0),IF(Taostats_CSV!F1174="fee","",IF(VALUE(Taostats_CSV!G1174)&gt;0,Taostats_CSV!G1174,"")))</f>
        <v>#VALUE!</v>
      </c>
      <c r="E1174" t="str">
        <f ca="1">IF(AND(Q1174,P1174&gt;0),OFFSET(Taostats_CSV!$E$1,MATCH(K1174&amp;F$1,Taostats_CSV!$X:$X,0)-1,0),IF(LEN(F1174)&gt;0,Taostats_CSV!E1174,""))</f>
        <v>Token</v>
      </c>
      <c r="F1174" t="str">
        <f ca="1">TRIM(IF(AND(Q1174,P1174&gt;0),OFFSET(Taostats_CSV!$H$1,MATCH(K1174&amp;F$1,Taostats_CSV!$X:$X,0)-1,0),IF(LEN(Taostats_CSV!H1174)&gt;0,Taostats_CSV!H1174,Taostats_CSV!R1174)))</f>
        <v>Credit amount</v>
      </c>
      <c r="G1174" t="str">
        <f ca="1">IF(AND(Q1174,N1174=1),OFFSET(Taostats_CSV!$E$1,MATCH(K1174&amp;H$1,Taostats_CSV!$X:$X,0)-1,0),IF(Taostats_CSV!F1174="fee",Taostats_CSV!E1174,""))</f>
        <v/>
      </c>
      <c r="H1174" t="str">
        <f ca="1">IF(AND(Q1174,N1174=1),OFFSET(Taostats_CSV!$G$1,MATCH(K1174&amp;H$1,Taostats_CSV!$X:$X,0)-1,0),IF(Taostats_CSV!F1174="fee",Taostats_CSV!G1174,""))</f>
        <v/>
      </c>
      <c r="I1174" t="e">
        <f ca="1">IF(AND(LEN(K1174)=0,LEN(F1174)&gt;0),"Income",IF(AND(O1174&gt;0,P1174&gt;0,C1174&lt;&gt;E1174),"Trade",IF(AND(NOT(Q1174),Taostats_CSV!F1174="fee"),'READ ME'!$C$5,"")))</f>
        <v>#VALUE!</v>
      </c>
      <c r="J1174" t="e">
        <f ca="1">SUBSTITUTE(IF(LEN(I1174)=0,Taostats_CSV!F1174&amp;" "&amp;Taostats_CSV!J1174,IF(I1174="Cost","Extrinsic fee","")),"_"," ")</f>
        <v>#VALUE!</v>
      </c>
      <c r="K1174" t="str">
        <f>TRIM(IF(LEN(Taostats_CSV!I1174)&gt;0,Taostats_CSV!I1174,""))</f>
        <v>Extrinsic ID</v>
      </c>
      <c r="L1174" t="e">
        <f ca="1">IF(Taostats_CSV!E1174&lt;&gt;"TAO",IF(LEN(F1174)&gt;0,F1174,IF(LEN(D1174)&gt;0,D1174,0))*Taostats_CSV!P1174,"")</f>
        <v>#VALUE!</v>
      </c>
      <c r="M1174" t="e">
        <f t="shared" ca="1" si="122"/>
        <v>#VALUE!</v>
      </c>
      <c r="N1174">
        <f>COUNTIF(Taostats_CSV!$X:$X,Taostats_CSV!$I1174&amp;N$1)</f>
        <v>0</v>
      </c>
      <c r="O1174">
        <f>COUNTIF(Taostats_CSV!$X:$X,Taostats_CSV!$I1174&amp;O$1)</f>
        <v>0</v>
      </c>
      <c r="P1174">
        <f>COUNTIF(Taostats_CSV!$X:$X,Taostats_CSV!$I1174&amp;P$1)</f>
        <v>0</v>
      </c>
      <c r="Q1174" t="b">
        <f t="shared" si="123"/>
        <v>0</v>
      </c>
      <c r="R1174">
        <f>IF(LEN(K1174)&gt;0,COUNTIF($K$3:K1174,K1174),FALSE)</f>
        <v>1</v>
      </c>
      <c r="S1174" t="b">
        <f>IF(Taostats_CSV!A1174=Taostats_CSV!$A$2,TRUE,Taostats_CSV!G1174+Taostats_CSV!H1174+Taostats_CSV!R1174=0)</f>
        <v>1</v>
      </c>
      <c r="T1174" t="b">
        <f t="shared" si="124"/>
        <v>0</v>
      </c>
      <c r="U1174" t="b" cm="1">
        <f t="array" aca="1" ref="U1174" ca="1">AND(T1174,OR(O1174-N1174&gt;1,P1174&gt;1,ISERROR(A1174:P1174)))</f>
        <v>0</v>
      </c>
      <c r="W1174" t="e">
        <f>MATCH(K1174&amp;$W$2,Taostats_CSV!$X$3:$X$1167,0)</f>
        <v>#N/A</v>
      </c>
      <c r="X1174" t="e">
        <f t="shared" ca="1" si="120"/>
        <v>#VALUE!</v>
      </c>
      <c r="Y1174" t="e">
        <f t="shared" ca="1" si="121"/>
        <v>#VALUE!</v>
      </c>
      <c r="Z1174" t="e">
        <f t="shared" ca="1" si="126"/>
        <v>#VALUE!</v>
      </c>
    </row>
    <row r="1175" spans="1:26" hidden="1" x14ac:dyDescent="0.4">
      <c r="A1175" t="str">
        <f>MID(Taostats_CSV!C1175,6,2)&amp;"/"&amp;MID(Taostats_CSV!C1175,9,2)&amp;"/"&amp;LEFT(Taostats_CSV!C1175,4)&amp;" "&amp;MID(Taostats_CSV!C1175,12,8)</f>
        <v xml:space="preserve">ta/p/Time </v>
      </c>
      <c r="C1175" t="e">
        <f ca="1">IF(Q1175,OFFSET(Taostats_CSV!$E$1,MATCH(K1175&amp;D$1,Taostats_CSV!$X:$X,0)-1,0),IF(Taostats_CSV!F1175="fee","",IF(VALUE(Taostats_CSV!G1175)&gt;0,Taostats_CSV!E1175,"")))</f>
        <v>#VALUE!</v>
      </c>
      <c r="D1175" t="e">
        <f ca="1">IF(Q1175,OFFSET(Taostats_CSV!$G$1,MATCH(K1175&amp;D$1,Taostats_CSV!$X:$X,0)-1,0),IF(Taostats_CSV!F1175="fee","",IF(VALUE(Taostats_CSV!G1175)&gt;0,Taostats_CSV!G1175,"")))</f>
        <v>#VALUE!</v>
      </c>
      <c r="E1175" t="str">
        <f ca="1">IF(AND(Q1175,P1175&gt;0),OFFSET(Taostats_CSV!$E$1,MATCH(K1175&amp;F$1,Taostats_CSV!$X:$X,0)-1,0),IF(LEN(F1175)&gt;0,Taostats_CSV!E1175,""))</f>
        <v>Token</v>
      </c>
      <c r="F1175" t="str">
        <f ca="1">TRIM(IF(AND(Q1175,P1175&gt;0),OFFSET(Taostats_CSV!$H$1,MATCH(K1175&amp;F$1,Taostats_CSV!$X:$X,0)-1,0),IF(LEN(Taostats_CSV!H1175)&gt;0,Taostats_CSV!H1175,Taostats_CSV!R1175)))</f>
        <v>Credit amount</v>
      </c>
      <c r="G1175" t="str">
        <f ca="1">IF(AND(Q1175,N1175=1),OFFSET(Taostats_CSV!$E$1,MATCH(K1175&amp;H$1,Taostats_CSV!$X:$X,0)-1,0),IF(Taostats_CSV!F1175="fee",Taostats_CSV!E1175,""))</f>
        <v/>
      </c>
      <c r="H1175" t="str">
        <f ca="1">IF(AND(Q1175,N1175=1),OFFSET(Taostats_CSV!$G$1,MATCH(K1175&amp;H$1,Taostats_CSV!$X:$X,0)-1,0),IF(Taostats_CSV!F1175="fee",Taostats_CSV!G1175,""))</f>
        <v/>
      </c>
      <c r="I1175" t="e">
        <f ca="1">IF(AND(LEN(K1175)=0,LEN(F1175)&gt;0),"Income",IF(AND(O1175&gt;0,P1175&gt;0,C1175&lt;&gt;E1175),"Trade",IF(AND(NOT(Q1175),Taostats_CSV!F1175="fee"),'READ ME'!$C$5,"")))</f>
        <v>#VALUE!</v>
      </c>
      <c r="J1175" t="e">
        <f ca="1">SUBSTITUTE(IF(LEN(I1175)=0,Taostats_CSV!F1175&amp;" "&amp;Taostats_CSV!J1175,IF(I1175="Cost","Extrinsic fee","")),"_"," ")</f>
        <v>#VALUE!</v>
      </c>
      <c r="K1175" t="str">
        <f>TRIM(IF(LEN(Taostats_CSV!I1175)&gt;0,Taostats_CSV!I1175,""))</f>
        <v>Extrinsic ID</v>
      </c>
      <c r="L1175" t="e">
        <f ca="1">IF(Taostats_CSV!E1175&lt;&gt;"TAO",IF(LEN(F1175)&gt;0,F1175,IF(LEN(D1175)&gt;0,D1175,0))*Taostats_CSV!P1175,"")</f>
        <v>#VALUE!</v>
      </c>
      <c r="M1175" t="e">
        <f t="shared" ca="1" si="122"/>
        <v>#VALUE!</v>
      </c>
      <c r="N1175">
        <f>COUNTIF(Taostats_CSV!$X:$X,Taostats_CSV!$I1175&amp;N$1)</f>
        <v>0</v>
      </c>
      <c r="O1175">
        <f>COUNTIF(Taostats_CSV!$X:$X,Taostats_CSV!$I1175&amp;O$1)</f>
        <v>0</v>
      </c>
      <c r="P1175">
        <f>COUNTIF(Taostats_CSV!$X:$X,Taostats_CSV!$I1175&amp;P$1)</f>
        <v>0</v>
      </c>
      <c r="Q1175" t="b">
        <f t="shared" si="123"/>
        <v>0</v>
      </c>
      <c r="R1175">
        <f>IF(LEN(K1175)&gt;0,COUNTIF($K$3:K1175,K1175),FALSE)</f>
        <v>2</v>
      </c>
      <c r="S1175" t="b">
        <f>IF(Taostats_CSV!A1175=Taostats_CSV!$A$2,TRUE,Taostats_CSV!G1175+Taostats_CSV!H1175+Taostats_CSV!R1175=0)</f>
        <v>1</v>
      </c>
      <c r="T1175" t="b">
        <f t="shared" si="124"/>
        <v>0</v>
      </c>
      <c r="U1175" t="b" cm="1">
        <f t="array" aca="1" ref="U1175" ca="1">AND(T1175,OR(O1175-N1175&gt;1,P1175&gt;1,ISERROR(A1175:P1175)))</f>
        <v>0</v>
      </c>
      <c r="W1175" t="e">
        <f>MATCH(K1175&amp;$W$2,Taostats_CSV!$X$3:$X$1167,0)</f>
        <v>#N/A</v>
      </c>
      <c r="X1175" t="e">
        <f t="shared" ca="1" si="120"/>
        <v>#VALUE!</v>
      </c>
      <c r="Y1175" t="e">
        <f t="shared" ca="1" si="121"/>
        <v>#VALUE!</v>
      </c>
      <c r="Z1175" t="e">
        <f t="shared" ca="1" si="126"/>
        <v>#VALUE!</v>
      </c>
    </row>
    <row r="1176" spans="1:26" hidden="1" x14ac:dyDescent="0.4">
      <c r="A1176" t="str">
        <f>MID(Taostats_CSV!C1176,6,2)&amp;"/"&amp;MID(Taostats_CSV!C1176,9,2)&amp;"/"&amp;LEFT(Taostats_CSV!C1176,4)&amp;" "&amp;MID(Taostats_CSV!C1176,12,8)</f>
        <v xml:space="preserve">ta/p/Time </v>
      </c>
      <c r="C1176" t="e">
        <f ca="1">IF(Q1176,OFFSET(Taostats_CSV!$E$1,MATCH(K1176&amp;D$1,Taostats_CSV!$X:$X,0)-1,0),IF(Taostats_CSV!F1176="fee","",IF(VALUE(Taostats_CSV!G1176)&gt;0,Taostats_CSV!E1176,"")))</f>
        <v>#VALUE!</v>
      </c>
      <c r="D1176" t="e">
        <f ca="1">IF(Q1176,OFFSET(Taostats_CSV!$G$1,MATCH(K1176&amp;D$1,Taostats_CSV!$X:$X,0)-1,0),IF(Taostats_CSV!F1176="fee","",IF(VALUE(Taostats_CSV!G1176)&gt;0,Taostats_CSV!G1176,"")))</f>
        <v>#VALUE!</v>
      </c>
      <c r="E1176" t="str">
        <f ca="1">IF(AND(Q1176,P1176&gt;0),OFFSET(Taostats_CSV!$E$1,MATCH(K1176&amp;F$1,Taostats_CSV!$X:$X,0)-1,0),IF(LEN(F1176)&gt;0,Taostats_CSV!E1176,""))</f>
        <v>Token</v>
      </c>
      <c r="F1176" t="str">
        <f ca="1">TRIM(IF(AND(Q1176,P1176&gt;0),OFFSET(Taostats_CSV!$H$1,MATCH(K1176&amp;F$1,Taostats_CSV!$X:$X,0)-1,0),IF(LEN(Taostats_CSV!H1176)&gt;0,Taostats_CSV!H1176,Taostats_CSV!R1176)))</f>
        <v>Credit amount</v>
      </c>
      <c r="G1176" t="str">
        <f ca="1">IF(AND(Q1176,N1176=1),OFFSET(Taostats_CSV!$E$1,MATCH(K1176&amp;H$1,Taostats_CSV!$X:$X,0)-1,0),IF(Taostats_CSV!F1176="fee",Taostats_CSV!E1176,""))</f>
        <v/>
      </c>
      <c r="H1176" t="str">
        <f ca="1">IF(AND(Q1176,N1176=1),OFFSET(Taostats_CSV!$G$1,MATCH(K1176&amp;H$1,Taostats_CSV!$X:$X,0)-1,0),IF(Taostats_CSV!F1176="fee",Taostats_CSV!G1176,""))</f>
        <v/>
      </c>
      <c r="I1176" t="e">
        <f ca="1">IF(AND(LEN(K1176)=0,LEN(F1176)&gt;0),"Income",IF(AND(O1176&gt;0,P1176&gt;0,C1176&lt;&gt;E1176),"Trade",IF(AND(NOT(Q1176),Taostats_CSV!F1176="fee"),'READ ME'!$C$5,"")))</f>
        <v>#VALUE!</v>
      </c>
      <c r="J1176" t="e">
        <f ca="1">SUBSTITUTE(IF(LEN(I1176)=0,Taostats_CSV!F1176&amp;" "&amp;Taostats_CSV!J1176,IF(I1176="Cost","Extrinsic fee","")),"_"," ")</f>
        <v>#VALUE!</v>
      </c>
      <c r="K1176" t="str">
        <f>TRIM(IF(LEN(Taostats_CSV!I1176)&gt;0,Taostats_CSV!I1176,""))</f>
        <v>Extrinsic ID</v>
      </c>
      <c r="L1176" t="e">
        <f ca="1">IF(Taostats_CSV!E1176&lt;&gt;"TAO",IF(LEN(F1176)&gt;0,F1176,IF(LEN(D1176)&gt;0,D1176,0))*Taostats_CSV!P1176,"")</f>
        <v>#VALUE!</v>
      </c>
      <c r="M1176" t="e">
        <f t="shared" ca="1" si="122"/>
        <v>#VALUE!</v>
      </c>
      <c r="N1176">
        <f>COUNTIF(Taostats_CSV!$X:$X,Taostats_CSV!$I1176&amp;N$1)</f>
        <v>0</v>
      </c>
      <c r="O1176">
        <f>COUNTIF(Taostats_CSV!$X:$X,Taostats_CSV!$I1176&amp;O$1)</f>
        <v>0</v>
      </c>
      <c r="P1176">
        <f>COUNTIF(Taostats_CSV!$X:$X,Taostats_CSV!$I1176&amp;P$1)</f>
        <v>0</v>
      </c>
      <c r="Q1176" t="b">
        <f t="shared" si="123"/>
        <v>0</v>
      </c>
      <c r="R1176">
        <f>IF(LEN(K1176)&gt;0,COUNTIF($K$3:K1176,K1176),FALSE)</f>
        <v>3</v>
      </c>
      <c r="S1176" t="b">
        <f>IF(Taostats_CSV!A1176=Taostats_CSV!$A$2,TRUE,Taostats_CSV!G1176+Taostats_CSV!H1176+Taostats_CSV!R1176=0)</f>
        <v>1</v>
      </c>
      <c r="T1176" t="b">
        <f t="shared" si="124"/>
        <v>0</v>
      </c>
      <c r="U1176" t="b" cm="1">
        <f t="array" aca="1" ref="U1176" ca="1">AND(T1176,OR(O1176-N1176&gt;1,P1176&gt;1,ISERROR(A1176:P1176)))</f>
        <v>0</v>
      </c>
      <c r="W1176" t="e">
        <f>MATCH(K1176&amp;$W$2,Taostats_CSV!$X$3:$X$1167,0)</f>
        <v>#N/A</v>
      </c>
      <c r="X1176" t="e">
        <f t="shared" ca="1" si="120"/>
        <v>#VALUE!</v>
      </c>
      <c r="Y1176" t="e">
        <f t="shared" ca="1" si="121"/>
        <v>#VALUE!</v>
      </c>
      <c r="Z1176" t="e">
        <f t="shared" ca="1" si="126"/>
        <v>#VALUE!</v>
      </c>
    </row>
    <row r="1177" spans="1:26" hidden="1" x14ac:dyDescent="0.4">
      <c r="A1177" t="str">
        <f>MID(Taostats_CSV!C1177,6,2)&amp;"/"&amp;MID(Taostats_CSV!C1177,9,2)&amp;"/"&amp;LEFT(Taostats_CSV!C1177,4)&amp;" "&amp;MID(Taostats_CSV!C1177,12,8)</f>
        <v xml:space="preserve">ta/p/Time </v>
      </c>
      <c r="C1177" t="e">
        <f ca="1">IF(Q1177,OFFSET(Taostats_CSV!$E$1,MATCH(K1177&amp;D$1,Taostats_CSV!$X:$X,0)-1,0),IF(Taostats_CSV!F1177="fee","",IF(VALUE(Taostats_CSV!G1177)&gt;0,Taostats_CSV!E1177,"")))</f>
        <v>#VALUE!</v>
      </c>
      <c r="D1177" t="e">
        <f ca="1">IF(Q1177,OFFSET(Taostats_CSV!$G$1,MATCH(K1177&amp;D$1,Taostats_CSV!$X:$X,0)-1,0),IF(Taostats_CSV!F1177="fee","",IF(VALUE(Taostats_CSV!G1177)&gt;0,Taostats_CSV!G1177,"")))</f>
        <v>#VALUE!</v>
      </c>
      <c r="E1177" t="str">
        <f ca="1">IF(AND(Q1177,P1177&gt;0),OFFSET(Taostats_CSV!$E$1,MATCH(K1177&amp;F$1,Taostats_CSV!$X:$X,0)-1,0),IF(LEN(F1177)&gt;0,Taostats_CSV!E1177,""))</f>
        <v>Token</v>
      </c>
      <c r="F1177" t="str">
        <f ca="1">TRIM(IF(AND(Q1177,P1177&gt;0),OFFSET(Taostats_CSV!$H$1,MATCH(K1177&amp;F$1,Taostats_CSV!$X:$X,0)-1,0),IF(LEN(Taostats_CSV!H1177)&gt;0,Taostats_CSV!H1177,Taostats_CSV!R1177)))</f>
        <v>Credit amount</v>
      </c>
      <c r="G1177" t="str">
        <f ca="1">IF(AND(Q1177,N1177=1),OFFSET(Taostats_CSV!$E$1,MATCH(K1177&amp;H$1,Taostats_CSV!$X:$X,0)-1,0),IF(Taostats_CSV!F1177="fee",Taostats_CSV!E1177,""))</f>
        <v/>
      </c>
      <c r="H1177" t="str">
        <f ca="1">IF(AND(Q1177,N1177=1),OFFSET(Taostats_CSV!$G$1,MATCH(K1177&amp;H$1,Taostats_CSV!$X:$X,0)-1,0),IF(Taostats_CSV!F1177="fee",Taostats_CSV!G1177,""))</f>
        <v/>
      </c>
      <c r="I1177" t="e">
        <f ca="1">IF(AND(LEN(K1177)=0,LEN(F1177)&gt;0),"Income",IF(AND(O1177&gt;0,P1177&gt;0,C1177&lt;&gt;E1177),"Trade",IF(AND(NOT(Q1177),Taostats_CSV!F1177="fee"),'READ ME'!$C$5,"")))</f>
        <v>#VALUE!</v>
      </c>
      <c r="J1177" t="e">
        <f ca="1">SUBSTITUTE(IF(LEN(I1177)=0,Taostats_CSV!F1177&amp;" "&amp;Taostats_CSV!J1177,IF(I1177="Cost","Extrinsic fee","")),"_"," ")</f>
        <v>#VALUE!</v>
      </c>
      <c r="K1177" t="str">
        <f>TRIM(IF(LEN(Taostats_CSV!I1177)&gt;0,Taostats_CSV!I1177,""))</f>
        <v>Extrinsic ID</v>
      </c>
      <c r="L1177" t="e">
        <f ca="1">IF(Taostats_CSV!E1177&lt;&gt;"TAO",IF(LEN(F1177)&gt;0,F1177,IF(LEN(D1177)&gt;0,D1177,0))*Taostats_CSV!P1177,"")</f>
        <v>#VALUE!</v>
      </c>
      <c r="M1177" t="e">
        <f t="shared" ca="1" si="122"/>
        <v>#VALUE!</v>
      </c>
      <c r="N1177">
        <f>COUNTIF(Taostats_CSV!$X:$X,Taostats_CSV!$I1177&amp;N$1)</f>
        <v>0</v>
      </c>
      <c r="O1177">
        <f>COUNTIF(Taostats_CSV!$X:$X,Taostats_CSV!$I1177&amp;O$1)</f>
        <v>0</v>
      </c>
      <c r="P1177">
        <f>COUNTIF(Taostats_CSV!$X:$X,Taostats_CSV!$I1177&amp;P$1)</f>
        <v>0</v>
      </c>
      <c r="Q1177" t="b">
        <f t="shared" si="123"/>
        <v>0</v>
      </c>
      <c r="R1177">
        <f>IF(LEN(K1177)&gt;0,COUNTIF($K$3:K1177,K1177),FALSE)</f>
        <v>4</v>
      </c>
      <c r="S1177" t="b">
        <f>IF(Taostats_CSV!A1177=Taostats_CSV!$A$2,TRUE,Taostats_CSV!G1177+Taostats_CSV!H1177+Taostats_CSV!R1177=0)</f>
        <v>1</v>
      </c>
      <c r="T1177" t="b">
        <f t="shared" si="124"/>
        <v>0</v>
      </c>
      <c r="U1177" t="b" cm="1">
        <f t="array" aca="1" ref="U1177" ca="1">AND(T1177,OR(O1177-N1177&gt;1,P1177&gt;1,ISERROR(A1177:P1177)))</f>
        <v>0</v>
      </c>
      <c r="W1177" t="e">
        <f>MATCH(K1177&amp;$W$2,Taostats_CSV!$X$3:$X$1167,0)</f>
        <v>#N/A</v>
      </c>
      <c r="X1177" t="e">
        <f t="shared" ca="1" si="120"/>
        <v>#VALUE!</v>
      </c>
      <c r="Y1177" t="e">
        <f t="shared" ca="1" si="121"/>
        <v>#VALUE!</v>
      </c>
      <c r="Z1177" t="e">
        <f t="shared" ca="1" si="126"/>
        <v>#VALUE!</v>
      </c>
    </row>
  </sheetData>
  <autoFilter ref="A2:U1177" xr:uid="{1EEF8292-4D05-450F-A795-6786A60429BF}">
    <filterColumn colId="19">
      <filters>
        <filter val="TRUE"/>
      </filters>
    </filterColumn>
  </autoFilter>
  <sortState xmlns:xlrd2="http://schemas.microsoft.com/office/spreadsheetml/2017/richdata2" ref="K1184:K1208">
    <sortCondition ref="K1184:K1208"/>
  </sortState>
  <conditionalFormatting sqref="AH5:AI53">
    <cfRule type="cellIs" dxfId="1" priority="2" operator="notBetween">
      <formula>$AI$1</formula>
      <formula>$AI$2</formula>
    </cfRule>
  </conditionalFormatting>
  <conditionalFormatting sqref="AI3">
    <cfRule type="cellIs" dxfId="0" priority="1" operator="notBetween">
      <formula>$AI$1</formula>
      <formula>$AI$2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A9E5-29C8-4DF5-8778-F02BEE4097C7}">
  <dimension ref="A1:F35"/>
  <sheetViews>
    <sheetView workbookViewId="0">
      <selection activeCell="C4" sqref="C4"/>
    </sheetView>
    <sheetView topLeftCell="A7" workbookViewId="1">
      <selection activeCell="B4" sqref="B4"/>
    </sheetView>
  </sheetViews>
  <sheetFormatPr defaultRowHeight="14.6" x14ac:dyDescent="0.4"/>
  <cols>
    <col min="1" max="1" width="20.3046875" bestFit="1" customWidth="1"/>
    <col min="2" max="2" width="24.765625" bestFit="1" customWidth="1"/>
    <col min="3" max="3" width="116" style="4" customWidth="1"/>
    <col min="4" max="4" width="48" bestFit="1" customWidth="1"/>
    <col min="5" max="5" width="17.07421875" customWidth="1"/>
  </cols>
  <sheetData>
    <row r="1" spans="1:6" x14ac:dyDescent="0.4">
      <c r="A1" s="5" t="s">
        <v>2363</v>
      </c>
      <c r="B1" s="5" t="s">
        <v>2082</v>
      </c>
      <c r="C1" s="6" t="s">
        <v>2083</v>
      </c>
      <c r="D1" s="5" t="s">
        <v>2361</v>
      </c>
      <c r="F1" s="5" t="s">
        <v>2435</v>
      </c>
    </row>
    <row r="2" spans="1:6" ht="29.15" x14ac:dyDescent="0.4">
      <c r="A2" t="s">
        <v>2364</v>
      </c>
      <c r="B2" t="s">
        <v>2097</v>
      </c>
      <c r="C2" s="4" t="s">
        <v>2376</v>
      </c>
      <c r="D2" t="s">
        <v>2097</v>
      </c>
      <c r="F2" t="s">
        <v>2097</v>
      </c>
    </row>
    <row r="3" spans="1:6" ht="58.3" x14ac:dyDescent="0.4">
      <c r="A3" t="s">
        <v>2420</v>
      </c>
      <c r="B3" t="s">
        <v>2405</v>
      </c>
      <c r="C3" s="4" t="s">
        <v>2406</v>
      </c>
      <c r="F3" t="s">
        <v>2385</v>
      </c>
    </row>
    <row r="4" spans="1:6" ht="43.75" x14ac:dyDescent="0.4">
      <c r="A4" t="s">
        <v>2420</v>
      </c>
      <c r="B4" t="s">
        <v>2403</v>
      </c>
      <c r="C4" s="4" t="s">
        <v>2404</v>
      </c>
      <c r="F4" t="s">
        <v>2423</v>
      </c>
    </row>
    <row r="5" spans="1:6" ht="43.75" x14ac:dyDescent="0.4">
      <c r="A5" t="s">
        <v>2420</v>
      </c>
      <c r="B5" t="s">
        <v>2417</v>
      </c>
      <c r="C5" s="4" t="s">
        <v>2418</v>
      </c>
      <c r="F5" t="s">
        <v>2424</v>
      </c>
    </row>
    <row r="6" spans="1:6" x14ac:dyDescent="0.4">
      <c r="A6" t="s">
        <v>2362</v>
      </c>
      <c r="B6" t="s">
        <v>2088</v>
      </c>
      <c r="C6" s="4" t="s">
        <v>2089</v>
      </c>
      <c r="F6" t="s">
        <v>2425</v>
      </c>
    </row>
    <row r="7" spans="1:6" ht="29.15" x14ac:dyDescent="0.4">
      <c r="A7" t="s">
        <v>2419</v>
      </c>
      <c r="B7" t="s">
        <v>2385</v>
      </c>
      <c r="C7" s="4" t="s">
        <v>2386</v>
      </c>
      <c r="F7" t="s">
        <v>2374</v>
      </c>
    </row>
    <row r="8" spans="1:6" x14ac:dyDescent="0.4">
      <c r="A8" t="s">
        <v>2364</v>
      </c>
      <c r="B8" t="s">
        <v>2379</v>
      </c>
      <c r="C8" s="4" t="s">
        <v>2380</v>
      </c>
      <c r="D8" t="s">
        <v>2423</v>
      </c>
      <c r="F8" t="s">
        <v>2421</v>
      </c>
    </row>
    <row r="9" spans="1:6" ht="29.15" x14ac:dyDescent="0.4">
      <c r="A9" t="s">
        <v>2420</v>
      </c>
      <c r="B9" t="s">
        <v>2401</v>
      </c>
      <c r="C9" s="4" t="s">
        <v>2402</v>
      </c>
      <c r="F9" t="s">
        <v>2096</v>
      </c>
    </row>
    <row r="10" spans="1:6" ht="43.75" x14ac:dyDescent="0.4">
      <c r="A10" t="s">
        <v>2364</v>
      </c>
      <c r="B10" t="s">
        <v>2374</v>
      </c>
      <c r="C10" s="4" t="s">
        <v>2375</v>
      </c>
      <c r="D10" t="s">
        <v>2374</v>
      </c>
      <c r="F10" t="s">
        <v>2427</v>
      </c>
    </row>
    <row r="11" spans="1:6" ht="29.15" x14ac:dyDescent="0.4">
      <c r="A11" t="s">
        <v>2364</v>
      </c>
      <c r="B11" t="s">
        <v>2365</v>
      </c>
      <c r="C11" s="4" t="s">
        <v>2366</v>
      </c>
      <c r="D11" t="s">
        <v>2421</v>
      </c>
      <c r="F11" t="s">
        <v>2389</v>
      </c>
    </row>
    <row r="12" spans="1:6" x14ac:dyDescent="0.4">
      <c r="A12" t="s">
        <v>2364</v>
      </c>
      <c r="B12" t="s">
        <v>2377</v>
      </c>
      <c r="C12" s="4" t="s">
        <v>2378</v>
      </c>
      <c r="D12" t="s">
        <v>2424</v>
      </c>
      <c r="F12" t="s">
        <v>2428</v>
      </c>
    </row>
    <row r="13" spans="1:6" ht="29.15" x14ac:dyDescent="0.4">
      <c r="A13" t="s">
        <v>2364</v>
      </c>
      <c r="B13" t="s">
        <v>2096</v>
      </c>
      <c r="C13" s="4" t="s">
        <v>2367</v>
      </c>
      <c r="D13" t="s">
        <v>2096</v>
      </c>
      <c r="F13" t="s">
        <v>2368</v>
      </c>
    </row>
    <row r="14" spans="1:6" ht="29.15" x14ac:dyDescent="0.4">
      <c r="A14" t="s">
        <v>2419</v>
      </c>
      <c r="B14" t="s">
        <v>2389</v>
      </c>
      <c r="C14" s="4" t="s">
        <v>2390</v>
      </c>
      <c r="D14" t="s">
        <v>2389</v>
      </c>
      <c r="F14" t="s">
        <v>2370</v>
      </c>
    </row>
    <row r="15" spans="1:6" x14ac:dyDescent="0.4">
      <c r="A15" t="s">
        <v>2420</v>
      </c>
      <c r="B15" t="s">
        <v>2407</v>
      </c>
      <c r="C15" s="4" t="s">
        <v>2408</v>
      </c>
      <c r="F15" t="s">
        <v>2426</v>
      </c>
    </row>
    <row r="16" spans="1:6" x14ac:dyDescent="0.4">
      <c r="A16" t="s">
        <v>2420</v>
      </c>
      <c r="B16" t="s">
        <v>2409</v>
      </c>
      <c r="C16" s="4" t="s">
        <v>2410</v>
      </c>
      <c r="F16" t="s">
        <v>2094</v>
      </c>
    </row>
    <row r="17" spans="1:6" ht="29.15" x14ac:dyDescent="0.4">
      <c r="A17" t="s">
        <v>2420</v>
      </c>
      <c r="B17" t="s">
        <v>2415</v>
      </c>
      <c r="C17" s="4" t="s">
        <v>2416</v>
      </c>
      <c r="F17" t="s">
        <v>2422</v>
      </c>
    </row>
    <row r="18" spans="1:6" x14ac:dyDescent="0.4">
      <c r="A18" t="s">
        <v>2420</v>
      </c>
      <c r="B18" t="s">
        <v>2411</v>
      </c>
      <c r="C18" s="4" t="s">
        <v>2412</v>
      </c>
    </row>
    <row r="19" spans="1:6" ht="58.3" x14ac:dyDescent="0.4">
      <c r="A19" t="s">
        <v>2420</v>
      </c>
      <c r="B19" t="s">
        <v>2413</v>
      </c>
      <c r="C19" s="4" t="s">
        <v>2414</v>
      </c>
    </row>
    <row r="20" spans="1:6" ht="43.75" x14ac:dyDescent="0.4">
      <c r="A20" t="s">
        <v>2364</v>
      </c>
      <c r="B20" t="s">
        <v>2368</v>
      </c>
      <c r="C20" s="4" t="s">
        <v>2369</v>
      </c>
      <c r="D20" t="s">
        <v>2368</v>
      </c>
    </row>
    <row r="21" spans="1:6" ht="58.3" x14ac:dyDescent="0.4">
      <c r="A21" t="s">
        <v>2419</v>
      </c>
      <c r="B21" t="s">
        <v>2395</v>
      </c>
      <c r="C21" s="4" t="s">
        <v>2396</v>
      </c>
    </row>
    <row r="22" spans="1:6" ht="29.15" x14ac:dyDescent="0.4">
      <c r="A22" t="s">
        <v>2364</v>
      </c>
      <c r="B22" t="s">
        <v>2381</v>
      </c>
      <c r="C22" s="4" t="s">
        <v>2382</v>
      </c>
    </row>
    <row r="23" spans="1:6" x14ac:dyDescent="0.4">
      <c r="A23" t="s">
        <v>2419</v>
      </c>
      <c r="B23" t="s">
        <v>2383</v>
      </c>
      <c r="C23" s="4" t="s">
        <v>2384</v>
      </c>
      <c r="D23" t="s">
        <v>2425</v>
      </c>
    </row>
    <row r="24" spans="1:6" ht="29.15" x14ac:dyDescent="0.4">
      <c r="A24" t="s">
        <v>2419</v>
      </c>
      <c r="B24" t="s">
        <v>2391</v>
      </c>
      <c r="C24" s="4" t="s">
        <v>2392</v>
      </c>
      <c r="D24" t="s">
        <v>2422</v>
      </c>
    </row>
    <row r="25" spans="1:6" ht="29.15" x14ac:dyDescent="0.4">
      <c r="A25" t="s">
        <v>2362</v>
      </c>
      <c r="B25" t="s">
        <v>2086</v>
      </c>
      <c r="C25" s="4" t="s">
        <v>2087</v>
      </c>
    </row>
    <row r="26" spans="1:6" ht="29.15" x14ac:dyDescent="0.4">
      <c r="A26" t="s">
        <v>2364</v>
      </c>
      <c r="B26" t="s">
        <v>2372</v>
      </c>
      <c r="C26" s="4" t="s">
        <v>2373</v>
      </c>
    </row>
    <row r="27" spans="1:6" ht="29.15" x14ac:dyDescent="0.4">
      <c r="A27" t="s">
        <v>2362</v>
      </c>
      <c r="B27" t="s">
        <v>2090</v>
      </c>
      <c r="C27" s="4" t="s">
        <v>2091</v>
      </c>
    </row>
    <row r="28" spans="1:6" ht="29.15" x14ac:dyDescent="0.4">
      <c r="A28" t="s">
        <v>2362</v>
      </c>
      <c r="B28" t="s">
        <v>2084</v>
      </c>
      <c r="C28" s="4" t="s">
        <v>2085</v>
      </c>
      <c r="D28" t="s">
        <v>2084</v>
      </c>
    </row>
    <row r="29" spans="1:6" ht="58.3" x14ac:dyDescent="0.4">
      <c r="A29" t="s">
        <v>2364</v>
      </c>
      <c r="B29" t="s">
        <v>2370</v>
      </c>
      <c r="C29" s="4" t="s">
        <v>2371</v>
      </c>
      <c r="D29" t="s">
        <v>2370</v>
      </c>
    </row>
    <row r="30" spans="1:6" ht="29.15" x14ac:dyDescent="0.4">
      <c r="A30" t="s">
        <v>2419</v>
      </c>
      <c r="B30" t="s">
        <v>2387</v>
      </c>
      <c r="C30" s="4" t="s">
        <v>2388</v>
      </c>
      <c r="D30" t="s">
        <v>2426</v>
      </c>
    </row>
    <row r="31" spans="1:6" x14ac:dyDescent="0.4">
      <c r="A31" t="s">
        <v>2362</v>
      </c>
      <c r="B31" t="s">
        <v>2094</v>
      </c>
      <c r="C31" s="4" t="s">
        <v>2095</v>
      </c>
      <c r="D31" t="s">
        <v>2094</v>
      </c>
    </row>
    <row r="32" spans="1:6" ht="29.15" x14ac:dyDescent="0.4">
      <c r="A32" t="s">
        <v>2362</v>
      </c>
      <c r="B32" t="s">
        <v>2092</v>
      </c>
      <c r="C32" s="4" t="s">
        <v>2093</v>
      </c>
    </row>
    <row r="33" spans="1:4" ht="29.15" x14ac:dyDescent="0.4">
      <c r="A33" t="s">
        <v>2420</v>
      </c>
      <c r="B33" t="s">
        <v>2397</v>
      </c>
      <c r="C33" s="4" t="s">
        <v>2398</v>
      </c>
    </row>
    <row r="34" spans="1:4" ht="43.75" x14ac:dyDescent="0.4">
      <c r="A34" t="s">
        <v>2420</v>
      </c>
      <c r="B34" t="s">
        <v>2399</v>
      </c>
      <c r="C34" s="4" t="s">
        <v>2400</v>
      </c>
    </row>
    <row r="35" spans="1:4" x14ac:dyDescent="0.4">
      <c r="A35" t="s">
        <v>2419</v>
      </c>
      <c r="B35" t="s">
        <v>2393</v>
      </c>
      <c r="C35" s="4" t="s">
        <v>2394</v>
      </c>
      <c r="D35" t="s">
        <v>2422</v>
      </c>
    </row>
  </sheetData>
  <sortState xmlns:xlrd2="http://schemas.microsoft.com/office/spreadsheetml/2017/richdata2" ref="A2:D35">
    <sortCondition ref="B1:B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Taostats_CSV</vt:lpstr>
      <vt:lpstr>website_csv (pro)</vt:lpstr>
      <vt:lpstr>Coinledger Tags 2026-03-06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Griffiths</dc:creator>
  <cp:lastModifiedBy>Michael Griffiths</cp:lastModifiedBy>
  <dcterms:created xsi:type="dcterms:W3CDTF">2026-02-09T13:21:11Z</dcterms:created>
  <dcterms:modified xsi:type="dcterms:W3CDTF">2026-03-09T19:18:58Z</dcterms:modified>
</cp:coreProperties>
</file>