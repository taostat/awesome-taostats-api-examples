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23a1a239aa03d/Documents/02 T34 Taostats/04 tax api/"/>
    </mc:Choice>
  </mc:AlternateContent>
  <xr:revisionPtr revIDLastSave="5" documentId="8_{2D7A9AE5-58B3-4928-949F-1819B58A4F87}" xr6:coauthVersionLast="47" xr6:coauthVersionMax="47" xr10:uidLastSave="{48A0AAA0-627F-44AD-B1FC-5AE46A2C6BD1}"/>
  <bookViews>
    <workbookView xWindow="-103" yWindow="-103" windowWidth="33120" windowHeight="18000" xr2:uid="{5EEF191D-4E0C-4037-9A02-B9013D7D7D1B}"/>
  </bookViews>
  <sheets>
    <sheet name="READ ME" sheetId="3" r:id="rId1"/>
    <sheet name="CSV" sheetId="1" r:id="rId2"/>
    <sheet name="Koinly" sheetId="2" r:id="rId3"/>
  </sheets>
  <definedNames>
    <definedName name="_xlnm._FilterDatabase" localSheetId="1" hidden="1">CSV!$A$1:$T$2</definedName>
    <definedName name="_xlnm._FilterDatabase" localSheetId="2" hidden="1">Koinly!$A$1:$L$2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H2" i="2"/>
  <c r="I2" i="2" s="1"/>
  <c r="L2" i="2"/>
  <c r="D2" i="2" s="1"/>
  <c r="E2" i="2" s="1"/>
  <c r="J2" i="2" l="1"/>
  <c r="K2" i="2" s="1"/>
  <c r="B2" i="2"/>
  <c r="C2" i="2" s="1"/>
</calcChain>
</file>

<file path=xl/sharedStrings.xml><?xml version="1.0" encoding="utf-8"?>
<sst xmlns="http://schemas.openxmlformats.org/spreadsheetml/2006/main" count="56" uniqueCount="50">
  <si>
    <t>Coldkey</t>
  </si>
  <si>
    <t>Block number</t>
  </si>
  <si>
    <t>Timestamp</t>
  </si>
  <si>
    <t>Network</t>
  </si>
  <si>
    <t>Token</t>
  </si>
  <si>
    <t>Transaction type</t>
  </si>
  <si>
    <t>Debit amount</t>
  </si>
  <si>
    <t>Credit amount</t>
  </si>
  <si>
    <t>Extrinsic ID</t>
  </si>
  <si>
    <t>Additional data</t>
  </si>
  <si>
    <t>Total balance</t>
  </si>
  <si>
    <t>Free balance</t>
  </si>
  <si>
    <t>Staked balance</t>
  </si>
  <si>
    <t>Locked balance</t>
  </si>
  <si>
    <t>Reserved balance</t>
  </si>
  <si>
    <t>Token price in USD</t>
  </si>
  <si>
    <t>Token price in TAO</t>
  </si>
  <si>
    <t>Daily income</t>
  </si>
  <si>
    <t>Daily income USD</t>
  </si>
  <si>
    <t>Date</t>
  </si>
  <si>
    <t>5Eq8C1NoLah4DaahQLMQ6wPLTSiAoiP35kVs9VMjaEqcSmdF</t>
  </si>
  <si>
    <t>finney</t>
  </si>
  <si>
    <t>TAO</t>
  </si>
  <si>
    <t>439.7119272666333</t>
  </si>
  <si>
    <t>Sent Amount</t>
  </si>
  <si>
    <t>Sent Currency</t>
  </si>
  <si>
    <t>Received Amount</t>
  </si>
  <si>
    <t>Received Currency</t>
  </si>
  <si>
    <t>Fee Amount</t>
  </si>
  <si>
    <t>Fee Currency</t>
  </si>
  <si>
    <t>Net Worth Amount</t>
  </si>
  <si>
    <t>Net Worth Currency</t>
  </si>
  <si>
    <t>Label</t>
  </si>
  <si>
    <t>Description</t>
  </si>
  <si>
    <t>TxHash</t>
  </si>
  <si>
    <t>2024-12-31 23:59:48+00:00</t>
  </si>
  <si>
    <t>Notes:</t>
  </si>
  <si>
    <t>Instructions:</t>
  </si>
  <si>
    <t>Remove the extra columns names (from the 2nd+ csv onwards) - keep the top one</t>
  </si>
  <si>
    <t>Sort the CSV  blocknumber, Debit amount, credit amount</t>
  </si>
  <si>
    <t>Copy the 2nd row on the Koinly Tab for as many rows are you have in the CSV</t>
  </si>
  <si>
    <t>Copy paste the contents of every csv into the CSV tab</t>
  </si>
  <si>
    <t/>
  </si>
  <si>
    <t>2025-01-01 23:59:48 UTC</t>
  </si>
  <si>
    <t>0.130885389</t>
  </si>
  <si>
    <t>income</t>
  </si>
  <si>
    <t>Check the Koinly Tab for any formula errors - eg #value - and fix in CSV and recopy down</t>
  </si>
  <si>
    <t>The first time you enter a subnet alpha there is a zero row for that subnet - this will cause an error row in the Koinly Tab</t>
  </si>
  <si>
    <t>for a batch transactions you will have to join the transactions manually as Koinly gets lost - read the Description to assist merging</t>
  </si>
  <si>
    <t>Each CSV includes the opening balance - this is for verification purposes with Koinly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</si>
</sst>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F14F-F06F-4329-9A76-1B20EDB25042}">
  <dimension ref="A1:B12"/>
  <sheetViews>
    <sheetView tabSelected="1" workbookViewId="0">
      <selection activeCell="C12" sqref="C12"/>
    </sheetView>
  </sheetViews>
  <sheetFormatPr defaultRowHeight="14.6" x14ac:dyDescent="0.4"/>
  <cols>
    <col min="2" max="2" width="10.07421875" bestFit="1" customWidth="1"/>
  </cols>
  <sheetData>
    <row r="1" spans="1:2" x14ac:dyDescent="0.4">
      <c r="A1" t="s">
        <v>37</v>
      </c>
    </row>
    <row r="2" spans="1:2" x14ac:dyDescent="0.4">
      <c r="A2">
        <v>1</v>
      </c>
      <c r="B2" t="s">
        <v>41</v>
      </c>
    </row>
    <row r="3" spans="1:2" x14ac:dyDescent="0.4">
      <c r="A3">
        <v>2</v>
      </c>
      <c r="B3" t="s">
        <v>38</v>
      </c>
    </row>
    <row r="4" spans="1:2" x14ac:dyDescent="0.4">
      <c r="A4">
        <v>3</v>
      </c>
      <c r="B4" t="s">
        <v>39</v>
      </c>
    </row>
    <row r="5" spans="1:2" x14ac:dyDescent="0.4">
      <c r="A5">
        <v>4</v>
      </c>
      <c r="B5" t="s">
        <v>40</v>
      </c>
    </row>
    <row r="6" spans="1:2" x14ac:dyDescent="0.4">
      <c r="A6">
        <v>5</v>
      </c>
      <c r="B6" t="s">
        <v>46</v>
      </c>
    </row>
    <row r="9" spans="1:2" x14ac:dyDescent="0.4">
      <c r="A9" t="s">
        <v>36</v>
      </c>
    </row>
    <row r="10" spans="1:2" x14ac:dyDescent="0.4">
      <c r="A10">
        <v>1</v>
      </c>
      <c r="B10" t="s">
        <v>49</v>
      </c>
    </row>
    <row r="11" spans="1:2" x14ac:dyDescent="0.4">
      <c r="A11">
        <v>2</v>
      </c>
      <c r="B11" t="s">
        <v>47</v>
      </c>
    </row>
    <row r="12" spans="1:2" x14ac:dyDescent="0.4">
      <c r="A12">
        <v>3</v>
      </c>
      <c r="B12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5658-003C-4319-92DF-43BA8C70BA1A}">
  <dimension ref="A1:T2"/>
  <sheetViews>
    <sheetView workbookViewId="0">
      <selection activeCell="A3" sqref="A3:XFD1162"/>
    </sheetView>
  </sheetViews>
  <sheetFormatPr defaultRowHeight="14.6" x14ac:dyDescent="0.4"/>
  <cols>
    <col min="1" max="1" width="51" bestFit="1" customWidth="1"/>
    <col min="2" max="2" width="11.765625" bestFit="1" customWidth="1"/>
    <col min="3" max="3" width="27.3828125" bestFit="1" customWidth="1"/>
    <col min="4" max="4" width="7.61328125" bestFit="1" customWidth="1"/>
    <col min="5" max="5" width="5.61328125" bestFit="1" customWidth="1"/>
    <col min="6" max="6" width="14.15234375" bestFit="1" customWidth="1"/>
    <col min="7" max="7" width="11.84375" bestFit="1" customWidth="1"/>
    <col min="8" max="8" width="12.3046875" bestFit="1" customWidth="1"/>
    <col min="9" max="9" width="12.4609375" bestFit="1" customWidth="1"/>
    <col min="10" max="10" width="53.23046875" bestFit="1" customWidth="1"/>
    <col min="11" max="12" width="11.84375" bestFit="1" customWidth="1"/>
    <col min="13" max="13" width="13.3046875" bestFit="1" customWidth="1"/>
    <col min="14" max="14" width="13.4609375" bestFit="1" customWidth="1"/>
    <col min="15" max="15" width="15.15234375" bestFit="1" customWidth="1"/>
    <col min="16" max="16" width="18.53515625" bestFit="1" customWidth="1"/>
    <col min="17" max="17" width="15.53515625" bestFit="1" customWidth="1"/>
    <col min="18" max="18" width="11.84375" bestFit="1" customWidth="1"/>
    <col min="19" max="19" width="15.15234375" bestFit="1" customWidth="1"/>
    <col min="20" max="20" width="10.074218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>
        <v>4605427</v>
      </c>
      <c r="C2" t="s">
        <v>35</v>
      </c>
      <c r="D2" t="s">
        <v>21</v>
      </c>
      <c r="E2" t="s">
        <v>22</v>
      </c>
      <c r="K2">
        <v>256.53008620000003</v>
      </c>
      <c r="L2">
        <v>2.690186486</v>
      </c>
      <c r="M2">
        <v>253.83989969999999</v>
      </c>
      <c r="N2">
        <v>0</v>
      </c>
      <c r="O2">
        <v>0</v>
      </c>
      <c r="P2" s="1" t="s">
        <v>23</v>
      </c>
      <c r="Q2" s="1">
        <v>1</v>
      </c>
      <c r="R2">
        <v>256.53008620000003</v>
      </c>
      <c r="T2" s="2"/>
    </row>
  </sheetData>
  <sortState xmlns:xlrd2="http://schemas.microsoft.com/office/spreadsheetml/2017/richdata2" ref="A2:T2">
    <sortCondition ref="B2"/>
    <sortCondition ref="G2"/>
    <sortCondition ref="H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A6D9-ED7D-406C-B6A6-1882E1A8B67D}">
  <dimension ref="A1:L2"/>
  <sheetViews>
    <sheetView zoomScale="85" zoomScaleNormal="85" workbookViewId="0">
      <selection activeCell="C12" sqref="C12"/>
    </sheetView>
  </sheetViews>
  <sheetFormatPr defaultRowHeight="14.6" x14ac:dyDescent="0.4"/>
  <cols>
    <col min="1" max="1" width="23.765625" bestFit="1" customWidth="1"/>
    <col min="2" max="2" width="11.15234375" bestFit="1" customWidth="1"/>
    <col min="3" max="3" width="12.15234375" bestFit="1" customWidth="1"/>
    <col min="4" max="4" width="14.84375" bestFit="1" customWidth="1"/>
    <col min="5" max="5" width="15.84375" bestFit="1" customWidth="1"/>
    <col min="6" max="6" width="10.3828125" bestFit="1" customWidth="1"/>
    <col min="7" max="7" width="11.3828125" bestFit="1" customWidth="1"/>
    <col min="8" max="8" width="17.53515625" bestFit="1" customWidth="1"/>
    <col min="9" max="9" width="16.69140625" bestFit="1" customWidth="1"/>
    <col min="10" max="10" width="7.765625" bestFit="1" customWidth="1"/>
    <col min="11" max="11" width="63.61328125" bestFit="1" customWidth="1"/>
    <col min="12" max="12" width="6.765625" bestFit="1" customWidth="1"/>
  </cols>
  <sheetData>
    <row r="1" spans="1:12" x14ac:dyDescent="0.4">
      <c r="A1" t="s">
        <v>19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">
      <c r="A2" t="str">
        <f>LEFT(CSV!C2,10)&amp;" "&amp;MID(CSV!C2,12,8)&amp;" UTC"</f>
        <v>2024-12-31 23:59:48 UTC</v>
      </c>
      <c r="B2" t="str">
        <f>TRIM(IF(LEN($L2)&gt;0,CSV!G2,""))</f>
        <v/>
      </c>
      <c r="C2" t="str">
        <f>TRIM(IF(LEN(B2)&gt;0,CSV!E2,""))</f>
        <v/>
      </c>
      <c r="D2" t="str">
        <f>TRIM(IF(LEN($L2)&gt;0,CSV!H2,CSV!R2))</f>
        <v>256.5300862</v>
      </c>
      <c r="E2" t="str">
        <f>IF(LEN(D2)&gt;0,CSV!E2,"")</f>
        <v>TAO</v>
      </c>
      <c r="H2" t="str">
        <f>IF(CSV!E2&lt;&gt;"TAO",IF(LEN(D2)&gt;0,D2,B2)*CSV!P2,"")</f>
        <v/>
      </c>
      <c r="I2" t="str">
        <f>IF(LEN(H2)&gt;0,"USD","")</f>
        <v/>
      </c>
      <c r="J2" t="str">
        <f>IF(AND(LEN(L2)=0,LEN(D2)&gt;0),"Income",IF(CSV!F2="fee","Cost",""))</f>
        <v>Income</v>
      </c>
      <c r="K2" t="str">
        <f>SUBSTITUTE(IF(LEN(J2)=0,CSV!F2&amp;" "&amp;CSV!J2,IF(J2="Cost","Extrinsic fee","")),"_"," ")</f>
        <v/>
      </c>
      <c r="L2" t="str">
        <f>TRIM(IF(LEN(CSV!I2)&gt;0,CSV!I2,""))</f>
        <v/>
      </c>
    </row>
  </sheetData>
  <autoFilter ref="A1:L2" xr:uid="{0A9FA6D9-ED7D-406C-B6A6-1882E1A8B6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CSV</vt:lpstr>
      <vt:lpstr>Koinly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Griffiths</dc:creator>
  <cp:lastModifiedBy>Michael Griffiths</cp:lastModifiedBy>
  <dcterms:created xsi:type="dcterms:W3CDTF">2026-02-09T13:21:11Z</dcterms:created>
  <dcterms:modified xsi:type="dcterms:W3CDTF">2026-02-10T03:20:49Z</dcterms:modified>
</cp:coreProperties>
</file>