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b23a1a239aa03d/Documents/02 T34 Taostats/04 tax api/tax templates/"/>
    </mc:Choice>
  </mc:AlternateContent>
  <xr:revisionPtr revIDLastSave="31" documentId="8_{46E994EB-0E12-4D3C-81A1-E098B65353F8}" xr6:coauthVersionLast="47" xr6:coauthVersionMax="47" xr10:uidLastSave="{8EA6482B-E433-4240-873B-2CF86B755BDB}"/>
  <bookViews>
    <workbookView xWindow="-33017" yWindow="-103" windowWidth="33120" windowHeight="18000" activeTab="2" xr2:uid="{5EEF191D-4E0C-4037-9A02-B9013D7D7D1B}"/>
    <workbookView xWindow="-33017" yWindow="-103" windowWidth="33120" windowHeight="18000" xr2:uid="{C9DADA2E-1AD7-4976-8916-ED71C122429D}"/>
  </bookViews>
  <sheets>
    <sheet name="READ ME" sheetId="3" r:id="rId1"/>
    <sheet name="Taostats_CSV" sheetId="1" r:id="rId2"/>
    <sheet name="website_csv (pro)" sheetId="7" r:id="rId3"/>
    <sheet name="Cointracker Tags 2026-02-16" sheetId="5" r:id="rId4"/>
  </sheets>
  <definedNames>
    <definedName name="_xlnm._FilterDatabase" localSheetId="1" hidden="1">Taostats_CSV!$A$2:$X$1177</definedName>
    <definedName name="_xlnm._FilterDatabase" localSheetId="2" hidden="1">'website_csv (pro)'!$A$2:$T$1177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W3" i="1"/>
  <c r="X3" i="1"/>
  <c r="Y3" i="1"/>
  <c r="Z4" i="7" l="1" a="1"/>
  <c r="Z4" i="7" s="1"/>
  <c r="AA11" i="7"/>
  <c r="AB11" i="7"/>
  <c r="AC11" i="7"/>
  <c r="AA12" i="7"/>
  <c r="AB12" i="7"/>
  <c r="AC12" i="7"/>
  <c r="AA13" i="7"/>
  <c r="AB13" i="7"/>
  <c r="AC13" i="7"/>
  <c r="AA14" i="7"/>
  <c r="AB14" i="7"/>
  <c r="AC14" i="7"/>
  <c r="AA15" i="7"/>
  <c r="AB15" i="7"/>
  <c r="AC15" i="7"/>
  <c r="AA16" i="7"/>
  <c r="AB16" i="7"/>
  <c r="AC16" i="7"/>
  <c r="AA17" i="7"/>
  <c r="AB17" i="7"/>
  <c r="AC17" i="7"/>
  <c r="AA18" i="7"/>
  <c r="AB18" i="7"/>
  <c r="AC18" i="7"/>
  <c r="AA19" i="7"/>
  <c r="AB19" i="7"/>
  <c r="AC19" i="7"/>
  <c r="AA20" i="7"/>
  <c r="AB20" i="7"/>
  <c r="AC20" i="7"/>
  <c r="AA21" i="7"/>
  <c r="AB21" i="7"/>
  <c r="AC21" i="7"/>
  <c r="AA22" i="7"/>
  <c r="AB22" i="7"/>
  <c r="AC22" i="7"/>
  <c r="AA23" i="7"/>
  <c r="AB23" i="7"/>
  <c r="AC23" i="7"/>
  <c r="AA24" i="7"/>
  <c r="AB24" i="7"/>
  <c r="AC24" i="7"/>
  <c r="AA25" i="7"/>
  <c r="AB25" i="7"/>
  <c r="AC25" i="7"/>
  <c r="AA26" i="7"/>
  <c r="AB26" i="7"/>
  <c r="AC26" i="7"/>
  <c r="AA27" i="7"/>
  <c r="AB27" i="7"/>
  <c r="AC27" i="7"/>
  <c r="AA28" i="7"/>
  <c r="AB28" i="7"/>
  <c r="AC28" i="7"/>
  <c r="AA29" i="7"/>
  <c r="AB29" i="7"/>
  <c r="AC29" i="7"/>
  <c r="AA30" i="7"/>
  <c r="AB30" i="7"/>
  <c r="AC30" i="7"/>
  <c r="AA31" i="7"/>
  <c r="AB31" i="7"/>
  <c r="AC31" i="7"/>
  <c r="AA32" i="7"/>
  <c r="AB32" i="7"/>
  <c r="AC32" i="7"/>
  <c r="AA33" i="7"/>
  <c r="AB33" i="7"/>
  <c r="AC33" i="7"/>
  <c r="AA34" i="7"/>
  <c r="AB34" i="7"/>
  <c r="AC34" i="7"/>
  <c r="AA35" i="7"/>
  <c r="AB35" i="7"/>
  <c r="AC35" i="7"/>
  <c r="AA36" i="7"/>
  <c r="AB36" i="7"/>
  <c r="AC36" i="7"/>
  <c r="AA37" i="7"/>
  <c r="AB37" i="7"/>
  <c r="AC37" i="7"/>
  <c r="AA38" i="7"/>
  <c r="AB38" i="7"/>
  <c r="AC38" i="7"/>
  <c r="AA39" i="7"/>
  <c r="AB39" i="7"/>
  <c r="AC39" i="7"/>
  <c r="AA40" i="7"/>
  <c r="AB40" i="7"/>
  <c r="AC40" i="7"/>
  <c r="AA41" i="7"/>
  <c r="AB41" i="7"/>
  <c r="AC41" i="7"/>
  <c r="AA42" i="7"/>
  <c r="AB42" i="7"/>
  <c r="AC42" i="7"/>
  <c r="AA43" i="7"/>
  <c r="AB43" i="7"/>
  <c r="AC43" i="7"/>
  <c r="AA44" i="7"/>
  <c r="AB44" i="7"/>
  <c r="AC44" i="7"/>
  <c r="AA45" i="7"/>
  <c r="AB45" i="7"/>
  <c r="AC45" i="7"/>
  <c r="AA46" i="7"/>
  <c r="AB46" i="7"/>
  <c r="AC46" i="7"/>
  <c r="AA47" i="7"/>
  <c r="AB47" i="7"/>
  <c r="AC47" i="7"/>
  <c r="AA48" i="7"/>
  <c r="AB48" i="7"/>
  <c r="AC48" i="7"/>
  <c r="AA49" i="7"/>
  <c r="AB49" i="7"/>
  <c r="AC49" i="7"/>
  <c r="AA50" i="7"/>
  <c r="AB50" i="7"/>
  <c r="AC50" i="7"/>
  <c r="AA51" i="7"/>
  <c r="AB51" i="7"/>
  <c r="AC51" i="7"/>
  <c r="AA52" i="7"/>
  <c r="AB52" i="7"/>
  <c r="AC52" i="7"/>
  <c r="AA53" i="7"/>
  <c r="AB53" i="7"/>
  <c r="AC53" i="7"/>
  <c r="AE158" i="7"/>
  <c r="AE159" i="7"/>
  <c r="AE160" i="7"/>
  <c r="R3" i="7"/>
  <c r="AH2" i="7"/>
  <c r="L3" i="7"/>
  <c r="AB10" i="7" l="1"/>
  <c r="AA10" i="7"/>
  <c r="AC9" i="7"/>
  <c r="AB9" i="7"/>
  <c r="AC10" i="7"/>
  <c r="AA9" i="7"/>
  <c r="AC8" i="7"/>
  <c r="AB8" i="7"/>
  <c r="AA8" i="7"/>
  <c r="AC7" i="7"/>
  <c r="AB7" i="7"/>
  <c r="AA7" i="7"/>
  <c r="AB6" i="7"/>
  <c r="AA6" i="7"/>
  <c r="AC5" i="7"/>
  <c r="AC6" i="7"/>
  <c r="AA5" i="7"/>
  <c r="AB5" i="7"/>
  <c r="Q3" i="7"/>
  <c r="V3" i="7"/>
  <c r="O3" i="7"/>
  <c r="M3" i="7"/>
  <c r="N3" i="7"/>
  <c r="A3" i="7"/>
  <c r="P3" i="7" l="1"/>
  <c r="D3" i="7" l="1"/>
  <c r="S3" i="7"/>
  <c r="C3" i="7"/>
  <c r="B3" i="7"/>
  <c r="F3" i="7"/>
  <c r="Y3" i="7" s="1"/>
  <c r="G3" i="7"/>
  <c r="AF8" i="7" l="1"/>
  <c r="AF10" i="7"/>
  <c r="AF12" i="7"/>
  <c r="AF14" i="7"/>
  <c r="AF16" i="7"/>
  <c r="AF18" i="7"/>
  <c r="AF20" i="7"/>
  <c r="AF22" i="7"/>
  <c r="AF24" i="7"/>
  <c r="AF26" i="7"/>
  <c r="AF28" i="7"/>
  <c r="AF30" i="7"/>
  <c r="AF32" i="7"/>
  <c r="AF34" i="7"/>
  <c r="AF36" i="7"/>
  <c r="AF38" i="7"/>
  <c r="AF40" i="7"/>
  <c r="AF42" i="7"/>
  <c r="AF44" i="7"/>
  <c r="AF46" i="7"/>
  <c r="AF48" i="7"/>
  <c r="AF50" i="7"/>
  <c r="AF52" i="7"/>
  <c r="AF27" i="7"/>
  <c r="AF49" i="7"/>
  <c r="AF15" i="7"/>
  <c r="AF37" i="7"/>
  <c r="AF25" i="7"/>
  <c r="AF47" i="7"/>
  <c r="AF23" i="7"/>
  <c r="AF31" i="7"/>
  <c r="AF33" i="7"/>
  <c r="AF41" i="7"/>
  <c r="AF53" i="7"/>
  <c r="AF7" i="7"/>
  <c r="AF17" i="7"/>
  <c r="AF51" i="7"/>
  <c r="AF43" i="7"/>
  <c r="AF29" i="7"/>
  <c r="AF35" i="7"/>
  <c r="AF19" i="7"/>
  <c r="AF45" i="7"/>
  <c r="AF11" i="7"/>
  <c r="AF13" i="7"/>
  <c r="AF21" i="7"/>
  <c r="AF39" i="7"/>
  <c r="AF9" i="7"/>
  <c r="AF5" i="7"/>
  <c r="AF6" i="7"/>
  <c r="AD10" i="7"/>
  <c r="AD12" i="7"/>
  <c r="AD14" i="7"/>
  <c r="AD16" i="7"/>
  <c r="AD18" i="7"/>
  <c r="AD20" i="7"/>
  <c r="AD22" i="7"/>
  <c r="AD24" i="7"/>
  <c r="AD26" i="7"/>
  <c r="AD28" i="7"/>
  <c r="AD30" i="7"/>
  <c r="AD32" i="7"/>
  <c r="AD34" i="7"/>
  <c r="AD36" i="7"/>
  <c r="AD38" i="7"/>
  <c r="AD40" i="7"/>
  <c r="AD42" i="7"/>
  <c r="AD44" i="7"/>
  <c r="AD46" i="7"/>
  <c r="AD48" i="7"/>
  <c r="AD50" i="7"/>
  <c r="AD52" i="7"/>
  <c r="AD21" i="7"/>
  <c r="AD43" i="7"/>
  <c r="AD31" i="7"/>
  <c r="AD53" i="7"/>
  <c r="AD19" i="7"/>
  <c r="AD41" i="7"/>
  <c r="AD47" i="7"/>
  <c r="AD11" i="7"/>
  <c r="AD51" i="7"/>
  <c r="AD23" i="7"/>
  <c r="AD33" i="7"/>
  <c r="AD13" i="7"/>
  <c r="AD37" i="7"/>
  <c r="AD29" i="7"/>
  <c r="AD39" i="7"/>
  <c r="AD45" i="7"/>
  <c r="AD25" i="7"/>
  <c r="AD49" i="7"/>
  <c r="AD15" i="7"/>
  <c r="AD17" i="7"/>
  <c r="AD35" i="7"/>
  <c r="AD27" i="7"/>
  <c r="X3" i="7"/>
  <c r="W3" i="7"/>
  <c r="H3" i="7"/>
  <c r="I3" i="7" s="1"/>
  <c r="E3" i="7"/>
  <c r="J3" i="7" s="1"/>
  <c r="K3" i="7" s="1"/>
  <c r="AD8" i="7" l="1"/>
  <c r="AG8" i="7" s="1"/>
  <c r="AG29" i="7"/>
  <c r="AG36" i="7"/>
  <c r="AG34" i="7"/>
  <c r="AG40" i="7"/>
  <c r="AD6" i="7"/>
  <c r="AG6" i="7" s="1"/>
  <c r="AD5" i="7"/>
  <c r="AG5" i="7" s="1"/>
  <c r="AD7" i="7"/>
  <c r="AG7" i="7" s="1"/>
  <c r="AG51" i="7"/>
  <c r="AD9" i="7"/>
  <c r="AG9" i="7" s="1"/>
  <c r="AG47" i="7"/>
  <c r="AG21" i="7"/>
  <c r="AG27" i="7"/>
  <c r="AG17" i="7"/>
  <c r="AG13" i="7"/>
  <c r="AG50" i="7"/>
  <c r="AG11" i="7"/>
  <c r="AG43" i="7"/>
  <c r="AG48" i="7"/>
  <c r="AG46" i="7"/>
  <c r="AG19" i="7"/>
  <c r="AG45" i="7"/>
  <c r="AG44" i="7"/>
  <c r="AG35" i="7"/>
  <c r="AG10" i="7"/>
  <c r="AG52" i="7"/>
  <c r="AG18" i="7"/>
  <c r="AG25" i="7"/>
  <c r="AG39" i="7"/>
  <c r="AG38" i="7"/>
  <c r="AG42" i="7"/>
  <c r="AG33" i="7"/>
  <c r="AG23" i="7"/>
  <c r="AG41" i="7"/>
  <c r="AG20" i="7"/>
  <c r="AG28" i="7"/>
  <c r="AG12" i="7"/>
  <c r="AG22" i="7"/>
  <c r="AG32" i="7"/>
  <c r="AG15" i="7"/>
  <c r="AG53" i="7"/>
  <c r="AG16" i="7"/>
  <c r="AG49" i="7"/>
  <c r="AG31" i="7"/>
  <c r="AG14" i="7"/>
  <c r="AE8" i="7"/>
  <c r="AH8" i="7" s="1"/>
  <c r="AE10" i="7"/>
  <c r="AH10" i="7" s="1"/>
  <c r="AE12" i="7"/>
  <c r="AH12" i="7" s="1"/>
  <c r="AE14" i="7"/>
  <c r="AH14" i="7" s="1"/>
  <c r="AE16" i="7"/>
  <c r="AH16" i="7" s="1"/>
  <c r="AE18" i="7"/>
  <c r="AH18" i="7" s="1"/>
  <c r="AE20" i="7"/>
  <c r="AH20" i="7" s="1"/>
  <c r="AE22" i="7"/>
  <c r="AH22" i="7" s="1"/>
  <c r="AE24" i="7"/>
  <c r="AH24" i="7" s="1"/>
  <c r="AE26" i="7"/>
  <c r="AH26" i="7" s="1"/>
  <c r="AE28" i="7"/>
  <c r="AH28" i="7" s="1"/>
  <c r="AE30" i="7"/>
  <c r="AH30" i="7" s="1"/>
  <c r="AE32" i="7"/>
  <c r="AH32" i="7" s="1"/>
  <c r="AE34" i="7"/>
  <c r="AH34" i="7" s="1"/>
  <c r="AE36" i="7"/>
  <c r="AH36" i="7" s="1"/>
  <c r="AE38" i="7"/>
  <c r="AH38" i="7" s="1"/>
  <c r="AE40" i="7"/>
  <c r="AH40" i="7" s="1"/>
  <c r="AE42" i="7"/>
  <c r="AH42" i="7" s="1"/>
  <c r="AE44" i="7"/>
  <c r="AH44" i="7" s="1"/>
  <c r="AE46" i="7"/>
  <c r="AH46" i="7" s="1"/>
  <c r="AE48" i="7"/>
  <c r="AH48" i="7" s="1"/>
  <c r="AE50" i="7"/>
  <c r="AH50" i="7" s="1"/>
  <c r="AE52" i="7"/>
  <c r="AH52" i="7" s="1"/>
  <c r="AE27" i="7"/>
  <c r="AH27" i="7" s="1"/>
  <c r="AE49" i="7"/>
  <c r="AH49" i="7" s="1"/>
  <c r="AE21" i="7"/>
  <c r="AH21" i="7" s="1"/>
  <c r="AE43" i="7"/>
  <c r="AH43" i="7" s="1"/>
  <c r="AE23" i="7"/>
  <c r="AH23" i="7" s="1"/>
  <c r="AE31" i="7"/>
  <c r="AH31" i="7" s="1"/>
  <c r="AE9" i="7"/>
  <c r="AH9" i="7" s="1"/>
  <c r="AE47" i="7"/>
  <c r="AH47" i="7" s="1"/>
  <c r="AE53" i="7"/>
  <c r="AH53" i="7" s="1"/>
  <c r="AE39" i="7"/>
  <c r="AH39" i="7" s="1"/>
  <c r="AE41" i="7"/>
  <c r="AH41" i="7" s="1"/>
  <c r="AE7" i="7"/>
  <c r="AH7" i="7" s="1"/>
  <c r="AE17" i="7"/>
  <c r="AH17" i="7" s="1"/>
  <c r="AE51" i="7"/>
  <c r="AH51" i="7" s="1"/>
  <c r="AE33" i="7"/>
  <c r="AH33" i="7" s="1"/>
  <c r="AE37" i="7"/>
  <c r="AH37" i="7" s="1"/>
  <c r="AE45" i="7"/>
  <c r="AH45" i="7" s="1"/>
  <c r="AE19" i="7"/>
  <c r="AH19" i="7" s="1"/>
  <c r="AE11" i="7"/>
  <c r="AH11" i="7" s="1"/>
  <c r="AE13" i="7"/>
  <c r="AH13" i="7" s="1"/>
  <c r="AE35" i="7"/>
  <c r="AH35" i="7" s="1"/>
  <c r="AE29" i="7"/>
  <c r="AH29" i="7" s="1"/>
  <c r="AE15" i="7"/>
  <c r="AH15" i="7" s="1"/>
  <c r="AE25" i="7"/>
  <c r="AH25" i="7" s="1"/>
  <c r="AE6" i="7"/>
  <c r="AH6" i="7" s="1"/>
  <c r="AE5" i="7"/>
  <c r="AH5" i="7" s="1"/>
  <c r="AG24" i="7"/>
  <c r="AG37" i="7"/>
  <c r="AG30" i="7"/>
  <c r="AG26" i="7"/>
  <c r="T3" i="7" a="1"/>
  <c r="T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<sst xmlns="http://schemas.openxmlformats.org/spreadsheetml/2006/main" count="229" uniqueCount="216">
  <si>
    <t>Coldkey</t>
  </si>
  <si>
    <t>Block number</t>
  </si>
  <si>
    <t>Timestamp</t>
  </si>
  <si>
    <t>Network</t>
  </si>
  <si>
    <t>Token</t>
  </si>
  <si>
    <t>Transaction type</t>
  </si>
  <si>
    <t>Debit amount</t>
  </si>
  <si>
    <t>Credit amount</t>
  </si>
  <si>
    <t>Extrinsic ID</t>
  </si>
  <si>
    <t>Additional data</t>
  </si>
  <si>
    <t>Total balance</t>
  </si>
  <si>
    <t>Free balance</t>
  </si>
  <si>
    <t>Staked balance</t>
  </si>
  <si>
    <t>Locked balance</t>
  </si>
  <si>
    <t>Reserved balance</t>
  </si>
  <si>
    <t>Token price in USD</t>
  </si>
  <si>
    <t>Token price in TAO</t>
  </si>
  <si>
    <t>Daily income</t>
  </si>
  <si>
    <t>Daily income USD</t>
  </si>
  <si>
    <t>Date</t>
  </si>
  <si>
    <t>5Eq8C1NoLah4DaahQLMQ6wPLTSiAoiP35kVs9VMjaEqcSmdF</t>
  </si>
  <si>
    <t>finney</t>
  </si>
  <si>
    <t>TAO</t>
  </si>
  <si>
    <t>439.7119272666333</t>
  </si>
  <si>
    <t>fee</t>
  </si>
  <si>
    <t>Sent Currency</t>
  </si>
  <si>
    <t>Received Currency</t>
  </si>
  <si>
    <t>Fee Amount</t>
  </si>
  <si>
    <t>Fee Currency</t>
  </si>
  <si>
    <t>Net Worth Amount</t>
  </si>
  <si>
    <t>Net Worth Currency</t>
  </si>
  <si>
    <t>Notes:</t>
  </si>
  <si>
    <t>Instructions:</t>
  </si>
  <si>
    <t>Received Quantity</t>
  </si>
  <si>
    <t>Sent Quantity</t>
  </si>
  <si>
    <t>Tag</t>
  </si>
  <si>
    <t>Transaction</t>
  </si>
  <si>
    <t>Definition</t>
  </si>
  <si>
    <t>CoinTracker CSV tag</t>
  </si>
  <si>
    <t>Send</t>
  </si>
  <si>
    <t>You sent cryptocurrency to an external address that is not part of your own wallets. This may include personal payments, transfers to another person, or withdrawals to a wallet not added to CoinTracker.</t>
  </si>
  <si>
    <t>Receive</t>
  </si>
  <si>
    <t>You received cryptocurrency into your wallet from an external source. This may include incoming payments, gifts, or transfers from another person.</t>
  </si>
  <si>
    <t>Buy</t>
  </si>
  <si>
    <t>You acquired cryptocurrency using fiat currency (e.g., USD, EUR) through a centralized exchange, brokerage, or on-ramp service.</t>
  </si>
  <si>
    <t>Sell</t>
  </si>
  <si>
    <t>You disposed of cryptocurrency in exchange for fiat currency. This is typically logged when selling crypto on an exchange or converting it to cash.</t>
  </si>
  <si>
    <t>Transfer</t>
  </si>
  <si>
    <t>You moved crypto between wallets or exchanges you own. These are non-taxable by default and typically appear as paired send/receive transactions. </t>
  </si>
  <si>
    <t>Trade</t>
  </si>
  <si>
    <t>You exchanged one cryptocurrency for another (e.g., BTC → ETH). This category is commonly assigned to DEX trades and swaps. </t>
  </si>
  <si>
    <t>Staking transactions</t>
  </si>
  <si>
    <t>Staking reward</t>
  </si>
  <si>
    <t>You received rewards for staking assets. The Staking reward category can be applied to Receive transactions and the default tax treatment is taxable, however marking as non-taxable is a menu option.</t>
  </si>
  <si>
    <t>staking</t>
  </si>
  <si>
    <t>Stake</t>
  </si>
  <si>
    <t>You deposited assets into a liquid or illiquid staking contract and received a token in return. Applied to Trade or Mint (liquid) and Send (illiquid). Liquid defaults to taxable but can be marked non-taxable. Illiquid default is non-taxable.</t>
  </si>
  <si>
    <t>stake</t>
  </si>
  <si>
    <t>Unstake</t>
  </si>
  <si>
    <t>You redeemed staked assets by returning a staking token and withdrawing from a contract. Applied to Trade (liquid) and Receive (illiquid). Liquid is taxable but can be marked non-taxable. Illiquid is non-taxable by default.</t>
  </si>
  <si>
    <t>unstake</t>
  </si>
  <si>
    <t>Margin transactions</t>
  </si>
  <si>
    <t>Margin</t>
  </si>
  <si>
    <t>You traded assets through a margin order (separate from a spot trading wallet).</t>
  </si>
  <si>
    <t>margin</t>
  </si>
  <si>
    <t>Margin fee</t>
  </si>
  <si>
    <t>You paid a fee to cover interest or rollover fees on a margin loan.</t>
  </si>
  <si>
    <t>margin fee</t>
  </si>
  <si>
    <t>Margin gain</t>
  </si>
  <si>
    <t>You had a gain associated with a margin trade.</t>
  </si>
  <si>
    <t>margin gain</t>
  </si>
  <si>
    <t>Margin loss</t>
  </si>
  <si>
    <t>You had a loss associated with a margin trade.</t>
  </si>
  <si>
    <t>margin loss</t>
  </si>
  <si>
    <t>Margin rebate</t>
  </si>
  <si>
    <t>You received a rebate to adjust margin fees (the opposite of a margin fee).</t>
  </si>
  <si>
    <t>margin rebate</t>
  </si>
  <si>
    <t>Liquidity pool transactions</t>
  </si>
  <si>
    <t>Add liquidity</t>
  </si>
  <si>
    <t>You added assets to a liquidity pool and received an LP (liquidity provider) token in return.</t>
  </si>
  <si>
    <t>add_liquidity</t>
  </si>
  <si>
    <t>Remove liquidity</t>
  </si>
  <si>
    <t>You redeemed liquidity from a pool by returning an LP token.</t>
  </si>
  <si>
    <t>remove_liquidity</t>
  </si>
  <si>
    <t>Lending and borrowing transactions</t>
  </si>
  <si>
    <t>Borrow</t>
  </si>
  <si>
    <t>You borrowed assets from a lending contract, individual, or entity.</t>
  </si>
  <si>
    <t>borrow</t>
  </si>
  <si>
    <t>Loan repayment</t>
  </si>
  <si>
    <t>You returned borrowed funds.</t>
  </si>
  <si>
    <t>loan_repayment</t>
  </si>
  <si>
    <t>Lending deposit</t>
  </si>
  <si>
    <t>You deposited assets into a lending contract.</t>
  </si>
  <si>
    <t>lending_deposit</t>
  </si>
  <si>
    <t>Lending withdrawal</t>
  </si>
  <si>
    <t>You withdrew assets that had previously been deposited into a lending contract.</t>
  </si>
  <si>
    <t>lending_withdrawal</t>
  </si>
  <si>
    <t>Interest expense</t>
  </si>
  <si>
    <t>You paid the interest portion of a loan.</t>
  </si>
  <si>
    <t>interest_expense</t>
  </si>
  <si>
    <t>Interest</t>
  </si>
  <si>
    <t>You received income from lending your assets.</t>
  </si>
  <si>
    <t>interest</t>
  </si>
  <si>
    <t>Other transaction types</t>
  </si>
  <si>
    <t>Bridge</t>
  </si>
  <si>
    <t>You transferred assets to yourself on another chain.</t>
  </si>
  <si>
    <t>bridge</t>
  </si>
  <si>
    <t>Rebate</t>
  </si>
  <si>
    <t>You received a reward after making a purchase (e.g., cashback credit card reward).</t>
  </si>
  <si>
    <t>rebate</t>
  </si>
  <si>
    <t>Wrap</t>
  </si>
  <si>
    <t>You traded an asset for its wrapped or unwrapped version.</t>
  </si>
  <si>
    <t>wrap</t>
  </si>
  <si>
    <t>Mining reward</t>
  </si>
  <si>
    <t>You received a block reward as a validator or miner.</t>
  </si>
  <si>
    <t>mining</t>
  </si>
  <si>
    <t>Airdrop</t>
  </si>
  <si>
    <t>You received assets via an airdrop.</t>
  </si>
  <si>
    <t>airdrop</t>
  </si>
  <si>
    <t>Fork</t>
  </si>
  <si>
    <t>You received assets as the result of a blockchain fork.</t>
  </si>
  <si>
    <t>fork</t>
  </si>
  <si>
    <t>Payment</t>
  </si>
  <si>
    <t>You received crypto as payment for a good or service.</t>
  </si>
  <si>
    <t>payment</t>
  </si>
  <si>
    <t>Gambling income</t>
  </si>
  <si>
    <t>You received income from gambling.</t>
  </si>
  <si>
    <t>gambling_income</t>
  </si>
  <si>
    <t>Gambling expense</t>
  </si>
  <si>
    <t>You spent funds to place a bet.</t>
  </si>
  <si>
    <t>gambling_expense</t>
  </si>
  <si>
    <t>Other income</t>
  </si>
  <si>
    <t>You received income or rewards not categorized elsewhere (e.g., Coinbase Earn).</t>
  </si>
  <si>
    <t>other_income</t>
  </si>
  <si>
    <t>Gift</t>
  </si>
  <si>
    <t>You sent or received a gift.</t>
  </si>
  <si>
    <t>gift</t>
  </si>
  <si>
    <t>Donation</t>
  </si>
  <si>
    <t>You donated assets to a tax-exempt public charity.</t>
  </si>
  <si>
    <t>donation</t>
  </si>
  <si>
    <t>Royalty</t>
  </si>
  <si>
    <t>You earned royalties (e.g., from NFT secondary sales).</t>
  </si>
  <si>
    <t>royalty</t>
  </si>
  <si>
    <t>Mint</t>
  </si>
  <si>
    <t>You received a newly minted asset.</t>
  </si>
  <si>
    <t>mint</t>
  </si>
  <si>
    <t>Stolen</t>
  </si>
  <si>
    <t>Assets were taken from your wallet due to a malicious transaction or breach.</t>
  </si>
  <si>
    <t>stolen</t>
  </si>
  <si>
    <t>Lost</t>
  </si>
  <si>
    <t>Assets are unrecoverable due to loss of access or sending to the wrong address.</t>
  </si>
  <si>
    <t>lost</t>
  </si>
  <si>
    <t>Liquidated</t>
  </si>
  <si>
    <t>Your position was forcibly closed due to liquidation.</t>
  </si>
  <si>
    <t>liquidated</t>
  </si>
  <si>
    <t>Collect rewards</t>
  </si>
  <si>
    <t>You received reward inflows from a DeFi protocol (taxable income).</t>
  </si>
  <si>
    <t>collect_rewards</t>
  </si>
  <si>
    <t>Service</t>
  </si>
  <si>
    <t>You paid for a service using crypto.</t>
  </si>
  <si>
    <t>service</t>
  </si>
  <si>
    <t xml:space="preserve">source </t>
  </si>
  <si>
    <t>https://support.cointracker.io/hc/en-us/articles/4413049710225-Transaction-category-definitions</t>
  </si>
  <si>
    <t>As we do not know your circumstances or the tax advice that you have received please modify it to suit your circumstances</t>
  </si>
  <si>
    <r>
      <t xml:space="preserve">all income is classified as </t>
    </r>
    <r>
      <rPr>
        <i/>
        <sz val="11"/>
        <color theme="1"/>
        <rFont val="Aptos Narrow"/>
        <family val="2"/>
        <scheme val="minor"/>
      </rPr>
      <t xml:space="preserve">other_income </t>
    </r>
    <r>
      <rPr>
        <sz val="11"/>
        <color theme="1"/>
        <rFont val="Aptos Narrow"/>
        <family val="2"/>
        <scheme val="minor"/>
      </rPr>
      <t>(could be miner or staker)</t>
    </r>
  </si>
  <si>
    <t>Check Row</t>
  </si>
  <si>
    <t>2024-12-31T23:59:48+00:00</t>
  </si>
  <si>
    <t>blank</t>
  </si>
  <si>
    <t>Import Row</t>
  </si>
  <si>
    <t>Sort Order</t>
  </si>
  <si>
    <t>Merge</t>
  </si>
  <si>
    <t>tx hash fee count</t>
  </si>
  <si>
    <t>tx Hash debit count</t>
  </si>
  <si>
    <t>tx Hash credit count</t>
  </si>
  <si>
    <t>Lookup Helper</t>
  </si>
  <si>
    <t>debit</t>
  </si>
  <si>
    <t>credit</t>
  </si>
  <si>
    <t>count of extrinsics</t>
  </si>
  <si>
    <t>fees</t>
  </si>
  <si>
    <t>Credit</t>
  </si>
  <si>
    <t>import checks - balances not changed</t>
  </si>
  <si>
    <t>CSV</t>
  </si>
  <si>
    <t>Import CSV</t>
  </si>
  <si>
    <t>Check</t>
  </si>
  <si>
    <t>income</t>
  </si>
  <si>
    <r>
      <t xml:space="preserve">This template is designed to get you </t>
    </r>
    <r>
      <rPr>
        <b/>
        <sz val="11"/>
        <color theme="1"/>
        <rFont val="Aptos Narrow"/>
        <family val="2"/>
        <scheme val="minor"/>
      </rPr>
      <t>started</t>
    </r>
    <r>
      <rPr>
        <sz val="11"/>
        <color theme="1"/>
        <rFont val="Aptos Narrow"/>
        <family val="2"/>
        <scheme val="minor"/>
      </rPr>
      <t xml:space="preserve"> in your import to cointracker </t>
    </r>
  </si>
  <si>
    <t>Method to import Batches</t>
  </si>
  <si>
    <t>Net Amount (for pivot table)</t>
  </si>
  <si>
    <t>error highlight</t>
  </si>
  <si>
    <t>Received Comment</t>
  </si>
  <si>
    <t>Transaction Hash</t>
  </si>
  <si>
    <r>
      <t xml:space="preserve">The </t>
    </r>
    <r>
      <rPr>
        <i/>
        <sz val="11"/>
        <color theme="1"/>
        <rFont val="Aptos Narrow"/>
        <family val="2"/>
        <scheme val="minor"/>
      </rPr>
      <t>Sort Order</t>
    </r>
    <r>
      <rPr>
        <sz val="11"/>
        <color theme="1"/>
        <rFont val="Aptos Narrow"/>
        <family val="2"/>
        <scheme val="minor"/>
      </rPr>
      <t xml:space="preserve"> is optional - It reorders to increasing block order</t>
    </r>
  </si>
  <si>
    <t>From Here Checks to make sure that the Amounts from taostats are not duplicated</t>
  </si>
  <si>
    <t>Text Row or blank row</t>
  </si>
  <si>
    <r>
      <t xml:space="preserve">Copy paste the contents of every csv into the </t>
    </r>
    <r>
      <rPr>
        <b/>
        <sz val="11"/>
        <color theme="1"/>
        <rFont val="Aptos Narrow"/>
        <family val="2"/>
        <scheme val="minor"/>
      </rPr>
      <t>Taostats_CSV</t>
    </r>
    <r>
      <rPr>
        <sz val="11"/>
        <color theme="1"/>
        <rFont val="Aptos Narrow"/>
        <family val="2"/>
        <scheme val="minor"/>
      </rPr>
      <t xml:space="preserve"> tab</t>
    </r>
  </si>
  <si>
    <r>
      <t xml:space="preserve">The </t>
    </r>
    <r>
      <rPr>
        <i/>
        <sz val="11"/>
        <color theme="1"/>
        <rFont val="Aptos Narrow"/>
        <family val="2"/>
        <scheme val="minor"/>
      </rPr>
      <t xml:space="preserve">Lookup Helper </t>
    </r>
    <r>
      <rPr>
        <sz val="11"/>
        <color theme="1"/>
        <rFont val="Aptos Narrow"/>
        <family val="2"/>
        <scheme val="minor"/>
      </rPr>
      <t xml:space="preserve">is not optional - it is necessary for the tab </t>
    </r>
    <r>
      <rPr>
        <b/>
        <sz val="11"/>
        <color theme="1"/>
        <rFont val="Aptos Narrow"/>
        <family val="2"/>
        <scheme val="minor"/>
      </rPr>
      <t>website_csv(pro)</t>
    </r>
    <r>
      <rPr>
        <sz val="11"/>
        <color theme="1"/>
        <rFont val="Aptos Narrow"/>
        <family val="2"/>
        <scheme val="minor"/>
      </rPr>
      <t xml:space="preserve"> to work</t>
    </r>
  </si>
  <si>
    <r>
      <t xml:space="preserve">Optional Sort </t>
    </r>
    <r>
      <rPr>
        <b/>
        <sz val="11"/>
        <color theme="1"/>
        <rFont val="Aptos Narrow"/>
        <family val="2"/>
        <scheme val="minor"/>
      </rPr>
      <t>Taostats_CSV</t>
    </r>
    <r>
      <rPr>
        <sz val="11"/>
        <color theme="1"/>
        <rFont val="Aptos Narrow"/>
        <family val="2"/>
        <scheme val="minor"/>
      </rPr>
      <t xml:space="preserve">  using the </t>
    </r>
    <r>
      <rPr>
        <i/>
        <sz val="11"/>
        <color theme="1"/>
        <rFont val="Aptos Narrow"/>
        <family val="2"/>
        <scheme val="minor"/>
      </rPr>
      <t>Sort Order</t>
    </r>
  </si>
  <si>
    <r>
      <t xml:space="preserve">On the </t>
    </r>
    <r>
      <rPr>
        <b/>
        <sz val="11"/>
        <color theme="1"/>
        <rFont val="Aptos Narrow"/>
        <family val="2"/>
        <scheme val="minor"/>
      </rPr>
      <t>website_csv(pro)</t>
    </r>
    <r>
      <rPr>
        <sz val="11"/>
        <color theme="1"/>
        <rFont val="Aptos Narrow"/>
        <family val="2"/>
        <scheme val="minor"/>
      </rPr>
      <t xml:space="preserve"> - Copy the 2nd row down on the  sheet for as many rows are you have in the Taostats_CSV</t>
    </r>
  </si>
  <si>
    <r>
      <t xml:space="preserve">Filter Rows using </t>
    </r>
    <r>
      <rPr>
        <i/>
        <sz val="11"/>
        <color theme="1"/>
        <rFont val="Aptos Narrow"/>
        <family val="2"/>
        <scheme val="minor"/>
      </rPr>
      <t>Import Row</t>
    </r>
    <r>
      <rPr>
        <sz val="11"/>
        <color theme="1"/>
        <rFont val="Aptos Narrow"/>
        <family val="2"/>
        <scheme val="minor"/>
      </rPr>
      <t xml:space="preserve"> = TRUE for the rows to be imported</t>
    </r>
  </si>
  <si>
    <r>
      <t xml:space="preserve">Filter the rows using </t>
    </r>
    <r>
      <rPr>
        <i/>
        <sz val="11"/>
        <color theme="1"/>
        <rFont val="Aptos Narrow"/>
        <family val="2"/>
        <scheme val="minor"/>
      </rPr>
      <t>Check Row</t>
    </r>
    <r>
      <rPr>
        <sz val="11"/>
        <color theme="1"/>
        <rFont val="Aptos Narrow"/>
        <family val="2"/>
        <scheme val="minor"/>
      </rPr>
      <t xml:space="preserve"> (column T) for any TRUE and correct the error in the </t>
    </r>
    <r>
      <rPr>
        <b/>
        <sz val="11"/>
        <color theme="1"/>
        <rFont val="Aptos Narrow"/>
        <family val="2"/>
        <scheme val="minor"/>
      </rPr>
      <t xml:space="preserve">Taostats_CSV </t>
    </r>
    <r>
      <rPr>
        <sz val="11"/>
        <color theme="1"/>
        <rFont val="Aptos Narrow"/>
        <family val="2"/>
        <scheme val="minor"/>
      </rPr>
      <t>tab</t>
    </r>
  </si>
  <si>
    <r>
      <t xml:space="preserve">Note: if the </t>
    </r>
    <r>
      <rPr>
        <i/>
        <sz val="11"/>
        <color theme="1"/>
        <rFont val="Aptos Narrow"/>
        <family val="2"/>
        <scheme val="minor"/>
      </rPr>
      <t>Import Row</t>
    </r>
    <r>
      <rPr>
        <sz val="11"/>
        <color theme="1"/>
        <rFont val="Aptos Narrow"/>
        <family val="2"/>
        <scheme val="minor"/>
      </rPr>
      <t xml:space="preserve"> is FALSE and you do not need to make a change you can ignore </t>
    </r>
    <r>
      <rPr>
        <i/>
        <sz val="11"/>
        <color theme="1"/>
        <rFont val="Aptos Narrow"/>
        <family val="2"/>
        <scheme val="minor"/>
      </rPr>
      <t>Check Row</t>
    </r>
  </si>
  <si>
    <r>
      <t xml:space="preserve">on </t>
    </r>
    <r>
      <rPr>
        <b/>
        <sz val="11"/>
        <color theme="1"/>
        <rFont val="Aptos Narrow"/>
        <family val="2"/>
        <scheme val="minor"/>
      </rPr>
      <t>website_csv(pro)</t>
    </r>
    <r>
      <rPr>
        <sz val="11"/>
        <color theme="1"/>
        <rFont val="Aptos Narrow"/>
        <family val="2"/>
        <scheme val="minor"/>
      </rPr>
      <t xml:space="preserve"> Check the Column AG and AH for error highlight - must be zero or the maths is wrong somewhere</t>
    </r>
  </si>
  <si>
    <t>Count of extrinsic</t>
  </si>
  <si>
    <t>Batch</t>
  </si>
  <si>
    <r>
      <t xml:space="preserve">is converted to </t>
    </r>
    <r>
      <rPr>
        <b/>
        <sz val="11"/>
        <color theme="1"/>
        <rFont val="Aptos Narrow"/>
        <family val="2"/>
        <scheme val="minor"/>
      </rPr>
      <t xml:space="preserve">website_csv(pro) </t>
    </r>
  </si>
  <si>
    <t>Search for the extrinsic on Taostats</t>
  </si>
  <si>
    <r>
      <t xml:space="preserve">The </t>
    </r>
    <r>
      <rPr>
        <b/>
        <sz val="11"/>
        <color theme="1"/>
        <rFont val="Aptos Narrow"/>
        <family val="2"/>
        <scheme val="minor"/>
      </rPr>
      <t>website_csv(pro)</t>
    </r>
    <r>
      <rPr>
        <sz val="11"/>
        <color theme="1"/>
        <rFont val="Aptos Narrow"/>
        <family val="2"/>
        <scheme val="minor"/>
      </rPr>
      <t xml:space="preserve"> tab will merge the transactions together for you - see example below</t>
    </r>
  </si>
  <si>
    <r>
      <t xml:space="preserve">Each </t>
    </r>
    <r>
      <rPr>
        <b/>
        <sz val="11"/>
        <color theme="1"/>
        <rFont val="Aptos Narrow"/>
        <family val="2"/>
        <scheme val="minor"/>
      </rPr>
      <t xml:space="preserve">Taostats_CSV </t>
    </r>
    <r>
      <rPr>
        <sz val="11"/>
        <color theme="1"/>
        <rFont val="Aptos Narrow"/>
        <family val="2"/>
        <scheme val="minor"/>
      </rPr>
      <t>includes the opening balance - this is for verification purposes with accounting software balance - this row is usually not imported</t>
    </r>
  </si>
  <si>
    <t>Again a warning - batch transactions you have to work it out yourself</t>
  </si>
  <si>
    <r>
      <t xml:space="preserve">on </t>
    </r>
    <r>
      <rPr>
        <b/>
        <sz val="11"/>
        <color theme="1"/>
        <rFont val="Aptos Narrow"/>
        <family val="2"/>
        <scheme val="minor"/>
      </rPr>
      <t>website_csv(pro)</t>
    </r>
    <r>
      <rPr>
        <sz val="11"/>
        <color theme="1"/>
        <rFont val="Aptos Narrow"/>
        <family val="2"/>
        <scheme val="minor"/>
      </rPr>
      <t xml:space="preserve"> copy the values from column titles </t>
    </r>
    <r>
      <rPr>
        <i/>
        <sz val="11"/>
        <color theme="1"/>
        <rFont val="Aptos Narrow"/>
        <family val="2"/>
        <scheme val="minor"/>
      </rPr>
      <t>Date</t>
    </r>
    <r>
      <rPr>
        <sz val="11"/>
        <color theme="1"/>
        <rFont val="Aptos Narrow"/>
        <family val="2"/>
        <scheme val="minor"/>
      </rPr>
      <t xml:space="preserve"> through to </t>
    </r>
    <r>
      <rPr>
        <i/>
        <sz val="11"/>
        <color theme="1"/>
        <rFont val="Aptos Narrow"/>
        <family val="2"/>
        <scheme val="minor"/>
      </rPr>
      <t>Tag</t>
    </r>
    <r>
      <rPr>
        <sz val="11"/>
        <color theme="1"/>
        <rFont val="Aptos Narrow"/>
        <family val="2"/>
        <scheme val="minor"/>
      </rPr>
      <t xml:space="preserve"> to a csv file (the other columns can be copies - they will be ignored as the column title does not match)</t>
    </r>
  </si>
  <si>
    <r>
      <t xml:space="preserve">Filter the </t>
    </r>
    <r>
      <rPr>
        <b/>
        <sz val="11"/>
        <color theme="1"/>
        <rFont val="Aptos Narrow"/>
        <family val="2"/>
        <scheme val="minor"/>
      </rPr>
      <t>Taostats_CSV</t>
    </r>
    <r>
      <rPr>
        <sz val="11"/>
        <color theme="1"/>
        <rFont val="Aptos Narrow"/>
        <family val="2"/>
        <scheme val="minor"/>
      </rPr>
      <t xml:space="preserve"> sheet using Count of extrinsic &gt;3 (most batches)</t>
    </r>
  </si>
  <si>
    <t>Any extrinsic that has more than one credit, one debit and a "fee" must be manually changed (e.g. batch or portfolio rebalance)</t>
  </si>
  <si>
    <r>
      <t xml:space="preserve">Make sure that the  additional columns after </t>
    </r>
    <r>
      <rPr>
        <b/>
        <i/>
        <sz val="11"/>
        <color theme="1"/>
        <rFont val="Aptos Narrow"/>
        <family val="2"/>
        <scheme val="minor"/>
      </rPr>
      <t>blank</t>
    </r>
    <r>
      <rPr>
        <sz val="11"/>
        <color theme="1"/>
        <rFont val="Aptos Narrow"/>
        <family val="2"/>
        <scheme val="minor"/>
      </rPr>
      <t xml:space="preserve"> in the </t>
    </r>
    <r>
      <rPr>
        <b/>
        <sz val="11"/>
        <color theme="1"/>
        <rFont val="Aptos Narrow"/>
        <family val="2"/>
        <scheme val="minor"/>
      </rPr>
      <t>Taostats_CSV</t>
    </r>
    <r>
      <rPr>
        <sz val="11"/>
        <color theme="1"/>
        <rFont val="Aptos Narrow"/>
        <family val="2"/>
        <scheme val="minor"/>
      </rPr>
      <t xml:space="preserve"> column are copied down to match the number of rows imported</t>
    </r>
  </si>
  <si>
    <t>Manually join the two sides of the transaction together by appending to the Extrinsic-ID a letter or number e.g. 5013009-0009 -&gt; 5013009-0009-A</t>
  </si>
  <si>
    <r>
      <t xml:space="preserve">Using the </t>
    </r>
    <r>
      <rPr>
        <i/>
        <sz val="11"/>
        <color theme="1"/>
        <rFont val="Aptos Narrow"/>
        <family val="2"/>
        <scheme val="minor"/>
      </rPr>
      <t xml:space="preserve">StakeRemoved </t>
    </r>
    <r>
      <rPr>
        <sz val="11"/>
        <color theme="1"/>
        <rFont val="Aptos Narrow"/>
        <family val="2"/>
        <scheme val="minor"/>
      </rPr>
      <t>Event will point you towards the correct match - but be aware you might have to sum some of them</t>
    </r>
  </si>
  <si>
    <t>valid tags for cointracker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</si>
</sst>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9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quotePrefix="1"/>
    <xf numFmtId="14" fontId="0" fillId="0" borderId="0" xfId="0" applyNumberFormat="1"/>
    <xf numFmtId="0" fontId="2" fillId="0" borderId="0" xfId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11" fontId="0" fillId="0" borderId="0" xfId="0" applyNumberFormat="1"/>
    <xf numFmtId="11" fontId="0" fillId="0" borderId="0" xfId="0" quotePrefix="1" applyNumberForma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F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593272</xdr:colOff>
      <xdr:row>35</xdr:row>
      <xdr:rowOff>38100</xdr:rowOff>
    </xdr:from>
    <xdr:to>
      <xdr:col>8</xdr:col>
      <xdr:colOff>604007</xdr:colOff>
      <xdr:row>42</xdr:row>
      <xdr:rowOff>48985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55ED8-8C03-C98E-35AB-72AD85DE1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272" y="6449786"/>
          <a:ext cx="5295749" cy="1306285"/>
        </a:xfrm>
        <a:prstGeom prst="rect">
          <a:avLst/>
        </a:prstGeom>
      </xdr:spPr>
    </xdr:pic>
    <xdr:clientData/>
  </xdr:twoCellAnchor>
  <xdr:twoCellAnchor editAs="oneCell">
    <xdr:from>
      <xdr:col>0</xdr:col>
      <xdr:colOff>643909</xdr:colOff>
      <xdr:row>45</xdr:row>
      <xdr:rowOff>125184</xdr:rowOff>
    </xdr:from>
    <xdr:to>
      <xdr:col>11</xdr:col>
      <xdr:colOff>540283</xdr:colOff>
      <xdr:row>49</xdr:row>
      <xdr:rowOff>168729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CBE1B4-5999-1CC5-F3D9-695B4B3DE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909" y="9127670"/>
          <a:ext cx="7140817" cy="78377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upport.cointracker.io/hc/en-us/articles/4413049710225-Transaction-category-defini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F14F-F06F-4329-9A76-1B20EDB25042}">
  <dimension ref="A1:C45"/>
  <sheetViews>
    <sheetView workbookViewId="0">
      <selection activeCell="A18" sqref="A18"/>
    </sheetView>
    <sheetView tabSelected="1" workbookViewId="1">
      <selection activeCell="K15" sqref="K15"/>
    </sheetView>
  </sheetViews>
  <sheetFormatPr defaultRowHeight="14.6" x14ac:dyDescent="0.4"/>
  <cols>
    <col min="2" max="2" width="10.07421875" bestFit="1" customWidth="1"/>
  </cols>
  <sheetData>
    <row r="1" spans="1:3" ht="53.15" customHeight="1" x14ac:dyDescent="0.4">
      <c r="B1" t="s">
        <v>185</v>
      </c>
    </row>
    <row r="2" spans="1:3" x14ac:dyDescent="0.4">
      <c r="B2" t="s">
        <v>163</v>
      </c>
    </row>
    <row r="3" spans="1:3" x14ac:dyDescent="0.4">
      <c r="B3" s="1" t="s">
        <v>164</v>
      </c>
    </row>
    <row r="4" spans="1:3" x14ac:dyDescent="0.4">
      <c r="B4" s="1"/>
    </row>
    <row r="5" spans="1:3" x14ac:dyDescent="0.4">
      <c r="B5" s="1" t="s">
        <v>211</v>
      </c>
    </row>
    <row r="7" spans="1:3" x14ac:dyDescent="0.4">
      <c r="A7" t="s">
        <v>32</v>
      </c>
    </row>
    <row r="8" spans="1:3" x14ac:dyDescent="0.4">
      <c r="A8">
        <v>1</v>
      </c>
      <c r="B8" t="s">
        <v>194</v>
      </c>
    </row>
    <row r="9" spans="1:3" x14ac:dyDescent="0.4">
      <c r="A9">
        <v>2</v>
      </c>
      <c r="B9" t="s">
        <v>212</v>
      </c>
    </row>
    <row r="10" spans="1:3" x14ac:dyDescent="0.4">
      <c r="C10" t="s">
        <v>191</v>
      </c>
    </row>
    <row r="11" spans="1:3" x14ac:dyDescent="0.4">
      <c r="C11" t="s">
        <v>195</v>
      </c>
    </row>
    <row r="12" spans="1:3" x14ac:dyDescent="0.4">
      <c r="A12">
        <v>3</v>
      </c>
      <c r="B12" t="s">
        <v>196</v>
      </c>
    </row>
    <row r="13" spans="1:3" x14ac:dyDescent="0.4">
      <c r="A13">
        <v>4</v>
      </c>
      <c r="B13" t="s">
        <v>197</v>
      </c>
    </row>
    <row r="14" spans="1:3" x14ac:dyDescent="0.4">
      <c r="A14">
        <v>5</v>
      </c>
      <c r="B14" t="s">
        <v>199</v>
      </c>
    </row>
    <row r="15" spans="1:3" x14ac:dyDescent="0.4">
      <c r="C15" t="s">
        <v>200</v>
      </c>
    </row>
    <row r="16" spans="1:3" x14ac:dyDescent="0.4">
      <c r="A16">
        <v>6</v>
      </c>
      <c r="B16" t="s">
        <v>198</v>
      </c>
    </row>
    <row r="17" spans="1:3" x14ac:dyDescent="0.4">
      <c r="A17">
        <v>7</v>
      </c>
      <c r="B17" t="s">
        <v>201</v>
      </c>
    </row>
    <row r="18" spans="1:3" x14ac:dyDescent="0.4">
      <c r="A18">
        <v>8</v>
      </c>
      <c r="B18" t="s">
        <v>209</v>
      </c>
    </row>
    <row r="20" spans="1:3" x14ac:dyDescent="0.4">
      <c r="A20" t="s">
        <v>186</v>
      </c>
    </row>
    <row r="21" spans="1:3" x14ac:dyDescent="0.4">
      <c r="A21">
        <v>1</v>
      </c>
      <c r="B21" t="s">
        <v>210</v>
      </c>
    </row>
    <row r="22" spans="1:3" x14ac:dyDescent="0.4">
      <c r="A22">
        <v>2</v>
      </c>
      <c r="B22" t="s">
        <v>205</v>
      </c>
    </row>
    <row r="23" spans="1:3" x14ac:dyDescent="0.4">
      <c r="C23" t="s">
        <v>214</v>
      </c>
    </row>
    <row r="24" spans="1:3" x14ac:dyDescent="0.4">
      <c r="A24">
        <v>3</v>
      </c>
      <c r="B24" t="s">
        <v>213</v>
      </c>
    </row>
    <row r="25" spans="1:3" x14ac:dyDescent="0.4">
      <c r="A25">
        <v>4</v>
      </c>
      <c r="B25" t="s">
        <v>206</v>
      </c>
    </row>
    <row r="27" spans="1:3" x14ac:dyDescent="0.4">
      <c r="A27" t="s">
        <v>31</v>
      </c>
    </row>
    <row r="28" spans="1:3" x14ac:dyDescent="0.4">
      <c r="A28">
        <v>1</v>
      </c>
      <c r="B28" t="s">
        <v>207</v>
      </c>
    </row>
    <row r="29" spans="1:3" x14ac:dyDescent="0.4">
      <c r="A29">
        <v>2</v>
      </c>
      <c r="B29" s="2" t="s">
        <v>208</v>
      </c>
    </row>
    <row r="32" spans="1:3" x14ac:dyDescent="0.4">
      <c r="A32" t="s">
        <v>215</v>
      </c>
    </row>
    <row r="33" spans="1:2" x14ac:dyDescent="0.4">
      <c r="A33" t="s">
        <v>161</v>
      </c>
      <c r="B33" s="3" t="s">
        <v>162</v>
      </c>
    </row>
    <row r="35" spans="1:2" x14ac:dyDescent="0.4">
      <c r="B35" t="s">
        <v>203</v>
      </c>
    </row>
    <row r="45" spans="1:2" x14ac:dyDescent="0.4">
      <c r="B45" t="s">
        <v>204</v>
      </c>
    </row>
  </sheetData>
  <hyperlinks>
    <hyperlink ref="B33" r:id="rId1" xr:uid="{80A80D6B-4BDC-4DBB-BB50-E35B600121C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5658-003C-4319-92DF-43BA8C70BA1A}">
  <dimension ref="A2:Y1173"/>
  <sheetViews>
    <sheetView workbookViewId="0">
      <pane xSplit="2" ySplit="3" topLeftCell="L1135" activePane="bottomRight" state="frozen"/>
      <selection pane="topRight" activeCell="C1" sqref="C1"/>
      <selection pane="bottomLeft" activeCell="A3" sqref="A3"/>
      <selection pane="bottomRight" activeCell="V4" sqref="V4:Y1177"/>
    </sheetView>
    <sheetView topLeftCell="A89" workbookViewId="1">
      <selection activeCell="G98" sqref="G98"/>
    </sheetView>
  </sheetViews>
  <sheetFormatPr defaultRowHeight="14.6" x14ac:dyDescent="0.4"/>
  <cols>
    <col min="1" max="1" width="51" bestFit="1" customWidth="1"/>
    <col min="2" max="2" width="14" bestFit="1" customWidth="1"/>
    <col min="3" max="3" width="23.765625" bestFit="1" customWidth="1"/>
    <col min="4" max="4" width="9.84375" bestFit="1" customWidth="1"/>
    <col min="5" max="5" width="7.84375" bestFit="1" customWidth="1"/>
    <col min="6" max="6" width="16.3828125" bestFit="1" customWidth="1"/>
    <col min="7" max="7" width="13.921875" bestFit="1" customWidth="1"/>
    <col min="8" max="8" width="14.53515625" bestFit="1" customWidth="1"/>
    <col min="9" max="9" width="12" bestFit="1" customWidth="1"/>
    <col min="10" max="10" width="15.23046875" bestFit="1" customWidth="1"/>
    <col min="11" max="11" width="13.765625" bestFit="1" customWidth="1"/>
    <col min="12" max="12" width="13.3828125" bestFit="1" customWidth="1"/>
    <col min="13" max="13" width="15.53515625" bestFit="1" customWidth="1"/>
    <col min="14" max="14" width="15.69140625" bestFit="1" customWidth="1"/>
    <col min="15" max="15" width="17.3828125" bestFit="1" customWidth="1"/>
    <col min="16" max="16" width="18.07421875" bestFit="1" customWidth="1"/>
    <col min="17" max="17" width="17.765625" bestFit="1" customWidth="1"/>
    <col min="18" max="18" width="13.3828125" bestFit="1" customWidth="1"/>
    <col min="19" max="19" width="17.3828125" bestFit="1" customWidth="1"/>
    <col min="20" max="20" width="10.07421875" bestFit="1" customWidth="1"/>
    <col min="21" max="21" width="7.4609375" bestFit="1" customWidth="1"/>
    <col min="22" max="22" width="11.3046875" bestFit="1" customWidth="1"/>
    <col min="23" max="23" width="17.15234375" bestFit="1" customWidth="1"/>
    <col min="24" max="24" width="14.69140625" bestFit="1" customWidth="1"/>
    <col min="25" max="25" width="23.15234375" bestFit="1" customWidth="1"/>
  </cols>
  <sheetData>
    <row r="2" spans="1:25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167</v>
      </c>
      <c r="V2" t="s">
        <v>169</v>
      </c>
      <c r="W2" t="s">
        <v>202</v>
      </c>
      <c r="X2" t="s">
        <v>174</v>
      </c>
      <c r="Y2" t="s">
        <v>187</v>
      </c>
    </row>
    <row r="3" spans="1:25" x14ac:dyDescent="0.4">
      <c r="A3" t="s">
        <v>20</v>
      </c>
      <c r="B3">
        <v>4605427</v>
      </c>
      <c r="C3" t="s">
        <v>166</v>
      </c>
      <c r="D3" t="s">
        <v>21</v>
      </c>
      <c r="E3" t="s">
        <v>22</v>
      </c>
      <c r="K3">
        <v>256.53008619299999</v>
      </c>
      <c r="L3">
        <v>2.690186486</v>
      </c>
      <c r="M3">
        <v>253.839899707</v>
      </c>
      <c r="N3">
        <v>0</v>
      </c>
      <c r="O3">
        <v>0</v>
      </c>
      <c r="P3" s="1" t="s">
        <v>23</v>
      </c>
      <c r="Q3">
        <v>1</v>
      </c>
      <c r="V3" t="str">
        <f>"S-"&amp;IF(LEN(I3)=0,B3,I3&amp;IF(F3="fee","-00",IF(LEN(G3)&gt;0,"-01","-02")))</f>
        <v>S-4605427</v>
      </c>
      <c r="W3">
        <f>COUNTIF(I:I,I3)</f>
        <v>0</v>
      </c>
      <c r="X3" t="str">
        <f>IF(LEN(I3)&gt;0,I3&amp;IF(F3="fee","fee",IF(VALUE(G3)&gt;0,"debit",IF(VALUE(H3)&gt;0,"credit","error"))),"")</f>
        <v/>
      </c>
      <c r="Y3">
        <f>ROUND(IF(ROW(U3) = 2,K3,0)+IF(H3&lt;&gt;"",H3,0) + IF(R3&lt;&gt;"",R3,0) - IF(G3&lt;&gt;"",G3,0),9)</f>
        <v>0</v>
      </c>
    </row>
    <row r="4" spans="1:25" x14ac:dyDescent="0.4">
      <c r="P4" s="1"/>
      <c r="T4" s="2"/>
    </row>
    <row r="5" spans="1:25" x14ac:dyDescent="0.4">
      <c r="P5" s="1"/>
      <c r="T5" s="2"/>
    </row>
    <row r="6" spans="1:25" x14ac:dyDescent="0.4">
      <c r="P6" s="1"/>
      <c r="T6" s="2"/>
    </row>
    <row r="7" spans="1:25" x14ac:dyDescent="0.4">
      <c r="P7" s="1"/>
      <c r="T7" s="2"/>
    </row>
    <row r="8" spans="1:25" x14ac:dyDescent="0.4">
      <c r="T8" s="2"/>
    </row>
    <row r="9" spans="1:25" x14ac:dyDescent="0.4">
      <c r="P9" s="1"/>
      <c r="T9" s="2"/>
    </row>
    <row r="10" spans="1:25" x14ac:dyDescent="0.4">
      <c r="P10" s="1"/>
      <c r="T10" s="2"/>
    </row>
    <row r="11" spans="1:25" x14ac:dyDescent="0.4">
      <c r="P11" s="1"/>
      <c r="T11" s="2"/>
    </row>
    <row r="12" spans="1:25" x14ac:dyDescent="0.4">
      <c r="P12" s="1"/>
      <c r="T12" s="2"/>
    </row>
    <row r="13" spans="1:25" x14ac:dyDescent="0.4">
      <c r="P13" s="1"/>
      <c r="T13" s="2"/>
    </row>
    <row r="14" spans="1:25" x14ac:dyDescent="0.4">
      <c r="P14" s="1"/>
      <c r="T14" s="2"/>
    </row>
    <row r="15" spans="1:25" x14ac:dyDescent="0.4">
      <c r="P15" s="1"/>
      <c r="T15" s="2"/>
    </row>
    <row r="16" spans="1:25" x14ac:dyDescent="0.4">
      <c r="P16" s="1"/>
      <c r="T16" s="2"/>
    </row>
    <row r="17" spans="16:20" x14ac:dyDescent="0.4">
      <c r="T17" s="2"/>
    </row>
    <row r="18" spans="16:20" x14ac:dyDescent="0.4">
      <c r="P18" s="1"/>
      <c r="T18" s="2"/>
    </row>
    <row r="19" spans="16:20" x14ac:dyDescent="0.4">
      <c r="P19" s="1"/>
      <c r="T19" s="2"/>
    </row>
    <row r="20" spans="16:20" x14ac:dyDescent="0.4">
      <c r="P20" s="1"/>
      <c r="T20" s="2"/>
    </row>
    <row r="21" spans="16:20" x14ac:dyDescent="0.4">
      <c r="P21" s="1"/>
      <c r="T21" s="2"/>
    </row>
    <row r="22" spans="16:20" x14ac:dyDescent="0.4">
      <c r="P22" s="1"/>
      <c r="T22" s="2"/>
    </row>
    <row r="23" spans="16:20" x14ac:dyDescent="0.4">
      <c r="P23" s="1"/>
      <c r="T23" s="2"/>
    </row>
    <row r="24" spans="16:20" x14ac:dyDescent="0.4">
      <c r="P24" s="1"/>
      <c r="T24" s="2"/>
    </row>
    <row r="25" spans="16:20" x14ac:dyDescent="0.4">
      <c r="P25" s="1"/>
      <c r="T25" s="2"/>
    </row>
    <row r="26" spans="16:20" x14ac:dyDescent="0.4">
      <c r="P26" s="1"/>
      <c r="T26" s="2"/>
    </row>
    <row r="27" spans="16:20" x14ac:dyDescent="0.4">
      <c r="P27" s="1"/>
      <c r="T27" s="2"/>
    </row>
    <row r="28" spans="16:20" x14ac:dyDescent="0.4">
      <c r="P28" s="1"/>
      <c r="T28" s="2"/>
    </row>
    <row r="29" spans="16:20" x14ac:dyDescent="0.4">
      <c r="P29" s="1"/>
      <c r="T29" s="2"/>
    </row>
    <row r="30" spans="16:20" x14ac:dyDescent="0.4">
      <c r="P30" s="1"/>
      <c r="T30" s="2"/>
    </row>
    <row r="31" spans="16:20" x14ac:dyDescent="0.4">
      <c r="P31" s="1"/>
      <c r="T31" s="2"/>
    </row>
    <row r="32" spans="16:20" x14ac:dyDescent="0.4">
      <c r="T32" s="2"/>
    </row>
    <row r="33" spans="16:20" x14ac:dyDescent="0.4">
      <c r="P33" s="1"/>
      <c r="T33" s="2"/>
    </row>
    <row r="34" spans="16:20" x14ac:dyDescent="0.4">
      <c r="P34" s="1"/>
      <c r="T34" s="2"/>
    </row>
    <row r="35" spans="16:20" x14ac:dyDescent="0.4">
      <c r="P35" s="1"/>
      <c r="T35" s="2"/>
    </row>
    <row r="36" spans="16:20" x14ac:dyDescent="0.4">
      <c r="P36" s="1"/>
      <c r="T36" s="2"/>
    </row>
    <row r="37" spans="16:20" x14ac:dyDescent="0.4">
      <c r="P37" s="1"/>
      <c r="T37" s="2"/>
    </row>
    <row r="38" spans="16:20" x14ac:dyDescent="0.4">
      <c r="P38" s="1"/>
      <c r="T38" s="2"/>
    </row>
    <row r="39" spans="16:20" x14ac:dyDescent="0.4">
      <c r="P39" s="1"/>
      <c r="T39" s="2"/>
    </row>
    <row r="40" spans="16:20" x14ac:dyDescent="0.4">
      <c r="T40" s="2"/>
    </row>
    <row r="41" spans="16:20" x14ac:dyDescent="0.4">
      <c r="P41" s="1"/>
      <c r="T41" s="2"/>
    </row>
    <row r="42" spans="16:20" x14ac:dyDescent="0.4">
      <c r="P42" s="1"/>
      <c r="T42" s="2"/>
    </row>
    <row r="43" spans="16:20" x14ac:dyDescent="0.4">
      <c r="P43" s="1"/>
      <c r="T43" s="2"/>
    </row>
    <row r="44" spans="16:20" x14ac:dyDescent="0.4">
      <c r="P44" s="1"/>
      <c r="T44" s="2"/>
    </row>
    <row r="45" spans="16:20" x14ac:dyDescent="0.4">
      <c r="P45" s="1"/>
      <c r="T45" s="2"/>
    </row>
    <row r="46" spans="16:20" x14ac:dyDescent="0.4">
      <c r="P46" s="1"/>
      <c r="T46" s="2"/>
    </row>
    <row r="47" spans="16:20" x14ac:dyDescent="0.4">
      <c r="P47" s="1"/>
      <c r="T47" s="2"/>
    </row>
    <row r="48" spans="16:20" x14ac:dyDescent="0.4">
      <c r="P48" s="1"/>
      <c r="T48" s="2"/>
    </row>
    <row r="49" spans="16:20" x14ac:dyDescent="0.4">
      <c r="P49" s="1"/>
      <c r="T49" s="2"/>
    </row>
    <row r="50" spans="16:20" x14ac:dyDescent="0.4">
      <c r="T50" s="2"/>
    </row>
    <row r="51" spans="16:20" x14ac:dyDescent="0.4">
      <c r="P51" s="1"/>
      <c r="T51" s="2"/>
    </row>
    <row r="52" spans="16:20" x14ac:dyDescent="0.4">
      <c r="P52" s="1"/>
      <c r="T52" s="2"/>
    </row>
    <row r="53" spans="16:20" x14ac:dyDescent="0.4">
      <c r="P53" s="1"/>
      <c r="T53" s="2"/>
    </row>
    <row r="54" spans="16:20" x14ac:dyDescent="0.4">
      <c r="P54" s="1"/>
      <c r="T54" s="2"/>
    </row>
    <row r="55" spans="16:20" x14ac:dyDescent="0.4">
      <c r="P55" s="1"/>
      <c r="T55" s="2"/>
    </row>
    <row r="56" spans="16:20" x14ac:dyDescent="0.4">
      <c r="P56" s="1"/>
      <c r="T56" s="2"/>
    </row>
    <row r="57" spans="16:20" x14ac:dyDescent="0.4">
      <c r="T57" s="2"/>
    </row>
    <row r="58" spans="16:20" x14ac:dyDescent="0.4">
      <c r="P58" s="1"/>
      <c r="T58" s="2"/>
    </row>
    <row r="59" spans="16:20" x14ac:dyDescent="0.4">
      <c r="P59" s="1"/>
      <c r="T59" s="2"/>
    </row>
    <row r="72" spans="16:20" x14ac:dyDescent="0.4">
      <c r="P72" s="1"/>
      <c r="T72" s="2"/>
    </row>
    <row r="73" spans="16:20" x14ac:dyDescent="0.4">
      <c r="P73" s="1"/>
      <c r="T73" s="2"/>
    </row>
    <row r="74" spans="16:20" x14ac:dyDescent="0.4">
      <c r="P74" s="1"/>
      <c r="T74" s="2"/>
    </row>
    <row r="75" spans="16:20" x14ac:dyDescent="0.4">
      <c r="P75" s="1"/>
      <c r="T75" s="2"/>
    </row>
    <row r="76" spans="16:20" x14ac:dyDescent="0.4">
      <c r="P76" s="1"/>
      <c r="T76" s="2"/>
    </row>
    <row r="77" spans="16:20" x14ac:dyDescent="0.4">
      <c r="P77" s="1"/>
      <c r="T77" s="2"/>
    </row>
    <row r="83" spans="16:20" x14ac:dyDescent="0.4">
      <c r="P83" s="1"/>
      <c r="T83" s="2"/>
    </row>
    <row r="84" spans="16:20" x14ac:dyDescent="0.4">
      <c r="P84" s="1"/>
      <c r="T84" s="2"/>
    </row>
    <row r="85" spans="16:20" x14ac:dyDescent="0.4">
      <c r="P85" s="1"/>
      <c r="T85" s="2"/>
    </row>
    <row r="86" spans="16:20" x14ac:dyDescent="0.4">
      <c r="P86" s="1"/>
      <c r="T86" s="2"/>
    </row>
    <row r="87" spans="16:20" x14ac:dyDescent="0.4">
      <c r="T87" s="2"/>
    </row>
    <row r="88" spans="16:20" x14ac:dyDescent="0.4">
      <c r="P88" s="1"/>
      <c r="T88" s="2"/>
    </row>
    <row r="89" spans="16:20" x14ac:dyDescent="0.4">
      <c r="P89" s="1"/>
      <c r="T89" s="2"/>
    </row>
    <row r="90" spans="16:20" x14ac:dyDescent="0.4">
      <c r="P90" s="1"/>
      <c r="T90" s="2"/>
    </row>
    <row r="91" spans="16:20" x14ac:dyDescent="0.4">
      <c r="P91" s="1"/>
      <c r="T91" s="2"/>
    </row>
    <row r="92" spans="16:20" x14ac:dyDescent="0.4">
      <c r="P92" s="1"/>
      <c r="T92" s="2"/>
    </row>
    <row r="93" spans="16:20" x14ac:dyDescent="0.4">
      <c r="P93" s="1"/>
      <c r="T93" s="2"/>
    </row>
    <row r="94" spans="16:20" x14ac:dyDescent="0.4">
      <c r="P94" s="1"/>
      <c r="T94" s="2"/>
    </row>
    <row r="95" spans="16:20" x14ac:dyDescent="0.4">
      <c r="P95" s="1"/>
      <c r="T95" s="2"/>
    </row>
    <row r="96" spans="16:20" x14ac:dyDescent="0.4">
      <c r="P96" s="1"/>
      <c r="T96" s="2"/>
    </row>
    <row r="97" spans="16:20" x14ac:dyDescent="0.4">
      <c r="P97" s="1"/>
      <c r="T97" s="2"/>
    </row>
    <row r="98" spans="16:20" x14ac:dyDescent="0.4">
      <c r="P98" s="1"/>
      <c r="T98" s="2"/>
    </row>
    <row r="99" spans="16:20" x14ac:dyDescent="0.4">
      <c r="P99" s="1"/>
      <c r="T99" s="2"/>
    </row>
    <row r="100" spans="16:20" x14ac:dyDescent="0.4">
      <c r="P100" s="1"/>
      <c r="T100" s="2"/>
    </row>
    <row r="101" spans="16:20" x14ac:dyDescent="0.4">
      <c r="P101" s="1"/>
      <c r="T101" s="2"/>
    </row>
    <row r="102" spans="16:20" x14ac:dyDescent="0.4">
      <c r="P102" s="1"/>
      <c r="T102" s="2"/>
    </row>
    <row r="103" spans="16:20" x14ac:dyDescent="0.4">
      <c r="P103" s="1"/>
      <c r="T103" s="2"/>
    </row>
    <row r="104" spans="16:20" x14ac:dyDescent="0.4">
      <c r="P104" s="1"/>
      <c r="T104" s="2"/>
    </row>
    <row r="105" spans="16:20" x14ac:dyDescent="0.4">
      <c r="P105" s="1"/>
      <c r="T105" s="2"/>
    </row>
    <row r="106" spans="16:20" x14ac:dyDescent="0.4">
      <c r="T106" s="2"/>
    </row>
    <row r="107" spans="16:20" x14ac:dyDescent="0.4">
      <c r="T107" s="2"/>
    </row>
    <row r="108" spans="16:20" x14ac:dyDescent="0.4">
      <c r="P108" s="1"/>
      <c r="T108" s="2"/>
    </row>
    <row r="109" spans="16:20" x14ac:dyDescent="0.4">
      <c r="P109" s="1"/>
      <c r="T109" s="2"/>
    </row>
    <row r="110" spans="16:20" x14ac:dyDescent="0.4">
      <c r="P110" s="1"/>
      <c r="T110" s="2"/>
    </row>
    <row r="111" spans="16:20" x14ac:dyDescent="0.4">
      <c r="P111" s="1"/>
      <c r="T111" s="2"/>
    </row>
    <row r="112" spans="16:20" x14ac:dyDescent="0.4">
      <c r="P112" s="1"/>
      <c r="T112" s="2"/>
    </row>
    <row r="113" spans="16:20" x14ac:dyDescent="0.4">
      <c r="P113" s="1"/>
      <c r="T113" s="2"/>
    </row>
    <row r="114" spans="16:20" x14ac:dyDescent="0.4">
      <c r="P114" s="1"/>
      <c r="T114" s="2"/>
    </row>
    <row r="115" spans="16:20" x14ac:dyDescent="0.4">
      <c r="P115" s="1"/>
      <c r="T115" s="2"/>
    </row>
    <row r="116" spans="16:20" x14ac:dyDescent="0.4">
      <c r="P116" s="1"/>
      <c r="T116" s="2"/>
    </row>
    <row r="117" spans="16:20" x14ac:dyDescent="0.4">
      <c r="P117" s="1"/>
      <c r="T117" s="2"/>
    </row>
    <row r="118" spans="16:20" x14ac:dyDescent="0.4">
      <c r="P118" s="1"/>
      <c r="T118" s="2"/>
    </row>
    <row r="119" spans="16:20" x14ac:dyDescent="0.4">
      <c r="P119" s="1"/>
      <c r="T119" s="2"/>
    </row>
    <row r="120" spans="16:20" x14ac:dyDescent="0.4">
      <c r="P120" s="1"/>
      <c r="T120" s="2"/>
    </row>
    <row r="121" spans="16:20" x14ac:dyDescent="0.4">
      <c r="T121" s="2"/>
    </row>
    <row r="122" spans="16:20" x14ac:dyDescent="0.4">
      <c r="T122" s="2"/>
    </row>
    <row r="123" spans="16:20" x14ac:dyDescent="0.4">
      <c r="T123" s="2"/>
    </row>
    <row r="124" spans="16:20" x14ac:dyDescent="0.4">
      <c r="T124" s="2"/>
    </row>
    <row r="125" spans="16:20" x14ac:dyDescent="0.4">
      <c r="P125" s="1"/>
      <c r="T125" s="2"/>
    </row>
    <row r="128" spans="16:20" x14ac:dyDescent="0.4">
      <c r="Q128" s="1"/>
    </row>
    <row r="130" spans="17:20" x14ac:dyDescent="0.4">
      <c r="Q130" s="1"/>
    </row>
    <row r="132" spans="17:20" x14ac:dyDescent="0.4">
      <c r="Q132" s="1"/>
    </row>
    <row r="133" spans="17:20" x14ac:dyDescent="0.4">
      <c r="Q133" s="1"/>
      <c r="T133" s="2"/>
    </row>
    <row r="134" spans="17:20" x14ac:dyDescent="0.4">
      <c r="Q134" s="1"/>
      <c r="T134" s="2"/>
    </row>
    <row r="136" spans="17:20" x14ac:dyDescent="0.4">
      <c r="Q136" s="1"/>
    </row>
    <row r="138" spans="17:20" x14ac:dyDescent="0.4">
      <c r="Q138" s="1"/>
    </row>
    <row r="141" spans="17:20" x14ac:dyDescent="0.4">
      <c r="Q141" s="1"/>
    </row>
    <row r="143" spans="17:20" x14ac:dyDescent="0.4">
      <c r="Q143" s="1"/>
    </row>
    <row r="145" spans="16:20" x14ac:dyDescent="0.4">
      <c r="Q145" s="1"/>
    </row>
    <row r="147" spans="16:20" x14ac:dyDescent="0.4">
      <c r="Q147" s="1"/>
    </row>
    <row r="149" spans="16:20" x14ac:dyDescent="0.4">
      <c r="Q149" s="1"/>
    </row>
    <row r="151" spans="16:20" x14ac:dyDescent="0.4">
      <c r="Q151" s="1"/>
    </row>
    <row r="152" spans="16:20" x14ac:dyDescent="0.4">
      <c r="P152" s="1"/>
      <c r="Q152" s="1"/>
      <c r="T152" s="2"/>
    </row>
    <row r="153" spans="16:20" x14ac:dyDescent="0.4">
      <c r="P153" s="1"/>
      <c r="Q153" s="1"/>
      <c r="T153" s="2"/>
    </row>
    <row r="154" spans="16:20" x14ac:dyDescent="0.4">
      <c r="P154" s="1"/>
      <c r="Q154" s="1"/>
      <c r="T154" s="2"/>
    </row>
    <row r="155" spans="16:20" x14ac:dyDescent="0.4">
      <c r="P155" s="1"/>
      <c r="Q155" s="1"/>
      <c r="T155" s="2"/>
    </row>
    <row r="156" spans="16:20" x14ac:dyDescent="0.4">
      <c r="P156" s="1"/>
      <c r="T156" s="2"/>
    </row>
    <row r="157" spans="16:20" x14ac:dyDescent="0.4">
      <c r="P157" s="1"/>
      <c r="Q157" s="1"/>
      <c r="T157" s="2"/>
    </row>
    <row r="158" spans="16:20" x14ac:dyDescent="0.4">
      <c r="P158" s="1"/>
      <c r="Q158" s="1"/>
      <c r="T158" s="2"/>
    </row>
    <row r="159" spans="16:20" x14ac:dyDescent="0.4">
      <c r="P159" s="1"/>
      <c r="Q159" s="1"/>
      <c r="T159" s="2"/>
    </row>
    <row r="160" spans="16:20" x14ac:dyDescent="0.4">
      <c r="P160" s="1"/>
      <c r="Q160" s="1"/>
      <c r="T160" s="2"/>
    </row>
    <row r="161" spans="16:20" x14ac:dyDescent="0.4">
      <c r="P161" s="1"/>
      <c r="T161" s="2"/>
    </row>
    <row r="162" spans="16:20" x14ac:dyDescent="0.4">
      <c r="P162" s="1"/>
      <c r="Q162" s="1"/>
      <c r="T162" s="2"/>
    </row>
    <row r="163" spans="16:20" x14ac:dyDescent="0.4">
      <c r="P163" s="1"/>
      <c r="Q163" s="1"/>
      <c r="T163" s="2"/>
    </row>
    <row r="164" spans="16:20" x14ac:dyDescent="0.4">
      <c r="P164" s="1"/>
      <c r="Q164" s="1"/>
      <c r="T164" s="2"/>
    </row>
    <row r="165" spans="16:20" x14ac:dyDescent="0.4">
      <c r="P165" s="1"/>
      <c r="Q165" s="1"/>
      <c r="T165" s="2"/>
    </row>
    <row r="166" spans="16:20" x14ac:dyDescent="0.4">
      <c r="P166" s="1"/>
      <c r="T166" s="2"/>
    </row>
    <row r="167" spans="16:20" x14ac:dyDescent="0.4">
      <c r="P167" s="1"/>
      <c r="Q167" s="1"/>
      <c r="T167" s="2"/>
    </row>
    <row r="168" spans="16:20" x14ac:dyDescent="0.4">
      <c r="P168" s="1"/>
      <c r="Q168" s="1"/>
      <c r="T168" s="2"/>
    </row>
    <row r="169" spans="16:20" x14ac:dyDescent="0.4">
      <c r="P169" s="1"/>
      <c r="Q169" s="1"/>
      <c r="T169" s="2"/>
    </row>
    <row r="170" spans="16:20" x14ac:dyDescent="0.4">
      <c r="P170" s="1"/>
      <c r="Q170" s="1"/>
      <c r="T170" s="2"/>
    </row>
    <row r="171" spans="16:20" x14ac:dyDescent="0.4">
      <c r="P171" s="1"/>
      <c r="T171" s="2"/>
    </row>
    <row r="172" spans="16:20" x14ac:dyDescent="0.4">
      <c r="P172" s="1"/>
      <c r="Q172" s="1"/>
      <c r="T172" s="2"/>
    </row>
    <row r="173" spans="16:20" x14ac:dyDescent="0.4">
      <c r="P173" s="1"/>
      <c r="Q173" s="1"/>
      <c r="T173" s="2"/>
    </row>
    <row r="174" spans="16:20" x14ac:dyDescent="0.4">
      <c r="P174" s="1"/>
      <c r="Q174" s="1"/>
      <c r="T174" s="2"/>
    </row>
    <row r="175" spans="16:20" x14ac:dyDescent="0.4">
      <c r="P175" s="1"/>
      <c r="Q175" s="1"/>
      <c r="T175" s="2"/>
    </row>
    <row r="176" spans="16:20" x14ac:dyDescent="0.4">
      <c r="P176" s="1"/>
      <c r="T176" s="2"/>
    </row>
    <row r="177" spans="16:20" x14ac:dyDescent="0.4">
      <c r="P177" s="1"/>
      <c r="Q177" s="1"/>
      <c r="T177" s="2"/>
    </row>
    <row r="178" spans="16:20" x14ac:dyDescent="0.4">
      <c r="P178" s="1"/>
      <c r="Q178" s="1"/>
      <c r="T178" s="2"/>
    </row>
    <row r="179" spans="16:20" x14ac:dyDescent="0.4">
      <c r="P179" s="1"/>
      <c r="Q179" s="1"/>
      <c r="T179" s="2"/>
    </row>
    <row r="180" spans="16:20" x14ac:dyDescent="0.4">
      <c r="P180" s="1"/>
      <c r="Q180" s="1"/>
      <c r="T180" s="2"/>
    </row>
    <row r="181" spans="16:20" x14ac:dyDescent="0.4">
      <c r="P181" s="1"/>
      <c r="T181" s="2"/>
    </row>
    <row r="182" spans="16:20" x14ac:dyDescent="0.4">
      <c r="P182" s="1"/>
      <c r="Q182" s="1"/>
      <c r="T182" s="2"/>
    </row>
    <row r="183" spans="16:20" x14ac:dyDescent="0.4">
      <c r="P183" s="1"/>
      <c r="Q183" s="1"/>
      <c r="T183" s="2"/>
    </row>
    <row r="184" spans="16:20" x14ac:dyDescent="0.4">
      <c r="P184" s="1"/>
      <c r="Q184" s="1"/>
      <c r="T184" s="2"/>
    </row>
    <row r="185" spans="16:20" x14ac:dyDescent="0.4">
      <c r="P185" s="1"/>
      <c r="Q185" s="1"/>
      <c r="T185" s="2"/>
    </row>
    <row r="186" spans="16:20" x14ac:dyDescent="0.4">
      <c r="P186" s="1"/>
      <c r="T186" s="2"/>
    </row>
    <row r="187" spans="16:20" x14ac:dyDescent="0.4">
      <c r="P187" s="1"/>
      <c r="Q187" s="1"/>
      <c r="T187" s="2"/>
    </row>
    <row r="188" spans="16:20" x14ac:dyDescent="0.4">
      <c r="P188" s="1"/>
      <c r="Q188" s="1"/>
      <c r="T188" s="2"/>
    </row>
    <row r="189" spans="16:20" x14ac:dyDescent="0.4">
      <c r="P189" s="1"/>
      <c r="Q189" s="1"/>
      <c r="T189" s="2"/>
    </row>
    <row r="190" spans="16:20" x14ac:dyDescent="0.4">
      <c r="P190" s="1"/>
      <c r="Q190" s="1"/>
      <c r="T190" s="2"/>
    </row>
    <row r="191" spans="16:20" x14ac:dyDescent="0.4">
      <c r="P191" s="1"/>
      <c r="T191" s="2"/>
    </row>
    <row r="192" spans="16:20" x14ac:dyDescent="0.4">
      <c r="P192" s="1"/>
      <c r="Q192" s="1"/>
      <c r="T192" s="2"/>
    </row>
    <row r="193" spans="16:20" x14ac:dyDescent="0.4">
      <c r="P193" s="1"/>
      <c r="Q193" s="1"/>
      <c r="T193" s="2"/>
    </row>
    <row r="194" spans="16:20" x14ac:dyDescent="0.4">
      <c r="P194" s="1"/>
      <c r="Q194" s="1"/>
      <c r="T194" s="2"/>
    </row>
    <row r="195" spans="16:20" x14ac:dyDescent="0.4">
      <c r="P195" s="1"/>
      <c r="Q195" s="1"/>
      <c r="T195" s="2"/>
    </row>
    <row r="196" spans="16:20" x14ac:dyDescent="0.4">
      <c r="P196" s="1"/>
      <c r="T196" s="2"/>
    </row>
    <row r="197" spans="16:20" x14ac:dyDescent="0.4">
      <c r="P197" s="1"/>
      <c r="Q197" s="1"/>
      <c r="T197" s="2"/>
    </row>
    <row r="198" spans="16:20" x14ac:dyDescent="0.4">
      <c r="P198" s="1"/>
      <c r="Q198" s="1"/>
      <c r="T198" s="2"/>
    </row>
    <row r="199" spans="16:20" x14ac:dyDescent="0.4">
      <c r="P199" s="1"/>
      <c r="Q199" s="1"/>
      <c r="T199" s="2"/>
    </row>
    <row r="200" spans="16:20" x14ac:dyDescent="0.4">
      <c r="P200" s="1"/>
      <c r="Q200" s="1"/>
      <c r="T200" s="2"/>
    </row>
    <row r="201" spans="16:20" x14ac:dyDescent="0.4">
      <c r="P201" s="1"/>
      <c r="T201" s="2"/>
    </row>
    <row r="204" spans="16:20" x14ac:dyDescent="0.4">
      <c r="P204" s="1"/>
      <c r="Q204" s="1"/>
      <c r="T204" s="2"/>
    </row>
    <row r="205" spans="16:20" x14ac:dyDescent="0.4">
      <c r="P205" s="1"/>
      <c r="Q205" s="1"/>
      <c r="T205" s="2"/>
    </row>
    <row r="206" spans="16:20" x14ac:dyDescent="0.4">
      <c r="P206" s="1"/>
      <c r="Q206" s="1"/>
      <c r="T206" s="2"/>
    </row>
    <row r="207" spans="16:20" x14ac:dyDescent="0.4">
      <c r="P207" s="1"/>
      <c r="Q207" s="1"/>
      <c r="T207" s="2"/>
    </row>
    <row r="208" spans="16:20" x14ac:dyDescent="0.4">
      <c r="P208" s="1"/>
      <c r="T208" s="2"/>
    </row>
    <row r="209" spans="16:20" x14ac:dyDescent="0.4">
      <c r="P209" s="1"/>
      <c r="Q209" s="1"/>
      <c r="T209" s="2"/>
    </row>
    <row r="210" spans="16:20" x14ac:dyDescent="0.4">
      <c r="P210" s="1"/>
      <c r="Q210" s="1"/>
      <c r="T210" s="2"/>
    </row>
    <row r="211" spans="16:20" x14ac:dyDescent="0.4">
      <c r="P211" s="1"/>
      <c r="Q211" s="1"/>
      <c r="T211" s="2"/>
    </row>
    <row r="212" spans="16:20" x14ac:dyDescent="0.4">
      <c r="P212" s="1"/>
      <c r="Q212" s="1"/>
      <c r="T212" s="2"/>
    </row>
    <row r="213" spans="16:20" x14ac:dyDescent="0.4">
      <c r="P213" s="1"/>
      <c r="T213" s="2"/>
    </row>
    <row r="214" spans="16:20" x14ac:dyDescent="0.4">
      <c r="P214" s="1"/>
      <c r="Q214" s="1"/>
      <c r="T214" s="2"/>
    </row>
    <row r="215" spans="16:20" x14ac:dyDescent="0.4">
      <c r="P215" s="1"/>
      <c r="Q215" s="1"/>
      <c r="T215" s="2"/>
    </row>
    <row r="216" spans="16:20" x14ac:dyDescent="0.4">
      <c r="P216" s="1"/>
      <c r="Q216" s="1"/>
      <c r="T216" s="2"/>
    </row>
    <row r="217" spans="16:20" x14ac:dyDescent="0.4">
      <c r="P217" s="1"/>
      <c r="Q217" s="1"/>
      <c r="T217" s="2"/>
    </row>
    <row r="218" spans="16:20" x14ac:dyDescent="0.4">
      <c r="P218" s="1"/>
      <c r="T218" s="2"/>
    </row>
    <row r="219" spans="16:20" x14ac:dyDescent="0.4">
      <c r="P219" s="1"/>
      <c r="Q219" s="1"/>
      <c r="T219" s="2"/>
    </row>
    <row r="220" spans="16:20" x14ac:dyDescent="0.4">
      <c r="P220" s="1"/>
      <c r="Q220" s="1"/>
      <c r="T220" s="2"/>
    </row>
    <row r="221" spans="16:20" x14ac:dyDescent="0.4">
      <c r="P221" s="1"/>
      <c r="Q221" s="1"/>
      <c r="T221" s="2"/>
    </row>
    <row r="222" spans="16:20" x14ac:dyDescent="0.4">
      <c r="P222" s="1"/>
      <c r="Q222" s="1"/>
      <c r="T222" s="2"/>
    </row>
    <row r="223" spans="16:20" x14ac:dyDescent="0.4">
      <c r="P223" s="1"/>
      <c r="T223" s="2"/>
    </row>
    <row r="224" spans="16:20" x14ac:dyDescent="0.4">
      <c r="P224" s="1"/>
      <c r="Q224" s="1"/>
      <c r="T224" s="2"/>
    </row>
    <row r="225" spans="16:20" x14ac:dyDescent="0.4">
      <c r="P225" s="1"/>
      <c r="Q225" s="1"/>
      <c r="T225" s="2"/>
    </row>
    <row r="226" spans="16:20" x14ac:dyDescent="0.4">
      <c r="P226" s="1"/>
      <c r="Q226" s="1"/>
      <c r="T226" s="2"/>
    </row>
    <row r="227" spans="16:20" x14ac:dyDescent="0.4">
      <c r="P227" s="1"/>
      <c r="Q227" s="1"/>
      <c r="T227" s="2"/>
    </row>
    <row r="228" spans="16:20" x14ac:dyDescent="0.4">
      <c r="P228" s="1"/>
      <c r="T228" s="2"/>
    </row>
    <row r="229" spans="16:20" x14ac:dyDescent="0.4">
      <c r="P229" s="1"/>
      <c r="Q229" s="1"/>
      <c r="T229" s="2"/>
    </row>
    <row r="230" spans="16:20" x14ac:dyDescent="0.4">
      <c r="P230" s="1"/>
      <c r="Q230" s="1"/>
      <c r="T230" s="2"/>
    </row>
    <row r="231" spans="16:20" x14ac:dyDescent="0.4">
      <c r="P231" s="1"/>
      <c r="Q231" s="1"/>
      <c r="T231" s="2"/>
    </row>
    <row r="232" spans="16:20" x14ac:dyDescent="0.4">
      <c r="P232" s="1"/>
      <c r="Q232" s="1"/>
      <c r="T232" s="2"/>
    </row>
    <row r="233" spans="16:20" x14ac:dyDescent="0.4">
      <c r="P233" s="1"/>
      <c r="T233" s="2"/>
    </row>
    <row r="234" spans="16:20" x14ac:dyDescent="0.4">
      <c r="P234" s="1"/>
      <c r="Q234" s="1"/>
      <c r="T234" s="2"/>
    </row>
    <row r="235" spans="16:20" x14ac:dyDescent="0.4">
      <c r="P235" s="1"/>
      <c r="Q235" s="1"/>
      <c r="T235" s="2"/>
    </row>
    <row r="236" spans="16:20" x14ac:dyDescent="0.4">
      <c r="P236" s="1"/>
      <c r="Q236" s="1"/>
      <c r="T236" s="2"/>
    </row>
    <row r="237" spans="16:20" x14ac:dyDescent="0.4">
      <c r="P237" s="1"/>
      <c r="Q237" s="1"/>
      <c r="T237" s="2"/>
    </row>
    <row r="238" spans="16:20" x14ac:dyDescent="0.4">
      <c r="P238" s="1"/>
      <c r="T238" s="2"/>
    </row>
    <row r="239" spans="16:20" x14ac:dyDescent="0.4">
      <c r="P239" s="1"/>
      <c r="Q239" s="1"/>
      <c r="T239" s="2"/>
    </row>
    <row r="240" spans="16:20" x14ac:dyDescent="0.4">
      <c r="P240" s="1"/>
      <c r="Q240" s="1"/>
      <c r="T240" s="2"/>
    </row>
    <row r="241" spans="16:20" x14ac:dyDescent="0.4">
      <c r="P241" s="1"/>
      <c r="Q241" s="1"/>
      <c r="T241" s="2"/>
    </row>
    <row r="242" spans="16:20" x14ac:dyDescent="0.4">
      <c r="P242" s="1"/>
      <c r="Q242" s="1"/>
      <c r="T242" s="2"/>
    </row>
    <row r="243" spans="16:20" x14ac:dyDescent="0.4">
      <c r="P243" s="1"/>
      <c r="T243" s="2"/>
    </row>
    <row r="244" spans="16:20" x14ac:dyDescent="0.4">
      <c r="P244" s="1"/>
      <c r="Q244" s="1"/>
      <c r="T244" s="2"/>
    </row>
    <row r="245" spans="16:20" x14ac:dyDescent="0.4">
      <c r="P245" s="1"/>
      <c r="Q245" s="1"/>
      <c r="T245" s="2"/>
    </row>
    <row r="246" spans="16:20" x14ac:dyDescent="0.4">
      <c r="P246" s="1"/>
      <c r="Q246" s="1"/>
      <c r="T246" s="2"/>
    </row>
    <row r="247" spans="16:20" x14ac:dyDescent="0.4">
      <c r="P247" s="1"/>
      <c r="Q247" s="1"/>
      <c r="T247" s="2"/>
    </row>
    <row r="248" spans="16:20" x14ac:dyDescent="0.4">
      <c r="P248" s="1"/>
      <c r="T248" s="2"/>
    </row>
    <row r="249" spans="16:20" x14ac:dyDescent="0.4">
      <c r="P249" s="1"/>
      <c r="Q249" s="1"/>
      <c r="T249" s="2"/>
    </row>
    <row r="250" spans="16:20" x14ac:dyDescent="0.4">
      <c r="P250" s="1"/>
      <c r="Q250" s="1"/>
      <c r="T250" s="2"/>
    </row>
    <row r="251" spans="16:20" x14ac:dyDescent="0.4">
      <c r="P251" s="1"/>
      <c r="Q251" s="1"/>
      <c r="T251" s="2"/>
    </row>
    <row r="252" spans="16:20" x14ac:dyDescent="0.4">
      <c r="P252" s="1"/>
      <c r="Q252" s="1"/>
      <c r="T252" s="2"/>
    </row>
    <row r="253" spans="16:20" x14ac:dyDescent="0.4">
      <c r="P253" s="1"/>
      <c r="T253" s="2"/>
    </row>
    <row r="254" spans="16:20" x14ac:dyDescent="0.4">
      <c r="P254" s="1"/>
      <c r="Q254" s="1"/>
      <c r="T254" s="2"/>
    </row>
    <row r="255" spans="16:20" x14ac:dyDescent="0.4">
      <c r="P255" s="1"/>
      <c r="Q255" s="1"/>
      <c r="T255" s="2"/>
    </row>
    <row r="256" spans="16:20" x14ac:dyDescent="0.4">
      <c r="P256" s="1"/>
      <c r="Q256" s="1"/>
      <c r="T256" s="2"/>
    </row>
    <row r="257" spans="16:20" x14ac:dyDescent="0.4">
      <c r="P257" s="1"/>
      <c r="Q257" s="1"/>
      <c r="T257" s="2"/>
    </row>
    <row r="258" spans="16:20" x14ac:dyDescent="0.4">
      <c r="P258" s="1"/>
      <c r="T258" s="2"/>
    </row>
    <row r="259" spans="16:20" x14ac:dyDescent="0.4">
      <c r="P259" s="1"/>
      <c r="Q259" s="1"/>
      <c r="T259" s="2"/>
    </row>
    <row r="260" spans="16:20" x14ac:dyDescent="0.4">
      <c r="P260" s="1"/>
      <c r="Q260" s="1"/>
      <c r="T260" s="2"/>
    </row>
    <row r="261" spans="16:20" x14ac:dyDescent="0.4">
      <c r="P261" s="1"/>
      <c r="Q261" s="1"/>
      <c r="T261" s="2"/>
    </row>
    <row r="262" spans="16:20" x14ac:dyDescent="0.4">
      <c r="P262" s="1"/>
      <c r="Q262" s="1"/>
      <c r="T262" s="2"/>
    </row>
    <row r="263" spans="16:20" x14ac:dyDescent="0.4">
      <c r="P263" s="1"/>
      <c r="T263" s="2"/>
    </row>
    <row r="264" spans="16:20" x14ac:dyDescent="0.4">
      <c r="P264" s="1"/>
      <c r="Q264" s="1"/>
      <c r="T264" s="2"/>
    </row>
    <row r="265" spans="16:20" x14ac:dyDescent="0.4">
      <c r="P265" s="1"/>
      <c r="Q265" s="1"/>
      <c r="T265" s="2"/>
    </row>
    <row r="266" spans="16:20" x14ac:dyDescent="0.4">
      <c r="P266" s="1"/>
      <c r="Q266" s="1"/>
      <c r="T266" s="2"/>
    </row>
    <row r="267" spans="16:20" x14ac:dyDescent="0.4">
      <c r="P267" s="1"/>
      <c r="Q267" s="1"/>
      <c r="T267" s="2"/>
    </row>
    <row r="268" spans="16:20" x14ac:dyDescent="0.4">
      <c r="P268" s="1"/>
      <c r="T268" s="2"/>
    </row>
    <row r="269" spans="16:20" x14ac:dyDescent="0.4">
      <c r="P269" s="1"/>
      <c r="Q269" s="1"/>
      <c r="T269" s="2"/>
    </row>
    <row r="270" spans="16:20" x14ac:dyDescent="0.4">
      <c r="P270" s="1"/>
      <c r="Q270" s="1"/>
      <c r="T270" s="2"/>
    </row>
    <row r="271" spans="16:20" x14ac:dyDescent="0.4">
      <c r="P271" s="1"/>
      <c r="Q271" s="1"/>
      <c r="T271" s="2"/>
    </row>
    <row r="272" spans="16:20" x14ac:dyDescent="0.4">
      <c r="P272" s="1"/>
      <c r="Q272" s="1"/>
      <c r="T272" s="2"/>
    </row>
    <row r="273" spans="16:20" x14ac:dyDescent="0.4">
      <c r="P273" s="1"/>
      <c r="T273" s="2"/>
    </row>
    <row r="274" spans="16:20" x14ac:dyDescent="0.4">
      <c r="P274" s="1"/>
      <c r="Q274" s="1"/>
      <c r="T274" s="2"/>
    </row>
    <row r="275" spans="16:20" x14ac:dyDescent="0.4">
      <c r="P275" s="1"/>
      <c r="Q275" s="1"/>
      <c r="T275" s="2"/>
    </row>
    <row r="276" spans="16:20" x14ac:dyDescent="0.4">
      <c r="P276" s="1"/>
      <c r="Q276" s="1"/>
      <c r="T276" s="2"/>
    </row>
    <row r="277" spans="16:20" x14ac:dyDescent="0.4">
      <c r="P277" s="1"/>
      <c r="Q277" s="1"/>
      <c r="T277" s="2"/>
    </row>
    <row r="278" spans="16:20" x14ac:dyDescent="0.4">
      <c r="P278" s="1"/>
      <c r="T278" s="2"/>
    </row>
    <row r="279" spans="16:20" x14ac:dyDescent="0.4">
      <c r="P279" s="1"/>
      <c r="Q279" s="1"/>
      <c r="T279" s="2"/>
    </row>
    <row r="280" spans="16:20" x14ac:dyDescent="0.4">
      <c r="P280" s="1"/>
      <c r="Q280" s="1"/>
      <c r="T280" s="2"/>
    </row>
    <row r="281" spans="16:20" x14ac:dyDescent="0.4">
      <c r="P281" s="1"/>
      <c r="Q281" s="1"/>
      <c r="T281" s="2"/>
    </row>
    <row r="282" spans="16:20" x14ac:dyDescent="0.4">
      <c r="P282" s="1"/>
      <c r="Q282" s="1"/>
      <c r="T282" s="2"/>
    </row>
    <row r="283" spans="16:20" x14ac:dyDescent="0.4">
      <c r="P283" s="1"/>
      <c r="T283" s="2"/>
    </row>
    <row r="284" spans="16:20" x14ac:dyDescent="0.4">
      <c r="P284" s="1"/>
      <c r="Q284" s="1"/>
      <c r="T284" s="2"/>
    </row>
    <row r="285" spans="16:20" x14ac:dyDescent="0.4">
      <c r="P285" s="1"/>
      <c r="Q285" s="1"/>
      <c r="T285" s="2"/>
    </row>
    <row r="286" spans="16:20" x14ac:dyDescent="0.4">
      <c r="P286" s="1"/>
      <c r="Q286" s="1"/>
      <c r="T286" s="2"/>
    </row>
    <row r="287" spans="16:20" x14ac:dyDescent="0.4">
      <c r="P287" s="1"/>
      <c r="Q287" s="1"/>
      <c r="T287" s="2"/>
    </row>
    <row r="288" spans="16:20" x14ac:dyDescent="0.4">
      <c r="P288" s="1"/>
      <c r="T288" s="2"/>
    </row>
    <row r="289" spans="16:20" x14ac:dyDescent="0.4">
      <c r="P289" s="1"/>
      <c r="Q289" s="1"/>
      <c r="T289" s="2"/>
    </row>
    <row r="290" spans="16:20" x14ac:dyDescent="0.4">
      <c r="P290" s="1"/>
      <c r="Q290" s="1"/>
      <c r="T290" s="2"/>
    </row>
    <row r="291" spans="16:20" x14ac:dyDescent="0.4">
      <c r="P291" s="1"/>
      <c r="Q291" s="1"/>
      <c r="T291" s="2"/>
    </row>
    <row r="292" spans="16:20" x14ac:dyDescent="0.4">
      <c r="P292" s="1"/>
      <c r="Q292" s="1"/>
      <c r="T292" s="2"/>
    </row>
    <row r="293" spans="16:20" x14ac:dyDescent="0.4">
      <c r="P293" s="1"/>
      <c r="T293" s="2"/>
    </row>
    <row r="294" spans="16:20" x14ac:dyDescent="0.4">
      <c r="P294" s="1"/>
      <c r="Q294" s="1"/>
      <c r="T294" s="2"/>
    </row>
    <row r="295" spans="16:20" x14ac:dyDescent="0.4">
      <c r="P295" s="1"/>
      <c r="Q295" s="1"/>
      <c r="T295" s="2"/>
    </row>
    <row r="296" spans="16:20" x14ac:dyDescent="0.4">
      <c r="P296" s="1"/>
      <c r="Q296" s="1"/>
      <c r="T296" s="2"/>
    </row>
    <row r="297" spans="16:20" x14ac:dyDescent="0.4">
      <c r="P297" s="1"/>
      <c r="Q297" s="1"/>
      <c r="T297" s="2"/>
    </row>
    <row r="298" spans="16:20" x14ac:dyDescent="0.4">
      <c r="P298" s="1"/>
      <c r="T298" s="2"/>
    </row>
    <row r="299" spans="16:20" x14ac:dyDescent="0.4">
      <c r="P299" s="1"/>
      <c r="Q299" s="1"/>
      <c r="T299" s="2"/>
    </row>
    <row r="300" spans="16:20" x14ac:dyDescent="0.4">
      <c r="P300" s="1"/>
      <c r="Q300" s="1"/>
      <c r="T300" s="2"/>
    </row>
    <row r="301" spans="16:20" x14ac:dyDescent="0.4">
      <c r="P301" s="1"/>
      <c r="Q301" s="1"/>
      <c r="T301" s="2"/>
    </row>
    <row r="302" spans="16:20" x14ac:dyDescent="0.4">
      <c r="P302" s="1"/>
      <c r="Q302" s="1"/>
      <c r="T302" s="2"/>
    </row>
    <row r="303" spans="16:20" x14ac:dyDescent="0.4">
      <c r="P303" s="1"/>
      <c r="T303" s="2"/>
    </row>
    <row r="304" spans="16:20" x14ac:dyDescent="0.4">
      <c r="P304" s="1"/>
      <c r="Q304" s="1"/>
      <c r="T304" s="2"/>
    </row>
    <row r="305" spans="16:20" x14ac:dyDescent="0.4">
      <c r="P305" s="1"/>
      <c r="Q305" s="1"/>
      <c r="T305" s="2"/>
    </row>
    <row r="306" spans="16:20" x14ac:dyDescent="0.4">
      <c r="P306" s="1"/>
      <c r="Q306" s="1"/>
      <c r="T306" s="2"/>
    </row>
    <row r="307" spans="16:20" x14ac:dyDescent="0.4">
      <c r="P307" s="1"/>
      <c r="Q307" s="1"/>
      <c r="T307" s="2"/>
    </row>
    <row r="308" spans="16:20" x14ac:dyDescent="0.4">
      <c r="P308" s="1"/>
      <c r="T308" s="2"/>
    </row>
    <row r="309" spans="16:20" x14ac:dyDescent="0.4">
      <c r="P309" s="1"/>
      <c r="Q309" s="1"/>
      <c r="T309" s="2"/>
    </row>
    <row r="310" spans="16:20" x14ac:dyDescent="0.4">
      <c r="P310" s="1"/>
      <c r="Q310" s="1"/>
      <c r="T310" s="2"/>
    </row>
    <row r="311" spans="16:20" x14ac:dyDescent="0.4">
      <c r="P311" s="1"/>
      <c r="Q311" s="1"/>
      <c r="T311" s="2"/>
    </row>
    <row r="312" spans="16:20" x14ac:dyDescent="0.4">
      <c r="P312" s="1"/>
      <c r="Q312" s="1"/>
      <c r="T312" s="2"/>
    </row>
    <row r="313" spans="16:20" x14ac:dyDescent="0.4">
      <c r="P313" s="1"/>
      <c r="T313" s="2"/>
    </row>
    <row r="314" spans="16:20" x14ac:dyDescent="0.4">
      <c r="P314" s="1"/>
      <c r="Q314" s="1"/>
      <c r="T314" s="2"/>
    </row>
    <row r="315" spans="16:20" x14ac:dyDescent="0.4">
      <c r="P315" s="1"/>
      <c r="Q315" s="1"/>
      <c r="T315" s="2"/>
    </row>
    <row r="316" spans="16:20" x14ac:dyDescent="0.4">
      <c r="P316" s="1"/>
      <c r="Q316" s="1"/>
      <c r="T316" s="2"/>
    </row>
    <row r="317" spans="16:20" x14ac:dyDescent="0.4">
      <c r="P317" s="1"/>
      <c r="Q317" s="1"/>
      <c r="T317" s="2"/>
    </row>
    <row r="318" spans="16:20" x14ac:dyDescent="0.4">
      <c r="P318" s="1"/>
      <c r="T318" s="2"/>
    </row>
    <row r="319" spans="16:20" x14ac:dyDescent="0.4">
      <c r="P319" s="1"/>
      <c r="Q319" s="1"/>
      <c r="T319" s="2"/>
    </row>
    <row r="320" spans="16:20" x14ac:dyDescent="0.4">
      <c r="P320" s="1"/>
      <c r="Q320" s="1"/>
      <c r="T320" s="2"/>
    </row>
    <row r="321" spans="16:20" x14ac:dyDescent="0.4">
      <c r="P321" s="1"/>
      <c r="Q321" s="1"/>
      <c r="T321" s="2"/>
    </row>
    <row r="322" spans="16:20" x14ac:dyDescent="0.4">
      <c r="P322" s="1"/>
      <c r="Q322" s="1"/>
      <c r="T322" s="2"/>
    </row>
    <row r="323" spans="16:20" x14ac:dyDescent="0.4">
      <c r="P323" s="1"/>
      <c r="T323" s="2"/>
    </row>
    <row r="324" spans="16:20" x14ac:dyDescent="0.4">
      <c r="P324" s="1"/>
      <c r="Q324" s="1"/>
      <c r="T324" s="2"/>
    </row>
    <row r="325" spans="16:20" x14ac:dyDescent="0.4">
      <c r="P325" s="1"/>
      <c r="Q325" s="1"/>
      <c r="T325" s="2"/>
    </row>
    <row r="326" spans="16:20" x14ac:dyDescent="0.4">
      <c r="P326" s="1"/>
      <c r="Q326" s="1"/>
      <c r="T326" s="2"/>
    </row>
    <row r="327" spans="16:20" x14ac:dyDescent="0.4">
      <c r="P327" s="1"/>
      <c r="Q327" s="1"/>
      <c r="T327" s="2"/>
    </row>
    <row r="328" spans="16:20" x14ac:dyDescent="0.4">
      <c r="P328" s="1"/>
      <c r="T328" s="2"/>
    </row>
    <row r="329" spans="16:20" x14ac:dyDescent="0.4">
      <c r="P329" s="1"/>
      <c r="Q329" s="1"/>
      <c r="T329" s="2"/>
    </row>
    <row r="330" spans="16:20" x14ac:dyDescent="0.4">
      <c r="P330" s="1"/>
      <c r="Q330" s="1"/>
      <c r="T330" s="2"/>
    </row>
    <row r="331" spans="16:20" x14ac:dyDescent="0.4">
      <c r="P331" s="1"/>
      <c r="Q331" s="1"/>
      <c r="T331" s="2"/>
    </row>
    <row r="332" spans="16:20" x14ac:dyDescent="0.4">
      <c r="P332" s="1"/>
      <c r="Q332" s="1"/>
      <c r="T332" s="2"/>
    </row>
    <row r="333" spans="16:20" x14ac:dyDescent="0.4">
      <c r="P333" s="1"/>
      <c r="T333" s="2"/>
    </row>
    <row r="334" spans="16:20" x14ac:dyDescent="0.4">
      <c r="P334" s="1"/>
      <c r="Q334" s="1"/>
      <c r="T334" s="2"/>
    </row>
    <row r="335" spans="16:20" x14ac:dyDescent="0.4">
      <c r="P335" s="1"/>
      <c r="Q335" s="1"/>
      <c r="T335" s="2"/>
    </row>
    <row r="336" spans="16:20" x14ac:dyDescent="0.4">
      <c r="P336" s="1"/>
      <c r="Q336" s="1"/>
      <c r="T336" s="2"/>
    </row>
    <row r="337" spans="16:20" x14ac:dyDescent="0.4">
      <c r="P337" s="1"/>
      <c r="Q337" s="1"/>
      <c r="T337" s="2"/>
    </row>
    <row r="338" spans="16:20" x14ac:dyDescent="0.4">
      <c r="P338" s="1"/>
      <c r="T338" s="2"/>
    </row>
    <row r="339" spans="16:20" x14ac:dyDescent="0.4">
      <c r="P339" s="1"/>
      <c r="Q339" s="1"/>
      <c r="T339" s="2"/>
    </row>
    <row r="340" spans="16:20" x14ac:dyDescent="0.4">
      <c r="P340" s="1"/>
      <c r="Q340" s="1"/>
      <c r="T340" s="2"/>
    </row>
    <row r="341" spans="16:20" x14ac:dyDescent="0.4">
      <c r="P341" s="1"/>
      <c r="Q341" s="1"/>
      <c r="T341" s="2"/>
    </row>
    <row r="342" spans="16:20" x14ac:dyDescent="0.4">
      <c r="P342" s="1"/>
      <c r="Q342" s="1"/>
      <c r="T342" s="2"/>
    </row>
    <row r="343" spans="16:20" x14ac:dyDescent="0.4">
      <c r="P343" s="1"/>
      <c r="T343" s="2"/>
    </row>
    <row r="344" spans="16:20" x14ac:dyDescent="0.4">
      <c r="P344" s="1"/>
      <c r="Q344" s="1"/>
      <c r="T344" s="2"/>
    </row>
    <row r="345" spans="16:20" x14ac:dyDescent="0.4">
      <c r="P345" s="1"/>
      <c r="Q345" s="1"/>
      <c r="T345" s="2"/>
    </row>
    <row r="346" spans="16:20" x14ac:dyDescent="0.4">
      <c r="P346" s="1"/>
      <c r="Q346" s="1"/>
      <c r="T346" s="2"/>
    </row>
    <row r="347" spans="16:20" x14ac:dyDescent="0.4">
      <c r="P347" s="1"/>
      <c r="Q347" s="1"/>
      <c r="T347" s="2"/>
    </row>
    <row r="348" spans="16:20" x14ac:dyDescent="0.4">
      <c r="P348" s="1"/>
      <c r="T348" s="2"/>
    </row>
    <row r="349" spans="16:20" x14ac:dyDescent="0.4">
      <c r="P349" s="1"/>
      <c r="Q349" s="1"/>
      <c r="T349" s="2"/>
    </row>
    <row r="350" spans="16:20" x14ac:dyDescent="0.4">
      <c r="P350" s="1"/>
      <c r="Q350" s="1"/>
      <c r="T350" s="2"/>
    </row>
    <row r="351" spans="16:20" x14ac:dyDescent="0.4">
      <c r="P351" s="1"/>
      <c r="Q351" s="1"/>
      <c r="T351" s="2"/>
    </row>
    <row r="352" spans="16:20" x14ac:dyDescent="0.4">
      <c r="P352" s="1"/>
      <c r="Q352" s="1"/>
      <c r="T352" s="2"/>
    </row>
    <row r="353" spans="16:20" x14ac:dyDescent="0.4">
      <c r="P353" s="1"/>
      <c r="T353" s="2"/>
    </row>
    <row r="354" spans="16:20" x14ac:dyDescent="0.4">
      <c r="P354" s="1"/>
      <c r="Q354" s="1"/>
      <c r="T354" s="2"/>
    </row>
    <row r="355" spans="16:20" x14ac:dyDescent="0.4">
      <c r="P355" s="1"/>
      <c r="Q355" s="1"/>
      <c r="T355" s="2"/>
    </row>
    <row r="356" spans="16:20" x14ac:dyDescent="0.4">
      <c r="P356" s="1"/>
      <c r="Q356" s="1"/>
      <c r="T356" s="2"/>
    </row>
    <row r="357" spans="16:20" x14ac:dyDescent="0.4">
      <c r="P357" s="1"/>
      <c r="Q357" s="1"/>
      <c r="T357" s="2"/>
    </row>
    <row r="358" spans="16:20" x14ac:dyDescent="0.4">
      <c r="P358" s="1"/>
      <c r="T358" s="2"/>
    </row>
    <row r="359" spans="16:20" x14ac:dyDescent="0.4">
      <c r="P359" s="1"/>
      <c r="Q359" s="1"/>
      <c r="T359" s="2"/>
    </row>
    <row r="360" spans="16:20" x14ac:dyDescent="0.4">
      <c r="P360" s="1"/>
      <c r="Q360" s="1"/>
      <c r="T360" s="2"/>
    </row>
    <row r="361" spans="16:20" x14ac:dyDescent="0.4">
      <c r="P361" s="1"/>
      <c r="Q361" s="1"/>
      <c r="T361" s="2"/>
    </row>
    <row r="362" spans="16:20" x14ac:dyDescent="0.4">
      <c r="P362" s="1"/>
      <c r="Q362" s="1"/>
      <c r="T362" s="2"/>
    </row>
    <row r="363" spans="16:20" x14ac:dyDescent="0.4">
      <c r="P363" s="1"/>
      <c r="T363" s="2"/>
    </row>
    <row r="364" spans="16:20" x14ac:dyDescent="0.4">
      <c r="P364" s="1"/>
      <c r="Q364" s="1"/>
      <c r="T364" s="2"/>
    </row>
    <row r="365" spans="16:20" x14ac:dyDescent="0.4">
      <c r="P365" s="1"/>
      <c r="Q365" s="1"/>
      <c r="T365" s="2"/>
    </row>
    <row r="366" spans="16:20" x14ac:dyDescent="0.4">
      <c r="P366" s="1"/>
      <c r="Q366" s="1"/>
      <c r="T366" s="2"/>
    </row>
    <row r="367" spans="16:20" x14ac:dyDescent="0.4">
      <c r="P367" s="1"/>
      <c r="Q367" s="1"/>
      <c r="T367" s="2"/>
    </row>
    <row r="368" spans="16:20" x14ac:dyDescent="0.4">
      <c r="P368" s="1"/>
      <c r="T368" s="2"/>
    </row>
    <row r="369" spans="16:20" x14ac:dyDescent="0.4">
      <c r="P369" s="1"/>
      <c r="Q369" s="1"/>
      <c r="T369" s="2"/>
    </row>
    <row r="370" spans="16:20" x14ac:dyDescent="0.4">
      <c r="P370" s="1"/>
      <c r="Q370" s="1"/>
      <c r="T370" s="2"/>
    </row>
    <row r="371" spans="16:20" x14ac:dyDescent="0.4">
      <c r="P371" s="1"/>
      <c r="Q371" s="1"/>
      <c r="T371" s="2"/>
    </row>
    <row r="372" spans="16:20" x14ac:dyDescent="0.4">
      <c r="P372" s="1"/>
      <c r="Q372" s="1"/>
      <c r="T372" s="2"/>
    </row>
    <row r="373" spans="16:20" x14ac:dyDescent="0.4">
      <c r="P373" s="1"/>
      <c r="T373" s="2"/>
    </row>
    <row r="374" spans="16:20" x14ac:dyDescent="0.4">
      <c r="P374" s="1"/>
      <c r="Q374" s="1"/>
      <c r="T374" s="2"/>
    </row>
    <row r="375" spans="16:20" x14ac:dyDescent="0.4">
      <c r="P375" s="1"/>
      <c r="Q375" s="1"/>
      <c r="T375" s="2"/>
    </row>
    <row r="376" spans="16:20" x14ac:dyDescent="0.4">
      <c r="P376" s="1"/>
      <c r="Q376" s="1"/>
      <c r="T376" s="2"/>
    </row>
    <row r="377" spans="16:20" x14ac:dyDescent="0.4">
      <c r="P377" s="1"/>
      <c r="Q377" s="1"/>
      <c r="T377" s="2"/>
    </row>
    <row r="378" spans="16:20" x14ac:dyDescent="0.4">
      <c r="P378" s="1"/>
      <c r="T378" s="2"/>
    </row>
    <row r="379" spans="16:20" x14ac:dyDescent="0.4">
      <c r="P379" s="1"/>
      <c r="Q379" s="1"/>
      <c r="T379" s="2"/>
    </row>
    <row r="380" spans="16:20" x14ac:dyDescent="0.4">
      <c r="P380" s="1"/>
      <c r="Q380" s="1"/>
      <c r="T380" s="2"/>
    </row>
    <row r="381" spans="16:20" x14ac:dyDescent="0.4">
      <c r="P381" s="1"/>
      <c r="Q381" s="1"/>
      <c r="T381" s="2"/>
    </row>
    <row r="382" spans="16:20" x14ac:dyDescent="0.4">
      <c r="P382" s="1"/>
      <c r="Q382" s="1"/>
      <c r="T382" s="2"/>
    </row>
    <row r="383" spans="16:20" x14ac:dyDescent="0.4">
      <c r="P383" s="1"/>
      <c r="T383" s="2"/>
    </row>
    <row r="384" spans="16:20" x14ac:dyDescent="0.4">
      <c r="P384" s="1"/>
      <c r="Q384" s="1"/>
      <c r="T384" s="2"/>
    </row>
    <row r="385" spans="16:20" x14ac:dyDescent="0.4">
      <c r="P385" s="1"/>
      <c r="Q385" s="1"/>
      <c r="T385" s="2"/>
    </row>
    <row r="386" spans="16:20" x14ac:dyDescent="0.4">
      <c r="P386" s="1"/>
      <c r="Q386" s="1"/>
      <c r="T386" s="2"/>
    </row>
    <row r="387" spans="16:20" x14ac:dyDescent="0.4">
      <c r="P387" s="1"/>
      <c r="Q387" s="1"/>
      <c r="T387" s="2"/>
    </row>
    <row r="388" spans="16:20" x14ac:dyDescent="0.4">
      <c r="P388" s="1"/>
      <c r="T388" s="2"/>
    </row>
    <row r="389" spans="16:20" x14ac:dyDescent="0.4">
      <c r="P389" s="1"/>
      <c r="Q389" s="1"/>
      <c r="T389" s="2"/>
    </row>
    <row r="390" spans="16:20" x14ac:dyDescent="0.4">
      <c r="P390" s="1"/>
      <c r="Q390" s="1"/>
      <c r="T390" s="2"/>
    </row>
    <row r="391" spans="16:20" x14ac:dyDescent="0.4">
      <c r="P391" s="1"/>
      <c r="Q391" s="1"/>
      <c r="T391" s="2"/>
    </row>
    <row r="392" spans="16:20" x14ac:dyDescent="0.4">
      <c r="P392" s="1"/>
      <c r="Q392" s="1"/>
      <c r="T392" s="2"/>
    </row>
    <row r="393" spans="16:20" x14ac:dyDescent="0.4">
      <c r="P393" s="1"/>
      <c r="T393" s="2"/>
    </row>
    <row r="394" spans="16:20" x14ac:dyDescent="0.4">
      <c r="P394" s="1"/>
      <c r="Q394" s="1"/>
      <c r="T394" s="2"/>
    </row>
    <row r="395" spans="16:20" x14ac:dyDescent="0.4">
      <c r="P395" s="1"/>
      <c r="Q395" s="1"/>
      <c r="T395" s="2"/>
    </row>
    <row r="396" spans="16:20" x14ac:dyDescent="0.4">
      <c r="P396" s="1"/>
      <c r="Q396" s="1"/>
      <c r="T396" s="2"/>
    </row>
    <row r="397" spans="16:20" x14ac:dyDescent="0.4">
      <c r="P397" s="1"/>
      <c r="Q397" s="1"/>
      <c r="T397" s="2"/>
    </row>
    <row r="398" spans="16:20" x14ac:dyDescent="0.4">
      <c r="T398" s="2"/>
    </row>
    <row r="399" spans="16:20" x14ac:dyDescent="0.4">
      <c r="P399" s="1"/>
      <c r="Q399" s="1"/>
      <c r="T399" s="2"/>
    </row>
    <row r="400" spans="16:20" x14ac:dyDescent="0.4">
      <c r="P400" s="1"/>
      <c r="Q400" s="1"/>
      <c r="T400" s="2"/>
    </row>
    <row r="401" spans="16:20" x14ac:dyDescent="0.4">
      <c r="P401" s="1"/>
      <c r="Q401" s="1"/>
      <c r="T401" s="2"/>
    </row>
    <row r="402" spans="16:20" x14ac:dyDescent="0.4">
      <c r="P402" s="1"/>
      <c r="Q402" s="1"/>
      <c r="T402" s="2"/>
    </row>
    <row r="403" spans="16:20" x14ac:dyDescent="0.4">
      <c r="P403" s="1"/>
      <c r="T403" s="2"/>
    </row>
    <row r="404" spans="16:20" x14ac:dyDescent="0.4">
      <c r="P404" s="1"/>
      <c r="Q404" s="1"/>
      <c r="T404" s="2"/>
    </row>
    <row r="405" spans="16:20" x14ac:dyDescent="0.4">
      <c r="P405" s="1"/>
      <c r="Q405" s="1"/>
      <c r="T405" s="2"/>
    </row>
    <row r="406" spans="16:20" x14ac:dyDescent="0.4">
      <c r="P406" s="1"/>
      <c r="Q406" s="1"/>
      <c r="T406" s="2"/>
    </row>
    <row r="407" spans="16:20" x14ac:dyDescent="0.4">
      <c r="P407" s="1"/>
      <c r="Q407" s="1"/>
      <c r="T407" s="2"/>
    </row>
    <row r="408" spans="16:20" x14ac:dyDescent="0.4">
      <c r="P408" s="1"/>
      <c r="T408" s="2"/>
    </row>
    <row r="409" spans="16:20" x14ac:dyDescent="0.4">
      <c r="P409" s="1"/>
      <c r="Q409" s="1"/>
      <c r="T409" s="2"/>
    </row>
    <row r="410" spans="16:20" x14ac:dyDescent="0.4">
      <c r="P410" s="1"/>
      <c r="Q410" s="1"/>
      <c r="T410" s="2"/>
    </row>
    <row r="411" spans="16:20" x14ac:dyDescent="0.4">
      <c r="P411" s="1"/>
      <c r="Q411" s="1"/>
      <c r="T411" s="2"/>
    </row>
    <row r="412" spans="16:20" x14ac:dyDescent="0.4">
      <c r="P412" s="1"/>
      <c r="Q412" s="1"/>
      <c r="T412" s="2"/>
    </row>
    <row r="413" spans="16:20" x14ac:dyDescent="0.4">
      <c r="P413" s="1"/>
      <c r="T413" s="2"/>
    </row>
    <row r="414" spans="16:20" x14ac:dyDescent="0.4">
      <c r="P414" s="1"/>
      <c r="Q414" s="1"/>
      <c r="T414" s="2"/>
    </row>
    <row r="415" spans="16:20" x14ac:dyDescent="0.4">
      <c r="P415" s="1"/>
      <c r="Q415" s="1"/>
      <c r="T415" s="2"/>
    </row>
    <row r="416" spans="16:20" x14ac:dyDescent="0.4">
      <c r="P416" s="1"/>
      <c r="Q416" s="1"/>
      <c r="T416" s="2"/>
    </row>
    <row r="417" spans="16:20" x14ac:dyDescent="0.4">
      <c r="P417" s="1"/>
      <c r="Q417" s="1"/>
      <c r="T417" s="2"/>
    </row>
    <row r="418" spans="16:20" x14ac:dyDescent="0.4">
      <c r="P418" s="1"/>
      <c r="T418" s="2"/>
    </row>
    <row r="419" spans="16:20" x14ac:dyDescent="0.4">
      <c r="P419" s="1"/>
      <c r="Q419" s="1"/>
      <c r="T419" s="2"/>
    </row>
    <row r="420" spans="16:20" x14ac:dyDescent="0.4">
      <c r="P420" s="1"/>
      <c r="Q420" s="1"/>
      <c r="T420" s="2"/>
    </row>
    <row r="421" spans="16:20" x14ac:dyDescent="0.4">
      <c r="P421" s="1"/>
      <c r="Q421" s="1"/>
      <c r="T421" s="2"/>
    </row>
    <row r="422" spans="16:20" x14ac:dyDescent="0.4">
      <c r="P422" s="1"/>
      <c r="Q422" s="1"/>
      <c r="T422" s="2"/>
    </row>
    <row r="423" spans="16:20" x14ac:dyDescent="0.4">
      <c r="P423" s="1"/>
      <c r="T423" s="2"/>
    </row>
    <row r="424" spans="16:20" x14ac:dyDescent="0.4">
      <c r="P424" s="1"/>
      <c r="Q424" s="1"/>
      <c r="T424" s="2"/>
    </row>
    <row r="425" spans="16:20" x14ac:dyDescent="0.4">
      <c r="P425" s="1"/>
      <c r="Q425" s="1"/>
      <c r="T425" s="2"/>
    </row>
    <row r="426" spans="16:20" x14ac:dyDescent="0.4">
      <c r="P426" s="1"/>
      <c r="Q426" s="1"/>
      <c r="T426" s="2"/>
    </row>
    <row r="427" spans="16:20" x14ac:dyDescent="0.4">
      <c r="P427" s="1"/>
      <c r="Q427" s="1"/>
      <c r="T427" s="2"/>
    </row>
    <row r="428" spans="16:20" x14ac:dyDescent="0.4">
      <c r="P428" s="1"/>
      <c r="T428" s="2"/>
    </row>
    <row r="429" spans="16:20" x14ac:dyDescent="0.4">
      <c r="P429" s="1"/>
      <c r="Q429" s="1"/>
      <c r="T429" s="2"/>
    </row>
    <row r="430" spans="16:20" x14ac:dyDescent="0.4">
      <c r="P430" s="1"/>
      <c r="Q430" s="1"/>
      <c r="T430" s="2"/>
    </row>
    <row r="431" spans="16:20" x14ac:dyDescent="0.4">
      <c r="P431" s="1"/>
      <c r="Q431" s="1"/>
      <c r="T431" s="2"/>
    </row>
    <row r="432" spans="16:20" x14ac:dyDescent="0.4">
      <c r="P432" s="1"/>
      <c r="Q432" s="1"/>
      <c r="T432" s="2"/>
    </row>
    <row r="433" spans="16:20" x14ac:dyDescent="0.4">
      <c r="P433" s="1"/>
      <c r="T433" s="2"/>
    </row>
    <row r="434" spans="16:20" x14ac:dyDescent="0.4">
      <c r="P434" s="1"/>
      <c r="Q434" s="1"/>
      <c r="T434" s="2"/>
    </row>
    <row r="435" spans="16:20" x14ac:dyDescent="0.4">
      <c r="P435" s="1"/>
      <c r="Q435" s="1"/>
      <c r="T435" s="2"/>
    </row>
    <row r="436" spans="16:20" x14ac:dyDescent="0.4">
      <c r="P436" s="1"/>
      <c r="Q436" s="1"/>
      <c r="T436" s="2"/>
    </row>
    <row r="437" spans="16:20" x14ac:dyDescent="0.4">
      <c r="P437" s="1"/>
      <c r="Q437" s="1"/>
      <c r="T437" s="2"/>
    </row>
    <row r="438" spans="16:20" x14ac:dyDescent="0.4">
      <c r="P438" s="1"/>
      <c r="T438" s="2"/>
    </row>
    <row r="439" spans="16:20" x14ac:dyDescent="0.4">
      <c r="P439" s="1"/>
      <c r="Q439" s="1"/>
      <c r="T439" s="2"/>
    </row>
    <row r="440" spans="16:20" x14ac:dyDescent="0.4">
      <c r="P440" s="1"/>
      <c r="Q440" s="1"/>
      <c r="T440" s="2"/>
    </row>
    <row r="441" spans="16:20" x14ac:dyDescent="0.4">
      <c r="P441" s="1"/>
      <c r="Q441" s="1"/>
      <c r="T441" s="2"/>
    </row>
    <row r="442" spans="16:20" x14ac:dyDescent="0.4">
      <c r="P442" s="1"/>
      <c r="Q442" s="1"/>
      <c r="T442" s="2"/>
    </row>
    <row r="443" spans="16:20" x14ac:dyDescent="0.4">
      <c r="T443" s="2"/>
    </row>
    <row r="444" spans="16:20" x14ac:dyDescent="0.4">
      <c r="P444" s="1"/>
      <c r="Q444" s="1"/>
      <c r="T444" s="2"/>
    </row>
    <row r="445" spans="16:20" x14ac:dyDescent="0.4">
      <c r="P445" s="1"/>
      <c r="Q445" s="1"/>
      <c r="T445" s="2"/>
    </row>
    <row r="446" spans="16:20" x14ac:dyDescent="0.4">
      <c r="P446" s="1"/>
      <c r="Q446" s="1"/>
      <c r="T446" s="2"/>
    </row>
    <row r="447" spans="16:20" x14ac:dyDescent="0.4">
      <c r="P447" s="1"/>
      <c r="Q447" s="1"/>
      <c r="T447" s="2"/>
    </row>
    <row r="448" spans="16:20" x14ac:dyDescent="0.4">
      <c r="T448" s="2"/>
    </row>
    <row r="449" spans="16:20" x14ac:dyDescent="0.4">
      <c r="P449" s="1"/>
      <c r="Q449" s="1"/>
      <c r="T449" s="2"/>
    </row>
    <row r="450" spans="16:20" x14ac:dyDescent="0.4">
      <c r="P450" s="1"/>
      <c r="Q450" s="1"/>
      <c r="T450" s="2"/>
    </row>
    <row r="451" spans="16:20" x14ac:dyDescent="0.4">
      <c r="P451" s="1"/>
      <c r="Q451" s="1"/>
      <c r="T451" s="2"/>
    </row>
    <row r="452" spans="16:20" x14ac:dyDescent="0.4">
      <c r="P452" s="1"/>
      <c r="Q452" s="1"/>
      <c r="T452" s="2"/>
    </row>
    <row r="453" spans="16:20" x14ac:dyDescent="0.4">
      <c r="P453" s="1"/>
      <c r="T453" s="2"/>
    </row>
    <row r="454" spans="16:20" x14ac:dyDescent="0.4">
      <c r="P454" s="1"/>
      <c r="Q454" s="1"/>
      <c r="T454" s="2"/>
    </row>
    <row r="455" spans="16:20" x14ac:dyDescent="0.4">
      <c r="P455" s="1"/>
      <c r="Q455" s="1"/>
      <c r="T455" s="2"/>
    </row>
    <row r="456" spans="16:20" x14ac:dyDescent="0.4">
      <c r="P456" s="1"/>
      <c r="Q456" s="1"/>
      <c r="T456" s="2"/>
    </row>
    <row r="457" spans="16:20" x14ac:dyDescent="0.4">
      <c r="P457" s="1"/>
      <c r="Q457" s="1"/>
      <c r="T457" s="2"/>
    </row>
    <row r="458" spans="16:20" x14ac:dyDescent="0.4">
      <c r="P458" s="1"/>
      <c r="T458" s="2"/>
    </row>
    <row r="459" spans="16:20" x14ac:dyDescent="0.4">
      <c r="P459" s="1"/>
      <c r="Q459" s="1"/>
      <c r="T459" s="2"/>
    </row>
    <row r="460" spans="16:20" x14ac:dyDescent="0.4">
      <c r="P460" s="1"/>
      <c r="Q460" s="1"/>
      <c r="T460" s="2"/>
    </row>
    <row r="461" spans="16:20" x14ac:dyDescent="0.4">
      <c r="P461" s="1"/>
      <c r="Q461" s="1"/>
      <c r="T461" s="2"/>
    </row>
    <row r="462" spans="16:20" x14ac:dyDescent="0.4">
      <c r="P462" s="1"/>
      <c r="Q462" s="1"/>
      <c r="T462" s="2"/>
    </row>
    <row r="463" spans="16:20" x14ac:dyDescent="0.4">
      <c r="P463" s="1"/>
      <c r="T463" s="2"/>
    </row>
    <row r="464" spans="16:20" x14ac:dyDescent="0.4">
      <c r="P464" s="1"/>
      <c r="Q464" s="1"/>
      <c r="T464" s="2"/>
    </row>
    <row r="465" spans="16:20" x14ac:dyDescent="0.4">
      <c r="P465" s="1"/>
      <c r="Q465" s="1"/>
      <c r="T465" s="2"/>
    </row>
    <row r="466" spans="16:20" x14ac:dyDescent="0.4">
      <c r="P466" s="1"/>
      <c r="Q466" s="1"/>
      <c r="T466" s="2"/>
    </row>
    <row r="467" spans="16:20" x14ac:dyDescent="0.4">
      <c r="P467" s="1"/>
      <c r="Q467" s="1"/>
      <c r="T467" s="2"/>
    </row>
    <row r="468" spans="16:20" x14ac:dyDescent="0.4">
      <c r="P468" s="1"/>
      <c r="T468" s="2"/>
    </row>
    <row r="469" spans="16:20" x14ac:dyDescent="0.4">
      <c r="P469" s="1"/>
      <c r="Q469" s="1"/>
      <c r="T469" s="2"/>
    </row>
    <row r="470" spans="16:20" x14ac:dyDescent="0.4">
      <c r="P470" s="1"/>
      <c r="Q470" s="1"/>
      <c r="T470" s="2"/>
    </row>
    <row r="471" spans="16:20" x14ac:dyDescent="0.4">
      <c r="P471" s="1"/>
      <c r="Q471" s="1"/>
      <c r="T471" s="2"/>
    </row>
    <row r="472" spans="16:20" x14ac:dyDescent="0.4">
      <c r="P472" s="1"/>
      <c r="Q472" s="1"/>
      <c r="T472" s="2"/>
    </row>
    <row r="473" spans="16:20" x14ac:dyDescent="0.4">
      <c r="P473" s="1"/>
      <c r="T473" s="2"/>
    </row>
    <row r="474" spans="16:20" x14ac:dyDescent="0.4">
      <c r="P474" s="1"/>
      <c r="Q474" s="1"/>
      <c r="T474" s="2"/>
    </row>
    <row r="475" spans="16:20" x14ac:dyDescent="0.4">
      <c r="P475" s="1"/>
      <c r="Q475" s="1"/>
      <c r="T475" s="2"/>
    </row>
    <row r="476" spans="16:20" x14ac:dyDescent="0.4">
      <c r="P476" s="1"/>
      <c r="Q476" s="1"/>
      <c r="T476" s="2"/>
    </row>
    <row r="477" spans="16:20" x14ac:dyDescent="0.4">
      <c r="P477" s="1"/>
      <c r="Q477" s="1"/>
      <c r="T477" s="2"/>
    </row>
    <row r="478" spans="16:20" x14ac:dyDescent="0.4">
      <c r="P478" s="1"/>
      <c r="T478" s="2"/>
    </row>
    <row r="479" spans="16:20" x14ac:dyDescent="0.4">
      <c r="P479" s="1"/>
      <c r="Q479" s="1"/>
      <c r="T479" s="2"/>
    </row>
    <row r="480" spans="16:20" x14ac:dyDescent="0.4">
      <c r="P480" s="1"/>
      <c r="Q480" s="1"/>
      <c r="T480" s="2"/>
    </row>
    <row r="481" spans="16:20" x14ac:dyDescent="0.4">
      <c r="P481" s="1"/>
      <c r="Q481" s="1"/>
      <c r="T481" s="2"/>
    </row>
    <row r="482" spans="16:20" x14ac:dyDescent="0.4">
      <c r="P482" s="1"/>
      <c r="Q482" s="1"/>
      <c r="T482" s="2"/>
    </row>
    <row r="483" spans="16:20" x14ac:dyDescent="0.4">
      <c r="T483" s="2"/>
    </row>
    <row r="484" spans="16:20" x14ac:dyDescent="0.4">
      <c r="P484" s="1"/>
      <c r="Q484" s="1"/>
      <c r="T484" s="2"/>
    </row>
    <row r="485" spans="16:20" x14ac:dyDescent="0.4">
      <c r="P485" s="1"/>
      <c r="Q485" s="1"/>
      <c r="T485" s="2"/>
    </row>
    <row r="486" spans="16:20" x14ac:dyDescent="0.4">
      <c r="P486" s="1"/>
      <c r="Q486" s="1"/>
      <c r="T486" s="2"/>
    </row>
    <row r="487" spans="16:20" x14ac:dyDescent="0.4">
      <c r="P487" s="1"/>
      <c r="Q487" s="1"/>
      <c r="T487" s="2"/>
    </row>
    <row r="488" spans="16:20" x14ac:dyDescent="0.4">
      <c r="T488" s="2"/>
    </row>
    <row r="489" spans="16:20" x14ac:dyDescent="0.4">
      <c r="P489" s="1"/>
      <c r="Q489" s="1"/>
      <c r="T489" s="2"/>
    </row>
    <row r="490" spans="16:20" x14ac:dyDescent="0.4">
      <c r="P490" s="1"/>
      <c r="Q490" s="1"/>
      <c r="T490" s="2"/>
    </row>
    <row r="491" spans="16:20" x14ac:dyDescent="0.4">
      <c r="P491" s="1"/>
      <c r="Q491" s="1"/>
      <c r="T491" s="2"/>
    </row>
    <row r="492" spans="16:20" x14ac:dyDescent="0.4">
      <c r="P492" s="1"/>
      <c r="Q492" s="1"/>
      <c r="T492" s="2"/>
    </row>
    <row r="493" spans="16:20" x14ac:dyDescent="0.4">
      <c r="P493" s="1"/>
      <c r="T493" s="2"/>
    </row>
    <row r="494" spans="16:20" x14ac:dyDescent="0.4">
      <c r="P494" s="1"/>
      <c r="Q494" s="1"/>
      <c r="T494" s="2"/>
    </row>
    <row r="495" spans="16:20" x14ac:dyDescent="0.4">
      <c r="P495" s="1"/>
      <c r="Q495" s="1"/>
      <c r="T495" s="2"/>
    </row>
    <row r="496" spans="16:20" x14ac:dyDescent="0.4">
      <c r="P496" s="1"/>
      <c r="Q496" s="1"/>
      <c r="T496" s="2"/>
    </row>
    <row r="497" spans="16:20" x14ac:dyDescent="0.4">
      <c r="P497" s="1"/>
      <c r="Q497" s="1"/>
      <c r="T497" s="2"/>
    </row>
    <row r="498" spans="16:20" x14ac:dyDescent="0.4">
      <c r="P498" s="1"/>
      <c r="T498" s="2"/>
    </row>
    <row r="499" spans="16:20" x14ac:dyDescent="0.4">
      <c r="P499" s="1"/>
      <c r="Q499" s="1"/>
      <c r="T499" s="2"/>
    </row>
    <row r="500" spans="16:20" x14ac:dyDescent="0.4">
      <c r="P500" s="1"/>
      <c r="Q500" s="1"/>
      <c r="T500" s="2"/>
    </row>
    <row r="501" spans="16:20" x14ac:dyDescent="0.4">
      <c r="P501" s="1"/>
      <c r="Q501" s="1"/>
      <c r="T501" s="2"/>
    </row>
    <row r="502" spans="16:20" x14ac:dyDescent="0.4">
      <c r="P502" s="1"/>
      <c r="Q502" s="1"/>
      <c r="T502" s="2"/>
    </row>
    <row r="503" spans="16:20" x14ac:dyDescent="0.4">
      <c r="P503" s="1"/>
      <c r="T503" s="2"/>
    </row>
    <row r="504" spans="16:20" x14ac:dyDescent="0.4">
      <c r="P504" s="1"/>
      <c r="Q504" s="1"/>
      <c r="T504" s="2"/>
    </row>
    <row r="505" spans="16:20" x14ac:dyDescent="0.4">
      <c r="P505" s="1"/>
      <c r="Q505" s="1"/>
      <c r="T505" s="2"/>
    </row>
    <row r="506" spans="16:20" x14ac:dyDescent="0.4">
      <c r="P506" s="1"/>
      <c r="Q506" s="1"/>
      <c r="T506" s="2"/>
    </row>
    <row r="507" spans="16:20" x14ac:dyDescent="0.4">
      <c r="P507" s="1"/>
      <c r="Q507" s="1"/>
      <c r="T507" s="2"/>
    </row>
    <row r="508" spans="16:20" x14ac:dyDescent="0.4">
      <c r="P508" s="1"/>
      <c r="T508" s="2"/>
    </row>
    <row r="509" spans="16:20" x14ac:dyDescent="0.4">
      <c r="P509" s="1"/>
      <c r="Q509" s="1"/>
      <c r="T509" s="2"/>
    </row>
    <row r="510" spans="16:20" x14ac:dyDescent="0.4">
      <c r="P510" s="1"/>
      <c r="Q510" s="1"/>
      <c r="T510" s="2"/>
    </row>
    <row r="511" spans="16:20" x14ac:dyDescent="0.4">
      <c r="P511" s="1"/>
      <c r="Q511" s="1"/>
      <c r="T511" s="2"/>
    </row>
    <row r="512" spans="16:20" x14ac:dyDescent="0.4">
      <c r="P512" s="1"/>
      <c r="Q512" s="1"/>
      <c r="T512" s="2"/>
    </row>
    <row r="513" spans="16:20" x14ac:dyDescent="0.4">
      <c r="P513" s="1"/>
      <c r="T513" s="2"/>
    </row>
    <row r="514" spans="16:20" x14ac:dyDescent="0.4">
      <c r="P514" s="1"/>
      <c r="Q514" s="1"/>
      <c r="T514" s="2"/>
    </row>
    <row r="515" spans="16:20" x14ac:dyDescent="0.4">
      <c r="P515" s="1"/>
      <c r="Q515" s="1"/>
      <c r="T515" s="2"/>
    </row>
    <row r="516" spans="16:20" x14ac:dyDescent="0.4">
      <c r="P516" s="1"/>
      <c r="Q516" s="1"/>
      <c r="T516" s="2"/>
    </row>
    <row r="517" spans="16:20" x14ac:dyDescent="0.4">
      <c r="P517" s="1"/>
      <c r="Q517" s="1"/>
      <c r="T517" s="2"/>
    </row>
    <row r="518" spans="16:20" x14ac:dyDescent="0.4">
      <c r="P518" s="1"/>
      <c r="T518" s="2"/>
    </row>
    <row r="519" spans="16:20" x14ac:dyDescent="0.4">
      <c r="P519" s="1"/>
      <c r="Q519" s="1"/>
      <c r="T519" s="2"/>
    </row>
    <row r="520" spans="16:20" x14ac:dyDescent="0.4">
      <c r="P520" s="1"/>
      <c r="Q520" s="1"/>
      <c r="T520" s="2"/>
    </row>
    <row r="521" spans="16:20" x14ac:dyDescent="0.4">
      <c r="P521" s="1"/>
      <c r="Q521" s="1"/>
      <c r="T521" s="2"/>
    </row>
    <row r="522" spans="16:20" x14ac:dyDescent="0.4">
      <c r="P522" s="1"/>
      <c r="Q522" s="1"/>
      <c r="T522" s="2"/>
    </row>
    <row r="523" spans="16:20" x14ac:dyDescent="0.4">
      <c r="P523" s="1"/>
      <c r="T523" s="2"/>
    </row>
    <row r="524" spans="16:20" x14ac:dyDescent="0.4">
      <c r="P524" s="1"/>
      <c r="Q524" s="1"/>
      <c r="T524" s="2"/>
    </row>
    <row r="525" spans="16:20" x14ac:dyDescent="0.4">
      <c r="P525" s="1"/>
      <c r="Q525" s="1"/>
      <c r="T525" s="2"/>
    </row>
    <row r="526" spans="16:20" x14ac:dyDescent="0.4">
      <c r="P526" s="1"/>
      <c r="Q526" s="1"/>
      <c r="T526" s="2"/>
    </row>
    <row r="527" spans="16:20" x14ac:dyDescent="0.4">
      <c r="P527" s="1"/>
      <c r="Q527" s="1"/>
      <c r="T527" s="2"/>
    </row>
    <row r="528" spans="16:20" x14ac:dyDescent="0.4">
      <c r="P528" s="1"/>
      <c r="T528" s="2"/>
    </row>
    <row r="529" spans="16:20" x14ac:dyDescent="0.4">
      <c r="P529" s="1"/>
      <c r="Q529" s="1"/>
      <c r="T529" s="2"/>
    </row>
    <row r="530" spans="16:20" x14ac:dyDescent="0.4">
      <c r="P530" s="1"/>
      <c r="Q530" s="1"/>
      <c r="T530" s="2"/>
    </row>
    <row r="531" spans="16:20" x14ac:dyDescent="0.4">
      <c r="P531" s="1"/>
      <c r="Q531" s="1"/>
      <c r="T531" s="2"/>
    </row>
    <row r="532" spans="16:20" x14ac:dyDescent="0.4">
      <c r="P532" s="1"/>
      <c r="Q532" s="1"/>
      <c r="T532" s="2"/>
    </row>
    <row r="533" spans="16:20" x14ac:dyDescent="0.4">
      <c r="P533" s="1"/>
      <c r="T533" s="2"/>
    </row>
    <row r="534" spans="16:20" x14ac:dyDescent="0.4">
      <c r="P534" s="1"/>
      <c r="Q534" s="1"/>
      <c r="T534" s="2"/>
    </row>
    <row r="535" spans="16:20" x14ac:dyDescent="0.4">
      <c r="P535" s="1"/>
      <c r="Q535" s="1"/>
      <c r="T535" s="2"/>
    </row>
    <row r="536" spans="16:20" x14ac:dyDescent="0.4">
      <c r="P536" s="1"/>
      <c r="Q536" s="1"/>
      <c r="T536" s="2"/>
    </row>
    <row r="537" spans="16:20" x14ac:dyDescent="0.4">
      <c r="P537" s="1"/>
      <c r="Q537" s="1"/>
      <c r="T537" s="2"/>
    </row>
    <row r="538" spans="16:20" x14ac:dyDescent="0.4">
      <c r="P538" s="1"/>
      <c r="T538" s="2"/>
    </row>
    <row r="539" spans="16:20" x14ac:dyDescent="0.4">
      <c r="P539" s="1"/>
      <c r="Q539" s="1"/>
      <c r="T539" s="2"/>
    </row>
    <row r="540" spans="16:20" x14ac:dyDescent="0.4">
      <c r="P540" s="1"/>
      <c r="Q540" s="1"/>
      <c r="T540" s="2"/>
    </row>
    <row r="541" spans="16:20" x14ac:dyDescent="0.4">
      <c r="P541" s="1"/>
      <c r="Q541" s="1"/>
      <c r="T541" s="2"/>
    </row>
    <row r="542" spans="16:20" x14ac:dyDescent="0.4">
      <c r="P542" s="1"/>
      <c r="Q542" s="1"/>
      <c r="T542" s="2"/>
    </row>
    <row r="543" spans="16:20" x14ac:dyDescent="0.4">
      <c r="P543" s="1"/>
      <c r="T543" s="2"/>
    </row>
    <row r="544" spans="16:20" x14ac:dyDescent="0.4">
      <c r="P544" s="1"/>
      <c r="Q544" s="1"/>
      <c r="T544" s="2"/>
    </row>
    <row r="545" spans="16:20" x14ac:dyDescent="0.4">
      <c r="P545" s="1"/>
      <c r="Q545" s="1"/>
      <c r="T545" s="2"/>
    </row>
    <row r="546" spans="16:20" x14ac:dyDescent="0.4">
      <c r="P546" s="1"/>
      <c r="Q546" s="1"/>
      <c r="T546" s="2"/>
    </row>
    <row r="547" spans="16:20" x14ac:dyDescent="0.4">
      <c r="P547" s="1"/>
      <c r="Q547" s="1"/>
      <c r="T547" s="2"/>
    </row>
    <row r="548" spans="16:20" x14ac:dyDescent="0.4">
      <c r="T548" s="2"/>
    </row>
    <row r="549" spans="16:20" x14ac:dyDescent="0.4">
      <c r="P549" s="1"/>
      <c r="Q549" s="1"/>
      <c r="T549" s="2"/>
    </row>
    <row r="550" spans="16:20" x14ac:dyDescent="0.4">
      <c r="P550" s="1"/>
      <c r="Q550" s="1"/>
      <c r="T550" s="2"/>
    </row>
    <row r="551" spans="16:20" x14ac:dyDescent="0.4">
      <c r="P551" s="1"/>
      <c r="Q551" s="1"/>
      <c r="T551" s="2"/>
    </row>
    <row r="552" spans="16:20" x14ac:dyDescent="0.4">
      <c r="P552" s="1"/>
      <c r="Q552" s="1"/>
      <c r="T552" s="2"/>
    </row>
    <row r="553" spans="16:20" x14ac:dyDescent="0.4">
      <c r="P553" s="1"/>
      <c r="T553" s="2"/>
    </row>
    <row r="554" spans="16:20" x14ac:dyDescent="0.4">
      <c r="P554" s="1"/>
      <c r="Q554" s="1"/>
      <c r="T554" s="2"/>
    </row>
    <row r="555" spans="16:20" x14ac:dyDescent="0.4">
      <c r="P555" s="1"/>
      <c r="Q555" s="1"/>
      <c r="T555" s="2"/>
    </row>
    <row r="556" spans="16:20" x14ac:dyDescent="0.4">
      <c r="P556" s="1"/>
      <c r="Q556" s="1"/>
      <c r="T556" s="2"/>
    </row>
    <row r="557" spans="16:20" x14ac:dyDescent="0.4">
      <c r="P557" s="1"/>
      <c r="Q557" s="1"/>
      <c r="T557" s="2"/>
    </row>
    <row r="558" spans="16:20" x14ac:dyDescent="0.4">
      <c r="P558" s="1"/>
      <c r="T558" s="2"/>
    </row>
    <row r="559" spans="16:20" x14ac:dyDescent="0.4">
      <c r="P559" s="1"/>
      <c r="Q559" s="1"/>
      <c r="T559" s="2"/>
    </row>
    <row r="560" spans="16:20" x14ac:dyDescent="0.4">
      <c r="P560" s="1"/>
      <c r="Q560" s="1"/>
      <c r="T560" s="2"/>
    </row>
    <row r="561" spans="16:20" x14ac:dyDescent="0.4">
      <c r="P561" s="1"/>
      <c r="Q561" s="1"/>
      <c r="T561" s="2"/>
    </row>
    <row r="562" spans="16:20" x14ac:dyDescent="0.4">
      <c r="P562" s="1"/>
      <c r="Q562" s="1"/>
      <c r="T562" s="2"/>
    </row>
    <row r="563" spans="16:20" x14ac:dyDescent="0.4">
      <c r="P563" s="1"/>
      <c r="T563" s="2"/>
    </row>
    <row r="564" spans="16:20" x14ac:dyDescent="0.4">
      <c r="P564" s="1"/>
      <c r="Q564" s="1"/>
      <c r="T564" s="2"/>
    </row>
    <row r="565" spans="16:20" x14ac:dyDescent="0.4">
      <c r="P565" s="1"/>
      <c r="Q565" s="1"/>
      <c r="T565" s="2"/>
    </row>
    <row r="566" spans="16:20" x14ac:dyDescent="0.4">
      <c r="P566" s="1"/>
      <c r="Q566" s="1"/>
      <c r="T566" s="2"/>
    </row>
    <row r="567" spans="16:20" x14ac:dyDescent="0.4">
      <c r="P567" s="1"/>
      <c r="Q567" s="1"/>
      <c r="T567" s="2"/>
    </row>
    <row r="568" spans="16:20" x14ac:dyDescent="0.4">
      <c r="P568" s="1"/>
      <c r="T568" s="2"/>
    </row>
    <row r="569" spans="16:20" x14ac:dyDescent="0.4">
      <c r="P569" s="1"/>
      <c r="Q569" s="1"/>
      <c r="T569" s="2"/>
    </row>
    <row r="570" spans="16:20" x14ac:dyDescent="0.4">
      <c r="P570" s="1"/>
      <c r="Q570" s="1"/>
      <c r="T570" s="2"/>
    </row>
    <row r="571" spans="16:20" x14ac:dyDescent="0.4">
      <c r="P571" s="1"/>
      <c r="Q571" s="1"/>
      <c r="T571" s="2"/>
    </row>
    <row r="572" spans="16:20" x14ac:dyDescent="0.4">
      <c r="P572" s="1"/>
      <c r="Q572" s="1"/>
      <c r="T572" s="2"/>
    </row>
    <row r="573" spans="16:20" x14ac:dyDescent="0.4">
      <c r="P573" s="1"/>
      <c r="T573" s="2"/>
    </row>
    <row r="574" spans="16:20" x14ac:dyDescent="0.4">
      <c r="P574" s="1"/>
      <c r="Q574" s="1"/>
      <c r="T574" s="2"/>
    </row>
    <row r="575" spans="16:20" x14ac:dyDescent="0.4">
      <c r="P575" s="1"/>
      <c r="Q575" s="1"/>
      <c r="T575" s="2"/>
    </row>
    <row r="576" spans="16:20" x14ac:dyDescent="0.4">
      <c r="P576" s="1"/>
      <c r="Q576" s="1"/>
      <c r="T576" s="2"/>
    </row>
    <row r="577" spans="16:20" x14ac:dyDescent="0.4">
      <c r="P577" s="1"/>
      <c r="Q577" s="1"/>
      <c r="T577" s="2"/>
    </row>
    <row r="578" spans="16:20" x14ac:dyDescent="0.4">
      <c r="P578" s="1"/>
      <c r="T578" s="2"/>
    </row>
    <row r="579" spans="16:20" x14ac:dyDescent="0.4">
      <c r="P579" s="1"/>
      <c r="Q579" s="1"/>
      <c r="T579" s="2"/>
    </row>
    <row r="580" spans="16:20" x14ac:dyDescent="0.4">
      <c r="P580" s="1"/>
      <c r="Q580" s="1"/>
      <c r="T580" s="2"/>
    </row>
    <row r="581" spans="16:20" x14ac:dyDescent="0.4">
      <c r="P581" s="1"/>
      <c r="Q581" s="1"/>
      <c r="T581" s="2"/>
    </row>
    <row r="582" spans="16:20" x14ac:dyDescent="0.4">
      <c r="P582" s="1"/>
      <c r="Q582" s="1"/>
      <c r="T582" s="2"/>
    </row>
    <row r="583" spans="16:20" x14ac:dyDescent="0.4">
      <c r="P583" s="1"/>
      <c r="T583" s="2"/>
    </row>
    <row r="584" spans="16:20" x14ac:dyDescent="0.4">
      <c r="P584" s="1"/>
      <c r="Q584" s="1"/>
      <c r="T584" s="2"/>
    </row>
    <row r="585" spans="16:20" x14ac:dyDescent="0.4">
      <c r="P585" s="1"/>
      <c r="Q585" s="1"/>
      <c r="T585" s="2"/>
    </row>
    <row r="586" spans="16:20" x14ac:dyDescent="0.4">
      <c r="P586" s="1"/>
      <c r="Q586" s="1"/>
      <c r="T586" s="2"/>
    </row>
    <row r="587" spans="16:20" x14ac:dyDescent="0.4">
      <c r="P587" s="1"/>
      <c r="Q587" s="1"/>
      <c r="T587" s="2"/>
    </row>
    <row r="588" spans="16:20" x14ac:dyDescent="0.4">
      <c r="P588" s="1"/>
      <c r="T588" s="2"/>
    </row>
    <row r="589" spans="16:20" x14ac:dyDescent="0.4">
      <c r="P589" s="1"/>
      <c r="Q589" s="1"/>
      <c r="T589" s="2"/>
    </row>
    <row r="590" spans="16:20" x14ac:dyDescent="0.4">
      <c r="P590" s="1"/>
      <c r="Q590" s="1"/>
      <c r="T590" s="2"/>
    </row>
    <row r="591" spans="16:20" x14ac:dyDescent="0.4">
      <c r="P591" s="1"/>
      <c r="Q591" s="1"/>
      <c r="T591" s="2"/>
    </row>
    <row r="592" spans="16:20" x14ac:dyDescent="0.4">
      <c r="P592" s="1"/>
      <c r="Q592" s="1"/>
      <c r="T592" s="2"/>
    </row>
    <row r="593" spans="16:20" x14ac:dyDescent="0.4">
      <c r="P593" s="1"/>
      <c r="T593" s="2"/>
    </row>
    <row r="594" spans="16:20" x14ac:dyDescent="0.4">
      <c r="P594" s="1"/>
      <c r="Q594" s="1"/>
      <c r="T594" s="2"/>
    </row>
    <row r="595" spans="16:20" x14ac:dyDescent="0.4">
      <c r="P595" s="1"/>
      <c r="Q595" s="1"/>
      <c r="T595" s="2"/>
    </row>
    <row r="596" spans="16:20" x14ac:dyDescent="0.4">
      <c r="P596" s="1"/>
      <c r="Q596" s="1"/>
      <c r="T596" s="2"/>
    </row>
    <row r="597" spans="16:20" x14ac:dyDescent="0.4">
      <c r="P597" s="1"/>
      <c r="Q597" s="1"/>
      <c r="T597" s="2"/>
    </row>
    <row r="598" spans="16:20" x14ac:dyDescent="0.4">
      <c r="P598" s="1"/>
      <c r="T598" s="2"/>
    </row>
    <row r="599" spans="16:20" x14ac:dyDescent="0.4">
      <c r="P599" s="1"/>
      <c r="Q599" s="1"/>
      <c r="T599" s="2"/>
    </row>
    <row r="600" spans="16:20" x14ac:dyDescent="0.4">
      <c r="P600" s="1"/>
      <c r="Q600" s="1"/>
      <c r="T600" s="2"/>
    </row>
    <row r="601" spans="16:20" x14ac:dyDescent="0.4">
      <c r="P601" s="1"/>
      <c r="Q601" s="1"/>
      <c r="T601" s="2"/>
    </row>
    <row r="602" spans="16:20" x14ac:dyDescent="0.4">
      <c r="P602" s="1"/>
      <c r="Q602" s="1"/>
      <c r="T602" s="2"/>
    </row>
    <row r="603" spans="16:20" x14ac:dyDescent="0.4">
      <c r="T603" s="2"/>
    </row>
    <row r="604" spans="16:20" x14ac:dyDescent="0.4">
      <c r="P604" s="1"/>
      <c r="Q604" s="1"/>
      <c r="T604" s="2"/>
    </row>
    <row r="605" spans="16:20" x14ac:dyDescent="0.4">
      <c r="P605" s="1"/>
      <c r="Q605" s="1"/>
      <c r="T605" s="2"/>
    </row>
    <row r="606" spans="16:20" x14ac:dyDescent="0.4">
      <c r="P606" s="1"/>
      <c r="Q606" s="1"/>
      <c r="T606" s="2"/>
    </row>
    <row r="607" spans="16:20" x14ac:dyDescent="0.4">
      <c r="P607" s="1"/>
      <c r="Q607" s="1"/>
      <c r="T607" s="2"/>
    </row>
    <row r="608" spans="16:20" x14ac:dyDescent="0.4">
      <c r="T608" s="2"/>
    </row>
    <row r="609" spans="16:20" x14ac:dyDescent="0.4">
      <c r="P609" s="1"/>
      <c r="Q609" s="1"/>
      <c r="T609" s="2"/>
    </row>
    <row r="610" spans="16:20" x14ac:dyDescent="0.4">
      <c r="P610" s="1"/>
      <c r="Q610" s="1"/>
      <c r="T610" s="2"/>
    </row>
    <row r="611" spans="16:20" x14ac:dyDescent="0.4">
      <c r="P611" s="1"/>
      <c r="Q611" s="1"/>
      <c r="T611" s="2"/>
    </row>
    <row r="612" spans="16:20" x14ac:dyDescent="0.4">
      <c r="P612" s="1"/>
      <c r="Q612" s="1"/>
      <c r="T612" s="2"/>
    </row>
    <row r="613" spans="16:20" x14ac:dyDescent="0.4">
      <c r="P613" s="1"/>
      <c r="T613" s="2"/>
    </row>
    <row r="614" spans="16:20" x14ac:dyDescent="0.4">
      <c r="P614" s="1"/>
      <c r="Q614" s="1"/>
      <c r="T614" s="2"/>
    </row>
    <row r="615" spans="16:20" x14ac:dyDescent="0.4">
      <c r="P615" s="1"/>
      <c r="Q615" s="1"/>
      <c r="T615" s="2"/>
    </row>
    <row r="616" spans="16:20" x14ac:dyDescent="0.4">
      <c r="P616" s="1"/>
      <c r="Q616" s="1"/>
      <c r="T616" s="2"/>
    </row>
    <row r="617" spans="16:20" x14ac:dyDescent="0.4">
      <c r="P617" s="1"/>
      <c r="Q617" s="1"/>
      <c r="T617" s="2"/>
    </row>
    <row r="618" spans="16:20" x14ac:dyDescent="0.4">
      <c r="P618" s="1"/>
      <c r="T618" s="2"/>
    </row>
    <row r="619" spans="16:20" x14ac:dyDescent="0.4">
      <c r="P619" s="1"/>
      <c r="Q619" s="1"/>
      <c r="T619" s="2"/>
    </row>
    <row r="620" spans="16:20" x14ac:dyDescent="0.4">
      <c r="P620" s="1"/>
      <c r="Q620" s="1"/>
      <c r="T620" s="2"/>
    </row>
    <row r="621" spans="16:20" x14ac:dyDescent="0.4">
      <c r="P621" s="1"/>
      <c r="Q621" s="1"/>
      <c r="T621" s="2"/>
    </row>
    <row r="622" spans="16:20" x14ac:dyDescent="0.4">
      <c r="P622" s="1"/>
      <c r="Q622" s="1"/>
      <c r="T622" s="2"/>
    </row>
    <row r="623" spans="16:20" x14ac:dyDescent="0.4">
      <c r="P623" s="1"/>
      <c r="T623" s="2"/>
    </row>
    <row r="624" spans="16:20" x14ac:dyDescent="0.4">
      <c r="P624" s="1"/>
      <c r="Q624" s="1"/>
      <c r="T624" s="2"/>
    </row>
    <row r="625" spans="16:20" x14ac:dyDescent="0.4">
      <c r="P625" s="1"/>
      <c r="Q625" s="1"/>
      <c r="T625" s="2"/>
    </row>
    <row r="626" spans="16:20" x14ac:dyDescent="0.4">
      <c r="P626" s="1"/>
      <c r="Q626" s="1"/>
      <c r="T626" s="2"/>
    </row>
    <row r="627" spans="16:20" x14ac:dyDescent="0.4">
      <c r="P627" s="1"/>
      <c r="Q627" s="1"/>
      <c r="T627" s="2"/>
    </row>
    <row r="628" spans="16:20" x14ac:dyDescent="0.4">
      <c r="P628" s="1"/>
      <c r="T628" s="2"/>
    </row>
    <row r="629" spans="16:20" x14ac:dyDescent="0.4">
      <c r="P629" s="1"/>
      <c r="Q629" s="1"/>
      <c r="T629" s="2"/>
    </row>
    <row r="630" spans="16:20" x14ac:dyDescent="0.4">
      <c r="P630" s="1"/>
      <c r="Q630" s="1"/>
      <c r="T630" s="2"/>
    </row>
    <row r="631" spans="16:20" x14ac:dyDescent="0.4">
      <c r="P631" s="1"/>
      <c r="Q631" s="1"/>
      <c r="T631" s="2"/>
    </row>
    <row r="632" spans="16:20" x14ac:dyDescent="0.4">
      <c r="P632" s="1"/>
      <c r="Q632" s="1"/>
      <c r="T632" s="2"/>
    </row>
    <row r="633" spans="16:20" x14ac:dyDescent="0.4">
      <c r="T633" s="2"/>
    </row>
    <row r="634" spans="16:20" x14ac:dyDescent="0.4">
      <c r="P634" s="1"/>
      <c r="Q634" s="1"/>
      <c r="T634" s="2"/>
    </row>
    <row r="635" spans="16:20" x14ac:dyDescent="0.4">
      <c r="P635" s="1"/>
      <c r="Q635" s="1"/>
      <c r="T635" s="2"/>
    </row>
    <row r="636" spans="16:20" x14ac:dyDescent="0.4">
      <c r="P636" s="1"/>
      <c r="Q636" s="1"/>
      <c r="T636" s="2"/>
    </row>
    <row r="637" spans="16:20" x14ac:dyDescent="0.4">
      <c r="P637" s="1"/>
      <c r="Q637" s="1"/>
      <c r="T637" s="2"/>
    </row>
    <row r="638" spans="16:20" x14ac:dyDescent="0.4">
      <c r="P638" s="1"/>
      <c r="T638" s="2"/>
    </row>
    <row r="639" spans="16:20" x14ac:dyDescent="0.4">
      <c r="P639" s="1"/>
      <c r="Q639" s="1"/>
      <c r="T639" s="2"/>
    </row>
    <row r="640" spans="16:20" x14ac:dyDescent="0.4">
      <c r="P640" s="1"/>
      <c r="Q640" s="1"/>
      <c r="T640" s="2"/>
    </row>
    <row r="641" spans="16:20" x14ac:dyDescent="0.4">
      <c r="P641" s="1"/>
      <c r="Q641" s="1"/>
      <c r="T641" s="2"/>
    </row>
    <row r="642" spans="16:20" x14ac:dyDescent="0.4">
      <c r="P642" s="1"/>
      <c r="Q642" s="1"/>
      <c r="T642" s="2"/>
    </row>
    <row r="643" spans="16:20" x14ac:dyDescent="0.4">
      <c r="P643" s="1"/>
      <c r="T643" s="2"/>
    </row>
    <row r="644" spans="16:20" x14ac:dyDescent="0.4">
      <c r="P644" s="1"/>
      <c r="Q644" s="1"/>
      <c r="T644" s="2"/>
    </row>
    <row r="645" spans="16:20" x14ac:dyDescent="0.4">
      <c r="P645" s="1"/>
      <c r="Q645" s="1"/>
      <c r="T645" s="2"/>
    </row>
    <row r="646" spans="16:20" x14ac:dyDescent="0.4">
      <c r="P646" s="1"/>
      <c r="Q646" s="1"/>
      <c r="T646" s="2"/>
    </row>
    <row r="647" spans="16:20" x14ac:dyDescent="0.4">
      <c r="P647" s="1"/>
      <c r="Q647" s="1"/>
      <c r="T647" s="2"/>
    </row>
    <row r="648" spans="16:20" x14ac:dyDescent="0.4">
      <c r="P648" s="1"/>
      <c r="T648" s="2"/>
    </row>
    <row r="649" spans="16:20" x14ac:dyDescent="0.4">
      <c r="P649" s="1"/>
      <c r="Q649" s="1"/>
      <c r="T649" s="2"/>
    </row>
    <row r="650" spans="16:20" x14ac:dyDescent="0.4">
      <c r="P650" s="1"/>
      <c r="Q650" s="1"/>
      <c r="T650" s="2"/>
    </row>
    <row r="651" spans="16:20" x14ac:dyDescent="0.4">
      <c r="P651" s="1"/>
      <c r="Q651" s="1"/>
      <c r="T651" s="2"/>
    </row>
    <row r="652" spans="16:20" x14ac:dyDescent="0.4">
      <c r="P652" s="1"/>
      <c r="Q652" s="1"/>
      <c r="T652" s="2"/>
    </row>
    <row r="653" spans="16:20" x14ac:dyDescent="0.4">
      <c r="P653" s="1"/>
      <c r="T653" s="2"/>
    </row>
    <row r="654" spans="16:20" x14ac:dyDescent="0.4">
      <c r="P654" s="1"/>
      <c r="Q654" s="1"/>
      <c r="T654" s="2"/>
    </row>
    <row r="655" spans="16:20" x14ac:dyDescent="0.4">
      <c r="P655" s="1"/>
      <c r="Q655" s="1"/>
      <c r="T655" s="2"/>
    </row>
    <row r="656" spans="16:20" x14ac:dyDescent="0.4">
      <c r="P656" s="1"/>
      <c r="Q656" s="1"/>
      <c r="T656" s="2"/>
    </row>
    <row r="657" spans="16:20" x14ac:dyDescent="0.4">
      <c r="P657" s="1"/>
      <c r="Q657" s="1"/>
      <c r="T657" s="2"/>
    </row>
    <row r="658" spans="16:20" x14ac:dyDescent="0.4">
      <c r="P658" s="1"/>
      <c r="T658" s="2"/>
    </row>
    <row r="659" spans="16:20" x14ac:dyDescent="0.4">
      <c r="P659" s="1"/>
      <c r="Q659" s="1"/>
      <c r="T659" s="2"/>
    </row>
    <row r="660" spans="16:20" x14ac:dyDescent="0.4">
      <c r="P660" s="1"/>
      <c r="Q660" s="1"/>
      <c r="T660" s="2"/>
    </row>
    <row r="661" spans="16:20" x14ac:dyDescent="0.4">
      <c r="P661" s="1"/>
      <c r="Q661" s="1"/>
      <c r="T661" s="2"/>
    </row>
    <row r="662" spans="16:20" x14ac:dyDescent="0.4">
      <c r="P662" s="1"/>
      <c r="Q662" s="1"/>
      <c r="T662" s="2"/>
    </row>
    <row r="663" spans="16:20" x14ac:dyDescent="0.4">
      <c r="P663" s="1"/>
      <c r="T663" s="2"/>
    </row>
    <row r="664" spans="16:20" x14ac:dyDescent="0.4">
      <c r="P664" s="1"/>
      <c r="Q664" s="1"/>
      <c r="T664" s="2"/>
    </row>
    <row r="665" spans="16:20" x14ac:dyDescent="0.4">
      <c r="P665" s="1"/>
      <c r="Q665" s="1"/>
      <c r="T665" s="2"/>
    </row>
    <row r="666" spans="16:20" x14ac:dyDescent="0.4">
      <c r="P666" s="1"/>
      <c r="Q666" s="1"/>
      <c r="T666" s="2"/>
    </row>
    <row r="667" spans="16:20" x14ac:dyDescent="0.4">
      <c r="P667" s="1"/>
      <c r="Q667" s="1"/>
      <c r="T667" s="2"/>
    </row>
    <row r="668" spans="16:20" x14ac:dyDescent="0.4">
      <c r="P668" s="1"/>
      <c r="T668" s="2"/>
    </row>
    <row r="669" spans="16:20" x14ac:dyDescent="0.4">
      <c r="P669" s="1"/>
      <c r="Q669" s="1"/>
      <c r="T669" s="2"/>
    </row>
    <row r="670" spans="16:20" x14ac:dyDescent="0.4">
      <c r="P670" s="1"/>
      <c r="Q670" s="1"/>
      <c r="T670" s="2"/>
    </row>
    <row r="671" spans="16:20" x14ac:dyDescent="0.4">
      <c r="P671" s="1"/>
      <c r="Q671" s="1"/>
      <c r="T671" s="2"/>
    </row>
    <row r="672" spans="16:20" x14ac:dyDescent="0.4">
      <c r="P672" s="1"/>
      <c r="Q672" s="1"/>
      <c r="T672" s="2"/>
    </row>
    <row r="673" spans="16:20" x14ac:dyDescent="0.4">
      <c r="P673" s="1"/>
      <c r="T673" s="2"/>
    </row>
    <row r="674" spans="16:20" x14ac:dyDescent="0.4">
      <c r="P674" s="1"/>
      <c r="Q674" s="1"/>
      <c r="T674" s="2"/>
    </row>
    <row r="675" spans="16:20" x14ac:dyDescent="0.4">
      <c r="P675" s="1"/>
      <c r="Q675" s="1"/>
      <c r="T675" s="2"/>
    </row>
    <row r="676" spans="16:20" x14ac:dyDescent="0.4">
      <c r="P676" s="1"/>
      <c r="Q676" s="1"/>
      <c r="T676" s="2"/>
    </row>
    <row r="677" spans="16:20" x14ac:dyDescent="0.4">
      <c r="P677" s="1"/>
      <c r="Q677" s="1"/>
      <c r="T677" s="2"/>
    </row>
    <row r="678" spans="16:20" x14ac:dyDescent="0.4">
      <c r="P678" s="1"/>
      <c r="T678" s="2"/>
    </row>
    <row r="679" spans="16:20" x14ac:dyDescent="0.4">
      <c r="P679" s="1"/>
      <c r="Q679" s="1"/>
      <c r="T679" s="2"/>
    </row>
    <row r="680" spans="16:20" x14ac:dyDescent="0.4">
      <c r="P680" s="1"/>
      <c r="Q680" s="1"/>
      <c r="T680" s="2"/>
    </row>
    <row r="681" spans="16:20" x14ac:dyDescent="0.4">
      <c r="P681" s="1"/>
      <c r="Q681" s="1"/>
      <c r="T681" s="2"/>
    </row>
    <row r="682" spans="16:20" x14ac:dyDescent="0.4">
      <c r="P682" s="1"/>
      <c r="Q682" s="1"/>
      <c r="T682" s="2"/>
    </row>
    <row r="683" spans="16:20" x14ac:dyDescent="0.4">
      <c r="P683" s="1"/>
      <c r="T683" s="2"/>
    </row>
    <row r="684" spans="16:20" x14ac:dyDescent="0.4">
      <c r="P684" s="1"/>
      <c r="Q684" s="1"/>
      <c r="T684" s="2"/>
    </row>
    <row r="685" spans="16:20" x14ac:dyDescent="0.4">
      <c r="P685" s="1"/>
      <c r="Q685" s="1"/>
      <c r="T685" s="2"/>
    </row>
    <row r="686" spans="16:20" x14ac:dyDescent="0.4">
      <c r="P686" s="1"/>
      <c r="Q686" s="1"/>
      <c r="T686" s="2"/>
    </row>
    <row r="687" spans="16:20" x14ac:dyDescent="0.4">
      <c r="P687" s="1"/>
      <c r="Q687" s="1"/>
      <c r="T687" s="2"/>
    </row>
    <row r="688" spans="16:20" x14ac:dyDescent="0.4">
      <c r="P688" s="1"/>
      <c r="T688" s="2"/>
    </row>
    <row r="689" spans="16:20" x14ac:dyDescent="0.4">
      <c r="P689" s="1"/>
      <c r="Q689" s="1"/>
      <c r="T689" s="2"/>
    </row>
    <row r="690" spans="16:20" x14ac:dyDescent="0.4">
      <c r="P690" s="1"/>
      <c r="Q690" s="1"/>
      <c r="T690" s="2"/>
    </row>
    <row r="691" spans="16:20" x14ac:dyDescent="0.4">
      <c r="P691" s="1"/>
      <c r="Q691" s="1"/>
      <c r="T691" s="2"/>
    </row>
    <row r="692" spans="16:20" x14ac:dyDescent="0.4">
      <c r="P692" s="1"/>
      <c r="Q692" s="1"/>
      <c r="T692" s="2"/>
    </row>
    <row r="693" spans="16:20" x14ac:dyDescent="0.4">
      <c r="P693" s="1"/>
      <c r="T693" s="2"/>
    </row>
    <row r="694" spans="16:20" x14ac:dyDescent="0.4">
      <c r="P694" s="1"/>
      <c r="Q694" s="1"/>
      <c r="T694" s="2"/>
    </row>
    <row r="695" spans="16:20" x14ac:dyDescent="0.4">
      <c r="P695" s="1"/>
      <c r="Q695" s="1"/>
      <c r="T695" s="2"/>
    </row>
    <row r="696" spans="16:20" x14ac:dyDescent="0.4">
      <c r="P696" s="1"/>
      <c r="Q696" s="1"/>
      <c r="T696" s="2"/>
    </row>
    <row r="697" spans="16:20" x14ac:dyDescent="0.4">
      <c r="P697" s="1"/>
      <c r="Q697" s="1"/>
      <c r="T697" s="2"/>
    </row>
    <row r="698" spans="16:20" x14ac:dyDescent="0.4">
      <c r="P698" s="1"/>
      <c r="T698" s="2"/>
    </row>
    <row r="699" spans="16:20" x14ac:dyDescent="0.4">
      <c r="P699" s="1"/>
      <c r="Q699" s="1"/>
      <c r="T699" s="2"/>
    </row>
    <row r="700" spans="16:20" x14ac:dyDescent="0.4">
      <c r="P700" s="1"/>
      <c r="Q700" s="1"/>
      <c r="T700" s="2"/>
    </row>
    <row r="701" spans="16:20" x14ac:dyDescent="0.4">
      <c r="P701" s="1"/>
      <c r="Q701" s="1"/>
      <c r="T701" s="2"/>
    </row>
    <row r="702" spans="16:20" x14ac:dyDescent="0.4">
      <c r="P702" s="1"/>
      <c r="Q702" s="1"/>
      <c r="T702" s="2"/>
    </row>
    <row r="703" spans="16:20" x14ac:dyDescent="0.4">
      <c r="P703" s="1"/>
      <c r="T703" s="2"/>
    </row>
    <row r="710" spans="16:20" x14ac:dyDescent="0.4">
      <c r="P710" s="1"/>
      <c r="Q710" s="1"/>
      <c r="T710" s="2"/>
    </row>
    <row r="711" spans="16:20" x14ac:dyDescent="0.4">
      <c r="P711" s="1"/>
      <c r="Q711" s="1"/>
      <c r="T711" s="2"/>
    </row>
    <row r="712" spans="16:20" x14ac:dyDescent="0.4">
      <c r="P712" s="1"/>
      <c r="Q712" s="1"/>
      <c r="T712" s="2"/>
    </row>
    <row r="713" spans="16:20" x14ac:dyDescent="0.4">
      <c r="P713" s="1"/>
      <c r="Q713" s="1"/>
      <c r="T713" s="2"/>
    </row>
    <row r="714" spans="16:20" x14ac:dyDescent="0.4">
      <c r="P714" s="1"/>
      <c r="T714" s="2"/>
    </row>
    <row r="715" spans="16:20" x14ac:dyDescent="0.4">
      <c r="P715" s="1"/>
      <c r="Q715" s="1"/>
      <c r="T715" s="2"/>
    </row>
    <row r="716" spans="16:20" x14ac:dyDescent="0.4">
      <c r="P716" s="1"/>
      <c r="Q716" s="1"/>
      <c r="T716" s="2"/>
    </row>
    <row r="717" spans="16:20" x14ac:dyDescent="0.4">
      <c r="P717" s="1"/>
      <c r="Q717" s="1"/>
      <c r="T717" s="2"/>
    </row>
    <row r="718" spans="16:20" x14ac:dyDescent="0.4">
      <c r="P718" s="1"/>
      <c r="Q718" s="1"/>
      <c r="T718" s="2"/>
    </row>
    <row r="719" spans="16:20" x14ac:dyDescent="0.4">
      <c r="P719" s="1"/>
      <c r="T719" s="2"/>
    </row>
    <row r="720" spans="16:20" x14ac:dyDescent="0.4">
      <c r="P720" s="1"/>
      <c r="Q720" s="1"/>
      <c r="T720" s="2"/>
    </row>
    <row r="721" spans="16:20" x14ac:dyDescent="0.4">
      <c r="P721" s="1"/>
      <c r="Q721" s="1"/>
      <c r="T721" s="2"/>
    </row>
    <row r="722" spans="16:20" x14ac:dyDescent="0.4">
      <c r="P722" s="1"/>
      <c r="Q722" s="1"/>
      <c r="T722" s="2"/>
    </row>
    <row r="723" spans="16:20" x14ac:dyDescent="0.4">
      <c r="P723" s="1"/>
      <c r="Q723" s="1"/>
      <c r="T723" s="2"/>
    </row>
    <row r="724" spans="16:20" x14ac:dyDescent="0.4">
      <c r="P724" s="1"/>
      <c r="T724" s="2"/>
    </row>
    <row r="725" spans="16:20" x14ac:dyDescent="0.4">
      <c r="P725" s="1"/>
      <c r="Q725" s="1"/>
      <c r="T725" s="2"/>
    </row>
    <row r="726" spans="16:20" x14ac:dyDescent="0.4">
      <c r="P726" s="1"/>
      <c r="Q726" s="1"/>
      <c r="T726" s="2"/>
    </row>
    <row r="727" spans="16:20" x14ac:dyDescent="0.4">
      <c r="P727" s="1"/>
      <c r="Q727" s="1"/>
      <c r="T727" s="2"/>
    </row>
    <row r="728" spans="16:20" x14ac:dyDescent="0.4">
      <c r="P728" s="1"/>
      <c r="Q728" s="1"/>
      <c r="T728" s="2"/>
    </row>
    <row r="729" spans="16:20" x14ac:dyDescent="0.4">
      <c r="P729" s="1"/>
      <c r="T729" s="2"/>
    </row>
    <row r="730" spans="16:20" x14ac:dyDescent="0.4">
      <c r="P730" s="1"/>
      <c r="Q730" s="1"/>
      <c r="T730" s="2"/>
    </row>
    <row r="731" spans="16:20" x14ac:dyDescent="0.4">
      <c r="P731" s="1"/>
      <c r="Q731" s="1"/>
      <c r="T731" s="2"/>
    </row>
    <row r="732" spans="16:20" x14ac:dyDescent="0.4">
      <c r="P732" s="1"/>
      <c r="Q732" s="1"/>
      <c r="T732" s="2"/>
    </row>
    <row r="733" spans="16:20" x14ac:dyDescent="0.4">
      <c r="P733" s="1"/>
      <c r="Q733" s="1"/>
      <c r="T733" s="2"/>
    </row>
    <row r="734" spans="16:20" x14ac:dyDescent="0.4">
      <c r="P734" s="1"/>
      <c r="T734" s="2"/>
    </row>
    <row r="735" spans="16:20" x14ac:dyDescent="0.4">
      <c r="P735" s="1"/>
      <c r="Q735" s="1"/>
      <c r="T735" s="2"/>
    </row>
    <row r="736" spans="16:20" x14ac:dyDescent="0.4">
      <c r="P736" s="1"/>
      <c r="Q736" s="1"/>
      <c r="T736" s="2"/>
    </row>
    <row r="737" spans="16:20" x14ac:dyDescent="0.4">
      <c r="P737" s="1"/>
      <c r="Q737" s="1"/>
      <c r="T737" s="2"/>
    </row>
    <row r="738" spans="16:20" x14ac:dyDescent="0.4">
      <c r="P738" s="1"/>
      <c r="Q738" s="1"/>
      <c r="T738" s="2"/>
    </row>
    <row r="739" spans="16:20" x14ac:dyDescent="0.4">
      <c r="P739" s="1"/>
      <c r="T739" s="2"/>
    </row>
    <row r="740" spans="16:20" x14ac:dyDescent="0.4">
      <c r="P740" s="1"/>
      <c r="Q740" s="1"/>
      <c r="T740" s="2"/>
    </row>
    <row r="741" spans="16:20" x14ac:dyDescent="0.4">
      <c r="P741" s="1"/>
      <c r="Q741" s="1"/>
      <c r="T741" s="2"/>
    </row>
    <row r="742" spans="16:20" x14ac:dyDescent="0.4">
      <c r="P742" s="1"/>
      <c r="Q742" s="1"/>
      <c r="T742" s="2"/>
    </row>
    <row r="743" spans="16:20" x14ac:dyDescent="0.4">
      <c r="P743" s="1"/>
      <c r="Q743" s="1"/>
      <c r="T743" s="2"/>
    </row>
    <row r="744" spans="16:20" x14ac:dyDescent="0.4">
      <c r="P744" s="1"/>
      <c r="T744" s="2"/>
    </row>
    <row r="745" spans="16:20" x14ac:dyDescent="0.4">
      <c r="P745" s="1"/>
      <c r="Q745" s="1"/>
      <c r="T745" s="2"/>
    </row>
    <row r="746" spans="16:20" x14ac:dyDescent="0.4">
      <c r="P746" s="1"/>
      <c r="Q746" s="1"/>
      <c r="T746" s="2"/>
    </row>
    <row r="747" spans="16:20" x14ac:dyDescent="0.4">
      <c r="P747" s="1"/>
      <c r="Q747" s="1"/>
      <c r="T747" s="2"/>
    </row>
    <row r="748" spans="16:20" x14ac:dyDescent="0.4">
      <c r="P748" s="1"/>
      <c r="Q748" s="1"/>
      <c r="T748" s="2"/>
    </row>
    <row r="749" spans="16:20" x14ac:dyDescent="0.4">
      <c r="P749" s="1"/>
      <c r="T749" s="2"/>
    </row>
    <row r="750" spans="16:20" x14ac:dyDescent="0.4">
      <c r="P750" s="1"/>
      <c r="Q750" s="1"/>
      <c r="T750" s="2"/>
    </row>
    <row r="751" spans="16:20" x14ac:dyDescent="0.4">
      <c r="P751" s="1"/>
      <c r="Q751" s="1"/>
      <c r="T751" s="2"/>
    </row>
    <row r="752" spans="16:20" x14ac:dyDescent="0.4">
      <c r="P752" s="1"/>
      <c r="Q752" s="1"/>
      <c r="T752" s="2"/>
    </row>
    <row r="753" spans="16:20" x14ac:dyDescent="0.4">
      <c r="P753" s="1"/>
      <c r="Q753" s="1"/>
      <c r="T753" s="2"/>
    </row>
    <row r="754" spans="16:20" x14ac:dyDescent="0.4">
      <c r="P754" s="1"/>
      <c r="T754" s="2"/>
    </row>
    <row r="755" spans="16:20" x14ac:dyDescent="0.4">
      <c r="P755" s="1"/>
      <c r="Q755" s="1"/>
      <c r="T755" s="2"/>
    </row>
    <row r="756" spans="16:20" x14ac:dyDescent="0.4">
      <c r="P756" s="1"/>
      <c r="Q756" s="1"/>
      <c r="T756" s="2"/>
    </row>
    <row r="757" spans="16:20" x14ac:dyDescent="0.4">
      <c r="P757" s="1"/>
      <c r="Q757" s="1"/>
      <c r="T757" s="2"/>
    </row>
    <row r="758" spans="16:20" x14ac:dyDescent="0.4">
      <c r="P758" s="1"/>
      <c r="Q758" s="1"/>
      <c r="T758" s="2"/>
    </row>
    <row r="759" spans="16:20" x14ac:dyDescent="0.4">
      <c r="P759" s="1"/>
      <c r="T759" s="2"/>
    </row>
    <row r="762" spans="16:20" x14ac:dyDescent="0.4">
      <c r="P762" s="1"/>
      <c r="Q762" s="1"/>
      <c r="T762" s="2"/>
    </row>
    <row r="763" spans="16:20" x14ac:dyDescent="0.4">
      <c r="P763" s="1"/>
      <c r="Q763" s="1"/>
      <c r="T763" s="2"/>
    </row>
    <row r="764" spans="16:20" x14ac:dyDescent="0.4">
      <c r="P764" s="1"/>
      <c r="Q764" s="1"/>
      <c r="T764" s="2"/>
    </row>
    <row r="765" spans="16:20" x14ac:dyDescent="0.4">
      <c r="P765" s="1"/>
      <c r="Q765" s="1"/>
      <c r="T765" s="2"/>
    </row>
    <row r="766" spans="16:20" x14ac:dyDescent="0.4">
      <c r="P766" s="1"/>
      <c r="T766" s="2"/>
    </row>
    <row r="767" spans="16:20" x14ac:dyDescent="0.4">
      <c r="P767" s="1"/>
      <c r="Q767" s="1"/>
      <c r="T767" s="2"/>
    </row>
    <row r="768" spans="16:20" x14ac:dyDescent="0.4">
      <c r="P768" s="1"/>
      <c r="Q768" s="1"/>
      <c r="T768" s="2"/>
    </row>
    <row r="769" spans="16:20" x14ac:dyDescent="0.4">
      <c r="P769" s="1"/>
      <c r="Q769" s="1"/>
      <c r="T769" s="2"/>
    </row>
    <row r="770" spans="16:20" x14ac:dyDescent="0.4">
      <c r="P770" s="1"/>
      <c r="Q770" s="1"/>
      <c r="T770" s="2"/>
    </row>
    <row r="771" spans="16:20" x14ac:dyDescent="0.4">
      <c r="P771" s="1"/>
      <c r="T771" s="2"/>
    </row>
    <row r="772" spans="16:20" x14ac:dyDescent="0.4">
      <c r="P772" s="1"/>
      <c r="Q772" s="1"/>
      <c r="T772" s="2"/>
    </row>
    <row r="773" spans="16:20" x14ac:dyDescent="0.4">
      <c r="P773" s="1"/>
      <c r="Q773" s="1"/>
      <c r="T773" s="2"/>
    </row>
    <row r="774" spans="16:20" x14ac:dyDescent="0.4">
      <c r="P774" s="1"/>
      <c r="Q774" s="1"/>
      <c r="T774" s="2"/>
    </row>
    <row r="775" spans="16:20" x14ac:dyDescent="0.4">
      <c r="P775" s="1"/>
      <c r="Q775" s="1"/>
      <c r="T775" s="2"/>
    </row>
    <row r="776" spans="16:20" x14ac:dyDescent="0.4">
      <c r="P776" s="1"/>
      <c r="T776" s="2"/>
    </row>
    <row r="777" spans="16:20" x14ac:dyDescent="0.4">
      <c r="P777" s="1"/>
      <c r="Q777" s="1"/>
      <c r="T777" s="2"/>
    </row>
    <row r="778" spans="16:20" x14ac:dyDescent="0.4">
      <c r="P778" s="1"/>
      <c r="Q778" s="1"/>
      <c r="T778" s="2"/>
    </row>
    <row r="779" spans="16:20" x14ac:dyDescent="0.4">
      <c r="P779" s="1"/>
      <c r="Q779" s="1"/>
      <c r="T779" s="2"/>
    </row>
    <row r="780" spans="16:20" x14ac:dyDescent="0.4">
      <c r="P780" s="1"/>
      <c r="Q780" s="1"/>
      <c r="T780" s="2"/>
    </row>
    <row r="781" spans="16:20" x14ac:dyDescent="0.4">
      <c r="P781" s="1"/>
      <c r="T781" s="2"/>
    </row>
    <row r="782" spans="16:20" x14ac:dyDescent="0.4">
      <c r="P782" s="1"/>
      <c r="Q782" s="1"/>
      <c r="T782" s="2"/>
    </row>
    <row r="783" spans="16:20" x14ac:dyDescent="0.4">
      <c r="P783" s="1"/>
      <c r="Q783" s="1"/>
      <c r="T783" s="2"/>
    </row>
    <row r="784" spans="16:20" x14ac:dyDescent="0.4">
      <c r="P784" s="1"/>
      <c r="Q784" s="1"/>
      <c r="T784" s="2"/>
    </row>
    <row r="785" spans="16:20" x14ac:dyDescent="0.4">
      <c r="P785" s="1"/>
      <c r="Q785" s="1"/>
      <c r="T785" s="2"/>
    </row>
    <row r="786" spans="16:20" x14ac:dyDescent="0.4">
      <c r="P786" s="1"/>
      <c r="T786" s="2"/>
    </row>
    <row r="787" spans="16:20" x14ac:dyDescent="0.4">
      <c r="P787" s="1"/>
      <c r="Q787" s="1"/>
      <c r="T787" s="2"/>
    </row>
    <row r="788" spans="16:20" x14ac:dyDescent="0.4">
      <c r="P788" s="1"/>
      <c r="Q788" s="1"/>
      <c r="T788" s="2"/>
    </row>
    <row r="789" spans="16:20" x14ac:dyDescent="0.4">
      <c r="P789" s="1"/>
      <c r="Q789" s="1"/>
      <c r="T789" s="2"/>
    </row>
    <row r="790" spans="16:20" x14ac:dyDescent="0.4">
      <c r="P790" s="1"/>
      <c r="Q790" s="1"/>
      <c r="T790" s="2"/>
    </row>
    <row r="791" spans="16:20" x14ac:dyDescent="0.4">
      <c r="P791" s="1"/>
      <c r="T791" s="2"/>
    </row>
    <row r="792" spans="16:20" x14ac:dyDescent="0.4">
      <c r="P792" s="1"/>
      <c r="Q792" s="1"/>
      <c r="T792" s="2"/>
    </row>
    <row r="793" spans="16:20" x14ac:dyDescent="0.4">
      <c r="P793" s="1"/>
      <c r="Q793" s="1"/>
      <c r="T793" s="2"/>
    </row>
    <row r="794" spans="16:20" x14ac:dyDescent="0.4">
      <c r="P794" s="1"/>
      <c r="Q794" s="1"/>
      <c r="T794" s="2"/>
    </row>
    <row r="795" spans="16:20" x14ac:dyDescent="0.4">
      <c r="P795" s="1"/>
      <c r="Q795" s="1"/>
      <c r="T795" s="2"/>
    </row>
    <row r="796" spans="16:20" x14ac:dyDescent="0.4">
      <c r="P796" s="1"/>
      <c r="T796" s="2"/>
    </row>
    <row r="797" spans="16:20" x14ac:dyDescent="0.4">
      <c r="P797" s="1"/>
      <c r="Q797" s="1"/>
      <c r="T797" s="2"/>
    </row>
    <row r="798" spans="16:20" x14ac:dyDescent="0.4">
      <c r="P798" s="1"/>
      <c r="Q798" s="1"/>
      <c r="T798" s="2"/>
    </row>
    <row r="799" spans="16:20" x14ac:dyDescent="0.4">
      <c r="P799" s="1"/>
      <c r="Q799" s="1"/>
      <c r="T799" s="2"/>
    </row>
    <row r="800" spans="16:20" x14ac:dyDescent="0.4">
      <c r="P800" s="1"/>
      <c r="Q800" s="1"/>
      <c r="T800" s="2"/>
    </row>
    <row r="801" spans="16:20" x14ac:dyDescent="0.4">
      <c r="P801" s="1"/>
      <c r="T801" s="2"/>
    </row>
    <row r="802" spans="16:20" x14ac:dyDescent="0.4">
      <c r="P802" s="1"/>
      <c r="Q802" s="1"/>
      <c r="T802" s="2"/>
    </row>
    <row r="803" spans="16:20" x14ac:dyDescent="0.4">
      <c r="P803" s="1"/>
      <c r="Q803" s="1"/>
      <c r="T803" s="2"/>
    </row>
    <row r="804" spans="16:20" x14ac:dyDescent="0.4">
      <c r="P804" s="1"/>
      <c r="Q804" s="1"/>
      <c r="T804" s="2"/>
    </row>
    <row r="805" spans="16:20" x14ac:dyDescent="0.4">
      <c r="P805" s="1"/>
      <c r="Q805" s="1"/>
      <c r="T805" s="2"/>
    </row>
    <row r="806" spans="16:20" x14ac:dyDescent="0.4">
      <c r="P806" s="1"/>
      <c r="T806" s="2"/>
    </row>
    <row r="807" spans="16:20" x14ac:dyDescent="0.4">
      <c r="P807" s="1"/>
      <c r="Q807" s="1"/>
      <c r="T807" s="2"/>
    </row>
    <row r="808" spans="16:20" x14ac:dyDescent="0.4">
      <c r="P808" s="1"/>
      <c r="Q808" s="1"/>
      <c r="T808" s="2"/>
    </row>
    <row r="809" spans="16:20" x14ac:dyDescent="0.4">
      <c r="P809" s="1"/>
      <c r="Q809" s="1"/>
      <c r="T809" s="2"/>
    </row>
    <row r="810" spans="16:20" x14ac:dyDescent="0.4">
      <c r="P810" s="1"/>
      <c r="Q810" s="1"/>
      <c r="T810" s="2"/>
    </row>
    <row r="811" spans="16:20" x14ac:dyDescent="0.4">
      <c r="P811" s="1"/>
      <c r="T811" s="2"/>
    </row>
    <row r="812" spans="16:20" x14ac:dyDescent="0.4">
      <c r="P812" s="1"/>
      <c r="Q812" s="1"/>
      <c r="T812" s="2"/>
    </row>
    <row r="813" spans="16:20" x14ac:dyDescent="0.4">
      <c r="P813" s="1"/>
      <c r="Q813" s="1"/>
      <c r="T813" s="2"/>
    </row>
    <row r="814" spans="16:20" x14ac:dyDescent="0.4">
      <c r="P814" s="1"/>
      <c r="Q814" s="1"/>
      <c r="T814" s="2"/>
    </row>
    <row r="815" spans="16:20" x14ac:dyDescent="0.4">
      <c r="P815" s="1"/>
      <c r="Q815" s="1"/>
      <c r="T815" s="2"/>
    </row>
    <row r="816" spans="16:20" x14ac:dyDescent="0.4">
      <c r="P816" s="1"/>
      <c r="T816" s="2"/>
    </row>
    <row r="817" spans="16:20" x14ac:dyDescent="0.4">
      <c r="P817" s="1"/>
      <c r="Q817" s="1"/>
      <c r="T817" s="2"/>
    </row>
    <row r="818" spans="16:20" x14ac:dyDescent="0.4">
      <c r="P818" s="1"/>
      <c r="Q818" s="1"/>
      <c r="T818" s="2"/>
    </row>
    <row r="819" spans="16:20" x14ac:dyDescent="0.4">
      <c r="P819" s="1"/>
      <c r="Q819" s="1"/>
      <c r="T819" s="2"/>
    </row>
    <row r="820" spans="16:20" x14ac:dyDescent="0.4">
      <c r="P820" s="1"/>
      <c r="Q820" s="1"/>
      <c r="T820" s="2"/>
    </row>
    <row r="821" spans="16:20" x14ac:dyDescent="0.4">
      <c r="P821" s="1"/>
      <c r="T821" s="2"/>
    </row>
    <row r="822" spans="16:20" x14ac:dyDescent="0.4">
      <c r="P822" s="1"/>
      <c r="Q822" s="1"/>
      <c r="T822" s="2"/>
    </row>
    <row r="823" spans="16:20" x14ac:dyDescent="0.4">
      <c r="P823" s="1"/>
      <c r="Q823" s="1"/>
      <c r="T823" s="2"/>
    </row>
    <row r="824" spans="16:20" x14ac:dyDescent="0.4">
      <c r="P824" s="1"/>
      <c r="Q824" s="1"/>
      <c r="T824" s="2"/>
    </row>
    <row r="825" spans="16:20" x14ac:dyDescent="0.4">
      <c r="P825" s="1"/>
      <c r="Q825" s="1"/>
      <c r="T825" s="2"/>
    </row>
    <row r="826" spans="16:20" x14ac:dyDescent="0.4">
      <c r="P826" s="1"/>
      <c r="T826" s="2"/>
    </row>
    <row r="827" spans="16:20" x14ac:dyDescent="0.4">
      <c r="P827" s="1"/>
      <c r="Q827" s="1"/>
      <c r="T827" s="2"/>
    </row>
    <row r="828" spans="16:20" x14ac:dyDescent="0.4">
      <c r="P828" s="1"/>
      <c r="Q828" s="1"/>
      <c r="T828" s="2"/>
    </row>
    <row r="829" spans="16:20" x14ac:dyDescent="0.4">
      <c r="P829" s="1"/>
      <c r="Q829" s="1"/>
      <c r="T829" s="2"/>
    </row>
    <row r="830" spans="16:20" x14ac:dyDescent="0.4">
      <c r="P830" s="1"/>
      <c r="Q830" s="1"/>
      <c r="T830" s="2"/>
    </row>
    <row r="831" spans="16:20" x14ac:dyDescent="0.4">
      <c r="P831" s="1"/>
      <c r="T831" s="2"/>
    </row>
    <row r="832" spans="16:20" x14ac:dyDescent="0.4">
      <c r="P832" s="1"/>
      <c r="Q832" s="1"/>
      <c r="T832" s="2"/>
    </row>
    <row r="833" spans="16:20" x14ac:dyDescent="0.4">
      <c r="P833" s="1"/>
      <c r="Q833" s="1"/>
      <c r="T833" s="2"/>
    </row>
    <row r="834" spans="16:20" x14ac:dyDescent="0.4">
      <c r="P834" s="1"/>
      <c r="Q834" s="1"/>
      <c r="T834" s="2"/>
    </row>
    <row r="835" spans="16:20" x14ac:dyDescent="0.4">
      <c r="P835" s="1"/>
      <c r="Q835" s="1"/>
      <c r="T835" s="2"/>
    </row>
    <row r="836" spans="16:20" x14ac:dyDescent="0.4">
      <c r="P836" s="1"/>
      <c r="T836" s="2"/>
    </row>
    <row r="837" spans="16:20" x14ac:dyDescent="0.4">
      <c r="P837" s="1"/>
      <c r="Q837" s="1"/>
      <c r="T837" s="2"/>
    </row>
    <row r="838" spans="16:20" x14ac:dyDescent="0.4">
      <c r="P838" s="1"/>
      <c r="Q838" s="1"/>
      <c r="T838" s="2"/>
    </row>
    <row r="839" spans="16:20" x14ac:dyDescent="0.4">
      <c r="P839" s="1"/>
      <c r="Q839" s="1"/>
      <c r="T839" s="2"/>
    </row>
    <row r="840" spans="16:20" x14ac:dyDescent="0.4">
      <c r="P840" s="1"/>
      <c r="Q840" s="1"/>
      <c r="T840" s="2"/>
    </row>
    <row r="841" spans="16:20" x14ac:dyDescent="0.4">
      <c r="T841" s="2"/>
    </row>
    <row r="842" spans="16:20" x14ac:dyDescent="0.4">
      <c r="P842" s="1"/>
      <c r="Q842" s="1"/>
      <c r="T842" s="2"/>
    </row>
    <row r="843" spans="16:20" x14ac:dyDescent="0.4">
      <c r="P843" s="1"/>
      <c r="Q843" s="1"/>
      <c r="T843" s="2"/>
    </row>
    <row r="844" spans="16:20" x14ac:dyDescent="0.4">
      <c r="P844" s="1"/>
      <c r="Q844" s="1"/>
      <c r="T844" s="2"/>
    </row>
    <row r="845" spans="16:20" x14ac:dyDescent="0.4">
      <c r="P845" s="1"/>
      <c r="Q845" s="1"/>
      <c r="T845" s="2"/>
    </row>
    <row r="846" spans="16:20" x14ac:dyDescent="0.4">
      <c r="P846" s="1"/>
      <c r="T846" s="2"/>
    </row>
    <row r="847" spans="16:20" x14ac:dyDescent="0.4">
      <c r="P847" s="1"/>
      <c r="Q847" s="1"/>
      <c r="T847" s="2"/>
    </row>
    <row r="848" spans="16:20" x14ac:dyDescent="0.4">
      <c r="P848" s="1"/>
      <c r="Q848" s="1"/>
      <c r="T848" s="2"/>
    </row>
    <row r="849" spans="16:20" x14ac:dyDescent="0.4">
      <c r="P849" s="1"/>
      <c r="Q849" s="1"/>
      <c r="T849" s="2"/>
    </row>
    <row r="850" spans="16:20" x14ac:dyDescent="0.4">
      <c r="P850" s="1"/>
      <c r="Q850" s="1"/>
      <c r="T850" s="2"/>
    </row>
    <row r="851" spans="16:20" x14ac:dyDescent="0.4">
      <c r="P851" s="1"/>
      <c r="T851" s="2"/>
    </row>
    <row r="852" spans="16:20" x14ac:dyDescent="0.4">
      <c r="P852" s="1"/>
      <c r="Q852" s="1"/>
      <c r="T852" s="2"/>
    </row>
    <row r="853" spans="16:20" x14ac:dyDescent="0.4">
      <c r="P853" s="1"/>
      <c r="Q853" s="1"/>
      <c r="T853" s="2"/>
    </row>
    <row r="854" spans="16:20" x14ac:dyDescent="0.4">
      <c r="P854" s="1"/>
      <c r="Q854" s="1"/>
      <c r="T854" s="2"/>
    </row>
    <row r="855" spans="16:20" x14ac:dyDescent="0.4">
      <c r="P855" s="1"/>
      <c r="Q855" s="1"/>
      <c r="T855" s="2"/>
    </row>
    <row r="856" spans="16:20" x14ac:dyDescent="0.4">
      <c r="P856" s="1"/>
      <c r="T856" s="2"/>
    </row>
    <row r="857" spans="16:20" x14ac:dyDescent="0.4">
      <c r="P857" s="1"/>
      <c r="Q857" s="1"/>
      <c r="T857" s="2"/>
    </row>
    <row r="858" spans="16:20" x14ac:dyDescent="0.4">
      <c r="P858" s="1"/>
      <c r="Q858" s="1"/>
      <c r="T858" s="2"/>
    </row>
    <row r="859" spans="16:20" x14ac:dyDescent="0.4">
      <c r="P859" s="1"/>
      <c r="Q859" s="1"/>
      <c r="T859" s="2"/>
    </row>
    <row r="860" spans="16:20" x14ac:dyDescent="0.4">
      <c r="P860" s="1"/>
      <c r="Q860" s="1"/>
      <c r="T860" s="2"/>
    </row>
    <row r="861" spans="16:20" x14ac:dyDescent="0.4">
      <c r="P861" s="1"/>
      <c r="T861" s="2"/>
    </row>
    <row r="862" spans="16:20" x14ac:dyDescent="0.4">
      <c r="P862" s="1"/>
      <c r="Q862" s="1"/>
      <c r="T862" s="2"/>
    </row>
    <row r="863" spans="16:20" x14ac:dyDescent="0.4">
      <c r="P863" s="1"/>
      <c r="Q863" s="1"/>
      <c r="T863" s="2"/>
    </row>
    <row r="864" spans="16:20" x14ac:dyDescent="0.4">
      <c r="P864" s="1"/>
      <c r="Q864" s="1"/>
      <c r="T864" s="2"/>
    </row>
    <row r="865" spans="16:20" x14ac:dyDescent="0.4">
      <c r="P865" s="1"/>
      <c r="Q865" s="1"/>
      <c r="T865" s="2"/>
    </row>
    <row r="866" spans="16:20" x14ac:dyDescent="0.4">
      <c r="P866" s="1"/>
      <c r="T866" s="2"/>
    </row>
    <row r="867" spans="16:20" x14ac:dyDescent="0.4">
      <c r="P867" s="1"/>
      <c r="Q867" s="1"/>
      <c r="T867" s="2"/>
    </row>
    <row r="868" spans="16:20" x14ac:dyDescent="0.4">
      <c r="P868" s="1"/>
      <c r="Q868" s="1"/>
      <c r="T868" s="2"/>
    </row>
    <row r="869" spans="16:20" x14ac:dyDescent="0.4">
      <c r="P869" s="1"/>
      <c r="Q869" s="1"/>
      <c r="T869" s="2"/>
    </row>
    <row r="870" spans="16:20" x14ac:dyDescent="0.4">
      <c r="P870" s="1"/>
      <c r="Q870" s="1"/>
      <c r="T870" s="2"/>
    </row>
    <row r="871" spans="16:20" x14ac:dyDescent="0.4">
      <c r="P871" s="1"/>
      <c r="T871" s="2"/>
    </row>
    <row r="872" spans="16:20" x14ac:dyDescent="0.4">
      <c r="P872" s="1"/>
      <c r="Q872" s="1"/>
      <c r="T872" s="2"/>
    </row>
    <row r="873" spans="16:20" x14ac:dyDescent="0.4">
      <c r="P873" s="1"/>
      <c r="Q873" s="1"/>
      <c r="T873" s="2"/>
    </row>
    <row r="874" spans="16:20" x14ac:dyDescent="0.4">
      <c r="P874" s="1"/>
      <c r="Q874" s="1"/>
      <c r="T874" s="2"/>
    </row>
    <row r="875" spans="16:20" x14ac:dyDescent="0.4">
      <c r="P875" s="1"/>
      <c r="Q875" s="1"/>
      <c r="T875" s="2"/>
    </row>
    <row r="876" spans="16:20" x14ac:dyDescent="0.4">
      <c r="P876" s="1"/>
      <c r="T876" s="2"/>
    </row>
    <row r="877" spans="16:20" x14ac:dyDescent="0.4">
      <c r="P877" s="1"/>
      <c r="Q877" s="1"/>
      <c r="T877" s="2"/>
    </row>
    <row r="878" spans="16:20" x14ac:dyDescent="0.4">
      <c r="P878" s="1"/>
      <c r="Q878" s="1"/>
      <c r="T878" s="2"/>
    </row>
    <row r="879" spans="16:20" x14ac:dyDescent="0.4">
      <c r="P879" s="1"/>
      <c r="Q879" s="1"/>
      <c r="T879" s="2"/>
    </row>
    <row r="880" spans="16:20" x14ac:dyDescent="0.4">
      <c r="P880" s="1"/>
      <c r="Q880" s="1"/>
      <c r="T880" s="2"/>
    </row>
    <row r="881" spans="16:20" x14ac:dyDescent="0.4">
      <c r="P881" s="1"/>
      <c r="T881" s="2"/>
    </row>
    <row r="882" spans="16:20" x14ac:dyDescent="0.4">
      <c r="P882" s="1"/>
      <c r="Q882" s="1"/>
      <c r="T882" s="2"/>
    </row>
    <row r="883" spans="16:20" x14ac:dyDescent="0.4">
      <c r="P883" s="1"/>
      <c r="Q883" s="1"/>
      <c r="T883" s="2"/>
    </row>
    <row r="884" spans="16:20" x14ac:dyDescent="0.4">
      <c r="P884" s="1"/>
      <c r="Q884" s="1"/>
      <c r="T884" s="2"/>
    </row>
    <row r="885" spans="16:20" x14ac:dyDescent="0.4">
      <c r="P885" s="1"/>
      <c r="Q885" s="1"/>
      <c r="T885" s="2"/>
    </row>
    <row r="886" spans="16:20" x14ac:dyDescent="0.4">
      <c r="P886" s="1"/>
      <c r="T886" s="2"/>
    </row>
    <row r="887" spans="16:20" x14ac:dyDescent="0.4">
      <c r="P887" s="1"/>
      <c r="Q887" s="1"/>
      <c r="T887" s="2"/>
    </row>
    <row r="888" spans="16:20" x14ac:dyDescent="0.4">
      <c r="P888" s="1"/>
      <c r="Q888" s="1"/>
      <c r="T888" s="2"/>
    </row>
    <row r="889" spans="16:20" x14ac:dyDescent="0.4">
      <c r="P889" s="1"/>
      <c r="Q889" s="1"/>
      <c r="T889" s="2"/>
    </row>
    <row r="890" spans="16:20" x14ac:dyDescent="0.4">
      <c r="P890" s="1"/>
      <c r="Q890" s="1"/>
      <c r="T890" s="2"/>
    </row>
    <row r="891" spans="16:20" x14ac:dyDescent="0.4">
      <c r="P891" s="1"/>
      <c r="T891" s="2"/>
    </row>
    <row r="892" spans="16:20" x14ac:dyDescent="0.4">
      <c r="P892" s="1"/>
      <c r="Q892" s="1"/>
      <c r="T892" s="2"/>
    </row>
    <row r="893" spans="16:20" x14ac:dyDescent="0.4">
      <c r="P893" s="1"/>
      <c r="Q893" s="1"/>
      <c r="T893" s="2"/>
    </row>
    <row r="894" spans="16:20" x14ac:dyDescent="0.4">
      <c r="P894" s="1"/>
      <c r="Q894" s="1"/>
      <c r="T894" s="2"/>
    </row>
    <row r="895" spans="16:20" x14ac:dyDescent="0.4">
      <c r="P895" s="1"/>
      <c r="Q895" s="1"/>
      <c r="T895" s="2"/>
    </row>
    <row r="896" spans="16:20" x14ac:dyDescent="0.4">
      <c r="P896" s="1"/>
      <c r="T896" s="2"/>
    </row>
    <row r="897" spans="16:20" x14ac:dyDescent="0.4">
      <c r="P897" s="1"/>
      <c r="Q897" s="1"/>
      <c r="T897" s="2"/>
    </row>
    <row r="898" spans="16:20" x14ac:dyDescent="0.4">
      <c r="P898" s="1"/>
      <c r="Q898" s="1"/>
      <c r="T898" s="2"/>
    </row>
    <row r="899" spans="16:20" x14ac:dyDescent="0.4">
      <c r="P899" s="1"/>
      <c r="Q899" s="1"/>
      <c r="T899" s="2"/>
    </row>
    <row r="900" spans="16:20" x14ac:dyDescent="0.4">
      <c r="P900" s="1"/>
      <c r="Q900" s="1"/>
      <c r="T900" s="2"/>
    </row>
    <row r="901" spans="16:20" x14ac:dyDescent="0.4">
      <c r="P901" s="1"/>
      <c r="T901" s="2"/>
    </row>
    <row r="902" spans="16:20" x14ac:dyDescent="0.4">
      <c r="P902" s="1"/>
      <c r="Q902" s="1"/>
      <c r="T902" s="2"/>
    </row>
    <row r="903" spans="16:20" x14ac:dyDescent="0.4">
      <c r="P903" s="1"/>
      <c r="Q903" s="1"/>
      <c r="T903" s="2"/>
    </row>
    <row r="904" spans="16:20" x14ac:dyDescent="0.4">
      <c r="P904" s="1"/>
      <c r="Q904" s="1"/>
      <c r="T904" s="2"/>
    </row>
    <row r="905" spans="16:20" x14ac:dyDescent="0.4">
      <c r="P905" s="1"/>
      <c r="Q905" s="1"/>
      <c r="T905" s="2"/>
    </row>
    <row r="906" spans="16:20" x14ac:dyDescent="0.4">
      <c r="P906" s="1"/>
      <c r="T906" s="2"/>
    </row>
    <row r="907" spans="16:20" x14ac:dyDescent="0.4">
      <c r="P907" s="1"/>
      <c r="Q907" s="1"/>
      <c r="T907" s="2"/>
    </row>
    <row r="908" spans="16:20" x14ac:dyDescent="0.4">
      <c r="P908" s="1"/>
      <c r="Q908" s="1"/>
      <c r="T908" s="2"/>
    </row>
    <row r="909" spans="16:20" x14ac:dyDescent="0.4">
      <c r="P909" s="1"/>
      <c r="Q909" s="1"/>
      <c r="T909" s="2"/>
    </row>
    <row r="910" spans="16:20" x14ac:dyDescent="0.4">
      <c r="P910" s="1"/>
      <c r="Q910" s="1"/>
      <c r="T910" s="2"/>
    </row>
    <row r="911" spans="16:20" x14ac:dyDescent="0.4">
      <c r="P911" s="1"/>
      <c r="T911" s="2"/>
    </row>
    <row r="912" spans="16:20" x14ac:dyDescent="0.4">
      <c r="P912" s="1"/>
      <c r="Q912" s="1"/>
      <c r="T912" s="2"/>
    </row>
    <row r="913" spans="16:20" x14ac:dyDescent="0.4">
      <c r="P913" s="1"/>
      <c r="Q913" s="1"/>
      <c r="T913" s="2"/>
    </row>
    <row r="914" spans="16:20" x14ac:dyDescent="0.4">
      <c r="P914" s="1"/>
      <c r="Q914" s="1"/>
      <c r="T914" s="2"/>
    </row>
    <row r="915" spans="16:20" x14ac:dyDescent="0.4">
      <c r="P915" s="1"/>
      <c r="Q915" s="1"/>
      <c r="T915" s="2"/>
    </row>
    <row r="916" spans="16:20" x14ac:dyDescent="0.4">
      <c r="P916" s="1"/>
      <c r="T916" s="2"/>
    </row>
    <row r="917" spans="16:20" x14ac:dyDescent="0.4">
      <c r="P917" s="1"/>
      <c r="Q917" s="1"/>
      <c r="T917" s="2"/>
    </row>
    <row r="918" spans="16:20" x14ac:dyDescent="0.4">
      <c r="P918" s="1"/>
      <c r="Q918" s="1"/>
      <c r="T918" s="2"/>
    </row>
    <row r="919" spans="16:20" x14ac:dyDescent="0.4">
      <c r="P919" s="1"/>
      <c r="Q919" s="1"/>
      <c r="T919" s="2"/>
    </row>
    <row r="920" spans="16:20" x14ac:dyDescent="0.4">
      <c r="P920" s="1"/>
      <c r="Q920" s="1"/>
      <c r="T920" s="2"/>
    </row>
    <row r="921" spans="16:20" x14ac:dyDescent="0.4">
      <c r="P921" s="1"/>
      <c r="T921" s="2"/>
    </row>
    <row r="922" spans="16:20" x14ac:dyDescent="0.4">
      <c r="P922" s="1"/>
      <c r="Q922" s="1"/>
      <c r="T922" s="2"/>
    </row>
    <row r="923" spans="16:20" x14ac:dyDescent="0.4">
      <c r="P923" s="1"/>
      <c r="Q923" s="1"/>
      <c r="T923" s="2"/>
    </row>
    <row r="924" spans="16:20" x14ac:dyDescent="0.4">
      <c r="P924" s="1"/>
      <c r="Q924" s="1"/>
      <c r="T924" s="2"/>
    </row>
    <row r="925" spans="16:20" x14ac:dyDescent="0.4">
      <c r="P925" s="1"/>
      <c r="Q925" s="1"/>
      <c r="T925" s="2"/>
    </row>
    <row r="926" spans="16:20" x14ac:dyDescent="0.4">
      <c r="P926" s="1"/>
      <c r="T926" s="2"/>
    </row>
    <row r="927" spans="16:20" x14ac:dyDescent="0.4">
      <c r="P927" s="1"/>
      <c r="Q927" s="1"/>
      <c r="T927" s="2"/>
    </row>
    <row r="928" spans="16:20" x14ac:dyDescent="0.4">
      <c r="P928" s="1"/>
      <c r="Q928" s="1"/>
      <c r="T928" s="2"/>
    </row>
    <row r="929" spans="16:20" x14ac:dyDescent="0.4">
      <c r="P929" s="1"/>
      <c r="Q929" s="1"/>
      <c r="T929" s="2"/>
    </row>
    <row r="930" spans="16:20" x14ac:dyDescent="0.4">
      <c r="P930" s="1"/>
      <c r="Q930" s="1"/>
      <c r="T930" s="2"/>
    </row>
    <row r="931" spans="16:20" x14ac:dyDescent="0.4">
      <c r="P931" s="1"/>
      <c r="T931" s="2"/>
    </row>
    <row r="932" spans="16:20" x14ac:dyDescent="0.4">
      <c r="P932" s="1"/>
      <c r="Q932" s="1"/>
      <c r="T932" s="2"/>
    </row>
    <row r="933" spans="16:20" x14ac:dyDescent="0.4">
      <c r="P933" s="1"/>
      <c r="Q933" s="1"/>
      <c r="T933" s="2"/>
    </row>
    <row r="934" spans="16:20" x14ac:dyDescent="0.4">
      <c r="P934" s="1"/>
      <c r="Q934" s="1"/>
      <c r="T934" s="2"/>
    </row>
    <row r="935" spans="16:20" x14ac:dyDescent="0.4">
      <c r="P935" s="1"/>
      <c r="Q935" s="1"/>
      <c r="T935" s="2"/>
    </row>
    <row r="936" spans="16:20" x14ac:dyDescent="0.4">
      <c r="P936" s="1"/>
      <c r="T936" s="2"/>
    </row>
    <row r="937" spans="16:20" x14ac:dyDescent="0.4">
      <c r="P937" s="1"/>
      <c r="Q937" s="1"/>
      <c r="T937" s="2"/>
    </row>
    <row r="938" spans="16:20" x14ac:dyDescent="0.4">
      <c r="P938" s="1"/>
      <c r="Q938" s="1"/>
      <c r="T938" s="2"/>
    </row>
    <row r="939" spans="16:20" x14ac:dyDescent="0.4">
      <c r="P939" s="1"/>
      <c r="Q939" s="1"/>
      <c r="T939" s="2"/>
    </row>
    <row r="940" spans="16:20" x14ac:dyDescent="0.4">
      <c r="P940" s="1"/>
      <c r="Q940" s="1"/>
      <c r="T940" s="2"/>
    </row>
    <row r="941" spans="16:20" x14ac:dyDescent="0.4">
      <c r="P941" s="1"/>
      <c r="T941" s="2"/>
    </row>
    <row r="942" spans="16:20" x14ac:dyDescent="0.4">
      <c r="P942" s="1"/>
      <c r="Q942" s="1"/>
      <c r="T942" s="2"/>
    </row>
    <row r="943" spans="16:20" x14ac:dyDescent="0.4">
      <c r="P943" s="1"/>
      <c r="Q943" s="1"/>
      <c r="T943" s="2"/>
    </row>
    <row r="944" spans="16:20" x14ac:dyDescent="0.4">
      <c r="P944" s="1"/>
      <c r="Q944" s="1"/>
      <c r="T944" s="2"/>
    </row>
    <row r="945" spans="16:20" x14ac:dyDescent="0.4">
      <c r="P945" s="1"/>
      <c r="Q945" s="1"/>
      <c r="T945" s="2"/>
    </row>
    <row r="946" spans="16:20" x14ac:dyDescent="0.4">
      <c r="P946" s="1"/>
      <c r="T946" s="2"/>
    </row>
    <row r="947" spans="16:20" x14ac:dyDescent="0.4">
      <c r="P947" s="1"/>
      <c r="Q947" s="1"/>
      <c r="T947" s="2"/>
    </row>
    <row r="948" spans="16:20" x14ac:dyDescent="0.4">
      <c r="P948" s="1"/>
      <c r="Q948" s="1"/>
      <c r="T948" s="2"/>
    </row>
    <row r="949" spans="16:20" x14ac:dyDescent="0.4">
      <c r="P949" s="1"/>
      <c r="Q949" s="1"/>
      <c r="T949" s="2"/>
    </row>
    <row r="950" spans="16:20" x14ac:dyDescent="0.4">
      <c r="P950" s="1"/>
      <c r="Q950" s="1"/>
      <c r="T950" s="2"/>
    </row>
    <row r="951" spans="16:20" x14ac:dyDescent="0.4">
      <c r="P951" s="1"/>
      <c r="T951" s="2"/>
    </row>
    <row r="952" spans="16:20" x14ac:dyDescent="0.4">
      <c r="P952" s="1"/>
      <c r="Q952" s="1"/>
      <c r="T952" s="2"/>
    </row>
    <row r="953" spans="16:20" x14ac:dyDescent="0.4">
      <c r="P953" s="1"/>
      <c r="Q953" s="1"/>
      <c r="T953" s="2"/>
    </row>
    <row r="954" spans="16:20" x14ac:dyDescent="0.4">
      <c r="P954" s="1"/>
      <c r="Q954" s="1"/>
      <c r="T954" s="2"/>
    </row>
    <row r="955" spans="16:20" x14ac:dyDescent="0.4">
      <c r="P955" s="1"/>
      <c r="Q955" s="1"/>
      <c r="T955" s="2"/>
    </row>
    <row r="956" spans="16:20" x14ac:dyDescent="0.4">
      <c r="P956" s="1"/>
      <c r="T956" s="2"/>
    </row>
    <row r="957" spans="16:20" x14ac:dyDescent="0.4">
      <c r="P957" s="1"/>
      <c r="Q957" s="1"/>
      <c r="T957" s="2"/>
    </row>
    <row r="958" spans="16:20" x14ac:dyDescent="0.4">
      <c r="P958" s="1"/>
      <c r="Q958" s="1"/>
      <c r="T958" s="2"/>
    </row>
    <row r="959" spans="16:20" x14ac:dyDescent="0.4">
      <c r="P959" s="1"/>
      <c r="Q959" s="1"/>
      <c r="T959" s="2"/>
    </row>
    <row r="960" spans="16:20" x14ac:dyDescent="0.4">
      <c r="P960" s="1"/>
      <c r="Q960" s="1"/>
      <c r="T960" s="2"/>
    </row>
    <row r="961" spans="16:20" x14ac:dyDescent="0.4">
      <c r="P961" s="1"/>
      <c r="T961" s="2"/>
    </row>
    <row r="962" spans="16:20" x14ac:dyDescent="0.4">
      <c r="P962" s="1"/>
      <c r="Q962" s="1"/>
      <c r="T962" s="2"/>
    </row>
    <row r="963" spans="16:20" x14ac:dyDescent="0.4">
      <c r="P963" s="1"/>
      <c r="Q963" s="1"/>
      <c r="T963" s="2"/>
    </row>
    <row r="964" spans="16:20" x14ac:dyDescent="0.4">
      <c r="P964" s="1"/>
      <c r="Q964" s="1"/>
      <c r="T964" s="2"/>
    </row>
    <row r="965" spans="16:20" x14ac:dyDescent="0.4">
      <c r="P965" s="1"/>
      <c r="Q965" s="1"/>
      <c r="T965" s="2"/>
    </row>
    <row r="966" spans="16:20" x14ac:dyDescent="0.4">
      <c r="P966" s="1"/>
      <c r="T966" s="2"/>
    </row>
    <row r="967" spans="16:20" x14ac:dyDescent="0.4">
      <c r="P967" s="1"/>
      <c r="Q967" s="1"/>
      <c r="T967" s="2"/>
    </row>
    <row r="968" spans="16:20" x14ac:dyDescent="0.4">
      <c r="P968" s="1"/>
      <c r="Q968" s="1"/>
      <c r="T968" s="2"/>
    </row>
    <row r="969" spans="16:20" x14ac:dyDescent="0.4">
      <c r="P969" s="1"/>
      <c r="Q969" s="1"/>
      <c r="T969" s="2"/>
    </row>
    <row r="970" spans="16:20" x14ac:dyDescent="0.4">
      <c r="P970" s="1"/>
      <c r="Q970" s="1"/>
      <c r="T970" s="2"/>
    </row>
    <row r="971" spans="16:20" x14ac:dyDescent="0.4">
      <c r="P971" s="1"/>
      <c r="T971" s="2"/>
    </row>
    <row r="972" spans="16:20" x14ac:dyDescent="0.4">
      <c r="P972" s="1"/>
      <c r="Q972" s="1"/>
      <c r="T972" s="2"/>
    </row>
    <row r="973" spans="16:20" x14ac:dyDescent="0.4">
      <c r="P973" s="1"/>
      <c r="Q973" s="1"/>
      <c r="T973" s="2"/>
    </row>
    <row r="974" spans="16:20" x14ac:dyDescent="0.4">
      <c r="P974" s="1"/>
      <c r="Q974" s="1"/>
      <c r="T974" s="2"/>
    </row>
    <row r="975" spans="16:20" x14ac:dyDescent="0.4">
      <c r="P975" s="1"/>
      <c r="Q975" s="1"/>
      <c r="T975" s="2"/>
    </row>
    <row r="976" spans="16:20" x14ac:dyDescent="0.4">
      <c r="T976" s="2"/>
    </row>
    <row r="977" spans="16:20" x14ac:dyDescent="0.4">
      <c r="P977" s="1"/>
      <c r="Q977" s="1"/>
      <c r="T977" s="2"/>
    </row>
    <row r="978" spans="16:20" x14ac:dyDescent="0.4">
      <c r="P978" s="1"/>
      <c r="Q978" s="1"/>
      <c r="T978" s="2"/>
    </row>
    <row r="979" spans="16:20" x14ac:dyDescent="0.4">
      <c r="P979" s="1"/>
      <c r="Q979" s="1"/>
      <c r="T979" s="2"/>
    </row>
    <row r="980" spans="16:20" x14ac:dyDescent="0.4">
      <c r="P980" s="1"/>
      <c r="Q980" s="1"/>
      <c r="T980" s="2"/>
    </row>
    <row r="981" spans="16:20" x14ac:dyDescent="0.4">
      <c r="P981" s="1"/>
      <c r="T981" s="2"/>
    </row>
    <row r="982" spans="16:20" x14ac:dyDescent="0.4">
      <c r="P982" s="1"/>
      <c r="Q982" s="1"/>
      <c r="T982" s="2"/>
    </row>
    <row r="983" spans="16:20" x14ac:dyDescent="0.4">
      <c r="P983" s="1"/>
      <c r="Q983" s="1"/>
      <c r="T983" s="2"/>
    </row>
    <row r="984" spans="16:20" x14ac:dyDescent="0.4">
      <c r="P984" s="1"/>
      <c r="Q984" s="1"/>
      <c r="T984" s="2"/>
    </row>
    <row r="985" spans="16:20" x14ac:dyDescent="0.4">
      <c r="P985" s="1"/>
      <c r="Q985" s="1"/>
      <c r="T985" s="2"/>
    </row>
    <row r="986" spans="16:20" x14ac:dyDescent="0.4">
      <c r="P986" s="1"/>
      <c r="T986" s="2"/>
    </row>
    <row r="987" spans="16:20" x14ac:dyDescent="0.4">
      <c r="P987" s="1"/>
      <c r="Q987" s="1"/>
      <c r="T987" s="2"/>
    </row>
    <row r="988" spans="16:20" x14ac:dyDescent="0.4">
      <c r="P988" s="1"/>
      <c r="Q988" s="1"/>
      <c r="T988" s="2"/>
    </row>
    <row r="989" spans="16:20" x14ac:dyDescent="0.4">
      <c r="P989" s="1"/>
      <c r="Q989" s="1"/>
      <c r="T989" s="2"/>
    </row>
    <row r="990" spans="16:20" x14ac:dyDescent="0.4">
      <c r="P990" s="1"/>
      <c r="Q990" s="1"/>
      <c r="T990" s="2"/>
    </row>
    <row r="991" spans="16:20" x14ac:dyDescent="0.4">
      <c r="P991" s="1"/>
      <c r="T991" s="2"/>
    </row>
    <row r="992" spans="16:20" x14ac:dyDescent="0.4">
      <c r="P992" s="1"/>
      <c r="Q992" s="1"/>
      <c r="T992" s="2"/>
    </row>
    <row r="993" spans="16:20" x14ac:dyDescent="0.4">
      <c r="P993" s="1"/>
      <c r="Q993" s="1"/>
      <c r="T993" s="2"/>
    </row>
    <row r="994" spans="16:20" x14ac:dyDescent="0.4">
      <c r="P994" s="1"/>
      <c r="Q994" s="1"/>
      <c r="T994" s="2"/>
    </row>
    <row r="995" spans="16:20" x14ac:dyDescent="0.4">
      <c r="P995" s="1"/>
      <c r="Q995" s="1"/>
      <c r="T995" s="2"/>
    </row>
    <row r="996" spans="16:20" x14ac:dyDescent="0.4">
      <c r="P996" s="1"/>
      <c r="T996" s="2"/>
    </row>
    <row r="997" spans="16:20" x14ac:dyDescent="0.4">
      <c r="P997" s="1"/>
      <c r="Q997" s="1"/>
      <c r="T997" s="2"/>
    </row>
    <row r="998" spans="16:20" x14ac:dyDescent="0.4">
      <c r="P998" s="1"/>
      <c r="Q998" s="1"/>
      <c r="T998" s="2"/>
    </row>
    <row r="999" spans="16:20" x14ac:dyDescent="0.4">
      <c r="P999" s="1"/>
      <c r="Q999" s="1"/>
      <c r="T999" s="2"/>
    </row>
    <row r="1000" spans="16:20" x14ac:dyDescent="0.4">
      <c r="P1000" s="1"/>
      <c r="Q1000" s="1"/>
      <c r="T1000" s="2"/>
    </row>
    <row r="1001" spans="16:20" x14ac:dyDescent="0.4">
      <c r="P1001" s="1"/>
      <c r="T1001" s="2"/>
    </row>
    <row r="1002" spans="16:20" x14ac:dyDescent="0.4">
      <c r="P1002" s="1"/>
      <c r="Q1002" s="1"/>
      <c r="T1002" s="2"/>
    </row>
    <row r="1003" spans="16:20" x14ac:dyDescent="0.4">
      <c r="P1003" s="1"/>
      <c r="Q1003" s="1"/>
      <c r="T1003" s="2"/>
    </row>
    <row r="1004" spans="16:20" x14ac:dyDescent="0.4">
      <c r="P1004" s="1"/>
      <c r="Q1004" s="1"/>
      <c r="T1004" s="2"/>
    </row>
    <row r="1005" spans="16:20" x14ac:dyDescent="0.4">
      <c r="P1005" s="1"/>
      <c r="Q1005" s="1"/>
      <c r="T1005" s="2"/>
    </row>
    <row r="1006" spans="16:20" x14ac:dyDescent="0.4">
      <c r="P1006" s="1"/>
      <c r="T1006" s="2"/>
    </row>
    <row r="1007" spans="16:20" x14ac:dyDescent="0.4">
      <c r="P1007" s="1"/>
      <c r="Q1007" s="1"/>
      <c r="T1007" s="2"/>
    </row>
    <row r="1008" spans="16:20" x14ac:dyDescent="0.4">
      <c r="P1008" s="1"/>
      <c r="Q1008" s="1"/>
      <c r="T1008" s="2"/>
    </row>
    <row r="1009" spans="16:20" x14ac:dyDescent="0.4">
      <c r="P1009" s="1"/>
      <c r="Q1009" s="1"/>
      <c r="T1009" s="2"/>
    </row>
    <row r="1010" spans="16:20" x14ac:dyDescent="0.4">
      <c r="P1010" s="1"/>
      <c r="Q1010" s="1"/>
      <c r="T1010" s="2"/>
    </row>
    <row r="1011" spans="16:20" x14ac:dyDescent="0.4">
      <c r="P1011" s="1"/>
      <c r="T1011" s="2"/>
    </row>
    <row r="1012" spans="16:20" x14ac:dyDescent="0.4">
      <c r="P1012" s="1"/>
      <c r="Q1012" s="1"/>
      <c r="T1012" s="2"/>
    </row>
    <row r="1013" spans="16:20" x14ac:dyDescent="0.4">
      <c r="P1013" s="1"/>
      <c r="Q1013" s="1"/>
      <c r="T1013" s="2"/>
    </row>
    <row r="1014" spans="16:20" x14ac:dyDescent="0.4">
      <c r="P1014" s="1"/>
      <c r="Q1014" s="1"/>
      <c r="T1014" s="2"/>
    </row>
    <row r="1015" spans="16:20" x14ac:dyDescent="0.4">
      <c r="P1015" s="1"/>
      <c r="Q1015" s="1"/>
      <c r="T1015" s="2"/>
    </row>
    <row r="1016" spans="16:20" x14ac:dyDescent="0.4">
      <c r="P1016" s="1"/>
      <c r="T1016" s="2"/>
    </row>
    <row r="1017" spans="16:20" x14ac:dyDescent="0.4">
      <c r="P1017" s="1"/>
      <c r="Q1017" s="1"/>
      <c r="T1017" s="2"/>
    </row>
    <row r="1018" spans="16:20" x14ac:dyDescent="0.4">
      <c r="P1018" s="1"/>
      <c r="Q1018" s="1"/>
      <c r="T1018" s="2"/>
    </row>
    <row r="1019" spans="16:20" x14ac:dyDescent="0.4">
      <c r="P1019" s="1"/>
      <c r="Q1019" s="1"/>
      <c r="T1019" s="2"/>
    </row>
    <row r="1020" spans="16:20" x14ac:dyDescent="0.4">
      <c r="P1020" s="1"/>
      <c r="Q1020" s="1"/>
      <c r="T1020" s="2"/>
    </row>
    <row r="1021" spans="16:20" x14ac:dyDescent="0.4">
      <c r="P1021" s="1"/>
      <c r="T1021" s="2"/>
    </row>
    <row r="1022" spans="16:20" x14ac:dyDescent="0.4">
      <c r="P1022" s="1"/>
      <c r="Q1022" s="1"/>
      <c r="T1022" s="2"/>
    </row>
    <row r="1023" spans="16:20" x14ac:dyDescent="0.4">
      <c r="P1023" s="1"/>
      <c r="Q1023" s="1"/>
      <c r="T1023" s="2"/>
    </row>
    <row r="1024" spans="16:20" x14ac:dyDescent="0.4">
      <c r="P1024" s="1"/>
      <c r="Q1024" s="1"/>
      <c r="T1024" s="2"/>
    </row>
    <row r="1025" spans="16:20" x14ac:dyDescent="0.4">
      <c r="P1025" s="1"/>
      <c r="Q1025" s="1"/>
      <c r="T1025" s="2"/>
    </row>
    <row r="1026" spans="16:20" x14ac:dyDescent="0.4">
      <c r="T1026" s="2"/>
    </row>
    <row r="1027" spans="16:20" x14ac:dyDescent="0.4">
      <c r="P1027" s="1"/>
      <c r="Q1027" s="1"/>
      <c r="T1027" s="2"/>
    </row>
    <row r="1028" spans="16:20" x14ac:dyDescent="0.4">
      <c r="P1028" s="1"/>
      <c r="Q1028" s="1"/>
      <c r="T1028" s="2"/>
    </row>
    <row r="1029" spans="16:20" x14ac:dyDescent="0.4">
      <c r="P1029" s="1"/>
      <c r="Q1029" s="1"/>
      <c r="T1029" s="2"/>
    </row>
    <row r="1030" spans="16:20" x14ac:dyDescent="0.4">
      <c r="P1030" s="1"/>
      <c r="Q1030" s="1"/>
      <c r="T1030" s="2"/>
    </row>
    <row r="1031" spans="16:20" x14ac:dyDescent="0.4">
      <c r="P1031" s="1"/>
      <c r="T1031" s="2"/>
    </row>
    <row r="1032" spans="16:20" x14ac:dyDescent="0.4">
      <c r="P1032" s="1"/>
      <c r="Q1032" s="1"/>
      <c r="T1032" s="2"/>
    </row>
    <row r="1033" spans="16:20" x14ac:dyDescent="0.4">
      <c r="P1033" s="1"/>
      <c r="Q1033" s="1"/>
      <c r="T1033" s="2"/>
    </row>
    <row r="1034" spans="16:20" x14ac:dyDescent="0.4">
      <c r="P1034" s="1"/>
      <c r="Q1034" s="1"/>
      <c r="T1034" s="2"/>
    </row>
    <row r="1035" spans="16:20" x14ac:dyDescent="0.4">
      <c r="P1035" s="1"/>
      <c r="Q1035" s="1"/>
      <c r="T1035" s="2"/>
    </row>
    <row r="1036" spans="16:20" x14ac:dyDescent="0.4">
      <c r="P1036" s="1"/>
      <c r="T1036" s="2"/>
    </row>
    <row r="1037" spans="16:20" x14ac:dyDescent="0.4">
      <c r="P1037" s="1"/>
      <c r="Q1037" s="1"/>
      <c r="T1037" s="2"/>
    </row>
    <row r="1038" spans="16:20" x14ac:dyDescent="0.4">
      <c r="P1038" s="1"/>
      <c r="Q1038" s="1"/>
      <c r="T1038" s="2"/>
    </row>
    <row r="1039" spans="16:20" x14ac:dyDescent="0.4">
      <c r="P1039" s="1"/>
      <c r="Q1039" s="1"/>
      <c r="T1039" s="2"/>
    </row>
    <row r="1040" spans="16:20" x14ac:dyDescent="0.4">
      <c r="P1040" s="1"/>
      <c r="Q1040" s="1"/>
      <c r="T1040" s="2"/>
    </row>
    <row r="1041" spans="16:20" x14ac:dyDescent="0.4">
      <c r="P1041" s="1"/>
      <c r="T1041" s="2"/>
    </row>
    <row r="1042" spans="16:20" x14ac:dyDescent="0.4">
      <c r="P1042" s="1"/>
      <c r="Q1042" s="1"/>
      <c r="T1042" s="2"/>
    </row>
    <row r="1043" spans="16:20" x14ac:dyDescent="0.4">
      <c r="P1043" s="1"/>
      <c r="Q1043" s="1"/>
      <c r="T1043" s="2"/>
    </row>
    <row r="1044" spans="16:20" x14ac:dyDescent="0.4">
      <c r="P1044" s="1"/>
      <c r="Q1044" s="1"/>
      <c r="T1044" s="2"/>
    </row>
    <row r="1045" spans="16:20" x14ac:dyDescent="0.4">
      <c r="P1045" s="1"/>
      <c r="Q1045" s="1"/>
      <c r="T1045" s="2"/>
    </row>
    <row r="1046" spans="16:20" x14ac:dyDescent="0.4">
      <c r="P1046" s="1"/>
      <c r="T1046" s="2"/>
    </row>
    <row r="1047" spans="16:20" x14ac:dyDescent="0.4">
      <c r="P1047" s="1"/>
      <c r="Q1047" s="1"/>
      <c r="T1047" s="2"/>
    </row>
    <row r="1048" spans="16:20" x14ac:dyDescent="0.4">
      <c r="P1048" s="1"/>
      <c r="Q1048" s="1"/>
      <c r="T1048" s="2"/>
    </row>
    <row r="1049" spans="16:20" x14ac:dyDescent="0.4">
      <c r="P1049" s="1"/>
      <c r="Q1049" s="1"/>
      <c r="T1049" s="2"/>
    </row>
    <row r="1050" spans="16:20" x14ac:dyDescent="0.4">
      <c r="P1050" s="1"/>
      <c r="Q1050" s="1"/>
      <c r="T1050" s="2"/>
    </row>
    <row r="1051" spans="16:20" x14ac:dyDescent="0.4">
      <c r="P1051" s="1"/>
      <c r="T1051" s="2"/>
    </row>
    <row r="1052" spans="16:20" x14ac:dyDescent="0.4">
      <c r="P1052" s="1"/>
      <c r="Q1052" s="1"/>
      <c r="T1052" s="2"/>
    </row>
    <row r="1053" spans="16:20" x14ac:dyDescent="0.4">
      <c r="P1053" s="1"/>
      <c r="Q1053" s="1"/>
      <c r="T1053" s="2"/>
    </row>
    <row r="1054" spans="16:20" x14ac:dyDescent="0.4">
      <c r="P1054" s="1"/>
      <c r="Q1054" s="1"/>
      <c r="T1054" s="2"/>
    </row>
    <row r="1055" spans="16:20" x14ac:dyDescent="0.4">
      <c r="P1055" s="1"/>
      <c r="Q1055" s="1"/>
      <c r="T1055" s="2"/>
    </row>
    <row r="1056" spans="16:20" x14ac:dyDescent="0.4">
      <c r="P1056" s="1"/>
      <c r="T1056" s="2"/>
    </row>
    <row r="1057" spans="16:20" x14ac:dyDescent="0.4">
      <c r="P1057" s="1"/>
      <c r="Q1057" s="1"/>
      <c r="T1057" s="2"/>
    </row>
    <row r="1058" spans="16:20" x14ac:dyDescent="0.4">
      <c r="P1058" s="1"/>
      <c r="Q1058" s="1"/>
      <c r="T1058" s="2"/>
    </row>
    <row r="1059" spans="16:20" x14ac:dyDescent="0.4">
      <c r="P1059" s="1"/>
      <c r="Q1059" s="1"/>
      <c r="T1059" s="2"/>
    </row>
    <row r="1060" spans="16:20" x14ac:dyDescent="0.4">
      <c r="P1060" s="1"/>
      <c r="Q1060" s="1"/>
      <c r="T1060" s="2"/>
    </row>
    <row r="1061" spans="16:20" x14ac:dyDescent="0.4">
      <c r="P1061" s="1"/>
      <c r="T1061" s="2"/>
    </row>
    <row r="1062" spans="16:20" x14ac:dyDescent="0.4">
      <c r="P1062" s="1"/>
      <c r="Q1062" s="1"/>
      <c r="T1062" s="2"/>
    </row>
    <row r="1063" spans="16:20" x14ac:dyDescent="0.4">
      <c r="P1063" s="1"/>
      <c r="Q1063" s="1"/>
      <c r="T1063" s="2"/>
    </row>
    <row r="1064" spans="16:20" x14ac:dyDescent="0.4">
      <c r="P1064" s="1"/>
      <c r="Q1064" s="1"/>
      <c r="T1064" s="2"/>
    </row>
    <row r="1065" spans="16:20" x14ac:dyDescent="0.4">
      <c r="P1065" s="1"/>
      <c r="Q1065" s="1"/>
      <c r="T1065" s="2"/>
    </row>
    <row r="1066" spans="16:20" x14ac:dyDescent="0.4">
      <c r="P1066" s="1"/>
      <c r="T1066" s="2"/>
    </row>
    <row r="1070" spans="16:20" x14ac:dyDescent="0.4">
      <c r="Q1070" s="1"/>
      <c r="T1070" s="2"/>
    </row>
    <row r="1072" spans="16:20" x14ac:dyDescent="0.4">
      <c r="Q1072" s="1"/>
    </row>
    <row r="1074" spans="17:20" x14ac:dyDescent="0.4">
      <c r="Q1074" s="1"/>
      <c r="T1074" s="2"/>
    </row>
    <row r="1076" spans="17:20" x14ac:dyDescent="0.4">
      <c r="Q1076" s="1"/>
    </row>
    <row r="1078" spans="17:20" x14ac:dyDescent="0.4">
      <c r="Q1078" s="1"/>
      <c r="T1078" s="2"/>
    </row>
    <row r="1080" spans="17:20" x14ac:dyDescent="0.4">
      <c r="Q1080" s="1"/>
    </row>
    <row r="1082" spans="17:20" x14ac:dyDescent="0.4">
      <c r="Q1082" s="1"/>
      <c r="T1082" s="2"/>
    </row>
    <row r="1084" spans="17:20" x14ac:dyDescent="0.4">
      <c r="Q1084" s="1"/>
    </row>
    <row r="1091" spans="16:20" x14ac:dyDescent="0.4">
      <c r="P1091" s="1"/>
      <c r="T1091" s="2"/>
    </row>
    <row r="1092" spans="16:20" x14ac:dyDescent="0.4">
      <c r="P1092" s="1"/>
      <c r="T1092" s="2"/>
    </row>
    <row r="1093" spans="16:20" x14ac:dyDescent="0.4">
      <c r="T1093" s="2"/>
    </row>
    <row r="1094" spans="16:20" x14ac:dyDescent="0.4">
      <c r="P1094" s="1"/>
      <c r="T1094" s="2"/>
    </row>
    <row r="1095" spans="16:20" x14ac:dyDescent="0.4">
      <c r="P1095" s="1"/>
      <c r="T1095" s="2"/>
    </row>
    <row r="1096" spans="16:20" x14ac:dyDescent="0.4">
      <c r="P1096" s="1"/>
      <c r="T1096" s="2"/>
    </row>
    <row r="1097" spans="16:20" x14ac:dyDescent="0.4">
      <c r="P1097" s="1"/>
      <c r="T1097" s="2"/>
    </row>
    <row r="1098" spans="16:20" x14ac:dyDescent="0.4">
      <c r="T1098" s="2"/>
    </row>
    <row r="1099" spans="16:20" x14ac:dyDescent="0.4">
      <c r="P1099" s="1"/>
      <c r="T1099" s="2"/>
    </row>
    <row r="1100" spans="16:20" x14ac:dyDescent="0.4">
      <c r="P1100" s="1"/>
      <c r="T1100" s="2"/>
    </row>
    <row r="1101" spans="16:20" x14ac:dyDescent="0.4">
      <c r="P1101" s="1"/>
      <c r="T1101" s="2"/>
    </row>
    <row r="1102" spans="16:20" x14ac:dyDescent="0.4">
      <c r="P1102" s="1"/>
      <c r="T1102" s="2"/>
    </row>
    <row r="1103" spans="16:20" x14ac:dyDescent="0.4">
      <c r="P1103" s="1"/>
      <c r="T1103" s="2"/>
    </row>
    <row r="1104" spans="16:20" x14ac:dyDescent="0.4">
      <c r="P1104" s="1"/>
      <c r="T1104" s="2"/>
    </row>
    <row r="1105" spans="16:20" x14ac:dyDescent="0.4">
      <c r="P1105" s="1"/>
      <c r="T1105" s="2"/>
    </row>
    <row r="1106" spans="16:20" x14ac:dyDescent="0.4">
      <c r="P1106" s="1"/>
      <c r="T1106" s="2"/>
    </row>
    <row r="1107" spans="16:20" x14ac:dyDescent="0.4">
      <c r="P1107" s="1"/>
      <c r="T1107" s="2"/>
    </row>
    <row r="1108" spans="16:20" x14ac:dyDescent="0.4">
      <c r="P1108" s="1"/>
      <c r="T1108" s="2"/>
    </row>
    <row r="1109" spans="16:20" x14ac:dyDescent="0.4">
      <c r="P1109" s="1"/>
      <c r="T1109" s="2"/>
    </row>
    <row r="1110" spans="16:20" x14ac:dyDescent="0.4">
      <c r="P1110" s="1"/>
      <c r="T1110" s="2"/>
    </row>
    <row r="1111" spans="16:20" x14ac:dyDescent="0.4">
      <c r="P1111" s="1"/>
      <c r="T1111" s="2"/>
    </row>
    <row r="1112" spans="16:20" x14ac:dyDescent="0.4">
      <c r="P1112" s="1"/>
      <c r="T1112" s="2"/>
    </row>
    <row r="1113" spans="16:20" x14ac:dyDescent="0.4">
      <c r="P1113" s="1"/>
      <c r="T1113" s="2"/>
    </row>
    <row r="1114" spans="16:20" x14ac:dyDescent="0.4">
      <c r="P1114" s="1"/>
      <c r="T1114" s="2"/>
    </row>
    <row r="1115" spans="16:20" x14ac:dyDescent="0.4">
      <c r="P1115" s="1"/>
      <c r="T1115" s="2"/>
    </row>
    <row r="1116" spans="16:20" x14ac:dyDescent="0.4">
      <c r="P1116" s="1"/>
      <c r="T1116" s="2"/>
    </row>
    <row r="1117" spans="16:20" x14ac:dyDescent="0.4">
      <c r="P1117" s="1"/>
      <c r="T1117" s="2"/>
    </row>
    <row r="1118" spans="16:20" x14ac:dyDescent="0.4">
      <c r="P1118" s="1"/>
      <c r="T1118" s="2"/>
    </row>
    <row r="1119" spans="16:20" x14ac:dyDescent="0.4">
      <c r="P1119" s="1"/>
      <c r="T1119" s="2"/>
    </row>
    <row r="1120" spans="16:20" x14ac:dyDescent="0.4">
      <c r="P1120" s="1"/>
      <c r="T1120" s="2"/>
    </row>
    <row r="1121" spans="16:20" x14ac:dyDescent="0.4">
      <c r="P1121" s="1"/>
      <c r="T1121" s="2"/>
    </row>
    <row r="1122" spans="16:20" x14ac:dyDescent="0.4">
      <c r="T1122" s="2"/>
    </row>
    <row r="1123" spans="16:20" x14ac:dyDescent="0.4">
      <c r="P1123" s="1"/>
      <c r="T1123" s="2"/>
    </row>
    <row r="1124" spans="16:20" x14ac:dyDescent="0.4">
      <c r="P1124" s="1"/>
      <c r="T1124" s="2"/>
    </row>
    <row r="1125" spans="16:20" x14ac:dyDescent="0.4">
      <c r="P1125" s="1"/>
      <c r="T1125" s="2"/>
    </row>
    <row r="1126" spans="16:20" x14ac:dyDescent="0.4">
      <c r="P1126" s="1"/>
      <c r="T1126" s="2"/>
    </row>
    <row r="1127" spans="16:20" x14ac:dyDescent="0.4">
      <c r="P1127" s="1"/>
      <c r="T1127" s="2"/>
    </row>
    <row r="1128" spans="16:20" x14ac:dyDescent="0.4">
      <c r="P1128" s="1"/>
      <c r="T1128" s="2"/>
    </row>
    <row r="1129" spans="16:20" x14ac:dyDescent="0.4">
      <c r="P1129" s="1"/>
      <c r="T1129" s="2"/>
    </row>
    <row r="1130" spans="16:20" x14ac:dyDescent="0.4">
      <c r="P1130" s="1"/>
      <c r="T1130" s="2"/>
    </row>
    <row r="1131" spans="16:20" x14ac:dyDescent="0.4">
      <c r="P1131" s="1"/>
      <c r="T1131" s="2"/>
    </row>
    <row r="1132" spans="16:20" x14ac:dyDescent="0.4">
      <c r="P1132" s="1"/>
      <c r="T1132" s="2"/>
    </row>
    <row r="1133" spans="16:20" x14ac:dyDescent="0.4">
      <c r="P1133" s="1"/>
      <c r="T1133" s="2"/>
    </row>
    <row r="1134" spans="16:20" x14ac:dyDescent="0.4">
      <c r="P1134" s="1"/>
      <c r="T1134" s="2"/>
    </row>
    <row r="1135" spans="16:20" x14ac:dyDescent="0.4">
      <c r="T1135" s="2"/>
    </row>
    <row r="1136" spans="16:20" x14ac:dyDescent="0.4">
      <c r="P1136" s="1"/>
      <c r="T1136" s="2"/>
    </row>
    <row r="1137" spans="16:20" x14ac:dyDescent="0.4">
      <c r="P1137" s="1"/>
      <c r="T1137" s="2"/>
    </row>
    <row r="1138" spans="16:20" x14ac:dyDescent="0.4">
      <c r="P1138" s="1"/>
      <c r="T1138" s="2"/>
    </row>
    <row r="1139" spans="16:20" x14ac:dyDescent="0.4">
      <c r="P1139" s="1"/>
      <c r="T1139" s="2"/>
    </row>
    <row r="1140" spans="16:20" x14ac:dyDescent="0.4">
      <c r="P1140" s="1"/>
      <c r="T1140" s="2"/>
    </row>
    <row r="1141" spans="16:20" x14ac:dyDescent="0.4">
      <c r="P1141" s="1"/>
      <c r="T1141" s="2"/>
    </row>
    <row r="1142" spans="16:20" x14ac:dyDescent="0.4">
      <c r="P1142" s="1"/>
      <c r="T1142" s="2"/>
    </row>
    <row r="1143" spans="16:20" x14ac:dyDescent="0.4">
      <c r="P1143" s="1"/>
      <c r="T1143" s="2"/>
    </row>
    <row r="1144" spans="16:20" x14ac:dyDescent="0.4">
      <c r="P1144" s="1"/>
      <c r="T1144" s="2"/>
    </row>
    <row r="1145" spans="16:20" x14ac:dyDescent="0.4">
      <c r="P1145" s="1"/>
      <c r="T1145" s="2"/>
    </row>
    <row r="1146" spans="16:20" x14ac:dyDescent="0.4">
      <c r="P1146" s="1"/>
      <c r="T1146" s="2"/>
    </row>
    <row r="1147" spans="16:20" x14ac:dyDescent="0.4">
      <c r="P1147" s="1"/>
      <c r="T1147" s="2"/>
    </row>
    <row r="1148" spans="16:20" x14ac:dyDescent="0.4">
      <c r="P1148" s="1"/>
      <c r="T1148" s="2"/>
    </row>
    <row r="1149" spans="16:20" x14ac:dyDescent="0.4">
      <c r="P1149" s="1"/>
      <c r="T1149" s="2"/>
    </row>
    <row r="1150" spans="16:20" x14ac:dyDescent="0.4">
      <c r="P1150" s="1"/>
      <c r="T1150" s="2"/>
    </row>
    <row r="1151" spans="16:20" x14ac:dyDescent="0.4">
      <c r="P1151" s="1"/>
      <c r="T1151" s="2"/>
    </row>
    <row r="1152" spans="16:20" x14ac:dyDescent="0.4">
      <c r="P1152" s="1"/>
      <c r="T1152" s="2"/>
    </row>
    <row r="1153" spans="16:20" x14ac:dyDescent="0.4">
      <c r="P1153" s="1"/>
      <c r="T1153" s="2"/>
    </row>
    <row r="1154" spans="16:20" x14ac:dyDescent="0.4">
      <c r="P1154" s="1"/>
      <c r="T1154" s="2"/>
    </row>
    <row r="1155" spans="16:20" x14ac:dyDescent="0.4">
      <c r="P1155" s="1"/>
      <c r="T1155" s="2"/>
    </row>
    <row r="1156" spans="16:20" x14ac:dyDescent="0.4">
      <c r="P1156" s="1"/>
      <c r="T1156" s="2"/>
    </row>
    <row r="1157" spans="16:20" x14ac:dyDescent="0.4">
      <c r="P1157" s="1"/>
      <c r="T1157" s="2"/>
    </row>
    <row r="1158" spans="16:20" x14ac:dyDescent="0.4">
      <c r="P1158" s="1"/>
      <c r="T1158" s="2"/>
    </row>
    <row r="1159" spans="16:20" x14ac:dyDescent="0.4">
      <c r="P1159" s="1"/>
      <c r="T1159" s="2"/>
    </row>
    <row r="1160" spans="16:20" x14ac:dyDescent="0.4">
      <c r="P1160" s="1"/>
      <c r="T1160" s="2"/>
    </row>
    <row r="1161" spans="16:20" x14ac:dyDescent="0.4">
      <c r="P1161" s="1"/>
      <c r="T1161" s="2"/>
    </row>
    <row r="1162" spans="16:20" x14ac:dyDescent="0.4">
      <c r="P1162" s="1"/>
      <c r="T1162" s="2"/>
    </row>
    <row r="1163" spans="16:20" x14ac:dyDescent="0.4">
      <c r="P1163" s="1"/>
      <c r="T1163" s="2"/>
    </row>
    <row r="1164" spans="16:20" x14ac:dyDescent="0.4">
      <c r="P1164" s="1"/>
      <c r="T1164" s="2"/>
    </row>
    <row r="1165" spans="16:20" x14ac:dyDescent="0.4">
      <c r="P1165" s="1"/>
      <c r="T1165" s="2"/>
    </row>
    <row r="1166" spans="16:20" x14ac:dyDescent="0.4">
      <c r="P1166" s="1"/>
      <c r="T1166" s="2"/>
    </row>
    <row r="1167" spans="16:20" x14ac:dyDescent="0.4">
      <c r="P1167" s="1"/>
      <c r="T1167" s="2"/>
    </row>
    <row r="1168" spans="16:20" x14ac:dyDescent="0.4">
      <c r="P1168" s="1"/>
      <c r="T1168" s="2"/>
    </row>
    <row r="1169" spans="16:20" x14ac:dyDescent="0.4">
      <c r="P1169" s="1"/>
      <c r="T1169" s="2"/>
    </row>
    <row r="1170" spans="16:20" x14ac:dyDescent="0.4">
      <c r="P1170" s="1"/>
      <c r="T1170" s="2"/>
    </row>
    <row r="1171" spans="16:20" x14ac:dyDescent="0.4">
      <c r="P1171" s="1"/>
      <c r="T1171" s="2"/>
    </row>
    <row r="1172" spans="16:20" x14ac:dyDescent="0.4">
      <c r="P1172" s="1"/>
      <c r="T1172" s="2"/>
    </row>
    <row r="1173" spans="16:20" x14ac:dyDescent="0.4">
      <c r="P1173" s="1"/>
      <c r="T1173" s="2"/>
    </row>
  </sheetData>
  <autoFilter ref="A2:X1177" xr:uid="{A1A65658-003C-4319-92DF-43BA8C70BA1A}"/>
  <sortState xmlns:xlrd2="http://schemas.microsoft.com/office/spreadsheetml/2017/richdata2" ref="A3:Y1177">
    <sortCondition ref="V3:V11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8292-4D05-450F-A795-6786A60429BF}">
  <dimension ref="A1:AH160"/>
  <sheetViews>
    <sheetView tabSelected="1" zoomScale="85" zoomScaleNormal="85" workbookViewId="0">
      <pane ySplit="2" topLeftCell="A3" activePane="bottomLeft" state="frozen"/>
      <selection pane="bottomLeft" activeCell="A4" sqref="A4"/>
    </sheetView>
    <sheetView workbookViewId="1">
      <pane ySplit="2" topLeftCell="A330" activePane="bottomLeft" state="frozen"/>
      <selection pane="bottomLeft" activeCell="A354" sqref="A354:XFD358"/>
    </sheetView>
  </sheetViews>
  <sheetFormatPr defaultRowHeight="14.6" x14ac:dyDescent="0.4"/>
  <cols>
    <col min="1" max="1" width="21.53515625" bestFit="1" customWidth="1"/>
    <col min="2" max="2" width="15.4609375" bestFit="1" customWidth="1"/>
    <col min="3" max="3" width="15.921875" bestFit="1" customWidth="1"/>
    <col min="4" max="4" width="13.4609375" bestFit="1" customWidth="1"/>
    <col min="5" max="5" width="10.765625" bestFit="1" customWidth="1"/>
    <col min="6" max="6" width="9.765625" customWidth="1"/>
    <col min="7" max="7" width="10.765625" bestFit="1" customWidth="1"/>
    <col min="8" max="8" width="11.84375" bestFit="1" customWidth="1"/>
    <col min="9" max="9" width="11.53515625" bestFit="1" customWidth="1"/>
    <col min="10" max="10" width="11.84375" bestFit="1" customWidth="1"/>
    <col min="11" max="11" width="15.765625" customWidth="1"/>
    <col min="12" max="12" width="15.53515625" customWidth="1"/>
    <col min="13" max="13" width="11.765625" bestFit="1" customWidth="1"/>
    <col min="14" max="14" width="12.07421875" bestFit="1" customWidth="1"/>
    <col min="15" max="15" width="12.07421875" customWidth="1"/>
    <col min="16" max="16" width="14.921875" bestFit="1" customWidth="1"/>
    <col min="17" max="18" width="9.3828125" customWidth="1"/>
    <col min="19" max="19" width="11.15234375" bestFit="1" customWidth="1"/>
    <col min="20" max="20" width="12.3046875" bestFit="1" customWidth="1"/>
    <col min="27" max="27" width="12.4609375" bestFit="1" customWidth="1"/>
    <col min="31" max="32" width="11.3828125" bestFit="1" customWidth="1"/>
    <col min="34" max="34" width="11.921875" bestFit="1" customWidth="1"/>
  </cols>
  <sheetData>
    <row r="1" spans="1:34" x14ac:dyDescent="0.4">
      <c r="B1" t="s">
        <v>175</v>
      </c>
      <c r="D1" t="s">
        <v>176</v>
      </c>
      <c r="F1" t="s">
        <v>24</v>
      </c>
      <c r="M1" t="s">
        <v>24</v>
      </c>
      <c r="N1" t="s">
        <v>175</v>
      </c>
      <c r="O1" t="s">
        <v>176</v>
      </c>
      <c r="W1" t="s">
        <v>192</v>
      </c>
      <c r="AH1" s="7">
        <v>-1E-10</v>
      </c>
    </row>
    <row r="2" spans="1:34" s="4" customFormat="1" ht="43.75" x14ac:dyDescent="0.4">
      <c r="A2" s="4" t="s">
        <v>19</v>
      </c>
      <c r="B2" s="4" t="s">
        <v>34</v>
      </c>
      <c r="C2" s="4" t="s">
        <v>25</v>
      </c>
      <c r="D2" s="4" t="s">
        <v>33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35</v>
      </c>
      <c r="K2" s="4" t="s">
        <v>189</v>
      </c>
      <c r="L2" s="4" t="s">
        <v>190</v>
      </c>
      <c r="M2" s="4" t="s">
        <v>171</v>
      </c>
      <c r="N2" s="4" t="s">
        <v>172</v>
      </c>
      <c r="O2" s="4" t="s">
        <v>173</v>
      </c>
      <c r="P2" s="4" t="s">
        <v>170</v>
      </c>
      <c r="Q2" s="4" t="s">
        <v>177</v>
      </c>
      <c r="R2" s="4" t="s">
        <v>193</v>
      </c>
      <c r="S2" s="9" t="s">
        <v>168</v>
      </c>
      <c r="T2" s="10" t="s">
        <v>165</v>
      </c>
      <c r="V2" t="s">
        <v>24</v>
      </c>
      <c r="W2" s="4" t="s">
        <v>175</v>
      </c>
      <c r="X2" s="4" t="s">
        <v>176</v>
      </c>
      <c r="Y2" s="4" t="s">
        <v>24</v>
      </c>
      <c r="AA2" t="s">
        <v>180</v>
      </c>
      <c r="AB2"/>
      <c r="AC2"/>
      <c r="AD2"/>
      <c r="AE2"/>
      <c r="AF2"/>
      <c r="AH2" s="8">
        <f>-AH1</f>
        <v>1E-10</v>
      </c>
    </row>
    <row r="3" spans="1:34" x14ac:dyDescent="0.4">
      <c r="A3" s="11" t="str">
        <f>LEFT(Taostats_CSV!C3,10)&amp;" "&amp;MID(Taostats_CSV!C3,12,8)&amp;" UTC"</f>
        <v>2024-12-31 23:59:48 UTC</v>
      </c>
      <c r="B3" s="11" t="str">
        <f ca="1">IF(P3,OFFSET(Taostats_CSV!$G$1,MATCH(L3&amp;B$1,Taostats_CSV!$X:$X,0)-1,0),IF(Taostats_CSV!F3="fee","0",IF(VALUE(Taostats_CSV!G3)&gt;0,Taostats_CSV!G3,"")))</f>
        <v/>
      </c>
      <c r="C3" s="11" t="str">
        <f ca="1">IF(P3,OFFSET(Taostats_CSV!$E$1,MATCH(L3&amp;B$1,Taostats_CSV!$X:$X,0)-1,0),IF(Taostats_CSV!F3="fee","TAO",IF(VALUE(Taostats_CSV!G3)&gt;0,Taostats_CSV!E3,"")))</f>
        <v/>
      </c>
      <c r="D3" s="11" t="str">
        <f ca="1">TRIM(IF(AND(P3,O3&gt;0),OFFSET(Taostats_CSV!$H$1,MATCH(L3&amp;D$1,Taostats_CSV!$X:$X,0)-1,0),IF(LEN(Taostats_CSV!H3)&gt;0,Taostats_CSV!H3,Taostats_CSV!R3)))</f>
        <v/>
      </c>
      <c r="E3" s="11" t="str">
        <f ca="1">IF(AND(P3,O3&gt;0),OFFSET(Taostats_CSV!$E$1,MATCH(L3&amp;D$1,Taostats_CSV!$X:$X,0)-1,0),IF(LEN(D3)&gt;0,Taostats_CSV!E3,""))</f>
        <v/>
      </c>
      <c r="F3" s="11" t="str">
        <f ca="1">IF(AND(P3,M3=1),OFFSET(Taostats_CSV!$G$1,MATCH(L3&amp;F$1,Taostats_CSV!$X:$X,0)-1,0),IF(Taostats_CSV!F3="fee",Taostats_CSV!G3,""))</f>
        <v/>
      </c>
      <c r="G3" s="11" t="str">
        <f ca="1">IF(AND(P3,M3=1),OFFSET(Taostats_CSV!$E$1,MATCH(L3&amp;F$1,Taostats_CSV!$X:$X,0)-1,0),IF(Taostats_CSV!F3="fee",Taostats_CSV!E3,""))</f>
        <v/>
      </c>
      <c r="H3" s="11" t="str">
        <f>IF(Taostats_CSV!E3&lt;&gt;"TAO",IF(LEN(D3)&gt;0,D3,IF(LEN(B3)&gt;0,B3,0))*Taostats_CSV!P3,"")</f>
        <v/>
      </c>
      <c r="I3" s="11" t="str">
        <f>IF(LEN(H3)&gt;0,"USD","")</f>
        <v/>
      </c>
      <c r="J3" s="11" t="str">
        <f ca="1">IF(AND(LEN(L3)=0,LEN(D3)&gt;0),"other_income",IF(AND(N3&gt;0,O3&gt;0,C3&lt;&gt;E3),"bridge",""))</f>
        <v/>
      </c>
      <c r="K3" s="11" t="str">
        <f ca="1">SUBSTITUTE(IF(LEN(J3)=0,Taostats_CSV!F3&amp;" "&amp;Taostats_CSV!J3,IF(J3="Cost","Extrinsic fee","")),"_"," ")</f>
        <v xml:space="preserve"> </v>
      </c>
      <c r="L3" s="11" t="str">
        <f>TRIM(IF(LEN(Taostats_CSV!I3)&gt;0,Taostats_CSV!I3,""))</f>
        <v/>
      </c>
      <c r="M3" s="11">
        <f>COUNTIF(Taostats_CSV!$X:$X,Taostats_CSV!$I3&amp;M$1)</f>
        <v>0</v>
      </c>
      <c r="N3" s="11">
        <f>COUNTIF(Taostats_CSV!$X:$X,Taostats_CSV!$I3&amp;N$1)</f>
        <v>0</v>
      </c>
      <c r="O3" s="11">
        <f>COUNTIF(Taostats_CSV!$X:$X,Taostats_CSV!$I3&amp;O$1)</f>
        <v>0</v>
      </c>
      <c r="P3" s="11" t="b">
        <f>AND(N3&lt;=1,M3&lt;=1,O3&lt;=1,N3+M3+O3&gt;=2)</f>
        <v>0</v>
      </c>
      <c r="Q3" s="11" t="b">
        <f>IF(LEN(L3)&gt;0,COUNTIF($L$3:L3,L3),FALSE)</f>
        <v>0</v>
      </c>
      <c r="R3" s="11" t="b">
        <f>IF(Taostats_CSV!A3=Taostats_CSV!$A$2,TRUE,Taostats_CSV!G3+Taostats_CSV!H3+Taostats_CSV!R3=0)</f>
        <v>1</v>
      </c>
      <c r="S3" s="11" t="b">
        <f>AND(NOT(R3),OR(NOT(P3),Q3=1))</f>
        <v>0</v>
      </c>
      <c r="T3" s="11" t="b" cm="1">
        <f t="array" aca="1" ref="T3" ca="1">OR(N3-M3&gt;1,O3&gt;1,ISERROR(A3:O3))</f>
        <v>0</v>
      </c>
      <c r="U3" s="11"/>
      <c r="V3" s="11" t="e">
        <f>MATCH(L3&amp;$V$2,Taostats_CSV!$X$3:$X$3,0)</f>
        <v>#N/A</v>
      </c>
      <c r="W3" s="11" t="e">
        <f ca="1">VALUE(B3)</f>
        <v>#VALUE!</v>
      </c>
      <c r="X3" s="11" t="e">
        <f ca="1">VALUE(D3)</f>
        <v>#VALUE!</v>
      </c>
      <c r="Y3" s="11" t="e">
        <f ca="1">VALUE(F3)</f>
        <v>#VALUE!</v>
      </c>
      <c r="AA3" t="s">
        <v>181</v>
      </c>
      <c r="AD3" t="s">
        <v>182</v>
      </c>
      <c r="AG3" t="s">
        <v>183</v>
      </c>
      <c r="AH3" t="s">
        <v>188</v>
      </c>
    </row>
    <row r="4" spans="1:34" x14ac:dyDescent="0.4">
      <c r="Z4" t="str" cm="1">
        <f t="array" ref="Z4:Z6">_xlfn.UNIQUE(Taostats_CSV!E2:E8820)</f>
        <v>Token</v>
      </c>
      <c r="AA4" t="s">
        <v>175</v>
      </c>
      <c r="AB4" t="s">
        <v>179</v>
      </c>
      <c r="AC4" t="s">
        <v>184</v>
      </c>
      <c r="AD4" t="s">
        <v>175</v>
      </c>
      <c r="AE4" t="s">
        <v>176</v>
      </c>
      <c r="AF4" t="s">
        <v>178</v>
      </c>
      <c r="AG4" t="s">
        <v>175</v>
      </c>
      <c r="AH4" t="s">
        <v>176</v>
      </c>
    </row>
    <row r="5" spans="1:34" x14ac:dyDescent="0.4">
      <c r="Z5" t="str">
        <v>TAO</v>
      </c>
      <c r="AA5">
        <f>SUMIF(Taostats_CSV!$E:$E,Z5,Taostats_CSV!G:G)</f>
        <v>0</v>
      </c>
      <c r="AB5">
        <f>SUMIF(Taostats_CSV!$E:$E,Z5,Taostats_CSV!H:H)</f>
        <v>0</v>
      </c>
      <c r="AC5">
        <f>SUMIF(Taostats_CSV!$E:$E,Z5,Taostats_CSV!R:R)</f>
        <v>0</v>
      </c>
      <c r="AD5" s="4">
        <f t="shared" ref="AD5:AD36" si="0">SUMIFS($W:$W,$C:$C,$Z5,$S:$S,TRUE)</f>
        <v>0</v>
      </c>
      <c r="AE5" s="4">
        <f t="shared" ref="AE5:AE36" si="1">SUMIFS($X:$X,$E:$E,$Z5,$S:$S,TRUE)</f>
        <v>0</v>
      </c>
      <c r="AF5" s="4">
        <f t="shared" ref="AF5:AF36" si="2">SUMIFS($F:$F,$G:$G,$Z5,$S:$S,TRUE)</f>
        <v>0</v>
      </c>
      <c r="AG5">
        <f>AD5+AF5-AA5</f>
        <v>0</v>
      </c>
      <c r="AH5">
        <f>AE5-AC5-AB5</f>
        <v>0</v>
      </c>
    </row>
    <row r="6" spans="1:34" x14ac:dyDescent="0.4">
      <c r="Z6">
        <v>0</v>
      </c>
      <c r="AA6">
        <f>SUMIF(Taostats_CSV!$E:$E,Z6,Taostats_CSV!G:G)</f>
        <v>0</v>
      </c>
      <c r="AB6">
        <f>SUMIF(Taostats_CSV!$E:$E,Z6,Taostats_CSV!H:H)</f>
        <v>0</v>
      </c>
      <c r="AC6">
        <f>SUMIF(Taostats_CSV!$E:$E,Z6,Taostats_CSV!R:R)</f>
        <v>0</v>
      </c>
      <c r="AD6" s="4">
        <f t="shared" ca="1" si="0"/>
        <v>0</v>
      </c>
      <c r="AE6" s="4">
        <f t="shared" ca="1" si="1"/>
        <v>0</v>
      </c>
      <c r="AF6" s="4">
        <f t="shared" ca="1" si="2"/>
        <v>0</v>
      </c>
      <c r="AG6">
        <f t="shared" ref="AG6:AG9" ca="1" si="3">AD6+AF6-AA6</f>
        <v>0</v>
      </c>
      <c r="AH6">
        <f t="shared" ref="AH6:AH9" ca="1" si="4">AE6-AC6-AB6</f>
        <v>0</v>
      </c>
    </row>
    <row r="7" spans="1:34" x14ac:dyDescent="0.4">
      <c r="AA7">
        <f>SUMIF(Taostats_CSV!$E:$E,Z7,Taostats_CSV!G:G)</f>
        <v>0</v>
      </c>
      <c r="AB7">
        <f>SUMIF(Taostats_CSV!$E:$E,Z7,Taostats_CSV!H:H)</f>
        <v>0</v>
      </c>
      <c r="AC7">
        <f>SUMIF(Taostats_CSV!$E:$E,Z7,Taostats_CSV!R:R)</f>
        <v>0</v>
      </c>
      <c r="AD7" s="4">
        <f t="shared" ca="1" si="0"/>
        <v>0</v>
      </c>
      <c r="AE7" s="4">
        <f t="shared" ca="1" si="1"/>
        <v>0</v>
      </c>
      <c r="AF7" s="4">
        <f t="shared" ca="1" si="2"/>
        <v>0</v>
      </c>
      <c r="AG7">
        <f t="shared" ca="1" si="3"/>
        <v>0</v>
      </c>
      <c r="AH7">
        <f t="shared" ca="1" si="4"/>
        <v>0</v>
      </c>
    </row>
    <row r="8" spans="1:34" x14ac:dyDescent="0.4">
      <c r="AA8">
        <f>SUMIF(Taostats_CSV!$E:$E,Z8,Taostats_CSV!G:G)</f>
        <v>0</v>
      </c>
      <c r="AB8">
        <f>SUMIF(Taostats_CSV!$E:$E,Z8,Taostats_CSV!H:H)</f>
        <v>0</v>
      </c>
      <c r="AC8">
        <f>SUMIF(Taostats_CSV!$E:$E,Z8,Taostats_CSV!R:R)</f>
        <v>0</v>
      </c>
      <c r="AD8" s="4">
        <f t="shared" ca="1" si="0"/>
        <v>0</v>
      </c>
      <c r="AE8" s="4">
        <f t="shared" si="1"/>
        <v>0</v>
      </c>
      <c r="AF8" s="4">
        <f t="shared" ca="1" si="2"/>
        <v>0</v>
      </c>
      <c r="AG8">
        <f t="shared" ca="1" si="3"/>
        <v>0</v>
      </c>
      <c r="AH8">
        <f t="shared" si="4"/>
        <v>0</v>
      </c>
    </row>
    <row r="9" spans="1:34" x14ac:dyDescent="0.4">
      <c r="AA9">
        <f>SUMIF(Taostats_CSV!$E:$E,Z9,Taostats_CSV!G:G)</f>
        <v>0</v>
      </c>
      <c r="AB9">
        <f>SUMIF(Taostats_CSV!$E:$E,Z9,Taostats_CSV!H:H)</f>
        <v>0</v>
      </c>
      <c r="AC9">
        <f>SUMIF(Taostats_CSV!$E:$E,Z9,Taostats_CSV!R:R)</f>
        <v>0</v>
      </c>
      <c r="AD9" s="4">
        <f t="shared" ca="1" si="0"/>
        <v>0</v>
      </c>
      <c r="AE9" s="4">
        <f t="shared" ca="1" si="1"/>
        <v>0</v>
      </c>
      <c r="AF9" s="4">
        <f t="shared" ca="1" si="2"/>
        <v>0</v>
      </c>
      <c r="AG9">
        <f t="shared" ca="1" si="3"/>
        <v>0</v>
      </c>
      <c r="AH9">
        <f t="shared" ca="1" si="4"/>
        <v>0</v>
      </c>
    </row>
    <row r="10" spans="1:34" x14ac:dyDescent="0.4">
      <c r="AA10">
        <f>SUMIF(Taostats_CSV!$E:$E,Z10,Taostats_CSV!G:G)</f>
        <v>0</v>
      </c>
      <c r="AB10">
        <f>SUMIF(Taostats_CSV!$E:$E,Z10,Taostats_CSV!H:H)</f>
        <v>0</v>
      </c>
      <c r="AC10">
        <f>SUMIF(Taostats_CSV!$E:$E,Z10,Taostats_CSV!R:R)</f>
        <v>0</v>
      </c>
      <c r="AD10" s="4">
        <f t="shared" si="0"/>
        <v>0</v>
      </c>
      <c r="AE10" s="4">
        <f t="shared" si="1"/>
        <v>0</v>
      </c>
      <c r="AF10" s="4">
        <f t="shared" ca="1" si="2"/>
        <v>0</v>
      </c>
      <c r="AG10">
        <f t="shared" ref="AG10:AG16" ca="1" si="5">AD10+AF10-AA10</f>
        <v>0</v>
      </c>
      <c r="AH10">
        <f t="shared" ref="AH10:AH16" si="6">AE10-AC10-AB10</f>
        <v>0</v>
      </c>
    </row>
    <row r="11" spans="1:34" x14ac:dyDescent="0.4">
      <c r="AA11">
        <f>SUMIF(Taostats_CSV!$E:$E,Z11,Taostats_CSV!G:G)</f>
        <v>0</v>
      </c>
      <c r="AB11">
        <f>SUMIF(Taostats_CSV!$E:$E,Z11,Taostats_CSV!H:H)</f>
        <v>0</v>
      </c>
      <c r="AC11">
        <f>SUMIF(Taostats_CSV!$E:$E,Z11,Taostats_CSV!R:R)</f>
        <v>0</v>
      </c>
      <c r="AD11" s="4">
        <f t="shared" ca="1" si="0"/>
        <v>0</v>
      </c>
      <c r="AE11" s="4">
        <f t="shared" ca="1" si="1"/>
        <v>0</v>
      </c>
      <c r="AF11" s="4">
        <f t="shared" ca="1" si="2"/>
        <v>0</v>
      </c>
      <c r="AG11">
        <f t="shared" ca="1" si="5"/>
        <v>0</v>
      </c>
      <c r="AH11">
        <f t="shared" ca="1" si="6"/>
        <v>0</v>
      </c>
    </row>
    <row r="12" spans="1:34" x14ac:dyDescent="0.4">
      <c r="AA12">
        <f>SUMIF(Taostats_CSV!$E:$E,Z12,Taostats_CSV!G:G)</f>
        <v>0</v>
      </c>
      <c r="AB12">
        <f>SUMIF(Taostats_CSV!$E:$E,Z12,Taostats_CSV!H:H)</f>
        <v>0</v>
      </c>
      <c r="AC12">
        <f>SUMIF(Taostats_CSV!$E:$E,Z12,Taostats_CSV!R:R)</f>
        <v>0</v>
      </c>
      <c r="AD12" s="4">
        <f t="shared" si="0"/>
        <v>0</v>
      </c>
      <c r="AE12" s="4">
        <f t="shared" si="1"/>
        <v>0</v>
      </c>
      <c r="AF12" s="4">
        <f t="shared" ca="1" si="2"/>
        <v>0</v>
      </c>
      <c r="AG12">
        <f t="shared" ca="1" si="5"/>
        <v>0</v>
      </c>
      <c r="AH12">
        <f t="shared" si="6"/>
        <v>0</v>
      </c>
    </row>
    <row r="13" spans="1:34" x14ac:dyDescent="0.4">
      <c r="AA13">
        <f>SUMIF(Taostats_CSV!$E:$E,Z13,Taostats_CSV!G:G)</f>
        <v>0</v>
      </c>
      <c r="AB13">
        <f>SUMIF(Taostats_CSV!$E:$E,Z13,Taostats_CSV!H:H)</f>
        <v>0</v>
      </c>
      <c r="AC13">
        <f>SUMIF(Taostats_CSV!$E:$E,Z13,Taostats_CSV!R:R)</f>
        <v>0</v>
      </c>
      <c r="AD13" s="4">
        <f t="shared" ca="1" si="0"/>
        <v>0</v>
      </c>
      <c r="AE13" s="4">
        <f t="shared" ca="1" si="1"/>
        <v>0</v>
      </c>
      <c r="AF13" s="4">
        <f t="shared" ca="1" si="2"/>
        <v>0</v>
      </c>
      <c r="AG13">
        <f t="shared" ca="1" si="5"/>
        <v>0</v>
      </c>
      <c r="AH13">
        <f t="shared" ca="1" si="6"/>
        <v>0</v>
      </c>
    </row>
    <row r="14" spans="1:34" x14ac:dyDescent="0.4">
      <c r="AA14">
        <f>SUMIF(Taostats_CSV!$E:$E,Z14,Taostats_CSV!G:G)</f>
        <v>0</v>
      </c>
      <c r="AB14">
        <f>SUMIF(Taostats_CSV!$E:$E,Z14,Taostats_CSV!H:H)</f>
        <v>0</v>
      </c>
      <c r="AC14">
        <f>SUMIF(Taostats_CSV!$E:$E,Z14,Taostats_CSV!R:R)</f>
        <v>0</v>
      </c>
      <c r="AD14" s="4">
        <f t="shared" si="0"/>
        <v>0</v>
      </c>
      <c r="AE14" s="4">
        <f t="shared" ca="1" si="1"/>
        <v>0</v>
      </c>
      <c r="AF14" s="4">
        <f t="shared" ca="1" si="2"/>
        <v>0</v>
      </c>
      <c r="AG14">
        <f t="shared" ca="1" si="5"/>
        <v>0</v>
      </c>
      <c r="AH14">
        <f t="shared" ca="1" si="6"/>
        <v>0</v>
      </c>
    </row>
    <row r="15" spans="1:34" x14ac:dyDescent="0.4">
      <c r="AA15">
        <f>SUMIF(Taostats_CSV!$E:$E,Z15,Taostats_CSV!G:G)</f>
        <v>0</v>
      </c>
      <c r="AB15">
        <f>SUMIF(Taostats_CSV!$E:$E,Z15,Taostats_CSV!H:H)</f>
        <v>0</v>
      </c>
      <c r="AC15">
        <f>SUMIF(Taostats_CSV!$E:$E,Z15,Taostats_CSV!R:R)</f>
        <v>0</v>
      </c>
      <c r="AD15" s="4">
        <f t="shared" ca="1" si="0"/>
        <v>0</v>
      </c>
      <c r="AE15" s="4">
        <f t="shared" ca="1" si="1"/>
        <v>0</v>
      </c>
      <c r="AF15" s="4">
        <f t="shared" si="2"/>
        <v>0</v>
      </c>
      <c r="AG15">
        <f t="shared" ca="1" si="5"/>
        <v>0</v>
      </c>
      <c r="AH15">
        <f t="shared" ca="1" si="6"/>
        <v>0</v>
      </c>
    </row>
    <row r="16" spans="1:34" x14ac:dyDescent="0.4">
      <c r="AA16">
        <f>SUMIF(Taostats_CSV!$E:$E,Z16,Taostats_CSV!G:G)</f>
        <v>0</v>
      </c>
      <c r="AB16">
        <f>SUMIF(Taostats_CSV!$E:$E,Z16,Taostats_CSV!H:H)</f>
        <v>0</v>
      </c>
      <c r="AC16">
        <f>SUMIF(Taostats_CSV!$E:$E,Z16,Taostats_CSV!R:R)</f>
        <v>0</v>
      </c>
      <c r="AD16" s="4">
        <f t="shared" si="0"/>
        <v>0</v>
      </c>
      <c r="AE16" s="4">
        <f t="shared" ca="1" si="1"/>
        <v>0</v>
      </c>
      <c r="AF16" s="4">
        <f t="shared" ca="1" si="2"/>
        <v>0</v>
      </c>
      <c r="AG16">
        <f t="shared" ca="1" si="5"/>
        <v>0</v>
      </c>
      <c r="AH16">
        <f t="shared" ca="1" si="6"/>
        <v>0</v>
      </c>
    </row>
    <row r="17" spans="27:34" x14ac:dyDescent="0.4">
      <c r="AA17">
        <f>SUMIF(Taostats_CSV!$E:$E,Z17,Taostats_CSV!G:G)</f>
        <v>0</v>
      </c>
      <c r="AB17">
        <f>SUMIF(Taostats_CSV!$E:$E,Z17,Taostats_CSV!H:H)</f>
        <v>0</v>
      </c>
      <c r="AC17">
        <f>SUMIF(Taostats_CSV!$E:$E,Z17,Taostats_CSV!R:R)</f>
        <v>0</v>
      </c>
      <c r="AD17" s="4">
        <f t="shared" ca="1" si="0"/>
        <v>0</v>
      </c>
      <c r="AE17" s="4">
        <f t="shared" ca="1" si="1"/>
        <v>0</v>
      </c>
      <c r="AF17" s="4">
        <f t="shared" ca="1" si="2"/>
        <v>0</v>
      </c>
      <c r="AG17">
        <f t="shared" ref="AG17:AG53" ca="1" si="7">AD17+AF17-AA17</f>
        <v>0</v>
      </c>
      <c r="AH17">
        <f t="shared" ref="AH17:AH53" ca="1" si="8">AE17-AC17-AB17</f>
        <v>0</v>
      </c>
    </row>
    <row r="18" spans="27:34" x14ac:dyDescent="0.4">
      <c r="AA18">
        <f>SUMIF(Taostats_CSV!$E:$E,Z18,Taostats_CSV!G:G)</f>
        <v>0</v>
      </c>
      <c r="AB18">
        <f>SUMIF(Taostats_CSV!$E:$E,Z18,Taostats_CSV!H:H)</f>
        <v>0</v>
      </c>
      <c r="AC18">
        <f>SUMIF(Taostats_CSV!$E:$E,Z18,Taostats_CSV!R:R)</f>
        <v>0</v>
      </c>
      <c r="AD18" s="4">
        <f t="shared" si="0"/>
        <v>0</v>
      </c>
      <c r="AE18" s="4">
        <f t="shared" ca="1" si="1"/>
        <v>0</v>
      </c>
      <c r="AF18" s="4">
        <f t="shared" ca="1" si="2"/>
        <v>0</v>
      </c>
      <c r="AG18">
        <f t="shared" ca="1" si="7"/>
        <v>0</v>
      </c>
      <c r="AH18">
        <f t="shared" ca="1" si="8"/>
        <v>0</v>
      </c>
    </row>
    <row r="19" spans="27:34" x14ac:dyDescent="0.4">
      <c r="AA19">
        <f>SUMIF(Taostats_CSV!$E:$E,Z19,Taostats_CSV!G:G)</f>
        <v>0</v>
      </c>
      <c r="AB19">
        <f>SUMIF(Taostats_CSV!$E:$E,Z19,Taostats_CSV!H:H)</f>
        <v>0</v>
      </c>
      <c r="AC19">
        <f>SUMIF(Taostats_CSV!$E:$E,Z19,Taostats_CSV!R:R)</f>
        <v>0</v>
      </c>
      <c r="AD19" s="4">
        <f t="shared" ca="1" si="0"/>
        <v>0</v>
      </c>
      <c r="AE19" s="4">
        <f t="shared" ca="1" si="1"/>
        <v>0</v>
      </c>
      <c r="AF19" s="4">
        <f t="shared" ca="1" si="2"/>
        <v>0</v>
      </c>
      <c r="AG19">
        <f t="shared" ca="1" si="7"/>
        <v>0</v>
      </c>
      <c r="AH19">
        <f t="shared" ca="1" si="8"/>
        <v>0</v>
      </c>
    </row>
    <row r="20" spans="27:34" x14ac:dyDescent="0.4">
      <c r="AA20">
        <f>SUMIF(Taostats_CSV!$E:$E,Z20,Taostats_CSV!G:G)</f>
        <v>0</v>
      </c>
      <c r="AB20">
        <f>SUMIF(Taostats_CSV!$E:$E,Z20,Taostats_CSV!H:H)</f>
        <v>0</v>
      </c>
      <c r="AC20">
        <f>SUMIF(Taostats_CSV!$E:$E,Z20,Taostats_CSV!R:R)</f>
        <v>0</v>
      </c>
      <c r="AD20" s="4">
        <f t="shared" si="0"/>
        <v>0</v>
      </c>
      <c r="AE20" s="4">
        <f t="shared" ca="1" si="1"/>
        <v>0</v>
      </c>
      <c r="AF20" s="4">
        <f t="shared" ca="1" si="2"/>
        <v>0</v>
      </c>
      <c r="AG20">
        <f t="shared" ca="1" si="7"/>
        <v>0</v>
      </c>
      <c r="AH20">
        <f t="shared" ca="1" si="8"/>
        <v>0</v>
      </c>
    </row>
    <row r="21" spans="27:34" x14ac:dyDescent="0.4">
      <c r="AA21">
        <f>SUMIF(Taostats_CSV!$E:$E,Z21,Taostats_CSV!G:G)</f>
        <v>0</v>
      </c>
      <c r="AB21">
        <f>SUMIF(Taostats_CSV!$E:$E,Z21,Taostats_CSV!H:H)</f>
        <v>0</v>
      </c>
      <c r="AC21">
        <f>SUMIF(Taostats_CSV!$E:$E,Z21,Taostats_CSV!R:R)</f>
        <v>0</v>
      </c>
      <c r="AD21" s="4">
        <f t="shared" ca="1" si="0"/>
        <v>0</v>
      </c>
      <c r="AE21" s="4">
        <f t="shared" ca="1" si="1"/>
        <v>0</v>
      </c>
      <c r="AF21" s="4">
        <f t="shared" ca="1" si="2"/>
        <v>0</v>
      </c>
      <c r="AG21">
        <f t="shared" ca="1" si="7"/>
        <v>0</v>
      </c>
      <c r="AH21">
        <f t="shared" ca="1" si="8"/>
        <v>0</v>
      </c>
    </row>
    <row r="22" spans="27:34" x14ac:dyDescent="0.4">
      <c r="AA22">
        <f>SUMIF(Taostats_CSV!$E:$E,Z22,Taostats_CSV!G:G)</f>
        <v>0</v>
      </c>
      <c r="AB22">
        <f>SUMIF(Taostats_CSV!$E:$E,Z22,Taostats_CSV!H:H)</f>
        <v>0</v>
      </c>
      <c r="AC22">
        <f>SUMIF(Taostats_CSV!$E:$E,Z22,Taostats_CSV!R:R)</f>
        <v>0</v>
      </c>
      <c r="AD22" s="4">
        <f t="shared" ca="1" si="0"/>
        <v>0</v>
      </c>
      <c r="AE22" s="4">
        <f t="shared" ca="1" si="1"/>
        <v>0</v>
      </c>
      <c r="AF22" s="4">
        <f t="shared" ca="1" si="2"/>
        <v>0</v>
      </c>
      <c r="AG22">
        <f t="shared" ca="1" si="7"/>
        <v>0</v>
      </c>
      <c r="AH22">
        <f t="shared" ca="1" si="8"/>
        <v>0</v>
      </c>
    </row>
    <row r="23" spans="27:34" x14ac:dyDescent="0.4">
      <c r="AA23">
        <f>SUMIF(Taostats_CSV!$E:$E,Z23,Taostats_CSV!G:G)</f>
        <v>0</v>
      </c>
      <c r="AB23">
        <f>SUMIF(Taostats_CSV!$E:$E,Z23,Taostats_CSV!H:H)</f>
        <v>0</v>
      </c>
      <c r="AC23">
        <f>SUMIF(Taostats_CSV!$E:$E,Z23,Taostats_CSV!R:R)</f>
        <v>0</v>
      </c>
      <c r="AD23" s="4">
        <f t="shared" ca="1" si="0"/>
        <v>0</v>
      </c>
      <c r="AE23" s="4">
        <f t="shared" ca="1" si="1"/>
        <v>0</v>
      </c>
      <c r="AF23" s="4">
        <f t="shared" ca="1" si="2"/>
        <v>0</v>
      </c>
      <c r="AG23">
        <f t="shared" ca="1" si="7"/>
        <v>0</v>
      </c>
      <c r="AH23">
        <f t="shared" ca="1" si="8"/>
        <v>0</v>
      </c>
    </row>
    <row r="24" spans="27:34" x14ac:dyDescent="0.4">
      <c r="AA24">
        <f>SUMIF(Taostats_CSV!$E:$E,Z24,Taostats_CSV!G:G)</f>
        <v>0</v>
      </c>
      <c r="AB24">
        <f>SUMIF(Taostats_CSV!$E:$E,Z24,Taostats_CSV!H:H)</f>
        <v>0</v>
      </c>
      <c r="AC24">
        <f>SUMIF(Taostats_CSV!$E:$E,Z24,Taostats_CSV!R:R)</f>
        <v>0</v>
      </c>
      <c r="AD24" s="4">
        <f t="shared" ca="1" si="0"/>
        <v>0</v>
      </c>
      <c r="AE24" s="4">
        <f t="shared" ca="1" si="1"/>
        <v>0</v>
      </c>
      <c r="AF24" s="4">
        <f t="shared" ca="1" si="2"/>
        <v>0</v>
      </c>
      <c r="AG24">
        <f t="shared" ca="1" si="7"/>
        <v>0</v>
      </c>
      <c r="AH24">
        <f t="shared" ca="1" si="8"/>
        <v>0</v>
      </c>
    </row>
    <row r="25" spans="27:34" x14ac:dyDescent="0.4">
      <c r="AA25">
        <f>SUMIF(Taostats_CSV!$E:$E,Z25,Taostats_CSV!G:G)</f>
        <v>0</v>
      </c>
      <c r="AB25">
        <f>SUMIF(Taostats_CSV!$E:$E,Z25,Taostats_CSV!H:H)</f>
        <v>0</v>
      </c>
      <c r="AC25">
        <f>SUMIF(Taostats_CSV!$E:$E,Z25,Taostats_CSV!R:R)</f>
        <v>0</v>
      </c>
      <c r="AD25" s="4">
        <f t="shared" ca="1" si="0"/>
        <v>0</v>
      </c>
      <c r="AE25" s="4">
        <f t="shared" ca="1" si="1"/>
        <v>0</v>
      </c>
      <c r="AF25" s="4">
        <f t="shared" si="2"/>
        <v>0</v>
      </c>
      <c r="AG25">
        <f t="shared" ca="1" si="7"/>
        <v>0</v>
      </c>
      <c r="AH25">
        <f t="shared" ca="1" si="8"/>
        <v>0</v>
      </c>
    </row>
    <row r="26" spans="27:34" x14ac:dyDescent="0.4">
      <c r="AA26">
        <f>SUMIF(Taostats_CSV!$E:$E,Z26,Taostats_CSV!G:G)</f>
        <v>0</v>
      </c>
      <c r="AB26">
        <f>SUMIF(Taostats_CSV!$E:$E,Z26,Taostats_CSV!H:H)</f>
        <v>0</v>
      </c>
      <c r="AC26">
        <f>SUMIF(Taostats_CSV!$E:$E,Z26,Taostats_CSV!R:R)</f>
        <v>0</v>
      </c>
      <c r="AD26" s="4">
        <f t="shared" ca="1" si="0"/>
        <v>0</v>
      </c>
      <c r="AE26" s="4">
        <f t="shared" ca="1" si="1"/>
        <v>0</v>
      </c>
      <c r="AF26" s="4">
        <f t="shared" ca="1" si="2"/>
        <v>0</v>
      </c>
      <c r="AG26">
        <f t="shared" ca="1" si="7"/>
        <v>0</v>
      </c>
      <c r="AH26">
        <f t="shared" ca="1" si="8"/>
        <v>0</v>
      </c>
    </row>
    <row r="27" spans="27:34" x14ac:dyDescent="0.4">
      <c r="AA27">
        <f>SUMIF(Taostats_CSV!$E:$E,Z27,Taostats_CSV!G:G)</f>
        <v>0</v>
      </c>
      <c r="AB27">
        <f>SUMIF(Taostats_CSV!$E:$E,Z27,Taostats_CSV!H:H)</f>
        <v>0</v>
      </c>
      <c r="AC27">
        <f>SUMIF(Taostats_CSV!$E:$E,Z27,Taostats_CSV!R:R)</f>
        <v>0</v>
      </c>
      <c r="AD27" s="4">
        <f t="shared" ca="1" si="0"/>
        <v>0</v>
      </c>
      <c r="AE27" s="4">
        <f t="shared" ca="1" si="1"/>
        <v>0</v>
      </c>
      <c r="AF27" s="4">
        <f t="shared" si="2"/>
        <v>0</v>
      </c>
      <c r="AG27">
        <f t="shared" ca="1" si="7"/>
        <v>0</v>
      </c>
      <c r="AH27">
        <f t="shared" ca="1" si="8"/>
        <v>0</v>
      </c>
    </row>
    <row r="28" spans="27:34" x14ac:dyDescent="0.4">
      <c r="AA28">
        <f>SUMIF(Taostats_CSV!$E:$E,Z28,Taostats_CSV!G:G)</f>
        <v>0</v>
      </c>
      <c r="AB28">
        <f>SUMIF(Taostats_CSV!$E:$E,Z28,Taostats_CSV!H:H)</f>
        <v>0</v>
      </c>
      <c r="AC28">
        <f>SUMIF(Taostats_CSV!$E:$E,Z28,Taostats_CSV!R:R)</f>
        <v>0</v>
      </c>
      <c r="AD28" s="4">
        <f t="shared" ca="1" si="0"/>
        <v>0</v>
      </c>
      <c r="AE28" s="4">
        <f t="shared" ca="1" si="1"/>
        <v>0</v>
      </c>
      <c r="AF28" s="4">
        <f t="shared" ca="1" si="2"/>
        <v>0</v>
      </c>
      <c r="AG28">
        <f t="shared" ca="1" si="7"/>
        <v>0</v>
      </c>
      <c r="AH28">
        <f t="shared" ca="1" si="8"/>
        <v>0</v>
      </c>
    </row>
    <row r="29" spans="27:34" x14ac:dyDescent="0.4">
      <c r="AA29">
        <f>SUMIF(Taostats_CSV!$E:$E,Z29,Taostats_CSV!G:G)</f>
        <v>0</v>
      </c>
      <c r="AB29">
        <f>SUMIF(Taostats_CSV!$E:$E,Z29,Taostats_CSV!H:H)</f>
        <v>0</v>
      </c>
      <c r="AC29">
        <f>SUMIF(Taostats_CSV!$E:$E,Z29,Taostats_CSV!R:R)</f>
        <v>0</v>
      </c>
      <c r="AD29" s="4">
        <f t="shared" ca="1" si="0"/>
        <v>0</v>
      </c>
      <c r="AE29" s="4">
        <f t="shared" ca="1" si="1"/>
        <v>0</v>
      </c>
      <c r="AF29" s="4">
        <f t="shared" ca="1" si="2"/>
        <v>0</v>
      </c>
      <c r="AG29">
        <f t="shared" ca="1" si="7"/>
        <v>0</v>
      </c>
      <c r="AH29">
        <f t="shared" ca="1" si="8"/>
        <v>0</v>
      </c>
    </row>
    <row r="30" spans="27:34" x14ac:dyDescent="0.4">
      <c r="AA30">
        <f>SUMIF(Taostats_CSV!$E:$E,Z30,Taostats_CSV!G:G)</f>
        <v>0</v>
      </c>
      <c r="AB30">
        <f>SUMIF(Taostats_CSV!$E:$E,Z30,Taostats_CSV!H:H)</f>
        <v>0</v>
      </c>
      <c r="AC30">
        <f>SUMIF(Taostats_CSV!$E:$E,Z30,Taostats_CSV!R:R)</f>
        <v>0</v>
      </c>
      <c r="AD30" s="4">
        <f t="shared" ca="1" si="0"/>
        <v>0</v>
      </c>
      <c r="AE30" s="4">
        <f t="shared" ca="1" si="1"/>
        <v>0</v>
      </c>
      <c r="AF30" s="4">
        <f t="shared" ca="1" si="2"/>
        <v>0</v>
      </c>
      <c r="AG30">
        <f t="shared" ca="1" si="7"/>
        <v>0</v>
      </c>
      <c r="AH30">
        <f t="shared" ca="1" si="8"/>
        <v>0</v>
      </c>
    </row>
    <row r="31" spans="27:34" x14ac:dyDescent="0.4">
      <c r="AA31">
        <f>SUMIF(Taostats_CSV!$E:$E,Z31,Taostats_CSV!G:G)</f>
        <v>0</v>
      </c>
      <c r="AB31">
        <f>SUMIF(Taostats_CSV!$E:$E,Z31,Taostats_CSV!H:H)</f>
        <v>0</v>
      </c>
      <c r="AC31">
        <f>SUMIF(Taostats_CSV!$E:$E,Z31,Taostats_CSV!R:R)</f>
        <v>0</v>
      </c>
      <c r="AD31" s="4">
        <f t="shared" ca="1" si="0"/>
        <v>0</v>
      </c>
      <c r="AE31" s="4">
        <f t="shared" ca="1" si="1"/>
        <v>0</v>
      </c>
      <c r="AF31" s="4">
        <f t="shared" si="2"/>
        <v>0</v>
      </c>
      <c r="AG31">
        <f t="shared" ca="1" si="7"/>
        <v>0</v>
      </c>
      <c r="AH31">
        <f t="shared" ca="1" si="8"/>
        <v>0</v>
      </c>
    </row>
    <row r="32" spans="27:34" x14ac:dyDescent="0.4">
      <c r="AA32">
        <f>SUMIF(Taostats_CSV!$E:$E,Z32,Taostats_CSV!G:G)</f>
        <v>0</v>
      </c>
      <c r="AB32">
        <f>SUMIF(Taostats_CSV!$E:$E,Z32,Taostats_CSV!H:H)</f>
        <v>0</v>
      </c>
      <c r="AC32">
        <f>SUMIF(Taostats_CSV!$E:$E,Z32,Taostats_CSV!R:R)</f>
        <v>0</v>
      </c>
      <c r="AD32" s="4">
        <f t="shared" ca="1" si="0"/>
        <v>0</v>
      </c>
      <c r="AE32" s="4">
        <f t="shared" ca="1" si="1"/>
        <v>0</v>
      </c>
      <c r="AF32" s="4">
        <f t="shared" ca="1" si="2"/>
        <v>0</v>
      </c>
      <c r="AG32">
        <f t="shared" ca="1" si="7"/>
        <v>0</v>
      </c>
      <c r="AH32">
        <f t="shared" ca="1" si="8"/>
        <v>0</v>
      </c>
    </row>
    <row r="33" spans="27:34" x14ac:dyDescent="0.4">
      <c r="AA33">
        <f>SUMIF(Taostats_CSV!$E:$E,Z33,Taostats_CSV!G:G)</f>
        <v>0</v>
      </c>
      <c r="AB33">
        <f>SUMIF(Taostats_CSV!$E:$E,Z33,Taostats_CSV!H:H)</f>
        <v>0</v>
      </c>
      <c r="AC33">
        <f>SUMIF(Taostats_CSV!$E:$E,Z33,Taostats_CSV!R:R)</f>
        <v>0</v>
      </c>
      <c r="AD33" s="4">
        <f t="shared" ca="1" si="0"/>
        <v>0</v>
      </c>
      <c r="AE33" s="4">
        <f t="shared" ca="1" si="1"/>
        <v>0</v>
      </c>
      <c r="AF33" s="4">
        <f t="shared" si="2"/>
        <v>0</v>
      </c>
      <c r="AG33">
        <f t="shared" ca="1" si="7"/>
        <v>0</v>
      </c>
      <c r="AH33">
        <f t="shared" ca="1" si="8"/>
        <v>0</v>
      </c>
    </row>
    <row r="34" spans="27:34" x14ac:dyDescent="0.4">
      <c r="AA34">
        <f>SUMIF(Taostats_CSV!$E:$E,Z34,Taostats_CSV!G:G)</f>
        <v>0</v>
      </c>
      <c r="AB34">
        <f>SUMIF(Taostats_CSV!$E:$E,Z34,Taostats_CSV!H:H)</f>
        <v>0</v>
      </c>
      <c r="AC34">
        <f>SUMIF(Taostats_CSV!$E:$E,Z34,Taostats_CSV!R:R)</f>
        <v>0</v>
      </c>
      <c r="AD34" s="4">
        <f t="shared" ca="1" si="0"/>
        <v>0</v>
      </c>
      <c r="AE34" s="4">
        <f t="shared" ca="1" si="1"/>
        <v>0</v>
      </c>
      <c r="AF34" s="4">
        <f t="shared" ca="1" si="2"/>
        <v>0</v>
      </c>
      <c r="AG34">
        <f t="shared" ca="1" si="7"/>
        <v>0</v>
      </c>
      <c r="AH34">
        <f t="shared" ca="1" si="8"/>
        <v>0</v>
      </c>
    </row>
    <row r="35" spans="27:34" x14ac:dyDescent="0.4">
      <c r="AA35">
        <f>SUMIF(Taostats_CSV!$E:$E,Z35,Taostats_CSV!G:G)</f>
        <v>0</v>
      </c>
      <c r="AB35">
        <f>SUMIF(Taostats_CSV!$E:$E,Z35,Taostats_CSV!H:H)</f>
        <v>0</v>
      </c>
      <c r="AC35">
        <f>SUMIF(Taostats_CSV!$E:$E,Z35,Taostats_CSV!R:R)</f>
        <v>0</v>
      </c>
      <c r="AD35" s="4">
        <f t="shared" ca="1" si="0"/>
        <v>0</v>
      </c>
      <c r="AE35" s="4">
        <f t="shared" ca="1" si="1"/>
        <v>0</v>
      </c>
      <c r="AF35" s="4">
        <f t="shared" ca="1" si="2"/>
        <v>0</v>
      </c>
      <c r="AG35">
        <f t="shared" ca="1" si="7"/>
        <v>0</v>
      </c>
      <c r="AH35">
        <f t="shared" ca="1" si="8"/>
        <v>0</v>
      </c>
    </row>
    <row r="36" spans="27:34" x14ac:dyDescent="0.4">
      <c r="AA36">
        <f>SUMIF(Taostats_CSV!$E:$E,Z36,Taostats_CSV!G:G)</f>
        <v>0</v>
      </c>
      <c r="AB36">
        <f>SUMIF(Taostats_CSV!$E:$E,Z36,Taostats_CSV!H:H)</f>
        <v>0</v>
      </c>
      <c r="AC36">
        <f>SUMIF(Taostats_CSV!$E:$E,Z36,Taostats_CSV!R:R)</f>
        <v>0</v>
      </c>
      <c r="AD36" s="4">
        <f t="shared" ca="1" si="0"/>
        <v>0</v>
      </c>
      <c r="AE36" s="4">
        <f t="shared" ca="1" si="1"/>
        <v>0</v>
      </c>
      <c r="AF36" s="4">
        <f t="shared" ca="1" si="2"/>
        <v>0</v>
      </c>
      <c r="AG36">
        <f t="shared" ca="1" si="7"/>
        <v>0</v>
      </c>
      <c r="AH36">
        <f t="shared" ca="1" si="8"/>
        <v>0</v>
      </c>
    </row>
    <row r="37" spans="27:34" x14ac:dyDescent="0.4">
      <c r="AA37">
        <f>SUMIF(Taostats_CSV!$E:$E,Z37,Taostats_CSV!G:G)</f>
        <v>0</v>
      </c>
      <c r="AB37">
        <f>SUMIF(Taostats_CSV!$E:$E,Z37,Taostats_CSV!H:H)</f>
        <v>0</v>
      </c>
      <c r="AC37">
        <f>SUMIF(Taostats_CSV!$E:$E,Z37,Taostats_CSV!R:R)</f>
        <v>0</v>
      </c>
      <c r="AD37" s="4">
        <f t="shared" ref="AD37:AD53" ca="1" si="9">SUMIFS($W:$W,$C:$C,$Z37,$S:$S,TRUE)</f>
        <v>0</v>
      </c>
      <c r="AE37" s="4">
        <f t="shared" ref="AE37:AE53" ca="1" si="10">SUMIFS($X:$X,$E:$E,$Z37,$S:$S,TRUE)</f>
        <v>0</v>
      </c>
      <c r="AF37" s="4">
        <f t="shared" ref="AF37:AF53" ca="1" si="11">SUMIFS($F:$F,$G:$G,$Z37,$S:$S,TRUE)</f>
        <v>0</v>
      </c>
      <c r="AG37">
        <f t="shared" ca="1" si="7"/>
        <v>0</v>
      </c>
      <c r="AH37">
        <f t="shared" ca="1" si="8"/>
        <v>0</v>
      </c>
    </row>
    <row r="38" spans="27:34" x14ac:dyDescent="0.4">
      <c r="AA38">
        <f>SUMIF(Taostats_CSV!$E:$E,Z38,Taostats_CSV!G:G)</f>
        <v>0</v>
      </c>
      <c r="AB38">
        <f>SUMIF(Taostats_CSV!$E:$E,Z38,Taostats_CSV!H:H)</f>
        <v>0</v>
      </c>
      <c r="AC38">
        <f>SUMIF(Taostats_CSV!$E:$E,Z38,Taostats_CSV!R:R)</f>
        <v>0</v>
      </c>
      <c r="AD38" s="4">
        <f t="shared" ca="1" si="9"/>
        <v>0</v>
      </c>
      <c r="AE38" s="4">
        <f t="shared" ca="1" si="10"/>
        <v>0</v>
      </c>
      <c r="AF38" s="4">
        <f t="shared" ca="1" si="11"/>
        <v>0</v>
      </c>
      <c r="AG38">
        <f t="shared" ca="1" si="7"/>
        <v>0</v>
      </c>
      <c r="AH38">
        <f t="shared" ca="1" si="8"/>
        <v>0</v>
      </c>
    </row>
    <row r="39" spans="27:34" x14ac:dyDescent="0.4">
      <c r="AA39">
        <f>SUMIF(Taostats_CSV!$E:$E,Z39,Taostats_CSV!G:G)</f>
        <v>0</v>
      </c>
      <c r="AB39">
        <f>SUMIF(Taostats_CSV!$E:$E,Z39,Taostats_CSV!H:H)</f>
        <v>0</v>
      </c>
      <c r="AC39">
        <f>SUMIF(Taostats_CSV!$E:$E,Z39,Taostats_CSV!R:R)</f>
        <v>0</v>
      </c>
      <c r="AD39" s="4">
        <f t="shared" ca="1" si="9"/>
        <v>0</v>
      </c>
      <c r="AE39" s="4">
        <f t="shared" ca="1" si="10"/>
        <v>0</v>
      </c>
      <c r="AF39" s="4">
        <f t="shared" ca="1" si="11"/>
        <v>0</v>
      </c>
      <c r="AG39">
        <f t="shared" ca="1" si="7"/>
        <v>0</v>
      </c>
      <c r="AH39">
        <f t="shared" ca="1" si="8"/>
        <v>0</v>
      </c>
    </row>
    <row r="40" spans="27:34" x14ac:dyDescent="0.4">
      <c r="AA40">
        <f>SUMIF(Taostats_CSV!$E:$E,Z40,Taostats_CSV!G:G)</f>
        <v>0</v>
      </c>
      <c r="AB40">
        <f>SUMIF(Taostats_CSV!$E:$E,Z40,Taostats_CSV!H:H)</f>
        <v>0</v>
      </c>
      <c r="AC40">
        <f>SUMIF(Taostats_CSV!$E:$E,Z40,Taostats_CSV!R:R)</f>
        <v>0</v>
      </c>
      <c r="AD40" s="4">
        <f t="shared" ca="1" si="9"/>
        <v>0</v>
      </c>
      <c r="AE40" s="4">
        <f t="shared" ca="1" si="10"/>
        <v>0</v>
      </c>
      <c r="AF40" s="4">
        <f t="shared" ca="1" si="11"/>
        <v>0</v>
      </c>
      <c r="AG40">
        <f t="shared" ca="1" si="7"/>
        <v>0</v>
      </c>
      <c r="AH40">
        <f t="shared" ca="1" si="8"/>
        <v>0</v>
      </c>
    </row>
    <row r="41" spans="27:34" x14ac:dyDescent="0.4">
      <c r="AA41">
        <f>SUMIF(Taostats_CSV!$E:$E,Z41,Taostats_CSV!G:G)</f>
        <v>0</v>
      </c>
      <c r="AB41">
        <f>SUMIF(Taostats_CSV!$E:$E,Z41,Taostats_CSV!H:H)</f>
        <v>0</v>
      </c>
      <c r="AC41">
        <f>SUMIF(Taostats_CSV!$E:$E,Z41,Taostats_CSV!R:R)</f>
        <v>0</v>
      </c>
      <c r="AD41" s="4">
        <f t="shared" si="9"/>
        <v>0</v>
      </c>
      <c r="AE41" s="4">
        <f t="shared" ca="1" si="10"/>
        <v>0</v>
      </c>
      <c r="AF41" s="4">
        <f t="shared" ca="1" si="11"/>
        <v>0</v>
      </c>
      <c r="AG41">
        <f t="shared" ca="1" si="7"/>
        <v>0</v>
      </c>
      <c r="AH41">
        <f t="shared" ca="1" si="8"/>
        <v>0</v>
      </c>
    </row>
    <row r="42" spans="27:34" x14ac:dyDescent="0.4">
      <c r="AA42">
        <f>SUMIF(Taostats_CSV!$E:$E,Z42,Taostats_CSV!G:G)</f>
        <v>0</v>
      </c>
      <c r="AB42">
        <f>SUMIF(Taostats_CSV!$E:$E,Z42,Taostats_CSV!H:H)</f>
        <v>0</v>
      </c>
      <c r="AC42">
        <f>SUMIF(Taostats_CSV!$E:$E,Z42,Taostats_CSV!R:R)</f>
        <v>0</v>
      </c>
      <c r="AD42" s="4">
        <f t="shared" ca="1" si="9"/>
        <v>0</v>
      </c>
      <c r="AE42" s="4">
        <f t="shared" ca="1" si="10"/>
        <v>0</v>
      </c>
      <c r="AF42" s="4">
        <f t="shared" ca="1" si="11"/>
        <v>0</v>
      </c>
      <c r="AG42">
        <f t="shared" ca="1" si="7"/>
        <v>0</v>
      </c>
      <c r="AH42">
        <f t="shared" ca="1" si="8"/>
        <v>0</v>
      </c>
    </row>
    <row r="43" spans="27:34" x14ac:dyDescent="0.4">
      <c r="AA43">
        <f>SUMIF(Taostats_CSV!$E:$E,Z43,Taostats_CSV!G:G)</f>
        <v>0</v>
      </c>
      <c r="AB43">
        <f>SUMIF(Taostats_CSV!$E:$E,Z43,Taostats_CSV!H:H)</f>
        <v>0</v>
      </c>
      <c r="AC43">
        <f>SUMIF(Taostats_CSV!$E:$E,Z43,Taostats_CSV!R:R)</f>
        <v>0</v>
      </c>
      <c r="AD43" s="4">
        <f t="shared" ca="1" si="9"/>
        <v>0</v>
      </c>
      <c r="AE43" s="4">
        <f t="shared" ca="1" si="10"/>
        <v>0</v>
      </c>
      <c r="AF43" s="4">
        <f t="shared" si="11"/>
        <v>0</v>
      </c>
      <c r="AG43">
        <f t="shared" ca="1" si="7"/>
        <v>0</v>
      </c>
      <c r="AH43">
        <f t="shared" ca="1" si="8"/>
        <v>0</v>
      </c>
    </row>
    <row r="44" spans="27:34" x14ac:dyDescent="0.4">
      <c r="AA44">
        <f>SUMIF(Taostats_CSV!$E:$E,Z44,Taostats_CSV!G:G)</f>
        <v>0</v>
      </c>
      <c r="AB44">
        <f>SUMIF(Taostats_CSV!$E:$E,Z44,Taostats_CSV!H:H)</f>
        <v>0</v>
      </c>
      <c r="AC44">
        <f>SUMIF(Taostats_CSV!$E:$E,Z44,Taostats_CSV!R:R)</f>
        <v>0</v>
      </c>
      <c r="AD44" s="4">
        <f t="shared" si="9"/>
        <v>0</v>
      </c>
      <c r="AE44" s="4">
        <f t="shared" ca="1" si="10"/>
        <v>0</v>
      </c>
      <c r="AF44" s="4">
        <f t="shared" ca="1" si="11"/>
        <v>0</v>
      </c>
      <c r="AG44">
        <f t="shared" ca="1" si="7"/>
        <v>0</v>
      </c>
      <c r="AH44">
        <f t="shared" ca="1" si="8"/>
        <v>0</v>
      </c>
    </row>
    <row r="45" spans="27:34" x14ac:dyDescent="0.4">
      <c r="AA45">
        <f>SUMIF(Taostats_CSV!$E:$E,Z45,Taostats_CSV!G:G)</f>
        <v>0</v>
      </c>
      <c r="AB45">
        <f>SUMIF(Taostats_CSV!$E:$E,Z45,Taostats_CSV!H:H)</f>
        <v>0</v>
      </c>
      <c r="AC45">
        <f>SUMIF(Taostats_CSV!$E:$E,Z45,Taostats_CSV!R:R)</f>
        <v>0</v>
      </c>
      <c r="AD45" s="4">
        <f t="shared" ca="1" si="9"/>
        <v>0</v>
      </c>
      <c r="AE45" s="4">
        <f t="shared" ca="1" si="10"/>
        <v>0</v>
      </c>
      <c r="AF45" s="4">
        <f t="shared" ca="1" si="11"/>
        <v>0</v>
      </c>
      <c r="AG45">
        <f t="shared" ca="1" si="7"/>
        <v>0</v>
      </c>
      <c r="AH45">
        <f t="shared" ca="1" si="8"/>
        <v>0</v>
      </c>
    </row>
    <row r="46" spans="27:34" x14ac:dyDescent="0.4">
      <c r="AA46">
        <f>SUMIF(Taostats_CSV!$E:$E,Z46,Taostats_CSV!G:G)</f>
        <v>0</v>
      </c>
      <c r="AB46">
        <f>SUMIF(Taostats_CSV!$E:$E,Z46,Taostats_CSV!H:H)</f>
        <v>0</v>
      </c>
      <c r="AC46">
        <f>SUMIF(Taostats_CSV!$E:$E,Z46,Taostats_CSV!R:R)</f>
        <v>0</v>
      </c>
      <c r="AD46" s="4">
        <f t="shared" si="9"/>
        <v>0</v>
      </c>
      <c r="AE46" s="4">
        <f t="shared" ca="1" si="10"/>
        <v>0</v>
      </c>
      <c r="AF46" s="4">
        <f t="shared" ca="1" si="11"/>
        <v>0</v>
      </c>
      <c r="AG46">
        <f t="shared" ca="1" si="7"/>
        <v>0</v>
      </c>
      <c r="AH46">
        <f t="shared" ca="1" si="8"/>
        <v>0</v>
      </c>
    </row>
    <row r="47" spans="27:34" x14ac:dyDescent="0.4">
      <c r="AA47">
        <f>SUMIF(Taostats_CSV!$E:$E,Z47,Taostats_CSV!G:G)</f>
        <v>0</v>
      </c>
      <c r="AB47">
        <f>SUMIF(Taostats_CSV!$E:$E,Z47,Taostats_CSV!H:H)</f>
        <v>0</v>
      </c>
      <c r="AC47">
        <f>SUMIF(Taostats_CSV!$E:$E,Z47,Taostats_CSV!R:R)</f>
        <v>0</v>
      </c>
      <c r="AD47" s="4">
        <f t="shared" ca="1" si="9"/>
        <v>0</v>
      </c>
      <c r="AE47" s="4">
        <f t="shared" ca="1" si="10"/>
        <v>0</v>
      </c>
      <c r="AF47" s="4">
        <f t="shared" ca="1" si="11"/>
        <v>0</v>
      </c>
      <c r="AG47">
        <f t="shared" ca="1" si="7"/>
        <v>0</v>
      </c>
      <c r="AH47">
        <f t="shared" ca="1" si="8"/>
        <v>0</v>
      </c>
    </row>
    <row r="48" spans="27:34" x14ac:dyDescent="0.4">
      <c r="AA48">
        <f>SUMIF(Taostats_CSV!$E:$E,Z48,Taostats_CSV!G:G)</f>
        <v>0</v>
      </c>
      <c r="AB48">
        <f>SUMIF(Taostats_CSV!$E:$E,Z48,Taostats_CSV!H:H)</f>
        <v>0</v>
      </c>
      <c r="AC48">
        <f>SUMIF(Taostats_CSV!$E:$E,Z48,Taostats_CSV!R:R)</f>
        <v>0</v>
      </c>
      <c r="AD48" s="4">
        <f t="shared" ca="1" si="9"/>
        <v>0</v>
      </c>
      <c r="AE48" s="4">
        <f t="shared" ca="1" si="10"/>
        <v>0</v>
      </c>
      <c r="AF48" s="4">
        <f t="shared" ca="1" si="11"/>
        <v>0</v>
      </c>
      <c r="AG48">
        <f t="shared" ca="1" si="7"/>
        <v>0</v>
      </c>
      <c r="AH48">
        <f t="shared" ca="1" si="8"/>
        <v>0</v>
      </c>
    </row>
    <row r="49" spans="27:34" x14ac:dyDescent="0.4">
      <c r="AA49">
        <f>SUMIF(Taostats_CSV!$E:$E,Z49,Taostats_CSV!G:G)</f>
        <v>0</v>
      </c>
      <c r="AB49">
        <f>SUMIF(Taostats_CSV!$E:$E,Z49,Taostats_CSV!H:H)</f>
        <v>0</v>
      </c>
      <c r="AC49">
        <f>SUMIF(Taostats_CSV!$E:$E,Z49,Taostats_CSV!R:R)</f>
        <v>0</v>
      </c>
      <c r="AD49" s="4">
        <f t="shared" ca="1" si="9"/>
        <v>0</v>
      </c>
      <c r="AE49" s="4">
        <f t="shared" ca="1" si="10"/>
        <v>0</v>
      </c>
      <c r="AF49" s="4">
        <f t="shared" ca="1" si="11"/>
        <v>0</v>
      </c>
      <c r="AG49">
        <f t="shared" ca="1" si="7"/>
        <v>0</v>
      </c>
      <c r="AH49">
        <f t="shared" ca="1" si="8"/>
        <v>0</v>
      </c>
    </row>
    <row r="50" spans="27:34" x14ac:dyDescent="0.4">
      <c r="AA50">
        <f>SUMIF(Taostats_CSV!$E:$E,Z50,Taostats_CSV!G:G)</f>
        <v>0</v>
      </c>
      <c r="AB50">
        <f>SUMIF(Taostats_CSV!$E:$E,Z50,Taostats_CSV!H:H)</f>
        <v>0</v>
      </c>
      <c r="AC50">
        <f>SUMIF(Taostats_CSV!$E:$E,Z50,Taostats_CSV!R:R)</f>
        <v>0</v>
      </c>
      <c r="AD50" s="4">
        <f t="shared" ca="1" si="9"/>
        <v>0</v>
      </c>
      <c r="AE50" s="4">
        <f t="shared" si="10"/>
        <v>0</v>
      </c>
      <c r="AF50" s="4">
        <f t="shared" ca="1" si="11"/>
        <v>0</v>
      </c>
      <c r="AG50">
        <f t="shared" ca="1" si="7"/>
        <v>0</v>
      </c>
      <c r="AH50">
        <f t="shared" si="8"/>
        <v>0</v>
      </c>
    </row>
    <row r="51" spans="27:34" x14ac:dyDescent="0.4">
      <c r="AA51">
        <f>SUMIF(Taostats_CSV!$E:$E,Z51,Taostats_CSV!G:G)</f>
        <v>0</v>
      </c>
      <c r="AB51">
        <f>SUMIF(Taostats_CSV!$E:$E,Z51,Taostats_CSV!H:H)</f>
        <v>0</v>
      </c>
      <c r="AC51">
        <f>SUMIF(Taostats_CSV!$E:$E,Z51,Taostats_CSV!R:R)</f>
        <v>0</v>
      </c>
      <c r="AD51" s="4">
        <f t="shared" ca="1" si="9"/>
        <v>0</v>
      </c>
      <c r="AE51" s="4">
        <f t="shared" ca="1" si="10"/>
        <v>0</v>
      </c>
      <c r="AF51" s="4">
        <f t="shared" ca="1" si="11"/>
        <v>0</v>
      </c>
      <c r="AG51">
        <f t="shared" ca="1" si="7"/>
        <v>0</v>
      </c>
      <c r="AH51">
        <f t="shared" ca="1" si="8"/>
        <v>0</v>
      </c>
    </row>
    <row r="52" spans="27:34" x14ac:dyDescent="0.4">
      <c r="AA52">
        <f>SUMIF(Taostats_CSV!$E:$E,Z52,Taostats_CSV!G:G)</f>
        <v>0</v>
      </c>
      <c r="AB52">
        <f>SUMIF(Taostats_CSV!$E:$E,Z52,Taostats_CSV!H:H)</f>
        <v>0</v>
      </c>
      <c r="AC52">
        <f>SUMIF(Taostats_CSV!$E:$E,Z52,Taostats_CSV!R:R)</f>
        <v>0</v>
      </c>
      <c r="AD52" s="4">
        <f t="shared" ca="1" si="9"/>
        <v>0</v>
      </c>
      <c r="AE52" s="4">
        <f t="shared" ca="1" si="10"/>
        <v>0</v>
      </c>
      <c r="AF52" s="4">
        <f t="shared" si="11"/>
        <v>0</v>
      </c>
      <c r="AG52">
        <f t="shared" ca="1" si="7"/>
        <v>0</v>
      </c>
      <c r="AH52">
        <f t="shared" ca="1" si="8"/>
        <v>0</v>
      </c>
    </row>
    <row r="53" spans="27:34" x14ac:dyDescent="0.4">
      <c r="AA53">
        <f>SUMIF(Taostats_CSV!$E:$E,Z53,Taostats_CSV!G:G)</f>
        <v>0</v>
      </c>
      <c r="AB53">
        <f>SUMIF(Taostats_CSV!$E:$E,Z53,Taostats_CSV!H:H)</f>
        <v>0</v>
      </c>
      <c r="AC53">
        <f>SUMIF(Taostats_CSV!$E:$E,Z53,Taostats_CSV!R:R)</f>
        <v>0</v>
      </c>
      <c r="AD53" s="4">
        <f t="shared" ca="1" si="9"/>
        <v>0</v>
      </c>
      <c r="AE53" s="4">
        <f t="shared" ca="1" si="10"/>
        <v>0</v>
      </c>
      <c r="AF53" s="4">
        <f t="shared" ca="1" si="11"/>
        <v>0</v>
      </c>
      <c r="AG53">
        <f t="shared" ca="1" si="7"/>
        <v>0</v>
      </c>
      <c r="AH53">
        <f t="shared" ca="1" si="8"/>
        <v>0</v>
      </c>
    </row>
    <row r="158" spans="31:31" x14ac:dyDescent="0.4">
      <c r="AE158">
        <f>TYPE(Taostats_CSV!#REF!)</f>
        <v>16</v>
      </c>
    </row>
    <row r="159" spans="31:31" x14ac:dyDescent="0.4">
      <c r="AE159">
        <f>TYPE(Taostats_CSV!#REF!)</f>
        <v>16</v>
      </c>
    </row>
    <row r="160" spans="31:31" x14ac:dyDescent="0.4">
      <c r="AE160">
        <f>TYPE(Taostats_CSV!#REF!)</f>
        <v>16</v>
      </c>
    </row>
  </sheetData>
  <autoFilter ref="A2:T1177" xr:uid="{1EEF8292-4D05-450F-A795-6786A60429BF}"/>
  <sortState xmlns:xlrd2="http://schemas.microsoft.com/office/spreadsheetml/2017/richdata2" ref="L10:L34">
    <sortCondition ref="L10:L34"/>
  </sortState>
  <conditionalFormatting sqref="AG5:AH53">
    <cfRule type="cellIs" dxfId="1" priority="2" operator="notBetween">
      <formula>$AH$1</formula>
      <formula>$AH$2</formula>
    </cfRule>
  </conditionalFormatting>
  <conditionalFormatting sqref="AH3">
    <cfRule type="cellIs" dxfId="0" priority="1" operator="notBetween">
      <formula>$AH$1</formula>
      <formula>$AH$2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8A9E5-29C8-4DF5-8778-F02BEE4097C7}">
  <dimension ref="A1:C47"/>
  <sheetViews>
    <sheetView workbookViewId="0">
      <selection activeCell="B27" sqref="B27"/>
    </sheetView>
    <sheetView workbookViewId="1">
      <selection activeCell="B23" sqref="B23"/>
    </sheetView>
  </sheetViews>
  <sheetFormatPr defaultRowHeight="14.6" x14ac:dyDescent="0.4"/>
  <cols>
    <col min="1" max="1" width="29.69140625" bestFit="1" customWidth="1"/>
    <col min="2" max="2" width="105.3828125" style="4" customWidth="1"/>
    <col min="3" max="3" width="48" bestFit="1" customWidth="1"/>
  </cols>
  <sheetData>
    <row r="1" spans="1:3" x14ac:dyDescent="0.4">
      <c r="A1" s="5" t="s">
        <v>36</v>
      </c>
      <c r="B1" s="6" t="s">
        <v>37</v>
      </c>
      <c r="C1" s="5" t="s">
        <v>38</v>
      </c>
    </row>
    <row r="2" spans="1:3" ht="29.15" x14ac:dyDescent="0.4">
      <c r="A2" t="s">
        <v>39</v>
      </c>
      <c r="B2" s="4" t="s">
        <v>40</v>
      </c>
    </row>
    <row r="3" spans="1:3" ht="29.15" x14ac:dyDescent="0.4">
      <c r="A3" t="s">
        <v>41</v>
      </c>
      <c r="B3" s="4" t="s">
        <v>42</v>
      </c>
    </row>
    <row r="4" spans="1:3" x14ac:dyDescent="0.4">
      <c r="A4" t="s">
        <v>43</v>
      </c>
      <c r="B4" s="4" t="s">
        <v>44</v>
      </c>
    </row>
    <row r="5" spans="1:3" ht="29.15" x14ac:dyDescent="0.4">
      <c r="A5" t="s">
        <v>45</v>
      </c>
      <c r="B5" s="4" t="s">
        <v>46</v>
      </c>
    </row>
    <row r="6" spans="1:3" ht="29.15" x14ac:dyDescent="0.4">
      <c r="A6" t="s">
        <v>47</v>
      </c>
      <c r="B6" s="4" t="s">
        <v>48</v>
      </c>
    </row>
    <row r="7" spans="1:3" x14ac:dyDescent="0.4">
      <c r="A7" t="s">
        <v>49</v>
      </c>
      <c r="B7" s="4" t="s">
        <v>50</v>
      </c>
    </row>
    <row r="8" spans="1:3" x14ac:dyDescent="0.4">
      <c r="A8" s="5" t="s">
        <v>51</v>
      </c>
    </row>
    <row r="9" spans="1:3" ht="29.15" x14ac:dyDescent="0.4">
      <c r="A9" t="s">
        <v>52</v>
      </c>
      <c r="B9" s="4" t="s">
        <v>53</v>
      </c>
      <c r="C9" t="s">
        <v>54</v>
      </c>
    </row>
    <row r="10" spans="1:3" ht="29.15" x14ac:dyDescent="0.4">
      <c r="A10" t="s">
        <v>55</v>
      </c>
      <c r="B10" s="4" t="s">
        <v>56</v>
      </c>
      <c r="C10" t="s">
        <v>57</v>
      </c>
    </row>
    <row r="11" spans="1:3" ht="29.15" x14ac:dyDescent="0.4">
      <c r="A11" t="s">
        <v>58</v>
      </c>
      <c r="B11" s="4" t="s">
        <v>59</v>
      </c>
      <c r="C11" t="s">
        <v>60</v>
      </c>
    </row>
    <row r="12" spans="1:3" x14ac:dyDescent="0.4">
      <c r="A12" s="5" t="s">
        <v>61</v>
      </c>
    </row>
    <row r="13" spans="1:3" x14ac:dyDescent="0.4">
      <c r="A13" t="s">
        <v>62</v>
      </c>
      <c r="B13" s="4" t="s">
        <v>63</v>
      </c>
      <c r="C13" t="s">
        <v>64</v>
      </c>
    </row>
    <row r="14" spans="1:3" x14ac:dyDescent="0.4">
      <c r="A14" t="s">
        <v>65</v>
      </c>
      <c r="B14" s="4" t="s">
        <v>66</v>
      </c>
      <c r="C14" t="s">
        <v>67</v>
      </c>
    </row>
    <row r="15" spans="1:3" x14ac:dyDescent="0.4">
      <c r="A15" t="s">
        <v>68</v>
      </c>
      <c r="B15" s="4" t="s">
        <v>69</v>
      </c>
      <c r="C15" t="s">
        <v>70</v>
      </c>
    </row>
    <row r="16" spans="1:3" x14ac:dyDescent="0.4">
      <c r="A16" t="s">
        <v>71</v>
      </c>
      <c r="B16" s="4" t="s">
        <v>72</v>
      </c>
      <c r="C16" t="s">
        <v>73</v>
      </c>
    </row>
    <row r="17" spans="1:3" x14ac:dyDescent="0.4">
      <c r="A17" t="s">
        <v>74</v>
      </c>
      <c r="B17" s="4" t="s">
        <v>75</v>
      </c>
      <c r="C17" t="s">
        <v>76</v>
      </c>
    </row>
    <row r="18" spans="1:3" x14ac:dyDescent="0.4">
      <c r="A18" s="5" t="s">
        <v>77</v>
      </c>
    </row>
    <row r="19" spans="1:3" x14ac:dyDescent="0.4">
      <c r="A19" t="s">
        <v>78</v>
      </c>
      <c r="B19" s="4" t="s">
        <v>79</v>
      </c>
      <c r="C19" t="s">
        <v>80</v>
      </c>
    </row>
    <row r="20" spans="1:3" x14ac:dyDescent="0.4">
      <c r="A20" t="s">
        <v>81</v>
      </c>
      <c r="B20" s="4" t="s">
        <v>82</v>
      </c>
      <c r="C20" t="s">
        <v>83</v>
      </c>
    </row>
    <row r="21" spans="1:3" x14ac:dyDescent="0.4">
      <c r="A21" s="5" t="s">
        <v>84</v>
      </c>
    </row>
    <row r="22" spans="1:3" x14ac:dyDescent="0.4">
      <c r="A22" t="s">
        <v>85</v>
      </c>
      <c r="B22" s="4" t="s">
        <v>86</v>
      </c>
      <c r="C22" t="s">
        <v>87</v>
      </c>
    </row>
    <row r="23" spans="1:3" x14ac:dyDescent="0.4">
      <c r="A23" t="s">
        <v>88</v>
      </c>
      <c r="B23" s="4" t="s">
        <v>89</v>
      </c>
      <c r="C23" t="s">
        <v>90</v>
      </c>
    </row>
    <row r="24" spans="1:3" x14ac:dyDescent="0.4">
      <c r="A24" t="s">
        <v>91</v>
      </c>
      <c r="B24" s="4" t="s">
        <v>92</v>
      </c>
      <c r="C24" t="s">
        <v>93</v>
      </c>
    </row>
    <row r="25" spans="1:3" x14ac:dyDescent="0.4">
      <c r="A25" t="s">
        <v>94</v>
      </c>
      <c r="B25" s="4" t="s">
        <v>95</v>
      </c>
      <c r="C25" t="s">
        <v>96</v>
      </c>
    </row>
    <row r="26" spans="1:3" x14ac:dyDescent="0.4">
      <c r="A26" t="s">
        <v>97</v>
      </c>
      <c r="B26" s="4" t="s">
        <v>98</v>
      </c>
      <c r="C26" t="s">
        <v>99</v>
      </c>
    </row>
    <row r="27" spans="1:3" x14ac:dyDescent="0.4">
      <c r="A27" t="s">
        <v>100</v>
      </c>
      <c r="B27" s="4" t="s">
        <v>101</v>
      </c>
      <c r="C27" t="s">
        <v>102</v>
      </c>
    </row>
    <row r="28" spans="1:3" x14ac:dyDescent="0.4">
      <c r="A28" s="5" t="s">
        <v>103</v>
      </c>
    </row>
    <row r="29" spans="1:3" x14ac:dyDescent="0.4">
      <c r="A29" t="s">
        <v>104</v>
      </c>
      <c r="B29" s="4" t="s">
        <v>105</v>
      </c>
      <c r="C29" t="s">
        <v>106</v>
      </c>
    </row>
    <row r="30" spans="1:3" x14ac:dyDescent="0.4">
      <c r="A30" t="s">
        <v>107</v>
      </c>
      <c r="B30" s="4" t="s">
        <v>108</v>
      </c>
      <c r="C30" t="s">
        <v>109</v>
      </c>
    </row>
    <row r="31" spans="1:3" x14ac:dyDescent="0.4">
      <c r="A31" t="s">
        <v>110</v>
      </c>
      <c r="B31" s="4" t="s">
        <v>111</v>
      </c>
      <c r="C31" t="s">
        <v>112</v>
      </c>
    </row>
    <row r="32" spans="1:3" x14ac:dyDescent="0.4">
      <c r="A32" t="s">
        <v>113</v>
      </c>
      <c r="B32" s="4" t="s">
        <v>114</v>
      </c>
      <c r="C32" t="s">
        <v>115</v>
      </c>
    </row>
    <row r="33" spans="1:3" x14ac:dyDescent="0.4">
      <c r="A33" t="s">
        <v>116</v>
      </c>
      <c r="B33" s="4" t="s">
        <v>117</v>
      </c>
      <c r="C33" t="s">
        <v>118</v>
      </c>
    </row>
    <row r="34" spans="1:3" x14ac:dyDescent="0.4">
      <c r="A34" t="s">
        <v>119</v>
      </c>
      <c r="B34" s="4" t="s">
        <v>120</v>
      </c>
      <c r="C34" t="s">
        <v>121</v>
      </c>
    </row>
    <row r="35" spans="1:3" x14ac:dyDescent="0.4">
      <c r="A35" t="s">
        <v>122</v>
      </c>
      <c r="B35" s="4" t="s">
        <v>123</v>
      </c>
      <c r="C35" t="s">
        <v>124</v>
      </c>
    </row>
    <row r="36" spans="1:3" x14ac:dyDescent="0.4">
      <c r="A36" t="s">
        <v>125</v>
      </c>
      <c r="B36" s="4" t="s">
        <v>126</v>
      </c>
      <c r="C36" t="s">
        <v>127</v>
      </c>
    </row>
    <row r="37" spans="1:3" x14ac:dyDescent="0.4">
      <c r="A37" t="s">
        <v>128</v>
      </c>
      <c r="B37" s="4" t="s">
        <v>129</v>
      </c>
      <c r="C37" t="s">
        <v>130</v>
      </c>
    </row>
    <row r="38" spans="1:3" x14ac:dyDescent="0.4">
      <c r="A38" t="s">
        <v>131</v>
      </c>
      <c r="B38" s="4" t="s">
        <v>132</v>
      </c>
      <c r="C38" t="s">
        <v>133</v>
      </c>
    </row>
    <row r="39" spans="1:3" x14ac:dyDescent="0.4">
      <c r="A39" t="s">
        <v>134</v>
      </c>
      <c r="B39" s="4" t="s">
        <v>135</v>
      </c>
      <c r="C39" t="s">
        <v>136</v>
      </c>
    </row>
    <row r="40" spans="1:3" x14ac:dyDescent="0.4">
      <c r="A40" t="s">
        <v>137</v>
      </c>
      <c r="B40" s="4" t="s">
        <v>138</v>
      </c>
      <c r="C40" t="s">
        <v>139</v>
      </c>
    </row>
    <row r="41" spans="1:3" x14ac:dyDescent="0.4">
      <c r="A41" t="s">
        <v>140</v>
      </c>
      <c r="B41" s="4" t="s">
        <v>141</v>
      </c>
      <c r="C41" t="s">
        <v>142</v>
      </c>
    </row>
    <row r="42" spans="1:3" x14ac:dyDescent="0.4">
      <c r="A42" t="s">
        <v>143</v>
      </c>
      <c r="B42" s="4" t="s">
        <v>144</v>
      </c>
      <c r="C42" t="s">
        <v>145</v>
      </c>
    </row>
    <row r="43" spans="1:3" x14ac:dyDescent="0.4">
      <c r="A43" t="s">
        <v>146</v>
      </c>
      <c r="B43" s="4" t="s">
        <v>147</v>
      </c>
      <c r="C43" t="s">
        <v>148</v>
      </c>
    </row>
    <row r="44" spans="1:3" x14ac:dyDescent="0.4">
      <c r="A44" t="s">
        <v>149</v>
      </c>
      <c r="B44" s="4" t="s">
        <v>150</v>
      </c>
      <c r="C44" t="s">
        <v>151</v>
      </c>
    </row>
    <row r="45" spans="1:3" x14ac:dyDescent="0.4">
      <c r="A45" t="s">
        <v>152</v>
      </c>
      <c r="B45" s="4" t="s">
        <v>153</v>
      </c>
      <c r="C45" t="s">
        <v>154</v>
      </c>
    </row>
    <row r="46" spans="1:3" x14ac:dyDescent="0.4">
      <c r="A46" t="s">
        <v>155</v>
      </c>
      <c r="B46" s="4" t="s">
        <v>156</v>
      </c>
      <c r="C46" t="s">
        <v>157</v>
      </c>
    </row>
    <row r="47" spans="1:3" x14ac:dyDescent="0.4">
      <c r="A47" t="s">
        <v>158</v>
      </c>
      <c r="B47" s="4" t="s">
        <v>159</v>
      </c>
      <c r="C4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Taostats_CSV</vt:lpstr>
      <vt:lpstr>website_csv (pro)</vt:lpstr>
      <vt:lpstr>Cointracker Tags 2026-02-16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Griffiths</dc:creator>
  <cp:lastModifiedBy>Michael Griffiths</cp:lastModifiedBy>
  <dcterms:created xsi:type="dcterms:W3CDTF">2026-02-09T13:21:11Z</dcterms:created>
  <dcterms:modified xsi:type="dcterms:W3CDTF">2026-03-07T02:10:42Z</dcterms:modified>
</cp:coreProperties>
</file>